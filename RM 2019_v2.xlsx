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ipe Index" sheetId="1" r:id="rId4"/>
    <sheet state="visible" name="Beverages" sheetId="2" r:id="rId5"/>
    <sheet state="visible" name="Breakfast" sheetId="3" r:id="rId6"/>
    <sheet state="visible" name="Chutneys" sheetId="4" r:id="rId7"/>
    <sheet state="visible" name="Dal" sheetId="5" r:id="rId8"/>
    <sheet state="visible" name="Economical Recipes" sheetId="6" r:id="rId9"/>
    <sheet state="visible" name="Ekadashi" sheetId="7" r:id="rId10"/>
    <sheet state="visible" name="Fried Items" sheetId="8" r:id="rId11"/>
    <sheet state="visible" name="Jam" sheetId="9" r:id="rId12"/>
    <sheet state="visible" name="Kadhi" sheetId="10" r:id="rId13"/>
    <sheet state="visible" name="Khichadi" sheetId="11" r:id="rId14"/>
    <sheet state="visible" name="Masalas" sheetId="12" r:id="rId15"/>
    <sheet state="visible" name="Rice" sheetId="13" r:id="rId16"/>
    <sheet state="visible" name="Roti" sheetId="14" r:id="rId17"/>
    <sheet state="visible" name="Soups" sheetId="15" r:id="rId18"/>
    <sheet state="visible" name="Sweets" sheetId="16" r:id="rId19"/>
    <sheet state="visible" name="Sweets Sustainable" sheetId="17" r:id="rId20"/>
    <sheet state="visible" name="Subji, Dry" sheetId="18" r:id="rId21"/>
    <sheet state="visible" name="Wet Subjis" sheetId="19" r:id="rId22"/>
    <sheet state="visible" name="FHC Sabjis" sheetId="20" r:id="rId23"/>
  </sheets>
  <definedNames>
    <definedName name="Jeera">#REF!</definedName>
    <definedName name="_BF_Poha_Bhel">Breakfast!$B$235</definedName>
    <definedName name="Lavang">#REF!</definedName>
    <definedName name="Varai">#REF!</definedName>
    <definedName name="Tomato_Sauce">#REF!</definedName>
    <definedName name="_BF_Daliya_Upma">Breakfast!$B$36</definedName>
    <definedName name="_Be_Lemon_Grass_Tea">Beverages!$B$182</definedName>
    <definedName name="_Ch_Shenghdana_Chutney">Chutneys!$B$69</definedName>
    <definedName name="_Ek_Coconut_Varai_Halva">Ekadashi!$A$26</definedName>
    <definedName name="_WS_Alu_Matar_Flower_Gajar_Paneer">'Wet Subjis'!$B$281</definedName>
    <definedName name="_WS_Pav_Bhaji_Sabji_2">'Wet Subjis'!$B$1233</definedName>
    <definedName name="Wheat_Atta">#REF!</definedName>
    <definedName name="Chana_Masala">#REF!</definedName>
    <definedName name="Varai_atta">#REF!</definedName>
    <definedName name="Baby_Alu">#REF!</definedName>
    <definedName name="Strawberry_Flavor">#REF!</definedName>
    <definedName name="Vanaspati">#REF!</definedName>
    <definedName name="Kaccha_Papaya">#REF!</definedName>
    <definedName name="_Fr_Batata_Vada">'Fried Items'!$B$1</definedName>
    <definedName name="_WS_Besan_Pitla">'Wet Subjis'!$B$446</definedName>
    <definedName name="Grapes">#REF!</definedName>
    <definedName name="Khadi_Shakkar">#REF!</definedName>
    <definedName name="Pineapple_Essence">#REF!</definedName>
    <definedName name="_WS_Dahi_Bhendi">'Wet Subjis'!$B$584</definedName>
    <definedName name="Kakdi">#REF!</definedName>
    <definedName name="Khava">#REF!</definedName>
    <definedName name="_Ek_Varai_Carrot_Pulao">Ekadashi!$A$340</definedName>
    <definedName name="_Be_Pudina_Lemon_Juice">Beverages!$B$206</definedName>
    <definedName name="Idli_Rava">#REF!</definedName>
    <definedName name="Mustard_Oil">#REF!</definedName>
    <definedName name="Vanilla_Essence">#REF!</definedName>
    <definedName name="_WS_Capsicum_salan__RAP">'Wet Subjis'!$B$492</definedName>
    <definedName name="_Sw_Maulpua__HG_VDP">Sweets!$B$917</definedName>
    <definedName name="_Bf_Bhel_MKD">Breakfast!$B$715</definedName>
    <definedName name="_Eco_Meetha_Chawal_eco">'Economical Recipes'!$A$59</definedName>
    <definedName name="Akkha_Methi">#REF!</definedName>
    <definedName name="_Da_Rasam__By_Karthik_Pr">Dal!$B$409</definedName>
    <definedName name="_Ri_Carrot_Peas_Rice">Rice!$A$106</definedName>
    <definedName name="_Ri_Masala_Rice_with_CC">Rice!$A$356</definedName>
    <definedName name="_DS_Mix_Veg_Dry">'Subji, Dry'!$A$448</definedName>
    <definedName name="Byadgi_Mirchi_Powder">#REF!</definedName>
    <definedName name="Wheat">#REF!</definedName>
    <definedName name="_Ro_Alu_waali_Roti_2">Roti!$A$29</definedName>
    <definedName name="_Ek_Varai_Upma_Wet">Ekadashi!$A$442</definedName>
    <definedName name="_DS_Alu_Karela_S">'Subji, Dry'!$A$158</definedName>
    <definedName name="Eating_Soda">#REF!</definedName>
    <definedName name="_SS_Sweet_Samosa">'Sweets Sustainable'!$A$104</definedName>
    <definedName name="Pakka_Kela">#REF!</definedName>
    <definedName name="_ri_carr">'Recipe Index'!$AL$47</definedName>
    <definedName name="Mango_pulp">#REF!</definedName>
    <definedName name="Khopra_Khis">#REF!</definedName>
    <definedName name="_BF_Medu_Vada">Breakfast!$B$203</definedName>
    <definedName name="_Ri_Jeera_Rice__Direct_Chaunk">Rice!$A$298</definedName>
    <definedName name="_Ek_Varai_Kheer_with_Carrot">Ekadashi!$A$384</definedName>
    <definedName name="_Ro_Alu_Paratha_direct_in_dough">Roti!$A$1</definedName>
    <definedName name="_Ek_Ekadashi_Alu_Churchuri">Ekadashi!$A$531</definedName>
    <definedName name="Rice_Sella">#REF!</definedName>
    <definedName name="_Ch_CGC__IDLI">Chutneys!$B$104</definedName>
    <definedName name="Pavbhaji_Masala">#REF!</definedName>
    <definedName name="_Ja_Chunda">Jam!$B$20</definedName>
    <definedName name="_Ek_Varai_Halva_FFL">Ekadashi!$A$517</definedName>
    <definedName name="Chole_Masala">#REF!</definedName>
    <definedName name="Color__Lemon_Yellow">#REF!</definedName>
    <definedName name="Salt_Sendha">#REF!</definedName>
    <definedName name="Chauli_Beans">#REF!</definedName>
    <definedName name="_Fr_Farsan_Govinda_s">'Fried Items'!$B$190</definedName>
    <definedName name="_Ek_Ekadashi_Simple_Alu_Sabji">Ekadashi!$A$160</definedName>
    <definedName name="Chilka_mung_dal">#REF!</definedName>
    <definedName name="_Ri_Curd_Rice">Rice!$A$178</definedName>
    <definedName name="Black_Pepper_Powder">#REF!</definedName>
    <definedName name="_Fr_Baingan_Bhajjis_s">'Fried Items'!$B$25</definedName>
    <definedName name="Madras_Mirchi">#REF!</definedName>
    <definedName name="Cauliflower">#REF!</definedName>
    <definedName name="Karla">#REF!</definedName>
    <definedName name="_Sw_Kohla_halva_Prithvi">Sweets!$B$832</definedName>
    <definedName name="_Ro_Atta_Besan_Masala_Chapat">Roti!$A$43</definedName>
    <definedName name="_WS_Alu_Matar_Corn">'Wet Subjis'!$B$347</definedName>
    <definedName name="_Ro_Masala_Chappati_Puri">Roti!$A$63</definedName>
    <definedName name="_Be_Mango_Juice_medium">Beverages!$B$239</definedName>
    <definedName name="_Be_Kokam_Juice">Beverages!$B$153</definedName>
    <definedName name="Methi_Patta">#REF!</definedName>
    <definedName name="_WS_Alu_Corn_Matar_Gajar">'Wet Subjis'!$B$33</definedName>
    <definedName name="_Ri_RVC_Special_Rice_Prithvi">Rice!$A$800</definedName>
    <definedName name="Sunflower_Oil">#REF!</definedName>
    <definedName name="Mango">#REF!</definedName>
    <definedName name="_Ri_Cabbage_Rice">Rice!$A$50</definedName>
    <definedName name="Rava_Mota">#REF!</definedName>
    <definedName name="_Da_Sambar_Skkd">Dal!$B$362</definedName>
    <definedName name="_Sw_Gulab_Jamun_Prithvi">Sweets!$B$854</definedName>
    <definedName name="Elaichi">#REF!</definedName>
    <definedName name="_Fr_Alu_Bonda">'Fried Items'!$B$269</definedName>
    <definedName name="_Be_Dhaniya_Coffee">Beverages!$B$55</definedName>
    <definedName name="_DS_Cabbage__KuNP">'Subji, Dry'!$A$355</definedName>
    <definedName name="Cherry">#REF!</definedName>
    <definedName name="Rose_Essence">#REF!</definedName>
    <definedName name="Anar">#REF!</definedName>
    <definedName name="_Sw_Besan_Rava_Halva">Sweets!$B$65</definedName>
    <definedName name="Jaiphal">#REF!</definedName>
    <definedName name="Ratalu">#REF!</definedName>
    <definedName name="Ragi_Powder">#REF!</definedName>
    <definedName name="_BF_Poha_Ujjain_with_AM">Breakfast!$B$265</definedName>
    <definedName name="Groundnut_Oil">#REF!</definedName>
    <definedName name="_WS_Aviyal">'Wet Subjis'!$B$424</definedName>
    <definedName name="_WS_Mix_Veg_in_CG_Gravy">'Wet Subjis'!$B$1046</definedName>
    <definedName name="Kismis">#REF!</definedName>
    <definedName name="_Ri_Yellow_Rice_Direct_Chaunk">Rice!$A$845</definedName>
    <definedName name="_BF_Hare_Krishna_Bhel__wet">Breakfast!$B$101</definedName>
    <definedName name="Kaju_Akkha">#REF!</definedName>
    <definedName name="_Ri_carrot_peas_corn_kismis_rice">Rice!$A$486</definedName>
    <definedName name="Kashmiri_mirchi">#REF!</definedName>
    <definedName name="Rice_Flour">#REF!</definedName>
    <definedName name="_WS_Misal">'Wet Subjis'!$B$1029</definedName>
    <definedName name="Thyme_Leaves">#REF!</definedName>
    <definedName name="_Be_Amlana">Beverages!$B$25</definedName>
    <definedName name="Musk_Melon">#REF!</definedName>
    <definedName name="Strawberry">#REF!</definedName>
    <definedName name="Karela">#REF!</definedName>
    <definedName name="Khajur">#REF!</definedName>
    <definedName name="_Fr_Murmura_special">'Fried Items'!$B$117</definedName>
    <definedName name="Mooli">#REF!</definedName>
    <definedName name="Black_Grapes">#REF!</definedName>
    <definedName name="Oregano__Dry">#REF!</definedName>
    <definedName name="_Ek_Coconut_Varai_Halva__FFL">Ekadashi!$A$44</definedName>
    <definedName name="Kaccha_aam">#REF!</definedName>
    <definedName name="_WS_Alu_Matar_Gajar_Pattagobh">'Wet Subjis'!$B$58</definedName>
    <definedName name="_DS_Papaya_Churchuri">'Subji, Dry'!$A$486</definedName>
    <definedName name="Hing_khada">#REF!</definedName>
    <definedName name="_Sw_Atta_Cake">Sweets!$B$344</definedName>
    <definedName name="_Da_Dal_Fry">Dal!$B$50</definedName>
    <definedName name="Orange_Essence">#REF!</definedName>
    <definedName name="_DS_Arbi_Dry">'Subji, Dry'!$A$254</definedName>
    <definedName name="_WS_Beans_Gajar_Capsicum_in_Light_Gravy">'Wet Subjis'!$B$175</definedName>
    <definedName name="Ma_Sambhar_Masala">Masalas!$A$58</definedName>
    <definedName name="_Sw_Sweet_Rice__Condensed">Sweets!$B$747</definedName>
    <definedName name="_ws_alu">Breakfast!$B$384</definedName>
    <definedName name="_BF_Sevai_Upma">Breakfast!$B$406</definedName>
    <definedName name="Beetroot">#REF!</definedName>
    <definedName name="Kaju_Kani">#REF!</definedName>
    <definedName name="_Sw_Banana_Rava_Halva">Sweets!$B$31</definedName>
    <definedName name="Mung_Dal">#REF!</definedName>
    <definedName name="_Be_Herbal_Coffee">Beverages!$B$89</definedName>
    <definedName name="Olive_Oil">#REF!</definedName>
    <definedName name="_Be_keri_panna">Beverages!$B$138</definedName>
    <definedName name="_Ma_Melkote_Rasam_Masala">Masalas!$A$41</definedName>
    <definedName name="_Sw_Mung_Dal_Halva_Prithvi">Sweets!$B$959</definedName>
    <definedName name="Red_Capsicum">#REF!</definedName>
    <definedName name="Amshool">#REF!</definedName>
    <definedName name="Chauli">#REF!</definedName>
    <definedName name="Caramel_Liquid">#REF!</definedName>
    <definedName name="_Ri_Simple_Pulao_Rice">Rice!$A$819</definedName>
    <definedName name="_DS_Alu_Chokha">'Subji, Dry'!$A$41</definedName>
    <definedName name="_BF_Venn_Pongal_Thin">Breakfast!$B$607</definedName>
    <definedName name="Kala_Chana">#REF!</definedName>
    <definedName name="_Sw_Butter_Halva">Sweets!$B$100</definedName>
    <definedName name="_Ek_Sabudana_Khichadi">Ekadashi!$A$481</definedName>
    <definedName name="_Da_Mung_Dal___With_Sabji">Dal!$J$188</definedName>
    <definedName name="Baingan">#REF!</definedName>
    <definedName name="Biryani_Masala">#REF!</definedName>
    <definedName name="_Fr_Cabbage_Pakoda">'Fried Items'!$B$292</definedName>
    <definedName name="_BF_Sevai_Pulao">#REF!</definedName>
    <definedName name="Color__Chocolate">#REF!</definedName>
    <definedName name="_DS_Alu_Padval__Dry">'Subji, Dry'!$A$201</definedName>
    <definedName name="Karbanda_Juice">#REF!</definedName>
    <definedName name="Haldi">#REF!</definedName>
    <definedName name="Corn_Flakes">#REF!</definedName>
    <definedName name="Rice_Kani">#REF!</definedName>
    <definedName name="Dalchini">#REF!</definedName>
    <definedName name="_DS_Alu_Posto">'Subji, Dry'!$A$239</definedName>
    <definedName name="_WS_Dum_Aloo_new">'Wet Subjis'!$B$733</definedName>
    <definedName name="_Sw_Curd_Fruit_Salad">Sweets!$B$163</definedName>
    <definedName name="Khajur_Gud">#REF!</definedName>
    <definedName name="Ginger">#REF!</definedName>
    <definedName name="Dhimsa">#REF!</definedName>
    <definedName name="_Sp_Sweet_Corn_Soup">Soups!$A$63</definedName>
    <definedName name="Groundnut">#REF!</definedName>
    <definedName name="Byadgi_Mirchi">#REF!</definedName>
    <definedName name="_WS_Doodhi_Chana_Dal">'Wet Subjis'!$B$628</definedName>
    <definedName name="Kasuri_Methi">#REF!</definedName>
    <definedName name="_DS_Alu_Gavarphali_with_Shenghdana">'Subji, Dry'!$A$134</definedName>
    <definedName name="_Ek_Jeera_Alu_with_Senghdana">Ekadashi!$A$232</definedName>
    <definedName name="Elaichi_Powder">#REF!</definedName>
    <definedName name="_Da_Mung_Dal__Regular">Dal!$B$188</definedName>
    <definedName name="_WS_Mixed_Veg_In_Kadhi_Sauce">'Wet Subjis'!$B$1103</definedName>
    <definedName name="_Sw_Chocolate_Phirni">Sweets!$B$529</definedName>
    <definedName name="Sambhar_Masala">#REF!</definedName>
    <definedName name="_Sw_Chana_Kheer_Prithvi">Sweets!$B$814</definedName>
    <definedName name="Eno">#REF!</definedName>
    <definedName name="_Ri_Coconut_Rice">Rice!$A$126</definedName>
    <definedName name="Navalkol">#REF!</definedName>
    <definedName name="_Fr_Poha_Chuda">'Fried Items'!$B$141</definedName>
    <definedName name="Salad_Oil">#REF!</definedName>
    <definedName name="_Sp_Manchow_soup__Simple">Soups!$A$38</definedName>
    <definedName name="Herbal_Tea_Powder">#REF!</definedName>
    <definedName name="_WS_Dosa_Bhaji_Wet">'Wet Subjis'!$B$707</definedName>
    <definedName name="Corn_Flour">#REF!</definedName>
    <definedName name="Jaiphal_powder">#REF!</definedName>
    <definedName name="_WS_Mix_Veg_Pahadi_Prithvi">'Wet Subjis'!$B$1128</definedName>
    <definedName name="Ajinomoto">#REF!</definedName>
    <definedName name="_Da_Sambar_K__Rice">Dal!$B$245</definedName>
    <definedName name="_Sw_Mungdal_Payasam">Sweets!$B$473</definedName>
    <definedName name="_SS_Rava_Laddu">'Sweets Sustainable'!$A$76</definedName>
    <definedName name="Murmura">#REF!</definedName>
    <definedName name="Pineapple_Flavor">#REF!</definedName>
    <definedName name="_Ch_Green_Coconut_Chutney">Chutneys!$B$150</definedName>
    <definedName name="_WS_Methi_Malai_Matar_2">'Wet Subjis'!$B$1005</definedName>
    <definedName name="_Ri_Plain_Rice">Rice!$A$446</definedName>
    <definedName name="_Ek_Ekadashi_Sambar">Ekadashi!$A$197</definedName>
    <definedName name="Tejpatta">#REF!</definedName>
    <definedName name="_Eco_Rava_Halva_Quick_eco">'Economical Recipes'!$A$102</definedName>
    <definedName name="Poha_Nylon">#REF!</definedName>
    <definedName name="Shingara_Atta">#REF!</definedName>
    <definedName name="_Sw_Pineapple_Butter_Halva">Sweets!$B$113</definedName>
    <definedName name="_Be_Lassi">Beverages!$B$168</definedName>
    <definedName name="Jeera_Powder">#REF!</definedName>
    <definedName name="_DS_Alu_Gajar_Chauli__Dry">'Subji, Dry'!$A$114</definedName>
    <definedName name="_Ch_Coconut_Chutney_Prithvi">Chutneys!$B$119</definedName>
    <definedName name="_Sw_Mango_Sevai">Sweets!$B$385</definedName>
    <definedName name="Pakka_Phanas">#REF!</definedName>
    <definedName name="_DS_Alu_Papdi_Dry">'Subji, Dry'!$A$220</definedName>
    <definedName name="_DS_Alu_Dry_with_Tomato__S._I._Style">'Subji, Dry'!$A$72</definedName>
    <definedName name="Panch_Phoron">#REF!</definedName>
    <definedName name="_DS_Alu_Methi">'Subji, Dry'!$A$180</definedName>
    <definedName name="_WS_Arbi__Patta_Sabji_1____S">'Wet Subjis'!$B$403</definedName>
    <definedName name="_Ka_Boondi_Raita">Kadhi!$A$75</definedName>
    <definedName name="_Ek_Milk_Fruit_Salad_Ekadasi_KKP">Ekadashi!$A$265</definedName>
    <definedName name="Poha_Ujjain">#REF!</definedName>
    <definedName name="_Da_Sambar_NvccK">Dal!$J$362</definedName>
    <definedName name="_Ek_Kakdi_Raita">Ekadashi!$A$252</definedName>
    <definedName name="_Ri_Biryani_Kolkata">Rice!$A$605</definedName>
    <definedName name="Alu_Khiss">#REF!</definedName>
    <definedName name="Yellow_Capsicum">#REF!</definedName>
    <definedName name="Sugar_Brown">#REF!</definedName>
    <definedName name="_Fr_Bundi_Plain">'Fried Items'!$B$255</definedName>
    <definedName name="_Ek_Rajgira_Halva">Ekadashi!$A$290</definedName>
    <definedName name="Alu">#REF!</definedName>
    <definedName name="Ghee__Cow">#REF!</definedName>
    <definedName name="_Sw_Amrakhand_2">Sweets!$B$1</definedName>
    <definedName name="Watana_White">#REF!</definedName>
    <definedName name="_Ri_Achaari_Chole_Rice_Prithvi">Rice!$A$644</definedName>
    <definedName name="Color__Rasberry_Red">#REF!</definedName>
    <definedName name="Javitri">#REF!</definedName>
    <definedName name="Kokam_Agal">#REF!</definedName>
    <definedName name="Til_Oil">#REF!</definedName>
    <definedName name="_WS_Alu_Matar_Paneer_Palak">'Wet Subjis'!$B$96</definedName>
    <definedName name="Rai">#REF!</definedName>
    <definedName name="_WS_Pav_Bhaji_Sabji_Hg.AGP">'Wet Subjis'!$B$1210</definedName>
    <definedName name="_Ri_Navratna_pualo_Prithvi">Rice!$A$763</definedName>
    <definedName name="_Da_Tadka_Chhilka_Dal">Dal!$B$316</definedName>
    <definedName name="Dry_Coconut">#REF!</definedName>
    <definedName name="_WS_Chole_Masala_Sabji">'Wet Subjis'!$B$218</definedName>
    <definedName name="Papad_Disco">#REF!</definedName>
    <definedName name="Kesar">#REF!</definedName>
    <definedName name="Watana_Green">#REF!</definedName>
    <definedName name="Chocolate_Essence">#REF!</definedName>
    <definedName name="Tooti_Frooti__only_Red">#REF!</definedName>
    <definedName name="Herbal_Coffee_Powder">#REF!</definedName>
    <definedName name="_WS_Suran_bopla">'Wet Subjis'!$B$1313</definedName>
    <definedName name="_DS_Padval_Churchuri">'Subji, Dry'!$A$471</definedName>
    <definedName name="_Da_Mung_Dal_Varan">Dal!$B$213</definedName>
    <definedName name="Toor_Dal">#REF!</definedName>
    <definedName name="_ja_Mango_Pickle_2__Prithvi">Jam!$B$48</definedName>
    <definedName name="_Ch_Tomato_Chuntey_sgpd">Chutneys!$B$136</definedName>
    <definedName name="_Be_Aam_Ras">Beverages!$B$1</definedName>
    <definedName name="_WS_Alu_Corn_cob__VCT_Gravy">'Wet Subjis'!$B$2</definedName>
    <definedName name="_WS_Usal_Maharastrian_modified">'Wet Subjis'!$B$1373</definedName>
    <definedName name="_BF_Upma_W_o_Veg">Breakfast!$B$489</definedName>
    <definedName name="_Ch_CC_KKD">Chutneys!$B$1</definedName>
    <definedName name="Milkmaid">#REF!</definedName>
    <definedName name="Dhaniya_Powder">#REF!</definedName>
    <definedName name="_Ek_Shenghdana_Aamti_Thin">Ekadashi!$A$577</definedName>
    <definedName name="_Sw_Rabdi">Sweets!$B$508</definedName>
    <definedName name="_Sw_Strawberry_Shrikhand">Sweets!$B$706</definedName>
    <definedName name="_Ki_Dwadashi_Kichiri">Khichadi!$A$1</definedName>
    <definedName name="Sabudana__Organic">#REF!</definedName>
    <definedName name="_Da_Kerala_Style_Dal_with_Mungdal">Dal!$B$100</definedName>
    <definedName name="_Sw_Coconut_Rava_Halva">Sweets!$B$146</definedName>
    <definedName name="_WS_Doodhi_sabji_pakoda">'Wet Subjis'!$B$1430</definedName>
    <definedName name="_Sw_Mung_Dal_Halva">Sweets!$B$450</definedName>
    <definedName name="_WS_Italian_Chole">'Wet Subjis'!$B$826</definedName>
    <definedName name="_BF_Susheela_Poshanjit_P">Breakfast!$B$468</definedName>
    <definedName name="_WS_Mungsprouts_Sabji">'Wet Subjis'!$B$256</definedName>
    <definedName name="_BF_Mix_Dal_Utappam_prithvi">Breakfast!$B$625</definedName>
    <definedName name="Dhaniya_Patta">#REF!</definedName>
    <definedName name="_BF_Venn_Pongal_Thick">Breakfast!$B$589</definedName>
    <definedName name="_DS_Alu_Gajar_Beans__Dry">'Subji, Dry'!$A$93</definedName>
    <definedName name="_Be_Saunf_Juice">Beverages!$B$282</definedName>
    <definedName name="_Ek_Varai_Butter_Halva">Ekadashi!$A$324</definedName>
    <definedName name="_Ma_Panch_Phoran">Masalas!$A$83</definedName>
    <definedName name="Macroni">#REF!</definedName>
    <definedName name="_Da_Chilka_Mung_dal_Satvik">Dal!$B$33</definedName>
    <definedName name="_BF_Macaroni">Breakfast!$B$145</definedName>
    <definedName name="_Sw_Mango_Rava_Halva">Sweets!$B$367</definedName>
    <definedName name="_BF_Upma_with_Veg">Breakfast!$B$516</definedName>
    <definedName name="White_Pepper_Powder">#REF!</definedName>
    <definedName name="_Sw_Daliya_Sweet_with_gud">Sweets!$B$260</definedName>
    <definedName name="Bengali_Garam_Masala">#REF!</definedName>
    <definedName name="Kewra_Essence">#REF!</definedName>
    <definedName name="_Sw_Angoori_Rasamalai">Sweets!$B$15</definedName>
    <definedName name="Papdi">#REF!</definedName>
    <definedName name="Pakka_Papaya">#REF!</definedName>
    <definedName name="Mango_Flavor">#REF!</definedName>
    <definedName name="Coconut_Oil">#REF!</definedName>
    <definedName name="_Ws_Doodhi_sabji">'Wet Subjis'!$B$681</definedName>
    <definedName name="Corn_Kernels">#REF!</definedName>
    <definedName name="Daliya__Medium">#REF!</definedName>
    <definedName name="Chocolate_Flavor">#REF!</definedName>
    <definedName name="_Da_Elissary">Dal!$B$80</definedName>
    <definedName name="_Ri_Tomato_Rice_with_pudina">Rice!$A$555</definedName>
    <definedName name="Chole">#REF!</definedName>
    <definedName name="_BF_Uttappa_w_o_veg">Breakfast!$B$547</definedName>
    <definedName name="_DS_ISKCON_Mix_Veg_Dry">'Subji, Dry'!$A$393</definedName>
    <definedName name="Shahjeera">#REF!</definedName>
    <definedName name="Curry_Leaves">#REF!</definedName>
    <definedName name="_DS_Bhendi_Fry_in_KM_Gravy">'Subji, Dry'!$A$314</definedName>
    <definedName name="_Ri_Vegetable_Rice">Rice!$A$887</definedName>
    <definedName name="_Sw_Rabdi_Economical_prithvi">Sweets!$B$800</definedName>
    <definedName name="Arbi">#REF!</definedName>
    <definedName name="Color__Tomato_Red_Color">#REF!</definedName>
    <definedName name="Rice_Basmati">#REF!</definedName>
    <definedName name="_DS_Alu_Capsicum__Dry">'Subji, Dry'!$A$22</definedName>
    <definedName name="Matki">#REF!</definedName>
    <definedName name="_Da_Dalma_New">Dal!$B$430</definedName>
    <definedName name="_Ri_Carrot_Capsicum_Corn_Rice_SGPP">Rice!$A$586</definedName>
    <definedName name="_Ek_Ekadashi_Idli">Ekadashi!$A$177</definedName>
    <definedName name="Chikoo">#REF!</definedName>
    <definedName name="_DW_avial">'Subji, Dry'!$G$238</definedName>
    <definedName name="_WS_Usal_Maharastrian">'Wet Subjis'!$B$1336</definedName>
    <definedName name="_DS_Baingan_Bharta">'Subji, Dry'!$A$273</definedName>
    <definedName name="_DS_Alu_Bhendi__Dry">#REF!</definedName>
    <definedName name="_Ri_Tamarind_Rice">Rice!$A$505</definedName>
    <definedName name="Palak">#REF!</definedName>
    <definedName name="_WS_Mogar_Ki_Sabji_sgpp">'Wet Subjis'!$B$242</definedName>
    <definedName name="Black_salt">#REF!</definedName>
    <definedName name="_BF_Uttappa_with_veg">Breakfast!$B$566</definedName>
    <definedName name="Poha_Thin">#REF!</definedName>
    <definedName name="Toor_Akkha">#REF!</definedName>
    <definedName name="_WS_Gobi_Matar_Paneer">'Wet Subjis'!$B$770</definedName>
    <definedName name="Lemon_Grass">#REF!</definedName>
    <definedName name="Daliya__Mota">#REF!</definedName>
    <definedName name="_Sw_Shakkar_Pongal">Sweets!$B$646</definedName>
    <definedName name="_WS_Alu_Matar_Phulgobh">'Wet Subjis'!$B$317</definedName>
    <definedName name="_Ri_Alu_Tomato_Rice_Prithvi">Rice!$A$695</definedName>
    <definedName name="Bhendi">#REF!</definedName>
    <definedName name="_Ek_Shaboodana_Kheer">Ekadashi!$A$306</definedName>
    <definedName name="_SS_Besan_Barfi_wo_Khava">'Sweets Sustainable'!$A$2</definedName>
    <definedName name="_WS_Doodhi_Mungdal">'Wet Subjis'!$B$655</definedName>
    <definedName name="_WS_Channa_sabji_HG_SGPP">'Wet Subjis'!$B$195</definedName>
    <definedName name="_Ri_Pulao_Rice">Rice!$A$456</definedName>
    <definedName name="Sunth_powder">#REF!</definedName>
    <definedName name="_BF_Poha_Ujjain_with_Veg">Breakfast!$B$309</definedName>
    <definedName name="Halkund">#REF!</definedName>
    <definedName name="_BF_Pesarettu__Green_Mung_Dosa">Breakfast!$B$220</definedName>
    <definedName name="Poha_MH">#REF!</definedName>
    <definedName name="_Ri_Biryani_RVCK">Rice!$A$1</definedName>
    <definedName name="_Ek_Alu_Bhopla_Gajar_Sabji">Ekadashi!$A$1</definedName>
    <definedName name="_Ri_Hydarabad_Biryani_Prithvi">Rice!$A$713</definedName>
    <definedName name="_Da_Rasam_with_RMM">Dal!$B$225</definedName>
    <definedName name="_BF_Poha_MH_with_Veg">Breakfast!$B$333</definedName>
    <definedName name="French_Beans">#REF!</definedName>
    <definedName name="_DS_Alu_Churchuri">'Subji, Dry'!$A$58</definedName>
    <definedName name="Baking_Powder">#REF!</definedName>
    <definedName name="_BF_Idli_with_Idli_Rava">Breakfast!$B$136</definedName>
    <definedName name="_DS_Jeera_Alu_with_Senghdana">'Subji, Dry'!$A$427</definedName>
    <definedName name="Dahi">#REF!</definedName>
    <definedName name="Rice_Brown">#REF!</definedName>
    <definedName name="_WS_Besan_Panner__DHD">'Wet Subjis'!$B$1399</definedName>
    <definedName name="_Ch_Imli_Chutney_For_Chaat">Chutneys!$B$53</definedName>
    <definedName name="_Ri_Til__Rice">Rice!$A$532</definedName>
    <definedName name="Rajgira">#REF!</definedName>
    <definedName name="_Be_Sweet_Rag">Beverages!$B$294</definedName>
    <definedName name="Hing">#REF!</definedName>
    <definedName name="_Sp_Bhopla_Carrot_Soup">Soups!$A$1</definedName>
    <definedName name="Custard_Powder">#REF!</definedName>
    <definedName name="Basil">#REF!</definedName>
    <definedName name="_Ek_Ekadashi_Curd_Kadhi">Ekadashi!$A$84</definedName>
    <definedName name="_Ek_Ekadashi_Kokam_Kadhi">Ekadashi!$A$103</definedName>
    <definedName name="_Ja_Papaya_Jam_with_ghee">Jam!$B$5</definedName>
    <definedName name="White_Pepper">#REF!</definedName>
    <definedName name="_Eco_Mungdal_Payasam_eco">'Economical Recipes'!$A$127</definedName>
    <definedName name="Rasam_Powder">#REF!</definedName>
    <definedName name="Kohla">#REF!</definedName>
    <definedName name="_Ki_Sunday_Khichadi">Khichadi!$A$54</definedName>
    <definedName name="_WS_Kofta">'Wet Subjis'!$B$913</definedName>
    <definedName name="_Sw_Sweet_Rice__Condensed_Kiharan">Sweets!$B$895</definedName>
    <definedName name="Celery_Leaves">#REF!</definedName>
    <definedName name="_Ri_Hyd_Biryani_Sun">Rice!$A$864</definedName>
    <definedName name="Chana_Dal">#REF!</definedName>
    <definedName name="_Ek_Shenghdana_Aamti_Thick">Ekadashi!$A$547</definedName>
    <definedName name="Pasta">#REF!</definedName>
    <definedName name="_Ri_Corn_Capsicum_Rice">Rice!$A$150</definedName>
    <definedName name="_Sw_FFL_Rava_Halva">Sweets!$B$770</definedName>
    <definedName name="Cream">#REF!</definedName>
    <definedName name="Sodium_Benzoate">#REF!</definedName>
    <definedName name="Citric_Acid">#REF!</definedName>
    <definedName name="_Ri_Kaju_Jeera_Rice">Rice!$A$267</definedName>
    <definedName name="Kaju_Halves">#REF!</definedName>
    <definedName name="Gavar">#REF!</definedName>
    <definedName name="_Fr_Chakra_Frymes">'Fried Items'!$B$56</definedName>
    <definedName name="_Eco_Coconut_Varai_Halva_Janmastami">'Economical Recipes'!$A$82</definedName>
    <definedName name="Magaj">#REF!</definedName>
    <definedName name="_ws_iskco">#REF!</definedName>
    <definedName name="_DS_Kaccha_kela__Green_Gravy">'Subji, Dry'!$A$569</definedName>
    <definedName name="Charoli">#REF!</definedName>
    <definedName name="Parsley_Leaves">#REF!</definedName>
    <definedName name="Garam_Masala__Everest">#REF!</definedName>
    <definedName name="Doodhi">#REF!</definedName>
    <definedName name="Color__Kesari">#REF!</definedName>
    <definedName name="Carrot">#REF!</definedName>
    <definedName name="Star_Phool">#REF!</definedName>
    <definedName name="_Be_Chhaachh">Beverages!$B$43</definedName>
    <definedName name="_Ri_Lemon_Rice">Rice!$A$326</definedName>
    <definedName name="Paneer">#REF!</definedName>
    <definedName name="Kewra_Water">#REF!</definedName>
    <definedName name="_Ch_CTC2_Thin">Chutneys!$B$27</definedName>
    <definedName name="_WS_Alu_Padval_in_VCT_gravy">'Wet Subjis'!$B$371</definedName>
    <definedName name="_Da_Tomato_Charu">Dal!$B$392</definedName>
    <definedName name="Chakka">#REF!</definedName>
    <definedName name="_WS_Dodka_Wet">'Wet Subjis'!$B$606</definedName>
    <definedName name="Rajgira_Atta">#REF!</definedName>
    <definedName name="Coconut_Powder__dessicated">#REF!</definedName>
    <definedName name="_Ch_Tomato_Sauce_TD">Chutneys!$B$78</definedName>
    <definedName name="Vanaspati_Dana">#REF!</definedName>
    <definedName name="Goda_Masala">#REF!</definedName>
    <definedName name="_Ja_Mango_Pickle_1_Prthvi_P">Jam!$B$36</definedName>
    <definedName name="_WS_RGM_Rajma">'Wet Subjis'!$B$1281</definedName>
    <definedName name="_Ro_Carrot_Parathas">Roti!$A$81</definedName>
    <definedName name="Imli">#REF!</definedName>
    <definedName name="Tomato">#REF!</definedName>
    <definedName name="Suran">#REF!</definedName>
    <definedName name="Rosemary__Dry">#REF!</definedName>
    <definedName name="_Da_Mung_Dal_Makhani">Dal!$B$124</definedName>
    <definedName name="_BF_Tomato_bath_with_Rava">Breakfast!$B$640</definedName>
    <definedName name="_BF_Sevai_Maggi_Style">Breakfast!$B$433</definedName>
    <definedName name="Padval">#REF!</definedName>
    <definedName name="_SS_Til_Laddu">'Sweets Sustainable'!$A$120</definedName>
    <definedName name="Kashmiri_mirchi_Powder">#REF!</definedName>
    <definedName name="_DS_Mix_Veg_Dry_Prithvi">'Subji, Dry'!$A$535</definedName>
    <definedName name="_Ek_Ekadashi_Mix_Veg_with_milk_cream">Ekadashi!$A$122</definedName>
    <definedName name="Green_Chilli">#REF!</definedName>
    <definedName name="_Da_Chana_Dal_Aamti">Dal!$B$4</definedName>
    <definedName name="_Ma_Goda_masala">Masalas!$A$28</definedName>
    <definedName name="_WS_Lauki_Kofta">'Wet Subjis'!$B$875</definedName>
    <definedName name="Cardamom_Essence">#REF!</definedName>
    <definedName name="Mix_Fruit_Flavor">#REF!</definedName>
    <definedName name="_DS_Akkha_Mung_Sabji_dry">'Subji, Dry'!$A$663</definedName>
    <definedName name="_Ek_Varai_Halva_For_Janmastami">Ekadashi!$A$367</definedName>
    <definedName name="_SS_Khaja">'Sweets Sustainable'!$A$59</definedName>
    <definedName name="Rava_Barik">#REF!</definedName>
    <definedName name="Amla">#REF!</definedName>
    <definedName name="_BF_Swadeshi_Pasta_Hg.AJCP">Breakfast!$B$667</definedName>
    <definedName name="_Ek_Varai_Khichadi">Ekadashi!$A$400</definedName>
    <definedName name="Dodka">#REF!</definedName>
    <definedName name="Drumsticks">#REF!</definedName>
    <definedName name="_WS_Italian_Chole_Thin">'Wet Subjis'!$B$850</definedName>
    <definedName name="_bf_ut">Ekadashi!$A$84:$D$97</definedName>
    <definedName name="_Ek_Milk_Fruit_Salad_Ekadasi_Prthvi_p">Ekadashi!$A$498</definedName>
    <definedName name="_Ri_Tomato_Rice_SGPP">Rice!$A$742</definedName>
    <definedName name="_Sw_Sweet_Rice">Sweets!$B$726</definedName>
    <definedName name="_WS_Matar_Paneer____S">'Wet Subjis'!$B$965</definedName>
    <definedName name="_Eco_Shakkar_Pongal__eco">'Economical Recipes'!$A$1</definedName>
    <definedName name="Butter__Amul">#REF!</definedName>
    <definedName name="Baby_Corn">#REF!</definedName>
    <definedName name="_Da_Mung_Dal_Makhani_eco">Dal!$B$162</definedName>
    <definedName name="Sabudana_Nylon">#REF!</definedName>
    <definedName name="Udad_Dal">#REF!</definedName>
    <definedName name="_Ka_Kakdi_Raita">Kadhi!$A$59</definedName>
    <definedName name="Mozarella_cheese">#REF!</definedName>
    <definedName name="_Sp_Bhopla_Soup">Soups!$A$21</definedName>
    <definedName name="Kalonji">#REF!</definedName>
    <definedName name="Akkha_Urad">#REF!</definedName>
    <definedName name="Sevai">#REF!</definedName>
    <definedName name="Color__Apple_Green">#REF!</definedName>
    <definedName name="Sepu">#REF!</definedName>
    <definedName name="_Eco_FFL_Rava_Halva">'Economical Recipes'!$A$21</definedName>
    <definedName name="Black_Pepper">#REF!</definedName>
    <definedName name="_Be_Mango_Juice_Thin">Beverages!$B$221</definedName>
    <definedName name="_DS_Tondali_Churchuri">'Subji, Dry'!$A$502</definedName>
    <definedName name="_SS_Kadi_Shakkar_Shengdhana">'Sweets Sustainable'!$A$51</definedName>
    <definedName name="_Ri_Masala_Rice_wo_veg">Rice!$A$393</definedName>
    <definedName name="_WS_Principal_s_Program_Subji">'Wet Subjis'!$B$1259</definedName>
    <definedName name="_Be_Musk_Melon_juice">Beverages!$B$257</definedName>
    <definedName name="Cabbage">#REF!</definedName>
    <definedName name="_Eco_Daliya_Sweet_with_gud_eco">'Economical Recipes'!$A$42</definedName>
    <definedName name="Hydarabad_Biryani_Sunday">Rice!$A$864</definedName>
    <definedName name="Chilka_Urad_Dal">#REF!</definedName>
    <definedName name="_WS_Chole_New">'Wet Subjis'!$B$519</definedName>
    <definedName name="_Fr_Murmura_Simple">'Fried Items'!$B$96</definedName>
    <definedName name="Red_Cabbage">#REF!</definedName>
    <definedName name="_BF_Poha_MH_with_AM">Breakfast!$B$287</definedName>
    <definedName name="Apple">#REF!</definedName>
    <definedName name="Milk">#REF!</definedName>
    <definedName name="_BF_Dal_Dhokli">Breakfast!$B$1</definedName>
    <definedName name="Lemon_Juice">#REF!</definedName>
    <definedName name="_Ri_Mothi_Pulao">Rice!$A$678</definedName>
    <definedName name="_Be_Ginger_Tea">Beverages!$B$73</definedName>
    <definedName name="Wet_Coconut">#REF!</definedName>
    <definedName name="Amchur_Powder">#REF!</definedName>
    <definedName name="Mango_Essence">#REF!</definedName>
    <definedName name="Saunf_Badi">#REF!</definedName>
    <definedName name="_WS_Mix_Veg_in_Special_Gravy">'Wet Subjis'!$B$1072</definedName>
    <definedName name="_Ma_Sambhar_Masala">Masalas!$A$58</definedName>
    <definedName name="Rice">#REF!</definedName>
    <definedName name="_BE_Strawberry_Juice">Beverages!$B$341</definedName>
    <definedName name="Pudina">#REF!</definedName>
    <definedName name="Chuna__Slaked_Lime">#REF!</definedName>
    <definedName name="Akkha_Mung">#REF!</definedName>
    <definedName name="_SS_Gulab_Jamun__with_Rava">'Sweets Sustainable'!$A$33</definedName>
    <definedName name="_DS_Cabbage_Capsicum_Alu">'Subji, Dry'!$A$335</definedName>
    <definedName name="Sabudana">#REF!</definedName>
    <definedName name="_BF_Upma_Dry_SI_Style">Breakfast!$B$695</definedName>
    <definedName name="_Be_Karbanada_Juice">Beverages!$B$128</definedName>
    <definedName name="_Ma_Garam_Masala">Masalas!$A$1</definedName>
    <definedName name="_Be_Lemon">Soups!$P$103:$S$118</definedName>
    <definedName name="_Sw_Meetha_Chawal">Sweets!$B$414</definedName>
    <definedName name="Dried_Rose_Petals">#REF!</definedName>
    <definedName name="_Sw_Daliya_Kheer">Sweets!$B$227</definedName>
    <definedName name="_BF_Hare_Krishna_Bhel__Dry">Breakfast!$B$63</definedName>
    <definedName name="Black_Elaichi">#REF!</definedName>
    <definedName name="_Be_Lemon_Juice">Beverages!$B$194</definedName>
    <definedName name="Green_Peas">#REF!</definedName>
    <definedName name="_Fr_Corn_Flakes">'Fried Items'!$B$73</definedName>
    <definedName name="_WS_Bhendi_with_Gr_Kaju">'Wet Subjis'!$B$472</definedName>
    <definedName name="Phutana_dal">#REF!</definedName>
    <definedName name="Frymes">#REF!</definedName>
    <definedName name="Arbi_Patta">#REF!</definedName>
    <definedName name="Milk_powder">#REF!</definedName>
    <definedName name="_Sw_Sevai_Kheer__Condensed">Sweets!$B$611</definedName>
    <definedName name="Sugar">#REF!</definedName>
    <definedName name="_DS_Beans_Poriyal">'Subji, Dry'!$A$296</definedName>
    <definedName name="Maida">#REF!</definedName>
    <definedName name="Mix_fruit_essence">#REF!</definedName>
    <definedName name="_WS_Panir_Makhanwala">'Wet Subjis'!$B$1190</definedName>
    <definedName name="_Sw_Doodh_Chida_Mango_Pulp">Sweets!$B$204</definedName>
    <definedName name="Corn_Akkha">#REF!</definedName>
    <definedName name="_Be_Jaljeera">Beverages!$B$113</definedName>
    <definedName name="Papad__Lijjat">#REF!</definedName>
    <definedName name="Tondli">#REF!</definedName>
    <definedName name="_Da_Chil">'Wet Subjis'!$B:$B</definedName>
    <definedName name="_Ri_Kaccha_Aam_Rice">Rice!$A$240</definedName>
    <definedName name="_Da_Mung">'Recipe Index'!$AH$43</definedName>
    <definedName name="_Be_Rajgira_Malt">Beverages!$B$268</definedName>
    <definedName name="_Sw_Sevai_Kheer">Sweets!$B$572</definedName>
    <definedName name="_DS_Bhopla_Dry_prithvi">'Subji, Dry'!$A$519</definedName>
    <definedName name="_Ka_Kadhi__Pakoda">Kadhi!$A$23</definedName>
    <definedName name="Mirchi_powder">#REF!</definedName>
    <definedName name="_Sw_Dry_Fruit_Custard">Sweets!$B$286</definedName>
    <definedName name="Phanas">#REF!</definedName>
    <definedName name="_Ki_Health_Khichadi">Khichadi!$A$33</definedName>
    <definedName name="Kaju_Tukda">#REF!</definedName>
    <definedName name="Gud">#REF!</definedName>
    <definedName name="_Ri_Carrot_Palak__Rice">Rice!$A$75</definedName>
    <definedName name="Caramel">#REF!</definedName>
    <definedName name="_WS_Barti_Karela">'Wet Subjis'!$B$160</definedName>
    <definedName name="Ajwain">#REF!</definedName>
    <definedName name="Khajur__deseeded">#REF!</definedName>
    <definedName name="_BF_Masala_Plain_Dosa">Breakfast!$B$175</definedName>
    <definedName name="_Sw_Dahi_Chida">Sweets!$B$184</definedName>
    <definedName name="Saunf_Small">#REF!</definedName>
    <definedName name="_Sw_Atta_Halva">Sweets!$B$943</definedName>
    <definedName name="Color__Orange_Red">#REF!</definedName>
    <definedName name="_SS_Bundi__2">'Sweets Sustainable'!$A$14</definedName>
    <definedName name="Capsicum">#REF!</definedName>
    <definedName name="_Sw_Beetroot_Halva_KAP">Sweets!$B$51</definedName>
    <definedName name="_WS_ISKCON_Mix_Veg__Wet">'Wet Subjis'!$B$792</definedName>
    <definedName name="Alu_Chips">#REF!</definedName>
    <definedName name="Druva_Grass">#REF!</definedName>
    <definedName name="_Sw_Sweet_Rice_Kiharan">Sweets!$B$875</definedName>
    <definedName name="_Sw_Boondi_Kheer">Sweets!$B$79</definedName>
    <definedName name="Badam">#REF!</definedName>
    <definedName name="_DS_arbi">Beverages!$B$128</definedName>
    <definedName name="Pineapple">#REF!</definedName>
    <definedName name="Jaljeera_Powder">#REF!</definedName>
    <definedName name="_Da_Toor_Dal__Regular">Dal!$B$337</definedName>
    <definedName name="_Sw_Chocolate_Rava_Halva">Sweets!$B$129</definedName>
    <definedName name="_DS_sepu_sabji_HG_MMP">'Subji, Dry'!$A$555</definedName>
    <definedName name="Rai_Dal">#REF!</definedName>
    <definedName name="_Be_Herbal_Tea">Beverages!$B$100</definedName>
    <definedName name="_DS_Dosa_Bhaji___Dry">'Subji, Dry'!$A$372</definedName>
    <definedName name="_BF_Poha_quick">Breakfast!$B$357</definedName>
    <definedName name="_Sw_Shrikhand">Sweets!$B$681</definedName>
    <definedName name="Sugar_Powder">#REF!</definedName>
    <definedName name="_Ek_Dry_Fruit_Custard_Ekadashi">Ekadashi!$A$62</definedName>
    <definedName name="Almond_Flavor">#REF!</definedName>
    <definedName name="Bhopla">#REF!</definedName>
    <definedName name="_Sw_Rose_Phirni">Sweets!$B$551</definedName>
    <definedName name="_WS_Chole_Paneer__HG_RRP_modified">'Wet Subjis'!$B$557</definedName>
    <definedName name="Besan">#REF!</definedName>
    <definedName name="Misal_Masala">#REF!</definedName>
    <definedName name="White_Til">#REF!</definedName>
    <definedName name="_bf_">'Wet Subjis'!$H$1607</definedName>
    <definedName name="Basil_Leaves">#REF!</definedName>
    <definedName name="_Ws_Mahura__Jagannath_Puri_Mixed_Veg_Sabji">'Wet Subjis'!$B$1465</definedName>
    <definedName name="Khas_Khas">#REF!</definedName>
    <definedName name="_Ka_Curd_Kadhi">Kadhi!$A$1</definedName>
    <definedName name="Kacha_Kela">#REF!</definedName>
    <definedName name="Pista">#REF!</definedName>
    <definedName name="_Fr_Dhokla">'Fried Items'!$B$164</definedName>
    <definedName name="_Da_Sambar_with_RMM">Dal!$B$287</definedName>
    <definedName name="_Ek_Varai_Khichadi_2">Ekadashi!$A$419</definedName>
    <definedName name="Akkha_Dhaniya">#REF!</definedName>
    <definedName name="Camphor__Eating">#REF!</definedName>
    <definedName name="_Ri_Dry_Fruit_Rice_2">Rice!$A$207</definedName>
    <definedName name="_Sw_Gajar_Halva">Sweets!$B$319</definedName>
    <definedName name="Kharik">#REF!</definedName>
    <definedName name="Chat_Masala">#REF!</definedName>
    <definedName name="Rose_Water">#REF!</definedName>
    <definedName name="Rajma">#REF!</definedName>
    <definedName name="_Fr_Mewa_Dal_Moth">'Fried Items'!$B$240</definedName>
    <definedName name="Butterscotch_kernels">#REF!</definedName>
    <definedName name="Gulkand">#REF!</definedName>
    <definedName name="Dagdi_Poha">#REF!</definedName>
    <definedName name="_Ma_BGM">Masalas!$A$18</definedName>
    <definedName name="_Ek_Varai_uttappam">Ekadashi!$A$462</definedName>
    <definedName name="_SS_Shakkarpaali">'Sweets Sustainable'!$A$90</definedName>
    <definedName name="_WS_Pachadi">'Wet Subjis'!$B$1158</definedName>
    <definedName name="_Ri_Masala_Rice_with_AB">Rice!$A$418</definedName>
    <definedName hidden="1" localSheetId="19" name="_xlnm._FilterDatabase">'FHC Sabjis'!$B$12:$E$34</definedName>
    <definedName hidden="1" name="Google_Sheet_Link_1004993916">_Ek_Ekadashi_Sambar</definedName>
    <definedName hidden="1" name="Google_Sheet_Link_1006332665">_WS_Capsicum_salan__RAP</definedName>
    <definedName hidden="1" name="Google_Sheet_Link_1006496595">_WS_Mixed_Veg_In_Kadhi_Sauce</definedName>
    <definedName hidden="1" name="Google_Sheet_Link_1012130459">_Fr_Corn_Flakes</definedName>
    <definedName hidden="1" name="Google_Sheet_Link_1019753146">_WS_Doodhi_Mungdal</definedName>
    <definedName hidden="1" name="Google_Sheet_Link_1019759058">_WS_Mix_Veg_in_CG_Gravy</definedName>
    <definedName hidden="1" name="Google_Sheet_Link_1025534901">_Ro_Alu_Paratha_direct_in_dough</definedName>
    <definedName hidden="1" name="Google_Sheet_Link_1031289360">_Da_Sambar_Skkd</definedName>
    <definedName hidden="1" name="Google_Sheet_Link_1041611665">_Ek_Shenghdana_Aamti_Thick</definedName>
    <definedName hidden="1" name="Google_Sheet_Link_1045266211">_DS_Mix_Veg_Dry_Prithvi</definedName>
    <definedName hidden="1" name="Google_Sheet_Link_1064111268">_Fr_Dhokla</definedName>
    <definedName hidden="1" name="Google_Sheet_Link_107056892">_WS_Suran_bopla</definedName>
    <definedName hidden="1" name="Google_Sheet_Link_1077699516">_Da_Chana_Dal_Aamti</definedName>
    <definedName hidden="1" name="Google_Sheet_Link_1084638762">_Ri_Carrot_Palak__Rice</definedName>
    <definedName hidden="1" name="Google_Sheet_Link_1084721549">_SS_Gulab_Jamun__with_Rava</definedName>
    <definedName hidden="1" name="Google_Sheet_Link_1095004731">_Ek_Ekadashi_Curd_Kadhi</definedName>
    <definedName hidden="1" name="Google_Sheet_Link_111168225">_Da_Rasam_with_RMM</definedName>
    <definedName hidden="1" name="Google_Sheet_Link_1122319592">_Sw_Shrikhand</definedName>
    <definedName hidden="1" name="Google_Sheet_Link_1122393640">_Sp_Sweet_Corn_Soup</definedName>
    <definedName hidden="1" name="Google_Sheet_Link_1126748782">_WS_Pav_Bhaji_Sabji_2</definedName>
    <definedName hidden="1" name="Google_Sheet_Link_1133702997">_Sw_Amrakhand_2</definedName>
    <definedName hidden="1" name="Google_Sheet_Link_1136706789">_DS_Bhopla_Dry_prithvi</definedName>
    <definedName hidden="1" name="Google_Sheet_Link_1140696771">_Ch_Coconut_Chutney_Prithvi</definedName>
    <definedName hidden="1" name="Google_Sheet_Link_1147525348">_WS_Pachadi</definedName>
    <definedName hidden="1" name="Google_Sheet_Link_1149643528">_Ka_Boondi_Raita</definedName>
    <definedName hidden="1" name="Google_Sheet_Link_1166831419">_Sw_Atta_Halva</definedName>
    <definedName hidden="1" name="Google_Sheet_Link_1171463214">_Ek_Jeera_Alu_with_Senghdana</definedName>
    <definedName hidden="1" name="Google_Sheet_Link_1178719628">_Da_Mung_Dal__Regular</definedName>
    <definedName hidden="1" name="Google_Sheet_Link_1180562618">_BF_Daliya_Upma</definedName>
    <definedName hidden="1" name="Google_Sheet_Link_1182823346">_Ek_Varai_Halva_For_Janmastami</definedName>
    <definedName hidden="1" name="Google_Sheet_Link_1183183069">_Ek_Varai_Halva_FFL</definedName>
    <definedName hidden="1" name="Google_Sheet_Link_118830873">_WS_Alu_Matar_Corn</definedName>
    <definedName hidden="1" name="Google_Sheet_Link_1190613773">_WS_Kofta</definedName>
    <definedName hidden="1" name="Google_Sheet_Link_120179286">_Sp_Bhopla_Carrot_Soup</definedName>
    <definedName hidden="1" name="Google_Sheet_Link_1217526196">_Da_Chilka_Mung_dal_Satvik</definedName>
    <definedName hidden="1" name="Google_Sheet_Link_1226456003">_Sw_Gulab_Jamun_Prithvi</definedName>
    <definedName hidden="1" name="Google_Sheet_Link_1229797900">_WS_RGM_Rajma</definedName>
    <definedName hidden="1" name="Google_Sheet_Link_123903698">_Ch_CC_KKD</definedName>
    <definedName hidden="1" name="Google_Sheet_Link_1241337384">_Ri_Achaari_Chole_Rice_Prithvi</definedName>
    <definedName hidden="1" name="Google_Sheet_Link_1246121560">_Ro_Alu_waali_Roti_2</definedName>
    <definedName hidden="1" name="Google_Sheet_Link_1253886077">_Sw_Sweet_Rice__Condensed</definedName>
    <definedName hidden="1" name="Google_Sheet_Link_1270995566">_BF_Macaroni</definedName>
    <definedName hidden="1" name="Google_Sheet_Link_1273131812">_Ek_Varai_uttappam</definedName>
    <definedName hidden="1" name="Google_Sheet_Link_1295254189">_BF_Pesarettu__Green_Mung_Dosa</definedName>
    <definedName hidden="1" name="Google_Sheet_Link_1295963151">_BF_Sevai_Maggi_Style</definedName>
    <definedName hidden="1" name="Google_Sheet_Link_1308285187">_Sw_Mung_Dal_Halva_Prithvi</definedName>
    <definedName hidden="1" name="Google_Sheet_Link_1316915142">_Sw_Sevai_Kheer__Condensed</definedName>
    <definedName hidden="1" name="Google_Sheet_Link_1322078332">_Sw_Butter_Halva</definedName>
    <definedName hidden="1" name="Google_Sheet_Link_1324284842">_Be_Amlana</definedName>
    <definedName hidden="1" name="Google_Sheet_Link_1335445413">_Sw_Boondi_Kheer</definedName>
    <definedName hidden="1" name="Google_Sheet_Link_1345815032">_Ch_Tomato_Chuntey_sgpd</definedName>
    <definedName hidden="1" name="Google_Sheet_Link_1347837436">_Ek_Milk_Fruit_Salad_Ekadasi_Prthvi_p</definedName>
    <definedName hidden="1" name="Google_Sheet_Link_1350955157">_Da_Mung_Dal_Varan</definedName>
    <definedName hidden="1" name="Google_Sheet_Link_1358531002">_WS_Doodhi_Chana_Dal</definedName>
    <definedName hidden="1" name="Google_Sheet_Link_1361392373">_Da_Dalma_New</definedName>
    <definedName hidden="1" name="Google_Sheet_Link_1361901515">_Ri_Kaju_Jeera_Rice</definedName>
    <definedName hidden="1" name="Google_Sheet_Link_1389430461">_BF_Poha_MH_with_AM</definedName>
    <definedName hidden="1" name="Google_Sheet_Link_139467398">_BF_Poha_Ujjain_with_Veg</definedName>
    <definedName hidden="1" name="Google_Sheet_Link_139553252">_DS_Alu_Papdi_Dry</definedName>
    <definedName hidden="1" name="Google_Sheet_Link_1397261399">_Ek_Sabudana_Khichadi</definedName>
    <definedName hidden="1" name="Google_Sheet_Link_139793124">_BF_Poha_Bhel</definedName>
    <definedName hidden="1" name="Google_Sheet_Link_1407938607">_WS_Chole_New</definedName>
    <definedName hidden="1" name="Google_Sheet_Link_1412001856">_Ri_Corn_Capsicum_Rice</definedName>
    <definedName hidden="1" name="Google_Sheet_Link_143564595">_Fr_Murmura_special</definedName>
    <definedName hidden="1" name="Google_Sheet_Link_1437309024">_Ek_Varai_Carrot_Pulao</definedName>
    <definedName hidden="1" name="Google_Sheet_Link_1444291921">_Ri_RVC_Special_Rice_Prithvi</definedName>
    <definedName hidden="1" name="Google_Sheet_Link_1446403830">_Ek_Alu_Bhopla_Gajar_Sabji</definedName>
    <definedName hidden="1" name="Google_Sheet_Link_1450741537">_Ri_Carrot_Peas_Rice</definedName>
    <definedName hidden="1" name="Google_Sheet_Link_1451001613">_Sw_Beetroot_Halva_KAP</definedName>
    <definedName hidden="1" name="Google_Sheet_Link_1457131900">_Sw_Angoori_Rasamalai</definedName>
    <definedName hidden="1" name="Google_Sheet_Link_1463359175">_WS_Lauki_Kofta</definedName>
    <definedName hidden="1" name="Google_Sheet_Link_147222275">_WS_Pav_Bhaji_Sabji_Hg.AGP</definedName>
    <definedName hidden="1" name="Google_Sheet_Link_1475770433">_Ri_Til__Rice</definedName>
    <definedName hidden="1" name="Google_Sheet_Link_14773596">_Sw_Rabdi_Economical_prithvi</definedName>
    <definedName hidden="1" name="Google_Sheet_Link_1479376650">_Da_Sambar_with_RMM</definedName>
    <definedName hidden="1" name="Google_Sheet_Link_1480451772">_Ri_Dry_Fruit_Rice_2</definedName>
    <definedName hidden="1" name="Google_Sheet_Link_1484334528">_BF_Swadeshi_Pasta_Hg.AJCP</definedName>
    <definedName hidden="1" name="Google_Sheet_Link_1487204617">_Fr_Farsan_Govinda_s</definedName>
    <definedName hidden="1" name="Google_Sheet_Link_1489313368">_WS_Misal</definedName>
    <definedName hidden="1" name="Google_Sheet_Link_1511709334">_Ri_Carrot_Capsicum_Corn_Rice_SGPP</definedName>
    <definedName hidden="1" name="Google_Sheet_Link_1522457925">_WS_Mix_Veg_in_Special_Gravy</definedName>
    <definedName hidden="1" name="Google_Sheet_Link_1523101192">_BF_Venn_Pongal_Thick</definedName>
    <definedName hidden="1" name="Google_Sheet_Link_1524992414">_WS_Alu_Padval_in_VCT_gravy</definedName>
    <definedName hidden="1" name="Google_Sheet_Link_1537662501">_Ri_carrot_peas_corn_kismis_rice</definedName>
    <definedName hidden="1" name="Google_Sheet_Link_1539907820">_DS_Alu_Dry_with_Tomato__S._I._Style</definedName>
    <definedName hidden="1" name="Google_Sheet_Link_1540232635">_Be_Herbal_Tea</definedName>
    <definedName hidden="1" name="Google_Sheet_Link_1540749566">_WS_Methi_Malai_Matar_2</definedName>
    <definedName hidden="1" name="Google_Sheet_Link_1544421530">_Ri_Masala_Rice_wo_veg</definedName>
    <definedName hidden="1" name="Google_Sheet_Link_1544665648">_BF_Susheela_Poshanjit_P</definedName>
    <definedName hidden="1" name="Google_Sheet_Link_155258195">_Eco_Meetha_Chawal_eco</definedName>
    <definedName hidden="1" name="Google_Sheet_Link_1561978625">_WS_Panir_Makhanwala</definedName>
    <definedName hidden="1" name="Google_Sheet_Link_1562575327">_Sw_Daliya_Sweet_with_gud</definedName>
    <definedName hidden="1" name="Google_Sheet_Link_1579840759">_Ri_Alu_Tomato_Rice_Prithvi</definedName>
    <definedName hidden="1" name="Google_Sheet_Link_1584619072">_SS_Khaja</definedName>
    <definedName hidden="1" name="Google_Sheet_Link_1590839166">_DS_Alu_Karela_S</definedName>
    <definedName hidden="1" name="Google_Sheet_Link_1609198337">_WS_Dahi_Bhendi</definedName>
    <definedName hidden="1" name="Google_Sheet_Link_161094638">_Ri_Plain_Rice</definedName>
    <definedName hidden="1" name="Google_Sheet_Link_1618580319">_Da_Sambar_NvccK</definedName>
    <definedName hidden="1" name="Google_Sheet_Link_163171601">_Eco_Daliya_Sweet_with_gud_eco</definedName>
    <definedName hidden="1" name="Google_Sheet_Link_1632007529">_BF_Idli_with_Idli_Rava</definedName>
    <definedName hidden="1" name="Google_Sheet_Link_1633042546">_Be_Chhaachh</definedName>
    <definedName hidden="1" name="Google_Sheet_Link_1633252673">_Sw_Coconut_Rava_Halva</definedName>
    <definedName hidden="1" name="Google_Sheet_Link_1634990810">_Ma_Melkote_Rasam_Masala</definedName>
    <definedName hidden="1" name="Google_Sheet_Link_1635817509">_DS_Dosa_Bhaji___Dry</definedName>
    <definedName hidden="1" name="Google_Sheet_Link_1637815383">_Be_Pudina_Lemon_Juice</definedName>
    <definedName hidden="1" name="Google_Sheet_Link_1638905131">_Ek_Coconut_Varai_Halva</definedName>
    <definedName hidden="1" name="Google_Sheet_Link_164217958">_Ek_Shenghdana_Aamti_Thin</definedName>
    <definedName hidden="1" name="Google_Sheet_Link_1644592379">_Be_Karbanada_Juice</definedName>
    <definedName hidden="1" name="Google_Sheet_Link_1648147766">_BF_Poha_Ujjain_with_AM</definedName>
    <definedName hidden="1" name="Google_Sheet_Link_1648338594">_Be_keri_panna</definedName>
    <definedName hidden="1" name="Google_Sheet_Link_1651696319">_DS_Alu_Churchuri</definedName>
    <definedName hidden="1" name="Google_Sheet_Link_1654254978">_Ek_Ekadashi_Alu_Churchuri</definedName>
    <definedName hidden="1" name="Google_Sheet_Link_1662452477">_Ja_Chunda</definedName>
    <definedName hidden="1" name="Google_Sheet_Link_166671137">_BF_Upma_Dry_SI_Style</definedName>
    <definedName hidden="1" name="Google_Sheet_Link_1666871486">_DS_Alu_Posto</definedName>
    <definedName hidden="1" name="Google_Sheet_Link_1667232863">_Ri_Mothi_Pulao</definedName>
    <definedName hidden="1" name="Google_Sheet_Link_1680072712">_DS_Baingan_Bharta</definedName>
    <definedName hidden="1" name="Google_Sheet_Link_1692609633">_Ek_Varai_Khichadi</definedName>
    <definedName hidden="1" name="Google_Sheet_Link_1694914331">_Ri_Yellow_Rice_Direct_Chaunk</definedName>
    <definedName hidden="1" name="Google_Sheet_Link_1699113322">_DS_Alu_Chokha</definedName>
    <definedName hidden="1" name="Google_Sheet_Link_1702482203">_Ri_Tomato_Rice_with_pudina</definedName>
    <definedName hidden="1" name="Google_Sheet_Link_1704796126">_Ma_Garam_Masala</definedName>
    <definedName hidden="1" name="Google_Sheet_Link_170645384">_Sw_Chana_Kheer_Prithvi</definedName>
    <definedName hidden="1" name="Google_Sheet_Link_1711261347">_WS_Mogar_Ki_Sabji_sgpp</definedName>
    <definedName hidden="1" name="Google_Sheet_Link_1713431275">_WS_ISKCON_Mix_Veg__Wet</definedName>
    <definedName hidden="1" name="Google_Sheet_Link_1714566695">_Sw_Shakkar_Pongal</definedName>
    <definedName hidden="1" name="Google_Sheet_Link_1720451903">_DS_Kaccha_kela__Green_Gravy</definedName>
    <definedName hidden="1" name="Google_Sheet_Link_1728957832">_Ro_Atta_Besan_Masala_Chapat</definedName>
    <definedName hidden="1" name="Google_Sheet_Link_1731435860">_DS_Alu_Padval__Dry</definedName>
    <definedName hidden="1" name="Google_Sheet_Link_1732505879">_BF_Tomato_bath_with_Rava</definedName>
    <definedName hidden="1" name="Google_Sheet_Link_1741319828">_DS_Arbi_Dry</definedName>
    <definedName hidden="1" name="Google_Sheet_Link_1742499586">_Ch_CGC__IDLI</definedName>
    <definedName hidden="1" name="Google_Sheet_Link_1757255694">_Fr_Cabbage_Pakoda</definedName>
    <definedName hidden="1" name="Google_Sheet_Link_1772519021">_WS_Mix_Veg_Pahadi_Prithvi</definedName>
    <definedName hidden="1" name="Google_Sheet_Link_179441976">_Ek_Rajgira_Halva</definedName>
    <definedName hidden="1" name="Google_Sheet_Link_1797149591">_Ek_Milk_Fruit_Salad_Ekadasi_KKP</definedName>
    <definedName hidden="1" name="Google_Sheet_Link_1798745967">_Da_Mung_Dal_Makhani</definedName>
    <definedName hidden="1" name="Google_Sheet_Link_1815681245">_Sp_Manchow_soup__Simple</definedName>
    <definedName hidden="1" name="Google_Sheet_Link_1828684395">_Da_Mung_Dal_Makhani_eco</definedName>
    <definedName hidden="1" name="Google_Sheet_Link_1848104190">_Ek_Ekadashi_Idli</definedName>
    <definedName hidden="1" name="Google_Sheet_Link_1855653707">_Fr_Murmura_Simple</definedName>
    <definedName hidden="1" name="Google_Sheet_Link_1856571039">_SS_Besan_Barfi_wo_Khava</definedName>
    <definedName hidden="1" name="Google_Sheet_Link_1858412390">_Ma_Sambhar_Masala</definedName>
    <definedName hidden="1" name="Google_Sheet_Link_1862133620">_WS_Dosa_Bhaji_Wet</definedName>
    <definedName hidden="1" name="Google_Sheet_Link_1865852505">_Ri_Coconut_Rice</definedName>
    <definedName hidden="1" name="Google_Sheet_Link_1870333956">_Sw_Mango_Sevai</definedName>
    <definedName hidden="1" name="Google_Sheet_Link_1878099291">_WS_Chole_Masala_Sabji</definedName>
    <definedName hidden="1" name="Google_Sheet_Link_1879312691">_WS_Chole_Paneer__HG_RRP_modified</definedName>
    <definedName hidden="1" name="Google_Sheet_Link_1880342629">_Ri_Kaccha_Aam_Rice</definedName>
    <definedName hidden="1" name="Google_Sheet_Link_1895543201">_BF_Hare_Krishna_Bhel__Dry</definedName>
    <definedName hidden="1" name="Google_Sheet_Link_1901935298">_Be_Dhaniya_Coffee</definedName>
    <definedName hidden="1" name="Google_Sheet_Link_1903128903">_Eco_Shakkar_Pongal__eco</definedName>
    <definedName hidden="1" name="Google_Sheet_Link_1908096334">_WS_Gobi_Matar_Paneer</definedName>
    <definedName hidden="1" name="Google_Sheet_Link_1919563601">_Sw_Sevai_Kheer</definedName>
    <definedName hidden="1" name="Google_Sheet_Link_1922441334">_Fr_Mewa_Dal_Moth</definedName>
    <definedName hidden="1" name="Google_Sheet_Link_1924213470">_Ri_Hydarabad_Biryani_Prithvi</definedName>
    <definedName hidden="1" name="Google_Sheet_Link_1931575688">_Da_Rasam__By_Karthik_Pr</definedName>
    <definedName hidden="1" name="Google_Sheet_Link_193944044">_Ch_Tomato_Sauce_TD</definedName>
    <definedName hidden="1" name="Google_Sheet_Link_1943891088">_Sw_Dry_Fruit_Custard</definedName>
    <definedName hidden="1" name="Google_Sheet_Link_195264390">_Da_Toor_Dal__Regular</definedName>
    <definedName hidden="1" name="Google_Sheet_Link_1957583591">_WS_Doodhi_sabji_pakoda</definedName>
    <definedName hidden="1" name="Google_Sheet_Link_195798200">_Da_Elissary</definedName>
    <definedName hidden="1" name="Google_Sheet_Link_1960906187">_Be_Rajgira_Malt</definedName>
    <definedName hidden="1" name="Google_Sheet_Link_1972817947">_Ek_Varai_Butter_Halva</definedName>
    <definedName hidden="1" name="Google_Sheet_Link_1977419451">_WS_Alu_Matar_Flower_Gajar_Paneer</definedName>
    <definedName hidden="1" name="Google_Sheet_Link_1985635288">_BF_Poha_MH_with_Veg</definedName>
    <definedName hidden="1" name="Google_Sheet_Link_1986574890">_Ch_Green_Coconut_Chutney</definedName>
    <definedName hidden="1" name="Google_Sheet_Link_199998712">_BF_Uttappa_w_o_veg</definedName>
    <definedName hidden="1" name="Google_Sheet_Link_2004784161">_Sw_FFL_Rava_Halva</definedName>
    <definedName hidden="1" name="Google_Sheet_Link_200554940">_Sw_Gajar_Halva</definedName>
    <definedName hidden="1" name="Google_Sheet_Link_2009396740">_Da_Tadka_Chhilka_Dal</definedName>
    <definedName hidden="1" name="Google_Sheet_Link_2016131523">_Ro_Masala_Chappati_Puri</definedName>
    <definedName hidden="1" name="Google_Sheet_Link_2016542260">_WS_Alu_Matar_Gajar_Pattagobh</definedName>
    <definedName hidden="1" name="Google_Sheet_Link_2020632630">_Da_Mung_Dal___With_Sabji</definedName>
    <definedName hidden="1" name="Google_Sheet_Link_2021938754">_Sw_Chocolate_Rava_Halva</definedName>
    <definedName hidden="1" name="Google_Sheet_Link_2023452470">_Ri_Jeera_Rice__Direct_Chaunk</definedName>
    <definedName hidden="1" name="Google_Sheet_Link_2030827663">_DS_Cabbage_Capsicum_Alu</definedName>
    <definedName hidden="1" name="Google_Sheet_Link_2030912723">_Fr_Baingan_Bhajjis_s</definedName>
    <definedName hidden="1" name="Google_Sheet_Link_2032274466">_Ch_CTC2_Thin</definedName>
    <definedName hidden="1" name="Google_Sheet_Link_2033521522">_Ri_Pulao_Rice</definedName>
    <definedName hidden="1" name="Google_Sheet_Link_2035407973">_DS_Bhendi_Fry_in_KM_Gravy</definedName>
    <definedName hidden="1" name="Google_Sheet_Link_2037274216">_Ma_Panch_Phoran</definedName>
    <definedName hidden="1" name="Google_Sheet_Link_2043667438">_WS_Dodka_Wet</definedName>
    <definedName hidden="1" name="Google_Sheet_Link_2052469008">_WS_Barti_Karela</definedName>
    <definedName hidden="1" name="Google_Sheet_Link_2059121182">_Sw_Mango_Rava_Halva</definedName>
    <definedName hidden="1" name="Google_Sheet_Link_2066075149">_Ch_Imli_Chutney_For_Chaat</definedName>
    <definedName hidden="1" name="Google_Sheet_Link_2071532641">_DS_Alu_Methi</definedName>
    <definedName hidden="1" name="Google_Sheet_Link_2075333249">_BF_Poha_quick</definedName>
    <definedName hidden="1" name="Google_Sheet_Link_2078827289">_Ri_Lemon_Rice</definedName>
    <definedName hidden="1" name="Google_Sheet_Link_2079630118">_WS_Alu_Matar_Phulgobh</definedName>
    <definedName hidden="1" name="Google_Sheet_Link_2092094453">_Ro_Carrot_Parathas</definedName>
    <definedName hidden="1" name="Google_Sheet_Link_2096166529">_Ek_Shaboodana_Kheer</definedName>
    <definedName hidden="1" name="Google_Sheet_Link_2097570400">_WS_Mungsprouts_Sabji</definedName>
    <definedName hidden="1" name="Google_Sheet_Link_2099096486">_Sw_Curd_Fruit_Salad</definedName>
    <definedName hidden="1" name="Google_Sheet_Link_2104390865">_Da_Kerala_Style_Dal_with_Mungdal</definedName>
    <definedName hidden="1" name="Google_Sheet_Link_2107064140">_WS_Principal_s_Program_Subji</definedName>
    <definedName hidden="1" name="Google_Sheet_Link_2120340675">_DS_Alu_Capsicum__Dry</definedName>
    <definedName hidden="1" name="Google_Sheet_Link_2131791919">_Be_Saunf_Juice</definedName>
    <definedName hidden="1" name="Google_Sheet_Link_2136213020">_Ma_BGM</definedName>
    <definedName hidden="1" name="Google_Sheet_Link_2138246946">_SS_Til_Laddu</definedName>
    <definedName hidden="1" name="Google_Sheet_Link_2138440487">_Da_Sambar_K__Rice</definedName>
    <definedName hidden="1" name="Google_Sheet_Link_219153782">_BF_Hare_Krishna_Bhel__wet</definedName>
    <definedName hidden="1" name="Google_Sheet_Link_234966071">_Ri_Navratna_pualo_Prithvi</definedName>
    <definedName hidden="1" name="Google_Sheet_Link_243334724">_Ri_Masala_Rice_with_AB</definedName>
    <definedName hidden="1" name="Google_Sheet_Link_247171969">_Fr_Poha_Chuda</definedName>
    <definedName hidden="1" name="Google_Sheet_Link_275172728">_WS_Alu_Corn_cob__VCT_Gravy</definedName>
    <definedName hidden="1" name="Google_Sheet_Link_278746084">_WS_Italian_Chole_Thin</definedName>
    <definedName hidden="1" name="Google_Sheet_Link_281925268">_Ek_Ekadashi_Kokam_Kadhi</definedName>
    <definedName hidden="1" name="Google_Sheet_Link_289018039">_Sw_Meetha_Chawal</definedName>
    <definedName hidden="1" name="Google_Sheet_Link_29385847">_BF_Masala_Plain_Dosa</definedName>
    <definedName hidden="1" name="Google_Sheet_Link_316528577">_Ri_Vegetable_Rice</definedName>
    <definedName hidden="1" name="Google_Sheet_Link_333849180">_Ja_Papaya_Jam_with_ghee</definedName>
    <definedName hidden="1" name="Google_Sheet_Link_338529649">_Ek_Ekadashi_Simple_Alu_Sabji</definedName>
    <definedName hidden="1" name="Google_Sheet_Link_355622677">_DS_Padval_Churchuri</definedName>
    <definedName hidden="1" name="Google_Sheet_Link_358458390">_Ri_Tomato_Rice_SGPP</definedName>
    <definedName hidden="1" name="Google_Sheet_Link_360532632">_Ri_Cabbage_Rice</definedName>
    <definedName hidden="1" name="Google_Sheet_Link_363220903">_Sw_Pineapple_Butter_Halva</definedName>
    <definedName hidden="1" name="Google_Sheet_Link_373898590">_DS_Papaya_Churchuri</definedName>
    <definedName hidden="1" name="Google_Sheet_Link_375015725">_Eco_FFL_Rava_Halva</definedName>
    <definedName hidden="1" name="Google_Sheet_Link_392070833">_Ek_Varai_Khichadi_2</definedName>
    <definedName hidden="1" name="Google_Sheet_Link_39291143">_WS_Matar_Paneer____S</definedName>
    <definedName hidden="1" name="Google_Sheet_Link_397523427">_Sw_Maulpua__HG_VDP</definedName>
    <definedName hidden="1" name="Google_Sheet_Link_397658070">_Sw_Sweet_Rice</definedName>
    <definedName hidden="1" name="Google_Sheet_Link_398586399">_Sw_Besan_Rava_Halva</definedName>
    <definedName hidden="1" name="Google_Sheet_Link_408373953">_Sw_Chocolate_Phirni</definedName>
    <definedName hidden="1" name="Google_Sheet_Link_411862243">_DS_Jeera_Alu_with_Senghdana</definedName>
    <definedName hidden="1" name="Google_Sheet_Link_416386715">_BF_Dal_Dhokli</definedName>
    <definedName hidden="1" name="Google_Sheet_Link_423697152">_Ki_Sunday_Khichadi</definedName>
    <definedName hidden="1" name="Google_Sheet_Link_430169484">_WS_Aviyal</definedName>
    <definedName hidden="1" name="Google_Sheet_Link_434634735">_BF_Upma_with_Veg</definedName>
    <definedName hidden="1" name="Google_Sheet_Link_439061651">_WS_Dum_Aloo_new</definedName>
    <definedName hidden="1" name="Google_Sheet_Link_443220013">_SS_Sweet_Samosa</definedName>
    <definedName hidden="1" name="Google_Sheet_Link_450373365">_Be_Jaljeera</definedName>
    <definedName hidden="1" name="Google_Sheet_Link_460849348">_DS_ISKCON_Mix_Veg_Dry</definedName>
    <definedName hidden="1" name="Google_Sheet_Link_475452859">_Be_Herbal_Coffee</definedName>
    <definedName hidden="1" name="Google_Sheet_Link_481522920">_Be_Kokam_Juice</definedName>
    <definedName hidden="1" name="Google_Sheet_Link_485318202">_Da_Dal_Fry</definedName>
    <definedName hidden="1" name="Google_Sheet_Link_493035589">_Sw_Mungdal_Payasam</definedName>
    <definedName hidden="1" name="Google_Sheet_Link_493918609">_Sw_Strawberry_Shrikhand</definedName>
    <definedName hidden="1" name="Google_Sheet_Link_498151781">_DS_Alu_Gajar_Chauli__Dry</definedName>
    <definedName hidden="1" name="Google_Sheet_Link_503240713">_DS_Cabbage__KuNP</definedName>
    <definedName hidden="1" name="Google_Sheet_Link_519215908">_DS_Mix_Veg_Dry</definedName>
    <definedName hidden="1" name="Google_Sheet_Link_523000158">_DS_Akkha_Mung_Sabji_dry</definedName>
    <definedName hidden="1" name="Google_Sheet_Link_544673314">_Ek_Coconut_Varai_Halva__FFL</definedName>
    <definedName hidden="1" name="Google_Sheet_Link_551679915">_Ja_Mango_Pickle_1_Prthvi_P</definedName>
    <definedName hidden="1" name="Google_Sheet_Link_553890095">_Sw_Rose_Phirni</definedName>
    <definedName hidden="1" name="Google_Sheet_Link_556203385">_Be_Aam_Ras</definedName>
    <definedName hidden="1" name="Google_Sheet_Link_55665100">_Eco_Rava_Halva_Quick_eco</definedName>
    <definedName hidden="1" name="Google_Sheet_Link_560100712">_Be_Ginger_Tea</definedName>
    <definedName hidden="1" name="Google_Sheet_Link_575806469">_Sw_Daliya_Kheer</definedName>
    <definedName hidden="1" name="Google_Sheet_Link_58096897">_Eco_Mungdal_Payasam_eco</definedName>
    <definedName hidden="1" name="Google_Sheet_Link_58178455">_SS_Kadi_Shakkar_Shengdhana</definedName>
    <definedName hidden="1" name="Google_Sheet_Link_599992626">_SS_Bundi__2</definedName>
    <definedName hidden="1" name="Google_Sheet_Link_600831295">_WS_Channa_sabji_HG_SGPP</definedName>
    <definedName hidden="1" name="Google_Sheet_Link_602086189">_WS_Bhendi_with_Gr_Kaju</definedName>
    <definedName hidden="1" name="Google_Sheet_Link_609850239">_DS_Beans_Poriyal</definedName>
    <definedName hidden="1" name="Google_Sheet_Link_625754010">_Ka_Kadhi__Pakoda</definedName>
    <definedName hidden="1" name="Google_Sheet_Link_628439285">_Ws_Doodhi_sabji</definedName>
    <definedName hidden="1" name="Google_Sheet_Link_630642076">_Fr_Corn_Flakes</definedName>
    <definedName hidden="1" name="Google_Sheet_Link_63121890">_Fr_Alu_Bonda</definedName>
    <definedName hidden="1" name="Google_Sheet_Link_648629787">_WS_Usal_Maharastrian_modified</definedName>
    <definedName hidden="1" name="Google_Sheet_Link_675645006">_BF_Venn_Pongal_Thin</definedName>
    <definedName hidden="1" name="Google_Sheet_Link_678927841">_Be_Lemon_Juice</definedName>
    <definedName hidden="1" name="Google_Sheet_Link_680845457">_WS_Besan_Panner__DHD</definedName>
    <definedName hidden="1" name="Google_Sheet_Link_685123931">_Sw_Sweet_Rice_Kiharan</definedName>
    <definedName hidden="1" name="Google_Sheet_Link_699074273">_Sw_Rabdi</definedName>
    <definedName hidden="1" name="Google_Sheet_Link_704686424">_Fr_Bundi_Plain</definedName>
    <definedName hidden="1" name="Google_Sheet_Link_709881660">_DS_Tondali_Churchuri</definedName>
    <definedName hidden="1" name="Google_Sheet_Link_71500620">_WS_Besan_Pitla</definedName>
    <definedName hidden="1" name="Google_Sheet_Link_718385191">_Ri_Simple_Pulao_Rice</definedName>
    <definedName hidden="1" name="Google_Sheet_Link_72276513">_Be_Mango_Juice_medium</definedName>
    <definedName hidden="1" name="Google_Sheet_Link_726732515">_Eco_Coconut_Varai_Halva_Janmastami</definedName>
    <definedName hidden="1" name="Google_Sheet_Link_739202920">_Ri_Biryani_RVCK</definedName>
    <definedName hidden="1" name="Google_Sheet_Link_747800868">_Ri_Hyd_Biryani_Sun</definedName>
    <definedName hidden="1" name="Google_Sheet_Link_749943437">_BF_Uttappa_with_veg</definedName>
    <definedName hidden="1" name="Google_Sheet_Link_758639800">_Ka_Kakdi_Raita</definedName>
    <definedName hidden="1" name="Google_Sheet_Link_759248846">_Ki_Dwadashi_Kichiri</definedName>
    <definedName hidden="1" name="Google_Sheet_Link_764633278">_Ek_Dry_Fruit_Custard_Ekadashi</definedName>
    <definedName hidden="1" name="Google_Sheet_Link_766943358">_Ri_Tamarind_Rice</definedName>
    <definedName hidden="1" name="Google_Sheet_Link_768775803">_DS_Alu_Gavarphali_with_Shenghdana</definedName>
    <definedName hidden="1" name="Google_Sheet_Link_770623716">_Ek_Kakdi_Raita</definedName>
    <definedName hidden="1" name="Google_Sheet_Link_785967445">_Ri_Masala_Rice_with_CC</definedName>
    <definedName hidden="1" name="Google_Sheet_Link_795904834">_BF_Sevai_Upma</definedName>
    <definedName hidden="1" name="Google_Sheet_Link_800504285">_Ch_Shenghdana_Chutney</definedName>
    <definedName hidden="1" name="Google_Sheet_Link_80727872">_Ek_Ekadashi_Mix_Veg_with_milk_cream</definedName>
    <definedName hidden="1" name="Google_Sheet_Link_807960704">_Ka_Curd_Kadhi</definedName>
    <definedName hidden="1" name="Google_Sheet_Link_809082084">_Be_Musk_Melon_juice</definedName>
    <definedName hidden="1" name="Google_Sheet_Link_81309121">_DS_sepu_sabji_HG_MMP</definedName>
    <definedName hidden="1" name="Google_Sheet_Link_820004717">_DS_Alu_Gajar_Beans__Dry</definedName>
    <definedName hidden="1" name="Google_Sheet_Link_823716271">_Be_Lemon_Grass_Tea</definedName>
    <definedName hidden="1" name="Google_Sheet_Link_824156113">_Bf_Bhel_MKD</definedName>
    <definedName hidden="1" name="Google_Sheet_Link_834989191">_Ma_Goda_masala</definedName>
    <definedName hidden="1" name="Google_Sheet_Link_84295999">_SS_Rava_Laddu</definedName>
    <definedName hidden="1" name="Google_Sheet_Link_8500983">_WS_Alu_Matar_Paneer_Palak</definedName>
    <definedName hidden="1" name="Google_Sheet_Link_85986289">_Fr_Batata_Vada</definedName>
    <definedName hidden="1" name="Google_Sheet_Link_867998432">_Sw_Dahi_Chida</definedName>
    <definedName hidden="1" name="Google_Sheet_Link_870145157">_Sw_Atta_Cake</definedName>
    <definedName hidden="1" name="Google_Sheet_Link_871051232">_Sw_Banana_Rava_Halva</definedName>
    <definedName hidden="1" name="Google_Sheet_Link_871894086">_Sw_Mung_Dal_Halva</definedName>
    <definedName hidden="1" name="Google_Sheet_Link_875247634">_Da_Tomato_Charu</definedName>
    <definedName hidden="1" name="Google_Sheet_Link_878279637">_Sp_Bhopla_Soup</definedName>
    <definedName hidden="1" name="Google_Sheet_Link_884710023">_BF_Upma_W_o_Veg</definedName>
    <definedName hidden="1" name="Google_Sheet_Link_886483688">_WS_Italian_Chole</definedName>
    <definedName hidden="1" name="Google_Sheet_Link_894275186">_WS_Beans_Gajar_Capsicum_in_Light_Gravy</definedName>
    <definedName hidden="1" name="Google_Sheet_Link_907218177">_Ri_Curd_Rice</definedName>
    <definedName hidden="1" name="Google_Sheet_Link_926215438">_Sw_Doodh_Chida_Mango_Pulp</definedName>
    <definedName hidden="1" name="Google_Sheet_Link_92888596">_Ek_Varai_Kheer_with_Carrot</definedName>
    <definedName hidden="1" name="Google_Sheet_Link_929315404">_Sw_Sweet_Rice__Condensed_Kiharan</definedName>
    <definedName hidden="1" name="Google_Sheet_Link_932499988">_Sw_Kohla_halva_Prithvi</definedName>
    <definedName hidden="1" name="Google_Sheet_Link_941706255">_Ki_Health_Khichadi</definedName>
    <definedName hidden="1" name="Google_Sheet_Link_943137587">_Ws_Mahura__Jagannath_Puri_Mixed_Veg_Sabji</definedName>
    <definedName hidden="1" name="Google_Sheet_Link_955463989">_WS_Usal_Maharastrian</definedName>
    <definedName hidden="1" name="Google_Sheet_Link_957738553">_Ri_Biryani_Kolkata</definedName>
    <definedName hidden="1" name="Google_Sheet_Link_962196794">_Ek_Varai_Upma_Wet</definedName>
    <definedName hidden="1" name="Google_Sheet_Link_976309436">_ja_Mango_Pickle_2__Prithvi</definedName>
    <definedName hidden="1" name="Google_Sheet_Link_982414146">_WS_Arbi__Patta_Sabji_1____S</definedName>
    <definedName hidden="1" name="Google_Sheet_Link_987900156">_BF_Medu_Vada</definedName>
  </definedNames>
  <calcPr/>
  <extLst>
    <ext uri="GoogleSheetsCustomDataVersion2">
      <go:sheetsCustomData xmlns:go="http://customooxmlschemas.google.com/" r:id="rId24" roundtripDataChecksum="ECtAhIokSpa57GkdAsJsSzjCQqkwkzlbXhcBAfyHbU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05">
      <text>
        <t xml:space="preserve">======
ID#AAABT9p-9x8
Author    (2024-08-18 06:56:35)
Yield increased from 42.5L to 50L for 10Kg</t>
      </text>
    </comment>
  </commentList>
  <extLst>
    <ext uri="GoogleSheetsCustomDataVersion2">
      <go:sheetsCustomData xmlns:go="http://customooxmlschemas.google.com/" r:id="rId1" roundtripDataSignature="AMtx7miRXrTK1ZoIWJplQS6dlEPp8K9R5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46">
      <text>
        <t xml:space="preserve">======
ID#AAABT9p-9x4
    (2024-08-18 06:56:35)
Author:</t>
      </text>
    </comment>
  </commentList>
  <extLst>
    <ext uri="GoogleSheetsCustomDataVersion2">
      <go:sheetsCustomData xmlns:go="http://customooxmlschemas.google.com/" r:id="rId1" roundtripDataSignature="AMtx7mifLgFJQhjM2g5iTpUYVb1arFnWmg=="/>
    </ext>
  </extLst>
</comments>
</file>

<file path=xl/sharedStrings.xml><?xml version="1.0" encoding="utf-8"?>
<sst xmlns="http://schemas.openxmlformats.org/spreadsheetml/2006/main" count="20544" uniqueCount="3750">
  <si>
    <t>Aam Ras</t>
  </si>
  <si>
    <t>Yield</t>
  </si>
  <si>
    <t>S No</t>
  </si>
  <si>
    <t>Recipe Category</t>
  </si>
  <si>
    <t>Coconut Chutney_KKD (-Sour )</t>
  </si>
  <si>
    <t>L</t>
  </si>
  <si>
    <t>HG Kirti Krishna P</t>
  </si>
  <si>
    <t>Mango</t>
  </si>
  <si>
    <t>Beverages</t>
  </si>
  <si>
    <t>Nos.</t>
  </si>
  <si>
    <t>Thin</t>
  </si>
  <si>
    <t>Mango Pulp</t>
  </si>
  <si>
    <t>Wet Coconut (approx)</t>
  </si>
  <si>
    <t>Sugar</t>
  </si>
  <si>
    <t>Kg</t>
  </si>
  <si>
    <t>Milk</t>
  </si>
  <si>
    <t>Ice</t>
  </si>
  <si>
    <t>Elaichi Powder</t>
  </si>
  <si>
    <t>gm</t>
  </si>
  <si>
    <t>Dal Dhokli</t>
  </si>
  <si>
    <t>Grind to a fine paste along with the fried shenghdana, phutana dal and Green Chilli.</t>
  </si>
  <si>
    <t>Jaiphal powder</t>
  </si>
  <si>
    <t>Gujarati</t>
  </si>
  <si>
    <t>Wet Coconut (by wt)</t>
  </si>
  <si>
    <t xml:space="preserve">        </t>
  </si>
  <si>
    <t>Breakfast Items</t>
  </si>
  <si>
    <r>
      <rPr>
        <rFont val="Calibri"/>
        <b/>
        <color theme="1"/>
        <sz val="14.0"/>
      </rPr>
      <t xml:space="preserve">Info: 1). This file contains the Recipes that we are using on a regular basis, also it contains Recipes from New Recipes made.
2). Original Recipe Master is kept in 'Dropbox\Back Ground Seva\Misc_Skkd\RECIEPE' folder.
3). FHC Sabjis made once can be added in FHC Sabjis Sheet in this Excel workbook.
4). Finalized Recipes from 'New Recipes Made' can be added in this file in appropriate Category by cooking Team.
</t>
    </r>
    <r>
      <rPr>
        <rFont val="Calibri"/>
        <b/>
        <i/>
        <color rgb="FFE36C09"/>
        <sz val="14.0"/>
        <u/>
      </rPr>
      <t xml:space="preserve">Note: </t>
    </r>
    <r>
      <rPr>
        <rFont val="Calibri"/>
        <b/>
        <i/>
        <color rgb="FFE36C09"/>
        <sz val="14.0"/>
      </rPr>
      <t>When you add a new Recipe, please enter the units of ingredients according to Rates Sheet of this Excel workbook. For Costing a Recipe, instead of entering values in the costing column, please use the defined ingredient names. To access those names type '=', followed by ingredient name (for further details, refer Rates sheet)
If we just change the Rates in Rates Sheet, the changes will be reflected through out the workbook.</t>
    </r>
  </si>
  <si>
    <t>F</t>
  </si>
  <si>
    <t>Chutneys</t>
  </si>
  <si>
    <t>Dal</t>
  </si>
  <si>
    <t>Toor Dal (soak overnight)</t>
  </si>
  <si>
    <t>Salt</t>
  </si>
  <si>
    <t xml:space="preserve">                                           </t>
  </si>
  <si>
    <t>Economical Recipes</t>
  </si>
  <si>
    <t>Coconut Oil</t>
  </si>
  <si>
    <t>Heat Oil. Fry Shenghdana, Phutana dal and Green Chilli. Keep aside. Use the remaining oil for Tadka.</t>
  </si>
  <si>
    <t xml:space="preserve">Shenghdana </t>
  </si>
  <si>
    <t>Ekadashi</t>
  </si>
  <si>
    <t>Phutana Dal</t>
  </si>
  <si>
    <t>Green Chilli</t>
  </si>
  <si>
    <t>Fried Items / Farsan /Snacks</t>
  </si>
  <si>
    <t>Jam,pickles</t>
  </si>
  <si>
    <t>Back</t>
  </si>
  <si>
    <t>Kadhi / Raita</t>
  </si>
  <si>
    <t>Khichadi</t>
  </si>
  <si>
    <t xml:space="preserve">Boil Together till Dal is completely dissolved. </t>
  </si>
  <si>
    <t>Masalas</t>
  </si>
  <si>
    <t>HOME</t>
  </si>
  <si>
    <t>Thick</t>
  </si>
  <si>
    <t>Compiled on</t>
  </si>
  <si>
    <t>Last Edited on</t>
  </si>
  <si>
    <t>Cooking Instructions List</t>
  </si>
  <si>
    <t>Haldi</t>
  </si>
  <si>
    <t>Rice</t>
  </si>
  <si>
    <t>Rotis</t>
  </si>
  <si>
    <t xml:space="preserve">Sabji's, Dry </t>
  </si>
  <si>
    <t>Sabji's, Wet</t>
  </si>
  <si>
    <t>Soups/ Salads</t>
  </si>
  <si>
    <t>Sweets</t>
  </si>
  <si>
    <t>Water</t>
  </si>
  <si>
    <t>Groundnut</t>
  </si>
  <si>
    <t>1. Soak mangoes in cool water over night.</t>
  </si>
  <si>
    <t xml:space="preserve">2. Drain. Remove the top portion. </t>
  </si>
  <si>
    <t>Akkha Methi</t>
  </si>
  <si>
    <t>3. Squeeze out the pulp. Put the skin and seed in fresh water.</t>
  </si>
  <si>
    <t>4. Remove the remaining pulp in water and discard the skin and seeds.</t>
  </si>
  <si>
    <t>Tejpatta</t>
  </si>
  <si>
    <t>5. Mix the pulp and washed water.</t>
  </si>
  <si>
    <t>6. BOil and cool down the milk.</t>
  </si>
  <si>
    <t>7. Finally mix sugar, pulp and milk and blend to a unform smoothie.</t>
  </si>
  <si>
    <t xml:space="preserve">8. Add ice to chill. </t>
  </si>
  <si>
    <t>Amlana</t>
  </si>
  <si>
    <t>Sweets Sustainable</t>
  </si>
  <si>
    <t xml:space="preserve">Rajasthani </t>
  </si>
  <si>
    <t>FHC Sabjis</t>
  </si>
  <si>
    <t>Amshool</t>
  </si>
  <si>
    <t xml:space="preserve"> </t>
  </si>
  <si>
    <t>Imli, Pulp</t>
  </si>
  <si>
    <t>Add this &amp; the chaunk mentioned below to the cooked dal and then boil for another 10-15 mins.</t>
  </si>
  <si>
    <t>Tomato</t>
  </si>
  <si>
    <t>Gud</t>
  </si>
  <si>
    <t>Kokam Juice</t>
  </si>
  <si>
    <t>ml</t>
  </si>
  <si>
    <t>Green Chilli, slit in 2</t>
  </si>
  <si>
    <t>Ginger, chopped</t>
  </si>
  <si>
    <t>Sabji, Wet</t>
  </si>
  <si>
    <t>Pulverize  to a fine paste</t>
  </si>
  <si>
    <t>Pudina Leaves</t>
  </si>
  <si>
    <t>Dry Sabji's</t>
  </si>
  <si>
    <t>Roti</t>
  </si>
  <si>
    <t>Pudina, Reqd (Approx)</t>
  </si>
  <si>
    <t>Groundnut Oil</t>
  </si>
  <si>
    <t>Ginger, Grated</t>
  </si>
  <si>
    <t>gaddi</t>
  </si>
  <si>
    <t>Chaunk</t>
  </si>
  <si>
    <t>Dalchini</t>
  </si>
  <si>
    <t>Lavang</t>
  </si>
  <si>
    <t>Rai</t>
  </si>
  <si>
    <t>Jeera</t>
  </si>
  <si>
    <t>Soups / Salads</t>
  </si>
  <si>
    <t xml:space="preserve">Black Pepper </t>
  </si>
  <si>
    <t>Curry Leaves</t>
  </si>
  <si>
    <t>Elaichi</t>
  </si>
  <si>
    <t>Hing</t>
  </si>
  <si>
    <t xml:space="preserve">Black Salt </t>
  </si>
  <si>
    <t>Jeera Powder</t>
  </si>
  <si>
    <t>Dhokli</t>
  </si>
  <si>
    <t>Kadhi/Raita</t>
  </si>
  <si>
    <t>Fried Items/Farsan/Snacks</t>
  </si>
  <si>
    <t>Wheat Atta</t>
  </si>
  <si>
    <t>make Dough. Roll on a big table into slightly thick sheet. Cut into rectangular strips 1''X2''. Add discretely while dal is boiling. Boil until dhokli is cooked</t>
  </si>
  <si>
    <t>Put chaunk in the remaining oil and add to the ground chutney.</t>
  </si>
  <si>
    <t>Mirchi Powder</t>
  </si>
  <si>
    <t>Ajwain</t>
  </si>
  <si>
    <t>Dhaniya Patta</t>
  </si>
  <si>
    <t>Garnishing</t>
  </si>
  <si>
    <t>Pakka Kela, Chopped (Optional)</t>
  </si>
  <si>
    <t>pieces</t>
  </si>
  <si>
    <t>optional</t>
  </si>
  <si>
    <t>BACK</t>
  </si>
  <si>
    <t xml:space="preserve">Compiled on </t>
  </si>
  <si>
    <t>Chhaachh</t>
  </si>
  <si>
    <t>Dahi</t>
  </si>
  <si>
    <t>Salt and sugar quantity may have to be adjusted depending upon how sour is the curd.
If making thick chhaachh reduce the appropriate no of coconuts from the main list.</t>
  </si>
  <si>
    <t>Black Salt</t>
  </si>
  <si>
    <t>Daliya Upma</t>
  </si>
  <si>
    <t>Byadgi Mirchi, broken</t>
  </si>
  <si>
    <t>Dhaniya Coffee</t>
  </si>
  <si>
    <t>Dry roast Dhaniya in low flame  until blackish brown. (it should take around 1 hr or more). Crush it coarse powder. Meanwhile, caramalize the sugar in ghhee when it has become reddish-brown add the crushed Dhaniya powder, mix and cook for few more mins. Then add the water. Cook until we get the target decotion volume. Strain it through SS mesh and  then with fine muslin cloth. Add this mixture to the boiling milk. Boil for few more mins. Then add the caramel(if using).</t>
  </si>
  <si>
    <t>Daliya, medium size</t>
  </si>
  <si>
    <t>Akha Dhaniya</t>
  </si>
  <si>
    <t xml:space="preserve">compiled on </t>
  </si>
  <si>
    <r>
      <rPr>
        <rFont val="Calibri"/>
        <color theme="1"/>
        <sz val="11.0"/>
      </rPr>
      <t>Ghee</t>
    </r>
    <r>
      <rPr>
        <rFont val="Calibri"/>
        <color theme="1"/>
        <sz val="9.0"/>
      </rPr>
      <t>, for caramelizing sugar</t>
    </r>
  </si>
  <si>
    <t>Sugar (for hot coffee)</t>
  </si>
  <si>
    <t>Coconut Tomato Chutney 2 (thin)</t>
  </si>
  <si>
    <t>Jam, Pickles and Preserves</t>
  </si>
  <si>
    <t>Sugar (for cold coffee)</t>
  </si>
  <si>
    <t>Item Name</t>
  </si>
  <si>
    <t>Decotion Volume</t>
  </si>
  <si>
    <t>Caramel color (optional)</t>
  </si>
  <si>
    <t>Mota Rava</t>
  </si>
  <si>
    <t>Category</t>
  </si>
  <si>
    <t>Wet Coconut</t>
  </si>
  <si>
    <t>Heat The Oil. Put rai, bedgi mirch, choppe ginger and Green Chilli. Roast until ginger is crisp and brown. Then add the hing followed by Curry Leaves, after that add the haldi and sabji's one by one according to their hardness.</t>
  </si>
  <si>
    <t>Comments</t>
  </si>
  <si>
    <t>Heat oil . Fry Shenghdana keep aside, fry kashmiri mirch, keep aside, add Green Chilli, when fried add Tomato and roast until Tomato become soft and partially cooked. Then grind all the items (From coconut to Tomato)to a fine paste.</t>
  </si>
  <si>
    <t>Roast rava in ghee. Add to the boiling milk. Cook until rava is soft and fluffy. Pulverize to a smooth fine consistency. Add to the above coffee. Serve hot or chilled.</t>
  </si>
  <si>
    <t>Ghee, for roasting rava</t>
  </si>
  <si>
    <t>Green Chilli, chopped</t>
  </si>
  <si>
    <t>Ginger</t>
  </si>
  <si>
    <t>French Beans, 1" long</t>
  </si>
  <si>
    <t>Put Vegetables. In the chaunk in the same order. When they are partially cooked add boiling water. Pour in salt, Pulao Masala and sugar.</t>
  </si>
  <si>
    <t>Carrot, 1 cm cube</t>
  </si>
  <si>
    <t>Capsicum, 1" square</t>
  </si>
  <si>
    <t>Cabbage, 1.5 cm square</t>
  </si>
  <si>
    <t>Grean Peas</t>
  </si>
  <si>
    <t xml:space="preserve">gm </t>
  </si>
  <si>
    <t>Boiling Water</t>
  </si>
  <si>
    <t>Ginger Tea/Khada</t>
  </si>
  <si>
    <t>Bring the mixture to boil and simmer for about 10 mins. Then add the roasted daliya, cook at high flame until most of the water is absorbed. Cover, put weight on it, reduce the flame to min. Cook for about 15 mins. Finally mix in lemon juice, dhaniya Patta and coconut.</t>
  </si>
  <si>
    <t>Pulao Masala, Everest</t>
  </si>
  <si>
    <t xml:space="preserve">Boil the water add the Ginger, Grated boil for 15-20 mins. Then add the gud. Boil for another 10 mins. Strain using fine seive or cloth. Add salt, Black Pepper Powder(if using), lemon juice(if using) &amp; pudina leaves (if using)
</t>
  </si>
  <si>
    <t>Kashmiri Mirchi</t>
  </si>
  <si>
    <t>Tomato, ripe &amp; red</t>
  </si>
  <si>
    <t>water</t>
  </si>
  <si>
    <t>Gud, crushed</t>
  </si>
  <si>
    <t>Black Pepper Powder, fresh (optional)</t>
  </si>
  <si>
    <t>Lemon Juice</t>
  </si>
  <si>
    <t>NOTE: If green peas are the frozen peas then add it after adding dalia. Else it will get completely  mashed.</t>
  </si>
  <si>
    <t>Mild Lemon Flavor</t>
  </si>
  <si>
    <t>Imli Chutney For Chaat (thin)</t>
  </si>
  <si>
    <t>Yield (approx)</t>
  </si>
  <si>
    <t>Strong Lemon Flavor</t>
  </si>
  <si>
    <t>Imli</t>
  </si>
  <si>
    <t>Hare Krishna Bhel: Dry</t>
  </si>
  <si>
    <t>Soak imli in hot water for 2-3 hrs. Then remove seeds(if any). Pulverize with khajur and gud to make a smooth paste. 
Heat oil, put tadka then add the pulp. Add salt. Boil for 10-15 mins.</t>
  </si>
  <si>
    <t xml:space="preserve"> (optional) Add at last</t>
  </si>
  <si>
    <t xml:space="preserve">Badi Saunf </t>
  </si>
  <si>
    <t>Akkha Dhaniya, Crushed</t>
  </si>
  <si>
    <t>Green Chilli, paste</t>
  </si>
  <si>
    <t>NOTE:- if making in large scale soak gud in water the night (or 3-4 hrs) before to save time and energy</t>
  </si>
  <si>
    <t>Alu Corn cob _VCT Gravy</t>
  </si>
  <si>
    <t>Make sure that the Murmura is clean without sand or stones, use directly.</t>
  </si>
  <si>
    <t>Murmura</t>
  </si>
  <si>
    <t>Mustard Oil</t>
  </si>
  <si>
    <r>
      <rPr>
        <rFont val="Calibri"/>
        <b/>
        <color theme="1"/>
        <sz val="10.0"/>
      </rPr>
      <t>TADKA</t>
    </r>
    <r>
      <rPr>
        <rFont val="Calibri"/>
        <color theme="1"/>
        <sz val="9.0"/>
      </rPr>
      <t xml:space="preserve">
Heat oil &amp; put tadka. Raost cabbage lightly. It should not become soft but should  remain crisp.
Mix this tadka to the washed murmura, along with the chopped vegetables. Mix in the remaining items. </t>
    </r>
  </si>
  <si>
    <t>Compiled On</t>
  </si>
  <si>
    <t>Shenghdana Chutney_Hadai Pran P</t>
  </si>
  <si>
    <t>Herbal Coffee</t>
  </si>
  <si>
    <t>Dry Roast the groundnut, cool, skin and grind it to coarse powder. Similarly dry roast the bedgi mirch and amake fine powder. Then mix all these items. Finally put the tadka and mix.</t>
  </si>
  <si>
    <t xml:space="preserve">L </t>
  </si>
  <si>
    <t>Groundnut, Roast &amp; Skin</t>
  </si>
  <si>
    <t>Green Chilli, chopped Fine</t>
  </si>
  <si>
    <t>Curry leaves</t>
  </si>
  <si>
    <t>Herbal Coffee Powder</t>
  </si>
  <si>
    <t>Mix and add to boiling milk. Boil for 20-30 min</t>
  </si>
  <si>
    <t>Cabbage, shredded fine</t>
  </si>
  <si>
    <t>Tomato, chopped fine</t>
  </si>
  <si>
    <r>
      <rPr>
        <rFont val="Calibri"/>
        <b/>
        <color theme="1"/>
        <sz val="10.0"/>
      </rPr>
      <t xml:space="preserve"> Vegetables</t>
    </r>
    <r>
      <rPr>
        <rFont val="Calibri"/>
        <color theme="1"/>
        <sz val="9.0"/>
      </rPr>
      <t xml:space="preserve">
Add to the above along with the washed murmura and mix nicely.</t>
    </r>
  </si>
  <si>
    <t>Kakdi, Chopped fine</t>
  </si>
  <si>
    <t>Carrot, grated, 1.5 mm</t>
  </si>
  <si>
    <t>Tomato Sauce TD</t>
  </si>
  <si>
    <t>Alu, Boiled 1" cube</t>
  </si>
  <si>
    <t>Green Chilli, Chopped Fine</t>
  </si>
  <si>
    <t>Add at last</t>
  </si>
  <si>
    <r>
      <rPr>
        <rFont val="Calibri"/>
        <b/>
        <color theme="1"/>
        <sz val="11.0"/>
      </rPr>
      <t>Garnishing &amp; Spicing</t>
    </r>
    <r>
      <rPr>
        <rFont val="Calibri"/>
        <color theme="1"/>
        <sz val="9.0"/>
      </rPr>
      <t xml:space="preserve">
Sprinkle on the above and mix thoroughly</t>
    </r>
  </si>
  <si>
    <t>Pulverize to fine paste and boil to condense. When sufficiently thick mix the cornflour water mixture to it and boil until we reach the desired consistency</t>
  </si>
  <si>
    <t>Doodhi/bhopla</t>
  </si>
  <si>
    <t>Kashmiri Mirchi Powder</t>
  </si>
  <si>
    <t>Lightly crush. Tie in 1 small muslin cloth. Tie into a potli (bag) and put in the sauce while it is boiling</t>
  </si>
  <si>
    <t>Black Elaichi</t>
  </si>
  <si>
    <t>Ginger, chopped fine or grated</t>
  </si>
  <si>
    <t>Mustard Oil (Raw)</t>
  </si>
  <si>
    <t>Dhaniya Patta, chopped fine</t>
  </si>
  <si>
    <t>Herbal Tea</t>
  </si>
  <si>
    <t xml:space="preserve">Black pepper </t>
  </si>
  <si>
    <t>Corn Flour</t>
  </si>
  <si>
    <t>Imli, soak &amp; Pulp</t>
  </si>
  <si>
    <t>Mix together</t>
  </si>
  <si>
    <t>Herbal Tea Powder</t>
  </si>
  <si>
    <t>Akka Mung:Dry</t>
  </si>
  <si>
    <t>Achaari Chole Rice_Prithvi</t>
  </si>
  <si>
    <r>
      <rPr>
        <rFont val="Calibri"/>
        <b/>
        <color theme="1"/>
        <sz val="11.0"/>
      </rPr>
      <t xml:space="preserve">Liquid Chutney </t>
    </r>
    <r>
      <rPr>
        <rFont val="Calibri"/>
        <color theme="1"/>
        <sz val="9.0"/>
      </rPr>
      <t xml:space="preserve">.
Mix together into a smooth liquid chutney. And bring to aboil and cool before serving. 
</t>
    </r>
    <r>
      <rPr>
        <rFont val="Calibri"/>
        <b/>
        <color theme="1"/>
        <sz val="9.0"/>
      </rPr>
      <t xml:space="preserve">NOTE:- can be prepared a day before also. </t>
    </r>
    <r>
      <rPr>
        <rFont val="Calibri"/>
        <b/>
        <color theme="1"/>
        <sz val="10.0"/>
      </rPr>
      <t xml:space="preserve">
</t>
    </r>
    <r>
      <rPr>
        <rFont val="Calibri"/>
        <color theme="1"/>
        <sz val="9.0"/>
      </rPr>
      <t>Add from top while serving</t>
    </r>
  </si>
  <si>
    <t>NOTE: This recipe is little spicy. If you want it less spicy replace mirchipowder by Kashmiri  mirch powder or completely omit it.</t>
  </si>
  <si>
    <t>Andhra Pappu with methi_NSD</t>
  </si>
  <si>
    <t xml:space="preserve">Method </t>
  </si>
  <si>
    <t>Combine the Tomato, white pumpkin, sugar, chilli powder and salt and blend to a smooth purée in a blender using about ¼ cup of water if required.</t>
  </si>
  <si>
    <t>Strain and boil the strained liquid in a vessel along with the spice bag.</t>
  </si>
  <si>
    <t>When the sauce starts thickening, add in the cornflour mixture and vinegar.</t>
  </si>
  <si>
    <t>Cook till the mixture resembles a smooth sauce.</t>
  </si>
  <si>
    <t>Cool and use as required. This sauce can be stored refrigerated for upto 15 days.</t>
  </si>
  <si>
    <t>CGC_ IDLI</t>
  </si>
  <si>
    <t>Coconut Chutney_Prithvi</t>
  </si>
  <si>
    <t>Jaljeera</t>
  </si>
  <si>
    <t>Roasted Jeera Powder</t>
  </si>
  <si>
    <t>Mix in all these ingredients until sugar dissolves. Mix in the pudina-tamarind pulp. Finally add the crushed ice.</t>
  </si>
  <si>
    <t>Alu Paratha (direct in dough)</t>
  </si>
  <si>
    <t>Jaljeera Powder</t>
  </si>
  <si>
    <t>Amrakhand 2</t>
  </si>
  <si>
    <t>Pulverize the tamarind pulp/ Raw mango Pulp and pudina to a smooth paste.</t>
  </si>
  <si>
    <t>Chutney Yield</t>
  </si>
  <si>
    <t>Imli, soak &amp; deseed</t>
  </si>
  <si>
    <t>Karbanda Juice</t>
  </si>
  <si>
    <t>Water (approx)</t>
  </si>
  <si>
    <t>Sev, Optional</t>
  </si>
  <si>
    <t>7Cup Burfi_Skkd</t>
  </si>
  <si>
    <t xml:space="preserve">Green Chilli, slit </t>
  </si>
  <si>
    <t>Mix everything until everything is nicely dissolved.Adjust water quantity to get the target yield</t>
  </si>
  <si>
    <t>SPRINKLE FROM TOP while serving</t>
  </si>
  <si>
    <t xml:space="preserve">keri panna  </t>
  </si>
  <si>
    <t>Mangoes Pulp</t>
  </si>
  <si>
    <t>Pulverize Together</t>
  </si>
  <si>
    <t>Black Pepper Powder</t>
  </si>
  <si>
    <t>Mix with the above pulp and boil until homogeheous and thin jam like consistency. Cool and add water to get the desired yield</t>
  </si>
  <si>
    <t>Raoasted Jeera Powder</t>
  </si>
  <si>
    <t>Alu Bhopla Gajar Sabji</t>
  </si>
  <si>
    <t>Per person consumption 500-600 ml</t>
  </si>
  <si>
    <t>Bhopla Carrot Soup</t>
  </si>
  <si>
    <t>Water(approx)</t>
  </si>
  <si>
    <t>Dwadashi Kichiri</t>
  </si>
  <si>
    <t>Curd Kadhi</t>
  </si>
  <si>
    <t>Alu Bonda_prithvi</t>
  </si>
  <si>
    <t>Alu Patatha_SKKP</t>
  </si>
  <si>
    <t>Coconut Varai Halva ( Janmastami )</t>
  </si>
  <si>
    <t xml:space="preserve">  </t>
  </si>
  <si>
    <t>Charu Masala_Andhra</t>
  </si>
  <si>
    <t>Papaya Jam</t>
  </si>
  <si>
    <t>Incomplete Recipe</t>
  </si>
  <si>
    <t>Alu Baingan VCT Gravy</t>
  </si>
  <si>
    <t>Alu Corn Matar Gajar</t>
  </si>
  <si>
    <t>Alu Bhendi: Dry</t>
  </si>
  <si>
    <t>Alu Tomato Rice_Prithvi</t>
  </si>
  <si>
    <t>Chana Dal Aamti</t>
  </si>
  <si>
    <t>Alu waali Roti 2</t>
  </si>
  <si>
    <t>Angoori Rasamalai_HG RRP</t>
  </si>
  <si>
    <t>Besan  Barfi w/o Khava</t>
  </si>
  <si>
    <t xml:space="preserve">Coconut Varai Halva </t>
  </si>
  <si>
    <t>Bhopla Soup</t>
  </si>
  <si>
    <t>Coconut Chutney_KKD</t>
  </si>
  <si>
    <t>Hare Krishna Bhel: wet</t>
  </si>
  <si>
    <t>wash in excess water  &amp; immediately  skim from top and allow to drain on jhara</t>
  </si>
  <si>
    <t>Daliya Khicadi</t>
  </si>
  <si>
    <t>Kadhi  Pakoda</t>
  </si>
  <si>
    <t>Baingan Bhajjis's</t>
  </si>
  <si>
    <r>
      <rPr>
        <rFont val="Calibri"/>
        <b/>
        <color theme="1"/>
        <sz val="10.0"/>
      </rPr>
      <t>TADKA</t>
    </r>
    <r>
      <rPr>
        <rFont val="Calibri"/>
        <color theme="1"/>
        <sz val="9.0"/>
      </rPr>
      <t xml:space="preserve">
Heat oil &amp; put tadka. Raost cabbage lightly. It should not become soft but should  remain crisp.
Mix this tadka to the washed murmura, along with the chopped vegetables. Mix in the remaining items. </t>
    </r>
  </si>
  <si>
    <t>Daliya Sweet with gud_eco</t>
  </si>
  <si>
    <t>Jeera Powder (optional)</t>
  </si>
  <si>
    <t>Tomato Chuntey_sgpd</t>
  </si>
  <si>
    <t>Garam Masala</t>
  </si>
  <si>
    <t>Chhunda</t>
  </si>
  <si>
    <t>Chauli Beans with Khas Khas_AjCP</t>
  </si>
  <si>
    <t>Alu Matar Flower Gajar Paneer</t>
  </si>
  <si>
    <t>Tomato, sliced</t>
  </si>
  <si>
    <t>Alu Capsicum: Dry</t>
  </si>
  <si>
    <t>Backup Rice&amp;Dal</t>
  </si>
  <si>
    <t>Chilka mung dal Satvik</t>
  </si>
  <si>
    <t>Atta- Besan Masala Chappati</t>
  </si>
  <si>
    <r>
      <rPr>
        <rFont val="Calibri"/>
        <b/>
        <color theme="1"/>
        <sz val="10.0"/>
      </rPr>
      <t xml:space="preserve"> Vegetables</t>
    </r>
    <r>
      <rPr>
        <rFont val="Calibri"/>
        <color theme="1"/>
        <sz val="9.0"/>
      </rPr>
      <t xml:space="preserve">
Add to the above along with the washed murmura and mix nicely.</t>
    </r>
  </si>
  <si>
    <t>pan</t>
  </si>
  <si>
    <t>Atta Cake_Deepka Pr</t>
  </si>
  <si>
    <t>Bundi_2</t>
  </si>
  <si>
    <t>Costing when fried in Oil</t>
  </si>
  <si>
    <t>Coconut Varai Halva, FFL</t>
  </si>
  <si>
    <t>Alu, Boiled  1" cube</t>
  </si>
  <si>
    <r>
      <rPr>
        <rFont val="Calibri"/>
        <b/>
        <color theme="1"/>
        <sz val="11.0"/>
      </rPr>
      <t>Garnishing &amp; Spicing</t>
    </r>
    <r>
      <rPr>
        <rFont val="Calibri"/>
        <color theme="1"/>
        <sz val="9.0"/>
      </rPr>
      <t xml:space="preserve">
Sprinkle on the above and mix thoroughly</t>
    </r>
  </si>
  <si>
    <t>f</t>
  </si>
  <si>
    <t>Chole Salad</t>
  </si>
  <si>
    <r>
      <rPr>
        <rFont val="Calibri"/>
        <b/>
        <color theme="1"/>
        <sz val="11.0"/>
      </rPr>
      <t xml:space="preserve">Liquid Chutney </t>
    </r>
    <r>
      <rPr>
        <rFont val="Calibri"/>
        <color theme="1"/>
        <sz val="9.0"/>
      </rPr>
      <t xml:space="preserve">.
Mix together into a smooth thuck  liquid chutney. </t>
    </r>
    <r>
      <rPr>
        <rFont val="Calibri"/>
        <b/>
        <color theme="1"/>
        <sz val="10.0"/>
      </rPr>
      <t xml:space="preserve">
</t>
    </r>
    <r>
      <rPr>
        <rFont val="Calibri"/>
        <color theme="1"/>
        <sz val="9.0"/>
      </rPr>
      <t xml:space="preserve">Add to the above and mix. In that case keep the chutney as thick as possible.
</t>
    </r>
  </si>
  <si>
    <t>Lassi</t>
  </si>
  <si>
    <t>Idli with Idli Rava</t>
  </si>
  <si>
    <t>Yield (Big size idli)</t>
  </si>
  <si>
    <t>Udad Dal</t>
  </si>
  <si>
    <t>Soak udad dal  and grind to a fine paste.</t>
  </si>
  <si>
    <t>Idli Rava</t>
  </si>
  <si>
    <t>Total</t>
  </si>
  <si>
    <t>Akkha Methi (optional)</t>
  </si>
  <si>
    <t>Macaroni</t>
  </si>
  <si>
    <t>Macroni, Bambino</t>
  </si>
  <si>
    <t>Boil the water add salt and oil to it. Then add the Macroni to it. Boil for about 5 mins, until almost cooked.Drain the water pour cold water.</t>
  </si>
  <si>
    <t>Groundnut Oil (For Boiling)</t>
  </si>
  <si>
    <t xml:space="preserve">Heat Oil , hing and Black Pepper Powder. Immediately add the paste below. </t>
  </si>
  <si>
    <t>Kashmiri Mirchi, Soaked</t>
  </si>
  <si>
    <t>Make a paste of it without adding any water. Add to the above chaunk. Roast until the masala is nicely roasted.</t>
  </si>
  <si>
    <t>French Beans, 1" slant cut</t>
  </si>
  <si>
    <t>Now add the veggies one by one in the same order, roast until they are crisp and almost cooked. Then add the tomato puree. Cook until oil starts surfacing. Then add the salt, sugar followed by ( Rosemary, Oregano and basil (if using)). Finally add the cooked macroni. Cook for about 10 mins. Add boiling water if reqd. Add the Dhaniya patta(if using)</t>
  </si>
  <si>
    <t>Carrot, 4 mm pulao cut</t>
  </si>
  <si>
    <t>Baby Corn, slant cut</t>
  </si>
  <si>
    <t>Capsicum, 1 cm square</t>
  </si>
  <si>
    <t>Corn Kernels, boil separately</t>
  </si>
  <si>
    <t>Green Peas</t>
  </si>
  <si>
    <t>Tomato(Red) Boil &amp; Puree</t>
  </si>
  <si>
    <t>Mung dal, boil &amp; pulverize with tomato</t>
  </si>
  <si>
    <t>Dry Rosemary, crushed</t>
  </si>
  <si>
    <t>Dry Oregano</t>
  </si>
  <si>
    <t>Basil, chopped</t>
  </si>
  <si>
    <t>Dhaniya Patta, chopped</t>
  </si>
  <si>
    <t xml:space="preserve"> Masala/Plain Dosa</t>
  </si>
  <si>
    <t>Plain Dosa</t>
  </si>
  <si>
    <t>Boiled Rice</t>
  </si>
  <si>
    <t>Wash both the rice together and soak. Wash Udad Dal  thoroughly 2-3 times and soak. Soak rava and methi separately. Soak all items for about 4 hrs. Then grind them to a smooth paste in ragda. Allow to ferment for atleast 6-8 hrs. then mix the sugar and salt. and make dosa's. Spread  masala if using.</t>
  </si>
  <si>
    <t>Mota Rava (optional)</t>
  </si>
  <si>
    <t>Masala Dosa</t>
  </si>
  <si>
    <t>Groundnut Oil, for cooking</t>
  </si>
  <si>
    <t>Masala Yield</t>
  </si>
  <si>
    <t>Heat oil, put tadka. Add cabage. Roast until translucent. Then add the chopped Tomato and fry until cooked and oil is separated. Then add the powder masala's. Mix. then add the mashed Alues. Cook nicely and finallly mix in  the grated coconut &amp; Dhaniya patta.</t>
  </si>
  <si>
    <t>Chana Dal</t>
  </si>
  <si>
    <t>Green Chilli, chopped fine</t>
  </si>
  <si>
    <t>Cabbage, thin &amp; long</t>
  </si>
  <si>
    <t>Powder Masala</t>
  </si>
  <si>
    <t>Alu, peel, boil &amp; mash roughly</t>
  </si>
  <si>
    <t>Wet Coconut, grated</t>
  </si>
  <si>
    <t>nos.</t>
  </si>
  <si>
    <t>Remove from fire &amp; mix</t>
  </si>
  <si>
    <t>Medu Vada</t>
  </si>
  <si>
    <t>Yield (Big size Vada)</t>
  </si>
  <si>
    <t>Yield (medium size Vada)</t>
  </si>
  <si>
    <t>Yield (small size Vada)</t>
  </si>
  <si>
    <t>Udad dal</t>
  </si>
  <si>
    <t>Soak udad dal for 2 hrs, make a coarse paste. Allow to ferment for 4-5 hrs. Then mix salt, hing, Curry Leaves, chopped Green Chilli, thin coconut pieces and jeera.  Fry it in oil.</t>
  </si>
  <si>
    <t>Wet Coconut, sliced thin</t>
  </si>
  <si>
    <t>Green Chilli, Chopped</t>
  </si>
  <si>
    <t>Ginger, Chopped fine</t>
  </si>
  <si>
    <t>Curry Leaves, chopped fine</t>
  </si>
  <si>
    <t>Pesarettu (Green Mung Dosa)</t>
  </si>
  <si>
    <t>Andhra</t>
  </si>
  <si>
    <t>Akha Mung</t>
  </si>
  <si>
    <t>kg</t>
  </si>
  <si>
    <t>Soak Rice &amp; Mung separately  &gt; 4hrs. Wash, drain. Pulverize rice separtely. And pulverize mung with all the spices to a  coarse batter. Mix the two batters. Add water if reqd to get a batter of flowing consistency
Heat Tava, Apply ghee/oil and spread it using a  ladle or back of a serving bowl. Pour Oil roast both sides.</t>
  </si>
  <si>
    <t>Rice, Parboiled</t>
  </si>
  <si>
    <t>Green Chillies</t>
  </si>
  <si>
    <r>
      <rPr>
        <rFont val="Calibri"/>
        <b/>
        <color theme="1"/>
        <sz val="11.0"/>
        <u/>
      </rPr>
      <t xml:space="preserve">30-Jun-2017: </t>
    </r>
    <r>
      <rPr>
        <rFont val="Calibri"/>
        <color theme="1"/>
        <sz val="11.0"/>
      </rPr>
      <t>Besan was used ontime instead of rice, as we forgot to soak rice a day before. It came out good.</t>
    </r>
  </si>
  <si>
    <t>Poha Bhel</t>
  </si>
  <si>
    <t>Poha Thin</t>
  </si>
  <si>
    <t>Also known as nylon/paper poha</t>
  </si>
  <si>
    <r>
      <rPr>
        <rFont val="Calibri"/>
        <b/>
        <color theme="1"/>
        <sz val="10.0"/>
      </rPr>
      <t>TADKA</t>
    </r>
    <r>
      <rPr>
        <rFont val="Calibri"/>
        <color theme="1"/>
        <sz val="9.0"/>
      </rPr>
      <t xml:space="preserve">
Heat oil, fry the shenghdana keep aside. Then put tadka. Raost Poha lightly. It should become  crisp.
Add the chopped vegetable along with the Powder Masala's. Mix nicely. Sprinkle some water if reqd. Finally garnish with Dhaniya Patta.</t>
    </r>
  </si>
  <si>
    <t>Green Chilli, Slit in 2</t>
  </si>
  <si>
    <t>Alu, Peel &amp; 1 cm cube</t>
  </si>
  <si>
    <t>Boil the alu's with the salt and little haldi. Should be little stiff</t>
  </si>
  <si>
    <t>Add to the roasted poha the Green Chilli, Kakdi, Carrot, dhaniya Patta and Boiled alu's and Tomato(drain the excess juice) one after another in the same order. Then sprinkle the salts and sugar. Mix nicely. Finally add the Lemon juice just few mins before serving.</t>
  </si>
  <si>
    <t>Serve with some liquid beverage cold or hot as per season.
Can  also serve lemon slices to be squeezed from top.</t>
  </si>
  <si>
    <t>Poha Ujjain with Alu Matar(3Batches)</t>
  </si>
  <si>
    <t>Poha Ujjain with Alu Matar</t>
  </si>
  <si>
    <t>Yeild New Observation NSD</t>
  </si>
  <si>
    <t>Poha Ujjain, soak for 5-6 mins. Then drain the water.</t>
  </si>
  <si>
    <t>Poha Ujjain</t>
  </si>
  <si>
    <t>Health Khichadi</t>
  </si>
  <si>
    <t>Kakdi Raita</t>
  </si>
  <si>
    <t>Batatta Vada</t>
  </si>
  <si>
    <t>Panch Phoron</t>
  </si>
  <si>
    <t>Bhel_MKD</t>
  </si>
  <si>
    <t>Byadgi Mirchi</t>
  </si>
  <si>
    <t>Green chilli</t>
  </si>
  <si>
    <t>Corn flour</t>
  </si>
  <si>
    <t>Heat Oil, fry groundnut keep aside. Add Rai and Green Chilli. When chillies are nicely roasted add Curry Leaves followed by hing and Haldi. Add vegetables with hardest firm and softest last. Cook until partially cooked then add the soaked poha, fried groundnut, salt and sugar. Finally mix in the lemon juice and Dhaniya Patta.</t>
  </si>
  <si>
    <t xml:space="preserve">Milk </t>
  </si>
  <si>
    <t>Meetha Chawal_eco</t>
  </si>
  <si>
    <t xml:space="preserve">Garam Masala,Bengali </t>
  </si>
  <si>
    <t>Green Coconut Chutney</t>
  </si>
  <si>
    <t>HG SGPP</t>
  </si>
  <si>
    <t>Heat Oil. Fry Shenghdana, Phutana dal and Green Chilli. Keep aside. Paste all ingredients and add water accordingly to get yield.</t>
  </si>
  <si>
    <t>Groundnut Oil, for frying</t>
  </si>
  <si>
    <t>Condensed Vol</t>
  </si>
  <si>
    <t xml:space="preserve">Sugar </t>
  </si>
  <si>
    <t>Lomon Katta meeta achar</t>
  </si>
  <si>
    <t>Optional, Can be avoided if want white color chutney</t>
  </si>
  <si>
    <t>Chole Poriyal</t>
  </si>
  <si>
    <t>Alu Matar Gajar Pattagobhi</t>
  </si>
  <si>
    <t>Alu Chokha</t>
  </si>
  <si>
    <t>Bhagara Rice</t>
  </si>
  <si>
    <t>Mung Dal Fry</t>
  </si>
  <si>
    <t>Green Coconut Chutney_NSD</t>
  </si>
  <si>
    <t>Carrot Parathas</t>
  </si>
  <si>
    <t>Atta Halva</t>
  </si>
  <si>
    <t xml:space="preserve">    </t>
  </si>
  <si>
    <t>Boondi Laddu_NPP</t>
  </si>
  <si>
    <t xml:space="preserve">Add at Last. </t>
  </si>
  <si>
    <t>Dry Fruit Custard_Ekadashi</t>
  </si>
  <si>
    <t>Manchow soup _Simple</t>
  </si>
  <si>
    <t>Coconut Tomato Chutney 2</t>
  </si>
  <si>
    <t>Sunday Khichadi</t>
  </si>
  <si>
    <t>Alu, Peel, boil &amp; cut 1" cube</t>
  </si>
  <si>
    <t>Boondi Raita</t>
  </si>
  <si>
    <t>Rose water</t>
  </si>
  <si>
    <r>
      <rPr>
        <rFont val="Calibri"/>
        <b/>
        <color theme="1"/>
        <sz val="11.0"/>
      </rPr>
      <t>Alu+ matar</t>
    </r>
    <r>
      <rPr>
        <rFont val="Calibri"/>
        <color theme="1"/>
        <sz val="11.0"/>
      </rPr>
      <t xml:space="preserve">
</t>
    </r>
    <r>
      <rPr>
        <rFont val="Calibri"/>
        <color theme="1"/>
        <sz val="9.0"/>
      </rPr>
      <t>Boil separately with little haldi and drain.
NOTE: Groundnut can be avoided</t>
    </r>
  </si>
  <si>
    <t>Bundi_Prithvi (Plain)</t>
  </si>
  <si>
    <t xml:space="preserve">     </t>
  </si>
  <si>
    <t>FFL Rava Halva_Eco</t>
  </si>
  <si>
    <t>Goda Masala</t>
  </si>
  <si>
    <t>Akka dhaniya</t>
  </si>
  <si>
    <t>Dhaniya  Patha</t>
  </si>
  <si>
    <t>Badam, Chopped</t>
  </si>
  <si>
    <t>For garnishing.
OPTIONAL</t>
  </si>
  <si>
    <t>Green Coconut Chutney_VRLP</t>
  </si>
  <si>
    <t>paste all the items</t>
  </si>
  <si>
    <t>Mango Pickle_prthvi p</t>
  </si>
  <si>
    <t>Beans Gajar Poriyal</t>
  </si>
  <si>
    <r>
      <rPr>
        <rFont val="Calibri"/>
        <b/>
        <color theme="1"/>
        <sz val="11.0"/>
      </rPr>
      <t>Alu+ matar</t>
    </r>
    <r>
      <rPr>
        <rFont val="Calibri"/>
        <color theme="1"/>
        <sz val="11.0"/>
      </rPr>
      <t xml:space="preserve">
</t>
    </r>
    <r>
      <rPr>
        <rFont val="Calibri"/>
        <color theme="1"/>
        <sz val="9.0"/>
      </rPr>
      <t>Boil separately with little haldi and drain.
NOTE: Groundnut can be avoided</t>
    </r>
  </si>
  <si>
    <t>Salt for Alu</t>
  </si>
  <si>
    <t>Alu Matar Paneer Palak</t>
  </si>
  <si>
    <t>Pista Chopped</t>
  </si>
  <si>
    <t>Green peas</t>
  </si>
  <si>
    <t>No chowk</t>
  </si>
  <si>
    <t>salt for Peas</t>
  </si>
  <si>
    <t>Alu Churchuri</t>
  </si>
  <si>
    <t>Biryani_Kolkata</t>
  </si>
  <si>
    <t xml:space="preserve">Dal Fry </t>
  </si>
  <si>
    <t>Masala Chappati/Puri</t>
  </si>
  <si>
    <t>Banana Rava Halva</t>
  </si>
  <si>
    <t>Dry Coconut Balls</t>
  </si>
  <si>
    <t>Ekadashi Curd Kadhi</t>
  </si>
  <si>
    <t xml:space="preserve">Mung Kakdi Tomato salad </t>
  </si>
  <si>
    <t>Green Chetney_Sample</t>
  </si>
  <si>
    <t>Millet Bisibilebath_Madhavi mji</t>
  </si>
  <si>
    <t xml:space="preserve"> Lemon Grass Tea</t>
  </si>
  <si>
    <t>Dhahi Aamti</t>
  </si>
  <si>
    <t>Put lemon grass and Ginger, Grated and bring to a boil. Simmer covereed for 30 mins. Then add sugar. Bring to a boil again. Strain it. And finally add lemon juice</t>
  </si>
  <si>
    <t>Cabbage Pakoda</t>
  </si>
  <si>
    <t>Daliya Pulao</t>
  </si>
  <si>
    <t>Rava Halva_Quick &amp; eco</t>
  </si>
  <si>
    <t>Poha MH with Alu Matar</t>
  </si>
  <si>
    <t>Ginger Tea</t>
  </si>
  <si>
    <t>Khajur Imli Chutney_ SGPD</t>
  </si>
  <si>
    <t>Melkote Rasam Masala</t>
  </si>
  <si>
    <t xml:space="preserve">Regular Poha, put in water and remove immediately. </t>
  </si>
  <si>
    <t>Poha Maharashtrian</t>
  </si>
  <si>
    <t>Mango Pickle_prthvi p 2</t>
  </si>
  <si>
    <r>
      <rPr>
        <rFont val="Calibri"/>
        <b/>
        <color theme="1"/>
        <sz val="11.0"/>
      </rPr>
      <t>Alu+ matar</t>
    </r>
    <r>
      <rPr>
        <rFont val="Calibri"/>
        <color theme="1"/>
        <sz val="11.0"/>
      </rPr>
      <t xml:space="preserve">
</t>
    </r>
    <r>
      <rPr>
        <rFont val="Calibri"/>
        <color theme="1"/>
        <sz val="9.0"/>
      </rPr>
      <t>Boil separately with little haldi and drain.
NOTE: Groundnut can be avoided</t>
    </r>
  </si>
  <si>
    <t>Beetroot Churchuri</t>
  </si>
  <si>
    <t>Alu Matar Phulgobhi Rasawala</t>
  </si>
  <si>
    <t>Boiling water</t>
  </si>
  <si>
    <t xml:space="preserve">Alu Dry with Tomato: S. I. Style </t>
  </si>
  <si>
    <t>Biryani_RVCK</t>
  </si>
  <si>
    <t>Dalma_New</t>
  </si>
  <si>
    <t>Poha Ujjain with Veg</t>
  </si>
  <si>
    <t>Lemon Grass, chopped 2" long</t>
  </si>
  <si>
    <t>Basundi_skkd</t>
  </si>
  <si>
    <t>Gulab Jamun_ with Rava</t>
  </si>
  <si>
    <t>Medium size cost</t>
  </si>
  <si>
    <t>Ekadashi Kokam Kadhi</t>
  </si>
  <si>
    <t>Khajur  Without Seeds</t>
  </si>
  <si>
    <t>Mayonisee Salad</t>
  </si>
  <si>
    <t>Non Spicy Millet Kichidi 1</t>
  </si>
  <si>
    <t>Sole Khadi</t>
  </si>
  <si>
    <t>Cabbage Palak Pakoda_NPP</t>
  </si>
  <si>
    <t>Shakkar Pongal_ eco</t>
  </si>
  <si>
    <t xml:space="preserve">Imli, Pulp </t>
  </si>
  <si>
    <t>Panch Phoran</t>
  </si>
  <si>
    <t>Carrot, 1 cm cubes</t>
  </si>
  <si>
    <t>Mango Pickle_Balaram's mother</t>
  </si>
  <si>
    <r>
      <rPr>
        <rFont val="Calibri"/>
        <color theme="1"/>
        <sz val="8.0"/>
      </rPr>
      <t xml:space="preserve">While using this recipe, copy and delete/add veg used. To get the right salt quantity .
</t>
    </r>
    <r>
      <rPr>
        <rFont val="Calibri"/>
        <b/>
        <color theme="1"/>
        <sz val="8.0"/>
      </rPr>
      <t>NOTE:</t>
    </r>
    <r>
      <rPr>
        <rFont val="Calibri"/>
        <color theme="1"/>
        <sz val="8.0"/>
      </rPr>
      <t xml:space="preserve"> if using green peas then groundnut may be avoided.
</t>
    </r>
    <r>
      <rPr>
        <rFont val="Calibri"/>
        <b/>
        <color theme="1"/>
        <sz val="8.0"/>
      </rPr>
      <t>We can also use other vegetables like beans and flower.</t>
    </r>
  </si>
  <si>
    <t>Cabbage, 1 cm square</t>
  </si>
  <si>
    <t>Oil</t>
  </si>
  <si>
    <t>Beetroot dry sabji</t>
  </si>
  <si>
    <t>Total Veg</t>
  </si>
  <si>
    <t>Salt for Veg</t>
  </si>
  <si>
    <t>Akka Dhainya</t>
  </si>
  <si>
    <t>Alu Mater with Puri_HG SMP</t>
  </si>
  <si>
    <t>Tej Patta</t>
  </si>
  <si>
    <t>Alu Gajar Beans: Dry</t>
  </si>
  <si>
    <t>Chilli Powder</t>
  </si>
  <si>
    <t>Cabbage Rice (Indian Chainees Rice)</t>
  </si>
  <si>
    <t>Roasted Dhaniya Powder</t>
  </si>
  <si>
    <t>Compiled Before</t>
  </si>
  <si>
    <t>Elissary</t>
  </si>
  <si>
    <t>Generally 100 lemons gives 1-1.5 L Juice</t>
  </si>
  <si>
    <t>Poha MH with Veg</t>
  </si>
  <si>
    <t>Beetroot Halva</t>
  </si>
  <si>
    <t>Pudina Lemon Juice</t>
  </si>
  <si>
    <t>Kadi Shkkar &amp; Groundnut</t>
  </si>
  <si>
    <t>Ekadasi Millet Poha with veg</t>
  </si>
  <si>
    <t>Kakdi gajar salad(simple)</t>
  </si>
  <si>
    <t>Green Coconut chetney_ND</t>
  </si>
  <si>
    <t>Non Spicy Millet Kichidi 2</t>
  </si>
  <si>
    <t>Chakra Frymes</t>
  </si>
  <si>
    <t>Hare Krishna Bhel:wet</t>
  </si>
  <si>
    <t>Mungdal Payasam_eco</t>
  </si>
  <si>
    <t>Rasam Powder</t>
  </si>
  <si>
    <t>Incomplete recipe</t>
  </si>
  <si>
    <t>Barti Karela</t>
  </si>
  <si>
    <r>
      <rPr>
        <rFont val="Calibri"/>
        <color theme="1"/>
        <sz val="8.0"/>
      </rPr>
      <t xml:space="preserve">While using this recipe, copy and delete/add veg used. To get the right salt quantity .
</t>
    </r>
    <r>
      <rPr>
        <rFont val="Calibri"/>
        <b/>
        <color theme="1"/>
        <sz val="8.0"/>
      </rPr>
      <t>NOTE:</t>
    </r>
    <r>
      <rPr>
        <rFont val="Calibri"/>
        <color theme="1"/>
        <sz val="8.0"/>
      </rPr>
      <t xml:space="preserve"> if using green peas then groundnut may be avoided.
</t>
    </r>
    <r>
      <rPr>
        <rFont val="Calibri"/>
        <b/>
        <color theme="1"/>
        <sz val="8.0"/>
      </rPr>
      <t>We can also use other vegetables like beans and flower.</t>
    </r>
  </si>
  <si>
    <t>Green chetney_Sample</t>
  </si>
  <si>
    <t>Alu Matar/Corn</t>
  </si>
  <si>
    <t>Alu Gajar Chauli: Dry</t>
  </si>
  <si>
    <t>Cabbage mater Rice_Biryani Style</t>
  </si>
  <si>
    <t>Kerala Style Dal</t>
  </si>
  <si>
    <t>Dhaniya Patha</t>
  </si>
  <si>
    <t>Gaddi</t>
  </si>
  <si>
    <t>Pudina</t>
  </si>
  <si>
    <t>Ginger Paste</t>
  </si>
  <si>
    <t>Green cheilli Paste</t>
  </si>
  <si>
    <t>Groundnuts</t>
  </si>
  <si>
    <t>Poha_quick</t>
  </si>
  <si>
    <t>Putana dal</t>
  </si>
  <si>
    <t>Regular Poha, put in water and remove immediately.</t>
  </si>
  <si>
    <t>Mango Juice_Thin</t>
  </si>
  <si>
    <r>
      <rPr>
        <rFont val="Arial"/>
        <color theme="1"/>
        <sz val="11.0"/>
      </rPr>
      <t xml:space="preserve">Mix all together. Chill. 
** If Mango are sour then we may have to reduce citric acid or completely avoid it.
** And iIf mangoes are very sweet than we will need more citric acid (upto 35 gm per 100 L) 
</t>
    </r>
    <r>
      <rPr>
        <rFont val="Arial"/>
        <b/>
        <color theme="1"/>
        <sz val="11.0"/>
      </rPr>
      <t>So be careful and watchful.</t>
    </r>
    <r>
      <rPr>
        <rFont val="Arial"/>
        <color theme="1"/>
        <sz val="11.0"/>
      </rPr>
      <t xml:space="preserve">
</t>
    </r>
    <r>
      <rPr>
        <rFont val="Arial"/>
        <b/>
        <color theme="1"/>
        <sz val="11.0"/>
      </rPr>
      <t>NOTE:- Ideally there should be mixture of ripe and little sour mangoes</t>
    </r>
  </si>
  <si>
    <t>Regular POHA</t>
  </si>
  <si>
    <t>Mango (approx)</t>
  </si>
  <si>
    <t>Beetroot Halva eco_skkp</t>
  </si>
  <si>
    <t>Khaja</t>
  </si>
  <si>
    <t>Recipe to be finalized
with Arjun Pr</t>
  </si>
  <si>
    <t>Sugar(Extra)</t>
  </si>
  <si>
    <t>Ekadashi Mix Veg</t>
  </si>
  <si>
    <t>Sweet Corn Soup</t>
  </si>
  <si>
    <t>Green Coconut chetney_HG VRLP</t>
  </si>
  <si>
    <t>Non Spicy Millet Kichidi 3</t>
  </si>
  <si>
    <t>Chenna Dal Wada</t>
  </si>
  <si>
    <t>Imli Gud Chutney_Kohlapuri BHEL</t>
  </si>
  <si>
    <t>Sambhar Masala</t>
  </si>
  <si>
    <t>Milk (cold)</t>
  </si>
  <si>
    <t>Akka mung dry</t>
  </si>
  <si>
    <t>Sendha Namak</t>
  </si>
  <si>
    <t>Sevai Pulao</t>
  </si>
  <si>
    <t>Kashmiri Mirchi powder</t>
  </si>
  <si>
    <t>Byadgi Mirchi Powder</t>
  </si>
  <si>
    <t>Edited By NSD</t>
  </si>
  <si>
    <t>Alu Padval in VCT gravy</t>
  </si>
  <si>
    <t>Sevai</t>
  </si>
  <si>
    <t>Boil water, add oil, salt and haldi to it. When boiling add sevai. Bring to aboil. Boil for 2 mins. Put off flame, add cold water. Remove the sevai in jali. Add cold water on it.</t>
  </si>
  <si>
    <t>Alu Gavarphali with Shenghdana</t>
  </si>
  <si>
    <t>Sevai Pulao with rice</t>
  </si>
  <si>
    <t>Carrot Capsicum Corn Rice_SGPP</t>
  </si>
  <si>
    <t>Water For Boiling</t>
  </si>
  <si>
    <t>Citric Acid</t>
  </si>
  <si>
    <t>Besan Rava Halva</t>
  </si>
  <si>
    <t>Recipe to be finalized</t>
  </si>
  <si>
    <t>Millet Cookies</t>
  </si>
  <si>
    <t>Cold water</t>
  </si>
  <si>
    <t>Ekadashi Simple Alu Sabji</t>
  </si>
  <si>
    <t>Kesari Color</t>
  </si>
  <si>
    <t>Groundnut Oil (For Chaunk)</t>
  </si>
  <si>
    <t>Tamato Soup RGM</t>
  </si>
  <si>
    <t>Mango Flavor</t>
  </si>
  <si>
    <t>Non Spicy Millet Kichidi 4</t>
  </si>
  <si>
    <t>Pulao masala</t>
  </si>
  <si>
    <t xml:space="preserve">Corn Flakes </t>
  </si>
  <si>
    <t>Byadgi Mirchi (broken)</t>
  </si>
  <si>
    <t>Macroni</t>
  </si>
  <si>
    <t>Mango Juice_medium</t>
  </si>
  <si>
    <t>Pavta sabji</t>
  </si>
  <si>
    <t>Green Chilli (split in 2)</t>
  </si>
  <si>
    <r>
      <rPr>
        <rFont val="Arial"/>
        <color theme="1"/>
        <sz val="8.0"/>
      </rPr>
      <t xml:space="preserve">Mix all together. Chill. 
** If Mango are sour then we may have to reduce citric acid or completely avoid it.
** And iIf mangoes are very sweet than we will need more citric acid (upto 35 gm per 100 L) 
</t>
    </r>
    <r>
      <rPr>
        <rFont val="Arial"/>
        <b/>
        <color theme="1"/>
        <sz val="8.0"/>
      </rPr>
      <t>So be careful and watchful.</t>
    </r>
    <r>
      <rPr>
        <rFont val="Arial"/>
        <color theme="1"/>
        <sz val="8.0"/>
      </rPr>
      <t xml:space="preserve">
</t>
    </r>
    <r>
      <rPr>
        <rFont val="Arial"/>
        <b/>
        <color theme="1"/>
        <sz val="8.0"/>
      </rPr>
      <t>NOTE:- Ideally there should be mixture of ripe and little sour mangoes</t>
    </r>
  </si>
  <si>
    <t>Alu Padval_HG PKP</t>
  </si>
  <si>
    <t xml:space="preserve">Alu Karela </t>
  </si>
  <si>
    <t>Carrot Palak  Rice</t>
  </si>
  <si>
    <t>Mung Dal Makhani</t>
  </si>
  <si>
    <t>Boondi Kheer</t>
  </si>
  <si>
    <t>Ravva Laddu</t>
  </si>
  <si>
    <t>36gm Per Pc Cost</t>
  </si>
  <si>
    <t>French Beans, 1/2" pieces</t>
  </si>
  <si>
    <t>Ekadasi Idli</t>
  </si>
  <si>
    <t>We can choose the vegetables as per availability and budget.</t>
  </si>
  <si>
    <t>Yellow Mung dal salad</t>
  </si>
  <si>
    <t>Capsicum, thin slices</t>
  </si>
  <si>
    <t>Khajur Imli Chetney_SGPP</t>
  </si>
  <si>
    <t>Carrot, 4 mm slices</t>
  </si>
  <si>
    <t>Non Spicy Millet Kichidi 5</t>
  </si>
  <si>
    <t>Dhokla</t>
  </si>
  <si>
    <t xml:space="preserve">Grean Peas, parboiled </t>
  </si>
  <si>
    <t>Makkan Dosa_HG VRLP</t>
  </si>
  <si>
    <t>Total Vegetables</t>
  </si>
  <si>
    <t>Salt, extra for Veg</t>
  </si>
  <si>
    <t>Keri Panna</t>
  </si>
  <si>
    <t>Shahi Biryani Masala</t>
  </si>
  <si>
    <t>Wet Coconut (optional)</t>
  </si>
  <si>
    <t>Baingan_sabji</t>
  </si>
  <si>
    <t>Arbi  Patta Sabji 1</t>
  </si>
  <si>
    <t>Alu Methi</t>
  </si>
  <si>
    <t>Carrot Peas Corn Kismis Rice</t>
  </si>
  <si>
    <t>Sevai Upma</t>
  </si>
  <si>
    <t>Dal Makhani with udad_thin</t>
  </si>
  <si>
    <t>Musk Melon juice</t>
  </si>
  <si>
    <t xml:space="preserve">CUT MM INTO HALF ( SEMI CIRCULAR) N TAKE OUT THE PULP. ( FOR EASY REMOVAL, USE   SEMI CIRCULAR STEEL SPOON). SEPARATE THE SEEDS.  PULVERIZE THE PULP WITH SUGAR AND MAKE IT TO Yield VOLUME.AND ADD ICE. </t>
  </si>
  <si>
    <t>Roast sevai in oil, until golden brown.</t>
  </si>
  <si>
    <t>Butter Halva</t>
  </si>
  <si>
    <t>Musk melon</t>
  </si>
  <si>
    <t>Groundnut Oil (For Roast)</t>
  </si>
  <si>
    <t>Rava Laddu_NSD</t>
  </si>
  <si>
    <t xml:space="preserve">Heat Oil , put rai and chana dal, when chana dal is lightly roasted add the udad dal. When both dal are  reddish, add Green Chilli and ginger, roast until ginger is crisp. Then add hing followed by Curry Leaves. </t>
  </si>
  <si>
    <t>Ekadasi Sambar</t>
  </si>
  <si>
    <t>Net weight of pulp</t>
  </si>
  <si>
    <t>Shenghdana Chutney (Spicy)</t>
  </si>
  <si>
    <t>farsan_Govinda's</t>
  </si>
  <si>
    <t>Rajgira Malt</t>
  </si>
  <si>
    <t>Malliga Idli_VRLP</t>
  </si>
  <si>
    <t>Roast Rajgira in ghee. Then mix this in water and add to the boiling water. Pulverize the dates/kharik with gud. And add to the boiling rajgira malt. Boil for 15-20 mins.  Finally add the elaichi Powder.</t>
  </si>
  <si>
    <t>Rajgira Atta</t>
  </si>
  <si>
    <t>Add these veggies to the above chaunk in the same order. Roast until they are partially cooked.Then add the chopped Tomato cook until they turn soft.</t>
  </si>
  <si>
    <t>Cabbage, shredded</t>
  </si>
  <si>
    <t>Corn Kernels / Green Peas</t>
  </si>
  <si>
    <t>Tomato, chopped/puree</t>
  </si>
  <si>
    <t xml:space="preserve">Now add the boiling water, salt and sugar. Bring to a boil. Simmer for about 10 mins. Then add the roasted sevai. Cook at high flame until most of the water is absorbed. Now reduce the flame and cook covered, under weight for 15 mins. Finally mix in the lemon juice and Dhaniya Patta. </t>
  </si>
  <si>
    <t>Ghee For Roasting</t>
  </si>
  <si>
    <t>Goshaval wet</t>
  </si>
  <si>
    <t>Wet Coconut, grated (optional)</t>
  </si>
  <si>
    <t>salt (optional)</t>
  </si>
  <si>
    <t>Brown Sugar</t>
  </si>
  <si>
    <t>Aviyal</t>
  </si>
  <si>
    <t>Sevai_Maggi Style</t>
  </si>
  <si>
    <t>Alu Padval: Dry</t>
  </si>
  <si>
    <t>Carrot Peas Rice</t>
  </si>
  <si>
    <t>Mung Dal Makhani_eco</t>
  </si>
  <si>
    <t>Heat Oil add hing immediately followed by  the veggies below</t>
  </si>
  <si>
    <t>Butter Halva with Tooty Fruity</t>
  </si>
  <si>
    <t>Shakkarpali</t>
  </si>
  <si>
    <t>Now add the veggies one by one in the same order, roast until they are crisp and almost cooked. Then add the tomato puree.followed by salt, sugar, roast for few more mins and then add the Boiling water. Boil for 5 mins.Add the roasted sevai. When water is almost absorbed. Reduce flame and cook covered for about 15 mins. 
Then add the tomato sauce made below. Mix nicely and finely mix in the chopped Dhaniya Patta.</t>
  </si>
  <si>
    <t>Ekdashi Alu Churchuri</t>
  </si>
  <si>
    <t>Dates can also be added in addition. But then reduce sugar quantity</t>
  </si>
  <si>
    <t>Mewa Dal Moth</t>
  </si>
  <si>
    <t>Tomato sauce Yield (approx)</t>
  </si>
  <si>
    <t>Masala Dosa with bhaji_VRLP</t>
  </si>
  <si>
    <t xml:space="preserve">Heat oil add rai, hing and Curry Leaves.  Immediately add the chilli paste.. Cook until oil separates. Then add the Sambhar Masala, roast for a min. Then add the (tomato + dal )puree, salt and sugar.  Boil until it is  is condensed to medium thick consistency. Then add the boiling water and mix  the cornflour in little cold water add. Boil until the sauce becomes homogeneous and slightly thick. </t>
  </si>
  <si>
    <t>Kacha Kela sabji</t>
  </si>
  <si>
    <t>Make a paste of it without adding any water. Add to the above chaunk. Roast until the masala is nicely roasted. And oil separates out.</t>
  </si>
  <si>
    <t>NOTE: Don’t Use salt if devotees are going to mix milk in it.</t>
  </si>
  <si>
    <t>Sambhar Masala, everest</t>
  </si>
  <si>
    <t>Alu Papdi: Dry</t>
  </si>
  <si>
    <t>Add to above, followed by Tomato puree below.</t>
  </si>
  <si>
    <t>Coconut Rice</t>
  </si>
  <si>
    <t>Mung Dal Regular</t>
  </si>
  <si>
    <t>Tomato(Red) Boil</t>
  </si>
  <si>
    <t xml:space="preserve">Maharastrian </t>
  </si>
  <si>
    <t>Boil toor dal separately until soft and mushy pulverize with toamtoes to a smooth puree.</t>
  </si>
  <si>
    <t>Toor Dal, soak &amp; boil</t>
  </si>
  <si>
    <t>Chana Kheer_Prithvi</t>
  </si>
  <si>
    <t>Sweet Samosa</t>
  </si>
  <si>
    <t>When the puree becomes slightly thick, add  sugar, salt and boiling water to it. Boil . Then add the corn flour mixture. And boil until the sauce is again thick and homogeneous. Add this to the prepared sevai.</t>
  </si>
  <si>
    <t>Jeera Alu with Senghdana</t>
  </si>
  <si>
    <t>Saunf Juice</t>
  </si>
  <si>
    <t xml:space="preserve">Chana Dal, soak overnight </t>
  </si>
  <si>
    <t>Mix in water and add to the above sauce. Boil</t>
  </si>
  <si>
    <t>Badi Saunf, Powder</t>
  </si>
  <si>
    <t>Murmura Simple</t>
  </si>
  <si>
    <t>Add at last to the sevai-sauce mixture.</t>
  </si>
  <si>
    <t>Masala/Plain Dosa</t>
  </si>
  <si>
    <t xml:space="preserve">Cook together until Chana dal is half cooked. </t>
  </si>
  <si>
    <t>Lemon Grass Tea</t>
  </si>
  <si>
    <t>Susheela_Poshanjit P</t>
  </si>
  <si>
    <t>Papaya with chena</t>
  </si>
  <si>
    <t>Sweet Ragi, Regular(Thin)</t>
  </si>
  <si>
    <t>Beans Gajar Capsicum in Light Gravy</t>
  </si>
  <si>
    <t>Alu Posto ( Alu in Khas Khas Gravy)</t>
  </si>
  <si>
    <t>Corn Capsicum Rice</t>
  </si>
  <si>
    <t>Add these to the above and continue cooking until Chana Dal is almost dissolved. 
Add the paste made below. Boil for 15-20 mins.</t>
  </si>
  <si>
    <t>Mung Dal Varan</t>
  </si>
  <si>
    <t>TejPatta</t>
  </si>
  <si>
    <t>Chocolate Phirni</t>
  </si>
  <si>
    <t>Alu, 1 cm square</t>
  </si>
  <si>
    <t>Til Laddu</t>
  </si>
  <si>
    <t>Kakdi, 1 cm square</t>
  </si>
  <si>
    <t xml:space="preserve">Goda Masala </t>
  </si>
  <si>
    <t>Carrot, Grating</t>
  </si>
  <si>
    <t>Kakdi Raita (ekadashi)</t>
  </si>
  <si>
    <t>Pulverize together</t>
  </si>
  <si>
    <t>Murmura special</t>
  </si>
  <si>
    <t>Kaccha Pappaya alu dry</t>
  </si>
  <si>
    <t>Khopra, 3 mm slices</t>
  </si>
  <si>
    <t xml:space="preserve">Roast ragi in ghee. Until lightly browned and fragrant. Mix in some water. Make a smooth paste, use pulverizer if reqd. Add to the boiling water. Boil for 15-20 mins. Then add the appropriate. Also pulverize the dates(if using) and add to the above mixture. Finally add the elaichi Powder and done. If using Ginger, Grated add it with the ragi paste.
</t>
  </si>
  <si>
    <t>Bindi_semi wet</t>
  </si>
  <si>
    <t>Ragi Flour</t>
  </si>
  <si>
    <t>Arbi Baingan_RGM</t>
  </si>
  <si>
    <t>Fry the khopra &amp; Kashmiri Mirch in the chaunk oil until brown. Pulverize them  with other other items  to a fine paste.</t>
  </si>
  <si>
    <t>Curd Rice</t>
  </si>
  <si>
    <t>Mung Dal,  With Sabji</t>
  </si>
  <si>
    <t xml:space="preserve">Chocolate Rava Halva </t>
  </si>
  <si>
    <t>Wet coconut balls</t>
  </si>
  <si>
    <t>Upma W/o Veg</t>
  </si>
  <si>
    <t>Groundnut, roasted &amp; skinned</t>
  </si>
  <si>
    <t>Milk-Fruit Salad_Ekadasi_KKP</t>
  </si>
  <si>
    <t>White Til, roasted</t>
  </si>
  <si>
    <t>Motta Rava</t>
  </si>
  <si>
    <t>Roast till golden yellow.</t>
  </si>
  <si>
    <t>Add and coook for another 10 - 15 mins</t>
  </si>
  <si>
    <t>salt (optional )</t>
  </si>
  <si>
    <t>Poha CHUDA</t>
  </si>
  <si>
    <t>Put tadka and boil for another 5 mins</t>
  </si>
  <si>
    <t>Channa Dal</t>
  </si>
  <si>
    <t>Millet Idli(Jawari flour)</t>
  </si>
  <si>
    <t>Adjust to get the target yield</t>
  </si>
  <si>
    <t>Cabbage, 2cm square</t>
  </si>
  <si>
    <t>Chole Paneer Rajma</t>
  </si>
  <si>
    <t>Tomatoes, chopped</t>
  </si>
  <si>
    <t>Besan (Pitla)</t>
  </si>
  <si>
    <t>Grren Peas</t>
  </si>
  <si>
    <t>Arbi_Dry</t>
  </si>
  <si>
    <t>Home</t>
  </si>
  <si>
    <t>Dry Fruit Rice 2</t>
  </si>
  <si>
    <t>Rasam  BY Karthik</t>
  </si>
  <si>
    <t>Ugadi Special Juice_Telangana</t>
  </si>
  <si>
    <t>Coconut Rava Halva</t>
  </si>
  <si>
    <t>Add ice for chil</t>
  </si>
  <si>
    <t>Milk-Fruit Salad_Ekadasi_Prthvi p</t>
  </si>
  <si>
    <t>NOTE: We can also make Udad Dal aamti by replacing Chana Dal with Udad Dal</t>
  </si>
  <si>
    <t>Jaggery</t>
  </si>
  <si>
    <t>Tamirind</t>
  </si>
  <si>
    <t>Wet coconut, Grated</t>
  </si>
  <si>
    <t>Chilka Mung Dal Satvik</t>
  </si>
  <si>
    <t>Chilka Mung dal</t>
  </si>
  <si>
    <t>Cook together</t>
  </si>
  <si>
    <t>Akkha Mung, soak overnight</t>
  </si>
  <si>
    <t>Sweet Corn Wada</t>
  </si>
  <si>
    <t>No</t>
  </si>
  <si>
    <t>Millet Masala dosa_VRLP</t>
  </si>
  <si>
    <t>Ghee</t>
  </si>
  <si>
    <t>Kacha Mango, Grated</t>
  </si>
  <si>
    <t>Put chaunk in the same order. Cook for sometime. Add to the cooked dal</t>
  </si>
  <si>
    <t>Kaju</t>
  </si>
  <si>
    <t xml:space="preserve">Jeera  </t>
  </si>
  <si>
    <t>Mango Juice_Medium</t>
  </si>
  <si>
    <t>Badam</t>
  </si>
  <si>
    <t>Neem Flower Petals</t>
  </si>
  <si>
    <r>
      <rPr>
        <rFont val="Calibri"/>
        <b/>
        <color theme="1"/>
        <sz val="11.0"/>
      </rPr>
      <t xml:space="preserve">Optional
</t>
    </r>
    <r>
      <rPr>
        <rFont val="Calibri"/>
        <color theme="1"/>
        <sz val="11.0"/>
      </rPr>
      <t>add at last</t>
    </r>
  </si>
  <si>
    <t>Besan Panner _DHD</t>
  </si>
  <si>
    <t>Ginger, Chopped</t>
  </si>
  <si>
    <t>Coconut grated</t>
  </si>
  <si>
    <t>Baingan Bharta</t>
  </si>
  <si>
    <t>Sugar/Gud</t>
  </si>
  <si>
    <t>Dum Biryani_NPP</t>
  </si>
  <si>
    <t>Rasam with Ready made Rasam Powder</t>
  </si>
  <si>
    <t>Corn halwa_skkd</t>
  </si>
  <si>
    <t>Sweet Ragi, Regular with gudu</t>
  </si>
  <si>
    <t>Bajra Raab, Regular_skkd</t>
  </si>
  <si>
    <t>Rajgira Halva</t>
  </si>
  <si>
    <t>Millet Poha with Veg_skkd</t>
  </si>
  <si>
    <t>Bajra Flour</t>
  </si>
  <si>
    <t>Dal Fry_Thick</t>
  </si>
  <si>
    <t>Musk melon juice</t>
  </si>
  <si>
    <t>special formula</t>
  </si>
  <si>
    <t>NOTE: Mota/jada rava is good for upma. If the rava we are using is very fine we have to use more oil else the upma will become very sticky.</t>
  </si>
  <si>
    <t>Bhendi with Groundnut Kaju Gravy</t>
  </si>
  <si>
    <t>Batata Bhaji_VRLP</t>
  </si>
  <si>
    <t>Upma with Veg</t>
  </si>
  <si>
    <t>Hydarabad Biryani_Sunday</t>
  </si>
  <si>
    <t>Sambar_Kikp</t>
  </si>
  <si>
    <t>Curd-Fruit Salad</t>
  </si>
  <si>
    <t>Sabudana Khichadi</t>
  </si>
  <si>
    <t>Motta Rava, dry roast</t>
  </si>
  <si>
    <t>Sonti</t>
  </si>
  <si>
    <t>Millet Upma with Veg</t>
  </si>
  <si>
    <t>Oil for chaunk</t>
  </si>
  <si>
    <t>Cabbage alu tamato semi wet_MKP</t>
  </si>
  <si>
    <t>Beans, 1/2 cm long</t>
  </si>
  <si>
    <t>Beans Poriyal</t>
  </si>
  <si>
    <t>Grean Peas or Corn kernel</t>
  </si>
  <si>
    <t>Adjust the selected veg in the  D column. Delete the vegetable not used. Add if any extra vegs used. Total veg should have the total weight of all vegs used. Then only we will get the reqd qnty of salt.</t>
  </si>
  <si>
    <t>Hydarabad Biryani_Prithvi</t>
  </si>
  <si>
    <t>Carrot, 1 cm square</t>
  </si>
  <si>
    <t>Sambar_Karnataka</t>
  </si>
  <si>
    <t>Good thickness</t>
  </si>
  <si>
    <t>Strawberry Juice</t>
  </si>
  <si>
    <t>Dahi Chida</t>
  </si>
  <si>
    <r>
      <rPr>
        <rFont val="Arial"/>
        <color theme="1"/>
        <sz val="7.0"/>
      </rPr>
      <t xml:space="preserve">Remove the stems from the grapes. Put them in water for about 1 hr. Then wash them thoroughly. Rinse with fresh water. Remove any rotten grapes. Then pulverize the grapes along with the sugar, salts and citric acid. Break the ice and add to the juice. 
</t>
    </r>
    <r>
      <rPr>
        <rFont val="Arial"/>
        <b/>
        <color theme="1"/>
        <sz val="8.0"/>
      </rPr>
      <t>If reqd Add more citric acid or/&amp; sugar depending upon the sweetness or sourness of grapes.</t>
    </r>
    <r>
      <rPr>
        <rFont val="Arial"/>
        <color theme="1"/>
        <sz val="7.0"/>
      </rPr>
      <t xml:space="preserve">
</t>
    </r>
  </si>
  <si>
    <t>Toor Dal</t>
  </si>
  <si>
    <t>Shabhudana Kheer</t>
  </si>
  <si>
    <t>Millet Uthappam w/o veg</t>
  </si>
  <si>
    <t xml:space="preserve">Tomatoes, chopped </t>
  </si>
  <si>
    <t>Soak all the dals Together for about 2 hrs.
Cook the soaked dals along with these other items  until the mung  dal is completely dissolved. Then add the sliced Tomato and cook for 5 mins. Then add the below tadka. Cook for 10 mins. And finally garnish with Dhaniya Patta.</t>
  </si>
  <si>
    <t>Capsicum with ground gravy _NSD</t>
  </si>
  <si>
    <r>
      <rPr>
        <rFont val="Calibri"/>
        <color theme="1"/>
        <sz val="11.0"/>
      </rPr>
      <t>Coconut grated (</t>
    </r>
    <r>
      <rPr>
        <rFont val="Calibri"/>
        <b/>
        <color rgb="FFFF0000"/>
        <sz val="11.0"/>
      </rPr>
      <t>Optional</t>
    </r>
    <r>
      <rPr>
        <rFont val="Calibri"/>
        <color theme="1"/>
        <sz val="11.0"/>
      </rPr>
      <t>)</t>
    </r>
  </si>
  <si>
    <t>Bhendi Fry in Kaju Magaj Gravy</t>
  </si>
  <si>
    <t>Rate</t>
  </si>
  <si>
    <r>
      <rPr>
        <rFont val="Calibri"/>
        <b/>
        <color theme="1"/>
        <sz val="11.0"/>
      </rPr>
      <t xml:space="preserve">Optional
</t>
    </r>
    <r>
      <rPr>
        <rFont val="Calibri"/>
        <color theme="1"/>
        <sz val="11.0"/>
      </rPr>
      <t>add at last</t>
    </r>
  </si>
  <si>
    <t>Amount</t>
  </si>
  <si>
    <t>Hyd Biryani_Skkp</t>
  </si>
  <si>
    <t>Sambar_K_ Rice</t>
  </si>
  <si>
    <t>Mung Dal</t>
  </si>
  <si>
    <t>Daliya Kheer</t>
  </si>
  <si>
    <t>Varai Butter Halva</t>
  </si>
  <si>
    <t>Strawberry</t>
  </si>
  <si>
    <t>Mix Dal Utappam_prithvi</t>
  </si>
  <si>
    <t>Chana dal</t>
  </si>
  <si>
    <t>Capsicum salan_ RAP</t>
  </si>
  <si>
    <t xml:space="preserve">Bhopla Dry_prithvi </t>
  </si>
  <si>
    <t>Kaju Jeera Rice</t>
  </si>
  <si>
    <t>Sambar_NVCCK</t>
  </si>
  <si>
    <t>Daliya Sweet with gud</t>
  </si>
  <si>
    <t>Uttappa w/o veg</t>
  </si>
  <si>
    <t>Varai Carrot Pulao</t>
  </si>
  <si>
    <t>Mix Dahi and water. Then add to it the rava and rice flour. Allow it to soak for 1-2 hr. Then mix in the chillies, Tomato, cabbage, carrot and salt. Then roast it on tava by putting some oil.</t>
  </si>
  <si>
    <t>Toor Dal/Chana Dal (optional)</t>
  </si>
  <si>
    <t>Channa sabji_HG SGPP</t>
  </si>
  <si>
    <t>Cabbage Capsicum Alu</t>
  </si>
  <si>
    <t>Ginger, chopped fine</t>
  </si>
  <si>
    <t>Karmabhai Khichidi</t>
  </si>
  <si>
    <t xml:space="preserve">Ghee </t>
  </si>
  <si>
    <t>Sambar RKB (Medium)</t>
  </si>
  <si>
    <t>Doodh Chida</t>
  </si>
  <si>
    <t>Varai Halva FFL</t>
  </si>
  <si>
    <t>Ginger, grated/chopped fine</t>
  </si>
  <si>
    <t>Sweet Ragi, Regular(Thin) with gudu</t>
  </si>
  <si>
    <t>Batter Vol (approx)</t>
  </si>
  <si>
    <t>Tomato, Sliced</t>
  </si>
  <si>
    <t>Chole Masala Sabji</t>
  </si>
  <si>
    <t>Cabbage_ KuNP</t>
  </si>
  <si>
    <t>Black salt</t>
  </si>
  <si>
    <t>Jeera Rice (Direct Chaunk)</t>
  </si>
  <si>
    <t>Sambar_SGPP</t>
  </si>
  <si>
    <t>MASALA PASTE
Make a smooth paste of ginger, Green Chilli and soaked kashmiri mirch.Use no water or very little water.</t>
  </si>
  <si>
    <t>Dry Fruit Custard</t>
  </si>
  <si>
    <t>Uttappa with veg</t>
  </si>
  <si>
    <t>Varai Halva For Janmastami</t>
  </si>
  <si>
    <t>Kashmiri Mirchi, Soaked for 1 hr</t>
  </si>
  <si>
    <t>Total Cost</t>
  </si>
  <si>
    <t>TADKA
Heat ghee, put spices. Add the masala paste. Cook. Then add the chopped Tomato. Cook for few mins. Then add the tomato puree and cook for some more time until oil separates.Then add the gud, cook until gud is dissolved. Add this to the cooked dal and boil for few mins.</t>
  </si>
  <si>
    <t xml:space="preserve">Tejpatta </t>
  </si>
  <si>
    <t>Misc</t>
  </si>
  <si>
    <t>Ugadi Special Juice</t>
  </si>
  <si>
    <t>Byadgi Mirchi, Broken</t>
  </si>
  <si>
    <t>Chole Paneer_HG RRP</t>
  </si>
  <si>
    <t>CapsicumBesan Dry _NSD</t>
  </si>
  <si>
    <t>Tomato, chopped</t>
  </si>
  <si>
    <t>Kaccha Aam Rice</t>
  </si>
  <si>
    <t>Grand Total</t>
  </si>
  <si>
    <t>Sambar_Skkd</t>
  </si>
  <si>
    <t>Tomato, Puree</t>
  </si>
  <si>
    <t>Custard with custard powder</t>
  </si>
  <si>
    <t>Sugar/gud</t>
  </si>
  <si>
    <t>Varai Kheer with Carrot</t>
  </si>
  <si>
    <t>Wet Coconut (Approx)</t>
  </si>
  <si>
    <t xml:space="preserve"> Finally add the  Dhaniya Patta.</t>
  </si>
  <si>
    <t>Per Liter Cost</t>
  </si>
  <si>
    <t>Cabbage, shredded fine &amp; small</t>
  </si>
  <si>
    <t>Carrot, grated fine</t>
  </si>
  <si>
    <t>Capsicum, shredded fine &amp; small</t>
  </si>
  <si>
    <t xml:space="preserve">Chole_New / Chole_New_Thin </t>
  </si>
  <si>
    <t>Dosa Bhaji : Dry</t>
  </si>
  <si>
    <t>Serving Size (L)</t>
  </si>
  <si>
    <t>Lemon Rice</t>
  </si>
  <si>
    <t>Sambar_with Ready made masala</t>
  </si>
  <si>
    <t>Fruit Custard with custard powder</t>
  </si>
  <si>
    <t>Varai Khichadi</t>
  </si>
  <si>
    <t>Venn Pongal_Thick</t>
  </si>
  <si>
    <t>Dahi Bhendi</t>
  </si>
  <si>
    <t>Basmati Rice Dubar/ regular rice</t>
  </si>
  <si>
    <t>ISKCON Mix Veg Dry</t>
  </si>
  <si>
    <t>Masala Rice with Carrot &amp; Capsicum</t>
  </si>
  <si>
    <t xml:space="preserve">Mung Dal </t>
  </si>
  <si>
    <t>Tadka Chhilka Dal</t>
  </si>
  <si>
    <t>We can soak mung dal at night or alternately we can roast it in little ghee until reddish brown . First add cook the dal in water with salt. When the dal is almost cooked add the rice with Ginger, Grated and haldi(if using). When it is almost cooked add the chaunk, mix and cook for another 5-10 mins.  Finally garnish with roasted khopra grating and fried kaju (if using)</t>
  </si>
  <si>
    <t>FFL Rava Halva</t>
  </si>
  <si>
    <t>Per Person cost</t>
  </si>
  <si>
    <t>Varai Khichadi 2</t>
  </si>
  <si>
    <t>Boiling water (approx)</t>
  </si>
  <si>
    <t>Ginger, chopped /grated</t>
  </si>
  <si>
    <t>Black Pepper</t>
  </si>
  <si>
    <t>Heat Ghee. Put Black pepper, jeera.  Add curry leaves and Ginger, Grated. Roast for sometime. Put it in the cooked pongal.</t>
  </si>
  <si>
    <t>Dodka (Wet)</t>
  </si>
  <si>
    <t>Masala Rice(w/o veg)</t>
  </si>
  <si>
    <t>Tomato Charu</t>
  </si>
  <si>
    <t>Kaju (optional)</t>
  </si>
  <si>
    <t>Gajar Halva</t>
  </si>
  <si>
    <t>Total No Of Servings</t>
  </si>
  <si>
    <t>Khopra, grated (2.5mm)</t>
  </si>
  <si>
    <t>Varai Upma</t>
  </si>
  <si>
    <t xml:space="preserve"> By HG Gaur Priya Mtji</t>
  </si>
  <si>
    <t>Doodhi Chana Dal</t>
  </si>
  <si>
    <t>Kaccha kela _Green Gravy</t>
  </si>
  <si>
    <t>Masala Rice(With alu &amp; Baingan)</t>
  </si>
  <si>
    <t>Fry kaju in chaunk ghee. Keep aside. Dry roast  khopra grating. Add at last</t>
  </si>
  <si>
    <t>Toor Dal, Regular</t>
  </si>
  <si>
    <t xml:space="preserve">Gulab Jamun_Prithvi </t>
  </si>
  <si>
    <t>Varai Uttappam</t>
  </si>
  <si>
    <t>Puri_HG SMDP</t>
  </si>
  <si>
    <t>Doodhi Mungdal</t>
  </si>
  <si>
    <t>Mung Dal (Soak)</t>
  </si>
  <si>
    <t>Mix Veg : Dry</t>
  </si>
  <si>
    <t>Masala rice_Maha</t>
  </si>
  <si>
    <t>Totakura Pappu</t>
  </si>
  <si>
    <t>Jilebi_Nandasuta pr</t>
  </si>
  <si>
    <t>Shenghdana Aamti_Thick</t>
  </si>
  <si>
    <t>Rawa Idli_Kikp</t>
  </si>
  <si>
    <t xml:space="preserve">Doodhi sabji </t>
  </si>
  <si>
    <t>Drumstick, 2" long</t>
  </si>
  <si>
    <t>Mix Veg Dry_Prithvi</t>
  </si>
  <si>
    <t>Millet Biryani</t>
  </si>
  <si>
    <t>Venn Pongal_Thin</t>
  </si>
  <si>
    <t>Boil Separately with little salt and Haldi</t>
  </si>
  <si>
    <t>Kheer Sagar_DHP</t>
  </si>
  <si>
    <t>Sabhudana Kichidi_SKKP</t>
  </si>
  <si>
    <t>Suran 1" cubes</t>
  </si>
  <si>
    <t xml:space="preserve">Doodhi sabji_pakoda </t>
  </si>
  <si>
    <t>Padval churchuri</t>
  </si>
  <si>
    <t>Millet Coconut Rice</t>
  </si>
  <si>
    <t>Kohla halwa_Prithvi</t>
  </si>
  <si>
    <t>Or Alu, 1/2" finger chips</t>
  </si>
  <si>
    <t>Set Dosa_VRLP</t>
  </si>
  <si>
    <t>Dosa Bhaji Wet</t>
  </si>
  <si>
    <t>Papaya Churchuri</t>
  </si>
  <si>
    <t>Millet Curd Rice</t>
  </si>
  <si>
    <t>Mango Rava Halva</t>
  </si>
  <si>
    <t xml:space="preserve">Dum Alu_new </t>
  </si>
  <si>
    <t>Samosa Bhaji</t>
  </si>
  <si>
    <t>Millet Lemon Rice</t>
  </si>
  <si>
    <t>Mango Sevai</t>
  </si>
  <si>
    <t>Flower alu rasa_HG RAP</t>
  </si>
  <si>
    <t xml:space="preserve">Salt </t>
  </si>
  <si>
    <t>Sepu sabji_HG MMP</t>
  </si>
  <si>
    <t>Millet Simple Pulao</t>
  </si>
  <si>
    <t>Maulpau with kela_HG VDP</t>
  </si>
  <si>
    <t>Fresh mater semi wet-skkd</t>
  </si>
  <si>
    <t>Tondali Churchuri</t>
  </si>
  <si>
    <t>Mothi Pulao</t>
  </si>
  <si>
    <t>Toor dal</t>
  </si>
  <si>
    <t>Meetha Chawal</t>
  </si>
  <si>
    <t>To be grinded a fine paste. Add to the cooked dal. Boil.</t>
  </si>
  <si>
    <t>Strawberry Rava idli_VRLP</t>
  </si>
  <si>
    <t>soak all the dals overnight and make a fine paste add all the ingadients and put on tawa.</t>
  </si>
  <si>
    <t>Mung dal</t>
  </si>
  <si>
    <t>Gobi Matar Paneer</t>
  </si>
  <si>
    <t>Akkha mung Dry</t>
  </si>
  <si>
    <t>Navratna pualo_Prithvi</t>
  </si>
  <si>
    <t>Millet Mung dal Payasam_Mmji</t>
  </si>
  <si>
    <t>Chilka Mung Dal</t>
  </si>
  <si>
    <t xml:space="preserve">Green Chilli </t>
  </si>
  <si>
    <t>Chaunk. Roast until cconut turns brownish.. Then add to the preapared dal. Boil for some more time.</t>
  </si>
  <si>
    <t>Green Curry</t>
  </si>
  <si>
    <t>Plain Rice</t>
  </si>
  <si>
    <t>Mung Dal Halva</t>
  </si>
  <si>
    <t>Dhaniya patta</t>
  </si>
  <si>
    <t>Swadeshi Pasta_Hg.AJCP</t>
  </si>
  <si>
    <t>lrt</t>
  </si>
  <si>
    <t>ISKCON Mix Veg: Wet</t>
  </si>
  <si>
    <t>Peas Pulao</t>
  </si>
  <si>
    <t>Wet Coconut, Grated</t>
  </si>
  <si>
    <t>Mung Dal Halva_Prithvi</t>
  </si>
  <si>
    <t>Tomato bath with Rava</t>
  </si>
  <si>
    <t>Ghee for Roasting</t>
  </si>
  <si>
    <t xml:space="preserve">Italian Chole </t>
  </si>
  <si>
    <t>Pulao Rice</t>
  </si>
  <si>
    <t>Mungdal Payasam</t>
  </si>
  <si>
    <t>Upma Dry SI Style</t>
  </si>
  <si>
    <t>Kaju Tukda</t>
  </si>
  <si>
    <t>Kerala Style Dal with Mungdal</t>
  </si>
  <si>
    <t>Italian Chole_Thin</t>
  </si>
  <si>
    <t>Kerala</t>
  </si>
  <si>
    <t>Pulihogira_HG PAP</t>
  </si>
  <si>
    <t>Pineapple Butter Halva</t>
  </si>
  <si>
    <t>Kacha kela sabji_skkp</t>
  </si>
  <si>
    <t>RVC Special Rice_Prithvi</t>
  </si>
  <si>
    <t>Boil Together. Until dal is almost dissolved</t>
  </si>
  <si>
    <t>Rabdi</t>
  </si>
  <si>
    <t>Kohlapuri_skkd</t>
  </si>
  <si>
    <t>Simple Pulao Rice</t>
  </si>
  <si>
    <t>Rabdi_Economical_prithvi</t>
  </si>
  <si>
    <t>Boiling Water (approx)</t>
  </si>
  <si>
    <t>Cabbage, Shredded</t>
  </si>
  <si>
    <t>Palak Panner Kofta_prithvi</t>
  </si>
  <si>
    <t>Then add these items along with the below paste. Boil for 15-20 mins.  Finally add tadka.</t>
  </si>
  <si>
    <t>Puliogre (Tamarind Rice)</t>
  </si>
  <si>
    <t>Tomato, Chopped</t>
  </si>
  <si>
    <t>Rathalu Kheer</t>
  </si>
  <si>
    <t>Green Peas (optional)</t>
  </si>
  <si>
    <t>Uttappam w/o veg_VRLP</t>
  </si>
  <si>
    <t>Kofta</t>
  </si>
  <si>
    <t>Sesame (Til) Rice</t>
  </si>
  <si>
    <r>
      <rPr>
        <rFont val="Calibri"/>
        <b/>
        <color theme="1"/>
        <sz val="12.0"/>
      </rPr>
      <t xml:space="preserve">PASTE
</t>
    </r>
    <r>
      <rPr>
        <rFont val="Calibri"/>
        <b val="0"/>
        <color theme="1"/>
        <sz val="8.0"/>
      </rPr>
      <t>Make a smooth maste of it add more water if reqd.</t>
    </r>
  </si>
  <si>
    <t>Rose Phirni</t>
  </si>
  <si>
    <t>Uttappa with Veg</t>
  </si>
  <si>
    <t>Kurma_NPP</t>
  </si>
  <si>
    <t>Nos</t>
  </si>
  <si>
    <t>Jeera, soak for 1 hr</t>
  </si>
  <si>
    <t>Tomato Rice with Pudina</t>
  </si>
  <si>
    <t>Sevai Kheer</t>
  </si>
  <si>
    <t>Uttappam with Veg_VRLP</t>
  </si>
  <si>
    <r>
      <rPr>
        <rFont val="Calibri"/>
        <b/>
        <color theme="1"/>
        <sz val="10.0"/>
      </rPr>
      <t>TADKA</t>
    </r>
    <r>
      <rPr>
        <rFont val="Calibri"/>
        <color theme="1"/>
        <sz val="8.0"/>
      </rPr>
      <t xml:space="preserve">
Heat oil put chaunk. Then add the cabbage roast until cabbage turns translucent. Add to the prepared dal</t>
    </r>
  </si>
  <si>
    <t>Lauki Kofta</t>
  </si>
  <si>
    <t>Tomato Rice_SGPP</t>
  </si>
  <si>
    <t>Sevai Kheer with gulkand_MCP</t>
  </si>
  <si>
    <t>Mahura (Jagannath Puri Mixed Veg Sabji)</t>
  </si>
  <si>
    <t>Yellow Rice Direct Chaunk</t>
  </si>
  <si>
    <t>Sevai Kheer, Condensed</t>
  </si>
  <si>
    <t>Matar Paneer</t>
  </si>
  <si>
    <t>Vegetable Rice</t>
  </si>
  <si>
    <t>Shakkar Pongal</t>
  </si>
  <si>
    <t>Wheat Dosa_SKKD</t>
  </si>
  <si>
    <t>Pasta, penny</t>
  </si>
  <si>
    <t>THICK</t>
  </si>
  <si>
    <t>Akkha Mung</t>
  </si>
  <si>
    <t>Methi Malai Matar 2</t>
  </si>
  <si>
    <t>Soak dals and rajma separately for &gt; 8hrs.
Boil the mung, Chilka Mung dal and chana dal together with ghee,  haldi and salt until akha mung is very soft and mushy .
NOTE: USE minimum water to boil the dal. Once dal starts  boiling cook at  low temp.</t>
  </si>
  <si>
    <t>Shakkar Pongal(Jawari)</t>
  </si>
  <si>
    <t>THIN</t>
  </si>
  <si>
    <t>Soak dals and rajma separately for &gt; 8hrs.
Boil the mung, Chilka Mung dal and chana dal together with ghee, haldi and salt until akha mung is very soft and mushy .
NOTE: USE minimum water to boil the dal. Once dal starts  boiling cook at  low temp.</t>
  </si>
  <si>
    <t>Cauliflower</t>
  </si>
  <si>
    <t>Paneer</t>
  </si>
  <si>
    <t>Misal</t>
  </si>
  <si>
    <t>Jeera powder</t>
  </si>
  <si>
    <t>Dhaniya Powder</t>
  </si>
  <si>
    <t>Rajma, soak &gt; 8 hrs</t>
  </si>
  <si>
    <t xml:space="preserve"> Cook rajma with little salt and haldi from above  until soft but not mushy. </t>
  </si>
  <si>
    <t>Chole masala</t>
  </si>
  <si>
    <t xml:space="preserve">Heat ghee put chaunk in the same order. Add the paste below and cook until nicely cooked. Add Haldi powder immediately followed by tomato puree. Continue cooking until oil starts sufacing. Add the Kasuri Methi. Cook. Add cooked dal. Boil. </t>
  </si>
  <si>
    <t>Sheetaphal  Rabdi</t>
  </si>
  <si>
    <t>Rice Regular</t>
  </si>
  <si>
    <t>Cook Mungdal in  water with salt. When dal is partially cooked add Rice to it and cook until rice is tender and the mixture is very thick.</t>
  </si>
  <si>
    <t>Mung Dal, soak &gt; 1 hr</t>
  </si>
  <si>
    <t xml:space="preserve">TejPatta </t>
  </si>
  <si>
    <t>Kartik Pr</t>
  </si>
  <si>
    <t xml:space="preserve">Elaichi </t>
  </si>
  <si>
    <t>Mix Veg in CG Gravy</t>
  </si>
  <si>
    <t>Groundnut Oil, for Roasting</t>
  </si>
  <si>
    <t>Make a smooth Paste with minimum water</t>
  </si>
  <si>
    <t>Make a syrup. Then seive to remove any impurity. Add to the cooked pongal. And stir until again thick.</t>
  </si>
  <si>
    <t>Shrikhand</t>
  </si>
  <si>
    <t>Ghee (For Roasting Dry Fruits)</t>
  </si>
  <si>
    <t>Fry the kaju, kismis and khopra slices in ghee. And put them in pongal. Then fry the Black peppe and add to the pongal along with the  ghee.</t>
  </si>
  <si>
    <t>Kismis</t>
  </si>
  <si>
    <t>Khopra, 2 mm slice</t>
  </si>
  <si>
    <t>Mix veg Jaipuri_Prithvi pr</t>
  </si>
  <si>
    <t>Camphor</t>
  </si>
  <si>
    <t>Dhaniya Patta Chopped</t>
  </si>
  <si>
    <t>Strawberry Shrikhand</t>
  </si>
  <si>
    <t>Last edited on</t>
  </si>
  <si>
    <t>Mix Veg in Special Gravy</t>
  </si>
  <si>
    <t xml:space="preserve">Yield </t>
  </si>
  <si>
    <t>Bhadang</t>
  </si>
  <si>
    <t xml:space="preserve">Farsan </t>
  </si>
  <si>
    <t>Sev</t>
  </si>
  <si>
    <t>Phutana dal (roasted)(optional)</t>
  </si>
  <si>
    <t>Sweet Rice_DHRP</t>
  </si>
  <si>
    <t>Sunflower Oil</t>
  </si>
  <si>
    <t>Regular</t>
  </si>
  <si>
    <t>Pineapple Essence</t>
  </si>
  <si>
    <t>Mix Veg Pahadi_Prithvi</t>
  </si>
  <si>
    <t>Pineapple Flavor</t>
  </si>
  <si>
    <t>Mirchi powder (Byadgi)</t>
  </si>
  <si>
    <t>Sweet Rice</t>
  </si>
  <si>
    <t>Lemon Yellow color</t>
  </si>
  <si>
    <t>Lemon juice</t>
  </si>
  <si>
    <t>Sugar (in imli water)</t>
  </si>
  <si>
    <t>Orange Essence</t>
  </si>
  <si>
    <t>Kakadi</t>
  </si>
  <si>
    <t>Alu (boiled &amp; sliced)</t>
  </si>
  <si>
    <t>Green chilly (paste)</t>
  </si>
  <si>
    <t>Orange Flavor</t>
  </si>
  <si>
    <t>Orange red Color</t>
  </si>
  <si>
    <t>Mixed Veg In Kadhi Sauce</t>
  </si>
  <si>
    <t>Edited</t>
  </si>
  <si>
    <t>Sweet Rice(Kiharan)</t>
  </si>
  <si>
    <t>Caramel Liquid</t>
  </si>
  <si>
    <t>Chocolate Flavor</t>
  </si>
  <si>
    <t>Chocolate escence</t>
  </si>
  <si>
    <t>Mogar Ki Sabji_sgpp</t>
  </si>
  <si>
    <t>Sweet Rice, Condensed</t>
  </si>
  <si>
    <t>Millet Idli(Jawari Rava)</t>
  </si>
  <si>
    <t>Mungsprouts Sabji</t>
  </si>
  <si>
    <t>Sweet Rice, Condensed(Kiharan)</t>
  </si>
  <si>
    <t>Millet Idli_Medium Size  (Jawari Rava)</t>
  </si>
  <si>
    <t>Yield (use 20ml spoon)</t>
  </si>
  <si>
    <t>Kashmiri Mirchi, Soakeded</t>
  </si>
  <si>
    <t>Pachadi</t>
  </si>
  <si>
    <t>Haldi Powder</t>
  </si>
  <si>
    <t>Tomato, Boil &amp; Puree</t>
  </si>
  <si>
    <t>Kasuri Methi, roast &amp; crush</t>
  </si>
  <si>
    <t>Add to the prepared and boil for 5 mins.</t>
  </si>
  <si>
    <t>Palak Alu Mater_Baba</t>
  </si>
  <si>
    <t>Butter, Amul</t>
  </si>
  <si>
    <t>Put off the flame and add at Last</t>
  </si>
  <si>
    <t>Milk Cream, Amul</t>
  </si>
  <si>
    <t>Paneer Makhanwala</t>
  </si>
  <si>
    <t>The daliya grain size should be bigger than Mota rava.
Heat the ghee and roast the daliya in it until reddish brown,  Boil the water , add saalt and then cook the roasted daliya in it. When water is almost absorbed add the Jaggery(gud syrup. Add Elaichi Powder/ flavor. Mix. Cook again until it again absorbs all liquid. Then add the fried kaju &amp; kismis. Mix. Cook covered for 15 mins.</t>
  </si>
  <si>
    <t>Jawari Idli Rava, Medium size</t>
  </si>
  <si>
    <t>Daliya (medium grains)</t>
  </si>
  <si>
    <t>Patla palak Sabji</t>
  </si>
  <si>
    <t>Ghee For Roasting Daliya</t>
  </si>
  <si>
    <t>Pav Baji(AGP's Recipe)</t>
  </si>
  <si>
    <t>Pav Bhaji Sabji 2</t>
  </si>
  <si>
    <t>Soak dals and rajma separately for &gt; 8hrs. Cook rajma with little salt and haldi also until soft but not mushy. 
Boil the mung, Chilka Mung dal and chana dal together with remaining haldi and salt until akha mung is very soft and mushy .
NOTE: USE minimum water to boil the dal. Once dal starts at boiling cook at  at low temp.</t>
  </si>
  <si>
    <t>OR Chocolate Flavor</t>
  </si>
  <si>
    <t>Phanas semi Wet_NSD</t>
  </si>
  <si>
    <t>Principal's Program Subji</t>
  </si>
  <si>
    <t>Make gud (Jaggery) syrup. Seive it through a fine mesh.</t>
  </si>
  <si>
    <t>Ghee For Frying Below 2</t>
  </si>
  <si>
    <t>Fry the kaju, add to the daliya, then fry kismis and add to the dalia along with the ghee.</t>
  </si>
  <si>
    <t>Kaju, tukda</t>
  </si>
  <si>
    <t>Rajma (RGM )</t>
  </si>
  <si>
    <t>50ml in each bowl</t>
  </si>
  <si>
    <t>Rajma</t>
  </si>
  <si>
    <t>Bater Yield, (Aprrox</t>
  </si>
  <si>
    <t>Sindi Sai Subji_Hg.Kamalavati Mtg</t>
  </si>
  <si>
    <t>Suran bopla  wet_RRP</t>
  </si>
  <si>
    <t>20ml in each bowl</t>
  </si>
  <si>
    <t>Add tadka then water, salt, color and after boiling add rice</t>
  </si>
  <si>
    <t>Usal  Maharastrian style</t>
  </si>
  <si>
    <t xml:space="preserve">Heat ghee put chaunk. Add the paste below and cook until nicely cooked. Add Haldi powder immediately followed by tomato puree. Continue cooking until oil starts sufacing. Add the Kasuri Methi. Cook. Add cooked dal. Boil. </t>
  </si>
  <si>
    <t>Saffron Color</t>
  </si>
  <si>
    <t>Usal Maharastrian_modified</t>
  </si>
  <si>
    <t>Tadka in Rice water only</t>
  </si>
  <si>
    <t>Make 1 string chasni</t>
  </si>
  <si>
    <t>Add at the end</t>
  </si>
  <si>
    <t>Upma with Veg(Jawari Rava)</t>
  </si>
  <si>
    <t>Jawari Rava, dry roast, Barik rava</t>
  </si>
  <si>
    <t>Magaj</t>
  </si>
  <si>
    <t>Khopra Khis (2.5 mm) (optional)</t>
  </si>
  <si>
    <t>Mix in chasni</t>
  </si>
  <si>
    <t>Add to the prepared dal and boil for 5 mins.</t>
  </si>
  <si>
    <t>Varai</t>
  </si>
  <si>
    <t>Khopra Khis</t>
  </si>
  <si>
    <t>Badam, chopped</t>
  </si>
  <si>
    <t>Mung Dal, Regular</t>
  </si>
  <si>
    <t>Boiling Water **</t>
  </si>
  <si>
    <r>
      <rPr>
        <rFont val="Calibri"/>
        <b/>
        <color theme="1"/>
        <sz val="11.0"/>
      </rPr>
      <t xml:space="preserve">Optional
</t>
    </r>
    <r>
      <rPr>
        <rFont val="Calibri"/>
        <color theme="1"/>
        <sz val="11.0"/>
      </rPr>
      <t>add at last</t>
    </r>
  </si>
  <si>
    <t>Varai &lt;10 Kg</t>
  </si>
  <si>
    <t xml:space="preserve">Boiling Water </t>
  </si>
  <si>
    <t>Mung Dal (Soak For &gt;1hrs)</t>
  </si>
  <si>
    <t>Varai &gt;10 Kg</t>
  </si>
  <si>
    <t>Poha Millet, Soak for 1-2 mins. Then drain the water.</t>
  </si>
  <si>
    <t>Millet Poha  (L/B/R/K)</t>
  </si>
  <si>
    <t>Coconut Powder</t>
  </si>
  <si>
    <t>Boil Together. Use the minimum water  need. Can be added  later. To get the Yield</t>
  </si>
  <si>
    <t>Haldi - optional</t>
  </si>
  <si>
    <r>
      <rPr>
        <rFont val="Calibri"/>
        <color theme="1"/>
        <sz val="8.0"/>
      </rPr>
      <t xml:space="preserve">Roast the rava in ghee until golden yellow 
</t>
    </r>
    <r>
      <rPr>
        <rFont val="Calibri"/>
        <b/>
        <color theme="1"/>
        <sz val="8.0"/>
      </rPr>
      <t>OR</t>
    </r>
    <r>
      <rPr>
        <rFont val="Calibri"/>
        <color theme="1"/>
        <sz val="8.0"/>
      </rPr>
      <t xml:space="preserve">
</t>
    </r>
    <r>
      <rPr>
        <rFont val="Calibri"/>
        <b/>
        <color theme="1"/>
        <sz val="8.0"/>
      </rPr>
      <t xml:space="preserve"> Dry Roast and add the ghree from top</t>
    </r>
  </si>
  <si>
    <r>
      <rPr>
        <rFont val="Calibri"/>
        <color theme="1"/>
        <sz val="8.0"/>
      </rPr>
      <t>While using this recipe, copy and delete/add veg used. To get the right salt quantity .</t>
    </r>
    <r>
      <rPr>
        <rFont val="Calibri"/>
        <color theme="1"/>
        <sz val="8.0"/>
      </rPr>
      <t xml:space="preserve">
</t>
    </r>
    <r>
      <rPr>
        <rFont val="Calibri"/>
        <b/>
        <color theme="1"/>
        <sz val="8.0"/>
      </rPr>
      <t>We can also use other vegetables like beans and flower.</t>
    </r>
  </si>
  <si>
    <t>Take a  vessel &gt; twice the volume of expcted yield. Add water and sugar.  Boil until sugar is dissolved</t>
  </si>
  <si>
    <t>Millet Uttappa w/o veg_skkd</t>
  </si>
  <si>
    <t>Mix Dahi and water. Then add to it the Batter. Allow it to soak for 1-2 hr. Then mix in the chillies, Tomato salt. Then roast it on tava by putting some oil.</t>
  </si>
  <si>
    <t>Millet</t>
  </si>
  <si>
    <t>Heat oil fry kaju in it,  then fry the kismis. Then add this to the sugar syrup. Put the roasted rava in the  remaining oil and heat for 2 mins.</t>
  </si>
  <si>
    <t>Sabudana Khichadi_skkd</t>
  </si>
  <si>
    <t>Sabudana</t>
  </si>
  <si>
    <t>Tomato chopped</t>
  </si>
  <si>
    <t>Alu</t>
  </si>
  <si>
    <t>Green Chillies, Chopped</t>
  </si>
  <si>
    <t>Groundnut, Kut</t>
  </si>
  <si>
    <t>Add to cooked dal</t>
  </si>
  <si>
    <t>Doodhi</t>
  </si>
  <si>
    <t>Put Chaunk and then add to the cooked dal.</t>
  </si>
  <si>
    <t>Beans</t>
  </si>
  <si>
    <t>Wheat Dosa</t>
  </si>
  <si>
    <t>Carrot</t>
  </si>
  <si>
    <t>Atta</t>
  </si>
  <si>
    <t>Rice Flour</t>
  </si>
  <si>
    <t>Green Chillies, chopped</t>
  </si>
  <si>
    <t>Methi</t>
  </si>
  <si>
    <t>Cabbage Chopped fine</t>
  </si>
  <si>
    <t>Oil/ghee for cooking</t>
  </si>
  <si>
    <t>Star Phool</t>
  </si>
  <si>
    <t xml:space="preserve">Ginger, chopped </t>
  </si>
  <si>
    <t>Tomato Thin Slices(optional)</t>
  </si>
  <si>
    <t>Javitri</t>
  </si>
  <si>
    <t>NOTE: We can dry roast the rava and keep it aside. Can be used for adhocs and also this rava can be later used for upma or other sweet.</t>
  </si>
  <si>
    <t>Gud/Sugar (optional)</t>
  </si>
  <si>
    <t>Lemon/Kokam Juice</t>
  </si>
  <si>
    <t>Add at last.</t>
  </si>
  <si>
    <t>Alu  1" square</t>
  </si>
  <si>
    <t>Ghee (Optional)</t>
  </si>
  <si>
    <t xml:space="preserve">Mung dal </t>
  </si>
  <si>
    <t>Add from top.</t>
  </si>
  <si>
    <t>Boil mungdal in water until it is completely dissolved</t>
  </si>
  <si>
    <t>Palak</t>
  </si>
  <si>
    <t>Make syrup. Strain and add to the cooked dal</t>
  </si>
  <si>
    <t>Coconut, big</t>
  </si>
  <si>
    <t>Makkan Dosa_VRLP</t>
  </si>
  <si>
    <t>Pulverize together and add to the cooked payasam</t>
  </si>
  <si>
    <t>Coconut, grated Net wt</t>
  </si>
  <si>
    <t>Jaiphal</t>
  </si>
  <si>
    <t>Fry kaju and kismis in ghee.
Dry Roast Khopra until crisp and light brown.
 add all three  to the payasam along with ghee.</t>
  </si>
  <si>
    <t>Pcs</t>
  </si>
  <si>
    <t>Tukada bhasmati</t>
  </si>
  <si>
    <t>Khopra, grated</t>
  </si>
  <si>
    <t>Kani rice</t>
  </si>
  <si>
    <t>Udadal</t>
  </si>
  <si>
    <t>Boil together until completely dissolved</t>
  </si>
  <si>
    <t>Poha</t>
  </si>
  <si>
    <t>Akka Methi</t>
  </si>
  <si>
    <t>Chenna dal</t>
  </si>
  <si>
    <t>Put tadka in the dal and boil for 10 mins</t>
  </si>
  <si>
    <t>No. of Coconut req.</t>
  </si>
  <si>
    <t>No.</t>
  </si>
  <si>
    <t>Coconut milk</t>
  </si>
  <si>
    <t>Maida</t>
  </si>
  <si>
    <t>Millet Masala Dosa_VRLP</t>
  </si>
  <si>
    <t>Toor Dal (Soak overnight)</t>
  </si>
  <si>
    <t>Navani, Foxtail millet</t>
  </si>
  <si>
    <t>Cook Together, until dal is almost fully dissolved.Then add Curry Leaves.</t>
  </si>
  <si>
    <t>Rasam Powder, MTR</t>
  </si>
  <si>
    <t xml:space="preserve">Pulverize together the boiled Tomato, kokam and Rasam Powder.
Add to the cooked dal and boil for 10-15 mins. </t>
  </si>
  <si>
    <t xml:space="preserve">Tomato, boil </t>
  </si>
  <si>
    <t>Set dosa_VRLP</t>
  </si>
  <si>
    <t>Peet</t>
  </si>
  <si>
    <t>Rice, Khani rice</t>
  </si>
  <si>
    <t>Add Just before 1hr</t>
  </si>
  <si>
    <t>Last Edited</t>
  </si>
  <si>
    <t>Ajwine</t>
  </si>
  <si>
    <t>Kannada</t>
  </si>
  <si>
    <t>Boil Together until dal is dissolved</t>
  </si>
  <si>
    <t>Masala Dosa_VRLP</t>
  </si>
  <si>
    <t>Add just before 1hr</t>
  </si>
  <si>
    <t>Boil together . When sabjis are half cooked. add kokam juice, dhaniya patta and Gud and boil.
If  kohla is not available, you can use doodhi or Madrasi Kakdi.</t>
  </si>
  <si>
    <t>Batata Bhaji with Dosa_VRLP</t>
  </si>
  <si>
    <t>Bhopla, 1.5" cube</t>
  </si>
  <si>
    <t>Alu, peel, cut, boil &amp; mash</t>
  </si>
  <si>
    <t>Baingan (optional)</t>
  </si>
  <si>
    <t>Kohla, 1.5" cube</t>
  </si>
  <si>
    <t>Add to above.</t>
  </si>
  <si>
    <t>Sambhar Masala.
Heta the oil add hing khada (if we don’t have khada hing, then add hing Powder 2.5 times more than khada hing). When it swells, reduce flame. Add methi. After 1 min add chana dal. When chana dal turns slighly reddish add Udad Dal. When Udad Dal become little reddish add rice. Roast until rice turns slightly golden. Then add hing (if not using khada hing). Similarly add other items in the same order as given. Finally add the grated coconut, roast for 5-10 mins then add Ginger, Grated. roast for another 2-3 mins. 
Then grind the entire masala to a fine paste using  ragda or Pulverizer.</t>
  </si>
  <si>
    <t>Ginger, Paste</t>
  </si>
  <si>
    <t>Hing, Khada LG</t>
  </si>
  <si>
    <t>Cabbage, chopped 1.5 cm square</t>
  </si>
  <si>
    <t>Wet Coconut, grated(Option)</t>
  </si>
  <si>
    <t>White Til</t>
  </si>
  <si>
    <t>Akkha Dhaniya</t>
  </si>
  <si>
    <t>Uthapam with veg_VRLP</t>
  </si>
  <si>
    <t>Khas Khas</t>
  </si>
  <si>
    <t>Till</t>
  </si>
  <si>
    <r>
      <rPr>
        <rFont val="Calibri"/>
        <b/>
        <color theme="1"/>
        <sz val="8.0"/>
      </rPr>
      <t>TADKA</t>
    </r>
    <r>
      <rPr>
        <rFont val="Calibri"/>
        <color theme="1"/>
        <sz val="8.0"/>
      </rPr>
      <t xml:space="preserve">
Heat oil put the tadka in the same oreder.</t>
    </r>
  </si>
  <si>
    <t>Capsicum</t>
  </si>
  <si>
    <t>Boil together . When sabjis are half cooked. Add Tamarind, dhaniya patta and gud and boil.</t>
  </si>
  <si>
    <t>Tamato Uthapam_VRLP</t>
  </si>
  <si>
    <t xml:space="preserve"> Batata Vada</t>
  </si>
  <si>
    <t>Drumstick</t>
  </si>
  <si>
    <r>
      <rPr>
        <rFont val="Calibri"/>
        <b/>
        <color theme="1"/>
        <sz val="8.0"/>
      </rPr>
      <t>GRAVY</t>
    </r>
    <r>
      <rPr>
        <rFont val="Calibri"/>
        <color theme="1"/>
        <sz val="8.0"/>
      </rPr>
      <t xml:space="preserve">
Pulverize  all these items to a fine paste with no extra or very little water.
Add this gravy to above tadka and cook until oil separates out.</t>
    </r>
  </si>
  <si>
    <t>Bhopla</t>
  </si>
  <si>
    <t>Mooli</t>
  </si>
  <si>
    <t>Doodhi/Kohla</t>
  </si>
  <si>
    <t>Heat Oil put tadka from Rai to ginger. Then put Sambhar Masala and quickly add coconut paste to it. Cook for few mins. Add water if required. Then add this to the boiling sambar.</t>
  </si>
  <si>
    <t>Add to above . Boil for 10 mins</t>
  </si>
  <si>
    <t xml:space="preserve">Alu, Boiled,peeled and Mashed </t>
  </si>
  <si>
    <t>Alu, peel &amp; 1 " cube</t>
  </si>
  <si>
    <t>Boil separately. 
DON’T over cook..
Add to above gravy. Add cook for 15-20 mins.</t>
  </si>
  <si>
    <t>Bhopla, 1" cube</t>
  </si>
  <si>
    <t>Sambhar Masala, Everest</t>
  </si>
  <si>
    <t>Gajar, sabji cut</t>
  </si>
  <si>
    <t>Wet Coconut, Grated paste</t>
  </si>
  <si>
    <t>Kokam Juice (optional)</t>
  </si>
  <si>
    <t>Udad Dal (Optional)</t>
  </si>
  <si>
    <t>Alu Paratha_Skkd</t>
  </si>
  <si>
    <t>Yield (medium Size)</t>
  </si>
  <si>
    <t>Chana Dal (optional)</t>
  </si>
  <si>
    <t>Add alu, salt.&amp; Groundnut.Mix</t>
  </si>
  <si>
    <t>Groundnut, Kut (Optional)</t>
  </si>
  <si>
    <t>Add at Last &amp; Mix</t>
  </si>
  <si>
    <t>Dhaniya Patta (chopped)</t>
  </si>
  <si>
    <t>Put chaunk in the same order. Add little water. Then add Sambhar Masala, Dhaniya Powder, Jeera Powder. and sugar / gud. Boil for 5 mins. Add to the cooked dal</t>
  </si>
  <si>
    <t>Besan</t>
  </si>
  <si>
    <t>Batter</t>
  </si>
  <si>
    <t>Roast vartai  in ghee until golden yelllow. Add badam followed by kismis. Then put boiling water.When almost absorbed add  gud syrup. When almost absorbed add coconut paste &amp; coconut  oil.</t>
  </si>
  <si>
    <t xml:space="preserve">Ginger,chopped </t>
  </si>
  <si>
    <t>Sunflower Oil, for frying</t>
  </si>
  <si>
    <t>green chilli, chopped</t>
  </si>
  <si>
    <t>Black salt (optional)</t>
  </si>
  <si>
    <t>For applying from top</t>
  </si>
  <si>
    <t xml:space="preserve">Tomato, sliced </t>
  </si>
  <si>
    <t>Sugar / Gud</t>
  </si>
  <si>
    <t>Toor Dal (Soak For &gt;4 hrs)</t>
  </si>
  <si>
    <t xml:space="preserve">Boil Together. Add water as per need. Can be added  </t>
  </si>
  <si>
    <t>Yield (big size)</t>
  </si>
  <si>
    <t>Alu, peel, boil &amp; smash</t>
  </si>
  <si>
    <t>Gud/Sugar</t>
  </si>
  <si>
    <t>Ginger, chopped Fine</t>
  </si>
  <si>
    <t>Chat Masala</t>
  </si>
  <si>
    <t>Pudina (Approx Reqd)</t>
  </si>
  <si>
    <t>Groundnut Oil, for roasting</t>
  </si>
  <si>
    <t xml:space="preserve">Sambar_NvccK </t>
  </si>
  <si>
    <t>when Varai &lt; 10 kg</t>
  </si>
  <si>
    <t>Yield (Big Size)</t>
  </si>
  <si>
    <t>c</t>
  </si>
  <si>
    <t>when Varai &gt; 10 kg</t>
  </si>
  <si>
    <t xml:space="preserve">Then add these items along with the below paste. Boil for 15-20 mins. </t>
  </si>
  <si>
    <t xml:space="preserve">Baingan, medium size Black bharta </t>
  </si>
  <si>
    <t>Green chilli slit</t>
  </si>
  <si>
    <t>Boil together &amp; make syrup, and strain through a fine mesh</t>
  </si>
  <si>
    <t>suji</t>
  </si>
  <si>
    <t>Wash the cut baingans and apply salt and haldi to them.
Dip these vegetable slices into the batter and fry until the vegetable is well cooked.</t>
  </si>
  <si>
    <t>Sendh namak</t>
  </si>
  <si>
    <t>No.s</t>
  </si>
  <si>
    <r>
      <rPr>
        <rFont val="Calibri"/>
        <b/>
        <color theme="1"/>
        <sz val="8.0"/>
      </rPr>
      <t>Coconut Paste.</t>
    </r>
    <r>
      <rPr>
        <rFont val="Calibri"/>
        <color theme="1"/>
        <sz val="8.0"/>
      </rPr>
      <t xml:space="preserve">
Make  a fine paste of coconut with water.</t>
    </r>
  </si>
  <si>
    <t>Water(Approx)</t>
  </si>
  <si>
    <t>Elaichi Powder(optional)</t>
  </si>
  <si>
    <t xml:space="preserve">Water </t>
  </si>
  <si>
    <t>White salt</t>
  </si>
  <si>
    <t>Rawa Idli_KiKP</t>
  </si>
  <si>
    <t>Mix together all these items with waer to make a slightly thick  batter of good flowing consistency</t>
  </si>
  <si>
    <t>Mota rava</t>
  </si>
  <si>
    <t>Green Chili paste</t>
  </si>
  <si>
    <t>Barik Rava</t>
  </si>
  <si>
    <t>Soar curd</t>
  </si>
  <si>
    <t>Mirchi pdr</t>
  </si>
  <si>
    <t>Eno</t>
  </si>
  <si>
    <t>Capscicum</t>
  </si>
  <si>
    <t>Roast Varai  in Coconut oil until golden yellow. Add Kaju/ badam followed by kismis. Then put sugar syrup.When syrup is almost absorbed  add the soaked coconut powder, Elaichi Powder. Stir for few mins. Cook covered for 15 mins at very low flame.</t>
  </si>
  <si>
    <t>Soda</t>
  </si>
  <si>
    <t>Kaju / Badam, chopped</t>
  </si>
  <si>
    <t>PASTE
Make a smooth maste of it add more water if reqd.</t>
  </si>
  <si>
    <t>Khopra Khis, 2.5 mm</t>
  </si>
  <si>
    <t>Batter yield (approx)</t>
  </si>
  <si>
    <t>Wet Coconut Grated, Paste</t>
  </si>
  <si>
    <t>Bhendi</t>
  </si>
  <si>
    <t>Oil For Frying</t>
  </si>
  <si>
    <t>Wet Coconut Reqd</t>
  </si>
  <si>
    <t>Malligi Idli_HG VRLP</t>
  </si>
  <si>
    <t>MTR Rasam Powder</t>
  </si>
  <si>
    <t>Chaat Masala</t>
  </si>
  <si>
    <t>Sprinkle from Top on fried Bhajji's</t>
  </si>
  <si>
    <t>Annapoorna Sambar Powder</t>
  </si>
  <si>
    <t>Black Pepper Pdr</t>
  </si>
  <si>
    <t>Khani rice(BTC)</t>
  </si>
  <si>
    <t>Make sugar syrup &amp; add salt</t>
  </si>
  <si>
    <t>Heat Oil put tadka from Rai to ginger. Then put Sambhar Masala. Cook for few mins. Add water if required. Then add this to the boiling sambar.</t>
  </si>
  <si>
    <t xml:space="preserve">Dissolve sugar in hot water. Add coconut powder in it.  Soak for about about 30 mins. Add Elaichi powder. Also we can put the fried dried fruits and roasted Khopra khis in it. </t>
  </si>
  <si>
    <t>ENO</t>
  </si>
  <si>
    <t>Shakti Sambar Powder</t>
  </si>
  <si>
    <t>pcs</t>
  </si>
  <si>
    <t>Misc Cost (%)</t>
  </si>
  <si>
    <t>Strawberry Rava idli_HG VRLP</t>
  </si>
  <si>
    <t>Methi - akkha</t>
  </si>
  <si>
    <t>Rawa Barik</t>
  </si>
  <si>
    <t>Boil rice</t>
  </si>
  <si>
    <t>Kadipatta</t>
  </si>
  <si>
    <t>Per Piece Cost</t>
  </si>
  <si>
    <t>Serving Size (Nos.)</t>
  </si>
  <si>
    <t>Crushed Strawberry</t>
  </si>
  <si>
    <t>Boil the milk and condense it to 90 % of its vol.Roast varai in ghee. Add to boiling milk. Boil until varai is soft and fluffy. Then add sugar. Heat until sugar is dissolved and milk comes to a boil.After that pulverize to  a smooth paste.  Cool and add vanilla Essence, color and chopped dry fruits. Chill</t>
  </si>
  <si>
    <t>Bottle</t>
  </si>
  <si>
    <t>for 1000</t>
  </si>
  <si>
    <t>Coconut wet</t>
  </si>
  <si>
    <t>Total No. Serving</t>
  </si>
  <si>
    <t>Green Moong Uttapam_RGM</t>
  </si>
  <si>
    <t>Condensed milk vol.</t>
  </si>
  <si>
    <t>Moong dal</t>
  </si>
  <si>
    <t>Frymes</t>
  </si>
  <si>
    <t>Khichdi rice</t>
  </si>
  <si>
    <t>Chownk,After this add the Tomato Puree</t>
  </si>
  <si>
    <t>Heat oil. Fry the frimes at high temp</t>
  </si>
  <si>
    <t>cup</t>
  </si>
  <si>
    <t>Hari mirchi</t>
  </si>
  <si>
    <t>Tomato Puree</t>
  </si>
  <si>
    <t>Mix the spices and sprinkle on the fried  frimes</t>
  </si>
  <si>
    <t>Boil All these Items together and make puree</t>
  </si>
  <si>
    <t>ltr</t>
  </si>
  <si>
    <t>Ghee/GN oil on top</t>
  </si>
  <si>
    <t xml:space="preserve">Badam, chopped </t>
  </si>
  <si>
    <t>Pista, chopped</t>
  </si>
  <si>
    <t>Kaju halves, fry in ghee</t>
  </si>
  <si>
    <t>Dates, chopped</t>
  </si>
  <si>
    <t>Cherry ( Karonda), chopped</t>
  </si>
  <si>
    <t>Kismis, wash &amp; soak</t>
  </si>
  <si>
    <t>Curd Rice_NSD</t>
  </si>
  <si>
    <t>Pithi Sakkar</t>
  </si>
  <si>
    <t>Kismis, Balck (seedless)</t>
  </si>
  <si>
    <t>Vanilla Essence</t>
  </si>
  <si>
    <r>
      <rPr>
        <rFont val="Times New Roman"/>
        <b/>
        <color theme="1"/>
        <sz val="11.0"/>
      </rPr>
      <t>NOTE</t>
    </r>
    <r>
      <rPr>
        <rFont val="Times New Roman"/>
        <color theme="1"/>
        <sz val="10.0"/>
      </rPr>
      <t xml:space="preserve">: The frimes should be nicely dried. If reqd put it in sun for 1-2 days. Otherwise the frimes wont swell nicely and will remain hard after frying.
</t>
    </r>
    <r>
      <rPr>
        <rFont val="Times New Roman"/>
        <color theme="1"/>
        <sz val="12.0"/>
      </rPr>
      <t xml:space="preserve"> </t>
    </r>
    <r>
      <rPr>
        <rFont val="Times New Roman"/>
        <b/>
        <color theme="1"/>
        <sz val="12.0"/>
      </rPr>
      <t>Therefore always store in air tight, dry place.</t>
    </r>
  </si>
  <si>
    <t>Rasam by Karthik Pr</t>
  </si>
  <si>
    <t>Lemon Yellow Color</t>
  </si>
  <si>
    <t>Ice for chilling</t>
  </si>
  <si>
    <t>Roasted Methi Powder</t>
  </si>
  <si>
    <t>Roasted Til Powder</t>
  </si>
  <si>
    <t>Yield by wt</t>
  </si>
  <si>
    <t>Yeild</t>
  </si>
  <si>
    <t>Varai, Soak Overnight</t>
  </si>
  <si>
    <t>Sugar (If curd is too SOUR)</t>
  </si>
  <si>
    <t>Heat oil. Fry corn flakes at high temp. Then fry khopra slices until light brown. Then fry the groundnuts.</t>
  </si>
  <si>
    <t>Mix together thoroughly w/o any lumps.</t>
  </si>
  <si>
    <t>Dahi, thick &amp; fresh</t>
  </si>
  <si>
    <t xml:space="preserve">Groundnut </t>
  </si>
  <si>
    <t>udad dal</t>
  </si>
  <si>
    <t>Danim, Optional</t>
  </si>
  <si>
    <t>Fry Curry Leaves and add to above. Put groundnut on Jhara and fry like that. Towards the end sprinkle haldi on it and fry for 30 secs. And add to the above mixture. Sprinkle other ingredients and mix thoroughly. 
Use either chiwda masala or the mixture of garam masala &amp; chaat masala, reduce total salt appropriately because chaat masala has salt in it.</t>
  </si>
  <si>
    <t>Carrot Grated, 1.5 mm</t>
  </si>
  <si>
    <t>Put chaunk and add the rajgira water mixture. Add salt and boil until the mixture is homogeneous and cooked</t>
  </si>
  <si>
    <t>Salt Sendha</t>
  </si>
  <si>
    <t xml:space="preserve">NOTE:-
1. For frying 15 kg cornflakes you need about 1 kg LPG.
2. The density of cooked cornflakes is about 200 gm/L.
3. </t>
  </si>
  <si>
    <t>* may need more if curd is more sour</t>
  </si>
  <si>
    <t>Add at last and boil</t>
  </si>
  <si>
    <t>Soak dals. Cook until half done. Then add the vegs. Turdal also can be used in place of mungdal (take 20% extradal, if tur used)</t>
  </si>
  <si>
    <t>Murmura Simple(2 batches)</t>
  </si>
  <si>
    <t>Bhopla, 1" cubes</t>
  </si>
  <si>
    <t>Murmura Medium w/o sugar</t>
  </si>
  <si>
    <t>Vegetables can be dynamically adjusted as per availability. We can use other veggies like flower, drumsticks, etc.</t>
  </si>
  <si>
    <t xml:space="preserve">Ratalu, 1" cubes </t>
  </si>
  <si>
    <t xml:space="preserve">Murmura  </t>
  </si>
  <si>
    <t>Baingan, 1" cubes</t>
  </si>
  <si>
    <t>Alu , 1" cubes</t>
  </si>
  <si>
    <t>Kaccha Papaya, 1" cubes</t>
  </si>
  <si>
    <t>Lightly roast the Murmura. keep Aside</t>
  </si>
  <si>
    <t>Total Veggies</t>
  </si>
  <si>
    <t>Special Murmura</t>
  </si>
  <si>
    <t>Heat oil, fry Shenghdan and Khopra slices, Keep aside. Then in the same oil put the tadka. Add the roasted Murmura. And Powder masala's. Mix nicely.</t>
  </si>
  <si>
    <t>Heat oil, fry corn flex, Poha,Shenghdan and Khopra slices, Keep aside. Then in the same oil put the tadka. Add the roasted Murmura. And Powder masala's. Mix nicely.</t>
  </si>
  <si>
    <t>Corn Flakes</t>
  </si>
  <si>
    <t>Khopra, thin sliced</t>
  </si>
  <si>
    <t>Chaunk. Add the following and cook for some more time..</t>
  </si>
  <si>
    <t>Green chilli, slit in 2</t>
  </si>
  <si>
    <t>Bedagi Mirch</t>
  </si>
  <si>
    <t>Green  Chilli</t>
  </si>
  <si>
    <t>Jeera Powder, Roasted</t>
  </si>
  <si>
    <t>Red chilli Pdr, Roasted</t>
  </si>
  <si>
    <t xml:space="preserve">Hing </t>
  </si>
  <si>
    <t>Garam Masala, Bengali</t>
  </si>
  <si>
    <t>Akkha Methi, Powder</t>
  </si>
  <si>
    <r>
      <rPr>
        <rFont val="Times New Roman"/>
        <b/>
        <color theme="1"/>
        <sz val="11.0"/>
      </rPr>
      <t>Powder Masala's</t>
    </r>
    <r>
      <rPr>
        <rFont val="Times New Roman"/>
        <color theme="1"/>
        <sz val="8.0"/>
      </rPr>
      <t xml:space="preserve">
. Mix all these nicely. Pass through a seive to avoid any lumps. Add to the above. Mix thoroughly.</t>
    </r>
  </si>
  <si>
    <r>
      <rPr>
        <rFont val="Times New Roman"/>
        <b/>
        <color theme="1"/>
        <sz val="11.0"/>
      </rPr>
      <t>Powder Masala's</t>
    </r>
    <r>
      <rPr>
        <rFont val="Times New Roman"/>
        <color theme="1"/>
        <sz val="8.0"/>
      </rPr>
      <t xml:space="preserve">
. Mix all these nicely. Pass through a seive to avoid any lumps. Add to the above. Mix thoroughly.</t>
    </r>
  </si>
  <si>
    <t>Add at at last</t>
  </si>
  <si>
    <t>Edited on</t>
  </si>
  <si>
    <t>Murmura special_NSD</t>
  </si>
  <si>
    <t>Thotakura Pappu_NSD</t>
  </si>
  <si>
    <t>Marati</t>
  </si>
  <si>
    <t>Heat the oil and fry groundnut, keep aside. Then fry phutana dal and keep aside. After that roast the dagdi poha in it. After that mix the shenghdana and phutana dal. Mix all the masala's and sugar powder together, then sprinkle on it using a seive while constantly stirring.</t>
  </si>
  <si>
    <t>Telugu</t>
  </si>
  <si>
    <t>Thotakura Pappu_Thin</t>
  </si>
  <si>
    <t>Fry each one of these separately and keep aside. Crush the fried papad into small pieces. Fry khopra until brownish</t>
  </si>
  <si>
    <t>Chauli</t>
  </si>
  <si>
    <t>Thotakura</t>
  </si>
  <si>
    <t xml:space="preserve">Toor Dal </t>
  </si>
  <si>
    <t>Aabadi</t>
  </si>
  <si>
    <t>Gongura</t>
  </si>
  <si>
    <t>Ekadashi Mix Veg with milk cream</t>
  </si>
  <si>
    <t>Put tadka. Then add the murmura. Roast for about 5 mins, until its is crisp. Then add the other fried items. Then mix in the powder masala mixture. Stir nicely</t>
  </si>
  <si>
    <t>Thotakura Leaves(Chauli saak)/ Methi leaves</t>
  </si>
  <si>
    <t>Tomato, Big Cutting</t>
  </si>
  <si>
    <t>Green Chilli, 2 sllit</t>
  </si>
  <si>
    <t>Boilled Water</t>
  </si>
  <si>
    <t>Boil all item (except Paneer, if using) one by one while adding some salt. Don’t overcook. Drain the boiling water.
Kaccha kela should be blanched in boiling water for about 5 mins, drain, peel off the skin. Then make nice cubes out of it and preferably fry them in oil o/w can be boiled also.
The veg combination can vary but TOTAL Veg should be as given above.
If using Paneer reduce sabji proportionally</t>
  </si>
  <si>
    <t>Ground Nut Oil</t>
  </si>
  <si>
    <t>Powder Masala. Mix all these nicely before adding to the above.</t>
  </si>
  <si>
    <t>Alu, 1 ' cubes</t>
  </si>
  <si>
    <t>Gajar, medium pieces</t>
  </si>
  <si>
    <r>
      <rPr>
        <rFont val="Times New Roman"/>
        <color theme="1"/>
        <sz val="11.0"/>
      </rPr>
      <t>Pithi Sakkar</t>
    </r>
    <r>
      <rPr>
        <rFont val="Times New Roman"/>
        <b/>
        <color theme="1"/>
        <sz val="11.0"/>
      </rPr>
      <t>, NO NEED</t>
    </r>
  </si>
  <si>
    <t>Suran, 1" cubes</t>
  </si>
  <si>
    <t>Arbi, medium pieces</t>
  </si>
  <si>
    <t xml:space="preserve">Bhopla, peel &amp; 1 " cubes   </t>
  </si>
  <si>
    <t>Kaccha kela, Kerela</t>
  </si>
  <si>
    <t>Paneer, 1 " cubes (opt)</t>
  </si>
  <si>
    <t>Boondi - Medium size</t>
  </si>
  <si>
    <t>Orange color</t>
  </si>
  <si>
    <t>Poha Chuda</t>
  </si>
  <si>
    <t>Green Chilli,paste</t>
  </si>
  <si>
    <t xml:space="preserve">Lavang </t>
  </si>
  <si>
    <t>Poha thin</t>
  </si>
  <si>
    <t>Soak all item (except Coconut) for about 2 hrs. Then Grind along with coconut To a  fine paste. Add the minimum possible water.</t>
  </si>
  <si>
    <r>
      <rPr>
        <rFont val="Calibri"/>
        <b/>
        <color theme="1"/>
        <sz val="10.0"/>
      </rPr>
      <t>TADKA</t>
    </r>
    <r>
      <rPr>
        <rFont val="Calibri"/>
        <color theme="1"/>
        <sz val="9.0"/>
      </rPr>
      <t xml:space="preserve">
Heat oil, fry the shenghdana keep aside. Then put tadka. Raost Poha lightly. It should become  crisp.
Add the chopped vegetable along with the Powder Masala's. Mix nicely. Sprinkle some water if reqd. Finally garnish with Dhaniya Patta.</t>
    </r>
  </si>
  <si>
    <r>
      <rPr>
        <rFont val="Calibri"/>
        <b/>
        <color theme="1"/>
        <sz val="11.0"/>
      </rPr>
      <t xml:space="preserve">Powder Masala's
</t>
    </r>
    <r>
      <rPr>
        <rFont val="Calibri"/>
        <color theme="1"/>
        <sz val="11.0"/>
      </rPr>
      <t>mix together and sprinkle on the above poha.</t>
    </r>
  </si>
  <si>
    <t>Dhokla (1 Tray)</t>
  </si>
  <si>
    <t>SGPD</t>
  </si>
  <si>
    <t xml:space="preserve">We used Govinda's Sancks tray, in one tray 50-60 PCs come. </t>
  </si>
  <si>
    <t>Kesari color</t>
  </si>
  <si>
    <t>Varai, dry roasted</t>
  </si>
  <si>
    <t>Add to the above and boil for few mins. Then add the boiled vegs. Cook for few more mins</t>
  </si>
  <si>
    <t>Chownk(1 Batch only)</t>
  </si>
  <si>
    <t>Add to above. Bring to a boil. Finally add the cream and turn off the fire.</t>
  </si>
  <si>
    <t>Batches</t>
  </si>
  <si>
    <t>Cream, Amul</t>
  </si>
  <si>
    <t>Put tadka. Add water. Boil for sometime then pour on the steamed dhokla tray which is cooled and cut. Then garnish with dhaniya and coconut.</t>
  </si>
  <si>
    <t xml:space="preserve"> Add at last. Mix</t>
  </si>
  <si>
    <t>Green Chilli, Slit</t>
  </si>
  <si>
    <t>Leaves</t>
  </si>
  <si>
    <t xml:space="preserve">Last Edited on </t>
  </si>
  <si>
    <t>Ekadashi Simple Alu Sabji_thin</t>
  </si>
  <si>
    <t>this recepie Mainly useful for Sunday CS and breakfast.</t>
  </si>
  <si>
    <t>Alu, peel, cube &amp; boil</t>
  </si>
  <si>
    <t>Farsan_Govinda's</t>
  </si>
  <si>
    <t>Boil Alu with salt separtaely, strain the boiling warter and preserve it for later.
 Strain and preserve water of the soaked chilli. Keep aside. Heat ghee. Add jeera to the ghee then add the soaked chillies. Roast for a min. Then add the boiled alu pieces. Roast for few mins. Then  add the boiling water, salt, sugar and reserved chilli water. Boil for about 10 mins. Finally add the lemon juice and done.</t>
  </si>
  <si>
    <t>Yield by Wieght</t>
  </si>
  <si>
    <t>Papaya Jam with ghee</t>
  </si>
  <si>
    <t>Alu, peel, boil &amp; Paste</t>
  </si>
  <si>
    <t>Ganthi</t>
  </si>
  <si>
    <t>Kara Soda</t>
  </si>
  <si>
    <t>Papaya Pulp</t>
  </si>
  <si>
    <t>Byadgi Mirchi,Hot, broken &amp; soaked</t>
  </si>
  <si>
    <t>Bada Ganthi/ Bava Nagari</t>
  </si>
  <si>
    <t>Sambar_RKB (medium)</t>
  </si>
  <si>
    <t>Optional</t>
  </si>
  <si>
    <t>If making in iron vessel</t>
  </si>
  <si>
    <t>Papdi</t>
  </si>
  <si>
    <t>Spicy Ganthi(Balaji Laddu)</t>
  </si>
  <si>
    <t>Ekadashi Idli</t>
  </si>
  <si>
    <t>If making in SS vessel</t>
  </si>
  <si>
    <t>Idli, big size</t>
  </si>
  <si>
    <t>Wash &amp; then Soak varai &amp; shaboodana in water &amp; dahi for 5-6  hrs. Grind and allow to stand overnight (6-7 Hrs) to ferment.</t>
  </si>
  <si>
    <t>Dahi, Fresh</t>
  </si>
  <si>
    <t>OR Elaichi Powder</t>
  </si>
  <si>
    <t>Orange Spicy Sev</t>
  </si>
  <si>
    <t xml:space="preserve">Dahi, Sour </t>
  </si>
  <si>
    <t>add &amp; mix before Steaming</t>
  </si>
  <si>
    <t>Ginger, Grated/grated</t>
  </si>
  <si>
    <t>Yield By Vol</t>
  </si>
  <si>
    <t>Yield By wt</t>
  </si>
  <si>
    <t>Wet Coconut, (Approx reqd)</t>
  </si>
  <si>
    <t>Sugar is reduced to half from 7 to 3.5Kg</t>
  </si>
  <si>
    <t>Add in batches, just before steaming. Approx 3 gm for 1 L batter</t>
  </si>
  <si>
    <t>Chunda</t>
  </si>
  <si>
    <t>Yield by vol</t>
  </si>
  <si>
    <t>Yellow Sev</t>
  </si>
  <si>
    <t>Mango grated</t>
  </si>
  <si>
    <t>Mix sugar and grated mango for 3-4 hrs. Then cook this nixture in pateela while adding other items alos, until syrup is thick like honey.</t>
  </si>
  <si>
    <t>Ekadashi Sambar</t>
  </si>
  <si>
    <t>Methi powder roasted</t>
  </si>
  <si>
    <t>Chana dal(soak overnight)</t>
  </si>
  <si>
    <t>Green Peas(soak overnight)</t>
  </si>
  <si>
    <t>Apple Green Color</t>
  </si>
  <si>
    <t>Boil &amp; Pulverize. And again boil. Then add the below paste and boilied vegs. Then put the chaunk. And the remaining items. Add enough water to get the desired yield.</t>
  </si>
  <si>
    <t>Suran</t>
  </si>
  <si>
    <t>Sugar Powder</t>
  </si>
  <si>
    <t>Salt(aprrox)</t>
  </si>
  <si>
    <t>1.As the pickle gets cooled it becomes thicker. So take care not to make it too thick.</t>
  </si>
  <si>
    <t>Roast in oil. Dry roast the Shenghdana and remove skin. Add some water to the whole mixture and grind to a fine paste.</t>
  </si>
  <si>
    <t>2.  1 Kg green mango yields about 600 gm of grated mango</t>
  </si>
  <si>
    <t>Mango Pickle 1_Prthvi P</t>
  </si>
  <si>
    <t xml:space="preserve">Akkha Dhaniya </t>
  </si>
  <si>
    <t xml:space="preserve">Raw Mango, small n sour. 
Cut  very small pieces 3 *3 mm </t>
  </si>
  <si>
    <t>Once Toor dal gets cooked, add other things</t>
  </si>
  <si>
    <t>Groundnut, Roast &amp; skin</t>
  </si>
  <si>
    <t>White Pepper Powder</t>
  </si>
  <si>
    <t>Gajar, cubes</t>
  </si>
  <si>
    <t>Rai, powder</t>
  </si>
  <si>
    <t>Sev, Thin</t>
  </si>
  <si>
    <t>Methi Gaddi</t>
  </si>
  <si>
    <t>Partially Boil &amp; Add</t>
  </si>
  <si>
    <t>Besan for Sev</t>
  </si>
  <si>
    <t>Suran, cubes</t>
  </si>
  <si>
    <t>Salt for Sev</t>
  </si>
  <si>
    <t>Kohla</t>
  </si>
  <si>
    <t>Imli, soak&amp;paste</t>
  </si>
  <si>
    <t>Bundi_Prithvi</t>
  </si>
  <si>
    <t>Bhopla, cubes</t>
  </si>
  <si>
    <t>jeera</t>
  </si>
  <si>
    <t>soak Udad Dal atleast for 3hrs and make a smooth paste and add maida&amp;besan to it  make a thick batery and fry on oil.</t>
  </si>
  <si>
    <t>l</t>
  </si>
  <si>
    <t>Akha methi</t>
  </si>
  <si>
    <t>salt</t>
  </si>
  <si>
    <t>Lemon Yellow Colour</t>
  </si>
  <si>
    <t>Mango Pickle 2_ Prithvi</t>
  </si>
  <si>
    <t>Add at Last</t>
  </si>
  <si>
    <t>Note : 500gm Udad Dal, 500gm besan,500gm maida batter Yield near by 4.5ltr</t>
  </si>
  <si>
    <t>Cut mangoes into small pieces add all the powders add oil at last and mix throughly.</t>
  </si>
  <si>
    <t>Kaccha Aam</t>
  </si>
  <si>
    <t>Rai Dal Powder</t>
  </si>
  <si>
    <t>Mirchi Powder(Begidi)</t>
  </si>
  <si>
    <t>Mirchi Powder(Kashmiri)</t>
  </si>
  <si>
    <t>Akkha Methi, Roasted</t>
  </si>
  <si>
    <t>Amchur Powder</t>
  </si>
  <si>
    <t>Yiled(No)-30gm each</t>
  </si>
  <si>
    <t>Dal Makhani_Thin</t>
  </si>
  <si>
    <t>compiled on</t>
  </si>
  <si>
    <t xml:space="preserve">Alu </t>
  </si>
  <si>
    <t xml:space="preserve">Akha Urad </t>
  </si>
  <si>
    <t>Salt for Boiling Alu</t>
  </si>
  <si>
    <t>Alu, peel, cut &amp; boil</t>
  </si>
  <si>
    <t>Mustard Oil/ghee</t>
  </si>
  <si>
    <t>Note   : 1) roast ginger in Groundnut oil 
2) methi seeds dry roast and make it powder. 
3) don’t add amchr powder if mangoe are sour</t>
  </si>
  <si>
    <t>Note: If boiled alu is kept  outside&gt;3 Hrs, then more oil for chownk will be required as the cold alu observes more oil.</t>
  </si>
  <si>
    <t>Masala Elaichi</t>
  </si>
  <si>
    <t>lemon juice</t>
  </si>
  <si>
    <t>Complied:</t>
  </si>
  <si>
    <t>NOTE:
 1. If you first boil the Alu then peel &amp; cut and cook then you have to increase the Alu by 25% to get the same yield</t>
  </si>
  <si>
    <t>Last Edited On</t>
  </si>
  <si>
    <t>Kashmiri Mirch, soaked</t>
  </si>
  <si>
    <t>Pudina Leaves, Chopped</t>
  </si>
  <si>
    <t>Dhaniya Patta, Chopped</t>
  </si>
  <si>
    <t>Besan, (Approx)</t>
  </si>
  <si>
    <t>Kasoori Methi, roast &amp; crush</t>
  </si>
  <si>
    <t>Garam Masala, MDH</t>
  </si>
  <si>
    <t>Lemon kattha meetha achar</t>
  </si>
  <si>
    <t>Lemon</t>
  </si>
  <si>
    <t>Procedure: 
1.cut lemon in to 8 pieces, remove all seeds
2. pulverise the lemons
3.now add all ingredients in a dry vessel &amp; cover it for 4 days  
4. Hing is optional</t>
  </si>
  <si>
    <t>Sambar_Hg.Kikp</t>
  </si>
  <si>
    <t>Toovar Dal</t>
  </si>
  <si>
    <t>Jeera Power, Roasted(Fresh)</t>
  </si>
  <si>
    <t>Green Chillies, slit in 2</t>
  </si>
  <si>
    <t>Cabbage palak Pakoda_NPP</t>
  </si>
  <si>
    <t>Frying- half fry first then just before serving full fry
Don’t add water completely, make it to batches</t>
  </si>
  <si>
    <t>Tamarind</t>
  </si>
  <si>
    <t>Coconut Grated, Paste</t>
  </si>
  <si>
    <t>Coconut Reqd</t>
  </si>
  <si>
    <t>Bedgi Mirch</t>
  </si>
  <si>
    <t>Currry Patta</t>
  </si>
  <si>
    <t>Methi - akkha, roast and powder</t>
  </si>
  <si>
    <t>Ground nuts, Break it to Half</t>
  </si>
  <si>
    <t>mooli</t>
  </si>
  <si>
    <t>drumsticks</t>
  </si>
  <si>
    <t>Tamato</t>
  </si>
  <si>
    <t>Sambar Masala, Everest</t>
  </si>
  <si>
    <t>Karnataka Sambar</t>
  </si>
  <si>
    <t>Chenna dal Pakoda_HG.MCP</t>
  </si>
  <si>
    <t>Chenna dal Pakoda_NSD</t>
  </si>
  <si>
    <t>Udid DAL</t>
  </si>
  <si>
    <t>Channa dal, soak for 2hrs</t>
  </si>
  <si>
    <t>Bedigi  Mirchi</t>
  </si>
  <si>
    <t>Akka Dhaniya</t>
  </si>
  <si>
    <t>Khacha Nariyal</t>
  </si>
  <si>
    <t>Khacha Nariyal(Required )</t>
  </si>
  <si>
    <t>Tamoto(Boiled Purry)</t>
  </si>
  <si>
    <t>Bedigi Mirchi</t>
  </si>
  <si>
    <t>Kalimiri</t>
  </si>
  <si>
    <t>Sambar_Sgpd</t>
  </si>
  <si>
    <t>Boil dal till it is dissolved</t>
  </si>
  <si>
    <t>kadi patha</t>
  </si>
  <si>
    <t>Cabbage, Chopping</t>
  </si>
  <si>
    <t>Sugar(Optional)</t>
  </si>
  <si>
    <t>Add sabji when Dal Is almost Cooked</t>
  </si>
  <si>
    <t xml:space="preserve">Compiled on; </t>
  </si>
  <si>
    <t>Pudina(Optional)</t>
  </si>
  <si>
    <t xml:space="preserve">Make Paste And Add to Dal </t>
  </si>
  <si>
    <t>Heat Oil put tadka &amp; Then put Sambhar Masala. Cook for few mins. Add water if required. Then add this to the boiling sambar.</t>
  </si>
  <si>
    <t>Ginger Chopped</t>
  </si>
  <si>
    <t>Sweet Corn Wada_trail</t>
  </si>
  <si>
    <t>Yield(Medium Size)</t>
  </si>
  <si>
    <t>Chanadal</t>
  </si>
  <si>
    <t>gms</t>
  </si>
  <si>
    <t>Tomato sabji Cutting</t>
  </si>
  <si>
    <t>Pulwarize without filter/Plate</t>
  </si>
  <si>
    <t>Sweet corn kernels fresh</t>
  </si>
  <si>
    <t>Groundnut Oil for Frying</t>
  </si>
  <si>
    <t>Ginger paste</t>
  </si>
  <si>
    <t>Add all this to the paste</t>
  </si>
  <si>
    <t>Dhaniya patta-chopped</t>
  </si>
  <si>
    <t>Cabbage, Soup Cuttting</t>
  </si>
  <si>
    <t>Besan/Rice flour</t>
  </si>
  <si>
    <t>Red chilli powder</t>
  </si>
  <si>
    <t>Roasted Jeera</t>
  </si>
  <si>
    <t>HIng</t>
  </si>
  <si>
    <t>Alu Khiss_Ekadashi</t>
  </si>
  <si>
    <t>Alu Khiss</t>
  </si>
  <si>
    <t xml:space="preserve">Curd Kadhi </t>
  </si>
  <si>
    <t>Mix to a smooth mixture</t>
  </si>
  <si>
    <t>Chaunk. Put ingredients in the same order.</t>
  </si>
  <si>
    <t>Add after almost cooked</t>
  </si>
  <si>
    <t>Kasuri Methi</t>
  </si>
  <si>
    <t>Yield Kadhi, only</t>
  </si>
  <si>
    <t>Mix all items and Make a little thick batter using water as required.Then fry pakoda's. Put them directly into kadhi. We can also use methi patta instead.</t>
  </si>
  <si>
    <t>Pakoda</t>
  </si>
  <si>
    <t>Pakoda (small)</t>
  </si>
  <si>
    <t>Palak, chopped finely</t>
  </si>
  <si>
    <t>Palak, reqd</t>
  </si>
  <si>
    <t>Badi Saunf</t>
  </si>
  <si>
    <t>Kakdi, grated 2.5 mm</t>
  </si>
  <si>
    <t>Roasted Chilli Powder</t>
  </si>
  <si>
    <t xml:space="preserve">Green chilli, Finely chopped </t>
  </si>
  <si>
    <t>Curd</t>
  </si>
  <si>
    <t xml:space="preserve">Boondi, salty </t>
  </si>
  <si>
    <t>White Salt</t>
  </si>
  <si>
    <t>Dhahi Amti_MCP</t>
  </si>
  <si>
    <t>Toor Dal soak 2 hr before</t>
  </si>
  <si>
    <t>Soak Rice and Dal together then grind itwith below item</t>
  </si>
  <si>
    <t>Rice soak 2 hr before</t>
  </si>
  <si>
    <t>Coconut, paste</t>
  </si>
  <si>
    <t>Pc</t>
  </si>
  <si>
    <t>Ground nut oil</t>
  </si>
  <si>
    <t>After chownk mix the above paste in curd and par boil it.</t>
  </si>
  <si>
    <t>litre</t>
  </si>
  <si>
    <t>Note: Do not over boil the curd</t>
  </si>
  <si>
    <t>Sol Khadi_SKKP</t>
  </si>
  <si>
    <t>Edited on 3rd June 2019</t>
  </si>
  <si>
    <t>Wet Coconut, Milk</t>
  </si>
  <si>
    <t>wet Coconut required</t>
  </si>
  <si>
    <t>Kokam</t>
  </si>
  <si>
    <t>Net weight of lemon</t>
  </si>
  <si>
    <t>Curd, thick and fresh</t>
  </si>
  <si>
    <t>Bedgi mirchi powder</t>
  </si>
  <si>
    <t>Laal Mirch powder</t>
  </si>
  <si>
    <t>Senda Namak</t>
  </si>
  <si>
    <t>1. Boil dal and dudhi togeher for a while and then add beans, carrot and cook till softens.
2. Add Rice and bhopla and cook till done.
3. Add fried Cauliflower. Cook all togeher till the khichri is done.</t>
  </si>
  <si>
    <t>Jeera (Roasted &amp; powdered)</t>
  </si>
  <si>
    <t>Hing (Optional)</t>
  </si>
  <si>
    <t>Mango Pickle Balaram's Mother</t>
  </si>
  <si>
    <t>Mirchi Powder Regular</t>
  </si>
  <si>
    <t>Methi Powder</t>
  </si>
  <si>
    <t>29/04/2019</t>
  </si>
  <si>
    <t>Carrot (1 inch cubes)</t>
  </si>
  <si>
    <t>Condenced Vol</t>
  </si>
  <si>
    <t>Dry Roast each ingredients and then pulverize/ grind together to fine powder</t>
  </si>
  <si>
    <t>Punjabi style Garam Masala for Rajma and Chhole</t>
  </si>
  <si>
    <t>Lemon Yellow Color (approx)</t>
  </si>
  <si>
    <r>
      <rPr>
        <rFont val="Calibri"/>
        <b/>
        <color theme="1"/>
        <sz val="11.0"/>
      </rPr>
      <t>Note:</t>
    </r>
    <r>
      <rPr>
        <rFont val="Calibri"/>
        <color theme="1"/>
        <sz val="11.0"/>
      </rPr>
      <t xml:space="preserve"> While Roasting &amp; grinding there may be a loss of 10-15 %</t>
    </r>
  </si>
  <si>
    <t>Banana, peel thin slice</t>
  </si>
  <si>
    <t>Pomegranate</t>
  </si>
  <si>
    <t>Bengali Garam Masala</t>
  </si>
  <si>
    <t>Dates, thin sliced</t>
  </si>
  <si>
    <t>Apple, peel &amp; chopped fine</t>
  </si>
  <si>
    <t>Condensed Milk (Milkmaid)</t>
  </si>
  <si>
    <t>Milk Cream</t>
  </si>
  <si>
    <t>Kaju, Halves</t>
  </si>
  <si>
    <t>Roast each one of these three items at low flame until fragfrant. And powder together.</t>
  </si>
  <si>
    <t xml:space="preserve">Rajgira Halva </t>
  </si>
  <si>
    <t>Khopra</t>
  </si>
  <si>
    <t>Dry Roast on Low Flame</t>
  </si>
  <si>
    <t>Roast all these in oil</t>
  </si>
  <si>
    <t xml:space="preserve">Dry Roast   </t>
  </si>
  <si>
    <t>Elaichi powder</t>
  </si>
  <si>
    <t>Ref: Healthy Cooking by Sandhya Rajayer Pg- 170</t>
  </si>
  <si>
    <t>Haldi Stick</t>
  </si>
  <si>
    <t>Compiled on:</t>
  </si>
  <si>
    <t xml:space="preserve">Dalchini, Sticks( 2 inch ) </t>
  </si>
  <si>
    <t>Khas khas</t>
  </si>
  <si>
    <t>Last Edited on:</t>
  </si>
  <si>
    <t xml:space="preserve"> Shaboodana Kheer</t>
  </si>
  <si>
    <t>Byadgi Mirchi, (Mixed 1:1)</t>
  </si>
  <si>
    <t xml:space="preserve"> L</t>
  </si>
  <si>
    <t>Boil the milk then add the grated carrot to it, Boil for 5 mins. Then add the soaked shaboodana  to it. After it comes to a boil, cook for 5 mins and then add the sugar, Elaichi powder and grated coconut. Boil until shaboodana is almost cooked.  Garnish with fried nuts. NOTE: the kheer thickens as it cools.</t>
  </si>
  <si>
    <t>Sabudana, Soak &gt; 3 hr</t>
  </si>
  <si>
    <t xml:space="preserve"> Vol of 1 Kg Rasam masala is approx  2 L</t>
  </si>
  <si>
    <t xml:space="preserve">Sambhar Masala </t>
  </si>
  <si>
    <t>Heat ghee and roast the kaju halves or chopped badam and put into the kheer.</t>
  </si>
  <si>
    <t>Kaju or Badam, Chopped</t>
  </si>
  <si>
    <r>
      <rPr>
        <rFont val="Calibri"/>
        <b/>
        <color theme="1"/>
        <sz val="14.0"/>
      </rPr>
      <t>NOTE:</t>
    </r>
    <r>
      <rPr>
        <rFont val="Calibri"/>
        <color theme="1"/>
        <sz val="8.0"/>
      </rPr>
      <t xml:space="preserve"> Soak shaboodan in little less water so that it is little hard, not like when we do for Shabudana Khichadi.</t>
    </r>
  </si>
  <si>
    <t xml:space="preserve">Heat ghee/oil add the khada hing when it swells. Then ad methi. Roast at very low temp, until it darkens few shades but doesnot blacken. Add Kashmiri mirch and Begi Mirch roast until they swell and become crisp then finally mix the haldi. Remove from flame and cool.
</t>
  </si>
  <si>
    <t>Methi Dana</t>
  </si>
  <si>
    <t>Dry Roast  the remaining items, at very low temp, with about 2% ghee at low flame until they are fragarant and darkens few shades. Cool.</t>
  </si>
  <si>
    <t>Curry Leaves, dried</t>
  </si>
  <si>
    <t>Salted Butter (amul)</t>
  </si>
  <si>
    <t>Dry Roast the dals &amp; Rice  at low flame until it is fragarant and darkens few shades. Grind to fine flour.</t>
  </si>
  <si>
    <t>Badam, sliced</t>
  </si>
  <si>
    <t>IN KARTIK Month</t>
  </si>
  <si>
    <t>Roast the varai separately in oil.</t>
  </si>
  <si>
    <t>Groundnut Oil, For Roasting</t>
  </si>
  <si>
    <t>heat oil. Put Chaunk in the same order. Then add the chopped Green Chilli and ginger. Roast until they are crisp and then add the Curry Leaves followed by carrot. Cook until carrot is partially cooked then add the boiling water salt and sugar. Boil covered for about 5-10 mins then add the varai (unroasted). Cook until almost all water is absorbed. And then cover and simmer for about 15 mins under weight.</t>
  </si>
  <si>
    <t>Black pepper</t>
  </si>
  <si>
    <t>Javitri (Mace)</t>
  </si>
  <si>
    <t>Carrot, sabji cut</t>
  </si>
  <si>
    <t>25 gm masala per liter sambar</t>
  </si>
  <si>
    <t>Yield by weight</t>
  </si>
  <si>
    <t>Kalonji</t>
  </si>
  <si>
    <t>Tub</t>
  </si>
  <si>
    <t>Dhania seeds</t>
  </si>
  <si>
    <t>Methi seeds</t>
  </si>
  <si>
    <t>Chaunce</t>
  </si>
  <si>
    <t>boundle</t>
  </si>
  <si>
    <t>Particulars</t>
  </si>
  <si>
    <t>Dry roast above ingredients and make fine powder</t>
  </si>
  <si>
    <t xml:space="preserve">Simultaneously cook dal till it comletely melts in water. </t>
  </si>
  <si>
    <t xml:space="preserve">Mix the imli extract and rasam powder and add to the bioling dal. </t>
  </si>
  <si>
    <t>Cook together for 5- 10 minutes.</t>
  </si>
  <si>
    <t>Add the chounce, mix and cover.</t>
  </si>
  <si>
    <t>Charu Masala_Rayaseema style</t>
  </si>
  <si>
    <t>use for sambar, rasam and use as sabji masala</t>
  </si>
  <si>
    <t>Ghee (Varai Roast)</t>
  </si>
  <si>
    <t>Daniyalu, dry roast</t>
  </si>
  <si>
    <t>Udad dal, dry roast</t>
  </si>
  <si>
    <t xml:space="preserve">Kaju  </t>
  </si>
  <si>
    <t>Dry roast all the spices and together make flour in chekki machine</t>
  </si>
  <si>
    <t>Dry Coconut, Grated</t>
  </si>
  <si>
    <t>chenna dal, dry roast</t>
  </si>
  <si>
    <t xml:space="preserve">Water  </t>
  </si>
  <si>
    <t>Pepper, dry roast</t>
  </si>
  <si>
    <t>Dalchini, Dry Roast</t>
  </si>
  <si>
    <t>Lavangalu, dry roast</t>
  </si>
  <si>
    <t>Dron Pool</t>
  </si>
  <si>
    <t>Ratipuvvu. dry roast</t>
  </si>
  <si>
    <t>Marati Magga</t>
  </si>
  <si>
    <t>Akka methi</t>
  </si>
  <si>
    <t>Star Poor</t>
  </si>
  <si>
    <t>Kadipatha, Dry</t>
  </si>
  <si>
    <t>Ghee (for Roasting varai)</t>
  </si>
  <si>
    <t>Ghee(for Roasting nuts)</t>
  </si>
  <si>
    <t>Varai Khichadi_Rich/special</t>
  </si>
  <si>
    <t>Pieces</t>
  </si>
  <si>
    <t>Last Edited: on</t>
  </si>
  <si>
    <t>Kashmiri Mirch</t>
  </si>
  <si>
    <t>Green Chillies, slit</t>
  </si>
  <si>
    <t>Bhopla, 1" cut</t>
  </si>
  <si>
    <t>Kokam juice</t>
  </si>
  <si>
    <t>Kaccha Kela, sabji cut</t>
  </si>
  <si>
    <t>Arbi, sabji cut</t>
  </si>
  <si>
    <t>Alu sabji cut</t>
  </si>
  <si>
    <t>French Beans (2 inches)</t>
  </si>
  <si>
    <t>Capsicum (1.5 inch square)</t>
  </si>
  <si>
    <t>Bhopla (1 inch cubes)</t>
  </si>
  <si>
    <t>Doodhi (1 inch cubes)</t>
  </si>
  <si>
    <t>Cauliflower (1 inch florets)</t>
  </si>
  <si>
    <t>Roast varai until Golden Yellow (like halva)</t>
  </si>
  <si>
    <t>CHOWNK</t>
  </si>
  <si>
    <t>Badi sauf</t>
  </si>
  <si>
    <t>Fry groundnuts, keep aside. Then in the same oil put the tadka in the same order. Followed by carrot, Alu and Bhopla. Roast for sometime, then add water &amp; salt. Boil for about 10 mins. Then add sugar, nd roasted varai. Cook until varai is soft but cooked but still  fluid consistency. Then mix in the kokam/lemon juice  and dhaniya Patta. Put off flame.</t>
  </si>
  <si>
    <t>Tomato (chopped cubes)</t>
  </si>
  <si>
    <t>Green Chilli, slit</t>
  </si>
  <si>
    <r>
      <rPr>
        <rFont val="Calibri"/>
        <color theme="1"/>
        <sz val="14.0"/>
      </rPr>
      <t>Yiled(L) = (</t>
    </r>
    <r>
      <rPr>
        <rFont val="Calibri"/>
        <color rgb="FFE36C09"/>
        <sz val="14.0"/>
      </rPr>
      <t>(Rice(Kg)+Dal(Kg))</t>
    </r>
    <r>
      <rPr>
        <rFont val="Calibri"/>
        <color theme="1"/>
        <sz val="14.0"/>
      </rPr>
      <t xml:space="preserve">*6) </t>
    </r>
    <r>
      <rPr>
        <rFont val="Calibri"/>
        <color rgb="FF4F6128"/>
        <sz val="14.0"/>
      </rPr>
      <t>+</t>
    </r>
    <r>
      <rPr>
        <rFont val="Calibri"/>
        <color theme="1"/>
        <sz val="14.0"/>
      </rPr>
      <t xml:space="preserve"> </t>
    </r>
    <r>
      <rPr>
        <rFont val="Calibri"/>
        <color rgb="FFE36C09"/>
        <sz val="14.0"/>
      </rPr>
      <t>Sabji(Kg)</t>
    </r>
  </si>
  <si>
    <t>Alu, sabji cut</t>
  </si>
  <si>
    <t>Cook the dal in water along with salt and haldi. When dal is partially cooked add the Rice. When the dal is almost dissolved and rice almost cooked then add the sabji. Cook until sabji is tender. Then add the powder masala's. Boil. Add Tadka. Boil. Finally mix in the Dhaniya Patta.</t>
  </si>
  <si>
    <t>Mung Dal (soak &gt;2 hr)</t>
  </si>
  <si>
    <t>Varai Upma_Wet</t>
  </si>
  <si>
    <t xml:space="preserve">Varai    </t>
  </si>
  <si>
    <t>Sabji, 1" cubes</t>
  </si>
  <si>
    <t>Groundnut Oil, For roasting Varai</t>
  </si>
  <si>
    <t>Groundnut Oil, for Chaunk</t>
  </si>
  <si>
    <t>Powder Masala's</t>
  </si>
  <si>
    <t xml:space="preserve">Tadka.
Heat ghee add the Jeera and then ginger. Roast until ginger is crisp. Then add the hing followed by Curry Leaves. Add this Tadka to the cooked khichadi. Boil. </t>
  </si>
  <si>
    <t>Add at last. Mix</t>
  </si>
  <si>
    <t>Recipe Yield</t>
  </si>
  <si>
    <t>Total Qty</t>
  </si>
  <si>
    <t>Soak all the dals &gt; 2 hrs. Boil the dals with salt and haldi at until the mungdal is almost dissolved. While dal is getting cooked add the tough sabji's like doodhi and carrot.Then add the rice. With rice add the softer sabji's like aloo/baingan and bhopla..</t>
  </si>
  <si>
    <t xml:space="preserve">Chana Dal </t>
  </si>
  <si>
    <t>rice</t>
  </si>
  <si>
    <t>Put Chaunk in the same order. Add vegs in the same order 1 by 1. Cook until veg are p[artially cooked. Hen add the haldi powder and Kashmiri Mirch powder. Mix add Tomato, cook for 10 more mins. Add water and pulao masala and salt. Cover and boil for 10 mins. Then add the rice at high flame. Cook until water is al most absorbed. Then mis in the remaining items. Cover and cook for 15-20 mins at low flame.</t>
  </si>
  <si>
    <t>Kaju Halves (optional)</t>
  </si>
  <si>
    <t>dal</t>
  </si>
  <si>
    <t>Boiling Water(approx)</t>
  </si>
  <si>
    <t>sabjis</t>
  </si>
  <si>
    <t>Kokam/ lemon Juice</t>
  </si>
  <si>
    <t>palak</t>
  </si>
  <si>
    <t xml:space="preserve">Groundnut Oil </t>
  </si>
  <si>
    <t>Heat the oil and put the chaunk in  the same order. Then add  some water and cook for about 10 mins. And finally add to the cooked khichadi.</t>
  </si>
  <si>
    <t>`</t>
  </si>
  <si>
    <t>Varai uttappam</t>
  </si>
  <si>
    <t xml:space="preserve">Byadgi Mirchi, broken </t>
  </si>
  <si>
    <t>Yield(Nos), use 80 ml spoon</t>
  </si>
  <si>
    <t>Sunday Kichidi</t>
  </si>
  <si>
    <t>Varai Uttappam_Nvcc</t>
  </si>
  <si>
    <t>Pulao</t>
  </si>
  <si>
    <t>60ml spn batter per uttapam</t>
  </si>
  <si>
    <t>yeild</t>
  </si>
  <si>
    <t>Peet Yield</t>
  </si>
  <si>
    <t>Yield(Nos), use 60ml spoon</t>
  </si>
  <si>
    <t>sabji</t>
  </si>
  <si>
    <t>Tomato, slice</t>
  </si>
  <si>
    <t>Alu, 1" cubes</t>
  </si>
  <si>
    <t>Doodhi, 1" cubes</t>
  </si>
  <si>
    <t>To be added in the same order</t>
  </si>
  <si>
    <t>Add to the above chaunk boil for 5-10 mins. Then add the  rice, and cook.</t>
  </si>
  <si>
    <t>Add these items to the biryani when most of the water is absorbed by the rice. Mix nicely. And cook covered under weight for about 15 mins at low flame.</t>
  </si>
  <si>
    <t>Pudina Leaves, chopped</t>
  </si>
  <si>
    <t>OR Alu, 1" cubes</t>
  </si>
  <si>
    <t>Lavang Powder</t>
  </si>
  <si>
    <t>Finally Mix in all the liquids together and sprinkle on the Biryani. Also put the chopped Dhaniya and  chopped pudina.  Mix and cover.</t>
  </si>
  <si>
    <t>Butter</t>
  </si>
  <si>
    <t>Cabbage, sabji cut</t>
  </si>
  <si>
    <t>Kesar Essence</t>
  </si>
  <si>
    <t xml:space="preserve">Banana, after  peel  Wt </t>
  </si>
  <si>
    <t>Rose Water</t>
  </si>
  <si>
    <t>Mango, (peeled n  cut Wt)</t>
  </si>
  <si>
    <t>Kewra Essence</t>
  </si>
  <si>
    <t>or Palak, sabji cut</t>
  </si>
  <si>
    <t xml:space="preserve">Dates, thin sliced, ( with seed Wt) </t>
  </si>
  <si>
    <t>Cheeku, before peeling</t>
  </si>
  <si>
    <t xml:space="preserve">Phanas, Net wt ( after taking out plumps) </t>
  </si>
  <si>
    <t>Dhaniya Patta (optional)</t>
  </si>
  <si>
    <t>Kewra Water</t>
  </si>
  <si>
    <t>Generally 1 gaddi of Pudina yields 50 gm of leaves</t>
  </si>
  <si>
    <t>Groundnut Oil, (Optional)</t>
  </si>
  <si>
    <t>Cabbage Rice (Indian Chinese Rice)</t>
  </si>
  <si>
    <t>Masala preparation: Roasted all in order given and make powder</t>
  </si>
  <si>
    <t>Coconut oil</t>
  </si>
  <si>
    <t>chenna dal</t>
  </si>
  <si>
    <t>Cook Rice separately. Spread it on plate to cool.</t>
  </si>
  <si>
    <t>Bydgi Mirchi</t>
  </si>
  <si>
    <t>Millet, (K,F,L,B)</t>
  </si>
  <si>
    <t>Heat Oil. Put rai, hing and ginger. Then put capsicum. Keep flame very hingh. Put cabbage. Keep roasting until the cabbage is half cooked, it should remain crispy. Add carrot, salt and half Black Pepper Powder. Mix. Then add the rice. Mix . Add trhe remaining black pepper powder and dhaniya Patta. Mix and done.</t>
  </si>
  <si>
    <t>Boil tool dal till 90% and add millet</t>
  </si>
  <si>
    <t>Green chilli, chopped</t>
  </si>
  <si>
    <t>Cabbage, Shredded Fine</t>
  </si>
  <si>
    <t>Carrot, 1.5 mm grating</t>
  </si>
  <si>
    <t>Ekadashi Alu Churchuri</t>
  </si>
  <si>
    <t>Chownk</t>
  </si>
  <si>
    <t>Alu, finger chips</t>
  </si>
  <si>
    <t>Curry leave</t>
  </si>
  <si>
    <t xml:space="preserve">Tej Patta </t>
  </si>
  <si>
    <t xml:space="preserve">Carrot Palak  Rice </t>
  </si>
  <si>
    <t>Bedgi Mirchi(Make Powder)</t>
  </si>
  <si>
    <t>Chilly, Paste</t>
  </si>
  <si>
    <t>Carrots, 1cm sabji cut</t>
  </si>
  <si>
    <t>Add to the chowk</t>
  </si>
  <si>
    <t>French beans, 1' long</t>
  </si>
  <si>
    <t>Alu, 1 cm sabji cut</t>
  </si>
  <si>
    <t>Heat oil/ghee. Add Jeera, Green Chilli. Roast for few mins then add hing . Add cabbage, cook for few mins. Then add carrot roast for few more mins. Mix in the chopped palak. Add Black pepper, Salt. Cook for few mins and add the boiling water. Bring to a boil, cover and allow to simmer for 10 mins. then add rice and cook as regular.
After washing the palak. Drain the excess water nicely. Otherwise the rice will become wet</t>
  </si>
  <si>
    <t>Cabbage, chopping</t>
  </si>
  <si>
    <t>Capsicum, 1.5cm sabi cut</t>
  </si>
  <si>
    <t xml:space="preserve"> Drumstick </t>
  </si>
  <si>
    <t>Heat oil put tadka then the paste below.Roast until oil separates. Then add the shenghdana pdr. Roast for few more mins. Add water. Boil. Add the paste and continue boiling.</t>
  </si>
  <si>
    <t>Salt, For veg</t>
  </si>
  <si>
    <t xml:space="preserve">Jeera </t>
  </si>
  <si>
    <t>Curry Patta</t>
  </si>
  <si>
    <t>Add to the chowk and cook for 2mins</t>
  </si>
  <si>
    <t>Green Chillies paste</t>
  </si>
  <si>
    <t>Soak Dalchini, kashmiri mirch, lavang and tejpatta for an hr. then grind to a fine paste along with ginger and green chillies.</t>
  </si>
  <si>
    <t>Masala, given above</t>
  </si>
  <si>
    <t>Tamirind, Pulp</t>
  </si>
  <si>
    <t>Carrot, grated thick</t>
  </si>
  <si>
    <t xml:space="preserve">Palak, chopped  </t>
  </si>
  <si>
    <t>Dhananiya Patha</t>
  </si>
  <si>
    <t>KG</t>
  </si>
  <si>
    <t>Palak, chopped fine (approx)</t>
  </si>
  <si>
    <t>Black Pepper Powder, fresh</t>
  </si>
  <si>
    <t>Not cooked uptil now</t>
  </si>
  <si>
    <t>Shenghdana, roast &amp; skin</t>
  </si>
  <si>
    <t xml:space="preserve">Make coarse pdr. Add to the above and roast for few more mins. Then add the water and salt. Boil for 5 mins and add the paste below. </t>
  </si>
  <si>
    <t>Khopra, 3 mm slice</t>
  </si>
  <si>
    <t>Fry the khopra in the chaunk oil. Pulverize it with other other items  to a fine paste.</t>
  </si>
  <si>
    <t>Coconut</t>
  </si>
  <si>
    <t xml:space="preserve">Carrot Peas Rice </t>
  </si>
  <si>
    <t>Kokum Juice, Bgm</t>
  </si>
  <si>
    <t>Millet -kodo</t>
  </si>
  <si>
    <t>Add at last and boil for 5-10 mins.</t>
  </si>
  <si>
    <t>Carrot, small pieces</t>
  </si>
  <si>
    <r>
      <rPr>
        <rFont val="Calibri"/>
        <b/>
        <color theme="1"/>
        <sz val="8.0"/>
      </rPr>
      <t>TADKA</t>
    </r>
    <r>
      <rPr>
        <rFont val="Calibri"/>
        <color theme="1"/>
        <sz val="8.0"/>
      </rPr>
      <t xml:space="preserve">
</t>
    </r>
  </si>
  <si>
    <t>Shenghdana Aamti_Thin</t>
  </si>
  <si>
    <t xml:space="preserve">cook the rice and then spread it on big plates to cool, so that each grain is separtae </t>
  </si>
  <si>
    <t>Khopra, grated 1.5mm</t>
  </si>
  <si>
    <t>Millet - Barn yard</t>
  </si>
  <si>
    <t>Add to the above and mix.</t>
  </si>
  <si>
    <t xml:space="preserve">Chilka Mung Dal </t>
  </si>
  <si>
    <t>Ekadasi Millet Poha with Veg</t>
  </si>
  <si>
    <t xml:space="preserve">Last edited on </t>
  </si>
  <si>
    <t>Little Millet</t>
  </si>
  <si>
    <t>Cook the Rice. And spread to cool.</t>
  </si>
  <si>
    <t>Rai (small)</t>
  </si>
  <si>
    <t>Ginger (grated)</t>
  </si>
  <si>
    <t>Corn Kernels, boil &amp; drain</t>
  </si>
  <si>
    <t>Capsicum 1" square</t>
  </si>
  <si>
    <t>Note: 1 Kg corn = 1.5 L by vol</t>
  </si>
  <si>
    <t>Millet - Little</t>
  </si>
  <si>
    <t>Edited on 3rd April 2019</t>
  </si>
  <si>
    <t xml:space="preserve">Cook rice.  Rice should be little overcooked. </t>
  </si>
  <si>
    <t>Sambar Masala</t>
  </si>
  <si>
    <t xml:space="preserve">Mix together and add the cooked rice in it. Then from top add the tadka. And garnish with coconut and Dhaniya patta. Add the vegetables &amp; fruits (if Using).
</t>
  </si>
  <si>
    <t>Tadka</t>
  </si>
  <si>
    <t>Danim</t>
  </si>
  <si>
    <r>
      <rPr>
        <rFont val="Calibri"/>
        <b/>
        <color theme="1"/>
        <sz val="11.0"/>
      </rPr>
      <t xml:space="preserve">NOTE:- </t>
    </r>
    <r>
      <rPr>
        <rFont val="Calibri"/>
        <color theme="1"/>
        <sz val="11.0"/>
      </rPr>
      <t>If you are going to serve the curd rice after 5-6 hrs its recommended to mix milk and curd and prepare otherwise it turn svery sour.</t>
    </r>
  </si>
  <si>
    <t>Carrot - subji cut</t>
  </si>
  <si>
    <t>Beans - 1" long</t>
  </si>
  <si>
    <t>Bhopla - subji cut</t>
  </si>
  <si>
    <t>Doodhi - subji cut</t>
  </si>
  <si>
    <t>Palak - subji cut</t>
  </si>
  <si>
    <t>Tamato - subji cut</t>
  </si>
  <si>
    <t>Basmati Rice</t>
  </si>
  <si>
    <t>Boil water, add salt and oil. Add Rice. Cook.  When water is almost absorbed add the below mixture of flavors. If you like you may add some color also. Cover and cook for 15 mins at low flame. Allow to stand for 15 mins. Then Spread on a plate to cool.</t>
  </si>
  <si>
    <t xml:space="preserve">Heat Ghee. Fry kaju at low temp until light brown. Remove.Keep aside. Ion the same ghee add the tadka from Dalchini to lavang.Then add carrot. When carrot is partially cooked add the kismis. When they puff up add the Green peas. Add salt. Saute for few mins, until both peas and carrot are cooked. then add the fried kaju.Mix in the Cooled Rice and sprinkle white pepper Powder sugar and Eliachi Powder. Saute  for few mins until the rice is nicely mixed and heated. </t>
  </si>
  <si>
    <t>Non Spicy Dwadasi Millet Kichidi 5</t>
  </si>
  <si>
    <t>Dalchini, broken</t>
  </si>
  <si>
    <t>Add while mixing the rice</t>
  </si>
  <si>
    <t>Capscicum - subji cut</t>
  </si>
  <si>
    <t>Panch Pohan</t>
  </si>
  <si>
    <t>Dough Wt-125 gm</t>
  </si>
  <si>
    <t>For getting a nice look you can make cook 20% of the rice separately by adding kesari color. And then mix with the white rice</t>
  </si>
  <si>
    <t>Mung Dal (Soak &gt;2hrs)</t>
  </si>
  <si>
    <t>Boil the mungdal in water with salt until soft. Then add the cut carrot &amp; bhopla to it. Cook until they are overcooked. Then Pulverize this along with Tomato through a fine mesh.Then again boil this entire mixture. Mix cornflour in some water and add to the above boiling soup along with oregano (if using),  Black Pepper Powder &amp; sugar, while continuously stirring. Boil for about 10 mins. Then add the sevai, cabbage, dhaniya patta/ Basil &amp; butter. Boil for 5 more mins &amp; done. Finally mix in the lemon juice</t>
  </si>
  <si>
    <t>Dough Wt-150gm</t>
  </si>
  <si>
    <t>Yield (small size)</t>
  </si>
  <si>
    <t>Daliya Kichiri</t>
  </si>
  <si>
    <t>Carrot, Cut into big pieces</t>
  </si>
  <si>
    <t>Bhopla, peel &amp; cut nto big pieces</t>
  </si>
  <si>
    <t>Dough Wt-100gm</t>
  </si>
  <si>
    <t>Sevai (optional)</t>
  </si>
  <si>
    <t>Put in the prepared soup, and boil for 5 mins.</t>
  </si>
  <si>
    <t>Cabbage, Finely chopped</t>
  </si>
  <si>
    <t>Cook the rice. And spread on plates to cool. Make each grain separate.</t>
  </si>
  <si>
    <t>Daliya</t>
  </si>
  <si>
    <t>Dhaniya Patta, finely chopped</t>
  </si>
  <si>
    <t>Put chaunk from oil to ginger. Add mashed Alues. Mix in the remaining  salts, mirchi Powder , Garam Masala  and  Chaat Masala. Mix thoroughly. Finally add the chopped dhaniya/pudina or Kasuri Methi.
Cook for sometime until its little dry. Now mix this with the seived flour and make dough. 
Make balls from this dough of appropriate size, roll and roast on tava with ghee/oil. 
Offer to Lord  with devotion
Serve with butter/dahi.</t>
  </si>
  <si>
    <t>Heat Oil. Fry groundnuts, keep aside. Then put rai and udad dal. Put  bedagi mirch and Green Chilli. Then put hing and Curry Leaves. Put cooked rice and salt and groundnuts. Mix thoroughly. Then Put off flame and mix in Grated mango and dhaniya patta.</t>
  </si>
  <si>
    <t>Byadgi chilli, broken</t>
  </si>
  <si>
    <t>Green Chilli (Split in two)</t>
  </si>
  <si>
    <t>Kasuri Methi (optional)</t>
  </si>
  <si>
    <t xml:space="preserve">Boil the mungdal in water with salt until soft. Then add the cut alu &amp; bhopla to it. Cook until they are overcooked. Then Pulverize this through a fine mesh.Then again boil this entire mixture. Mix cornflour in some water and add to the above boiling soup along with Black Pepper Powder &amp; sugar, while continuously stirring. Boil for about 10 mins. Then add the sevai, dhaniya patta/ Basil &amp; butter. Boil for 5 more mins &amp; done. </t>
  </si>
  <si>
    <t>Alu, peel &amp; Cut into big pieces</t>
  </si>
  <si>
    <t>Kaccha Aam, grated (totapuri)</t>
  </si>
  <si>
    <t>Add after putting off fire. MIX</t>
  </si>
  <si>
    <t>In a heavy bottomed pateela or Kadhai heat butter then add these items in same order.</t>
  </si>
  <si>
    <t>Green Chilli (chop fine)</t>
  </si>
  <si>
    <t>Ginger, Chopped Fine</t>
  </si>
  <si>
    <t>French Beans, chopped fine</t>
  </si>
  <si>
    <t>Carrot (chop fine cubes)</t>
  </si>
  <si>
    <t>Capsicum, small square</t>
  </si>
  <si>
    <t>Add next</t>
  </si>
  <si>
    <t>Note : Always put 85% of grated Mango as manier times mango will have different levels of Sourness, after offering if required we can add according to the required sourness.</t>
  </si>
  <si>
    <t>Cabbage, small square</t>
  </si>
  <si>
    <t>Boiling Hot Water</t>
  </si>
  <si>
    <t>Pudina (Chopped Fine)</t>
  </si>
  <si>
    <t xml:space="preserve"> Kaju Jeera Rice </t>
  </si>
  <si>
    <t>Dhaniya Patta (Chopped)</t>
  </si>
  <si>
    <t>In this modified recipe (on 8th July 2015)
1.Chat Masala is reduced 
2. Yield is incresed from 420no to 540 no(based on meduim size)</t>
  </si>
  <si>
    <t>Mix  a smooth solution</t>
  </si>
  <si>
    <t>Cool water</t>
  </si>
  <si>
    <t>Mix all the ingredients and make a medium soft dough using enough water. Roll out thick roti's and roast then on tava with ghee/oil</t>
  </si>
  <si>
    <t>Alu, peel, grate &amp; parboil</t>
  </si>
  <si>
    <t>Cook rice separately. Spread and cool to make individual grains separate.</t>
  </si>
  <si>
    <t xml:space="preserve">Groundnut Oil, for roasting </t>
  </si>
  <si>
    <t>Heat oil/ghee. Fry kaju keep aside (don’t over roast).Then in the same oil/ghee add the chaunk. Take care not to burn the jeera. Add the cooled rice. Mix. Add the fried kaju. Sprinkle salt and Dhaniya Patta. Mix thoroughly.</t>
  </si>
  <si>
    <t>Kaju halves</t>
  </si>
  <si>
    <t>Put all these items in boiling water. Let it boil for about 15 mins. Then add the corn kernels and chopped corn kernels also in it. Boil until corn is well cooked. Then mix cornflour in little water and add to the boiling soup along wih sugar and chopped cabbage. Boil for about 5 mins. Put off flame. Mix in chopped Dhaniya/Basil and lemon juice.</t>
  </si>
  <si>
    <t>Atta- Besan Masala Chappati/Puri</t>
  </si>
  <si>
    <t>Yield (roti's)</t>
  </si>
  <si>
    <t>Yield (puri's)</t>
  </si>
  <si>
    <t>Carrot, finely chopped</t>
  </si>
  <si>
    <t>French Bean, thin slice</t>
  </si>
  <si>
    <t>If you are not using dahi, then reduce the quantity of hing by 20 %.</t>
  </si>
  <si>
    <t>Green Chllies, chopped fine</t>
  </si>
  <si>
    <t>Add the corn to it and boil until the corns are almost cooked. Then add the chopped corn, mix well and boil for another 5 mins. Meanwhile mix the cornflour in water and add to the above boiling soup, while continuously stirring. Add sugar &amp; salt also. Boil for 10 mins more. Put off flame.</t>
  </si>
  <si>
    <t>Corn Kernels</t>
  </si>
  <si>
    <t>Corn Kernels, roughly chopped</t>
  </si>
  <si>
    <t>sugar</t>
  </si>
  <si>
    <t>Dahi (Optional)</t>
  </si>
  <si>
    <t>Add to above bring to a boil</t>
  </si>
  <si>
    <t>Salt Extra for Dahi</t>
  </si>
  <si>
    <t>Cabbage,chopped fine</t>
  </si>
  <si>
    <t>Add one of these to above and Put off the flame. If using celery stalk add celery leaves. o/w use Dhaniya Patta or Basil.</t>
  </si>
  <si>
    <t>Basil, chopped Fine</t>
  </si>
  <si>
    <t>Finaly add &amp; Mix.</t>
  </si>
  <si>
    <t>Groundnut Oil, For Roasting Chappati</t>
  </si>
  <si>
    <t>Tamato Soup_RGM</t>
  </si>
  <si>
    <t>Chappati</t>
  </si>
  <si>
    <t>Puri's</t>
  </si>
  <si>
    <t>Amrakhand</t>
  </si>
  <si>
    <t>Black Pepper, pdr</t>
  </si>
  <si>
    <t>Kasuri methi</t>
  </si>
  <si>
    <t>Yield (by vol)</t>
  </si>
  <si>
    <t>Warm water (approx)</t>
  </si>
  <si>
    <t>Chakka</t>
  </si>
  <si>
    <t>Dry Basil</t>
  </si>
  <si>
    <t>Sunflower Oil, for Frying Puri</t>
  </si>
  <si>
    <t>Dried Oregano</t>
  </si>
  <si>
    <t>Water - Cold</t>
  </si>
  <si>
    <t>Basil Leaves, roughly chopped</t>
  </si>
  <si>
    <t xml:space="preserve">Carrot Parathas </t>
  </si>
  <si>
    <t>Butter Amul</t>
  </si>
  <si>
    <t>Cream Amul</t>
  </si>
  <si>
    <t>Kaju (Optional)</t>
  </si>
  <si>
    <t xml:space="preserve">Carrot Grated ( No.3) </t>
  </si>
  <si>
    <t xml:space="preserve">Pulao Masala </t>
  </si>
  <si>
    <t xml:space="preserve">3/10/2017 edited by Kend.  Removed Goda masala. Reduced pulao masala. Reudced ajwain. </t>
  </si>
  <si>
    <t xml:space="preserve">Tomato  </t>
  </si>
  <si>
    <t>Boil together in water and pulverize to a smooth puree.</t>
  </si>
  <si>
    <t xml:space="preserve">AMUL butter </t>
  </si>
  <si>
    <t>Mango, 1 cm cubes</t>
  </si>
  <si>
    <t>Heat butter, add hing followed by black pepeer pdr. Then add the above puree. Boil for few mins</t>
  </si>
  <si>
    <t xml:space="preserve">Black pepper pwd </t>
  </si>
  <si>
    <t>Groundnut Oil (for Travelling Prasadam)</t>
  </si>
  <si>
    <t>Milk for Rabi</t>
  </si>
  <si>
    <t>Condense to 45%</t>
  </si>
  <si>
    <t>Pista</t>
  </si>
  <si>
    <t>Kesar</t>
  </si>
  <si>
    <t>Heat Oil. Fry groundnuts, keep aside. Then put rai and udad dal. Put  bedagi mirch and Green Chilli. Then put hing and Curry Leaves. Put cooked rice and salt and groundnuts. Mix thoroughly. Then Put off flame and mix in lemon juice and dhaniya patta.</t>
  </si>
  <si>
    <t>Groundnut Oil (for Regular use)</t>
  </si>
  <si>
    <t>Milk for Angoori Balls(chenna)</t>
  </si>
  <si>
    <t>Dry basil</t>
  </si>
  <si>
    <t xml:space="preserve">Malish and finely mix the chena with maida. 200gm chena is expected from 1kg milk </t>
  </si>
  <si>
    <t>Sugar for Sugar Syrup</t>
  </si>
  <si>
    <t>Approximate Balls(7-8gm each)</t>
  </si>
  <si>
    <t>Add to the above. And boil for few more mins. Then add the corn flour mixture. And boil for 5 mins.</t>
  </si>
  <si>
    <t xml:space="preserve">Dry oregano </t>
  </si>
  <si>
    <t xml:space="preserve">Banana Rava Halva </t>
  </si>
  <si>
    <t>Heat ghee. Roast rava in it. When  reddish brown. Add the dry fruits in it. Then add the sugar- water solution when water is almost absorbed . Cook covered at low flame for 10 mins. After that Mix in the Banana pulp- sugar mixture. Cover again and Simmer at very low flame  for 10 mins.</t>
  </si>
  <si>
    <t>700gm</t>
  </si>
  <si>
    <t>Choose either one of the color band as per your budget.</t>
  </si>
  <si>
    <t>271 gm</t>
  </si>
  <si>
    <t>Mix in little cold water and add to above</t>
  </si>
  <si>
    <t>AMUL butter</t>
  </si>
  <si>
    <r>
      <rPr>
        <rFont val="Calibri"/>
        <b/>
        <color theme="1"/>
        <sz val="12.0"/>
      </rPr>
      <t xml:space="preserve">NOTE: </t>
    </r>
    <r>
      <rPr>
        <rFont val="Calibri"/>
        <b val="0"/>
        <color theme="1"/>
        <sz val="12.0"/>
      </rPr>
      <t>Don’t add Dhaniya Patta if you are planning to preserve the rice for a day or more as travelling prasadam</t>
    </r>
  </si>
  <si>
    <t xml:space="preserve">AMUL cream </t>
  </si>
  <si>
    <t>Add to the prepared soup. Bring to a boil</t>
  </si>
  <si>
    <t>Basil leaves chopped</t>
  </si>
  <si>
    <t>Put from top at the end</t>
  </si>
  <si>
    <t xml:space="preserve">YIELD </t>
  </si>
  <si>
    <t>60 ltr</t>
  </si>
  <si>
    <t>Boil together to make a syrup</t>
  </si>
  <si>
    <t xml:space="preserve"> Masala Rice with Carrot &amp; Capsicum</t>
  </si>
  <si>
    <t>Note : To get desired yield kindly add tamato boiled water.</t>
  </si>
  <si>
    <t>Fry and keep aside.</t>
  </si>
  <si>
    <t>Heat Oil. Put tadka. Add the alu followed by baingan. Add salt cook for sometime until veg are slightly cooked. Then the powder masala's. Followed by boiling water and Gud. Allow to boil for 5-10 mins. Then add the washed rice. And cook finally mix in the fried groundnut, toasted khopra and Dhaniya Patta.</t>
  </si>
  <si>
    <t>Caramel Color</t>
  </si>
  <si>
    <t>Elaichi, crushed</t>
  </si>
  <si>
    <t>Banana Pulp</t>
  </si>
  <si>
    <t>Carrot, 1" cubes</t>
  </si>
  <si>
    <t>Peel the bananas. Pulverize it  to a smooth paste. Don’t add water. Mix in the suagra and Elaichi Powder. And add to the cooked halva.</t>
  </si>
  <si>
    <t>Capsicum, 1" cubes</t>
  </si>
  <si>
    <t>Banana Reqd (approx)</t>
  </si>
  <si>
    <t>Per L Cost</t>
  </si>
  <si>
    <t>NOTE: Banana should be little over ripe.</t>
  </si>
  <si>
    <t>Roast the Ragi Flour in ghee. When it is roasted.Add chopped badam and roast for few mins.  Put off the flame. Cool  for few mins then  Mix in sugar powder/shakkar bura, elaichi pwdr. Allow to cool. Mix &amp; Make laddu next day (when completely cooled)
If using gud, add gud to the roasted ragi without putting off flame, mix until the gud melts. Mix the elaichi Powder also. Make laddu's while the mixture is still hot.If yu want hader laddu's cook the mixture with gud for longer time.</t>
  </si>
  <si>
    <t>Beetroot Halva_KAP</t>
  </si>
  <si>
    <t>Beetroot, grated 1.5 mm</t>
  </si>
  <si>
    <t>1. Roast the beetroot in ghee until almost dry. 
2. Then add the boiling milk mixed with khava.
3. Cook until dry.
4. Add  sugar.
5. Cook more until excess liquid is absorbed.</t>
  </si>
  <si>
    <t>Khopra grated, 1.5 mm (optional)</t>
  </si>
  <si>
    <t>Total No Of Serving</t>
  </si>
  <si>
    <t>Beetroot,  Required</t>
  </si>
  <si>
    <t>Yield by Wt</t>
  </si>
  <si>
    <t>Khava</t>
  </si>
  <si>
    <t>Yield by No(50gm per burfi)</t>
  </si>
  <si>
    <t>Mayonisee Salad_KCP</t>
  </si>
  <si>
    <t>Red Bell Pepper</t>
  </si>
  <si>
    <r>
      <rPr>
        <rFont val="Calibri"/>
        <b/>
        <color theme="1"/>
        <sz val="14.0"/>
      </rPr>
      <t>NOTE:-</t>
    </r>
    <r>
      <rPr>
        <rFont val="Calibri"/>
        <color theme="1"/>
        <sz val="11.0"/>
      </rPr>
      <t>There is about 20% wastage in peeling and grating of Beetroot.</t>
    </r>
  </si>
  <si>
    <t>Yellow Bell Pepper</t>
  </si>
  <si>
    <t xml:space="preserve"> Masala Rice w/o veg</t>
  </si>
  <si>
    <t>Cucumber</t>
  </si>
  <si>
    <t>Brocolli</t>
  </si>
  <si>
    <t>Heat Oil. Put tadka.   Followed by boiling water and Gud. Add the powder masala's. Allow to boil for 5-10 mins. Then add the washed rice. And cook finally mix in the fried groundnut, toasted khopra and Dhaniya Patta.</t>
  </si>
  <si>
    <t>green peas</t>
  </si>
  <si>
    <t>sweet corn kernels</t>
  </si>
  <si>
    <t xml:space="preserve">Carrot </t>
  </si>
  <si>
    <t>Sweet Bundi</t>
  </si>
  <si>
    <t>Black pepper powder</t>
  </si>
  <si>
    <t>Roast rava till yellow color then add Besan cont… roast till brown in Color. and add the Dry fruits with Saunf and Black Pepper (if using). Then add sugar syrup.</t>
  </si>
  <si>
    <t>Mayonisee-delmonte</t>
  </si>
  <si>
    <t>Rice Flour, coarse</t>
  </si>
  <si>
    <t>Besan, coarse</t>
  </si>
  <si>
    <t>Elaichi  Dana</t>
  </si>
  <si>
    <t>Yild</t>
  </si>
  <si>
    <t xml:space="preserve"> Masala Rice with Alu &amp; Baingan</t>
  </si>
  <si>
    <t>Gulab Patti</t>
  </si>
  <si>
    <t>Akkha Mung (soak - sprouts)</t>
  </si>
  <si>
    <t>Green Color</t>
  </si>
  <si>
    <t>Red Color</t>
  </si>
  <si>
    <t>Kakdi (chopping)</t>
  </si>
  <si>
    <t>Tomato (chopping)</t>
  </si>
  <si>
    <t>Butter/Ghee</t>
  </si>
  <si>
    <t>Carrot (grating)</t>
  </si>
  <si>
    <t>Green chilly (chopping)</t>
  </si>
  <si>
    <t>Mirchi powder</t>
  </si>
  <si>
    <t>Use Either of color band.
 Proportion can vary with budget</t>
  </si>
  <si>
    <t>Chaat masala</t>
  </si>
  <si>
    <t>Note: General Bundi Density: 560 gm/L</t>
  </si>
  <si>
    <t>Coconut, grated</t>
  </si>
  <si>
    <t>Chole/kala chenadal Salad</t>
  </si>
  <si>
    <t>Chole, kaka Chenna dal</t>
  </si>
  <si>
    <t>*-&gt; Soak rava in milk (normal temp) for about an hour.
-&gt; The khava should be soft, yet not sticky. Grate the khava to remoe any lump. 
-&gt; Mix the khava with soaked rava and Elaichi &amp; Jaiphal Powder.
-&gt; Make balls of appropriate sizes.
-&gt; Heat the ghee/oil to 140 deg C. 
-&gt; Remove the Kadhai from heat. Gently push the Prepared khava balls. And Rotate the kadhai fast, so that the khava balls dont stick to the bottom and as soon as they come up  put the kadhai back on fire. and cook for almost 20 mins at around 140 deg C. 
-&gt; When done put the jamuns in sugar syrup (at about 65 deg C)</t>
  </si>
  <si>
    <t>Gulab Jamun_Jaydev P</t>
  </si>
  <si>
    <t>Add sugar to the boiling water bring to a boil and let sugar dissolve in it. Then remove from fire and add jaiphal pdr and Elaichi pdr to it (if using)</t>
  </si>
  <si>
    <t>Kalajamoon_Nitai Prasad pr</t>
  </si>
  <si>
    <t>Yield ( big size)</t>
  </si>
  <si>
    <t>Lts</t>
  </si>
  <si>
    <t>Green Chille</t>
  </si>
  <si>
    <t>Black Pepper crushed</t>
  </si>
  <si>
    <t>Saunf</t>
  </si>
  <si>
    <t>Khawa</t>
  </si>
  <si>
    <t>Radhastami</t>
  </si>
  <si>
    <t>Yield, Medium</t>
  </si>
  <si>
    <t>Salad (Mung Kakdi Tomato)</t>
  </si>
  <si>
    <t>Yield ( medium size)</t>
  </si>
  <si>
    <t>Ghee/oil (Optional)</t>
  </si>
  <si>
    <t>Roast the rava in ghee until golden yellow add it to the boiling  milk.  Cook until rava is fluffy. Then add sugar, heat until sugar is dissolved. Then pulverize untill smooth. Cool.</t>
  </si>
  <si>
    <t>Rava</t>
  </si>
  <si>
    <t>Badam,  chopped thin &amp; long</t>
  </si>
  <si>
    <t>Quantity can be adjusted as per budget.</t>
  </si>
  <si>
    <t>Pista, chopped thin &amp; long</t>
  </si>
  <si>
    <t>GM</t>
  </si>
  <si>
    <r>
      <rPr>
        <rFont val="Calibri"/>
        <color theme="1"/>
        <sz val="8.0"/>
      </rPr>
      <t xml:space="preserve">Mix the sugar &amp; Elaichi Powder in hot  milk and soak the boondi in it for &gt; 30 mins. Add to the cooled rava phirni. 
</t>
    </r>
    <r>
      <rPr>
        <rFont val="Calibri"/>
        <b/>
        <color theme="1"/>
        <sz val="8.0"/>
      </rPr>
      <t>NOTE: Don’t boil milk after adding sugar else it may break</t>
    </r>
  </si>
  <si>
    <t>Kava</t>
  </si>
  <si>
    <t>Hot Milk For Soaking Boondi</t>
  </si>
  <si>
    <t>Kaju &amp; Kismis are OPTIONAL: Fry and keep aside. Add to the boiling mixture before adding rice</t>
  </si>
  <si>
    <t>Boondi</t>
  </si>
  <si>
    <t>Ghee For Frying Boondi</t>
  </si>
  <si>
    <t xml:space="preserve">Mix rice flour and besan in water to make batter for boondi. Fry boondi in the ghee. Then add the fried boondi to the sweet hot milk above.  Soak for &gt; 30 mins. Then mix this to the phirni above. Add the dry fruits also.  Mix. Chill.
</t>
  </si>
  <si>
    <t>Besan Coarse</t>
  </si>
  <si>
    <t>Rice flour, coarse</t>
  </si>
  <si>
    <t>Yield ( small size)</t>
  </si>
  <si>
    <t>sugar powder</t>
  </si>
  <si>
    <t>NOTE: We can use various colors like (kesari, red and green to make the sweet colorful.)</t>
  </si>
  <si>
    <t>French  French Beans, 1" long</t>
  </si>
  <si>
    <t>The proportion can be changed as per availability and budget.</t>
  </si>
  <si>
    <t>Rava Bharik</t>
  </si>
  <si>
    <t>Jaipal</t>
  </si>
  <si>
    <t>Cauliflower, med florets</t>
  </si>
  <si>
    <t>pinch</t>
  </si>
  <si>
    <t>boil syrup till we get only one thread (oka tara)</t>
  </si>
  <si>
    <t>Corn Kernels, Boiled</t>
  </si>
  <si>
    <t>Milk (for soaking rava)</t>
  </si>
  <si>
    <t xml:space="preserve"> 8:00Am</t>
  </si>
  <si>
    <t>Elachi Power</t>
  </si>
  <si>
    <t>soda</t>
  </si>
  <si>
    <t>Fruit</t>
  </si>
  <si>
    <t>Jaiphal Powder</t>
  </si>
  <si>
    <t>Note: If using unsalted butter, pl add 12.5gm Salt/1kg Rava</t>
  </si>
  <si>
    <t>milk for chena</t>
  </si>
  <si>
    <t>Kesari(Special)</t>
  </si>
  <si>
    <t>Ghee for frying</t>
  </si>
  <si>
    <t xml:space="preserve">Chena </t>
  </si>
  <si>
    <t>Chasni</t>
  </si>
  <si>
    <t>Kaju Halves</t>
  </si>
  <si>
    <t>heating has to be done in slow flame. At the same time sugar syrup should be hot.</t>
  </si>
  <si>
    <t>kakdi gajar Simple Salad</t>
  </si>
  <si>
    <t>Kakadi (small cutting)</t>
  </si>
  <si>
    <t>Gulab Jal (optional)</t>
  </si>
  <si>
    <t>Gajar (grated)</t>
  </si>
  <si>
    <t>Pomogranet</t>
  </si>
  <si>
    <t>Milk dilute to (1:3)</t>
  </si>
  <si>
    <t>Corn Kernel</t>
  </si>
  <si>
    <t>Kismis, soak &gt; 2 hr</t>
  </si>
  <si>
    <t>Beetroot Simple Salad</t>
  </si>
  <si>
    <t>Beet Root, chopping&amp;Boil</t>
  </si>
  <si>
    <t>Kadi Shakkar &amp; Shengdhana</t>
  </si>
  <si>
    <t>Coconut, wet</t>
  </si>
  <si>
    <t>Yield by Volume</t>
  </si>
  <si>
    <t>Khadi Shakkar</t>
  </si>
  <si>
    <t>Yellow mung salad</t>
  </si>
  <si>
    <t>Optional: chownk also can be add to this,with rai, kadipatha, mirchi</t>
  </si>
  <si>
    <t>Mung dal, soak 2hrs</t>
  </si>
  <si>
    <t>wet coconut</t>
  </si>
  <si>
    <t xml:space="preserve">Yield by wt  </t>
  </si>
  <si>
    <t>Pomogranet(optional)</t>
  </si>
  <si>
    <r>
      <rPr>
        <rFont val="Calibri"/>
        <b/>
        <color theme="1"/>
        <sz val="8.0"/>
      </rPr>
      <t xml:space="preserve">PINEAPPLE FLAVOR
</t>
    </r>
    <r>
      <rPr>
        <rFont val="Calibri"/>
        <color rgb="FFE36C09"/>
        <sz val="8.0"/>
      </rPr>
      <t>Add the color  in the sugar-water solution made above.</t>
    </r>
    <r>
      <rPr>
        <rFont val="Calibri"/>
        <color theme="1"/>
        <sz val="8.0"/>
      </rPr>
      <t xml:space="preserve">
Boil Pineapple pieces in sugar for sometime, don’t add water. Mix flavor to it.Add to the  halva when still liquidy, mix and cover.</t>
    </r>
  </si>
  <si>
    <t>Pineapple</t>
  </si>
  <si>
    <t>Cook the rice and spread to cool.</t>
  </si>
  <si>
    <t>Corn Cernel Salad</t>
  </si>
  <si>
    <t>Corn Cernel, Boil</t>
  </si>
  <si>
    <t>Mix warm ghee in maida. Then dissolve the salt and sugar in the water. Use this water to make a soft dough. Use more water if reqd.</t>
  </si>
  <si>
    <t>Warm Water (approx)</t>
  </si>
  <si>
    <t>Chocolate Rava Halva</t>
  </si>
  <si>
    <t>Ghee for applying</t>
  </si>
  <si>
    <t>Fry groundnut and keep aside. In the same oil, roast chana dal &amp; Urad dal at low flame until reddish and crisp. Remove.Heat the oil  Put the other items of chaunk. Then add to it the imli- guda mixture and Rasam Pdr. Either store it for future use. Or add the cooled rice fried groundnut mix thoroughly and then add Roasted Khopra, safed til and Dhaniya Patta.Mix</t>
  </si>
  <si>
    <t>Cream together for applying on dough before cutting</t>
  </si>
  <si>
    <t>Russian Salad_Kaushalya Mtg</t>
  </si>
  <si>
    <t>Sunflower Oil, for deep frying</t>
  </si>
  <si>
    <t>Urad Dal</t>
  </si>
  <si>
    <t>Byadgi Mirch</t>
  </si>
  <si>
    <t>Sugar syrup</t>
  </si>
  <si>
    <t>Soak tamarind in hot water.Remove seeds if any. Pulverize with gud &amp; salt.</t>
  </si>
  <si>
    <t>Hot Water for soaking Tamarind</t>
  </si>
  <si>
    <t>Syrup temp 117 C</t>
  </si>
  <si>
    <t>Pulp Volume(approx)</t>
  </si>
  <si>
    <r>
      <rPr>
        <rFont val="Calibri"/>
        <b/>
        <color theme="1"/>
        <sz val="12.0"/>
      </rPr>
      <t xml:space="preserve">NOTE: </t>
    </r>
    <r>
      <rPr>
        <rFont val="Calibri"/>
        <b val="0"/>
        <color theme="1"/>
        <sz val="12.0"/>
      </rPr>
      <t>Don’t add Dhaniya Patta if you are planning to preserve the rice for a day or two as travelling prasadam</t>
    </r>
  </si>
  <si>
    <t>Rava Laddu</t>
  </si>
  <si>
    <t>Roast the Rava in ghee until fragrant and litele brown, add khaju and kissmiss.  Swich off  flame add sugar, keep it under fan, add elachi powder and keep it for cool.
How to make balls:
1. add little little Milk and make ball
2. press the ball tightly so that breakage will not happens
3. keep it under fan and serve bhoga to lord</t>
  </si>
  <si>
    <t>Cook Rice Separately. Spread  on plate to cool.</t>
  </si>
  <si>
    <t>Laddu Count</t>
  </si>
  <si>
    <t>Laddu Count,  35gm each</t>
  </si>
  <si>
    <t xml:space="preserve">White Til, Roasted </t>
  </si>
  <si>
    <t>Barik  Rava, roased</t>
  </si>
  <si>
    <t>Til Oil/Ghee</t>
  </si>
  <si>
    <t>Ghee, for rosasting</t>
  </si>
  <si>
    <t>Kishh miss</t>
  </si>
  <si>
    <t>Milk, Hot</t>
  </si>
  <si>
    <t>04-15-2019</t>
  </si>
  <si>
    <t>Shakkarpaali</t>
  </si>
  <si>
    <t>Gud, grated</t>
  </si>
  <si>
    <t>For Garnishoing</t>
  </si>
  <si>
    <t>Use either one depending on your budget.</t>
  </si>
  <si>
    <t>Red Capscicum, small cube cutting</t>
  </si>
  <si>
    <t>Shakkarpaali_new</t>
  </si>
  <si>
    <t>Yellow Capscicum, Small Cube Cutting</t>
  </si>
  <si>
    <t>Tomato Rice with pudina</t>
  </si>
  <si>
    <t>Rawa</t>
  </si>
  <si>
    <t>Cook separtaely and spread on plate so that grains are separately.</t>
  </si>
  <si>
    <t>Fry in the rava itself when rava is almost roasted.</t>
  </si>
  <si>
    <t>Heat oil and fry each of this ingredients. Adding Methi at last. Slightly roast methi, else it will turn bitter. Add some water to it to cool, so that the masalas don’t get burnt of their own temp.Then grind this with Gud to a coarse paste (adding little water if reqd.)</t>
  </si>
  <si>
    <t xml:space="preserve">Akkha Methi </t>
  </si>
  <si>
    <t>Green Capscicum, Small Cube Cutting</t>
  </si>
  <si>
    <t>Make Sugar Syrup</t>
  </si>
  <si>
    <t>Kolangi</t>
  </si>
  <si>
    <t>Sweet corn kernels, boil &amp; Strain</t>
  </si>
  <si>
    <t>Heat Oil and fry the groundnuts, keep aside. Then add the tadka in the same order as mentioned in the list. Then add the tomato &amp; pudina puree (If using) and salt. Boil for 5 mins. Then add  the prepared ground masala to it. Boil until puree is thick. Then add the rice, fried groundnut, roasted khopra and dhaniya Patta. Cook for 2 mins more.</t>
  </si>
  <si>
    <t>Mayonese, Delmonte</t>
  </si>
  <si>
    <t>Sandwich Spread (eggless-Dr.Otetker)</t>
  </si>
  <si>
    <t>Green Chilli, finely Chopped</t>
  </si>
  <si>
    <t>Tomato, puree</t>
  </si>
  <si>
    <t>Pudina Leaves, puree</t>
  </si>
  <si>
    <t>Sendh Salt</t>
  </si>
  <si>
    <t>Oil for frying</t>
  </si>
  <si>
    <t>Khopra Grated, 2.5 mm</t>
  </si>
  <si>
    <t>Roast  with little oil until crisp</t>
  </si>
  <si>
    <t xml:space="preserve">Samosa(Big 30 ) small ( 40) </t>
  </si>
  <si>
    <t xml:space="preserve">Coconut Rava Halva </t>
  </si>
  <si>
    <t>Mix the dry items first nicely, then mix the warm melted ghee. Next add the warm water and make soft pliable dough.. Make small balls and press in the center. Then fry them at low flame until golden brown.</t>
  </si>
  <si>
    <t xml:space="preserve">Roast Rava in ghee. </t>
  </si>
  <si>
    <t>Wet Coconut (by Weight)</t>
  </si>
  <si>
    <t>Make paste of coconut along with Elaichi and gud . Mix in the coconut oil. Add to the halva when water is almost absorbed.. Mix and cook covered for 15-20 mins at very low temp.</t>
  </si>
  <si>
    <t>Sunflower Oil (For Frying)</t>
  </si>
  <si>
    <t>Make syrup and strain through a fine seive.</t>
  </si>
  <si>
    <t>Syrup</t>
  </si>
  <si>
    <t>Carrot, grated</t>
  </si>
  <si>
    <t>Yield by wt (approx)</t>
  </si>
  <si>
    <t>Corn</t>
  </si>
  <si>
    <t>HG Badravati Mataji</t>
  </si>
  <si>
    <t>Chakka, fresh &amp; thick</t>
  </si>
  <si>
    <t>Mix and Piulverize together. Then mix in the cut fruits. 
Heat ghee , fry kaju and add to the mixture.</t>
  </si>
  <si>
    <t>Cream</t>
  </si>
  <si>
    <t>Dry roast Til, Groudnut Seperately. Cut dry coconut into appox 1inch peices so that to use them for grinding. Make Coarse powder of Til, groundnut, dry coconut seprately using mixer. Grate or finely chop and mash gud. Then all these ingredients can be mixed together into a dough using chapati dough making machine. Use melted ghee while making dough of Laddu balls.</t>
  </si>
  <si>
    <t>Dry Coconut</t>
  </si>
  <si>
    <t>Soak Rice for 1.5 hr</t>
  </si>
  <si>
    <t>Pakka Papaya, chopped small</t>
  </si>
  <si>
    <t>Grapes, cut into half</t>
  </si>
  <si>
    <t>Black Grapes, cut into half</t>
  </si>
  <si>
    <t>Heat ghee, fry kaju at low flame until light brown then add to above.</t>
  </si>
  <si>
    <t>Boodi Laddu _Nitai Prasad pr</t>
  </si>
  <si>
    <t xml:space="preserve">Chownk
</t>
  </si>
  <si>
    <t>Sweet Boondi _Nitai Prasad pr</t>
  </si>
  <si>
    <t>Besen</t>
  </si>
  <si>
    <t>heat the oil nicely before putting bundi to avoid tails</t>
  </si>
  <si>
    <t>Eating soda</t>
  </si>
  <si>
    <t>Lemon Color, can three diff. colors</t>
  </si>
  <si>
    <t xml:space="preserve">Wash poha and soak in excess water for 30 mins. Drain. </t>
  </si>
  <si>
    <t>Carrot, 2'' angle cut</t>
  </si>
  <si>
    <t xml:space="preserve">Poha, Ujjain </t>
  </si>
  <si>
    <t>Oil for frying, keep oil heat while putting</t>
  </si>
  <si>
    <t>Lemon Color</t>
  </si>
  <si>
    <r>
      <rPr>
        <rFont val="Calibri"/>
        <b/>
        <color theme="1"/>
        <sz val="11.0"/>
      </rPr>
      <t>Vegetables</t>
    </r>
    <r>
      <rPr>
        <rFont val="Calibri"/>
        <color theme="1"/>
        <sz val="11.0"/>
      </rPr>
      <t xml:space="preserve"> 
Fry all Subji`s. Kindly half boil Alu &amp; put in chownk in sequence</t>
    </r>
  </si>
  <si>
    <t>French Beans, 2'' angle cut</t>
  </si>
  <si>
    <t>Curd, fresh</t>
  </si>
  <si>
    <t>boil syrup till we get three threads (oka tara),helps to keep bundi ever fresh and shine</t>
  </si>
  <si>
    <t>boil syrup till we get only two threads (oka tara),helps to keep bundi ever fresh and shine</t>
  </si>
  <si>
    <t>Cauliflower, big florets</t>
  </si>
  <si>
    <r>
      <rPr>
        <rFont val="Calibri"/>
        <color theme="1"/>
        <sz val="8.0"/>
      </rPr>
      <t xml:space="preserve">
Mix curd, sugar, Elaichi pdr, grated coconut andchopped banana's., dates slices, mango slices. Then add to this soaked poha.
If reqd add some water to get the desired consistency.
Fry the kaju and add to it with the ghee and soaked kismis. 
</t>
    </r>
    <r>
      <rPr>
        <rFont val="Calibri"/>
        <b/>
        <color theme="1"/>
        <sz val="8.0"/>
      </rPr>
      <t>If desired we can also add slices of some other fruits like chickoo, jackfruit, etc.</t>
    </r>
    <r>
      <rPr>
        <rFont val="Calibri"/>
        <color theme="1"/>
        <sz val="8.0"/>
      </rPr>
      <t xml:space="preserve"> </t>
    </r>
  </si>
  <si>
    <t>Alu,  2*2 size</t>
  </si>
  <si>
    <t>Banana, Thin slice</t>
  </si>
  <si>
    <t>Karpur</t>
  </si>
  <si>
    <t>Date, thin slice</t>
  </si>
  <si>
    <t>Kaaju</t>
  </si>
  <si>
    <t>YEILD</t>
  </si>
  <si>
    <t>Magja, Tabuj</t>
  </si>
  <si>
    <t>Kisssmisss</t>
  </si>
  <si>
    <t>Phanas Pakka, Slices</t>
  </si>
  <si>
    <t>Mango Slices</t>
  </si>
  <si>
    <t>Mango (Approx Reqd)</t>
  </si>
  <si>
    <t>Bhendi, 1" thick</t>
  </si>
  <si>
    <t>Wet Coconut Bals</t>
  </si>
  <si>
    <t>remove the coconut milk by squeezing, add gheem, gudu and add coconut pulp, cook untill gudu mix with cocnut and get nice consitency.</t>
  </si>
  <si>
    <t>Wet Coconut, reqd</t>
  </si>
  <si>
    <t>no</t>
  </si>
  <si>
    <t>Wet Coconut, by Wt</t>
  </si>
  <si>
    <t>Ghee for frying Kaju</t>
  </si>
  <si>
    <t>Wet Coconut, By No.</t>
  </si>
  <si>
    <t>Ghee/Oil</t>
  </si>
  <si>
    <t>Kaju, halves</t>
  </si>
  <si>
    <r>
      <rPr>
        <rFont val="Calibri"/>
        <b/>
        <color theme="1"/>
        <sz val="18.0"/>
      </rPr>
      <t>Gravy</t>
    </r>
    <r>
      <rPr>
        <rFont val="Calibri"/>
        <b/>
        <color theme="1"/>
        <sz val="11.0"/>
      </rPr>
      <t xml:space="preserve">
</t>
    </r>
    <r>
      <rPr>
        <rFont val="Calibri"/>
        <b val="0"/>
        <color theme="1"/>
        <sz val="11.0"/>
      </rPr>
      <t>1. Cook Gravy seperately</t>
    </r>
    <r>
      <rPr>
        <rFont val="Calibri"/>
        <b/>
        <color theme="1"/>
        <sz val="11.0"/>
      </rPr>
      <t xml:space="preserve">
</t>
    </r>
    <r>
      <rPr>
        <rFont val="Calibri"/>
        <b val="0"/>
        <color theme="1"/>
        <sz val="11.0"/>
      </rPr>
      <t xml:space="preserve">
2. Put all items in sequence &amp; cook gravy so that water content is almost less.</t>
    </r>
  </si>
  <si>
    <t>Sugar/Gudu</t>
  </si>
  <si>
    <t>Kismis, soak &gt; 2hrs</t>
  </si>
  <si>
    <t>Elachi</t>
  </si>
  <si>
    <t>Effective Weight</t>
  </si>
  <si>
    <t>Tomato - boil &amp; Paste</t>
  </si>
  <si>
    <t>Doodh Chida_Mango Pulp</t>
  </si>
  <si>
    <t>Put Chaunk. Add alu, afer sometime add Bhendi. Roast for sometime and then add haldi. After it is almost cooked add salt and powder masala. Cook until done.</t>
  </si>
  <si>
    <t>Coconut Burfi_Dry</t>
  </si>
  <si>
    <t>Kaju, paste - boil &amp; Paste</t>
  </si>
  <si>
    <t>Dry Coconut, Powder</t>
  </si>
  <si>
    <t>Magaj Paste - boil &amp; Paste</t>
  </si>
  <si>
    <t>Milk for Soaking Poha</t>
  </si>
  <si>
    <t>Veneela essence(Optional)</t>
  </si>
  <si>
    <t>caps</t>
  </si>
  <si>
    <r>
      <rPr>
        <rFont val="Calibri"/>
        <color theme="1"/>
        <sz val="8.0"/>
      </rPr>
      <t xml:space="preserve">
Mix condensced milk/Phirni, sugar, camphor pdr, grated coconut and chopped banana's., dates slices, mango pulp &amp; slices. Then add to this soaked poha.
If reqd add some water to get the desired consistency.
Fry the kaju and add to it with the ghee and soaked kismis. 
</t>
    </r>
    <r>
      <rPr>
        <rFont val="Calibri"/>
        <b/>
        <color theme="1"/>
        <sz val="8.0"/>
      </rPr>
      <t>If desired we can also add slices of some other fruits like chickoo, jackfruit, etc.</t>
    </r>
    <r>
      <rPr>
        <rFont val="Calibri"/>
        <color theme="1"/>
        <sz val="8.0"/>
      </rPr>
      <t xml:space="preserve"> </t>
    </r>
  </si>
  <si>
    <t>7Cup Burfi_skkd</t>
  </si>
  <si>
    <t>Yield, 1.2*1.2 inch</t>
  </si>
  <si>
    <t>Biryani Masala</t>
  </si>
  <si>
    <t>Milk Condensed Vol</t>
  </si>
  <si>
    <t>Cup</t>
  </si>
  <si>
    <t>Mango Reqd for Pulp</t>
  </si>
  <si>
    <t>Mango Reqd for Slices</t>
  </si>
  <si>
    <t>Coconut, reqd</t>
  </si>
  <si>
    <t>Camphor Pdr</t>
  </si>
  <si>
    <t xml:space="preserve"> Put all these items once gravy &amp; Veggi is cooked &amp; then add soaked rice</t>
  </si>
  <si>
    <t>Hot Water</t>
  </si>
  <si>
    <r>
      <rPr>
        <rFont val="Calibri"/>
        <color rgb="FF0C0C0C"/>
        <sz val="14.0"/>
      </rPr>
      <t>Optional.</t>
    </r>
    <r>
      <rPr>
        <rFont val="Calibri"/>
        <color rgb="FF0C0C0C"/>
        <sz val="8.0"/>
      </rPr>
      <t xml:space="preserve"> 
Also quantity can be adjusted as per the budget.</t>
    </r>
  </si>
  <si>
    <t>Veneela essence</t>
  </si>
  <si>
    <t>Caps</t>
  </si>
  <si>
    <t>Note:  Here 6caps essense we are adding for the cup of size 1L.</t>
  </si>
  <si>
    <t>Kewra water</t>
  </si>
  <si>
    <t>Meetha Attar</t>
  </si>
  <si>
    <t>Balushah_KiKP</t>
  </si>
  <si>
    <t>yield</t>
  </si>
  <si>
    <t>Roast in ghee until reddish Brown, Then add to boiling milk Boil until the daliya is cooked..  Then add sugar and finally add the dry fruits and desired flavoring agent</t>
  </si>
  <si>
    <t>First roast  capsicum in oil  at very high flame, until tender.</t>
  </si>
  <si>
    <t>maida</t>
  </si>
  <si>
    <t>Ghee (For Roasting Daliya)</t>
  </si>
  <si>
    <t>Daliya, medium</t>
  </si>
  <si>
    <t>curd</t>
  </si>
  <si>
    <t>Put tadka in same order. Cook alu until cooked and reddish. Then add the roasted capsicum and the remaining powder masala</t>
  </si>
  <si>
    <t>Add after daliya  is cooked</t>
  </si>
  <si>
    <t>ghee</t>
  </si>
  <si>
    <t>Alu, 1" cube</t>
  </si>
  <si>
    <t>Kaju / Badam</t>
  </si>
  <si>
    <t xml:space="preserve">Haldi </t>
  </si>
  <si>
    <t>If using kaju, fry them in ghee before adding to the kheer.</t>
  </si>
  <si>
    <t>Cabbage, chopped</t>
  </si>
  <si>
    <t>Almond Flavor</t>
  </si>
  <si>
    <t>Roast the cabbage in the oil, till it turn translucent. Then add both mirchi powder followed immediately by the mixture below.</t>
  </si>
  <si>
    <t>Bihari</t>
  </si>
  <si>
    <t>While using almond flavor. Preferably use almonds in dry fruits.</t>
  </si>
  <si>
    <t xml:space="preserve"> Millet Cookies</t>
  </si>
  <si>
    <t>Mustard oil</t>
  </si>
  <si>
    <t>Dahi, thick and Sour</t>
  </si>
  <si>
    <t>Yield, No.</t>
  </si>
  <si>
    <t xml:space="preserve">Heat oil. Put rai. Then add cabbage, cook until translucent. Increase the flame to very high. Add the paste below. When it is fried, add capsicum, fry for about 5 mins until slightly tender. Then add the Tomato and mashed Alues. </t>
  </si>
  <si>
    <t>Mix Together.
Add to the above, cook unitl oil seapartes out on the surface. Then add the boiled chole. Cook for few mins.</t>
  </si>
  <si>
    <t>Raaji Or Kodo Or Foxtail Flour</t>
  </si>
  <si>
    <t>Rai, Coarse Powder</t>
  </si>
  <si>
    <t>Cabbage, chopped 1 cm square</t>
  </si>
  <si>
    <t>Badi Saunf, coarse Powder</t>
  </si>
  <si>
    <t>Akkha Methi,coarse powder</t>
  </si>
  <si>
    <t>Brouwn Sugar</t>
  </si>
  <si>
    <t>Capsicum, chopped 1 cm square</t>
  </si>
  <si>
    <t>Alu, peeled &amp; boiled</t>
  </si>
  <si>
    <t>Non salted butter</t>
  </si>
  <si>
    <t>Mango Pickle</t>
  </si>
  <si>
    <t>Make paste of these three together.</t>
  </si>
  <si>
    <t>Chole, soak and boil till soft</t>
  </si>
  <si>
    <t>Baking powder</t>
  </si>
  <si>
    <t>Cook separately and drain. Add to the cooked dahi-masala mixture above</t>
  </si>
  <si>
    <t>Vennila</t>
  </si>
  <si>
    <t>Akkha Dhaniya, soak for &gt; 30 mins</t>
  </si>
  <si>
    <t>Salt for cooking chole</t>
  </si>
  <si>
    <t>Mustard oil, raw</t>
  </si>
  <si>
    <t>Add this  mustard oil (raw), salt and dhaniya patta(if using). Mix thoroughly.</t>
  </si>
  <si>
    <t>Add water to the above, boil for 5 mins and then add the rice. Cook covered .</t>
  </si>
  <si>
    <t>Garnish with these after removing the lid</t>
  </si>
  <si>
    <t>Note: For Ekadasi use Lillet or barnyard flour</t>
  </si>
  <si>
    <t>Dhaniya patta, chopped</t>
  </si>
  <si>
    <t>Put Chaunk. Add Alu. Roast for sometime and then add haldi.  Keep stirring until it is almost cooked add salt and mirchi Powder. Mix and cook until done.</t>
  </si>
  <si>
    <t>Yellow Capsicum</t>
  </si>
  <si>
    <t>Red Capsicum</t>
  </si>
  <si>
    <t>Heat oil, put tadka Mix in cut Alues, salt &amp; sugar. When done, remove from fire and mix coconut, lemon juice &amp; Dhaniya patta.</t>
  </si>
  <si>
    <t>Take one vesel and add oil to it add all the ingreadients in sequence. If alu&amp; Tomato coocked nicely then add rice, biryani masala7pudina leaves to it. If salt is not enough then you can add as per the need.</t>
  </si>
  <si>
    <t xml:space="preserve">Alu, 1" cubes </t>
  </si>
  <si>
    <t>Enter the desired quantity of alu and chauli. Proportion can vary with budget &amp; availabilty</t>
  </si>
  <si>
    <t>Gajar, 4 mm pulao cut</t>
  </si>
  <si>
    <t>Biryani masala</t>
  </si>
  <si>
    <t>Put Chaunk. Add alu and Padval. Roast for sometime and then add salt and haldi. After it is almost cooked add powder masala. Mix and cook until done.</t>
  </si>
  <si>
    <t xml:space="preserve">Take ghee then add all the vegetables  then add masala powder </t>
  </si>
  <si>
    <t>French Beans</t>
  </si>
  <si>
    <t>soak and make fine paste</t>
  </si>
  <si>
    <t>Roast all these and then make a fine paste add it to chownk.</t>
  </si>
  <si>
    <t>Enter the desired quantity of alu and chauli. Proportion can vary with budget.</t>
  </si>
  <si>
    <t>Lemon Juice(Optional)</t>
  </si>
  <si>
    <t>After removeing lid add pudina leaves &amp; lemonjuice if required</t>
  </si>
  <si>
    <t>Chauli Beans</t>
  </si>
  <si>
    <t>Gajar</t>
  </si>
  <si>
    <t>Gavar Phali</t>
  </si>
  <si>
    <t>Boil Gavar in water with Some salt &amp; drain Water.</t>
  </si>
  <si>
    <t>Put Chaunkfrom oil to hing. then add gavar phali folowed by haldi and half the salt. After sometime, when it is partially cooked add Alu and the remaining salt. Mix nicely. When cooked add shenghdanakut, Dhaniya Powder and jeera Powder. Mix. At the end add kokam juice. Mix and done.</t>
  </si>
  <si>
    <t>Tomato, dice chopping</t>
  </si>
  <si>
    <t xml:space="preserve">Groundnut, Kut </t>
  </si>
  <si>
    <t>Note: For Boiling 1Kg Gavaphalli, 35gm of salt is needed. Please multiply the salt according to the gavar qty.</t>
  </si>
  <si>
    <t>Compiled before</t>
  </si>
  <si>
    <t>Alu Karela</t>
  </si>
  <si>
    <t>Karela</t>
  </si>
  <si>
    <t>Soak karela in salt for atleast 1 Hr, then squeeze out the bitter, salty water</t>
  </si>
  <si>
    <t>Salt For Soaking Karela</t>
  </si>
  <si>
    <t>VCT= Varai-Coconut-Tomato</t>
  </si>
  <si>
    <r>
      <rPr>
        <rFont val="Times New Roman"/>
        <color theme="1"/>
        <sz val="11.0"/>
      </rPr>
      <t>Corn, 1" cobs</t>
    </r>
    <r>
      <rPr>
        <rFont val="Times New Roman"/>
        <color theme="1"/>
        <sz val="8.0"/>
      </rPr>
      <t>(wiegh after cutting)</t>
    </r>
  </si>
  <si>
    <t>Boil together in enough water to cover the corns until soft.</t>
  </si>
  <si>
    <t>Corn Akkha (Approx Required)</t>
  </si>
  <si>
    <t>Boil separately and drain</t>
  </si>
  <si>
    <r>
      <rPr>
        <rFont val="Calibri"/>
        <b/>
        <color theme="1"/>
        <sz val="11.0"/>
        <u/>
      </rPr>
      <t>Note:</t>
    </r>
    <r>
      <rPr>
        <rFont val="Calibri"/>
        <color theme="1"/>
        <sz val="11.0"/>
      </rPr>
      <t xml:space="preserve"> 1. Boiling water varies depending on the quality of Rice
2. Don’t add lemon juice if curd is sour, for that reason add lemon juice at last</t>
    </r>
  </si>
  <si>
    <t>Put tadka and add the paste below. Cook for sometime then add it to the cooked corn with boiled alu. Add the remaining items.</t>
  </si>
  <si>
    <t>Add after karela and alu are cooked</t>
  </si>
  <si>
    <t xml:space="preserve">Rose petals </t>
  </si>
  <si>
    <t>Soak all the items except the grated coconut for about 2 hrs. 
Make a smooth paste along with coconut. Add to the chaunk and Cook until oil separtes.Then add the tomato puree and continue cooking until oil again starts surfaces.
Then add the salt &amp; sugar. Cook for few more mins.
Add this paste to the boiled corn with the water. Cook for about 10 mins and  finally garnish with Dhaniya Patta.</t>
  </si>
  <si>
    <t xml:space="preserve">Imli </t>
  </si>
  <si>
    <t>3.5L</t>
  </si>
  <si>
    <t>Soak overnight in freeze</t>
  </si>
  <si>
    <t>sprouts</t>
  </si>
  <si>
    <t>4.5ltr</t>
  </si>
  <si>
    <t>Varai, roasted</t>
  </si>
  <si>
    <t>Rose Essence</t>
  </si>
  <si>
    <t>Make Paste of all these 3 items and add at last to the cooked vegetable</t>
  </si>
  <si>
    <t>or Kokam</t>
  </si>
  <si>
    <t>Tomato, Boil &amp; puree</t>
  </si>
  <si>
    <t>Rasberry Red color</t>
  </si>
  <si>
    <t>Sugar for Carmelizing</t>
  </si>
  <si>
    <t>Alu, peel, Boil &amp; cut 1" cube</t>
  </si>
  <si>
    <t>Put Tadka, add Methi and Haldi. Add salt. Cook for some time. When methi is cooked Add sugar &amp; lemon/kokam juice. Mix. Then add boiled alu and  groundnut kut. Mix. Cook for 5 mins and done.</t>
  </si>
  <si>
    <t>Methi Patta, chopped fine</t>
  </si>
  <si>
    <t>Methi Patta(in gaddis)</t>
  </si>
  <si>
    <t>Reduce sugar in the recipe by</t>
  </si>
  <si>
    <t>Groundnut, Roasted &amp; Crushed</t>
  </si>
  <si>
    <t xml:space="preserve"> Optional</t>
  </si>
  <si>
    <t>Take ghee add all ingadients in sequnce then add rice roast for 5min.</t>
  </si>
  <si>
    <t>Ghee for caramelizing</t>
  </si>
  <si>
    <t>The proprtion can vary</t>
  </si>
  <si>
    <t xml:space="preserve">NOTE: To get 1 liter of chopped  methi patta we need approx 2.5 medium sized gaddi  of methi </t>
  </si>
  <si>
    <t>Chocolate Essence</t>
  </si>
  <si>
    <t>Akhinar Jhol Stock</t>
  </si>
  <si>
    <t>Padval</t>
  </si>
  <si>
    <t>Add all these to above rice.</t>
  </si>
  <si>
    <t>Fry all thes ingadients and keep it a side  add all these at last.</t>
  </si>
  <si>
    <t>Put Chaunk in the same order. Cook until oil separates.</t>
  </si>
  <si>
    <t>Akhinar jhol stock</t>
  </si>
  <si>
    <t>Capsicum, 2 cm square</t>
  </si>
  <si>
    <t>Chana Masala</t>
  </si>
  <si>
    <t>Alu, boil &amp; mash</t>
  </si>
  <si>
    <r>
      <rPr>
        <rFont val="Calibri"/>
        <b/>
        <color theme="1"/>
        <sz val="11.0"/>
      </rPr>
      <t>Akhinar jhol stock</t>
    </r>
    <r>
      <rPr>
        <rFont val="Calibri"/>
        <color theme="1"/>
        <sz val="11.0"/>
      </rPr>
      <t>: Take water add all ingradients then boil for 45min or till the time reduced to half of the water.</t>
    </r>
  </si>
  <si>
    <t>Ghee For Roasting Dalia</t>
  </si>
  <si>
    <t>Green Chilli, Slit into 2</t>
  </si>
  <si>
    <t>Peel, cut into semi circles.</t>
  </si>
  <si>
    <t>soak &amp; paste</t>
  </si>
  <si>
    <t>Tooti Frooti</t>
  </si>
  <si>
    <t>Heat oil, put chaunk add the Alu.  Cook for about 10 mins. Then add the masala paste.Cook until almost done. Then add the Khas Khas paste. Cook for 10 more mins.</t>
  </si>
  <si>
    <t>Assumption</t>
  </si>
  <si>
    <t>Sella Basmati Rice</t>
  </si>
  <si>
    <t>Butter (Optional)</t>
  </si>
  <si>
    <t>To Be added at Last</t>
  </si>
  <si>
    <t>Carrot, Pulao Cutting</t>
  </si>
  <si>
    <t>Soak &amp; grind to a fine paste together.</t>
  </si>
  <si>
    <t>Green Peas + Corn</t>
  </si>
  <si>
    <t>Paneer, small cubes</t>
  </si>
  <si>
    <r>
      <rPr>
        <rFont val="Calibri"/>
        <color theme="1"/>
        <sz val="8.0"/>
      </rPr>
      <t xml:space="preserve">Roast rava in ghee. Add to boiling milk. Boil until rava is soft and fluffy, then add the custrad-milk mixture. While stirring continuously. Boil for 10 mins. Then add sugar. Heeat until sugar is dissolved.After that pulverize to smooth paste.  Cool and add vanilla Essence, color and dry fruits. </t>
    </r>
    <r>
      <rPr>
        <rFont val="Calibri"/>
        <b/>
        <color theme="1"/>
        <sz val="8.0"/>
      </rPr>
      <t>Chill</t>
    </r>
  </si>
  <si>
    <t>Alu Matar Gajar Pattagobhi, with cream</t>
  </si>
  <si>
    <t>To be boiled Separately. Can use paneer and/or other  vegetable combinations also.</t>
  </si>
  <si>
    <t xml:space="preserve"> 
Heat oil put rai, jeera, ajwain and Green Chilli. Roast until crisp then add the hing followed by the cut Arbi and Haldi Powder. When almost cooked add the chopped Tomato and  Masala Powders.. Cook until Tomato are cooked and oil oozes out.</t>
  </si>
  <si>
    <t>Gajar, 1 cm cubes</t>
  </si>
  <si>
    <t xml:space="preserve">French Beans, 1" long </t>
  </si>
  <si>
    <t>Green Peas/Corn Kernels</t>
  </si>
  <si>
    <t>Tooti Frooti(Green Color)</t>
  </si>
  <si>
    <t>Cherry, chopped</t>
  </si>
  <si>
    <t>Kismis, wash &amp; soak for &gt;2hrs</t>
  </si>
  <si>
    <t>Put Chaunk. Then add the paste below. Fry until oil separates. Then add the tomato puree. Cook until oil surfaces. Then add the Kaju-magaj paste and powder Masala's. Boil for about 15 mins. Then add the boiled veggies. Boil for about 10 mins. Finally add the grated khava, cream and Dhaniya Patta.</t>
  </si>
  <si>
    <t>Lemon Yellow Color(approx)</t>
  </si>
  <si>
    <t>Green Chilli, Paste</t>
  </si>
  <si>
    <t>Arbi, peel &amp; 1" pieces</t>
  </si>
  <si>
    <t xml:space="preserve">To be soaked for 2 hrs, drain water and grind to fine paste w/o adding water. </t>
  </si>
  <si>
    <t>Dalchini, soak</t>
  </si>
  <si>
    <t>Black Elaichi, soak</t>
  </si>
  <si>
    <t>Masala Powders</t>
  </si>
  <si>
    <t>Elaichi, soak</t>
  </si>
  <si>
    <r>
      <rPr>
        <rFont val="Calibri"/>
        <color theme="1"/>
        <sz val="11.0"/>
      </rPr>
      <t xml:space="preserve">Roast the rava in ghee until golden yellow. Add boiling milk. Cook until the rava is cooked and fluffy. Then add sugar, boil. Put offf flame . Cool. Then grind/pulverize to a fine smooth consistency. Add color and flavor &amp; dry fruits. </t>
    </r>
    <r>
      <rPr>
        <rFont val="Calibri"/>
        <b/>
        <color theme="1"/>
        <sz val="11.0"/>
      </rPr>
      <t>CHILL</t>
    </r>
  </si>
  <si>
    <t>Magaj, soak &amp; boil</t>
  </si>
  <si>
    <t>Kaju, soak &amp; boil</t>
  </si>
  <si>
    <t>Heat Oil . Put tadka. Then add boiing water.  Boil for 5 mins. Then add the rice. Keep cooking until  most of the water Is absorbed. Cover the vessel, put weight and simmer for 15 mins.</t>
  </si>
  <si>
    <t>Tomato, boil &amp; puree</t>
  </si>
  <si>
    <t>Bedgi Mirch, broken</t>
  </si>
  <si>
    <t>Green Chillies(slit in 2)</t>
  </si>
  <si>
    <t>Apply little oil on the baingan and roast it in tandoor, direct fire or oven, until the skin is slightly charred and baingan is soft. Then remove, allow it to cool, remove the skin and mash it roughly
Heat oil put the tadka. Then add cabbage,  saute until the cabbage turn translucent, then add haldi, mirchi Powder  followed by chopped Tomato. Cook until soft. Add salt and Garam Masala. Mix Finally Mix in the mashed Baingan and chopped Dhaniya Patta.</t>
  </si>
  <si>
    <r>
      <rPr>
        <rFont val="Calibri"/>
        <b/>
        <color theme="1"/>
        <sz val="11.0"/>
      </rPr>
      <t>Powder Masala's</t>
    </r>
    <r>
      <rPr>
        <rFont val="Calibri"/>
        <color theme="1"/>
        <sz val="8.0"/>
      </rPr>
      <t xml:space="preserve">
</t>
    </r>
  </si>
  <si>
    <t>Baingan, black &amp; big</t>
  </si>
  <si>
    <t xml:space="preserve">Gajar, grated 2.5 mm </t>
  </si>
  <si>
    <t>Khava, grated</t>
  </si>
  <si>
    <t>Boil the milk add carrot to it. Cook together, until all liquid is evaporated. Add sugar and cook until the khalva again becomes dry.. Then add ghee cook for 10 more mins. After that add khava (if Using) and Elaichi powder. Cook for 10 more mins. Then add the fried dry fruits. Mix.</t>
  </si>
  <si>
    <t>Green Chilli, Chopped fine</t>
  </si>
  <si>
    <t>Pulverize together to a smooth puree. Add to the above. Mix</t>
  </si>
  <si>
    <t xml:space="preserve"> Rice</t>
  </si>
  <si>
    <t>Milk, warm</t>
  </si>
  <si>
    <t>Vegetable Rice_W/O CULIFLOWER</t>
  </si>
  <si>
    <t>Mawa, grated</t>
  </si>
  <si>
    <t>Sella Basmati</t>
  </si>
  <si>
    <t>Add with khava</t>
  </si>
  <si>
    <t>Ghee, For Roasting nuts</t>
  </si>
  <si>
    <r>
      <rPr>
        <rFont val="Calibri"/>
        <color theme="1"/>
        <sz val="8.0"/>
      </rPr>
      <t xml:space="preserve">Heat ghee. Fry nuts and add to the halva along with the ghee.
</t>
    </r>
    <r>
      <rPr>
        <rFont val="Calibri"/>
        <b/>
        <color theme="1"/>
        <sz val="8.0"/>
      </rPr>
      <t>Quantity can be adjusted as per budget</t>
    </r>
  </si>
  <si>
    <t>OPTIONAL</t>
  </si>
  <si>
    <t>Carrot,  1" long</t>
  </si>
  <si>
    <r>
      <rPr>
        <rFont val="Times New Roman"/>
        <b/>
        <color theme="1"/>
        <sz val="16.0"/>
      </rPr>
      <t xml:space="preserve">NOTE: </t>
    </r>
    <r>
      <rPr>
        <rFont val="Times New Roman"/>
        <color theme="1"/>
        <sz val="11.0"/>
      </rPr>
      <t>while bringing Baingan get good quality baingan. And always get some 20% more baingan because generally lot of insects are found in baingan. Also be careful while roasting and mashing the roasted baingan.</t>
    </r>
  </si>
  <si>
    <t xml:space="preserve">Palak, boil &amp; puree.  </t>
  </si>
  <si>
    <t>Alu, 1" long</t>
  </si>
  <si>
    <t>Palak, weight after sorting</t>
  </si>
  <si>
    <t>Atta Cake</t>
  </si>
  <si>
    <t>Deepak Pr, Kanpur</t>
  </si>
  <si>
    <t>Edited by NSD</t>
  </si>
  <si>
    <t>Atta, seived</t>
  </si>
  <si>
    <t>French Beans, 1/2 cm cut, boil</t>
  </si>
  <si>
    <t>Seive together</t>
  </si>
  <si>
    <t>Sugar for Boiling Palak</t>
  </si>
  <si>
    <t>Baking Pdr</t>
  </si>
  <si>
    <t>Haldi For Boiling Palak</t>
  </si>
  <si>
    <t>Boil beans in water along with salt till tender. Drain the water.</t>
  </si>
  <si>
    <t>Eating Soda</t>
  </si>
  <si>
    <t xml:space="preserve">Paneer </t>
  </si>
  <si>
    <t>Sugar Powder/Brown sugar</t>
  </si>
  <si>
    <t>Cream Together nicely. Add about half of the milk mix and add  the atta mixture to it.</t>
  </si>
  <si>
    <t>Green Peas or Corn Kernels</t>
  </si>
  <si>
    <t>Butter, melted</t>
  </si>
  <si>
    <t>Milkmaid</t>
  </si>
  <si>
    <t>Gajar, 1/2 cm cut</t>
  </si>
  <si>
    <t>Alu, 1" cubes, boiled</t>
  </si>
  <si>
    <t>Milk (approx)</t>
  </si>
  <si>
    <t>Effective Palak</t>
  </si>
  <si>
    <t>Tooty Fruity</t>
  </si>
  <si>
    <t>Karma bai Khichdi_HG JKP(5 Batches)</t>
  </si>
  <si>
    <t>Heat oil, put tadka. Add  rai chana dal and Udad Dal. Roast until the dals become lightly browned. Then add the hing and bedgi mirch. Then add the Curry Leaves and biled beans. Add salt and cook until the beans are cooked but yet slightly crunchy. Finally add the grated coconut. mix and cook for another 5-10 mins and done.</t>
  </si>
  <si>
    <t>Yield by weight (approx)</t>
  </si>
  <si>
    <t>Pieces,2*1cut in 18*14inch size tray</t>
  </si>
  <si>
    <t>Chilka mung dal</t>
  </si>
  <si>
    <t xml:space="preserve">Ghee + Oil </t>
  </si>
  <si>
    <t>Cake height 1 inch approx</t>
  </si>
  <si>
    <t>Kaju tukda</t>
  </si>
  <si>
    <t>Kalamiri</t>
  </si>
  <si>
    <t>Adrak</t>
  </si>
  <si>
    <t>Tomato, boil &amp; Puree</t>
  </si>
  <si>
    <t>Tej patta</t>
  </si>
  <si>
    <t>Note: Put 3.5kg Batter in each 18*14 tray, add halt tooty fruity in batter and half of on top</t>
  </si>
  <si>
    <t>Pulao Masala (Everest)</t>
  </si>
  <si>
    <t>Kracks &amp; Buns Bakery Tray size? Tray size-23*13 = cake size 1*2 inch size cutting approx. 150 pcswill come.</t>
  </si>
  <si>
    <t>How many KG`s atta should be taken depends on tray size..</t>
  </si>
  <si>
    <t>Note: Put 5kg Batter in each 23*13 tray, add halt tooty fruity in batter and half of on top(optional)</t>
  </si>
  <si>
    <t>Heat ghee. Roast rava in it. When  reddish brown. Add the dry fruits in it. Then add the sugar- water solution when it is still liquidy than add the mango essence . Keep cooking, when water is almost absorbed, cover and simmer at low flame for 10 mins. Then add the mango pulp- sugar  miture.  Cover and Simmer for 10 mins.</t>
  </si>
  <si>
    <t xml:space="preserve"> Masala Rice_maha</t>
  </si>
  <si>
    <t>Gravy</t>
  </si>
  <si>
    <t>Palak Paneer</t>
  </si>
  <si>
    <t>Mango essence</t>
  </si>
  <si>
    <t>Kaju Kani</t>
  </si>
  <si>
    <t>Elaichi(Akka)</t>
  </si>
  <si>
    <t>Wet coconut paste</t>
  </si>
  <si>
    <t>Kaju/Badam</t>
  </si>
  <si>
    <t>Cabbage</t>
  </si>
  <si>
    <t>Chounk</t>
  </si>
  <si>
    <t>Pavta Seeds</t>
  </si>
  <si>
    <t>Corn kernels</t>
  </si>
  <si>
    <t>Tondli</t>
  </si>
  <si>
    <t>Mix Mango pulp and sugar. And add to the cooked halva.</t>
  </si>
  <si>
    <t>Alu- 3inch long</t>
  </si>
  <si>
    <t>Pallavi`s-Goda masala+Biryani Masala</t>
  </si>
  <si>
    <t xml:space="preserve">Sevai </t>
  </si>
  <si>
    <t>Roast sevai in ghee until reddish brown. Then add the boiling water with the salt,sugar and haldi. Cook until water is half absorbed. Then add the mango flavor. Cook until water is almost absorbed. Then cover with a tight lid and simmer for 15 mins.</t>
  </si>
  <si>
    <t>Kesari Color (approx)</t>
  </si>
  <si>
    <t>Dissolve the sugar in the mango pulp. Mix in the  Elaichi powder. Add to the cooked sevai along with the fried dry fruits</t>
  </si>
  <si>
    <t>Heat the ghee and fry the kaju at low flame until pinkish. Remove. Put the kismis in the same ghee. Cook until they swell up and become fluffy.Add to the above along with the ghee</t>
  </si>
  <si>
    <t>Cabbage Mater Rice_Biryani Style</t>
  </si>
  <si>
    <t>kismis</t>
  </si>
  <si>
    <t>Add and cook till red</t>
  </si>
  <si>
    <t>Add in same order. Cook till almost dry</t>
  </si>
  <si>
    <t>Tomato, chopped 1 cm square</t>
  </si>
  <si>
    <t>Add &amp; cook for a while</t>
  </si>
  <si>
    <t>Rice, padma brand</t>
  </si>
  <si>
    <t>Add tadka then water, salt, color and after boiling add rice. Cook covered. When done allow the rice to set for about 30 mins then spread on a plate</t>
  </si>
  <si>
    <t>Boil rice and seperately, spread under fan, add sugar and salt</t>
  </si>
  <si>
    <t>Oil, add while rice is boiling</t>
  </si>
  <si>
    <t>HG Ram Nitai Pr</t>
  </si>
  <si>
    <t>salt for boiling rice</t>
  </si>
  <si>
    <t>Heat oil add rai and udad dal. When udad dal is lightly red add hing,  Green Chilli and Curry Leaves. When roasted add cabbage. Cook at high flame so that no water is leached and the sabji is dry. When it is almost cooked add salt and grated coconut. Roast for few more mins and done.</t>
  </si>
  <si>
    <t>water, for boiling rice</t>
  </si>
  <si>
    <t xml:space="preserve">Heat ghee add tadka, then add water salt and color allow to boil for about 10 mins then add the rice. </t>
  </si>
  <si>
    <t>Salt for Boiling Karela</t>
  </si>
  <si>
    <t>Make 1 string chasni. And Mix  Elaichi Powderto it.</t>
  </si>
  <si>
    <t>chilli, 2slit</t>
  </si>
  <si>
    <t>When the cabbage is almost done add the salt and coconut. Mix nicely and done.</t>
  </si>
  <si>
    <t>Sugar for Boiling Karela</t>
  </si>
  <si>
    <t>Mater</t>
  </si>
  <si>
    <t>Khava (optional)</t>
  </si>
  <si>
    <t>Shahi Biryani masala</t>
  </si>
  <si>
    <t>add dahi once sabji gets cooked and kept cooking for 2mins, and add rice.</t>
  </si>
  <si>
    <t>Wet Coconut, Reqd</t>
  </si>
  <si>
    <t>Dhahi</t>
  </si>
  <si>
    <t>Sugar (extra for khava)</t>
  </si>
  <si>
    <t>Haldi for Boiling Karela</t>
  </si>
  <si>
    <t>Heat ghee. Fry kaju, badam and Kakdi one by one and transfer to the rice . Finally fry the kismis in remaining ghee and add to the rice along with the gheeand roasted Khopra</t>
  </si>
  <si>
    <t>salt for sabji</t>
  </si>
  <si>
    <t>Wet Coconut (By Weight)</t>
  </si>
  <si>
    <t>Stuffing</t>
  </si>
  <si>
    <t>Salt, add with rice</t>
  </si>
  <si>
    <r>
      <rPr>
        <rFont val="Calibri"/>
        <color theme="1"/>
        <sz val="11.0"/>
      </rPr>
      <t>Khopra Khis,</t>
    </r>
    <r>
      <rPr>
        <rFont val="Calibri"/>
        <color theme="1"/>
        <sz val="9.0"/>
      </rPr>
      <t>2.5 mm, dry Roast</t>
    </r>
  </si>
  <si>
    <t>mix to the  above</t>
  </si>
  <si>
    <r>
      <rPr>
        <rFont val="Calibri"/>
        <b/>
        <color theme="1"/>
        <sz val="11.0"/>
      </rPr>
      <t>NOTE:</t>
    </r>
    <r>
      <rPr>
        <rFont val="Calibri"/>
        <color theme="1"/>
        <sz val="11.0"/>
      </rPr>
      <t xml:space="preserve"> If we have with us unused chasni of gulab Jamun, we can add 1.5 L of syrup for every Kg of Rice used.</t>
    </r>
  </si>
  <si>
    <t>Sugar, add with rice</t>
  </si>
  <si>
    <t>dhaniya patha</t>
  </si>
  <si>
    <t>Hg.SGPP</t>
  </si>
  <si>
    <t>Alu, peel,cube 1", boil &amp; mash roughly</t>
  </si>
  <si>
    <t xml:space="preserve"> Pulihogira_HG PAP(Srirangam receipe)</t>
  </si>
  <si>
    <t>boil the rice as straining method and keep under fan</t>
  </si>
  <si>
    <t>Oil, add to the boiling rice</t>
  </si>
  <si>
    <t>Tamatind</t>
  </si>
  <si>
    <t>Mung Dal, soak for 2 hrs, drain water</t>
  </si>
  <si>
    <t>Tomoto Puree</t>
  </si>
  <si>
    <t>boil and paste the tamarind</t>
  </si>
  <si>
    <t>Bellam</t>
  </si>
  <si>
    <t>Make coarse paste w/o adding extra water.</t>
  </si>
  <si>
    <t>Kasmiri Mirchi</t>
  </si>
  <si>
    <t>add to pulp</t>
  </si>
  <si>
    <t>ISKCON Mix Veg: Dry ___S</t>
  </si>
  <si>
    <t>Fry at low flame until golden browned</t>
  </si>
  <si>
    <t>Shengdhana Kut</t>
  </si>
  <si>
    <t>Add to the roasted halva, continue roasting for 10 mins</t>
  </si>
  <si>
    <r>
      <rPr>
        <rFont val="Calibri"/>
        <b/>
        <color theme="1"/>
        <sz val="8.0"/>
      </rPr>
      <t xml:space="preserve">ALT 1: </t>
    </r>
    <r>
      <rPr>
        <rFont val="Calibri"/>
        <color theme="1"/>
        <sz val="8.0"/>
      </rPr>
      <t xml:space="preserve">Heat  the oil/ghee. Add Beans and then alu. Keep Stirring then add capsicum and flower. Keep stirring. Then add the cabbage and green peas. Meanwhile keep adding the salt. Cook until all vegs are well cooked.
</t>
    </r>
    <r>
      <rPr>
        <rFont val="Calibri"/>
        <b/>
        <color theme="1"/>
        <sz val="8.0"/>
      </rPr>
      <t xml:space="preserve">ALT 2: </t>
    </r>
    <r>
      <rPr>
        <rFont val="Calibri"/>
        <color theme="1"/>
        <sz val="8.0"/>
      </rPr>
      <t>Separately boil/steam all vegs. Don’t put any oil/ghee instead put half of this ghee/oil in that of gravy. Put all this salt in the gravy.</t>
    </r>
  </si>
  <si>
    <t>Make syrup of less than 1 string consistency and add to the above.</t>
  </si>
  <si>
    <t>ISKCON Mix Veg: Dry _w/o Cauliflower</t>
  </si>
  <si>
    <t>Methi, roasted powder</t>
  </si>
  <si>
    <t>Add to above when the halva still have flowing consistency</t>
  </si>
  <si>
    <t>Till, roasted powder</t>
  </si>
  <si>
    <t>Roast lightly in ghee and add with above</t>
  </si>
  <si>
    <t>NOTE:- Has to be roasted very carefully especially for the first 30-45 mins. Else it will stick to the vessel and lumps will be formed.It takes about 3-4 hrs of roasting at low flame before adding khava. At the end halva should release ghee from side. The halva is very heavy can't be over eaten.</t>
  </si>
  <si>
    <t>udadal</t>
  </si>
  <si>
    <t>Alu (1 inch Cube)</t>
  </si>
  <si>
    <t>chena dal</t>
  </si>
  <si>
    <t>Dhaniya Pdr</t>
  </si>
  <si>
    <t>Groundnuts, fry seperately</t>
  </si>
  <si>
    <t>Jeera Pdr</t>
  </si>
  <si>
    <t>Bydigi mirchi</t>
  </si>
  <si>
    <t>Green mirchi, 2 slit</t>
  </si>
  <si>
    <t>Carrot, 4mm Pulao cut</t>
  </si>
  <si>
    <t>hing</t>
  </si>
  <si>
    <t>Kadipatha</t>
  </si>
  <si>
    <t>Daniya patha</t>
  </si>
  <si>
    <t>Boil soaked dal in water along with salt. When half cooked add the ghee. When dal is completely dissolved add the gud syrup and coconut paste. Bring to aboil, add fried dry fruits. Add Camphor Powder. Mix and done.</t>
  </si>
  <si>
    <r>
      <rPr>
        <rFont val="Calibri"/>
        <b/>
        <color theme="1"/>
        <sz val="11.0"/>
      </rPr>
      <t>GRAVY</t>
    </r>
    <r>
      <rPr>
        <rFont val="Calibri"/>
        <color theme="1"/>
        <sz val="8.0"/>
      </rPr>
      <t xml:space="preserve">
Heat oil/ghee. Put Rai, Jeera &amp; Hing. Then put the paste of Ginger, green cillies &amp; kashmiri Mirch. Cook until water is almost evaporated.Then add Kashuri methi, followed by Haldi &amp; Tomato Puree. Boil for 10-15 mins. Then add the Powder Masala. Keep Boiling Until the gravy is thick and oil starts surfacing. Then add the cooked veg in it. Mix .</t>
    </r>
  </si>
  <si>
    <t>Kala Chana</t>
  </si>
  <si>
    <t>Salt, for boiling</t>
  </si>
  <si>
    <t>Ghee, For Roasting Nuts</t>
  </si>
  <si>
    <t>Fry one by one, keep aside</t>
  </si>
  <si>
    <t>Basmati rice</t>
  </si>
  <si>
    <t>water,</t>
  </si>
  <si>
    <t>Pista, Chopped</t>
  </si>
  <si>
    <t>boiled rice till 90% cooked</t>
  </si>
  <si>
    <t>Pulverize Together. Add at Last</t>
  </si>
  <si>
    <t>ghee or butter</t>
  </si>
  <si>
    <t>Tej Patha</t>
  </si>
  <si>
    <t xml:space="preserve">Jaiphal </t>
  </si>
  <si>
    <t>dalchini</t>
  </si>
  <si>
    <t>pulverise together</t>
  </si>
  <si>
    <t>put the chowk,cook the sabjis in order, once sabji get done,add pudina, add masalas, top put dahi, sabji stuf is done. 
Keep Sabji and cooked rice seperaratly, 
add little ghee /butter put sabji one leyar sabji and rice …. Continue till end.
note; add yellow collor for apperence</t>
  </si>
  <si>
    <t>Star pool</t>
  </si>
  <si>
    <t>Add garam Masala to the cooked sabji. Cook for 5 more mins. Finally mix in Dhaniya patta &amp; Butter.</t>
  </si>
  <si>
    <t>kaju</t>
  </si>
  <si>
    <t>dry roast&amp; pulverise</t>
  </si>
  <si>
    <t>Butter (optional)</t>
  </si>
  <si>
    <t>Dry coconut</t>
  </si>
  <si>
    <t>mirchi, 2 slit</t>
  </si>
  <si>
    <t>Tamato, Chopping</t>
  </si>
  <si>
    <t>pavta seeds</t>
  </si>
  <si>
    <r>
      <rPr>
        <rFont val="Calibri"/>
        <b/>
        <color theme="1"/>
        <sz val="11.0"/>
      </rPr>
      <t xml:space="preserve">NOTE: </t>
    </r>
    <r>
      <rPr>
        <rFont val="Calibri"/>
        <color theme="1"/>
        <sz val="11.0"/>
      </rPr>
      <t>The combiation of Sabji can change as per availability of veg and budget.</t>
    </r>
  </si>
  <si>
    <t>Condense to 1/3rd.</t>
  </si>
  <si>
    <t>Chole</t>
  </si>
  <si>
    <t xml:space="preserve">Badam, chopped fine </t>
  </si>
  <si>
    <t xml:space="preserve">Pista., chopped fine </t>
  </si>
  <si>
    <t>Kesar essence</t>
  </si>
  <si>
    <t>Wet Coconut by Weight</t>
  </si>
  <si>
    <t>Heat Oil, Put Chaunk. Add the cut Alues. Then mix in the salt, and lemon juice. Mix nicely at the end mix the Groundnut, Kut and Dhaniya Patta.</t>
  </si>
  <si>
    <t>Wet Coconut by No(approx)</t>
  </si>
  <si>
    <t xml:space="preserve">Kesar </t>
  </si>
  <si>
    <t>Haldi (optional)</t>
  </si>
  <si>
    <t>Dhaniya Patta (by wieght, after cutting)</t>
  </si>
  <si>
    <t>Beans, 2" long cut</t>
  </si>
  <si>
    <t>Gajar, long cut</t>
  </si>
  <si>
    <t xml:space="preserve">Ginger, Akka </t>
  </si>
  <si>
    <t>Groundnut, kut</t>
  </si>
  <si>
    <t>Tondli, long cut</t>
  </si>
  <si>
    <t>Gobi/Broklin, 1' long cut</t>
  </si>
  <si>
    <t>baby corn, stir fry</t>
  </si>
  <si>
    <t>Capsi, 1' Long cut</t>
  </si>
  <si>
    <t>salt, sabji</t>
  </si>
  <si>
    <t>Chole Masala</t>
  </si>
  <si>
    <t>Boiled Chole to be made as gravy</t>
  </si>
  <si>
    <t>Shahi Biryani</t>
  </si>
  <si>
    <t>Kichen King Masala</t>
  </si>
  <si>
    <t>Corn, cook separately.</t>
  </si>
  <si>
    <t>Cook the hard sabji's first then the softer ones.</t>
  </si>
  <si>
    <t>pudina</t>
  </si>
  <si>
    <t>daniya patha</t>
  </si>
  <si>
    <t>gajar, for decoration</t>
  </si>
  <si>
    <t>tamato,for decoration</t>
  </si>
  <si>
    <t>Heat oil, put rai and hing. Then put the sabji's one by one. The harder sabji's first and the softer ones later. Meanwhile add the haldi and salt, so that cooking  is faser.When all sabji's are done add the powder masalas. Cook for 10 more mins and done.</t>
  </si>
  <si>
    <t>Sugar for Caramalizing</t>
  </si>
  <si>
    <r>
      <rPr>
        <rFont val="Calibri"/>
        <b/>
        <color theme="1"/>
        <sz val="8.0"/>
      </rPr>
      <t xml:space="preserve">Chocolate Flavor II
</t>
    </r>
    <r>
      <rPr>
        <rFont val="Calibri"/>
        <color theme="1"/>
        <sz val="8.0"/>
      </rPr>
      <t>Caramalize at low flame until dark brown. Then put off flame, allow to cool little bit then slowly add water and bring it  below 100 deg C.  Add this along with the flavor to the phirni.  NOTE: Reduce the total sugar by  quantity mentioned here.</t>
    </r>
  </si>
  <si>
    <t>Ghee for caramalizing</t>
  </si>
  <si>
    <t>Hyd Biryani_SKKP</t>
  </si>
  <si>
    <t>Padval Churchuri</t>
  </si>
  <si>
    <t>Water for cooling</t>
  </si>
  <si>
    <t>soak for one hour Half Boiled</t>
  </si>
  <si>
    <t>Padval, long slice</t>
  </si>
  <si>
    <r>
      <rPr>
        <rFont val="Calibri"/>
        <color theme="1"/>
        <sz val="11.0"/>
      </rPr>
      <t xml:space="preserve">Roast the rava in ghee until golden yellow. Add boiling milk. Cook until the rava is cooked and fluffy. Then add sugar, boil. Put offf flame . Cool. Then grind/pulverize with a very fine mesh to a smooth consistency. Add the respective color and flavor. </t>
    </r>
    <r>
      <rPr>
        <rFont val="Calibri"/>
        <b/>
        <color theme="1"/>
        <sz val="11.0"/>
      </rPr>
      <t>CHILL</t>
    </r>
  </si>
  <si>
    <t>Put Chaunk. Add Padval. Roast for sometime and then add salt and haldi. After it is almost cooked add powder masala. Mix and cook until done.</t>
  </si>
  <si>
    <t>Tomato, chopping</t>
  </si>
  <si>
    <t>Palak, cutting</t>
  </si>
  <si>
    <t>Powder Masala's. To be added after the sabji is almost done.</t>
  </si>
  <si>
    <t>Garam Masala, Bengali (optional)</t>
  </si>
  <si>
    <t>Akkha Mung/Matki</t>
  </si>
  <si>
    <t>Salt for Boiling</t>
  </si>
  <si>
    <t>Papaya, finger chips cut</t>
  </si>
  <si>
    <t>Gulkand</t>
  </si>
  <si>
    <t xml:space="preserve">VV IMP INSTRN: 
ADD GULKHAND  2-3 Hrs Before Serving.  As time increases the milk turn to curd in presence of ROSE PETALS  </t>
  </si>
  <si>
    <t>Rasberry Red Color (approx)</t>
  </si>
  <si>
    <r>
      <rPr>
        <rFont val="Calibri"/>
        <color theme="1"/>
        <sz val="11.0"/>
      </rPr>
      <t xml:space="preserve">Roast the rava in ghee until golden yellow. Add boiling milk. Cook until the rava is cooked and fluffy. Then add sugar, boil. Put offf flame . Cool. Then grind/pulverize with a very fine mesh to a smooth consistency. Add the respective color and flavor. </t>
    </r>
    <r>
      <rPr>
        <rFont val="Calibri"/>
        <b/>
        <color theme="1"/>
        <sz val="11.0"/>
      </rPr>
      <t>CHILL</t>
    </r>
  </si>
  <si>
    <t>Pudina, paste</t>
  </si>
  <si>
    <t>Daniya patha paste</t>
  </si>
  <si>
    <t>Wet Coconut, Paste</t>
  </si>
  <si>
    <t>Pudina, chopping</t>
  </si>
  <si>
    <t xml:space="preserve">Sevai Kheer </t>
  </si>
  <si>
    <t>Wet Coconut, Required Approx</t>
  </si>
  <si>
    <t>Daniya chopping</t>
  </si>
  <si>
    <t>Roast the sevai in ghee at low flame until it is uniformly reddish brown. Meanwhile boil the milk. Add the roasted sevai in it. Boil until sevai is tender. Then dissolve the cornflour in little cool milk/water and add to the cooked sevai, boil for few more mins, add the sugar and color/haldi and Elaichi(if using). Add the roasted dry fruits.Finally put off the flame and add the Flavors.</t>
  </si>
  <si>
    <t>Garam masala</t>
  </si>
  <si>
    <t>Tondli, long slice</t>
  </si>
  <si>
    <t>Put Chaunk. Add tondli. Roast for sometime and then add salt and haldi. After it is almost cooked add powder masala. Mix and cook until done.</t>
  </si>
  <si>
    <t>Kaju or Badam</t>
  </si>
  <si>
    <t>Ghee For Roasting Kaju</t>
  </si>
  <si>
    <t>reduce water as per pudina paste</t>
  </si>
  <si>
    <t>Bhopla Dry_prithvi (Each batch of 6L Maximum)</t>
  </si>
  <si>
    <t>REGULAR</t>
  </si>
  <si>
    <t xml:space="preserve">Take fresh bhopla and cut into squre size.  Take kadai and add all in sequnce in chownk add bhopla coock it till it become tender then add salt and Sambhar Masala after few minutes add  rosted Besan and coock for few minutes. </t>
  </si>
  <si>
    <t>Groundnut oil</t>
  </si>
  <si>
    <t>Vanilla essence</t>
  </si>
  <si>
    <t>VANILLA FLAVOR</t>
  </si>
  <si>
    <t xml:space="preserve">jeera  </t>
  </si>
  <si>
    <t>Note: Bulk Quantity capsi releases water, kindly make in batche of 6L max</t>
  </si>
  <si>
    <t>ALMOND FLAVOR</t>
  </si>
  <si>
    <t>Wet Coconut, Reqd (approx)</t>
  </si>
  <si>
    <r>
      <rPr>
        <rFont val="Calibri"/>
        <b/>
        <color theme="1"/>
        <sz val="11.0"/>
      </rPr>
      <t>Powder Masala's</t>
    </r>
    <r>
      <rPr>
        <rFont val="Calibri"/>
        <color theme="1"/>
        <sz val="8.0"/>
      </rPr>
      <t xml:space="preserve">
</t>
    </r>
  </si>
  <si>
    <t>Note: Cut all sabjis in small size and and take oil and then put chownk and add all sabjis then salt masalas and finally pudina leaves</t>
  </si>
  <si>
    <t>Rose Petals</t>
  </si>
  <si>
    <t>Peas</t>
  </si>
  <si>
    <t>Alu Matar Phulgobhi Rasawala_Thick</t>
  </si>
  <si>
    <t>Sagar</t>
  </si>
  <si>
    <t>Cauliflower (Cut Weight)</t>
  </si>
  <si>
    <t>Phulgobhi (cut Wt.)</t>
  </si>
  <si>
    <t>The proprtion can vary according to taste, budget and availabilty of vegs.
Boil separately each one of these.</t>
  </si>
  <si>
    <t>Half Kaju</t>
  </si>
  <si>
    <t>Pudnia (Approx Reqd)</t>
  </si>
  <si>
    <t>Soak the night before in freeze</t>
  </si>
  <si>
    <t>Dhania patta</t>
  </si>
  <si>
    <t>Rose red color</t>
  </si>
  <si>
    <t>Effective wt</t>
  </si>
  <si>
    <t>ROSE FLAVOR</t>
  </si>
  <si>
    <t>Millet Coconut Rice_NSD</t>
  </si>
  <si>
    <r>
      <rPr>
        <rFont val="Calibri"/>
        <color rgb="FFFF0000"/>
        <sz val="11.0"/>
      </rPr>
      <t xml:space="preserve">Note: </t>
    </r>
    <r>
      <rPr>
        <rFont val="Calibri"/>
        <color theme="1"/>
        <sz val="11.0"/>
      </rPr>
      <t>cut all vegetables as samosa sabji cutting</t>
    </r>
  </si>
  <si>
    <t>Sepu _HG MMP</t>
  </si>
  <si>
    <t>Kodo Millet</t>
  </si>
  <si>
    <t>Coconut Milk needed</t>
  </si>
  <si>
    <t>Sepu</t>
  </si>
  <si>
    <t>Coconut, No.</t>
  </si>
  <si>
    <t>Coconut, BY Weight</t>
  </si>
  <si>
    <t>Make coconut milk seperatly</t>
  </si>
  <si>
    <t>Heat oil. Put Tadka from jeera to Hing. Then add the paste of Dhaniya Patta, ginger &amp; Green Chilli. Then Add cabbage, Cook for few mins. Then add the goda masala and shenghdan powder. Cook for few mins, then add the paste. Cook until oil separtaes. Add boiling water &amp; salt.Boil until oil comes to surface, add the flower. Boil for 5-10 mins. add kokam/lemon juice and dhaniya patta</t>
  </si>
  <si>
    <t>Prithvi Pr</t>
  </si>
  <si>
    <t>Heat oil add all ingradients in sequnce. If kela cooked 70% then add coconut &amp; dhaniya patta paste to it and cook.</t>
  </si>
  <si>
    <t>Caramel</t>
  </si>
  <si>
    <t>Chowk</t>
  </si>
  <si>
    <t>Green Chilli, 2 slit</t>
  </si>
  <si>
    <t>Kaccha kela</t>
  </si>
  <si>
    <t>Kala/Goda Masala</t>
  </si>
  <si>
    <t>Gajar, Pulav Cut</t>
  </si>
  <si>
    <t>Beans, 1' Cross cut</t>
  </si>
  <si>
    <t>nos</t>
  </si>
  <si>
    <t>Make a fine paste together add to kela.</t>
  </si>
  <si>
    <t>Groundnut, raosted &amp; Skinned</t>
  </si>
  <si>
    <t>make coarse powder</t>
  </si>
  <si>
    <t>sabji should be cut as per design for good appearance</t>
  </si>
  <si>
    <t>Khopra, sliced 3 mm chips cutting</t>
  </si>
  <si>
    <t>Fry  khopra slices, Kahmiri mirch in the chaunk oil and use the same oil for chaunk. Grind to a Fine paste with roasted groundnuts and grated coconut.</t>
  </si>
  <si>
    <t xml:space="preserve">Sevai Kheer, Condensed </t>
  </si>
  <si>
    <t>Samosa Bhaji_Dry</t>
  </si>
  <si>
    <t>Capsicum, Chopping</t>
  </si>
  <si>
    <t>Samosa Bhaji_Dry_w/o flower</t>
  </si>
  <si>
    <t>Shahi biryani masala</t>
  </si>
  <si>
    <t>Ghee For Roasting Kaju/kismis</t>
  </si>
  <si>
    <t xml:space="preserve">Keep dhum for 15mins with low flame and 10mins without flame </t>
  </si>
  <si>
    <t>Green Chilli, round cut</t>
  </si>
  <si>
    <t>Butter, add just before putting dhum</t>
  </si>
  <si>
    <t>Regular_Elaichi</t>
  </si>
  <si>
    <t>or Vanilla essence</t>
  </si>
  <si>
    <t>Vanilla</t>
  </si>
  <si>
    <t>RGM</t>
  </si>
  <si>
    <t>Beans, Small cut</t>
  </si>
  <si>
    <t>Carrot, Small Cut</t>
  </si>
  <si>
    <t>Green Peas or Corn</t>
  </si>
  <si>
    <t>Badam Flavor</t>
  </si>
  <si>
    <t>Alu, Small cut&amp;Boil</t>
  </si>
  <si>
    <t>Flower(Cut Weight)</t>
  </si>
  <si>
    <t>Groundnut, fry  and mix</t>
  </si>
  <si>
    <t>or Almond Flavor</t>
  </si>
  <si>
    <t xml:space="preserve">Cabbage </t>
  </si>
  <si>
    <t>Heat oil/ghee. Put ajwain, followed by Green Chilli and ginger. Roast until ginger is crisp. Then add the hing followed by Kasuri Methi. Immediately add the below items.</t>
  </si>
  <si>
    <t>Kitchen King Masala, Govindas</t>
  </si>
  <si>
    <t>Sambar Powder</t>
  </si>
  <si>
    <t>Capsicum, 1.5 cm square</t>
  </si>
  <si>
    <t>Foxtail, Millet, Soak it 4hr before</t>
  </si>
  <si>
    <t xml:space="preserve">Add Capsicum to the above roast for few mins at high flame then add the cabbage, continue roasting until cabbage turns translucent. Then add the Tomato cook until they are soft followed by the channa masala, Haldi, Tomato Puree, salt and sugar. Cook until oil surfaces.Now add the cooked alu and Matar/corn. Boil for about 10 mins. Add water if reqd. </t>
  </si>
  <si>
    <t>Cabbage, 1.5 cm sqaure</t>
  </si>
  <si>
    <t>Boiled rice seperately till it get cooked upto 95% and remove&amp;keep under fan, add salt and sugar</t>
  </si>
  <si>
    <t>Edited on 18th April</t>
  </si>
  <si>
    <t>or Rose Water</t>
  </si>
  <si>
    <t>Water, Boiling</t>
  </si>
  <si>
    <t>Oil, add when is gettign cooked</t>
  </si>
  <si>
    <t>Salt, add while boiling</t>
  </si>
  <si>
    <t xml:space="preserve">Finally add Dhaniya Patta and butter(if using) </t>
  </si>
  <si>
    <t>Put the choke in given order, once all sabjis get cooked add dahi and cook till dahi get mixed with oil(5min)</t>
  </si>
  <si>
    <t>Shah Jeera</t>
  </si>
  <si>
    <t>Tej patha</t>
  </si>
  <si>
    <t>Carrot, Long cross cut</t>
  </si>
  <si>
    <t xml:space="preserve"> Boil alu with salt and haldi, then drain. Cook until slightly stiff.</t>
  </si>
  <si>
    <t>Beans, Long cross cut</t>
  </si>
  <si>
    <t>Cabbage, chinices cut</t>
  </si>
  <si>
    <t>Capsicum, slices</t>
  </si>
  <si>
    <t>Heat oil and cook the cut padva in it, add salt after sometime. Cok until tender.</t>
  </si>
  <si>
    <t>Pudina Leaves, remove only Leaves</t>
  </si>
  <si>
    <t>Salt for sabji</t>
  </si>
  <si>
    <t>Padval, slit each in 4-6 pieces</t>
  </si>
  <si>
    <t>Fresh curd</t>
  </si>
  <si>
    <t>Heat The Oil. Put jeera, bedgi mirch, chopped ginger and Green Chilli. Roast until ginger is crisp and brown. Then add the hing followed by Curry Leaves, after that add the haldi and then the paste below. Cook until oil starts separtaes. Then add the tomato puree and cook again until oil starts surfacing. Add salt, sugar and cooked veggies.</t>
  </si>
  <si>
    <t>Smoking(Optional)</t>
  </si>
  <si>
    <t>Butter, (Optional)</t>
  </si>
  <si>
    <t>CapsicumBesan Dry _NSD(Kindly see the note)</t>
  </si>
  <si>
    <t>Butter, for putting smoke(optional)</t>
  </si>
  <si>
    <t>Each Batch of 6L Max</t>
  </si>
  <si>
    <t>Salt, Rock salt</t>
  </si>
  <si>
    <t>Edited on 3rd June</t>
  </si>
  <si>
    <t>Sugar, organic sugar</t>
  </si>
  <si>
    <r>
      <rPr>
        <rFont val="Calibri"/>
        <color theme="1"/>
        <sz val="11.0"/>
      </rPr>
      <t xml:space="preserve">Yield, </t>
    </r>
    <r>
      <rPr>
        <rFont val="Calibri"/>
        <b/>
        <color theme="1"/>
        <sz val="11.0"/>
      </rPr>
      <t>Use Khadai for cooking</t>
    </r>
  </si>
  <si>
    <t>Add the sabji, once chownk is put, note that besen can be added immidietly after capsicum and cook in low flame by closing lid</t>
  </si>
  <si>
    <t>Capsicum, 2cm cube cut</t>
  </si>
  <si>
    <t>Soak all items except coconut for about 2 hrs. Then make a smooth  paste of it along with the coconut. Use very little or no extra water.</t>
  </si>
  <si>
    <t>Tomato, sabji cutting</t>
  </si>
  <si>
    <t>Besan, Roasted, add on top</t>
  </si>
  <si>
    <t>Basmati Dubar/ Rice Regular</t>
  </si>
  <si>
    <t>Roast Mung dal in ghee until reddish. Then add to boiling water with salt. When dal is partially cooked add Rice to it and cook until rice is cooked and the mixture is very thick.</t>
  </si>
  <si>
    <t>put chownk as per order and followed by tamato, capsi and besen, close lid and cook in low flame capsicum gets cooked.
Hare Krishna!!!</t>
  </si>
  <si>
    <t>Foxtail, millet</t>
  </si>
  <si>
    <t>Ghee (For Roasting Mungdal)</t>
  </si>
  <si>
    <t>Fry the Black pepper, kaju, kismis in ghee. And put them in pongal. At last fry the  khopra slices in the remaining ghee.</t>
  </si>
  <si>
    <t>Black Pepper (Optional)</t>
  </si>
  <si>
    <t>Dhaniya patta, add on top</t>
  </si>
  <si>
    <t>Salt, add on after basen</t>
  </si>
  <si>
    <t>Khopra,2 mm slice</t>
  </si>
  <si>
    <t>Note: Bulk Quantity capsi releases water, kindly make in batches</t>
  </si>
  <si>
    <t>Arbi  Patta Sabji 1 ___S</t>
  </si>
  <si>
    <t>Pulverize into fine Powder</t>
  </si>
  <si>
    <t>Arbi Patta, (Small)</t>
  </si>
  <si>
    <t>Camphor Powder</t>
  </si>
  <si>
    <t>Boil together until almost done. Then add the below mixture. Boil until ebverything is well cooked. Then add the gud, mix and boil for 5 mins. Then put chaunk, bring to a boil and done.</t>
  </si>
  <si>
    <t>Akkha Mung Sabji_dry_SKKP</t>
  </si>
  <si>
    <t>Add at last &amp;mix until absorbed.</t>
  </si>
  <si>
    <t>Akkha Mung Sabji_dry_MCP</t>
  </si>
  <si>
    <t>Boil Together. Grind 1/3rd of it with 1/3rd of boiled leaves and stems</t>
  </si>
  <si>
    <t xml:space="preserve">Alu- small subji cutting </t>
  </si>
  <si>
    <t>Grate the chakka. Mix all the items together. If using kesar.
Lightly  roast the kesar at very low flame until crisp. Crush half of the kesar and soak in little milk for aboout 30 mins then rub it between fingers and mix in the shrikhand.</t>
  </si>
  <si>
    <t>Chana Dal (Soak)</t>
  </si>
  <si>
    <t>Foxtail, Millet</t>
  </si>
  <si>
    <t>Pallavi Goda Masala</t>
  </si>
  <si>
    <t>Add before chaunk &amp; boil for 5 mins</t>
  </si>
  <si>
    <t>soak in water about 6hrs</t>
  </si>
  <si>
    <t>put chunk as per given order</t>
  </si>
  <si>
    <t>NOTE: Get Arbi patta with black stem, not green.</t>
  </si>
  <si>
    <t>tejpatha</t>
  </si>
  <si>
    <t>Mirchi, 2 slit</t>
  </si>
  <si>
    <t>Ginger, paster</t>
  </si>
  <si>
    <t>Kerela</t>
  </si>
  <si>
    <t>Charoli</t>
  </si>
  <si>
    <t>Kaju, (Optional)</t>
  </si>
  <si>
    <t>Beans, cross pulao cut</t>
  </si>
  <si>
    <t>Pista, chopped fine</t>
  </si>
  <si>
    <t>add sajis in order, add salt for sabji</t>
  </si>
  <si>
    <t>Gajar, cross pulao cut</t>
  </si>
  <si>
    <t>Capsicum, square cut</t>
  </si>
  <si>
    <t>Boil separately in Steamer with Curry Leaves &amp; little haldi.</t>
  </si>
  <si>
    <t>Pavta, (if not, adjust other veg)</t>
  </si>
  <si>
    <t>green peace</t>
  </si>
  <si>
    <t>Pudina, leaves</t>
  </si>
  <si>
    <t>salt for vegies</t>
  </si>
  <si>
    <r>
      <rPr>
        <rFont val="Calibri"/>
        <color theme="1"/>
        <sz val="8.0"/>
      </rPr>
      <t xml:space="preserve">Mix Strawberry pulp, color and flavor. In dough making machine add the chakka and mix. Then add the strawberry pulp mixture. Mix nicely. Then slowly add the sugar powder and continue stirring until sugar is fully dissolved.  </t>
    </r>
    <r>
      <rPr>
        <rFont val="Calibri"/>
        <b/>
        <color theme="1"/>
        <sz val="8.0"/>
      </rPr>
      <t>CHILL</t>
    </r>
  </si>
  <si>
    <t>add once sabji get half cooked</t>
  </si>
  <si>
    <t>Strawberry,  Pulp</t>
  </si>
  <si>
    <t>Strawberry, thin slices</t>
  </si>
  <si>
    <t>Strawberry  Flavor</t>
  </si>
  <si>
    <t>Rasberry Red Color</t>
  </si>
  <si>
    <t>Arbi Baingan_dry (RGM)</t>
  </si>
  <si>
    <t>shahi Biryani Masala</t>
  </si>
  <si>
    <t>Yiled</t>
  </si>
  <si>
    <t>Tubs</t>
  </si>
  <si>
    <t>add just before putting dhum</t>
  </si>
  <si>
    <t>Grind To a fine paste</t>
  </si>
  <si>
    <t>Baingan</t>
  </si>
  <si>
    <t>Arbi(fried)</t>
  </si>
  <si>
    <t>Dahi, not too sour</t>
  </si>
  <si>
    <t>Sweet Rice_Dhananjay Rishikesh P</t>
  </si>
  <si>
    <t>Tamato gravy</t>
  </si>
  <si>
    <t>Little</t>
  </si>
  <si>
    <t>Boil the milk reduce 10% before adding riceand boil until rice is cooked</t>
  </si>
  <si>
    <t>Condensed Volume</t>
  </si>
  <si>
    <t>Kashmiri mirchi powder</t>
  </si>
  <si>
    <t>MDH Garam Masala</t>
  </si>
  <si>
    <t>Govind Bhog Rice</t>
  </si>
  <si>
    <t>Ghee For Frying Kaju</t>
  </si>
  <si>
    <t>Everest Chat masala</t>
  </si>
  <si>
    <t>Besan  (Pitla)</t>
  </si>
  <si>
    <t>Add one the option to the above.</t>
  </si>
  <si>
    <t>Besan, fine</t>
  </si>
  <si>
    <t>Danim.pomogranate</t>
  </si>
  <si>
    <t>Make a smooth batter. Use either of Color Band</t>
  </si>
  <si>
    <t>Add to above. Boil.</t>
  </si>
  <si>
    <t>Sugar for caramalize</t>
  </si>
  <si>
    <t>Add Tejpatta with rice.  And Elaichi Powder at last</t>
  </si>
  <si>
    <t>Put Chaunk. Add water &amp; Salt boil. Put off the fire and add besan batter in it. Stir nicely to avoid lumps. Then cook until done</t>
  </si>
  <si>
    <t>White Sugar</t>
  </si>
  <si>
    <t>Dronephool</t>
  </si>
  <si>
    <t>Elachi, Crushed</t>
  </si>
  <si>
    <t>Carrot, 1cm cubes</t>
  </si>
  <si>
    <t>Palak, chopped fine</t>
  </si>
  <si>
    <t>Alu, 1m cubes</t>
  </si>
  <si>
    <t>Pudina gaddi</t>
  </si>
  <si>
    <t>Palak, reqd (approx)</t>
  </si>
  <si>
    <t>Methi Patta, chopped</t>
  </si>
  <si>
    <t>Methi gaddi Reqd (approx)</t>
  </si>
  <si>
    <t>Backup Rice dal</t>
  </si>
  <si>
    <t>Devotees</t>
  </si>
  <si>
    <t>Note: If only 2 items are serving these are consumtions</t>
  </si>
  <si>
    <r>
      <rPr>
        <rFont val="Calibri"/>
        <color theme="1"/>
        <sz val="11.0"/>
      </rPr>
      <t>Dhaniya Patta</t>
    </r>
    <r>
      <rPr>
        <rFont val="Calibri"/>
        <color rgb="FFFF0000"/>
        <sz val="11.0"/>
      </rPr>
      <t>**</t>
    </r>
  </si>
  <si>
    <t>** Not reqd if using methi or Palak</t>
  </si>
  <si>
    <r>
      <rPr>
        <rFont val="Calibri"/>
        <b/>
        <color theme="1"/>
        <sz val="8.0"/>
      </rPr>
      <t>Soak the chopped badam in hot milk for &gt; 1 hr.</t>
    </r>
    <r>
      <rPr>
        <rFont val="Calibri"/>
        <color theme="1"/>
        <sz val="8.0"/>
      </rPr>
      <t xml:space="preserve">
Condense milk to 2/3rd. Add rice to it. Cook until rice is tender. Mix cornflour in some milk and add to the above boil for few mins. Now add sugar. Bring to a boil. Then (fry the  kaju and add to it/ add the soaked badam.) Chill and add essence.</t>
    </r>
  </si>
  <si>
    <t xml:space="preserve">Basmati Rice </t>
  </si>
  <si>
    <t xml:space="preserve">kg </t>
  </si>
  <si>
    <t>Ghee for frying kaju</t>
  </si>
  <si>
    <t>Kashimiri Mirchi</t>
  </si>
  <si>
    <t>10L</t>
  </si>
  <si>
    <t xml:space="preserve">Tondli ANDHRA </t>
  </si>
  <si>
    <t>15KG</t>
  </si>
  <si>
    <t>15KG RATALU,17KG BHPLA,12KG SUSRAN</t>
  </si>
  <si>
    <t>Mirchi Bhajji</t>
  </si>
  <si>
    <t>100--&gt;1kg</t>
  </si>
  <si>
    <t>Padaval Churchuri</t>
  </si>
  <si>
    <t>14kg</t>
  </si>
  <si>
    <t>Tondli Dry Andhra</t>
  </si>
  <si>
    <t>16kg</t>
  </si>
  <si>
    <t>Akkha Mung Wet</t>
  </si>
  <si>
    <t>2Kg Akkha Mung</t>
  </si>
  <si>
    <t>Alu Bhaja</t>
  </si>
  <si>
    <t>Alu-14Kg</t>
  </si>
  <si>
    <t>Alu Chana Dal</t>
  </si>
  <si>
    <t>Alu-5Kg, Chana-0.6Kg</t>
  </si>
  <si>
    <t>Any Soaking Sabji 10L-2Kg Grains</t>
  </si>
  <si>
    <t>Alu Palak Dry</t>
  </si>
  <si>
    <t>Alu-5Kg,Palak-17gaddi</t>
  </si>
  <si>
    <t>Alu Wet Sabji</t>
  </si>
  <si>
    <t>Alu-6.5Kg</t>
  </si>
  <si>
    <t>Arbi Wet</t>
  </si>
  <si>
    <t>Arbi-80%-8Kg</t>
  </si>
  <si>
    <t>Arvi</t>
  </si>
  <si>
    <t>8.5kg</t>
  </si>
  <si>
    <t>1kg</t>
  </si>
  <si>
    <t>bhendi dry</t>
  </si>
  <si>
    <t>15kg</t>
  </si>
  <si>
    <t xml:space="preserve">capsicum,  raw wt </t>
  </si>
  <si>
    <t>3.4L</t>
  </si>
  <si>
    <t>Bhopla Churchuri</t>
  </si>
  <si>
    <t>cabbage</t>
  </si>
  <si>
    <t>13kg</t>
  </si>
  <si>
    <t>Gewda</t>
  </si>
  <si>
    <t>3.6L</t>
  </si>
  <si>
    <t>Chawli Beans</t>
  </si>
  <si>
    <t>Dodka</t>
  </si>
  <si>
    <t>11kg</t>
  </si>
  <si>
    <t>Mung--&gt;Sprouts---1Kg-1.25Kg</t>
  </si>
  <si>
    <t>Use either of the color band</t>
  </si>
  <si>
    <t>Ghewda Seeds</t>
  </si>
  <si>
    <t>Kesar(optional)</t>
  </si>
  <si>
    <t>Kaccha Kela</t>
  </si>
  <si>
    <t>Paui sak</t>
  </si>
  <si>
    <t>20gaddi, bhopla 4kg alu 2kg tamoto 1.5---&gt; Yield 15L</t>
  </si>
  <si>
    <t>Groundnut Oil, for roasting capsicum</t>
  </si>
  <si>
    <t>Kaccha papaya</t>
  </si>
  <si>
    <t>12kg</t>
  </si>
  <si>
    <t>Mung Sprouts</t>
  </si>
  <si>
    <t>Akkha Mung-75%</t>
  </si>
  <si>
    <t xml:space="preserve">Padaval Fry </t>
  </si>
  <si>
    <t>Papayya Barta</t>
  </si>
  <si>
    <t xml:space="preserve">11.2kg </t>
  </si>
  <si>
    <t>Papidi</t>
  </si>
  <si>
    <t>15kg+  alu 3kg</t>
  </si>
  <si>
    <t>Pavata seeds</t>
  </si>
  <si>
    <t>20KG</t>
  </si>
  <si>
    <t>Suran Wet</t>
  </si>
  <si>
    <t>Suran-75%-7.5Kg</t>
  </si>
  <si>
    <t>Tondli dry</t>
  </si>
  <si>
    <t>Chaunk.</t>
  </si>
  <si>
    <t>1kg rava = 6L yeild</t>
  </si>
  <si>
    <t>kalonji</t>
  </si>
  <si>
    <t>White til</t>
  </si>
  <si>
    <t>Beetroot (if boiling)</t>
  </si>
  <si>
    <t xml:space="preserve">Finally add Dhaniya Patta and </t>
  </si>
  <si>
    <t>Pudina (Approx Required)</t>
  </si>
  <si>
    <t>Beetroot (if made directly)</t>
  </si>
  <si>
    <t>Karela(Cut in 2, Boil)</t>
  </si>
  <si>
    <t xml:space="preserve">Chole_New </t>
  </si>
  <si>
    <t>Proportion can vary with budget &amp; taste preference</t>
  </si>
  <si>
    <t>Effective chole  Wt</t>
  </si>
  <si>
    <t>For Boiling Alu</t>
  </si>
  <si>
    <t>Haldi for Alu</t>
  </si>
  <si>
    <t>Salt for Boiling Chole</t>
  </si>
  <si>
    <t>Heat oil put tadka, then add the below paste roast until oil separates. Then add haldi and Tomato puree. Cook until oil starts surfacing. Then add the Kasuri methi and Masala Powder's.</t>
  </si>
  <si>
    <t>kesari Color</t>
  </si>
  <si>
    <t>Masala Paste
Soak together for about 1-2 hr. Drain and preserve the water. Use it for grinding if reqd or add to the tomato puree.Grind to a fine paste along with ginger and Green Chilli using no water or very little water.</t>
  </si>
  <si>
    <t>kasthuri Methi</t>
  </si>
  <si>
    <t>Green Chiliies</t>
  </si>
  <si>
    <t>Boil rava nicely in 10% of the milk and pulvarize this. Add puree this Rabdi, once the milk is condensed to required Yield of Rabdi.</t>
  </si>
  <si>
    <t>Kasuri Methi, lightly Roasted</t>
  </si>
  <si>
    <t xml:space="preserve">   </t>
  </si>
  <si>
    <r>
      <rPr>
        <rFont val="Calibri"/>
        <b/>
        <color theme="1"/>
        <sz val="11.0"/>
      </rPr>
      <t>Powder Masala</t>
    </r>
    <r>
      <rPr>
        <rFont val="Calibri"/>
        <color theme="1"/>
        <sz val="8.0"/>
      </rPr>
      <t xml:space="preserve">
Add to the above gravy and boil for 5-10 mins. </t>
    </r>
    <r>
      <rPr>
        <rFont val="Calibri"/>
        <b/>
        <color theme="1"/>
        <sz val="10.0"/>
      </rPr>
      <t xml:space="preserve"> Grind 1/5th of the chole into coarse paste</t>
    </r>
    <r>
      <rPr>
        <rFont val="Calibri"/>
        <color theme="1"/>
        <sz val="8.0"/>
      </rPr>
      <t>. Add this along with boiled  Chole.Then add the boiled aloo. Boil for about 10 mins.</t>
    </r>
  </si>
  <si>
    <t>Coconut Req</t>
  </si>
  <si>
    <t>Besan Capcicum_SKKP</t>
  </si>
  <si>
    <t>Add garam Masala to the cooked sabji. Cook for 5 more mins. Finally mix in  Dhaniya patta.</t>
  </si>
  <si>
    <t>Capcicum</t>
  </si>
  <si>
    <t>Prepare fresh chana and dd this to rabdi.</t>
  </si>
  <si>
    <t>Tamoto</t>
  </si>
  <si>
    <t>Milk for Rabdi</t>
  </si>
  <si>
    <t xml:space="preserve">Besan </t>
  </si>
  <si>
    <t>Kachha Kela_FHC</t>
  </si>
  <si>
    <t>Mota Rava, for Thickening</t>
  </si>
  <si>
    <t>Kela</t>
  </si>
  <si>
    <t>Chole Paneer_ HG RRP modified</t>
  </si>
  <si>
    <t>Radbi Volume</t>
  </si>
  <si>
    <t>Sukta</t>
  </si>
  <si>
    <t>Milk for Chana</t>
  </si>
  <si>
    <t>Chana Volume</t>
  </si>
  <si>
    <t>Kaccha Papaya</t>
  </si>
  <si>
    <t>sweet potato</t>
  </si>
  <si>
    <t>kaccha kela</t>
  </si>
  <si>
    <t>Kohla halva_Prithvi</t>
  </si>
  <si>
    <t>alu</t>
  </si>
  <si>
    <t>Take kohla and wash nicely.remove skin and seeds and grate nicely. Take an appropriate bowl and boil kohla till the water gets evaporated. Add sugar.boil for some time.grate khava and add.fry and add khaju</t>
  </si>
  <si>
    <t>drumstick</t>
  </si>
  <si>
    <t>baingan</t>
  </si>
  <si>
    <t>Kohla grated</t>
  </si>
  <si>
    <t>Alu Karela Bhindi_Prithvi</t>
  </si>
  <si>
    <t>Kohla(Raw) Required, Approx</t>
  </si>
  <si>
    <t>Bhindi</t>
  </si>
  <si>
    <t>Note: 1) approx for 0.5 kg grating 1kg kohla requied
2)evaporate total sugar while boiling if required as total solid, if required little liquid, then don’t evaporate total sugar</t>
  </si>
  <si>
    <t>Dhaniya</t>
  </si>
  <si>
    <t>Chole masala(everest)</t>
  </si>
  <si>
    <t>Soaf</t>
  </si>
  <si>
    <t>Sai Jeera</t>
  </si>
  <si>
    <t>Lavanga</t>
  </si>
  <si>
    <t>Jai phal</t>
  </si>
  <si>
    <t>pieses</t>
  </si>
  <si>
    <t>Sont Powder</t>
  </si>
  <si>
    <t>Green ilaichi</t>
  </si>
  <si>
    <t>Badi Ilaichi</t>
  </si>
  <si>
    <t>Maharastrian Masala</t>
  </si>
  <si>
    <t>Daniya</t>
  </si>
  <si>
    <t>Kalanji</t>
  </si>
  <si>
    <t>take fresh Khava and grate it then add soda and add milk to it mix it uniformely add maida, elachipowder and mix uniformly and make medium size balls and fry in ghee.</t>
  </si>
  <si>
    <t>Dhon phool</t>
  </si>
  <si>
    <t>Alu Flower Matar Dry</t>
  </si>
  <si>
    <t>Heat The oil, put chaunk then add the Bhendi. Cook for about 10 mins, then add the salt. Keep cooking until the Bhendi's  are well cooked and done.</t>
  </si>
  <si>
    <t>Bhendi, 2" long pieces</t>
  </si>
  <si>
    <t>Flower (cut weight)</t>
  </si>
  <si>
    <t>Matar</t>
  </si>
  <si>
    <t>Rava Barik</t>
  </si>
  <si>
    <t>Ratalu Bhola Suran Dry</t>
  </si>
  <si>
    <t xml:space="preserve">Heat oil, put Tadka in the same order.Then add the well beaten dahi. Put off gas, mix sugar &amp; salt. Then add the Cooked Bhendi and Grated coconut. Mix. Done. </t>
  </si>
  <si>
    <t xml:space="preserve">Ratalu </t>
  </si>
  <si>
    <t>Ghee for Frying</t>
  </si>
  <si>
    <t>Sugar Syrup</t>
  </si>
  <si>
    <t>Dahi, fresh &amp; thick, beaten</t>
  </si>
  <si>
    <r>
      <rPr>
        <rFont val="Calibri"/>
        <b/>
        <color rgb="FFFF0000"/>
        <sz val="10.0"/>
      </rPr>
      <t>Note</t>
    </r>
    <r>
      <rPr>
        <rFont val="Calibri"/>
        <color theme="1"/>
        <sz val="10.0"/>
      </rPr>
      <t xml:space="preserve"> :  mix soda in milk nicelly and then mix it with mava it shoud be uniform otherwise ball will break while frying the balls.</t>
    </r>
  </si>
  <si>
    <t>Gavar</t>
  </si>
  <si>
    <t>Ground nut Kut</t>
  </si>
  <si>
    <t>For Garnishing</t>
  </si>
  <si>
    <t>Akka Mungsprouts Sabji_Dry</t>
  </si>
  <si>
    <t>Goshaval (Wet)</t>
  </si>
  <si>
    <t>Goda Masala/ Charu Masala</t>
  </si>
  <si>
    <t>Goshaval</t>
  </si>
  <si>
    <t>Tomato, Chopping</t>
  </si>
  <si>
    <t>Mung dal, soak for 1 hr</t>
  </si>
  <si>
    <t>Till, Kut</t>
  </si>
  <si>
    <t>Put chaunk in the same order then add  dodka cook for few 5-7 mins. Then add the soaked Mung dal  &amp; salt and cook until dodka is cooked completelyt. Then add the paste below. Boil for 5 mins more. Then add the last 3 items. Cook for 5 more mins and done.</t>
  </si>
  <si>
    <t>Pavta Sabji</t>
  </si>
  <si>
    <r>
      <rPr>
        <rFont val="Calibri"/>
        <b/>
        <color theme="1"/>
        <sz val="8.0"/>
      </rPr>
      <t>ALT 1</t>
    </r>
    <r>
      <rPr>
        <rFont val="Calibri"/>
        <color theme="1"/>
        <sz val="8.0"/>
      </rPr>
      <t xml:space="preserve">: Soak all the spices in water for about 2 hrs and then grid them along with coconut to a fine paste.
</t>
    </r>
    <r>
      <rPr>
        <rFont val="Calibri"/>
        <b/>
        <color theme="1"/>
        <sz val="8.0"/>
      </rPr>
      <t>ALT 2</t>
    </r>
    <r>
      <rPr>
        <rFont val="Calibri"/>
        <color theme="1"/>
        <sz val="8.0"/>
      </rPr>
      <t>: dry roast the spices, cool and powder them in mixer and then mix it in grated coconut and make afine paste</t>
    </r>
  </si>
  <si>
    <t>Maulpua _HG VDP</t>
  </si>
  <si>
    <t>COMMENTS</t>
  </si>
  <si>
    <t>No of pieces(50ml Batter)</t>
  </si>
  <si>
    <t>50ml spoon was used for putting atta in frying pan</t>
  </si>
  <si>
    <t>Batter Yield</t>
  </si>
  <si>
    <t>Doodhi  Chana Dal</t>
  </si>
  <si>
    <t>Doodhi (1" cubes)</t>
  </si>
  <si>
    <t>Heat ghee/oil. Put tadka from Tejpatta to Ginger. Then add Doodhi and salt, and roast it in the Groundnut Oil, for 10-15 mins. Then add the parboiled chana dal. Add boiling water and cook unil the doodhi is tender. After that add the coconut paste and the powder masala's. Cook for few more mins. Then put the ghee &amp; garam masala tadka. Mix dhaniya patta.</t>
  </si>
  <si>
    <t xml:space="preserve">Pulverize the milk, banana and atta together.Mix this  thoroughly. If required add some more milk to get a batter of pouring consistency. Add crushed black pepper and saunf. Then heat the ghee in tavi and pour in about 50 ml of the mixture in it. It will spread and come up. When it has fried on one side turn it over to fry on other side also.  When done, remove it and drain it on jhara. and soak it in the syrup for 2-3 mins. Remove and garnish with rabdi and dry fruits. </t>
  </si>
  <si>
    <r>
      <rPr>
        <rFont val="Calibri"/>
        <b/>
        <color theme="1"/>
        <sz val="8.0"/>
      </rPr>
      <t>ALT 1</t>
    </r>
    <r>
      <rPr>
        <rFont val="Calibri"/>
        <color theme="1"/>
        <sz val="8.0"/>
      </rPr>
      <t xml:space="preserve">: Soak all the spices in water for about 2 hrs and then grid them along with coconut to a fine paste.
</t>
    </r>
    <r>
      <rPr>
        <rFont val="Calibri"/>
        <b/>
        <color theme="1"/>
        <sz val="8.0"/>
      </rPr>
      <t>ALT 2</t>
    </r>
    <r>
      <rPr>
        <rFont val="Calibri"/>
        <color theme="1"/>
        <sz val="8.0"/>
      </rPr>
      <t>: dry roast the spices, cool and powder them in mixer and then mix it in grated coconut and make afine paste</t>
    </r>
  </si>
  <si>
    <t xml:space="preserve">Chana dal, Saok &amp; parboil </t>
  </si>
  <si>
    <t>Pakka Kela (Wt Before Peeling)</t>
  </si>
  <si>
    <t>Pakka Kela (Approx Reqd)</t>
  </si>
  <si>
    <t>Boiling Water (Approx)</t>
  </si>
  <si>
    <t>Vanila essence</t>
  </si>
  <si>
    <t>Baingan sabji_NSD</t>
  </si>
  <si>
    <t>make fine paste</t>
  </si>
  <si>
    <t>Bengan, stuffing cuting</t>
  </si>
  <si>
    <t>Ghee, for Frying</t>
  </si>
  <si>
    <t>Stuffing Masala: prepare masala, and fill in baingan</t>
  </si>
  <si>
    <t>Till, Dry roast&amp;Koot</t>
  </si>
  <si>
    <t>Groundnut, Dry roast&amp;Koot</t>
  </si>
  <si>
    <r>
      <rPr>
        <rFont val="Calibri"/>
        <b/>
        <color rgb="FFFF0000"/>
        <sz val="12.0"/>
      </rPr>
      <t>Note</t>
    </r>
    <r>
      <rPr>
        <rFont val="Calibri"/>
        <b/>
        <color theme="1"/>
        <sz val="11.0"/>
      </rPr>
      <t xml:space="preserve"> :</t>
    </r>
    <r>
      <rPr>
        <rFont val="Calibri"/>
        <b/>
        <color rgb="FFFF0000"/>
        <sz val="12.0"/>
      </rPr>
      <t xml:space="preserve"> For one kg aata,400gm maida,10bannana, approx 2.75ltr milk to prepare 90 to 95 pieces of maulpau.</t>
    </r>
  </si>
  <si>
    <t>Daniya masala</t>
  </si>
  <si>
    <r>
      <rPr>
        <rFont val="Calibri"/>
        <b/>
        <color theme="1"/>
        <sz val="8.0"/>
      </rPr>
      <t xml:space="preserve">Add at last. </t>
    </r>
    <r>
      <rPr>
        <rFont val="Calibri"/>
        <color theme="1"/>
        <sz val="8.0"/>
      </rPr>
      <t xml:space="preserve">
Heat ghee put the garam masala in it and put in the sabji. Add Dhaniya Patta &amp; mix.</t>
    </r>
  </si>
  <si>
    <t>Heat ghee/oil. Put tadka from Jeera to Ginger. Then add Mungdal and roast it in the Groundnut Oil for sometime, until it darkens a few shades. Then add the doodhi and salt. Roast for few more mins. Then add water and cook unil the doodhi is tender and mung dal is almost dissolved. After that add the coconut paste and the powder masala's. Cook for few more mins and add the remaining items.  Done.</t>
  </si>
  <si>
    <t xml:space="preserve">Atta  </t>
  </si>
  <si>
    <t xml:space="preserve">Paste </t>
  </si>
  <si>
    <t>Dhaniya Patta, paste</t>
  </si>
  <si>
    <t>Water, for pasting</t>
  </si>
  <si>
    <t>Hot water</t>
  </si>
  <si>
    <t>Black Elaichi, crushed</t>
  </si>
  <si>
    <t>beetroot_Dry</t>
  </si>
  <si>
    <t>beetroot req</t>
  </si>
  <si>
    <t>Make coarse paste w/o adding extra water. heat the ghee and add dal paste in it the dal paste  Now roast at very low flame for at least first 30 to 40 mins. Once it becomes less sticky we can increase the flame little and roast until the color becomes like almond skin. Then add the grated khava and roast for another 10-15 mins. Then add the  boiling water  while continuously stirring.</t>
  </si>
  <si>
    <t>haldi</t>
  </si>
  <si>
    <t>Mung Dal
 drain &amp; coarse grind</t>
  </si>
  <si>
    <t xml:space="preserve">Green Chilli, 2slit </t>
  </si>
  <si>
    <t>Putan dal and red Chilli Powder</t>
  </si>
  <si>
    <t xml:space="preserve"> Then add the sugar,  elaichi powder and chopped badam.  to the  above when the water is not completely absorbed.
Keep stirring until the halva starts  leaving sides. Then cover it and cook it on very low flame for about 10 mins. Let  it remain covered for another 30 mins.</t>
  </si>
  <si>
    <t>Note : mungdal soak for 2 to 3 hrs</t>
  </si>
  <si>
    <t xml:space="preserve">Kaccha kela </t>
  </si>
  <si>
    <t>Garam Masala (optional)</t>
  </si>
  <si>
    <t>Milk-Fruit Salad_Ekadasi_Mango Pulp</t>
  </si>
  <si>
    <r>
      <rPr>
        <rFont val="Calibri"/>
        <b/>
        <color theme="1"/>
        <sz val="8.0"/>
      </rPr>
      <t xml:space="preserve">Add at last. </t>
    </r>
    <r>
      <rPr>
        <rFont val="Calibri"/>
        <color theme="1"/>
        <sz val="8.0"/>
      </rPr>
      <t xml:space="preserve">
If you don’t want sour taste you may avoid Kokam juice/lemon juice.</t>
    </r>
  </si>
  <si>
    <t>Apple</t>
  </si>
  <si>
    <t>Papaya</t>
  </si>
  <si>
    <t>Tamato, chopping</t>
  </si>
  <si>
    <t>Pappaya with Chenna</t>
  </si>
  <si>
    <t>Gulabjamun_HG Kikp</t>
  </si>
  <si>
    <t>Pappaya (raw)- boil &amp; mash</t>
  </si>
  <si>
    <t>khava</t>
  </si>
  <si>
    <t>milk</t>
  </si>
  <si>
    <t>Put Chaunk. Then add Doodhi followed by salt. Cook until almost cooked. Then add chopped Tomato,  black pepper powder and Mirchi Powder. Cook until doodhi is fully cooked. Now add boiling water,shenghdana powder, Phutana Dal, Powder and sugar.  Cook for 10 mins more. Garnish with dhaniya patta and coconut.</t>
  </si>
  <si>
    <t>Green chilli - fine chopping</t>
  </si>
  <si>
    <t>Kheersagar_HG DHP</t>
  </si>
  <si>
    <t xml:space="preserve">Chenna- after breaking </t>
  </si>
  <si>
    <t xml:space="preserve">Doodhi, 1 cm cube  </t>
  </si>
  <si>
    <t>Add to above and cook until doodhi is properly cooked</t>
  </si>
  <si>
    <t>Beans gajar Poriyal_Dry</t>
  </si>
  <si>
    <t xml:space="preserve">Condense milk to mentioned volume </t>
  </si>
  <si>
    <t>Milk, Condensed volume</t>
  </si>
  <si>
    <t>Shendhdana Powder, fine</t>
  </si>
  <si>
    <t>Add to above and boil for 10 mins.</t>
  </si>
  <si>
    <t>boil milk &amp; Make fresh chenna</t>
  </si>
  <si>
    <t>Phutana Dal, Powder</t>
  </si>
  <si>
    <t>Fresh Chenna</t>
  </si>
  <si>
    <t xml:space="preserve">Kaju kani </t>
  </si>
  <si>
    <t>Gajar, cube cut</t>
  </si>
  <si>
    <t>Grind to paste using the boiling milk</t>
  </si>
  <si>
    <t xml:space="preserve">Caramelise 
</t>
  </si>
  <si>
    <t>South Indian</t>
  </si>
  <si>
    <t>Add before keeping chenna</t>
  </si>
  <si>
    <t>ALT 1: Add in the same order to the chaunk one by one. Add the veg only when previous veg is cooked
ALT 2: We can separately boil carrot and green peas, and add them after Alues are added.</t>
  </si>
  <si>
    <t xml:space="preserve">Alu Baingan with CT gravy </t>
  </si>
  <si>
    <t>Green Peas, parboil separately</t>
  </si>
  <si>
    <t>Alu, peel,1" cube, boil &amp; mash</t>
  </si>
  <si>
    <t>Alu - subji cutting</t>
  </si>
  <si>
    <t>Baingan - subji cutting</t>
  </si>
  <si>
    <t>rai</t>
  </si>
  <si>
    <t>Heat oil. Put chaunk. Then add the carrot. When carrot is tender, add capsicum. When capsicum is little soft add the green peas. When peas are soft add the chopped Tomato. Mix for few mins then add the boiling water ( saved from the boiling of Alues) and salt. Then add the mashed Alues and mix vigorously else it will form lumps. Also add Dhaniya patta &amp; Lemon juice when the gravy has become smooth.</t>
  </si>
  <si>
    <t>kadipatta</t>
  </si>
  <si>
    <t xml:space="preserve">green chiil </t>
  </si>
  <si>
    <t>Millet mung dal Payasam_MM</t>
  </si>
  <si>
    <t>Tamato chopped</t>
  </si>
  <si>
    <t>dhaniya powder</t>
  </si>
  <si>
    <t>Mung dal, soak for 2hrs</t>
  </si>
  <si>
    <t>Once milk cones to boiling point, add dal and millet together.</t>
  </si>
  <si>
    <t>Ginger -akkha</t>
  </si>
  <si>
    <t>Barnyard Millet, soak over 6hrs</t>
  </si>
  <si>
    <t>Kismis, soak in water after frying</t>
  </si>
  <si>
    <t>Hot Water (saved from boiling Alues)</t>
  </si>
  <si>
    <t>Elachi Power, add at end</t>
  </si>
  <si>
    <t>Add just before offering bhoga</t>
  </si>
  <si>
    <t>Kaju, powder, add while cooking</t>
  </si>
  <si>
    <t>Add to the milk once dal gets cooked nicely</t>
  </si>
  <si>
    <t>Badam, Powder, add while cooking</t>
  </si>
  <si>
    <t>Kaccha Pappaya</t>
  </si>
  <si>
    <t>Wet coconut grated, add while cooking</t>
  </si>
  <si>
    <t>Khawa(Optional)</t>
  </si>
  <si>
    <t>add on top once flame is put off</t>
  </si>
  <si>
    <t>Jaggary</t>
  </si>
  <si>
    <t xml:space="preserve">Dum Aloo_new </t>
  </si>
  <si>
    <t>ALT 1:Peel &amp; boil  along with salt  &amp; haldi until cooked but slightly firm. Then drain the water.
ALT 2: If we are using the baby Alues, we can parboil, drain and fry them or directly fry them. This way the sabji is tastier, however it becomes very heavy and oily. NOTE: If we are directly frying then we have to add 9 gm / 1liter sabji more salt in the gravy.</t>
  </si>
  <si>
    <t>Water for melting gudu</t>
  </si>
  <si>
    <t>Baby Alu, peel &amp; Boil</t>
  </si>
  <si>
    <t>Chole Rajma Panner Masala Sabji_bc</t>
  </si>
  <si>
    <t>Chole Rajma Masala Panner Sabji_RASA</t>
  </si>
  <si>
    <t>Panner</t>
  </si>
  <si>
    <t>Alu, peeled, 1.5" cubes &amp; Boil</t>
  </si>
  <si>
    <t>2019 RVC annuarsary</t>
  </si>
  <si>
    <t>in Ghee</t>
  </si>
  <si>
    <t>Yield, Large Size</t>
  </si>
  <si>
    <t>Small, Size, sample calculation</t>
  </si>
  <si>
    <t>6Rs per pcs</t>
  </si>
  <si>
    <t>Yield, Medium Size</t>
  </si>
  <si>
    <t>Heat oil put tadka in same order upto Green Chilli. Roast until ginger is crisp and brown. Then add hing followed by  the below paste roast until oil separates.</t>
  </si>
  <si>
    <t>Medium size,  sample calculation</t>
  </si>
  <si>
    <t>in Oil</t>
  </si>
  <si>
    <t>7Rs per pcs</t>
  </si>
  <si>
    <t>Yield, Small Size with rabadi</t>
  </si>
  <si>
    <t>Small, Size,  sample calculation</t>
  </si>
  <si>
    <t>1kg maida, 2kg sugar, 1kg ghee</t>
  </si>
  <si>
    <t xml:space="preserve">180pcs </t>
  </si>
  <si>
    <t>3Kg by weight</t>
  </si>
  <si>
    <t>3Rs per pcs</t>
  </si>
  <si>
    <t>8Rs per pcs</t>
  </si>
  <si>
    <t>Maida flour</t>
  </si>
  <si>
    <r>
      <rPr>
        <rFont val="Calibri"/>
        <b/>
        <color theme="1"/>
        <sz val="11.0"/>
      </rPr>
      <t>Procedure:</t>
    </r>
    <r>
      <rPr>
        <rFont val="Calibri"/>
        <color theme="1"/>
        <sz val="11.0"/>
      </rPr>
      <t xml:space="preserve"> 1. make batter one day before,
2. How to mix batter: take big vessel, add warm water, then color , then old batter and little by little kept on adding maida and mix throughly adding warm water,
3. keep batter in warm place,
4.  do setup as table given, and make the batter ready as per cooks consistency
5. best to serve hot to relish prasadam
</t>
    </r>
  </si>
  <si>
    <t>150pcs</t>
  </si>
  <si>
    <t>4Rs per pcs</t>
  </si>
  <si>
    <t>Old Maida for formentation</t>
  </si>
  <si>
    <t>120pcs</t>
  </si>
  <si>
    <t>5Rs per pcs</t>
  </si>
  <si>
    <t>Water(approx.) use warm water</t>
  </si>
  <si>
    <t>Kashmiri Mirchi (w/o cream)</t>
  </si>
  <si>
    <r>
      <rPr>
        <rFont val="Calibri"/>
        <b/>
        <color theme="1"/>
        <sz val="10.0"/>
        <u/>
      </rPr>
      <t>Volunteers needed for 10000 pcs:</t>
    </r>
    <r>
      <rPr>
        <rFont val="Calibri"/>
        <color theme="1"/>
        <sz val="11.0"/>
      </rPr>
      <t xml:space="preserve">
a. 4 people for frying jilebi</t>
    </r>
    <r>
      <rPr>
        <rFont val="Calibri"/>
        <b/>
        <color theme="1"/>
        <sz val="11.0"/>
      </rPr>
      <t>(Experts)</t>
    </r>
    <r>
      <rPr>
        <rFont val="Calibri"/>
        <color theme="1"/>
        <sz val="11.0"/>
      </rPr>
      <t>,
b. 2 people for dipping jilebi in syrup</t>
    </r>
    <r>
      <rPr>
        <rFont val="Calibri"/>
        <b/>
        <color theme="1"/>
        <sz val="11.0"/>
      </rPr>
      <t>(any one is OK)</t>
    </r>
    <r>
      <rPr>
        <rFont val="Calibri"/>
        <color theme="1"/>
        <sz val="11.0"/>
      </rPr>
      <t>,
c. 1 for making syrup and backup and oversee flow</t>
    </r>
    <r>
      <rPr>
        <rFont val="Calibri"/>
        <b/>
        <color theme="1"/>
        <sz val="11.0"/>
      </rPr>
      <t>(Leading Cooking)</t>
    </r>
    <r>
      <rPr>
        <rFont val="Calibri"/>
        <color theme="1"/>
        <sz val="11.0"/>
      </rPr>
      <t xml:space="preserve">,
d. 2 people for Filling in tray
</t>
    </r>
  </si>
  <si>
    <t>Preplanning Item for 10000 pcs: (Setup)</t>
  </si>
  <si>
    <r>
      <rPr>
        <rFont val="Calibri"/>
        <b/>
        <color theme="1"/>
        <sz val="11.0"/>
      </rPr>
      <t xml:space="preserve">Masala Paste
</t>
    </r>
    <r>
      <rPr>
        <rFont val="Calibri"/>
        <b val="0"/>
        <color theme="1"/>
        <sz val="8.0"/>
      </rPr>
      <t>Soak together for about 1-2 hr. Drain and preserve the water. Use it for grinding if reqd or add to the tomato puree.Grind to a fine paste.
Add to the above tadka, cook until oil separates out.</t>
    </r>
  </si>
  <si>
    <t>Kesari color, in batter</t>
  </si>
  <si>
    <t>a. 5 cigadies (4jilebi + 1chasney)</t>
  </si>
  <si>
    <t>Ghee for frying, keep oil heat while putting</t>
  </si>
  <si>
    <t>Kashmiri Mirchi(with cream)</t>
  </si>
  <si>
    <t>b. 1 Big kadai, for main chasney</t>
  </si>
  <si>
    <t>c. 2 medium size kadai for soaking jilebi in chasney</t>
  </si>
  <si>
    <t>Water(approx.) for making syrup</t>
  </si>
  <si>
    <t>d. 8 jilebi kapada, 1set for backup</t>
  </si>
  <si>
    <t>Kesari color, in Syrup</t>
  </si>
  <si>
    <t>e. 4bowl for keeping jilebi kapada</t>
  </si>
  <si>
    <t>f. 4 loha chimpta(Loha big size)</t>
  </si>
  <si>
    <t>g. 2 Jara for dipping jilebi in syrup</t>
  </si>
  <si>
    <t>h. Trays for storing jilebi, use govindas laddu tray</t>
  </si>
  <si>
    <t>Sevai Kheer_MCP</t>
  </si>
  <si>
    <t>Add haldi to above followe dby toatato puree. Boil until oil starts surfacing. Then add the Kasuri Methi. Boil for 5 mins.</t>
  </si>
  <si>
    <r>
      <rPr>
        <rFont val="Calibri"/>
        <b/>
        <color theme="1"/>
        <sz val="11.0"/>
      </rPr>
      <t>Powder Masala</t>
    </r>
    <r>
      <rPr>
        <rFont val="Calibri"/>
        <color theme="1"/>
        <sz val="8.0"/>
      </rPr>
      <t xml:space="preserve">
Add to the above gravy and boil for 5-10 mins. Then add the boiled/fried aloo. Boil for about 10 mins.</t>
    </r>
  </si>
  <si>
    <t>Add garam Masala to the cooked sabji. Cook for 5 more mins. Finally mix in cream (if using) and Dhaniya patta.</t>
  </si>
  <si>
    <t>Note: Consistancy  was good, Rose Flavour is perfect match</t>
  </si>
  <si>
    <t>Cream, Amul* (optional)</t>
  </si>
  <si>
    <t>* For every liter of cream used reduce tomato by 1 kg and increase kashmiri mirch by 20 gm.</t>
  </si>
  <si>
    <t>Radhastami 2018</t>
  </si>
  <si>
    <t>Condense to 1/2</t>
  </si>
  <si>
    <t>Not edited</t>
  </si>
  <si>
    <t>Kesar (saffron)</t>
  </si>
  <si>
    <t>Cauliflower (Weigh after Cutting)</t>
  </si>
  <si>
    <t xml:space="preserve">Add all powders paste </t>
  </si>
  <si>
    <t>In little ghee @10ml kindly dry roast charoli &amp; badam</t>
  </si>
  <si>
    <t>put sugar at the end</t>
  </si>
  <si>
    <t>Lemon yellow colour</t>
  </si>
  <si>
    <t>add at last</t>
  </si>
  <si>
    <t>Jowari Shakkar Pongal_skkd</t>
  </si>
  <si>
    <t>Roast Mung dal in ghee until reddish. Then add to boiling water with salt. When dal is partially cooked add jowar to it and cook until rice is cooked and the mixture is very thick.</t>
  </si>
  <si>
    <t>Jowar (motta daliya)</t>
  </si>
  <si>
    <t>ISKCON Mix Veg: Wet (W/O Culiflower)</t>
  </si>
  <si>
    <r>
      <rPr>
        <rFont val="Calibri"/>
        <b/>
        <color theme="1"/>
        <sz val="10.0"/>
      </rPr>
      <t>ALT 1:</t>
    </r>
    <r>
      <rPr>
        <rFont val="Calibri"/>
        <b/>
        <color theme="1"/>
        <sz val="8.0"/>
      </rPr>
      <t xml:space="preserve"> </t>
    </r>
    <r>
      <rPr>
        <rFont val="Calibri"/>
        <color theme="1"/>
        <sz val="8.0"/>
      </rPr>
      <t xml:space="preserve">Heat  the oil/ghee. Add Beans followed by carrot and then alu. Keep Stirring then add Flower and capsicum Keep stirring. Then add the cabbage and green peas. Meanwhile keep adding the salt. Cook until all vegs are well cooked.
</t>
    </r>
    <r>
      <rPr>
        <rFont val="Calibri"/>
        <b/>
        <color theme="1"/>
        <sz val="10.0"/>
      </rPr>
      <t>ALT 2</t>
    </r>
    <r>
      <rPr>
        <rFont val="Calibri"/>
        <b/>
        <color theme="1"/>
        <sz val="8.0"/>
      </rPr>
      <t xml:space="preserve">: </t>
    </r>
    <r>
      <rPr>
        <rFont val="Calibri"/>
        <color theme="1"/>
        <sz val="8.0"/>
      </rPr>
      <t xml:space="preserve">Separately boil/steam all vegs. Don’t put any oil/ghee instead put half of this ghee/oil in that of gravy. Put all this salt in the gravy.
</t>
    </r>
    <r>
      <rPr>
        <rFont val="Calibri"/>
        <b/>
        <color theme="1"/>
        <sz val="11.0"/>
      </rPr>
      <t>Alt 3:</t>
    </r>
    <r>
      <rPr>
        <rFont val="Calibri"/>
        <color theme="1"/>
        <sz val="8.0"/>
      </rPr>
      <t xml:space="preserve"> We can parboil vegetables like carrot, beans, green peas and flower. Then in the oil we put capsicum and cabbage then one by one the aparboiled vegetables. </t>
    </r>
  </si>
  <si>
    <t>Corn Hawla</t>
  </si>
  <si>
    <t>Corn kernels-kaccha</t>
  </si>
  <si>
    <t>Pulverise/ chop Corn, then in ghee roast it, after it cooks add sugar then roast it for some time at the end add butter scotch essence</t>
  </si>
  <si>
    <t>Haet oil/ghee put rai and hng. Add the paste below cook until oil separtes. The add Haldi and Tomato puree. Cook until oil surfaces. Then add the masala's below.</t>
  </si>
  <si>
    <t>Butter Scotch essence</t>
  </si>
  <si>
    <t>Saok Kashmiri mirch &amp; MAGAJ FOR 2 HRS. then paste it with Green Chilli and Ginger.</t>
  </si>
  <si>
    <t>Beetroot Halva eco_skkd</t>
  </si>
  <si>
    <t>magaj</t>
  </si>
  <si>
    <t>Beetroot, grated (use motta blade)</t>
  </si>
  <si>
    <t>Add to above and cook until oil surfaces.</t>
  </si>
  <si>
    <t>Kasuri Methi, roasted lightly</t>
  </si>
  <si>
    <t>Add to the above gravy and boil for about 10 mins. Then add the cooked vegetables in it. Add garam masala and cook for 5-10 mins more. Finally add the Dhaniya Patta and Butter(if using)</t>
  </si>
  <si>
    <t>Add garam Masala to the cooked sabji. Cook for 5 more mins. Finally mix in Dhaniya patta &amp; Butter (if using)</t>
  </si>
  <si>
    <t>Fruit Custard_with Custard Powder</t>
  </si>
  <si>
    <r>
      <rPr>
        <rFont val="Calibri"/>
        <b/>
        <color theme="1"/>
        <sz val="14.0"/>
      </rPr>
      <t xml:space="preserve">NOTE: </t>
    </r>
    <r>
      <rPr>
        <rFont val="Calibri"/>
        <color theme="1"/>
        <sz val="14.0"/>
      </rPr>
      <t>The combiation of Sabji can change as per availability of veg and budget.</t>
    </r>
  </si>
  <si>
    <t>Custard Powder</t>
  </si>
  <si>
    <t>Boil milk. Mix custard powder in cold milk. Add this custard- milk mixture in the milk while continuously stirring. Boil until smooth, cooked and thick. Add sugar Color and Flavor. Fry the dry fruits and add. Add the choopped frutis and tutti Fruity.
CHILL</t>
  </si>
  <si>
    <t>Tooti Fruity</t>
  </si>
  <si>
    <t>Heat ghee and fry the kaju and then kismis at low flame.</t>
  </si>
  <si>
    <t>Chole, soak &gt; 6 hr</t>
  </si>
  <si>
    <t>Boil together until tender. Don’t discard the boiling water. If boiling in boiler, add  the salt to the gravy</t>
  </si>
  <si>
    <t>Custard with magno slices</t>
  </si>
  <si>
    <t xml:space="preserve">Butter </t>
  </si>
  <si>
    <t>Melt butter at low flame. Then heat it. Then add the other items.of tadka. Finally add the tomato puree and cook until thick and well done.
Then add the Powder masala, cook for 10 mins. Add cooked chole, mix, bring to aboil. Add the palak, boil for 10 mins. Then add parsley and basil. Boil.</t>
  </si>
  <si>
    <t>Custard With Custard Powder</t>
  </si>
  <si>
    <t>Custard with magno slices_Piyush pr's mother</t>
  </si>
  <si>
    <t>Kashmiri Mirchi, soak &amp; Paste</t>
  </si>
  <si>
    <t>Tomato, boil,drain &amp; puree</t>
  </si>
  <si>
    <t>Note: 1L Mango pulp=7 or 8 mangos, or 1.8kg mango</t>
  </si>
  <si>
    <r>
      <rPr>
        <rFont val="Calibri"/>
        <b/>
        <color theme="1"/>
        <sz val="8.0"/>
      </rPr>
      <t>Powder masala.</t>
    </r>
    <r>
      <rPr>
        <rFont val="Calibri"/>
        <color theme="1"/>
        <sz val="8.0"/>
      </rPr>
      <t xml:space="preserve">
Add to the above and cook for 10 mins. Then add the cooked chole along with the water. </t>
    </r>
  </si>
  <si>
    <t>Mangos, required for pulp</t>
  </si>
  <si>
    <t>Badam choping</t>
  </si>
  <si>
    <t>Rosemary, dry crushed</t>
  </si>
  <si>
    <t>Mangos, required for slices</t>
  </si>
  <si>
    <t>Oregano, dry</t>
  </si>
  <si>
    <t>Basil Leaves, chopped</t>
  </si>
  <si>
    <t>discard thick stem. 40% wastage</t>
  </si>
  <si>
    <t>Basil, Reqd (approx)</t>
  </si>
  <si>
    <t>Butter/Olive Oil</t>
  </si>
  <si>
    <t>Kg/L</t>
  </si>
  <si>
    <t>Add  at last and mix</t>
  </si>
  <si>
    <t xml:space="preserve"> Sheetaphal  Rabdi</t>
  </si>
  <si>
    <t>Shettaphal Pulp (by weight)</t>
  </si>
  <si>
    <t>Extract the pulp, remove the seeds</t>
  </si>
  <si>
    <t>Shettaphal Pulp(by Volume)</t>
  </si>
  <si>
    <t>Sheetaphal Reqd (approx)</t>
  </si>
  <si>
    <t xml:space="preserve">Boil the milk add sugar. Condense the milk to target condensed volume,( it should become medium condensed milk not a very thick rabdi). CHILL </t>
  </si>
  <si>
    <t>Tomato, boi,drain &amp; puree</t>
  </si>
  <si>
    <t>Finally mix both Sheetaphal  pulp and rabdi along with elaichi pdr</t>
  </si>
  <si>
    <r>
      <rPr>
        <rFont val="Calibri"/>
        <b/>
        <color theme="1"/>
        <sz val="8.0"/>
      </rPr>
      <t>Powder masala.</t>
    </r>
    <r>
      <rPr>
        <rFont val="Calibri"/>
        <color theme="1"/>
        <sz val="8.0"/>
      </rPr>
      <t xml:space="preserve">
Add to the above and cook for 10 mins. Then add the cooked chole along with the water. </t>
    </r>
  </si>
  <si>
    <t>Pulav Masala, Everest</t>
  </si>
  <si>
    <t>Palak, chopped</t>
  </si>
  <si>
    <t>Add to the above and boil for 10 mins</t>
  </si>
  <si>
    <t>Parsley leaves only</t>
  </si>
  <si>
    <t>Per Ltr Cost</t>
  </si>
  <si>
    <t>discard stems. 60% wastage</t>
  </si>
  <si>
    <t>Serving Size (Ltr)</t>
  </si>
  <si>
    <t>Parsley reqd (approx)</t>
  </si>
  <si>
    <t>Lauki Kofta _Ajcp</t>
  </si>
  <si>
    <t xml:space="preserve">Gravy Yeild </t>
  </si>
  <si>
    <t>Boil together and make a fine Puree</t>
  </si>
  <si>
    <t>Add all in sequence and at last add cream</t>
  </si>
  <si>
    <t>Tomoto Km Gravy</t>
  </si>
  <si>
    <t>Ratalu Kheer</t>
  </si>
  <si>
    <t>Kofta Balls</t>
  </si>
  <si>
    <t>Ghee (For Roasting ratalu</t>
  </si>
  <si>
    <t>Ratalu, 4 mm pulao cut (cut wt)</t>
  </si>
  <si>
    <t>Grate doodhi and add salt to it &amp; keep it for 2hrs</t>
  </si>
  <si>
    <t>Ratalu Reqd (approx)</t>
  </si>
  <si>
    <t>After removing water from lauki add all these ingredients&amp; mix all nicely</t>
  </si>
  <si>
    <t>Or Finely Cut Badam</t>
  </si>
  <si>
    <t>Butter Halva with tooty fruiy</t>
  </si>
  <si>
    <t>General Consumption per devotee:
Kofta Gravy-180ml
Kofta Balls -5 Each</t>
  </si>
  <si>
    <t>Mix all these items together (except Rava). Alow to stand for 30 mins. Then squeeze out excess water liquid. Now mix the rava in the this vegetable mixture and allow it to absorb liquid for 15-20 mins. Then mix in the powder masala. Then mix the mashed alu. Finally mix in the  besan as reqd to make semi soft dough. Make balls of desired size and fry them in oil at low flame.</t>
  </si>
  <si>
    <t>Cabbage, Shredded fine</t>
  </si>
  <si>
    <t>Tooty Fruit</t>
  </si>
  <si>
    <r>
      <rPr>
        <rFont val="Calibri"/>
        <b/>
        <color theme="1"/>
        <sz val="9.0"/>
      </rPr>
      <t xml:space="preserve">Powder Masala's
</t>
    </r>
    <r>
      <rPr>
        <rFont val="Calibri"/>
        <b val="0"/>
        <color theme="1"/>
        <sz val="9.0"/>
      </rPr>
      <t>Mix all together. Shift through a seive to mix nicely and break lumps (if any)
Add to the above mixture. Mix thouroughly</t>
    </r>
  </si>
  <si>
    <t>Alu, boil, peel &amp; mash</t>
  </si>
  <si>
    <t>Mash nicely and mix in the above mixture.</t>
  </si>
  <si>
    <r>
      <rPr>
        <rFont val="Calibri"/>
        <color theme="1"/>
        <sz val="11.0"/>
      </rPr>
      <t>Green Peas</t>
    </r>
    <r>
      <rPr>
        <rFont val="Calibri"/>
        <color theme="1"/>
        <sz val="8.0"/>
      </rPr>
      <t>, boil, drain &amp; mash</t>
    </r>
  </si>
  <si>
    <t>Mix together by shifting through a seive. Add to the above mixture and mix nicely.</t>
  </si>
  <si>
    <t>Total Kofta Balls (approx)</t>
  </si>
  <si>
    <t>Kofta's</t>
  </si>
  <si>
    <t>Gravy Volume</t>
  </si>
  <si>
    <t>Masala Paste
Soak together(except ginger &amp; Green Chilles)  for about 1-2 hr. Drain and preserve the water. Use it for grinding if reqd or add to the tomato puree.Grind to a fine paste along with ginger and Green Chilli using no water or very little water.</t>
  </si>
  <si>
    <t>Varai, Roasted</t>
  </si>
  <si>
    <r>
      <rPr>
        <rFont val="Calibri"/>
        <b/>
        <color theme="1"/>
        <sz val="11.0"/>
      </rPr>
      <t>Powder Masala</t>
    </r>
    <r>
      <rPr>
        <rFont val="Calibri"/>
        <color theme="1"/>
        <sz val="8.0"/>
      </rPr>
      <t xml:space="preserve">
Add to the above gravy and boil for 5-10 mins. Then add the boiled/fried aloo. Boil for abot 10 mins.</t>
    </r>
  </si>
  <si>
    <t>Add to above and bring to a boil.</t>
  </si>
  <si>
    <t>Cream, Amul (optional)</t>
  </si>
  <si>
    <t>Matar Paneer ___S</t>
  </si>
  <si>
    <t>Mater Panner_TLP</t>
  </si>
  <si>
    <t>FHC</t>
  </si>
  <si>
    <t>Not yet edited</t>
  </si>
  <si>
    <t>Heat oil/ghee. Put the akha garam masala. Then add the green chilli  and Ginger, Grated. Cook until the water is almost evaporated. Add hing and
 haldi ( avoid if we want a light colored gravy) . 
Immediately add the paste below. Cook until oil separate. Then add Tomato puree.  Cook until oil starts surfacing.
 Then add the pulao masala, Kasuri Methi, salt and sugar. Boil for another 10 mins. 
Put paneer and boil for another 1o mins.
Finally add the Garam masala, cream and grated Khava. Bring to a boil.
Finally add the Dhaniya Patta and Butter. Put off the flame.</t>
  </si>
  <si>
    <t>Dalchini, small pieces</t>
  </si>
  <si>
    <t>Tamato, Pure</t>
  </si>
  <si>
    <t>Majag</t>
  </si>
  <si>
    <t>Dal chini</t>
  </si>
  <si>
    <t>100ml cup</t>
  </si>
  <si>
    <t>Pepper</t>
  </si>
  <si>
    <t xml:space="preserve"> Peel Turai (250 gm) completely with peeler</t>
  </si>
  <si>
    <t>Green Eilachi</t>
  </si>
  <si>
    <t>Procedure:</t>
  </si>
  <si>
    <t>a) Heat Oil (mustard)</t>
  </si>
  <si>
    <t>Ginger, paste</t>
  </si>
  <si>
    <t>b) Add kalonji, tejpatta &amp; posta-chilli paste (use ragada to grind),</t>
  </si>
  <si>
    <t>c) In a separate vessel add salt and haldi to Turai, heat &amp; evaporate/ remove excess water.</t>
  </si>
  <si>
    <t>Soak kaju, magaj, khus &amp; kismis fo 2-3 hrs and grind to a fine paste along with other ingredients.
NOTE: If we want reddish gravy then use kashmiri mirch and
 if we want light yellowish red gravy then instead add Green Chilli.</t>
  </si>
  <si>
    <t>Aoked this cooked turia to above chaunce.</t>
  </si>
  <si>
    <t>Medgi mirchi, Tukada</t>
  </si>
  <si>
    <t>d) Add remaining salt &amp; sugar.</t>
  </si>
  <si>
    <t>Kismis(optional)</t>
  </si>
  <si>
    <t>e) Add ginger (grated).</t>
  </si>
  <si>
    <t>f) Cover and simmer (tight lid): Keep stirring in between</t>
  </si>
  <si>
    <t>Garam Masal</t>
  </si>
  <si>
    <t xml:space="preserve">g) After Turai is getting almost cooked, add </t>
  </si>
  <si>
    <t>Kashmiri Mirchi (Soak)</t>
  </si>
  <si>
    <t>h) Stir in the centre, and cook it, till all the water gets dried off.</t>
  </si>
  <si>
    <r>
      <rPr>
        <rFont val="Calibri"/>
        <b/>
        <color theme="1"/>
        <sz val="8.0"/>
      </rPr>
      <t>Tomato Puree</t>
    </r>
    <r>
      <rPr>
        <rFont val="Calibri"/>
        <color theme="1"/>
        <sz val="8.0"/>
      </rPr>
      <t xml:space="preserve">
Boil/steam the tomato and puree with the other ingredients.</t>
    </r>
  </si>
  <si>
    <t>i) READY TO SERVE</t>
  </si>
  <si>
    <t>Pulao masala, Everest</t>
  </si>
  <si>
    <t xml:space="preserve">Add to the boiling puree and Boil for another 10 mins. </t>
  </si>
  <si>
    <t>Add To Above. Boil for 10 mins</t>
  </si>
  <si>
    <t>Paneer (diced to 1" cubes)</t>
  </si>
  <si>
    <t>.</t>
  </si>
  <si>
    <t>Put off flame and add</t>
  </si>
  <si>
    <t>Heat ghee &amp; roast at high temp until all water is evaporated + 5 mins more</t>
  </si>
  <si>
    <t>Methi, chopped</t>
  </si>
  <si>
    <t>Bundles</t>
  </si>
  <si>
    <t>Green Peas, parboil</t>
  </si>
  <si>
    <t>Parboil with min water.</t>
  </si>
  <si>
    <t>Paneer, 1" cube</t>
  </si>
  <si>
    <t>Boil together, cool and pulverize to fine paste.</t>
  </si>
  <si>
    <t>Make Phirni.</t>
  </si>
  <si>
    <t>khava, grated</t>
  </si>
  <si>
    <t>Heat ghee add Akkha garam masala, jeera, ginger and hadi. Immediately put the paste below. Cook while constantly stirring. When ghee starts leaving sides add the boiled peas with water. Then add the garam masala, khava, sugar and cream. Add Roasted Methi, salt. Finally stir in the butter</t>
  </si>
  <si>
    <t>Akkha Garam Masala</t>
  </si>
  <si>
    <t>ginger</t>
  </si>
  <si>
    <t>Matki</t>
  </si>
  <si>
    <t>Salt for Boiling matki</t>
  </si>
  <si>
    <t>Watana White</t>
  </si>
  <si>
    <t>Watana Green</t>
  </si>
  <si>
    <t>spmv</t>
  </si>
  <si>
    <t>Misal Masala</t>
  </si>
  <si>
    <t xml:space="preserve">Beans, 1" long </t>
  </si>
  <si>
    <t xml:space="preserve">Panner </t>
  </si>
  <si>
    <t>Flower</t>
  </si>
  <si>
    <t>Alu, Cube Cutting</t>
  </si>
  <si>
    <t>……………………………………………….</t>
  </si>
  <si>
    <t>Cauliflower, medium size</t>
  </si>
  <si>
    <t>Green Chiilli Paste</t>
  </si>
  <si>
    <t>Kashmiri Mirch, soak</t>
  </si>
  <si>
    <t>Masala Elaichi, soak</t>
  </si>
  <si>
    <t>Green Elaichi, soak</t>
  </si>
  <si>
    <t>Coconut reqd (approx)</t>
  </si>
  <si>
    <r>
      <rPr>
        <rFont val="Calibri"/>
        <b/>
        <color theme="1"/>
        <sz val="11.0"/>
      </rPr>
      <t>Powder Masala's</t>
    </r>
    <r>
      <rPr>
        <rFont val="Calibri"/>
        <color theme="1"/>
        <sz val="8.0"/>
      </rPr>
      <t xml:space="preserve">
</t>
    </r>
  </si>
  <si>
    <t>Boil separately. And drain. Don’t over cook. The vegetables should be little firm.</t>
  </si>
  <si>
    <t>Paneer, cube</t>
  </si>
  <si>
    <t>Heat oil , put rai then the chilli &amp; Ginger, Grated. Roast nicely and then add the haldi, hing after that add the paste below. Cook until oil separates. After that add tomato puree boil until oil surfaces. Add  salt, sugar. Boil. Add theboiled vegetables. Boil for 5 - 10 mins. Finally add the other remaining items.</t>
  </si>
  <si>
    <t>Soak and grind to a fine paste</t>
  </si>
  <si>
    <t>Tomato, Steam &amp; puree</t>
  </si>
  <si>
    <t>Kasuri Methi, Roast &amp; crush</t>
  </si>
  <si>
    <t>Add to above. Boil. Then add the grated khava. Butter and cream.</t>
  </si>
  <si>
    <t>Mixed Veg In Kadhi Sauce ___S</t>
  </si>
  <si>
    <t>Carrot, 1" cobes</t>
  </si>
  <si>
    <t>Steam separately. Until tender. Don’t over cook. Should be little stiff to maintain its shape.</t>
  </si>
  <si>
    <t>Cauliflower, small florets</t>
  </si>
  <si>
    <t>Effective wt.</t>
  </si>
  <si>
    <t>Mix together into a smooth mixture. May use pulverizer.</t>
  </si>
  <si>
    <t>Put Tadka. Then add the above mixture. Boil for 10 mins. Then add the steamed / boiled vegs. Boil for another 5-10 mins. Mix dhaniya Patta and done.</t>
  </si>
  <si>
    <t>Cook all the vegetables seperatly
Flower &amp; Paneer, Deep Fry
Beans &amp; Gajar, Shallow Fry
Baby Corn, Boil &amp; Half fry</t>
  </si>
  <si>
    <t>Cauliflower, Deep Fry</t>
  </si>
  <si>
    <t>French Beans, Shallow Fry</t>
  </si>
  <si>
    <t>Baby Corn, Boil &amp; Half fry</t>
  </si>
  <si>
    <t>Gajar, Shallow Fry</t>
  </si>
  <si>
    <t>Paneer, Deep Fry</t>
  </si>
  <si>
    <t>chownk</t>
  </si>
  <si>
    <t>Tomato, Chopped Finely</t>
  </si>
  <si>
    <t xml:space="preserve">Soak and grind to a fine paste </t>
  </si>
  <si>
    <t>Boil Palak.
make fine paste of these items &amp; cook seperatly</t>
  </si>
  <si>
    <t>Khava(Optional)</t>
  </si>
  <si>
    <t>Butter(Optional)</t>
  </si>
  <si>
    <t xml:space="preserve"> Kerela </t>
  </si>
  <si>
    <t>Bhopla, 1.5" cubes</t>
  </si>
  <si>
    <t>Boil separately . Drain. Keep the water aside. May be added at last to get the desired consistency.</t>
  </si>
  <si>
    <t>Kohla, 1.5" cubes</t>
  </si>
  <si>
    <t>Cook separately  with the salt.</t>
  </si>
  <si>
    <t>Bhendi, cut 2" long</t>
  </si>
  <si>
    <r>
      <rPr>
        <rFont val="Calibri"/>
        <b/>
        <color theme="1"/>
        <sz val="8.0"/>
      </rPr>
      <t>Soak Rai &amp; rice together for &gt; 1 hr.</t>
    </r>
    <r>
      <rPr>
        <rFont val="Calibri"/>
        <color theme="1"/>
        <sz val="8.0"/>
      </rPr>
      <t xml:space="preserve">
First grind soaked rice and rai. Then mix to other ingredients and grind again to a fine paste.If required add some water for grinding.  Mix Kokam Juice to it.</t>
    </r>
  </si>
  <si>
    <t>Rai, Soak &gt; 1hr</t>
  </si>
  <si>
    <t>Rice, Soak &gt; 1hr</t>
  </si>
  <si>
    <t>Put chaunk then add the above paste in it.  Boil for  10 mins. Then add the cooked Bhendi, cook for another 5 mins. Then add the boiled kohla &amp; bhopla. Boil for 10 mins &amp; done. If required add the water kept aside from boiling of kohla/bhopla to get the desired consistency.</t>
  </si>
  <si>
    <r>
      <rPr>
        <rFont val="Calibri"/>
        <b/>
        <color theme="1"/>
        <sz val="11.0"/>
      </rPr>
      <t>NOTE:</t>
    </r>
    <r>
      <rPr>
        <rFont val="Calibri"/>
        <color theme="1"/>
        <sz val="11.0"/>
      </rPr>
      <t xml:space="preserve">
</t>
    </r>
    <r>
      <rPr>
        <rFont val="Calibri"/>
        <color theme="1"/>
        <sz val="10.0"/>
      </rPr>
      <t xml:space="preserve"> 1. Get big size kohla, with whitish layer on the skin.The unmature one have lot of wastage. So if you are using the unmature, small size kohla's then increase quantity by atleast 10%.
2. If we are steaming the vegetables, the volume reduction is more. Assume volume reduction of about 10 % then the estimated yield.
3. The consistency of the pachadi should be such that it has a viscuous gravy and the veg pieces should not get dissolved. Its not a dry sabji.</t>
    </r>
  </si>
  <si>
    <t>Panir Makhanwala</t>
  </si>
  <si>
    <t>Tomato, steam &amp; puree</t>
  </si>
  <si>
    <t>Add To Above</t>
  </si>
  <si>
    <t>Add To Above. Boil</t>
  </si>
  <si>
    <t>kaju ( Boil &amp; grind to fine paste)</t>
  </si>
  <si>
    <t>Add &amp; Boil</t>
  </si>
  <si>
    <t>Add towards the end. And boil for another 5 mins.</t>
  </si>
  <si>
    <t>Pav Bhaji Sabji _Hg.AGP`s Recipe</t>
  </si>
  <si>
    <t>lt</t>
  </si>
  <si>
    <t xml:space="preserve">Heat oil. Put  hing then beetroot let it get fried/roasted nicely cabbage &amp; capcicum. Roast for 5 mins. Add mirchi Paste. Cook until cabbage, capsicum softens.   </t>
  </si>
  <si>
    <t>Beetroot</t>
  </si>
  <si>
    <t>Cabbage, fine chopped</t>
  </si>
  <si>
    <t>Capsicum, chopped</t>
  </si>
  <si>
    <t>Kashmiri Mirchi soak &amp; Paste</t>
  </si>
  <si>
    <t>Tomato boiled &amp; puree</t>
  </si>
  <si>
    <t>Then add tomato puree to it. Cook until oil separates. Add other masalas, cook until oil seperates Then add the boiled vegs and water.</t>
  </si>
  <si>
    <t>Pavbhaji Masala</t>
  </si>
  <si>
    <t>Alu, peel &amp; over boil, mash</t>
  </si>
  <si>
    <t>Mash all the vegetables nicely. Add Alues and green peas to the cooked sabji. Then add hot water and boil.</t>
  </si>
  <si>
    <t>Green Peas, boil little more, mash</t>
  </si>
  <si>
    <t>Finally add to the sabji</t>
  </si>
  <si>
    <t>Heat Ghee. Put  hing then cabbage &amp; capcicum. Roast for 2 mins. Add mirchi Paste. Cook until cabbage, capsicum softens.   
Then add chopped Tomato to it. Cook until oil separates. Now add the powder masala's. Cook for about 2-3 mins. Then add the tomato puree. Boil for 10-15 mins.</t>
  </si>
  <si>
    <t>Cabbage,chopped 1 cm square</t>
  </si>
  <si>
    <t xml:space="preserve">Tomato, Boil &amp; Puree </t>
  </si>
  <si>
    <t>Cauliflower, grated &amp; parboil</t>
  </si>
  <si>
    <t>Add grated cauliflower and mashed green peas. Mix nicely, cook for  about 5 mins then add boiling water .Boil for 10 mins.Add the mashed Alues. Boil for 15 mins. Finally add the Butter and dhaniya Patta.</t>
  </si>
  <si>
    <t>Green Peas,overboil &amp; mash</t>
  </si>
  <si>
    <t>Hot water (approx)</t>
  </si>
  <si>
    <t>Alu, peel, overboil &amp; mash</t>
  </si>
  <si>
    <t xml:space="preserve">Dhaniya Patta, chopped </t>
  </si>
  <si>
    <t>RGM Rajma</t>
  </si>
  <si>
    <t>Rajma (soak Overnight)</t>
  </si>
  <si>
    <t>Effective Rajma Wt</t>
  </si>
  <si>
    <t>Salt for Rajma</t>
  </si>
  <si>
    <t>Heat oil put Lavang, jeera, ajwain and hing.Immediately add the paste of Ginger, Green chilli and Kashmiri Mirch. Cook until water is  evaporated. Add  haldifollowed by other powder masala's. Cook for 5-10 mins. Then add the gud. Cook for another 10 mins. Then add the tomato puree. cook until oil starts surfacing.. Add this puree to the cooked rajma and alu mixture.Also add the garam masala. Boil for 10-15 mins more.Finally add the lKokam juice /lemon juice and Dhaniya patta.</t>
  </si>
  <si>
    <t xml:space="preserve">Green chilli </t>
  </si>
  <si>
    <t>Kashmiri Mirchi, Soaked &gt; 1 hr</t>
  </si>
  <si>
    <t>Saunf Powder, coarse</t>
  </si>
  <si>
    <t>Chana Masala, Everest</t>
  </si>
  <si>
    <t>Add to above</t>
  </si>
  <si>
    <t>Tomato, Boil &amp;  puree</t>
  </si>
  <si>
    <t>Add &amp; boil for 10 mins</t>
  </si>
  <si>
    <t>S. Indian</t>
  </si>
  <si>
    <t>Suran, raw wt, (cut n boil)</t>
  </si>
  <si>
    <t xml:space="preserve">Salt for Suran boil </t>
  </si>
  <si>
    <t>Bhopla, raw wt, (peel, cut, Deep fry)</t>
  </si>
  <si>
    <t>PULVERISE 
TOGETHER</t>
  </si>
  <si>
    <t xml:space="preserve">Put chaunk and add above paste and cook until oil seperates. </t>
  </si>
  <si>
    <t>Usal  Maharastrian style_Thick</t>
  </si>
  <si>
    <t>kala chana</t>
  </si>
  <si>
    <r>
      <rPr>
        <rFont val="Calibri"/>
        <color theme="1"/>
        <sz val="8.0"/>
      </rPr>
      <t xml:space="preserve">You may vary  the proportion  according to taste.Soak day before yesterday,put in a sack day before. (Soak &amp; boil separately).
</t>
    </r>
    <r>
      <rPr>
        <rFont val="Calibri"/>
        <color rgb="FFFF0000"/>
        <sz val="8.0"/>
      </rPr>
      <t>If you are using sprouts then reduce the usal to 75%.</t>
    </r>
  </si>
  <si>
    <t xml:space="preserve">Vatana </t>
  </si>
  <si>
    <t>Salt For Boiling</t>
  </si>
  <si>
    <t>Put Tadka. Then Add cabbage, Cook for few mins. Then add the goda masala and shenghdan powder. Cook for few mins, then add the paste. Cook until oil separtaes. Add boiling water &amp; salt.Boil until oil comes to surface, add the green peas. Boil for 5-10 mins. add kokam/lemon juice and dhaniya patta</t>
  </si>
  <si>
    <t>Groundnut, raost, Skin and coarse Powder</t>
  </si>
  <si>
    <t>Fry  khopra slices, bedgi mirch, kashmiri mirch in the chaunk oil and use the same oil for chaunk. Grind  these to a Fine paste with ginger and groundnut</t>
  </si>
  <si>
    <t>Khopra, sliced, 3 mm chips cutting</t>
  </si>
  <si>
    <t>Adjust acc.to get the yield</t>
  </si>
  <si>
    <r>
      <rPr>
        <rFont val="Calibri"/>
        <b/>
        <color theme="1"/>
        <sz val="12.0"/>
      </rPr>
      <t>NOTE:</t>
    </r>
    <r>
      <rPr>
        <rFont val="Calibri"/>
        <color theme="1"/>
        <sz val="12.0"/>
      </rPr>
      <t xml:space="preserve"> 
1.  Time of cooking chana&gt; matki&gt;Chawli&gt;Vatana&gt; moong
2. If you are using sprouts reduce the quantity of pulses to 3/4th.
3. For sprouts, soak the pulses 2 days before. About 24 hrs soaking and 24 hrs for sprouting.
4. Note while soaking change water after 12 hrs, else it starts smelling. And before cooking matki wash it with hot water.</t>
    </r>
  </si>
  <si>
    <t>salt for boiling</t>
  </si>
  <si>
    <t>add all ingradients in sequennce</t>
  </si>
  <si>
    <t>mirchi powder</t>
  </si>
  <si>
    <t>Mix together with water as thick batter to consistency releasing pakoda balls</t>
  </si>
  <si>
    <t>Put half lal bhopla. Then arbi and ratalu. Then put haldi and salt.  Spread soaked kala chana on it. Pour the wet masala paste.Then put papdi, dodka and chauli senga on it. Then spread the sugar and remaining pumpkin on it. Put hot water from time to time. Until the sabji is completely cooked. During the later part of the cooking we may stir the sabji. And at the end put chaunk and dhaniya patta and mix.</t>
  </si>
  <si>
    <t>Cut Vol Ratio</t>
  </si>
  <si>
    <t xml:space="preserve">Arvi </t>
  </si>
  <si>
    <t xml:space="preserve">Papdi </t>
  </si>
  <si>
    <t xml:space="preserve">Lal Bhopla </t>
  </si>
  <si>
    <t xml:space="preserve">Chauli Senga </t>
  </si>
  <si>
    <t>Jangali karila</t>
  </si>
  <si>
    <t xml:space="preserve">Kala Chana, soak overnight </t>
  </si>
  <si>
    <r>
      <rPr>
        <rFont val="Calibri"/>
        <b/>
        <color theme="1"/>
        <sz val="8.0"/>
      </rPr>
      <t>Wet Masala</t>
    </r>
    <r>
      <rPr>
        <rFont val="Calibri"/>
        <color theme="1"/>
        <sz val="8.0"/>
      </rPr>
      <t xml:space="preserve">
Soaked all items except coconut and ginger for 1-2 hr. Grind all items to a  fine paste in Ragda (preferabley)</t>
    </r>
  </si>
  <si>
    <t>Ginger, grated</t>
  </si>
  <si>
    <t xml:space="preserve"> To be added at last</t>
  </si>
  <si>
    <t xml:space="preserve">Coconut, grated </t>
  </si>
  <si>
    <r>
      <rPr>
        <rFont val="Calibri"/>
        <b/>
        <color theme="1"/>
        <sz val="8.0"/>
      </rPr>
      <t>Chaunk.</t>
    </r>
    <r>
      <rPr>
        <rFont val="Calibri"/>
        <color theme="1"/>
        <sz val="8.0"/>
      </rPr>
      <t xml:space="preserve">
  Preferably panch phodan. But if not available then put rai and jeera instead.</t>
    </r>
  </si>
  <si>
    <t>Panch Phodan</t>
  </si>
  <si>
    <t>Serves</t>
  </si>
  <si>
    <t>Temple Devotees</t>
  </si>
  <si>
    <t>Brahmacharis</t>
  </si>
  <si>
    <t>Congregation</t>
  </si>
  <si>
    <t>Students</t>
  </si>
  <si>
    <t>Laste Edited on</t>
  </si>
  <si>
    <r>
      <rPr>
        <rFont val="Times New Roman"/>
        <b/>
        <color theme="1"/>
        <sz val="14.0"/>
      </rPr>
      <t xml:space="preserve">NOTE: </t>
    </r>
    <r>
      <rPr>
        <rFont val="Times New Roman"/>
        <color theme="1"/>
        <sz val="11.0"/>
      </rPr>
      <t>We can also use other vegs like padval, kantola, brinjal, etc.</t>
    </r>
  </si>
  <si>
    <t>Kaccha Kela Sabji_SKKP</t>
  </si>
  <si>
    <r>
      <rPr>
        <rFont val="Times New Roman"/>
        <color theme="1"/>
        <sz val="11.0"/>
      </rPr>
      <t>Yield,</t>
    </r>
    <r>
      <rPr>
        <rFont val="Times New Roman"/>
        <b/>
        <color rgb="FFFF0000"/>
        <sz val="11.0"/>
      </rPr>
      <t xml:space="preserve"> Make in Peethal Barthan</t>
    </r>
  </si>
  <si>
    <t>Kela, Boil with chilka&amp;sabji cut</t>
  </si>
  <si>
    <t>Alu, Sabji cut</t>
  </si>
  <si>
    <t>Bindi_semi wet_NSD</t>
  </si>
  <si>
    <r>
      <rPr>
        <rFont val="Calibri"/>
        <color theme="1"/>
        <sz val="11.0"/>
      </rPr>
      <t xml:space="preserve">Yield, </t>
    </r>
    <r>
      <rPr>
        <rFont val="Calibri"/>
        <b/>
        <color rgb="FFFF0000"/>
        <sz val="11.0"/>
      </rPr>
      <t>Make sabji in kadai</t>
    </r>
  </si>
  <si>
    <t>Bindi, Stir fry</t>
  </si>
  <si>
    <t>Add haldi, hing and salt while doing stir fry  both phnas and alu, taste will enhance</t>
  </si>
  <si>
    <t>Alu, Stir fry</t>
  </si>
  <si>
    <t>Greeen Chilli</t>
  </si>
  <si>
    <t>Boil and paste</t>
  </si>
  <si>
    <t>Bedgi Mirchi</t>
  </si>
  <si>
    <t>Jeera Powder masala</t>
  </si>
  <si>
    <t>Phanas_semi wet_NSD</t>
  </si>
  <si>
    <r>
      <rPr>
        <rFont val="Calibri"/>
        <color theme="1"/>
        <sz val="11.0"/>
      </rPr>
      <t xml:space="preserve">Yield, </t>
    </r>
    <r>
      <rPr>
        <rFont val="Calibri"/>
        <b/>
        <color rgb="FFFF0000"/>
        <sz val="11.0"/>
      </rPr>
      <t>Make sabji in kadai</t>
    </r>
  </si>
  <si>
    <t>Phanas, Stir fry</t>
  </si>
  <si>
    <t>Tomato, Pure</t>
  </si>
  <si>
    <t>Khass Khass</t>
  </si>
  <si>
    <t>Cabbge alu tamato semi wet_MKP</t>
  </si>
  <si>
    <t>Oil, for stir frying cabbge</t>
  </si>
  <si>
    <t>Cabbage, cube cutting,</t>
  </si>
  <si>
    <t>Salt for Cabbage</t>
  </si>
  <si>
    <t>stir fry cabbge and alu with given oil and keep side, put the chow as per below</t>
  </si>
  <si>
    <t>Oil, for stir frying Alu</t>
  </si>
  <si>
    <t xml:space="preserve">Alu- subji cutting, </t>
  </si>
  <si>
    <t>Oil, for Chowk</t>
  </si>
  <si>
    <t>Put chowk, see tamato gets cooked nicely till oil come out. Mix cooked sabji and add masalas on top.</t>
  </si>
  <si>
    <t>Mirchi</t>
  </si>
  <si>
    <t>Jeera power</t>
  </si>
  <si>
    <t>Sambar powder</t>
  </si>
  <si>
    <t>Gobi also can be added</t>
  </si>
  <si>
    <t>Alu, Long cut</t>
  </si>
  <si>
    <t>Do stir fry for all sabjis, and put it in chowk and when all sabjis are well cooked put gravy on TOP.</t>
  </si>
  <si>
    <t>Cabbage, Long Cut</t>
  </si>
  <si>
    <t>Gajar, 1' Long cut</t>
  </si>
  <si>
    <t>Capsicum, 1' long cut</t>
  </si>
  <si>
    <t>Brokolin, 1' Long Cut</t>
  </si>
  <si>
    <t>Baby Corn/Beans, Cross Cut</t>
  </si>
  <si>
    <t>Nicely cook the tamato in oil and make a paste</t>
  </si>
  <si>
    <t>leafs</t>
  </si>
  <si>
    <t>Akka Daniya</t>
  </si>
  <si>
    <t>Eilachi</t>
  </si>
  <si>
    <t>Majaj</t>
  </si>
  <si>
    <t>tamato, big Cut</t>
  </si>
  <si>
    <t>Palak Alu Mater_Baba_Edited</t>
  </si>
  <si>
    <t>mater</t>
  </si>
  <si>
    <t>patha</t>
  </si>
  <si>
    <t>Green chilli, 2slit</t>
  </si>
  <si>
    <t>Daniya powder</t>
  </si>
  <si>
    <t>Roasted Jeera power</t>
  </si>
  <si>
    <t>Till, roast, paste</t>
  </si>
  <si>
    <t>Groundnut, roasting Kut</t>
  </si>
  <si>
    <t>Fresh Matar semi wet_SKKP</t>
  </si>
  <si>
    <t>Put the chowk in the given order</t>
  </si>
  <si>
    <t>Boil the matar 60% seperately and then add tamato</t>
  </si>
  <si>
    <t>Till, Roast and fine powder</t>
  </si>
  <si>
    <t>Add masalas once matar cooked 90%</t>
  </si>
  <si>
    <t>Groundnut, Roast and fine powder</t>
  </si>
  <si>
    <t>Pallavi goda masala</t>
  </si>
  <si>
    <t>Add on it</t>
  </si>
  <si>
    <t>Pudina, (Optional)</t>
  </si>
  <si>
    <t xml:space="preserve"> Mix Veg Kolhapuri_skkd</t>
  </si>
  <si>
    <t>Boil the gajra&amp; Beans with less quantity of water toghter, add half of the salt while boiling, and remaining sabjis do strir frying with minimal oil seperately.</t>
  </si>
  <si>
    <t>French Beans, 1/2" long</t>
  </si>
  <si>
    <t>Babycorn-Slanted angle slices</t>
  </si>
  <si>
    <t>Paneer-.75 inch cube</t>
  </si>
  <si>
    <t>Add masala gravy, tamato gravy and veggies&amp;masalas</t>
  </si>
  <si>
    <t>Paste masala gravy and tamato gravy seperatly gravy</t>
  </si>
  <si>
    <t>Cooked veggies</t>
  </si>
  <si>
    <t>Kolhapuri chutney-pallavi`s</t>
  </si>
  <si>
    <t>Mawa (optional)</t>
  </si>
  <si>
    <t>Palak Panner Kofta_Prithvi</t>
  </si>
  <si>
    <t>Gravy Yeild</t>
  </si>
  <si>
    <t>Boil  all together and make a fine paste</t>
  </si>
  <si>
    <t>Kaju Tukuda</t>
  </si>
  <si>
    <t xml:space="preserve">Put the chownk in the sequence and add above paste to this chownk </t>
  </si>
  <si>
    <t>Jeera pOwder</t>
  </si>
  <si>
    <t>Red Chilli Powder</t>
  </si>
  <si>
    <t>Add at the last</t>
  </si>
  <si>
    <t>Grate the panner</t>
  </si>
  <si>
    <t>Boile and paste</t>
  </si>
  <si>
    <t xml:space="preserve">Palak </t>
  </si>
  <si>
    <t>Palak (Required)</t>
  </si>
  <si>
    <t>Mix grated panner, boiled alu,palk paste and besan along with all masalas and make the balls for frying</t>
  </si>
  <si>
    <t>Adrak Paste</t>
  </si>
  <si>
    <t>Alu Padval_ HG PKP</t>
  </si>
  <si>
    <t>Deep fry alu &amp; Padval seperatly</t>
  </si>
  <si>
    <t>Sunflower Oil for frying</t>
  </si>
  <si>
    <t>Boil together and refined Gravy</t>
  </si>
  <si>
    <t>Musturd Oil</t>
  </si>
  <si>
    <t>Chonk</t>
  </si>
  <si>
    <t>Cream(Optional)</t>
  </si>
  <si>
    <t>Flower alu rasawala_Hg.RAP</t>
  </si>
  <si>
    <t>Alu Cubes 1" size</t>
  </si>
  <si>
    <t>Chownk'</t>
  </si>
  <si>
    <t>Cabbage - subji cutting</t>
  </si>
  <si>
    <t>Tamatoes -subji cutting</t>
  </si>
  <si>
    <r>
      <rPr>
        <rFont val="Times New Roman"/>
        <color theme="1"/>
        <sz val="11.0"/>
      </rPr>
      <t>Mirchi Powder</t>
    </r>
    <r>
      <rPr>
        <rFont val="Times New Roman"/>
        <b/>
        <color theme="1"/>
        <sz val="11.0"/>
      </rPr>
      <t>(for LS 200gm)</t>
    </r>
  </si>
  <si>
    <t>Dhaniya powder</t>
  </si>
  <si>
    <r>
      <rPr>
        <rFont val="Times New Roman"/>
        <color theme="1"/>
        <sz val="11.0"/>
      </rPr>
      <t>Goda masala</t>
    </r>
    <r>
      <rPr>
        <rFont val="Times New Roman"/>
        <b/>
        <color theme="1"/>
        <sz val="11.0"/>
      </rPr>
      <t>(LS=150gm)</t>
    </r>
  </si>
  <si>
    <t>Patla Palak Subji</t>
  </si>
  <si>
    <t>Green chilli chopped</t>
  </si>
  <si>
    <t>Palak finely choped</t>
  </si>
  <si>
    <t>Add to chownk</t>
  </si>
  <si>
    <t>add besan after 5 mins avoiding lumps</t>
  </si>
  <si>
    <t xml:space="preserve">Ground nut </t>
  </si>
  <si>
    <t>Saoak ground nut &amp; chana dal for 8 hours, then pressure cook seperately along with salt &amp; add to palak after it is cooked completely</t>
  </si>
  <si>
    <t xml:space="preserve">chana dal </t>
  </si>
  <si>
    <t>Goda masala</t>
  </si>
  <si>
    <t>Add at the end &amp; bring it to boil</t>
  </si>
  <si>
    <t>Tamarind pulp</t>
  </si>
  <si>
    <t>Mix Veg Jaipuri_Prithvi</t>
  </si>
  <si>
    <t>Cabbage shreded</t>
  </si>
  <si>
    <t>Capsicum, chinese</t>
  </si>
  <si>
    <r>
      <rPr>
        <rFont val="Calibri"/>
        <b/>
        <color rgb="FFFF0000"/>
        <sz val="8.0"/>
        <u/>
      </rPr>
      <t>Chownk</t>
    </r>
    <r>
      <rPr>
        <rFont val="Calibri"/>
        <b/>
        <color rgb="FFFF0000"/>
        <sz val="8.0"/>
      </rPr>
      <t xml:space="preserve"> </t>
    </r>
    <r>
      <rPr>
        <rFont val="Calibri"/>
        <b/>
        <color theme="1"/>
        <sz val="8.0"/>
      </rPr>
      <t xml:space="preserve">: Oil, Green Chillies, Hing, haldi, paste &amp; tamoto then add all vegetables then remaining chownk items </t>
    </r>
  </si>
  <si>
    <t xml:space="preserve">Make a Fine Paste </t>
  </si>
  <si>
    <t>Tomoto</t>
  </si>
  <si>
    <t>Ltr</t>
  </si>
  <si>
    <t>Green chilli paste</t>
  </si>
  <si>
    <t>Channa dal</t>
  </si>
  <si>
    <t>Add above ingredients in sequence after dalls get fried nicely in oil</t>
  </si>
  <si>
    <t>carrot</t>
  </si>
  <si>
    <t>doodhi</t>
  </si>
  <si>
    <t>Water - Hot</t>
  </si>
  <si>
    <t>Add aft 15-20 mins</t>
  </si>
  <si>
    <t>Add after subji is cooked to half</t>
  </si>
  <si>
    <t>Sendha Salt</t>
  </si>
  <si>
    <t>Alu Matar/Corn_Saurabh Pr</t>
  </si>
  <si>
    <t>Capsicum  Wet _NSD</t>
  </si>
  <si>
    <t>Tomato, choopping</t>
  </si>
  <si>
    <t>Ground nut, powder</t>
  </si>
  <si>
    <t>Green Curry_RGM</t>
  </si>
  <si>
    <t>Lemon Grass (gross wt)</t>
  </si>
  <si>
    <t>Thai Ginger</t>
  </si>
  <si>
    <t>lemon leaves</t>
  </si>
  <si>
    <t>Green chilly</t>
  </si>
  <si>
    <t xml:space="preserve">Green Capsicum </t>
  </si>
  <si>
    <t>Hing/A</t>
  </si>
  <si>
    <t>Zucchini</t>
  </si>
  <si>
    <t>Wet Masala</t>
  </si>
  <si>
    <t>Maggie Coconut Milk Powder</t>
  </si>
  <si>
    <t>Magi soya Sauce</t>
  </si>
  <si>
    <t>red Capsicum</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</si>
</sst>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409]d\-mmm\-yy"/>
    <numFmt numFmtId="165" formatCode="[$-409]dd\-mmm\-yy"/>
    <numFmt numFmtId="166" formatCode="0.0"/>
    <numFmt numFmtId="167" formatCode="0.00;[Red]0.00"/>
    <numFmt numFmtId="168" formatCode="[$-F800]dddd\,\ mmmm\ dd\,\ yyyy"/>
    <numFmt numFmtId="169" formatCode="0.000"/>
    <numFmt numFmtId="170" formatCode="D/M/YYYY"/>
    <numFmt numFmtId="171" formatCode="0;[Red]0"/>
    <numFmt numFmtId="172" formatCode="0.0;[Red]0.0"/>
  </numFmts>
  <fonts count="163">
    <font>
      <sz val="11.0"/>
      <color rgb="FF000000"/>
      <name val="Arial"/>
      <scheme val="minor"/>
    </font>
    <font>
      <sz val="11.0"/>
      <color theme="1"/>
      <name val="Calibri"/>
    </font>
    <font>
      <b/>
      <sz val="12.0"/>
      <color theme="1"/>
      <name val="Times New Roman"/>
    </font>
    <font/>
    <font>
      <sz val="10.0"/>
      <color theme="1"/>
      <name val="Arial"/>
    </font>
    <font>
      <sz val="10.0"/>
      <color theme="1"/>
      <name val="Cambria"/>
    </font>
    <font>
      <b/>
      <sz val="14.0"/>
      <color theme="1"/>
      <name val="Calibri"/>
    </font>
    <font>
      <sz val="11.0"/>
      <color theme="1"/>
      <name val="Times New Roman"/>
    </font>
    <font>
      <b/>
      <sz val="11.0"/>
      <color theme="1"/>
      <name val="Times New Roman"/>
    </font>
    <font>
      <sz val="10.0"/>
      <color theme="1"/>
      <name val="Times New Roman"/>
    </font>
    <font>
      <b/>
      <sz val="10.0"/>
      <color theme="1"/>
      <name val="Arial"/>
    </font>
    <font>
      <sz val="8.0"/>
      <color theme="1"/>
      <name val="Calibri"/>
    </font>
    <font>
      <b/>
      <sz val="12.0"/>
      <color theme="1"/>
      <name val="Calibri"/>
    </font>
    <font>
      <sz val="11.0"/>
      <color rgb="FF000000"/>
      <name val="Times New Roman"/>
    </font>
    <font>
      <u/>
      <sz val="10.0"/>
      <color rgb="FF0000FF"/>
      <name val="Arial"/>
    </font>
    <font>
      <u/>
      <sz val="10.0"/>
      <color rgb="FF0000FF"/>
      <name val="Arial"/>
    </font>
    <font>
      <sz val="28.0"/>
      <color theme="1"/>
      <name val="Calibri"/>
    </font>
    <font>
      <sz val="11.0"/>
      <color rgb="FF000000"/>
      <name val="Calibri"/>
    </font>
    <font>
      <u/>
      <sz val="11.0"/>
      <color rgb="FF0000FF"/>
      <name val="Arial"/>
    </font>
    <font>
      <b/>
      <u/>
      <sz val="10.0"/>
      <color rgb="FF002060"/>
      <name val="Arial"/>
    </font>
    <font>
      <b/>
      <u/>
      <sz val="12.0"/>
      <color rgb="FF0000FF"/>
      <name val="Arial"/>
    </font>
    <font>
      <b/>
      <sz val="11.0"/>
      <color theme="1"/>
      <name val="Calibri"/>
    </font>
    <font>
      <b/>
      <u/>
      <sz val="11.0"/>
      <color theme="1"/>
      <name val="Calibri"/>
    </font>
    <font>
      <b/>
      <sz val="12.0"/>
      <color theme="1"/>
      <name val="Arial"/>
    </font>
    <font>
      <b/>
      <sz val="16.0"/>
      <color theme="1"/>
      <name val="Calibri"/>
    </font>
    <font>
      <u/>
      <sz val="8.0"/>
      <color rgb="FF0000FF"/>
      <name val="Arial"/>
    </font>
    <font>
      <sz val="11.0"/>
      <color rgb="FF002060"/>
      <name val="Calibri"/>
    </font>
    <font>
      <b/>
      <u/>
      <sz val="10.0"/>
      <color rgb="FF0000FF"/>
      <name val="Arial"/>
    </font>
    <font>
      <b/>
      <u/>
      <sz val="10.0"/>
      <color rgb="FF0000FF"/>
      <name val="Arial"/>
    </font>
    <font>
      <sz val="24.0"/>
      <color theme="1"/>
      <name val="Calibri"/>
    </font>
    <font>
      <b/>
      <u/>
      <sz val="10.0"/>
      <color rgb="FF002060"/>
      <name val="Arial"/>
    </font>
    <font>
      <b/>
      <u/>
      <sz val="12.0"/>
      <color rgb="FF0000FF"/>
      <name val="Arial"/>
    </font>
    <font>
      <b/>
      <u/>
      <sz val="10.0"/>
      <color rgb="FF0000FF"/>
      <name val="Arial"/>
    </font>
    <font>
      <b/>
      <sz val="12.0"/>
      <color theme="1"/>
      <name val="Balaram"/>
    </font>
    <font>
      <u/>
      <sz val="10.0"/>
      <color rgb="FF0000FF"/>
      <name val="Arial"/>
    </font>
    <font>
      <b/>
      <u/>
      <sz val="12.0"/>
      <color rgb="FF0000FF"/>
      <name val="Arial"/>
    </font>
    <font>
      <b/>
      <sz val="11.0"/>
      <color rgb="FF002060"/>
      <name val="Calibri"/>
    </font>
    <font>
      <b/>
      <u/>
      <sz val="12.0"/>
      <color rgb="FF0000FF"/>
      <name val="Arial"/>
    </font>
    <font>
      <sz val="10.0"/>
      <color theme="1"/>
      <name val="Calibri"/>
    </font>
    <font>
      <b/>
      <sz val="8.0"/>
      <color theme="1"/>
      <name val="Calibri"/>
    </font>
    <font>
      <u/>
      <sz val="10.0"/>
      <color rgb="FF0000FF"/>
      <name val="Arial"/>
    </font>
    <font>
      <b/>
      <sz val="14.0"/>
      <color theme="1"/>
      <name val="Times New Roman"/>
    </font>
    <font>
      <b/>
      <sz val="14.0"/>
      <color theme="1"/>
      <name val="Balaram"/>
    </font>
    <font>
      <sz val="9.0"/>
      <color theme="1"/>
      <name val="Calibri"/>
    </font>
    <font>
      <u/>
      <sz val="10.0"/>
      <color rgb="FF0000FF"/>
      <name val="Arial"/>
    </font>
    <font>
      <sz val="10.0"/>
      <color rgb="FF0C0C0C"/>
      <name val="Times New Roman"/>
    </font>
    <font>
      <u/>
      <sz val="10.0"/>
      <color rgb="FF0000FF"/>
      <name val="Arial"/>
    </font>
    <font>
      <b/>
      <sz val="10.0"/>
      <color theme="1"/>
      <name val="Times New Roman"/>
    </font>
    <font>
      <u/>
      <sz val="10.0"/>
      <color rgb="FF0000FF"/>
      <name val="Arial"/>
    </font>
    <font>
      <u/>
      <sz val="10.0"/>
      <color rgb="FF0000FF"/>
      <name val="Arial"/>
    </font>
    <font>
      <sz val="8.0"/>
      <color theme="1"/>
      <name val="Arial"/>
    </font>
    <font>
      <u/>
      <sz val="10.0"/>
      <color rgb="FF0000FF"/>
      <name val="Arial"/>
    </font>
    <font>
      <sz val="14.0"/>
      <color rgb="FFFF0000"/>
      <name val="Times New Roman"/>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sz val="7.0"/>
      <color theme="1"/>
      <name val="Calibri"/>
    </font>
    <font>
      <b/>
      <sz val="18.0"/>
      <color theme="1"/>
      <name val="Calibri"/>
    </font>
    <font>
      <b/>
      <sz val="22.0"/>
      <color theme="1"/>
      <name val="Calibri"/>
    </font>
    <font>
      <b/>
      <u/>
      <sz val="12.0"/>
      <color rgb="FF0000FF"/>
      <name val="Arial"/>
    </font>
    <font>
      <b/>
      <sz val="12.0"/>
      <color rgb="FFFF0000"/>
      <name val="Calibri"/>
    </font>
    <font>
      <b/>
      <sz val="10.0"/>
      <color rgb="FFFF0000"/>
      <name val="Arial"/>
    </font>
    <font>
      <u/>
      <sz val="11.0"/>
      <color rgb="FF002060"/>
      <name val="Calibri"/>
    </font>
    <font>
      <u/>
      <sz val="10.0"/>
      <color rgb="FF0000FF"/>
      <name val="Arial"/>
    </font>
    <font>
      <b/>
      <sz val="14.0"/>
      <color rgb="FFFF0000"/>
      <name val="Calibri"/>
    </font>
    <font>
      <b/>
      <sz val="15.0"/>
      <color theme="1"/>
      <name val="Times New Roman"/>
    </font>
    <font>
      <sz val="12.0"/>
      <color theme="1"/>
      <name val="Calibri"/>
    </font>
    <font>
      <u/>
      <sz val="11.0"/>
      <color rgb="FF002060"/>
      <name val="Calibri"/>
    </font>
    <font>
      <b/>
      <sz val="10.0"/>
      <color theme="1"/>
      <name val="Calibri"/>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sz val="14.0"/>
      <color theme="1"/>
      <name val="Calibri"/>
    </font>
    <font>
      <sz val="11.0"/>
      <color theme="1"/>
      <name val="Arial"/>
    </font>
    <font>
      <u/>
      <sz val="10.0"/>
      <color rgb="FF0000FF"/>
      <name val="Arial"/>
    </font>
    <font>
      <u/>
      <sz val="10.0"/>
      <color rgb="FF0000FF"/>
      <name val="Arial"/>
    </font>
    <font>
      <u/>
      <sz val="10.0"/>
      <color rgb="FF0000FF"/>
      <name val="Arial"/>
    </font>
    <font>
      <sz val="9.0"/>
      <color theme="1"/>
      <name val="Times New Roman"/>
    </font>
    <font>
      <u/>
      <sz val="10.0"/>
      <color rgb="FF0000FF"/>
      <name val="Arial"/>
    </font>
    <font>
      <sz val="11.0"/>
      <color rgb="FFFF0000"/>
      <name val="Calibri"/>
    </font>
    <font>
      <sz val="7.0"/>
      <color theme="1"/>
      <name val="Arial"/>
    </font>
    <font>
      <b/>
      <u/>
      <sz val="12.0"/>
      <color rgb="FF0000FF"/>
      <name val="Arial"/>
    </font>
    <font>
      <sz val="8.0"/>
      <color theme="1"/>
      <name val="Times New Roman"/>
    </font>
    <font>
      <u/>
      <sz val="10.0"/>
      <color rgb="FF0000FF"/>
      <name val="Arial"/>
    </font>
    <font>
      <u/>
      <sz val="10.0"/>
      <color rgb="FF0000FF"/>
      <name val="Arial"/>
    </font>
    <font>
      <b/>
      <sz val="20.0"/>
      <color theme="1"/>
      <name val="Times New Roman"/>
    </font>
    <font>
      <b/>
      <u/>
      <sz val="12.0"/>
      <color rgb="FF002060"/>
      <name val="Arial"/>
    </font>
    <font>
      <sz val="11.0"/>
      <color rgb="FFFF0000"/>
      <name val="Times New Roman"/>
    </font>
    <font>
      <b/>
      <sz val="11.0"/>
      <color rgb="FF000000"/>
      <name val="Calibri"/>
    </font>
    <font>
      <b/>
      <sz val="11.0"/>
      <color rgb="FFFF0000"/>
      <name val="Calibri"/>
    </font>
    <font>
      <b/>
      <sz val="16.0"/>
      <color theme="1"/>
      <name val="Times New Roman"/>
    </font>
    <font>
      <u/>
      <sz val="10.0"/>
      <color rgb="FF0000FF"/>
      <name val="Arial"/>
    </font>
    <font>
      <b/>
      <u/>
      <sz val="12.0"/>
      <color rgb="FF0000FF"/>
      <name val="Arial"/>
    </font>
    <font>
      <u/>
      <sz val="10.0"/>
      <color rgb="FF0000FF"/>
      <name val="Arial"/>
    </font>
    <font>
      <b/>
      <sz val="9.0"/>
      <color theme="1"/>
      <name val="Calibri"/>
    </font>
    <font>
      <u/>
      <sz val="10.0"/>
      <color rgb="FF0000FF"/>
      <name val="Arial"/>
    </font>
    <font>
      <u/>
      <sz val="10.0"/>
      <color rgb="FF0000FF"/>
      <name val="Arial"/>
    </font>
    <font>
      <sz val="12.0"/>
      <color theme="1"/>
      <name val="Times New Roman"/>
    </font>
    <font>
      <b/>
      <u/>
      <sz val="12.0"/>
      <color rgb="FF002060"/>
      <name val="Arial"/>
    </font>
    <font>
      <sz val="18.0"/>
      <color theme="1"/>
      <name val="Calibri"/>
    </font>
    <font>
      <b/>
      <u/>
      <sz val="12.0"/>
      <color rgb="FF0000FF"/>
      <name val="Arial"/>
    </font>
    <font>
      <b/>
      <u/>
      <sz val="12.0"/>
      <color rgb="FF002060"/>
      <name val="Arial"/>
    </font>
    <font>
      <b/>
      <sz val="16.0"/>
      <color theme="1"/>
      <name val="Arial"/>
    </font>
    <font>
      <b/>
      <u/>
      <sz val="12.0"/>
      <color rgb="FF0000FF"/>
      <name val="Arial"/>
    </font>
    <font>
      <b/>
      <u/>
      <sz val="12.0"/>
      <color rgb="FF0000FF"/>
      <name val="Arial"/>
    </font>
    <font>
      <b/>
      <u/>
      <sz val="10.0"/>
      <color rgb="FF002060"/>
      <name val="Arial"/>
    </font>
    <font>
      <b/>
      <sz val="11.0"/>
      <color rgb="FF0C0C0C"/>
      <name val="Calibri"/>
    </font>
    <font>
      <b/>
      <u/>
      <sz val="12.0"/>
      <color rgb="FF0000FF"/>
      <name val="Arial"/>
    </font>
    <font>
      <b/>
      <u/>
      <sz val="12.0"/>
      <color rgb="FF0000FF"/>
      <name val="Arial"/>
    </font>
    <font>
      <b/>
      <u/>
      <sz val="12.0"/>
      <color rgb="FF0000FF"/>
      <name val="Arial"/>
    </font>
    <font>
      <b/>
      <sz val="8.0"/>
      <color theme="1"/>
      <name val="Arial"/>
    </font>
    <font>
      <b/>
      <u/>
      <sz val="12.0"/>
      <color rgb="FF0000FF"/>
      <name val="Calibri"/>
    </font>
    <font>
      <b/>
      <u/>
      <sz val="10.0"/>
      <color rgb="FF002060"/>
      <name val="Arial"/>
    </font>
    <font>
      <b/>
      <u/>
      <sz val="11.0"/>
      <color rgb="FF002060"/>
      <name val="Arial"/>
    </font>
    <font>
      <sz val="14.0"/>
      <color theme="1"/>
      <name val="Times New Roman"/>
    </font>
    <font>
      <u/>
      <sz val="10.0"/>
      <color rgb="FF0000FF"/>
      <name val="Arial"/>
    </font>
    <font>
      <sz val="16.0"/>
      <color rgb="FFFF0000"/>
      <name val="Calibri"/>
    </font>
    <font>
      <b/>
      <u/>
      <sz val="12.0"/>
      <color rgb="FF0000FF"/>
      <name val="Arial"/>
    </font>
    <font>
      <b/>
      <u/>
      <sz val="12.0"/>
      <color rgb="FF0000FF"/>
      <name val="Arial"/>
    </font>
    <font>
      <sz val="22.0"/>
      <color theme="1"/>
      <name val="Jacques Francois Shadow"/>
    </font>
    <font>
      <u/>
      <sz val="10.0"/>
      <color rgb="FF0000FF"/>
      <name val="Arial"/>
    </font>
    <font>
      <sz val="10.0"/>
      <color rgb="FFFF0000"/>
      <name val="Arial"/>
    </font>
    <font>
      <b/>
      <u/>
      <sz val="12.0"/>
      <color rgb="FF0000FF"/>
      <name val="Arial"/>
    </font>
    <font>
      <b/>
      <u/>
      <sz val="12.0"/>
      <color rgb="FF0000FF"/>
      <name val="Arial"/>
    </font>
    <font>
      <b/>
      <sz val="14.0"/>
      <color rgb="FF0C0C0C"/>
      <name val="Calibri"/>
    </font>
    <font>
      <sz val="8.0"/>
      <color rgb="FF0C0C0C"/>
      <name val="Calibri"/>
    </font>
    <font>
      <u/>
      <sz val="10.0"/>
      <color rgb="FF0000FF"/>
      <name val="Arial"/>
    </font>
    <font>
      <b/>
      <u/>
      <sz val="12.0"/>
      <color rgb="FF0000FF"/>
      <name val="Arial"/>
    </font>
    <font>
      <b/>
      <sz val="10.0"/>
      <color rgb="FF0C0C0C"/>
      <name val="Arial"/>
    </font>
    <font>
      <b/>
      <sz val="11.0"/>
      <color rgb="FF0C0C0C"/>
      <name val="Times New Roman"/>
    </font>
    <font>
      <b/>
      <u/>
      <sz val="12.0"/>
      <color rgb="FF0000FF"/>
      <name val="Arial"/>
    </font>
    <font>
      <sz val="12.0"/>
      <color rgb="FF000000"/>
      <name val="Calibri"/>
    </font>
    <font>
      <sz val="12.0"/>
      <color rgb="FFFF0000"/>
      <name val="Calibri"/>
    </font>
    <font>
      <u/>
      <sz val="10.0"/>
      <color rgb="FF0000FF"/>
      <name val="Arial"/>
    </font>
    <font>
      <b/>
      <sz val="14.0"/>
      <color rgb="FFFF0000"/>
      <name val="Times New Roman"/>
    </font>
    <font>
      <b/>
      <sz val="11.0"/>
      <color rgb="FFFF0000"/>
      <name val="Times New Roman"/>
    </font>
    <font>
      <b/>
      <u/>
      <sz val="12.0"/>
      <color rgb="FF0000FF"/>
      <name val="Arial"/>
    </font>
    <font>
      <b/>
      <u/>
      <sz val="12.0"/>
      <color rgb="FF0000FF"/>
      <name val="Arial"/>
    </font>
    <font>
      <u/>
      <sz val="10.0"/>
      <color rgb="FF0000FF"/>
      <name val="Arial"/>
    </font>
    <font>
      <b/>
      <sz val="12.0"/>
      <color rgb="FF0C0C0C"/>
      <name val="Calibri"/>
    </font>
    <font>
      <sz val="16.0"/>
      <color theme="1"/>
      <name val="Calibri"/>
    </font>
    <font>
      <sz val="10.0"/>
      <color rgb="FFFF0000"/>
      <name val="Calibri"/>
    </font>
    <font>
      <sz val="10.0"/>
      <color rgb="FFFF0000"/>
      <name val="Times New Roman"/>
    </font>
    <font>
      <b/>
      <i/>
      <sz val="11.0"/>
      <color theme="1"/>
      <name val="Times New Roman"/>
    </font>
    <font>
      <b/>
      <i/>
      <sz val="11.0"/>
      <color rgb="FF000000"/>
      <name val="Times New Roman"/>
    </font>
    <font>
      <b/>
      <sz val="11.0"/>
      <color rgb="FF000000"/>
      <name val="Times New Roman"/>
    </font>
    <font>
      <strike/>
      <sz val="11.0"/>
      <color theme="1"/>
      <name val="Calibri"/>
    </font>
    <font>
      <b/>
      <sz val="11.0"/>
      <color theme="1"/>
      <name val="Aharoni"/>
    </font>
    <font>
      <b/>
      <sz val="9.0"/>
      <color theme="1"/>
      <name val="Times New Roman"/>
    </font>
    <font>
      <sz val="12.0"/>
      <color theme="1"/>
      <name val="Arial"/>
    </font>
    <font>
      <u/>
      <sz val="10.0"/>
      <color rgb="FF0000FF"/>
      <name val="Arial"/>
    </font>
    <font>
      <b/>
      <sz val="14.0"/>
      <color theme="1"/>
      <name val="Arial"/>
    </font>
    <font>
      <b/>
      <sz val="16.0"/>
      <color rgb="FFFF0000"/>
      <name val="Calibri"/>
    </font>
    <font>
      <b/>
      <sz val="18.0"/>
      <color rgb="FFFF0000"/>
      <name val="Calibri"/>
    </font>
    <font>
      <b/>
      <sz val="20.0"/>
      <color theme="1"/>
      <name val="Calibri"/>
    </font>
    <font>
      <b/>
      <sz val="10.0"/>
      <color rgb="FFFF0000"/>
      <name val="Calibri"/>
    </font>
    <font>
      <sz val="11.0"/>
      <color rgb="FF1D1B10"/>
      <name val="Calibri"/>
    </font>
  </fonts>
  <fills count="57">
    <fill>
      <patternFill patternType="none"/>
    </fill>
    <fill>
      <patternFill patternType="lightGray"/>
    </fill>
    <fill>
      <patternFill patternType="solid">
        <fgColor rgb="FFD9F000"/>
        <bgColor rgb="FFD9F000"/>
      </patternFill>
    </fill>
    <fill>
      <patternFill patternType="solid">
        <fgColor rgb="FFFFC000"/>
        <bgColor rgb="FFFFC000"/>
      </patternFill>
    </fill>
    <fill>
      <patternFill patternType="solid">
        <fgColor rgb="FFFFFFD1"/>
        <bgColor rgb="FFFFFFD1"/>
      </patternFill>
    </fill>
    <fill>
      <patternFill patternType="solid">
        <fgColor rgb="FFFFFF00"/>
        <bgColor rgb="FFFFFF00"/>
      </patternFill>
    </fill>
    <fill>
      <patternFill patternType="solid">
        <fgColor rgb="FFEEECE1"/>
        <bgColor rgb="FFEEECE1"/>
      </patternFill>
    </fill>
    <fill>
      <patternFill patternType="solid">
        <fgColor rgb="FF92D050"/>
        <bgColor rgb="FF92D050"/>
      </patternFill>
    </fill>
    <fill>
      <patternFill patternType="solid">
        <fgColor rgb="FFFABF8F"/>
        <bgColor rgb="FFFABF8F"/>
      </patternFill>
    </fill>
    <fill>
      <patternFill patternType="solid">
        <fgColor rgb="FFC2D69B"/>
        <bgColor rgb="FFC2D69B"/>
      </patternFill>
    </fill>
    <fill>
      <patternFill patternType="solid">
        <fgColor rgb="FFE5B8B7"/>
        <bgColor rgb="FFE5B8B7"/>
      </patternFill>
    </fill>
    <fill>
      <patternFill patternType="solid">
        <fgColor rgb="FF72FA26"/>
        <bgColor rgb="FF72FA26"/>
      </patternFill>
    </fill>
    <fill>
      <patternFill patternType="solid">
        <fgColor rgb="FFE8FA3C"/>
        <bgColor rgb="FFE8FA3C"/>
      </patternFill>
    </fill>
    <fill>
      <patternFill patternType="solid">
        <fgColor rgb="FFD8D8D8"/>
        <bgColor rgb="FFD8D8D8"/>
      </patternFill>
    </fill>
    <fill>
      <patternFill patternType="solid">
        <fgColor rgb="FFF2DBDB"/>
        <bgColor rgb="FFF2DBDB"/>
      </patternFill>
    </fill>
    <fill>
      <patternFill patternType="solid">
        <fgColor rgb="FFF8FDBB"/>
        <bgColor rgb="FFF8FDBB"/>
      </patternFill>
    </fill>
    <fill>
      <patternFill patternType="solid">
        <fgColor rgb="FFA5FC74"/>
        <bgColor rgb="FFA5FC74"/>
      </patternFill>
    </fill>
    <fill>
      <patternFill patternType="solid">
        <fgColor rgb="FFEAF1DD"/>
        <bgColor rgb="FFEAF1DD"/>
      </patternFill>
    </fill>
    <fill>
      <patternFill patternType="solid">
        <fgColor rgb="FF59983A"/>
        <bgColor rgb="FF59983A"/>
      </patternFill>
    </fill>
    <fill>
      <patternFill patternType="solid">
        <fgColor rgb="FFFBD4B4"/>
        <bgColor rgb="FFFBD4B4"/>
      </patternFill>
    </fill>
    <fill>
      <patternFill patternType="solid">
        <fgColor rgb="FFFDE9D9"/>
        <bgColor rgb="FFFDE9D9"/>
      </patternFill>
    </fill>
    <fill>
      <patternFill patternType="solid">
        <fgColor rgb="FFFF0000"/>
        <bgColor rgb="FFFF0000"/>
      </patternFill>
    </fill>
    <fill>
      <patternFill patternType="solid">
        <fgColor rgb="FFFBD753"/>
        <bgColor rgb="FFFBD753"/>
      </patternFill>
    </fill>
    <fill>
      <patternFill patternType="solid">
        <fgColor rgb="FFD6E3BC"/>
        <bgColor rgb="FFD6E3BC"/>
      </patternFill>
    </fill>
    <fill>
      <patternFill patternType="solid">
        <fgColor rgb="FFA5C26A"/>
        <bgColor rgb="FFA5C26A"/>
      </patternFill>
    </fill>
    <fill>
      <patternFill patternType="solid">
        <fgColor rgb="FF91B44A"/>
        <bgColor rgb="FF91B44A"/>
      </patternFill>
    </fill>
    <fill>
      <patternFill patternType="solid">
        <fgColor rgb="FF87A846"/>
        <bgColor rgb="FF87A846"/>
      </patternFill>
    </fill>
    <fill>
      <patternFill patternType="solid">
        <fgColor rgb="FF7A973F"/>
        <bgColor rgb="FF7A973F"/>
      </patternFill>
    </fill>
    <fill>
      <patternFill patternType="solid">
        <fgColor rgb="FFB2A1C7"/>
        <bgColor rgb="FFB2A1C7"/>
      </patternFill>
    </fill>
    <fill>
      <patternFill patternType="solid">
        <fgColor rgb="FFF9B439"/>
        <bgColor rgb="FFF9B439"/>
      </patternFill>
    </fill>
    <fill>
      <patternFill patternType="solid">
        <fgColor rgb="FFDDD9C3"/>
        <bgColor rgb="FFDDD9C3"/>
      </patternFill>
    </fill>
    <fill>
      <patternFill patternType="solid">
        <fgColor rgb="FF938953"/>
        <bgColor rgb="FF938953"/>
      </patternFill>
    </fill>
    <fill>
      <patternFill patternType="solid">
        <fgColor rgb="FFF4FF8B"/>
        <bgColor rgb="FFF4FF8B"/>
      </patternFill>
    </fill>
    <fill>
      <patternFill patternType="solid">
        <fgColor rgb="FFB8CCE4"/>
        <bgColor rgb="FFB8CCE4"/>
      </patternFill>
    </fill>
    <fill>
      <patternFill patternType="solid">
        <fgColor rgb="FFFBB54F"/>
        <bgColor rgb="FFFBB54F"/>
      </patternFill>
    </fill>
    <fill>
      <patternFill patternType="solid">
        <fgColor rgb="FFEF7F0F"/>
        <bgColor rgb="FFEF7F0F"/>
      </patternFill>
    </fill>
    <fill>
      <patternFill patternType="solid">
        <fgColor rgb="FFFFFFCC"/>
        <bgColor rgb="FFFFFFCC"/>
      </patternFill>
    </fill>
    <fill>
      <patternFill patternType="solid">
        <fgColor rgb="FFF2F2F2"/>
        <bgColor rgb="FFF2F2F2"/>
      </patternFill>
    </fill>
    <fill>
      <patternFill patternType="solid">
        <fgColor rgb="FFBFBFBF"/>
        <bgColor rgb="FFBFBFBF"/>
      </patternFill>
    </fill>
    <fill>
      <patternFill patternType="solid">
        <fgColor rgb="FFC4BD97"/>
        <bgColor rgb="FFC4BD97"/>
      </patternFill>
    </fill>
    <fill>
      <patternFill patternType="solid">
        <fgColor rgb="FFDAEEF3"/>
        <bgColor rgb="FFDAEEF3"/>
      </patternFill>
    </fill>
    <fill>
      <patternFill patternType="solid">
        <fgColor rgb="FFFFCCFF"/>
        <bgColor rgb="FFFFCCFF"/>
      </patternFill>
    </fill>
    <fill>
      <patternFill patternType="solid">
        <fgColor rgb="FFCCC0D9"/>
        <bgColor rgb="FFCCC0D9"/>
      </patternFill>
    </fill>
    <fill>
      <patternFill patternType="solid">
        <fgColor rgb="FFFFEFF5"/>
        <bgColor rgb="FFFFEFF5"/>
      </patternFill>
    </fill>
    <fill>
      <patternFill patternType="solid">
        <fgColor rgb="FFFAB100"/>
        <bgColor rgb="FFFAB100"/>
      </patternFill>
    </fill>
    <fill>
      <patternFill patternType="solid">
        <fgColor rgb="FF7C9A40"/>
        <bgColor rgb="FF7C9A40"/>
      </patternFill>
    </fill>
    <fill>
      <patternFill patternType="solid">
        <fgColor rgb="FFF6D71E"/>
        <bgColor rgb="FFF6D71E"/>
      </patternFill>
    </fill>
    <fill>
      <patternFill patternType="solid">
        <fgColor rgb="FFC2FDA1"/>
        <bgColor rgb="FFC2FDA1"/>
      </patternFill>
    </fill>
    <fill>
      <patternFill patternType="solid">
        <fgColor rgb="FFFF7A5B"/>
        <bgColor rgb="FFFF7A5B"/>
      </patternFill>
    </fill>
    <fill>
      <patternFill patternType="solid">
        <fgColor rgb="FFF9B5DD"/>
        <bgColor rgb="FFF9B5DD"/>
      </patternFill>
    </fill>
    <fill>
      <patternFill patternType="solid">
        <fgColor rgb="FFE36C09"/>
        <bgColor rgb="FFE36C09"/>
      </patternFill>
    </fill>
    <fill>
      <patternFill patternType="solid">
        <fgColor rgb="FF99FF99"/>
        <bgColor rgb="FF99FF99"/>
      </patternFill>
    </fill>
    <fill>
      <patternFill patternType="solid">
        <fgColor rgb="FFF7D969"/>
        <bgColor rgb="FFF7D969"/>
      </patternFill>
    </fill>
    <fill>
      <patternFill patternType="solid">
        <fgColor rgb="FFFFFFB3"/>
        <bgColor rgb="FFFFFFB3"/>
      </patternFill>
    </fill>
    <fill>
      <patternFill patternType="solid">
        <fgColor rgb="FFD99594"/>
        <bgColor rgb="FFD99594"/>
      </patternFill>
    </fill>
    <fill>
      <patternFill patternType="solid">
        <fgColor rgb="FF0070C0"/>
        <bgColor rgb="FF0070C0"/>
      </patternFill>
    </fill>
    <fill>
      <patternFill patternType="solid">
        <fgColor rgb="FFFAD490"/>
        <bgColor rgb="FFFAD490"/>
      </patternFill>
    </fill>
  </fills>
  <borders count="147">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top style="medium">
        <color rgb="FF000000"/>
      </top>
      <bottom style="medium">
        <color rgb="FF000000"/>
      </bottom>
    </border>
    <border>
      <left style="thin">
        <color rgb="FF000000"/>
      </left>
      <right style="medium">
        <color rgb="FF000000"/>
      </right>
      <top style="medium">
        <color rgb="FF000000"/>
      </top>
      <bottom style="thin">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rder>
    <border>
      <left style="thin">
        <color rgb="FF000000"/>
      </left>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medium">
        <color rgb="FF000000"/>
      </right>
    </border>
    <border>
      <left style="medium">
        <color rgb="FF000000"/>
      </left>
      <right style="medium">
        <color rgb="FF000000"/>
      </right>
      <top style="medium">
        <color rgb="FF000000"/>
      </top>
      <bottom/>
    </border>
    <border>
      <left style="thin">
        <color rgb="FF000000"/>
      </left>
      <top style="thin">
        <color rgb="FF000000"/>
      </top>
    </border>
    <border>
      <left style="medium">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bottom style="thin">
        <color rgb="FF000000"/>
      </bottom>
    </border>
    <border>
      <left style="thin">
        <color rgb="FF000000"/>
      </left>
      <top style="medium">
        <color rgb="FF000000"/>
      </top>
    </border>
    <border>
      <left style="thin">
        <color rgb="FF000000"/>
      </left>
      <right style="medium">
        <color rgb="FF000000"/>
      </right>
      <top style="thin">
        <color rgb="FF000000"/>
      </top>
    </border>
    <border>
      <left style="medium">
        <color rgb="FF000000"/>
      </left>
    </border>
    <border>
      <left style="medium">
        <color rgb="FF000000"/>
      </left>
      <right style="thin">
        <color rgb="FF000000"/>
      </right>
      <top style="medium">
        <color rgb="FF000000"/>
      </top>
      <bottom style="medium">
        <color rgb="FF000000"/>
      </bottom>
    </border>
    <border>
      <right style="medium">
        <color rgb="FF000000"/>
      </right>
    </border>
    <border>
      <left style="thin">
        <color rgb="FF000000"/>
      </left>
      <right style="medium">
        <color rgb="FF000000"/>
      </right>
      <top/>
      <bottom style="thin">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medium">
        <color rgb="FF000000"/>
      </right>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bottom/>
    </border>
    <border>
      <left style="thin">
        <color rgb="FF000000"/>
      </left>
      <right style="thin">
        <color rgb="FF000000"/>
      </right>
      <top/>
      <bottom/>
    </border>
    <border>
      <left style="thin">
        <color rgb="FF000000"/>
      </left>
      <right style="medium">
        <color rgb="FF000000"/>
      </right>
      <top style="medium">
        <color rgb="FF000000"/>
      </top>
      <bottom/>
    </border>
    <border>
      <left style="thin">
        <color rgb="FF000000"/>
      </left>
      <right style="medium">
        <color rgb="FF000000"/>
      </right>
      <top/>
      <bottom/>
    </border>
    <border>
      <left style="medium">
        <color rgb="FF000000"/>
      </left>
      <right/>
      <top style="medium">
        <color rgb="FF000000"/>
      </top>
    </border>
    <border>
      <left style="thin">
        <color rgb="FF000000"/>
      </left>
      <right style="thin">
        <color rgb="FF000000"/>
      </right>
    </border>
    <border>
      <left style="medium">
        <color rgb="FF000000"/>
      </left>
      <bottom style="medium">
        <color rgb="FF000000"/>
      </bottom>
    </border>
    <border>
      <bottom style="medium">
        <color rgb="FF000000"/>
      </bottom>
    </border>
    <border>
      <left style="medium">
        <color rgb="FF000000"/>
      </left>
      <right style="thin">
        <color rgb="FF000000"/>
      </right>
      <top style="thin">
        <color rgb="FF000000"/>
      </top>
      <bottom style="medium">
        <color rgb="FF000000"/>
      </bottom>
    </border>
    <border>
      <right style="medium">
        <color rgb="FF000000"/>
      </right>
      <bottom style="medium">
        <color rgb="FF000000"/>
      </bottom>
    </border>
    <border>
      <left style="medium">
        <color rgb="FF000000"/>
      </left>
      <right/>
    </border>
    <border>
      <left style="thin">
        <color rgb="FF000000"/>
      </lef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thin">
        <color rgb="FF000000"/>
      </right>
      <bottom style="thin">
        <color rgb="FF000000"/>
      </bottom>
    </border>
    <border>
      <left style="thin">
        <color rgb="FF000000"/>
      </left>
      <right style="medium">
        <color rgb="FF000000"/>
      </right>
      <top style="thin">
        <color rgb="FF000000"/>
      </top>
      <bottom style="medium">
        <color rgb="FF000000"/>
      </bottom>
    </border>
    <border>
      <left style="thin">
        <color rgb="FF000000"/>
      </left>
      <bottom style="thin">
        <color rgb="FF000000"/>
      </bottom>
    </border>
    <border>
      <left style="medium">
        <color rgb="FF000000"/>
      </left>
      <right style="thin">
        <color rgb="FF000000"/>
      </right>
      <bottom style="medium">
        <color rgb="FF000000"/>
      </bottom>
    </border>
    <border>
      <left style="medium">
        <color rgb="FF000000"/>
      </left>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ttom style="thin">
        <color rgb="FF000000"/>
      </bottom>
    </border>
    <border>
      <left/>
      <right/>
      <top/>
      <bottom/>
    </border>
    <border>
      <left style="medium">
        <color rgb="FF000000"/>
      </left>
      <right/>
      <top style="medium">
        <color rgb="FF000000"/>
      </top>
      <bottom/>
    </border>
    <border>
      <left style="medium">
        <color rgb="FF000000"/>
      </left>
      <right/>
      <top style="medium">
        <color rgb="FF000000"/>
      </top>
      <bottom style="medium">
        <color rgb="FF000000"/>
      </bottom>
    </border>
    <border>
      <left/>
      <top/>
      <bottom style="medium">
        <color rgb="FF000000"/>
      </bottom>
    </border>
    <border>
      <top/>
      <bottom style="medium">
        <color rgb="FF000000"/>
      </bottom>
    </border>
    <border>
      <left style="medium">
        <color rgb="FF000000"/>
      </left>
      <right style="thin">
        <color rgb="FF000000"/>
      </right>
    </border>
    <border>
      <right style="thin">
        <color rgb="FF000000"/>
      </right>
      <top style="medium">
        <color rgb="FF000000"/>
      </top>
    </border>
    <border>
      <left style="thin">
        <color rgb="FF000000"/>
      </left>
      <right style="medium">
        <color rgb="FF000000"/>
      </right>
    </border>
    <border>
      <right style="thin">
        <color rgb="FF000000"/>
      </right>
      <top style="medium">
        <color rgb="FF000000"/>
      </top>
      <bottom style="medium">
        <color rgb="FF000000"/>
      </bottom>
    </border>
    <border>
      <left style="medium">
        <color rgb="FF000000"/>
      </left>
      <right style="thin">
        <color rgb="FF000000"/>
      </right>
      <top/>
      <bottom style="medium">
        <color rgb="FF000000"/>
      </bottom>
    </border>
    <border>
      <left style="medium">
        <color rgb="FF000000"/>
      </left>
      <right/>
      <top/>
      <bottom/>
    </border>
    <border>
      <left/>
      <right/>
      <top style="medium">
        <color rgb="FF000000"/>
      </top>
      <bottom/>
    </border>
    <border>
      <left style="medium">
        <color rgb="FF000000"/>
      </left>
      <right style="medium">
        <color rgb="FF000000"/>
      </right>
      <bottom style="thin">
        <color rgb="FF000000"/>
      </bottom>
    </border>
    <border>
      <left style="medium">
        <color rgb="FF000000"/>
      </left>
      <right/>
      <top/>
      <bottom style="medium">
        <color rgb="FF000000"/>
      </bottom>
    </border>
    <border>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bottom style="thin">
        <color rgb="FF000000"/>
      </bottom>
    </border>
    <border>
      <left style="thin">
        <color rgb="FF000000"/>
      </left>
      <right style="medium">
        <color rgb="FF000000"/>
      </right>
      <top/>
      <bottom style="medium">
        <color rgb="FF000000"/>
      </bottom>
    </border>
    <border>
      <left style="medium">
        <color rgb="FF000000"/>
      </left>
      <right/>
      <top style="thin">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bottom style="thin">
        <color rgb="FF000000"/>
      </bottom>
    </border>
    <border>
      <left style="thin">
        <color rgb="FF000000"/>
      </left>
      <right style="thin">
        <color rgb="FF000000"/>
      </right>
      <top/>
      <bottom style="medium">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top/>
      <bottom style="thin">
        <color rgb="FF000000"/>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right style="thin">
        <color rgb="FF000000"/>
      </right>
      <top style="thin">
        <color rgb="FF000000"/>
      </top>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right style="medium">
        <color rgb="FF000000"/>
      </right>
      <top style="medium">
        <color rgb="FF000000"/>
      </top>
      <bottom/>
    </border>
    <border>
      <left style="thin">
        <color rgb="FF000000"/>
      </left>
      <top style="thin">
        <color rgb="FF000000"/>
      </top>
      <bottom/>
    </border>
    <border>
      <left style="medium">
        <color rgb="FF000000"/>
      </left>
      <right style="medium">
        <color rgb="FF000000"/>
      </right>
      <top style="thin">
        <color rgb="FF000000"/>
      </top>
      <bottom style="medium">
        <color rgb="FF000000"/>
      </bottom>
    </border>
    <border>
      <left style="medium">
        <color rgb="FF000000"/>
      </left>
      <right/>
      <top style="thin">
        <color rgb="FF000000"/>
      </top>
      <bottom style="medium">
        <color rgb="FF000000"/>
      </bottom>
    </border>
    <border>
      <right style="thin">
        <color rgb="FF000000"/>
      </right>
      <top style="thin">
        <color rgb="FF000000"/>
      </top>
      <bottom style="thin">
        <color rgb="FF000000"/>
      </bottom>
    </border>
    <border>
      <left style="thin">
        <color rgb="FF000000"/>
      </left>
      <top/>
      <bottom style="thin">
        <color rgb="FF000000"/>
      </bottom>
    </border>
    <border>
      <right style="thin">
        <color rgb="FF000000"/>
      </right>
      <top style="thin">
        <color rgb="FF000000"/>
      </top>
    </border>
    <border>
      <right style="thin">
        <color rgb="FF000000"/>
      </right>
      <top style="medium">
        <color rgb="FF000000"/>
      </top>
      <bottom style="thin">
        <color rgb="FF000000"/>
      </bottom>
    </border>
    <border>
      <right/>
      <bottom/>
    </border>
    <border>
      <left/>
      <right style="medium">
        <color rgb="FF000000"/>
      </right>
      <top/>
      <bottom/>
    </border>
    <border>
      <right/>
      <top/>
      <bottom/>
    </border>
    <border>
      <right/>
      <top/>
      <bottom style="medium">
        <color rgb="FF000000"/>
      </bottom>
    </border>
    <border>
      <left/>
      <right/>
      <top/>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thin">
        <color rgb="FF000000"/>
      </top>
      <bottom style="medium">
        <color rgb="FF000000"/>
      </bottom>
    </border>
    <border>
      <left style="thin">
        <color rgb="FF000000"/>
      </left>
      <right/>
      <top/>
      <bottom style="medium">
        <color rgb="FF000000"/>
      </bottom>
    </border>
    <border>
      <left style="medium">
        <color rgb="FF000000"/>
      </left>
      <right style="medium">
        <color rgb="FF000000"/>
      </right>
      <top style="thin">
        <color rgb="FF000000"/>
      </top>
    </border>
    <border>
      <left style="medium">
        <color rgb="FF000000"/>
      </left>
      <top style="thin">
        <color rgb="FF000000"/>
      </top>
    </border>
    <border>
      <right style="thin">
        <color rgb="FF000000"/>
      </right>
    </border>
    <border>
      <right style="thin">
        <color rgb="FF000000"/>
      </right>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B2B2B2"/>
      </left>
      <right style="thin">
        <color rgb="FFB2B2B2"/>
      </right>
      <top style="thin">
        <color rgb="FFB2B2B2"/>
      </top>
      <bottom style="thin">
        <color rgb="FFB2B2B2"/>
      </bottom>
    </border>
    <border>
      <left style="medium">
        <color rgb="FF000000"/>
      </left>
      <top/>
      <bottom style="medium">
        <color rgb="FF000000"/>
      </bottom>
    </border>
    <border>
      <right style="medium">
        <color rgb="FF000000"/>
      </right>
      <top/>
      <bottom style="medium">
        <color rgb="FF000000"/>
      </bottom>
    </border>
    <border>
      <left/>
      <right/>
      <top style="medium">
        <color rgb="FF000000"/>
      </top>
      <bottom style="medium">
        <color rgb="FF000000"/>
      </bottom>
    </border>
    <border>
      <left style="thin">
        <color rgb="FF000000"/>
      </left>
      <right/>
      <top style="thin">
        <color rgb="FF000000"/>
      </top>
      <bottom style="thin">
        <color rgb="FF000000"/>
      </bottom>
    </border>
    <border>
      <left/>
      <right style="medium">
        <color rgb="FF000000"/>
      </right>
      <top style="medium">
        <color rgb="FF000000"/>
      </top>
      <bottom style="thin">
        <color rgb="FF000000"/>
      </bottom>
    </border>
    <border>
      <top style="thin">
        <color rgb="FF000000"/>
      </top>
      <bottom style="thin">
        <color rgb="FF000000"/>
      </bottom>
    </border>
    <border>
      <bottom style="thin">
        <color rgb="FF000000"/>
      </bottom>
    </border>
    <border>
      <left/>
      <top/>
      <bottom/>
    </border>
    <border>
      <top/>
      <bottom/>
    </border>
    <border>
      <left style="thin">
        <color rgb="FF000000"/>
      </left>
      <right/>
      <top style="medium">
        <color rgb="FF000000"/>
      </top>
      <bottom style="thin">
        <color rgb="FF000000"/>
      </bottom>
    </border>
    <border>
      <left style="thin">
        <color rgb="FF000000"/>
      </left>
      <right style="thin">
        <color rgb="FF000000"/>
      </right>
      <top style="thin">
        <color rgb="FF000000"/>
      </top>
      <bottom style="double">
        <color rgb="FF000000"/>
      </bottom>
    </border>
    <border>
      <right style="medium">
        <color rgb="FF000000"/>
      </right>
      <top style="thin">
        <color rgb="FF000000"/>
      </top>
      <bottom style="thin">
        <color rgb="FF000000"/>
      </bottom>
    </border>
    <border>
      <right style="medium">
        <color rgb="FF000000"/>
      </right>
      <top style="thin">
        <color rgb="FF000000"/>
      </top>
      <bottom style="medium">
        <color rgb="FF000000"/>
      </bottom>
    </border>
    <border>
      <top style="thin">
        <color rgb="FF000000"/>
      </top>
    </border>
    <border>
      <right style="thin">
        <color rgb="FF000000"/>
      </right>
      <bottom style="thin">
        <color rgb="FF000000"/>
      </bottom>
    </border>
    <border>
      <left style="thin">
        <color rgb="FF000000"/>
      </left>
      <right/>
      <top style="medium">
        <color rgb="FF000000"/>
      </top>
    </border>
    <border>
      <left style="thin">
        <color rgb="FF000000"/>
      </left>
      <right/>
    </border>
    <border>
      <left style="thin">
        <color rgb="FF000000"/>
      </left>
      <top style="medium">
        <color rgb="FF000000"/>
      </top>
      <bottom/>
    </border>
    <border>
      <left style="thin">
        <color rgb="FF000000"/>
      </left>
      <top/>
      <bottom/>
    </border>
    <border>
      <left/>
      <right/>
      <top style="medium">
        <color rgb="FF000000"/>
      </top>
    </border>
    <border>
      <left/>
      <right/>
    </border>
    <border>
      <left/>
      <right/>
      <bottom style="medium">
        <color rgb="FF000000"/>
      </bottom>
    </border>
    <border>
      <right style="thin">
        <color rgb="FF000000"/>
      </right>
      <top/>
      <bottom/>
    </border>
    <border>
      <left/>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medium">
        <color rgb="FF000000"/>
      </right>
      <bottom style="thin">
        <color rgb="FF000000"/>
      </bottom>
    </border>
    <border>
      <top style="thin">
        <color rgb="FF000000"/>
      </top>
      <bottom style="medium">
        <color rgb="FF000000"/>
      </bottom>
    </border>
    <border>
      <left/>
      <top style="medium">
        <color rgb="FF000000"/>
      </top>
    </border>
    <border>
      <left/>
    </border>
    <border>
      <left style="medium">
        <color rgb="FF000000"/>
      </left>
      <top style="thin">
        <color rgb="FF000000"/>
      </top>
      <bottom style="medium">
        <color rgb="FF000000"/>
      </bottom>
    </border>
  </borders>
  <cellStyleXfs count="1">
    <xf borderId="0" fillId="0" fontId="0" numFmtId="0" applyAlignment="1" applyFont="1"/>
  </cellStyleXfs>
  <cellXfs count="319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left" vertical="center"/>
    </xf>
    <xf borderId="1" fillId="0" fontId="2" numFmtId="0" xfId="0" applyAlignment="1" applyBorder="1" applyFont="1">
      <alignment horizontal="center"/>
    </xf>
    <xf borderId="2" fillId="0" fontId="3" numFmtId="0" xfId="0" applyBorder="1" applyFont="1"/>
    <xf borderId="3" fillId="0" fontId="3" numFmtId="0" xfId="0" applyBorder="1" applyFont="1"/>
    <xf borderId="0" fillId="0" fontId="4" numFmtId="0" xfId="0" applyFont="1"/>
    <xf borderId="4" fillId="0" fontId="5" numFmtId="0" xfId="0" applyAlignment="1" applyBorder="1" applyFont="1">
      <alignment horizontal="left"/>
    </xf>
    <xf borderId="5" fillId="2" fontId="6" numFmtId="0" xfId="0" applyAlignment="1" applyBorder="1" applyFill="1" applyFont="1">
      <alignment horizontal="center" vertical="center"/>
    </xf>
    <xf borderId="6" fillId="0" fontId="4" numFmtId="2" xfId="0" applyAlignment="1" applyBorder="1" applyFont="1" applyNumberFormat="1">
      <alignment horizontal="center"/>
    </xf>
    <xf borderId="0" fillId="0" fontId="7" numFmtId="0" xfId="0" applyFont="1"/>
    <xf borderId="5" fillId="2" fontId="6" numFmtId="0" xfId="0" applyAlignment="1" applyBorder="1" applyFill="1" applyFont="1">
      <alignment horizontal="left" vertical="center"/>
    </xf>
    <xf borderId="6" fillId="0" fontId="4" numFmtId="0" xfId="0" applyAlignment="1" applyBorder="1" applyFont="1">
      <alignment horizontal="center"/>
    </xf>
    <xf borderId="0" fillId="0" fontId="1" numFmtId="0" xfId="0" applyAlignment="1" applyFont="1">
      <alignment vertical="center"/>
    </xf>
    <xf borderId="7" fillId="0" fontId="4" numFmtId="0" xfId="0" applyAlignment="1" applyBorder="1" applyFont="1">
      <alignment horizontal="center"/>
    </xf>
    <xf borderId="8" fillId="0" fontId="8" numFmtId="0" xfId="0" applyAlignment="1" applyBorder="1" applyFont="1">
      <alignment horizontal="center"/>
    </xf>
    <xf borderId="9" fillId="0" fontId="9" numFmtId="0" xfId="0" applyAlignment="1" applyBorder="1" applyFont="1">
      <alignment horizontal="left"/>
    </xf>
    <xf borderId="10" fillId="0" fontId="3" numFmtId="0" xfId="0" applyBorder="1" applyFont="1"/>
    <xf borderId="11" fillId="0" fontId="3" numFmtId="0" xfId="0" applyBorder="1" applyFont="1"/>
    <xf borderId="0" fillId="0" fontId="10" numFmtId="0" xfId="0" applyFont="1"/>
    <xf borderId="12" fillId="3" fontId="11" numFmtId="0" xfId="0" applyAlignment="1" applyBorder="1" applyFill="1" applyFont="1">
      <alignment horizontal="center" vertical="center"/>
    </xf>
    <xf borderId="13" fillId="0" fontId="5" numFmtId="0" xfId="0" applyBorder="1" applyFont="1"/>
    <xf borderId="5" fillId="0" fontId="4" numFmtId="2" xfId="0" applyAlignment="1" applyBorder="1" applyFont="1" applyNumberFormat="1">
      <alignment horizontal="center"/>
    </xf>
    <xf borderId="5" fillId="2" fontId="12" numFmtId="0" xfId="0" applyAlignment="1" applyBorder="1" applyFill="1" applyFont="1">
      <alignment horizontal="center" vertical="center"/>
    </xf>
    <xf borderId="14" fillId="0" fontId="7" numFmtId="0" xfId="0" applyBorder="1" applyFont="1"/>
    <xf borderId="15" fillId="0" fontId="13" numFmtId="0" xfId="0" applyAlignment="1" applyBorder="1" applyFont="1">
      <alignment horizontal="right"/>
    </xf>
    <xf borderId="5" fillId="0" fontId="7" numFmtId="0" xfId="0" applyAlignment="1" applyBorder="1" applyFont="1">
      <alignment horizontal="center"/>
    </xf>
    <xf borderId="16" fillId="0" fontId="7" numFmtId="0" xfId="0" applyBorder="1" applyFont="1"/>
    <xf borderId="17" fillId="0" fontId="7" numFmtId="0" xfId="0" applyAlignment="1" applyBorder="1" applyFont="1">
      <alignment horizontal="center"/>
    </xf>
    <xf borderId="0" fillId="0" fontId="11" numFmtId="0" xfId="0" applyAlignment="1" applyFont="1">
      <alignment vertical="center"/>
    </xf>
    <xf borderId="18" fillId="0" fontId="9" numFmtId="2" xfId="0" applyAlignment="1" applyBorder="1" applyFont="1" applyNumberFormat="1">
      <alignment horizontal="left"/>
    </xf>
    <xf borderId="19" fillId="4" fontId="7" numFmtId="0" xfId="0" applyAlignment="1" applyBorder="1" applyFill="1" applyFont="1">
      <alignment horizontal="center" vertical="center"/>
    </xf>
    <xf borderId="5" fillId="0" fontId="4" numFmtId="0" xfId="0" applyAlignment="1" applyBorder="1" applyFont="1">
      <alignment horizontal="center"/>
    </xf>
    <xf borderId="4" fillId="4" fontId="7" numFmtId="0" xfId="0" applyBorder="1" applyFill="1" applyFont="1"/>
    <xf borderId="6" fillId="4" fontId="7" numFmtId="0" xfId="0" applyAlignment="1" applyBorder="1" applyFill="1" applyFont="1">
      <alignment horizontal="right"/>
    </xf>
    <xf borderId="18" fillId="0" fontId="4" numFmtId="0" xfId="0" applyAlignment="1" applyBorder="1" applyFont="1">
      <alignment horizontal="left"/>
    </xf>
    <xf borderId="5" fillId="4" fontId="14" numFmtId="0" xfId="0" applyAlignment="1" applyBorder="1" applyFill="1" applyFont="1">
      <alignment horizontal="left" vertical="center"/>
    </xf>
    <xf borderId="18" fillId="0" fontId="9" numFmtId="0" xfId="0" applyAlignment="1" applyBorder="1" applyFont="1">
      <alignment horizontal="left"/>
    </xf>
    <xf borderId="20" fillId="0" fontId="1" numFmtId="0" xfId="0" applyAlignment="1" applyBorder="1" applyFont="1">
      <alignment vertical="center"/>
    </xf>
    <xf borderId="5" fillId="0" fontId="1" numFmtId="2" xfId="0" applyAlignment="1" applyBorder="1" applyFont="1" applyNumberFormat="1">
      <alignment horizontal="center"/>
    </xf>
    <xf borderId="13" fillId="0" fontId="5" numFmtId="0" xfId="0" applyAlignment="1" applyBorder="1" applyFont="1">
      <alignment horizontal="left"/>
    </xf>
    <xf borderId="9" fillId="4" fontId="7" numFmtId="0" xfId="0" applyBorder="1" applyFill="1" applyFont="1"/>
    <xf borderId="21" fillId="0" fontId="5" numFmtId="0" xfId="0" applyBorder="1" applyFont="1"/>
    <xf borderId="19" fillId="0" fontId="11" numFmtId="0" xfId="0" applyAlignment="1" applyBorder="1" applyFont="1">
      <alignment horizontal="center" shrinkToFit="0" vertical="center" wrapText="1"/>
    </xf>
    <xf borderId="22" fillId="0" fontId="4" numFmtId="2" xfId="0" applyAlignment="1" applyBorder="1" applyFont="1" applyNumberFormat="1">
      <alignment horizontal="center"/>
    </xf>
    <xf borderId="8" fillId="0" fontId="6" numFmtId="0" xfId="0" applyAlignment="1" applyBorder="1" applyFont="1">
      <alignment horizontal="center" shrinkToFit="0" vertical="center" wrapText="1"/>
    </xf>
    <xf borderId="23" fillId="0" fontId="3" numFmtId="0" xfId="0" applyBorder="1" applyFont="1"/>
    <xf borderId="24" fillId="3" fontId="12" numFmtId="0" xfId="0" applyAlignment="1" applyBorder="1" applyFill="1" applyFont="1">
      <alignment horizontal="center" vertical="center"/>
    </xf>
    <xf borderId="0" fillId="0" fontId="6" numFmtId="0" xfId="0" applyFont="1"/>
    <xf borderId="22" fillId="0" fontId="7" numFmtId="0" xfId="0" applyAlignment="1" applyBorder="1" applyFont="1">
      <alignment horizontal="center"/>
    </xf>
    <xf borderId="14" fillId="0" fontId="1" numFmtId="0" xfId="0" applyBorder="1" applyFont="1"/>
    <xf borderId="5" fillId="2" fontId="15" numFmtId="0" xfId="0" applyAlignment="1" applyBorder="1" applyFill="1" applyFont="1">
      <alignment horizontal="left" vertical="center"/>
    </xf>
    <xf borderId="15" fillId="0" fontId="1" numFmtId="0" xfId="0" applyBorder="1" applyFont="1"/>
    <xf borderId="25" fillId="0" fontId="7" numFmtId="0" xfId="0" applyAlignment="1" applyBorder="1" applyFont="1">
      <alignment horizontal="center"/>
    </xf>
    <xf borderId="26" fillId="4" fontId="7" numFmtId="0" xfId="0" applyBorder="1" applyFill="1" applyFont="1"/>
    <xf borderId="27" fillId="0" fontId="1" numFmtId="0" xfId="0" applyAlignment="1" applyBorder="1" applyFont="1">
      <alignment horizontal="right"/>
    </xf>
    <xf borderId="1" fillId="0" fontId="6" numFmtId="0" xfId="0" applyAlignment="1" applyBorder="1" applyFont="1">
      <alignment horizontal="center" shrinkToFit="0" vertical="center" wrapText="1"/>
    </xf>
    <xf borderId="28" fillId="4" fontId="7" numFmtId="0" xfId="0" applyAlignment="1" applyBorder="1" applyFill="1" applyFont="1">
      <alignment horizontal="right"/>
    </xf>
    <xf borderId="29" fillId="0" fontId="1" numFmtId="0" xfId="0" applyBorder="1" applyFont="1"/>
    <xf borderId="30" fillId="0" fontId="4" numFmtId="0" xfId="0" applyAlignment="1" applyBorder="1" applyFont="1">
      <alignment horizontal="left"/>
    </xf>
    <xf borderId="5" fillId="0" fontId="11" numFmtId="0" xfId="0" applyAlignment="1" applyBorder="1" applyFont="1">
      <alignment horizontal="center" vertical="center"/>
    </xf>
    <xf borderId="28" fillId="4" fontId="7" numFmtId="0" xfId="0" applyBorder="1" applyFill="1" applyFont="1"/>
    <xf borderId="31" fillId="0" fontId="3" numFmtId="0" xfId="0" applyBorder="1" applyFont="1"/>
    <xf borderId="19" fillId="0" fontId="16" numFmtId="0" xfId="0" applyAlignment="1" applyBorder="1" applyFont="1">
      <alignment horizontal="center" textRotation="180" vertical="center"/>
    </xf>
    <xf borderId="32" fillId="0" fontId="5" numFmtId="0" xfId="0" applyBorder="1" applyFont="1"/>
    <xf borderId="33" fillId="0" fontId="3" numFmtId="0" xfId="0" applyBorder="1" applyFont="1"/>
    <xf borderId="34" fillId="4" fontId="7" numFmtId="0" xfId="0" applyBorder="1" applyFill="1" applyFont="1"/>
    <xf borderId="4" fillId="0" fontId="1" numFmtId="0" xfId="0" applyBorder="1" applyFont="1"/>
    <xf borderId="35" fillId="0" fontId="4" numFmtId="2" xfId="0" applyAlignment="1" applyBorder="1" applyFont="1" applyNumberFormat="1">
      <alignment horizontal="center"/>
    </xf>
    <xf borderId="13" fillId="4" fontId="7" numFmtId="0" xfId="0" applyBorder="1" applyFill="1" applyFont="1"/>
    <xf borderId="35" fillId="0" fontId="7" numFmtId="0" xfId="0" applyAlignment="1" applyBorder="1" applyFont="1">
      <alignment horizontal="center"/>
    </xf>
    <xf borderId="5" fillId="4" fontId="7" numFmtId="0" xfId="0" applyAlignment="1" applyBorder="1" applyFill="1" applyFont="1">
      <alignment horizontal="right"/>
    </xf>
    <xf borderId="6" fillId="0" fontId="17" numFmtId="0" xfId="0" applyAlignment="1" applyBorder="1" applyFont="1">
      <alignment horizontal="right"/>
    </xf>
    <xf borderId="18" fillId="4" fontId="7" numFmtId="0" xfId="0" applyBorder="1" applyFill="1" applyFont="1"/>
    <xf borderId="36" fillId="0" fontId="7" numFmtId="0" xfId="0" applyAlignment="1" applyBorder="1" applyFont="1">
      <alignment horizontal="center"/>
    </xf>
    <xf borderId="37" fillId="0" fontId="3" numFmtId="0" xfId="0" applyBorder="1" applyFont="1"/>
    <xf borderId="5" fillId="4" fontId="18" numFmtId="0" xfId="0" applyAlignment="1" applyBorder="1" applyFill="1" applyFont="1">
      <alignment horizontal="left" vertical="center"/>
    </xf>
    <xf borderId="5" fillId="0" fontId="1" numFmtId="0" xfId="0" applyAlignment="1" applyBorder="1" applyFont="1">
      <alignment horizontal="right"/>
    </xf>
    <xf borderId="38" fillId="0" fontId="4" numFmtId="0" xfId="0" applyAlignment="1" applyBorder="1" applyFont="1">
      <alignment horizontal="left"/>
    </xf>
    <xf borderId="39" fillId="4" fontId="7" numFmtId="0" xfId="0" applyBorder="1" applyFill="1" applyFont="1"/>
    <xf borderId="7" fillId="0" fontId="1" numFmtId="0" xfId="0" applyBorder="1" applyFont="1"/>
    <xf borderId="40" fillId="4" fontId="7" numFmtId="0" xfId="0" applyAlignment="1" applyBorder="1" applyFill="1" applyFont="1">
      <alignment horizontal="right"/>
    </xf>
    <xf borderId="41" fillId="5" fontId="19" numFmtId="2" xfId="0" applyAlignment="1" applyBorder="1" applyFill="1" applyFont="1" applyNumberFormat="1">
      <alignment horizontal="center" vertical="center"/>
    </xf>
    <xf borderId="42" fillId="4" fontId="7" numFmtId="0" xfId="0" applyBorder="1" applyFill="1" applyFont="1"/>
    <xf borderId="38" fillId="5" fontId="20" numFmtId="2" xfId="0" applyAlignment="1" applyBorder="1" applyFill="1" applyFont="1" applyNumberFormat="1">
      <alignment horizontal="center" vertical="center"/>
    </xf>
    <xf borderId="0" fillId="0" fontId="4" numFmtId="0" xfId="0" applyAlignment="1" applyFont="1">
      <alignment horizontal="center"/>
    </xf>
    <xf borderId="0" fillId="0" fontId="4" numFmtId="0" xfId="0" applyAlignment="1" applyFont="1">
      <alignment horizontal="left"/>
    </xf>
    <xf borderId="32" fillId="5" fontId="7" numFmtId="0" xfId="0" applyBorder="1" applyFill="1" applyFont="1"/>
    <xf borderId="38" fillId="5" fontId="7" numFmtId="15" xfId="0" applyAlignment="1" applyBorder="1" applyFill="1" applyFont="1" applyNumberFormat="1">
      <alignment horizontal="center"/>
    </xf>
    <xf borderId="32" fillId="5" fontId="21" numFmtId="0" xfId="0" applyAlignment="1" applyBorder="1" applyFill="1" applyFont="1">
      <alignment horizontal="left"/>
    </xf>
    <xf borderId="0" fillId="0" fontId="22" numFmtId="0" xfId="0" applyFont="1"/>
    <xf borderId="22" fillId="0" fontId="11" numFmtId="0" xfId="0" applyAlignment="1" applyBorder="1" applyFont="1">
      <alignment horizontal="center" shrinkToFit="0" vertical="center" wrapText="1"/>
    </xf>
    <xf borderId="13" fillId="0" fontId="1" numFmtId="0" xfId="0" applyBorder="1" applyFont="1"/>
    <xf borderId="5" fillId="0" fontId="17" numFmtId="0" xfId="0" applyAlignment="1" applyBorder="1" applyFont="1">
      <alignment horizontal="right"/>
    </xf>
    <xf borderId="17" fillId="0" fontId="1" numFmtId="0" xfId="0" applyBorder="1" applyFont="1"/>
    <xf borderId="43" fillId="6" fontId="7" numFmtId="0" xfId="0" applyAlignment="1" applyBorder="1" applyFill="1" applyFont="1">
      <alignment horizontal="center" vertical="center"/>
    </xf>
    <xf borderId="0" fillId="0" fontId="23" numFmtId="0" xfId="0" applyAlignment="1" applyFont="1">
      <alignment horizontal="left"/>
    </xf>
    <xf borderId="44" fillId="0" fontId="3" numFmtId="0" xfId="0" applyBorder="1" applyFont="1"/>
    <xf borderId="4" fillId="6" fontId="7" numFmtId="0" xfId="0" applyBorder="1" applyFill="1" applyFont="1"/>
    <xf borderId="0" fillId="0" fontId="10" numFmtId="0" xfId="0" applyAlignment="1" applyFont="1">
      <alignment horizontal="center"/>
    </xf>
    <xf borderId="6" fillId="6" fontId="7" numFmtId="0" xfId="0" applyAlignment="1" applyBorder="1" applyFill="1" applyFont="1">
      <alignment horizontal="right"/>
    </xf>
    <xf borderId="45" fillId="0" fontId="3" numFmtId="0" xfId="0" applyBorder="1" applyFont="1"/>
    <xf borderId="9" fillId="6" fontId="7" numFmtId="0" xfId="0" applyBorder="1" applyFill="1" applyFont="1"/>
    <xf borderId="46" fillId="0" fontId="3" numFmtId="0" xfId="0" applyBorder="1" applyFont="1"/>
    <xf borderId="47" fillId="0" fontId="1" numFmtId="0" xfId="0" applyBorder="1" applyFont="1"/>
    <xf borderId="48" fillId="0" fontId="3" numFmtId="0" xfId="0" applyBorder="1" applyFont="1"/>
    <xf borderId="0" fillId="0" fontId="1" numFmtId="0" xfId="0" applyAlignment="1" applyFont="1">
      <alignment horizontal="center"/>
    </xf>
    <xf borderId="0" fillId="0" fontId="1" numFmtId="0" xfId="0" applyAlignment="1" applyFont="1">
      <alignment horizontal="left"/>
    </xf>
    <xf borderId="49" fillId="0" fontId="3" numFmtId="0" xfId="0" applyBorder="1" applyFont="1"/>
    <xf borderId="27" fillId="0" fontId="17" numFmtId="0" xfId="0" applyAlignment="1" applyBorder="1" applyFont="1">
      <alignment horizontal="right"/>
    </xf>
    <xf borderId="1" fillId="0" fontId="24" numFmtId="0" xfId="0" applyAlignment="1" applyBorder="1" applyFont="1">
      <alignment horizontal="center"/>
    </xf>
    <xf borderId="13" fillId="6" fontId="7" numFmtId="0" xfId="0" applyBorder="1" applyFill="1" applyFont="1"/>
    <xf borderId="12" fillId="3" fontId="21" numFmtId="0" xfId="0" applyAlignment="1" applyBorder="1" applyFill="1" applyFont="1">
      <alignment horizontal="center" vertical="center"/>
    </xf>
    <xf borderId="50" fillId="0" fontId="1" numFmtId="0" xfId="0" applyBorder="1" applyFont="1"/>
    <xf borderId="51" fillId="0" fontId="3" numFmtId="0" xfId="0" applyBorder="1" applyFont="1"/>
    <xf borderId="5" fillId="6" fontId="7" numFmtId="0" xfId="0" applyAlignment="1" applyBorder="1" applyFill="1" applyFont="1">
      <alignment horizontal="right"/>
    </xf>
    <xf borderId="0" fillId="3" fontId="21" numFmtId="0" xfId="0" applyAlignment="1" applyFill="1" applyFont="1">
      <alignment horizontal="center" vertical="center"/>
    </xf>
    <xf borderId="5" fillId="4" fontId="25" numFmtId="0" xfId="0" applyAlignment="1" applyBorder="1" applyFill="1" applyFont="1">
      <alignment horizontal="left" vertical="center"/>
    </xf>
    <xf borderId="52" fillId="0" fontId="1" numFmtId="0" xfId="0" applyBorder="1" applyFont="1"/>
    <xf borderId="5" fillId="6" fontId="7" numFmtId="0" xfId="0" applyBorder="1" applyFill="1" applyFont="1"/>
    <xf borderId="15" fillId="0" fontId="17" numFmtId="0" xfId="0" applyAlignment="1" applyBorder="1" applyFont="1">
      <alignment horizontal="center"/>
    </xf>
    <xf borderId="51" fillId="0" fontId="17" numFmtId="0" xfId="0" applyAlignment="1" applyBorder="1" applyFont="1">
      <alignment horizontal="right"/>
    </xf>
    <xf borderId="18" fillId="6" fontId="7" numFmtId="0" xfId="0" applyBorder="1" applyFill="1" applyFont="1"/>
    <xf borderId="29" fillId="0" fontId="17" numFmtId="0" xfId="0" applyAlignment="1" applyBorder="1" applyFont="1">
      <alignment horizontal="center"/>
    </xf>
    <xf borderId="16" fillId="0" fontId="1" numFmtId="0" xfId="0" applyAlignment="1" applyBorder="1" applyFont="1">
      <alignment horizontal="left"/>
    </xf>
    <xf borderId="47" fillId="6" fontId="7" numFmtId="0" xfId="0" applyBorder="1" applyFill="1" applyFont="1"/>
    <xf borderId="0" fillId="0" fontId="21" numFmtId="0" xfId="0" applyAlignment="1" applyFont="1">
      <alignment horizontal="center" vertical="center"/>
    </xf>
    <xf borderId="27" fillId="6" fontId="7" numFmtId="0" xfId="0" applyAlignment="1" applyBorder="1" applyFill="1" applyFont="1">
      <alignment horizontal="right"/>
    </xf>
    <xf borderId="51" fillId="0" fontId="1" numFmtId="0" xfId="0" applyAlignment="1" applyBorder="1" applyFont="1">
      <alignment horizontal="right"/>
    </xf>
    <xf borderId="53" fillId="6" fontId="7" numFmtId="0" xfId="0" applyBorder="1" applyFill="1" applyFont="1"/>
    <xf borderId="6" fillId="0" fontId="13" numFmtId="0" xfId="0" applyAlignment="1" applyBorder="1" applyFont="1">
      <alignment horizontal="center"/>
    </xf>
    <xf borderId="54" fillId="0" fontId="1" numFmtId="0" xfId="0" applyBorder="1" applyFont="1"/>
    <xf borderId="28" fillId="6" fontId="7" numFmtId="0" xfId="0" applyAlignment="1" applyBorder="1" applyFill="1" applyFont="1">
      <alignment horizontal="right"/>
    </xf>
    <xf borderId="0" fillId="0" fontId="26" numFmtId="0" xfId="0" applyAlignment="1" applyFont="1">
      <alignment horizontal="center" vertical="center"/>
    </xf>
    <xf borderId="24" fillId="7" fontId="21" numFmtId="0" xfId="0" applyAlignment="1" applyBorder="1" applyFill="1" applyFont="1">
      <alignment horizontal="center" vertical="center"/>
    </xf>
    <xf borderId="7" fillId="0" fontId="13" numFmtId="0" xfId="0" applyAlignment="1" applyBorder="1" applyFont="1">
      <alignment horizontal="center"/>
    </xf>
    <xf borderId="9" fillId="0" fontId="1" numFmtId="0" xfId="0" applyAlignment="1" applyBorder="1" applyFont="1">
      <alignment horizontal="left"/>
    </xf>
    <xf borderId="21" fillId="0" fontId="1" numFmtId="0" xfId="0" applyBorder="1" applyFont="1"/>
    <xf borderId="34" fillId="6" fontId="7" numFmtId="0" xfId="0" applyBorder="1" applyFill="1" applyFont="1"/>
    <xf borderId="2"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2" fillId="5" fontId="27" numFmtId="0" xfId="0" applyAlignment="1" applyBorder="1" applyFill="1" applyFont="1">
      <alignment horizontal="center" vertical="center"/>
    </xf>
    <xf borderId="22" fillId="0" fontId="17" numFmtId="0" xfId="0" applyAlignment="1" applyBorder="1" applyFont="1">
      <alignment horizontal="right"/>
    </xf>
    <xf borderId="33" fillId="0" fontId="11" numFmtId="0" xfId="0" applyAlignment="1" applyBorder="1" applyFont="1">
      <alignment horizontal="center" shrinkToFit="0" vertical="center" wrapText="1"/>
    </xf>
    <xf borderId="6" fillId="0" fontId="1" numFmtId="0" xfId="0" applyAlignment="1" applyBorder="1" applyFont="1">
      <alignment horizontal="center"/>
    </xf>
    <xf borderId="22" fillId="0" fontId="1" numFmtId="0" xfId="0" applyAlignment="1" applyBorder="1" applyFont="1">
      <alignment horizontal="right"/>
    </xf>
    <xf borderId="7" fillId="0" fontId="1" numFmtId="0" xfId="0" applyAlignment="1" applyBorder="1" applyFont="1">
      <alignment horizontal="center"/>
    </xf>
    <xf borderId="24" fillId="7" fontId="21" numFmtId="0" xfId="0" applyAlignment="1" applyBorder="1" applyFill="1" applyFont="1">
      <alignment horizontal="left" vertical="center"/>
    </xf>
    <xf borderId="55" fillId="0" fontId="1" numFmtId="0" xfId="0" applyBorder="1" applyFont="1"/>
    <xf borderId="56" fillId="0" fontId="3" numFmtId="0" xfId="0" applyBorder="1" applyFont="1"/>
    <xf borderId="25" fillId="0" fontId="1" numFmtId="0" xfId="0" applyBorder="1" applyFont="1"/>
    <xf borderId="57" fillId="0" fontId="1" numFmtId="0" xfId="0" applyAlignment="1" applyBorder="1" applyFont="1">
      <alignment horizontal="center"/>
    </xf>
    <xf borderId="46" fillId="0" fontId="1" numFmtId="0" xfId="0" applyAlignment="1" applyBorder="1" applyFont="1">
      <alignment vertical="center"/>
    </xf>
    <xf borderId="58" fillId="0" fontId="1" numFmtId="0" xfId="0" applyAlignment="1" applyBorder="1" applyFont="1">
      <alignment horizontal="center"/>
    </xf>
    <xf borderId="6" fillId="0" fontId="1" numFmtId="0" xfId="0" applyAlignment="1" applyBorder="1" applyFont="1">
      <alignment horizontal="right"/>
    </xf>
    <xf borderId="59" fillId="0" fontId="1" numFmtId="0" xfId="0" applyAlignment="1" applyBorder="1" applyFont="1">
      <alignment horizontal="left"/>
    </xf>
    <xf borderId="52" fillId="0" fontId="7" numFmtId="0" xfId="0" applyBorder="1" applyFont="1"/>
    <xf borderId="51" fillId="0" fontId="7" numFmtId="0" xfId="0" applyAlignment="1" applyBorder="1" applyFont="1">
      <alignment horizontal="right"/>
    </xf>
    <xf borderId="60" fillId="0" fontId="7" numFmtId="0" xfId="0" applyBorder="1" applyFont="1"/>
    <xf borderId="5" fillId="0" fontId="13" numFmtId="0" xfId="0" applyAlignment="1" applyBorder="1" applyFont="1">
      <alignment horizontal="center"/>
    </xf>
    <xf borderId="23" fillId="0" fontId="11" numFmtId="0" xfId="0" applyAlignment="1" applyBorder="1" applyFont="1">
      <alignment shrinkToFit="0" vertical="center" wrapText="1"/>
    </xf>
    <xf borderId="17" fillId="0" fontId="13" numFmtId="0" xfId="0" applyAlignment="1" applyBorder="1" applyFont="1">
      <alignment horizontal="center"/>
    </xf>
    <xf borderId="4" fillId="0" fontId="7" numFmtId="0" xfId="0" applyBorder="1" applyFont="1"/>
    <xf borderId="6" fillId="0" fontId="7" numFmtId="0" xfId="0" applyAlignment="1" applyBorder="1" applyFont="1">
      <alignment horizontal="right"/>
    </xf>
    <xf borderId="18" fillId="0" fontId="1" numFmtId="0" xfId="0" applyAlignment="1" applyBorder="1" applyFont="1">
      <alignment horizontal="left"/>
    </xf>
    <xf borderId="61" fillId="5" fontId="28" numFmtId="0" xfId="0" applyAlignment="1" applyBorder="1" applyFill="1" applyFont="1">
      <alignment horizontal="center" vertical="center"/>
    </xf>
    <xf borderId="27" fillId="0" fontId="13" numFmtId="0" xfId="0" applyAlignment="1" applyBorder="1" applyFont="1">
      <alignment horizontal="center"/>
    </xf>
    <xf borderId="19" fillId="0" fontId="29" numFmtId="0" xfId="0" applyAlignment="1" applyBorder="1" applyFont="1">
      <alignment horizontal="center" textRotation="180" vertical="center"/>
    </xf>
    <xf borderId="9" fillId="0" fontId="7" numFmtId="0" xfId="0" applyBorder="1" applyFont="1"/>
    <xf borderId="50" fillId="0" fontId="13" numFmtId="0" xfId="0" applyAlignment="1" applyBorder="1" applyFont="1">
      <alignment horizontal="center"/>
    </xf>
    <xf borderId="12" fillId="7" fontId="21" numFmtId="0" xfId="0" applyAlignment="1" applyBorder="1" applyFill="1" applyFont="1">
      <alignment horizontal="center" vertical="center"/>
    </xf>
    <xf borderId="53" fillId="0" fontId="1" numFmtId="0" xfId="0" applyAlignment="1" applyBorder="1" applyFont="1">
      <alignment horizontal="left"/>
    </xf>
    <xf borderId="32" fillId="0" fontId="1" numFmtId="0" xfId="0" applyBorder="1" applyFont="1"/>
    <xf borderId="51" fillId="0" fontId="13" numFmtId="0" xfId="0" applyAlignment="1" applyBorder="1" applyFont="1">
      <alignment horizontal="center"/>
    </xf>
    <xf borderId="54" fillId="0" fontId="13" numFmtId="0" xfId="0" applyAlignment="1" applyBorder="1" applyFont="1">
      <alignment horizontal="center"/>
    </xf>
    <xf borderId="60" fillId="0" fontId="1" numFmtId="0" xfId="0" applyAlignment="1" applyBorder="1" applyFont="1">
      <alignment horizontal="left"/>
    </xf>
    <xf borderId="13" fillId="0" fontId="7" numFmtId="0" xfId="0" applyBorder="1" applyFont="1"/>
    <xf borderId="35" fillId="0" fontId="17" numFmtId="0" xfId="0" applyAlignment="1" applyBorder="1" applyFont="1">
      <alignment horizontal="right"/>
    </xf>
    <xf borderId="35" fillId="0" fontId="1" numFmtId="0" xfId="0" applyAlignment="1" applyBorder="1" applyFont="1">
      <alignment horizontal="right"/>
    </xf>
    <xf borderId="36" fillId="0" fontId="1" numFmtId="0" xfId="0" applyBorder="1" applyFont="1"/>
    <xf borderId="61" fillId="5" fontId="6" numFmtId="0" xfId="0" applyBorder="1" applyFill="1" applyFont="1"/>
    <xf borderId="4" fillId="5" fontId="30" numFmtId="2" xfId="0" applyAlignment="1" applyBorder="1" applyFill="1" applyFont="1" applyNumberFormat="1">
      <alignment horizontal="center" vertical="center"/>
    </xf>
    <xf borderId="9" fillId="5" fontId="31" numFmtId="2" xfId="0" applyAlignment="1" applyBorder="1" applyFill="1" applyFont="1" applyNumberFormat="1">
      <alignment horizontal="center" vertical="center"/>
    </xf>
    <xf borderId="0" fillId="0" fontId="1" numFmtId="0" xfId="0" applyAlignment="1" applyFont="1">
      <alignment horizontal="right"/>
    </xf>
    <xf borderId="62" fillId="5" fontId="21" numFmtId="0" xfId="0" applyBorder="1" applyFill="1" applyFont="1"/>
    <xf borderId="32" fillId="5" fontId="10" numFmtId="0" xfId="0" applyAlignment="1" applyBorder="1" applyFill="1" applyFont="1">
      <alignment horizontal="left"/>
    </xf>
    <xf borderId="38" fillId="5" fontId="1" numFmtId="164" xfId="0" applyAlignment="1" applyBorder="1" applyFill="1" applyFont="1" applyNumberFormat="1">
      <alignment horizontal="center"/>
    </xf>
    <xf borderId="41" fillId="5" fontId="32" numFmtId="2" xfId="0" applyAlignment="1" applyBorder="1" applyFill="1" applyFont="1" applyNumberFormat="1">
      <alignment horizontal="center" vertical="center"/>
    </xf>
    <xf borderId="8" fillId="0" fontId="33" numFmtId="0" xfId="0" applyAlignment="1" applyBorder="1" applyFont="1">
      <alignment horizontal="center"/>
    </xf>
    <xf borderId="15" fillId="0" fontId="1" numFmtId="0" xfId="0" applyAlignment="1" applyBorder="1" applyFont="1">
      <alignment horizontal="center"/>
    </xf>
    <xf borderId="15" fillId="0" fontId="1" numFmtId="0" xfId="0" applyAlignment="1" applyBorder="1" applyFont="1">
      <alignment horizontal="center" readingOrder="0"/>
    </xf>
    <xf borderId="29" fillId="0" fontId="1" numFmtId="0" xfId="0" applyAlignment="1" applyBorder="1" applyFont="1">
      <alignment horizontal="center"/>
    </xf>
    <xf borderId="33" fillId="0" fontId="1" numFmtId="0" xfId="0" applyBorder="1" applyFont="1"/>
    <xf borderId="1" fillId="0" fontId="11" numFmtId="0" xfId="0" applyAlignment="1" applyBorder="1" applyFont="1">
      <alignment horizontal="center" shrinkToFit="0" vertical="center" wrapText="1"/>
    </xf>
    <xf borderId="5" fillId="0" fontId="1" numFmtId="0" xfId="0" applyAlignment="1" applyBorder="1" applyFont="1">
      <alignment horizontal="center"/>
    </xf>
    <xf borderId="17" fillId="0" fontId="1" numFmtId="0" xfId="0" applyAlignment="1" applyBorder="1" applyFont="1">
      <alignment horizontal="center"/>
    </xf>
    <xf borderId="5" fillId="7" fontId="21" numFmtId="0" xfId="0" applyAlignment="1" applyBorder="1" applyFill="1" applyFont="1">
      <alignment horizontal="center" vertical="center"/>
    </xf>
    <xf borderId="5" fillId="0" fontId="7" numFmtId="0" xfId="0" applyBorder="1" applyFont="1"/>
    <xf borderId="24" fillId="5" fontId="21" numFmtId="165" xfId="0" applyBorder="1" applyFill="1" applyFont="1" applyNumberFormat="1"/>
    <xf borderId="27" fillId="0" fontId="1" numFmtId="0" xfId="0" applyAlignment="1" applyBorder="1" applyFont="1">
      <alignment horizontal="center"/>
    </xf>
    <xf borderId="5" fillId="0" fontId="7" numFmtId="0" xfId="0" applyAlignment="1" applyBorder="1" applyFont="1">
      <alignment horizontal="right"/>
    </xf>
    <xf borderId="50" fillId="0" fontId="1" numFmtId="0" xfId="0" applyAlignment="1" applyBorder="1" applyFont="1">
      <alignment horizontal="center"/>
    </xf>
    <xf borderId="63" fillId="5" fontId="21" numFmtId="0" xfId="0" applyBorder="1" applyFill="1" applyFont="1"/>
    <xf borderId="18" fillId="0" fontId="7" numFmtId="0" xfId="0" applyBorder="1" applyFont="1"/>
    <xf borderId="12" fillId="5" fontId="21" numFmtId="165" xfId="0" applyBorder="1" applyFill="1" applyFont="1" applyNumberFormat="1"/>
    <xf borderId="1" fillId="0" fontId="6" numFmtId="0" xfId="0" applyAlignment="1" applyBorder="1" applyFont="1">
      <alignment horizontal="center"/>
    </xf>
    <xf borderId="0" fillId="0" fontId="11" numFmtId="0" xfId="0" applyAlignment="1" applyFont="1">
      <alignment horizontal="center" vertical="center"/>
    </xf>
    <xf borderId="47" fillId="0" fontId="7" numFmtId="0" xfId="0" applyBorder="1" applyFont="1"/>
    <xf borderId="8" fillId="0" fontId="6" numFmtId="0" xfId="0" applyAlignment="1" applyBorder="1" applyFont="1">
      <alignment horizontal="center" vertical="center"/>
    </xf>
    <xf borderId="6" fillId="0" fontId="1" numFmtId="0" xfId="0" applyBorder="1" applyFont="1"/>
    <xf borderId="27" fillId="0" fontId="7" numFmtId="0" xfId="0" applyBorder="1" applyFont="1"/>
    <xf borderId="53" fillId="0" fontId="7" numFmtId="0" xfId="0" applyBorder="1" applyFont="1"/>
    <xf borderId="29" fillId="0" fontId="1" numFmtId="0" xfId="0" applyAlignment="1" applyBorder="1" applyFont="1">
      <alignment horizontal="center" readingOrder="0"/>
    </xf>
    <xf borderId="64" fillId="7" fontId="21" numFmtId="0" xfId="0" applyAlignment="1" applyBorder="1" applyFill="1" applyFont="1">
      <alignment horizontal="center" vertical="center"/>
    </xf>
    <xf borderId="12" fillId="5" fontId="34" numFmtId="0" xfId="0" applyAlignment="1" applyBorder="1" applyFill="1" applyFont="1">
      <alignment horizontal="center" vertical="center"/>
    </xf>
    <xf borderId="9" fillId="0" fontId="1" numFmtId="0" xfId="0" applyBorder="1" applyFont="1"/>
    <xf borderId="65" fillId="0" fontId="3" numFmtId="0" xfId="0" applyBorder="1" applyFont="1"/>
    <xf borderId="15" fillId="0" fontId="7" numFmtId="0" xfId="0" applyAlignment="1" applyBorder="1" applyFont="1">
      <alignment horizontal="center"/>
    </xf>
    <xf borderId="29" fillId="0" fontId="7" numFmtId="0" xfId="0" applyAlignment="1" applyBorder="1" applyFont="1">
      <alignment horizontal="center"/>
    </xf>
    <xf borderId="12" fillId="5" fontId="35" numFmtId="0" xfId="0" applyAlignment="1" applyBorder="1" applyFill="1" applyFont="1">
      <alignment horizontal="center" vertical="center"/>
    </xf>
    <xf borderId="6" fillId="0" fontId="7" numFmtId="0" xfId="0" applyAlignment="1" applyBorder="1" applyFont="1">
      <alignment horizontal="center"/>
    </xf>
    <xf borderId="7" fillId="0" fontId="7" numFmtId="0" xfId="0" applyAlignment="1" applyBorder="1" applyFont="1">
      <alignment horizontal="center"/>
    </xf>
    <xf borderId="0" fillId="0" fontId="21" numFmtId="0" xfId="0" applyAlignment="1" applyFont="1">
      <alignment vertical="center"/>
    </xf>
    <xf borderId="38" fillId="5" fontId="7" numFmtId="15" xfId="0" applyBorder="1" applyFill="1" applyFont="1" applyNumberFormat="1"/>
    <xf borderId="13" fillId="8" fontId="1" numFmtId="0" xfId="0" applyBorder="1" applyFill="1" applyFont="1"/>
    <xf borderId="5" fillId="8" fontId="1" numFmtId="0" xfId="0" applyAlignment="1" applyBorder="1" applyFill="1" applyFont="1">
      <alignment horizontal="center"/>
    </xf>
    <xf borderId="5" fillId="8" fontId="7" numFmtId="0" xfId="0" applyAlignment="1" applyBorder="1" applyFill="1" applyFont="1">
      <alignment horizontal="center"/>
    </xf>
    <xf borderId="17" fillId="8" fontId="7" numFmtId="0" xfId="0" applyAlignment="1" applyBorder="1" applyFill="1" applyFont="1">
      <alignment horizontal="center"/>
    </xf>
    <xf borderId="18" fillId="8" fontId="1" numFmtId="0" xfId="0" applyAlignment="1" applyBorder="1" applyFill="1" applyFont="1">
      <alignment horizontal="left"/>
    </xf>
    <xf borderId="12" fillId="0" fontId="36" numFmtId="0" xfId="0" applyAlignment="1" applyBorder="1" applyFont="1">
      <alignment horizontal="center" vertical="center"/>
    </xf>
    <xf borderId="13" fillId="9" fontId="1" numFmtId="0" xfId="0" applyBorder="1" applyFill="1" applyFont="1"/>
    <xf borderId="5" fillId="9" fontId="1" numFmtId="0" xfId="0" applyAlignment="1" applyBorder="1" applyFill="1" applyFont="1">
      <alignment horizontal="center"/>
    </xf>
    <xf borderId="5" fillId="9" fontId="7" numFmtId="0" xfId="0" applyAlignment="1" applyBorder="1" applyFill="1" applyFont="1">
      <alignment horizontal="center"/>
    </xf>
    <xf borderId="17" fillId="9" fontId="7" numFmtId="0" xfId="0" applyAlignment="1" applyBorder="1" applyFill="1" applyFont="1">
      <alignment horizontal="center"/>
    </xf>
    <xf borderId="18" fillId="9" fontId="1" numFmtId="0" xfId="0" applyAlignment="1" applyBorder="1" applyFill="1" applyFont="1">
      <alignment horizontal="left"/>
    </xf>
    <xf borderId="27" fillId="0" fontId="7" numFmtId="0" xfId="0" applyAlignment="1" applyBorder="1" applyFont="1">
      <alignment horizontal="center"/>
    </xf>
    <xf borderId="50" fillId="0" fontId="7" numFmtId="0" xfId="0" applyAlignment="1" applyBorder="1" applyFont="1">
      <alignment horizontal="center"/>
    </xf>
    <xf borderId="51" fillId="0" fontId="1" numFmtId="0" xfId="0" applyAlignment="1" applyBorder="1" applyFont="1">
      <alignment horizontal="center"/>
    </xf>
    <xf borderId="22" fillId="0" fontId="1" numFmtId="0" xfId="0" applyBorder="1" applyFont="1"/>
    <xf borderId="1" fillId="0" fontId="8" numFmtId="0" xfId="0" applyAlignment="1" applyBorder="1" applyFont="1">
      <alignment horizontal="center"/>
    </xf>
    <xf borderId="12" fillId="0" fontId="1" numFmtId="0" xfId="0" applyAlignment="1" applyBorder="1" applyFont="1">
      <alignment horizontal="center" vertical="center"/>
    </xf>
    <xf borderId="30" fillId="0" fontId="1" numFmtId="0" xfId="0" applyBorder="1" applyFont="1"/>
    <xf borderId="33" fillId="0" fontId="7" numFmtId="0" xfId="0" applyBorder="1" applyFont="1"/>
    <xf borderId="51" fillId="0" fontId="7" numFmtId="0" xfId="0" applyAlignment="1" applyBorder="1" applyFont="1">
      <alignment horizontal="center"/>
    </xf>
    <xf borderId="10" fillId="0" fontId="36" numFmtId="0" xfId="0" applyAlignment="1" applyBorder="1" applyFont="1">
      <alignment horizontal="left" vertical="center"/>
    </xf>
    <xf borderId="54" fillId="0" fontId="7" numFmtId="0" xfId="0" applyAlignment="1" applyBorder="1" applyFont="1">
      <alignment horizontal="center"/>
    </xf>
    <xf borderId="5" fillId="0" fontId="1" numFmtId="0" xfId="0" applyBorder="1" applyFont="1"/>
    <xf borderId="11" fillId="0" fontId="36" numFmtId="0" xfId="0" applyAlignment="1" applyBorder="1" applyFont="1">
      <alignment horizontal="center" vertical="center"/>
    </xf>
    <xf borderId="18" fillId="0" fontId="1" numFmtId="0" xfId="0" applyBorder="1" applyFont="1"/>
    <xf borderId="19" fillId="0" fontId="21" numFmtId="0" xfId="0" applyAlignment="1" applyBorder="1" applyFont="1">
      <alignment horizontal="center" vertical="center"/>
    </xf>
    <xf borderId="66" fillId="0" fontId="7" numFmtId="0" xfId="0" applyBorder="1" applyFont="1"/>
    <xf borderId="67" fillId="0" fontId="21" numFmtId="0" xfId="0" applyAlignment="1" applyBorder="1" applyFont="1">
      <alignment horizontal="center" vertical="center"/>
    </xf>
    <xf borderId="44" fillId="0" fontId="7" numFmtId="0" xfId="0" applyAlignment="1" applyBorder="1" applyFont="1">
      <alignment horizontal="right"/>
    </xf>
    <xf borderId="67" fillId="0" fontId="36" numFmtId="0" xfId="0" applyAlignment="1" applyBorder="1" applyFont="1">
      <alignment horizontal="left" vertical="center"/>
    </xf>
    <xf borderId="68" fillId="0" fontId="7" numFmtId="0" xfId="0" applyBorder="1" applyFont="1"/>
    <xf borderId="16" fillId="0" fontId="36" numFmtId="0" xfId="0" applyAlignment="1" applyBorder="1" applyFont="1">
      <alignment horizontal="center" vertical="center"/>
    </xf>
    <xf borderId="27" fillId="0" fontId="7" numFmtId="0" xfId="0" applyAlignment="1" applyBorder="1" applyFont="1">
      <alignment horizontal="right"/>
    </xf>
    <xf borderId="41" fillId="5" fontId="37" numFmtId="2" xfId="0" applyAlignment="1" applyBorder="1" applyFill="1" applyFont="1" applyNumberFormat="1">
      <alignment horizontal="center" vertical="center"/>
    </xf>
    <xf borderId="12" fillId="0" fontId="21" numFmtId="0" xfId="0" applyAlignment="1" applyBorder="1" applyFont="1">
      <alignment horizontal="center" vertical="center"/>
    </xf>
    <xf borderId="38" fillId="5" fontId="21" numFmtId="15" xfId="0" applyAlignment="1" applyBorder="1" applyFill="1" applyFont="1" applyNumberFormat="1">
      <alignment horizontal="center"/>
    </xf>
    <xf borderId="69" fillId="0" fontId="21" numFmtId="0" xfId="0" applyAlignment="1" applyBorder="1" applyFont="1">
      <alignment horizontal="center" vertical="center"/>
    </xf>
    <xf borderId="21" fillId="0" fontId="7" numFmtId="0" xfId="0" applyBorder="1" applyFont="1"/>
    <xf borderId="2" fillId="0" fontId="36" numFmtId="0" xfId="0" applyAlignment="1" applyBorder="1" applyFont="1">
      <alignment horizontal="left" vertical="center"/>
    </xf>
    <xf borderId="3" fillId="0" fontId="11" numFmtId="0" xfId="0" applyAlignment="1" applyBorder="1" applyFont="1">
      <alignment horizontal="center" shrinkToFit="0" vertical="center" wrapText="1"/>
    </xf>
    <xf borderId="22" fillId="0" fontId="7" numFmtId="0" xfId="0" applyAlignment="1" applyBorder="1" applyFont="1">
      <alignment horizontal="right"/>
    </xf>
    <xf borderId="1" fillId="0" fontId="23" numFmtId="0" xfId="0" applyAlignment="1" applyBorder="1" applyFont="1">
      <alignment horizontal="center"/>
    </xf>
    <xf borderId="30" fillId="0" fontId="7" numFmtId="0" xfId="0" applyBorder="1" applyFont="1"/>
    <xf borderId="38" fillId="0" fontId="21" numFmtId="0" xfId="0" applyAlignment="1" applyBorder="1" applyFont="1">
      <alignment horizontal="center" vertical="center"/>
    </xf>
    <xf borderId="19" fillId="0" fontId="11" numFmtId="0" xfId="0" applyAlignment="1" applyBorder="1" applyFont="1">
      <alignment horizontal="center" shrinkToFit="0" wrapText="1"/>
    </xf>
    <xf borderId="0" fillId="0" fontId="11" numFmtId="0" xfId="0" applyAlignment="1" applyFont="1">
      <alignment horizontal="center" shrinkToFit="0" wrapText="1"/>
    </xf>
    <xf borderId="10" fillId="0" fontId="21" numFmtId="0" xfId="0" applyAlignment="1" applyBorder="1" applyFont="1">
      <alignment horizontal="center" vertical="center"/>
    </xf>
    <xf borderId="57" fillId="0" fontId="1" numFmtId="0" xfId="0" applyBorder="1" applyFont="1"/>
    <xf borderId="8" fillId="0" fontId="36" numFmtId="0" xfId="0" applyAlignment="1" applyBorder="1" applyFont="1">
      <alignment horizontal="left" vertical="center"/>
    </xf>
    <xf borderId="57" fillId="0" fontId="1" numFmtId="0" xfId="0" applyAlignment="1" applyBorder="1" applyFont="1">
      <alignment horizontal="right"/>
    </xf>
    <xf borderId="35" fillId="0" fontId="1" numFmtId="0" xfId="0" applyAlignment="1" applyBorder="1" applyFont="1">
      <alignment horizontal="center"/>
    </xf>
    <xf borderId="35" fillId="0" fontId="1" numFmtId="0" xfId="0" applyAlignment="1" applyBorder="1" applyFont="1">
      <alignment horizontal="center" readingOrder="0"/>
    </xf>
    <xf borderId="36" fillId="0" fontId="1" numFmtId="0" xfId="0" applyAlignment="1" applyBorder="1" applyFont="1">
      <alignment horizontal="center" readingOrder="0"/>
    </xf>
    <xf borderId="38" fillId="0" fontId="1" numFmtId="0" xfId="0" applyAlignment="1" applyBorder="1" applyFont="1">
      <alignment horizontal="left"/>
    </xf>
    <xf borderId="22" fillId="0" fontId="1" numFmtId="0" xfId="0" applyAlignment="1" applyBorder="1" applyFont="1">
      <alignment horizontal="center"/>
    </xf>
    <xf borderId="25" fillId="0" fontId="1" numFmtId="0" xfId="0" applyAlignment="1" applyBorder="1" applyFont="1">
      <alignment horizontal="center"/>
    </xf>
    <xf borderId="30" fillId="0" fontId="1" numFmtId="0" xfId="0" applyAlignment="1" applyBorder="1" applyFont="1">
      <alignment horizontal="left"/>
    </xf>
    <xf borderId="54" fillId="0" fontId="1" numFmtId="0" xfId="0" applyAlignment="1" applyBorder="1" applyFont="1">
      <alignment horizontal="center"/>
    </xf>
    <xf borderId="1" fillId="0" fontId="11" numFmtId="0" xfId="0" applyAlignment="1" applyBorder="1" applyFont="1">
      <alignment shrinkToFit="0" wrapText="1"/>
    </xf>
    <xf borderId="0" fillId="0" fontId="11" numFmtId="0" xfId="0" applyAlignment="1" applyFont="1">
      <alignment shrinkToFit="0" wrapText="1"/>
    </xf>
    <xf borderId="6" fillId="0" fontId="7" numFmtId="0" xfId="0" applyBorder="1" applyFont="1"/>
    <xf borderId="45" fillId="0" fontId="11" numFmtId="0" xfId="0" applyAlignment="1" applyBorder="1" applyFont="1">
      <alignment shrinkToFit="0" wrapText="1"/>
    </xf>
    <xf borderId="11" fillId="0" fontId="21" numFmtId="0" xfId="0" applyAlignment="1" applyBorder="1" applyFont="1">
      <alignment horizontal="center" vertical="center"/>
    </xf>
    <xf borderId="59" fillId="0" fontId="1" numFmtId="0" xfId="0" applyBorder="1" applyFont="1"/>
    <xf borderId="13" fillId="4" fontId="38" numFmtId="0" xfId="0" applyBorder="1" applyFill="1" applyFont="1"/>
    <xf borderId="2" fillId="0" fontId="21" numFmtId="0" xfId="0" applyAlignment="1" applyBorder="1" applyFont="1">
      <alignment horizontal="center" vertical="center"/>
    </xf>
    <xf borderId="3" fillId="0" fontId="39" numFmtId="0" xfId="0" applyAlignment="1" applyBorder="1" applyFont="1">
      <alignment horizontal="center" vertical="center"/>
    </xf>
    <xf borderId="1" fillId="0" fontId="36" numFmtId="0" xfId="0" applyAlignment="1" applyBorder="1" applyFont="1">
      <alignment horizontal="left" vertical="center"/>
    </xf>
    <xf borderId="5" fillId="4" fontId="38" numFmtId="0" xfId="0" applyAlignment="1" applyBorder="1" applyFill="1" applyFont="1">
      <alignment horizontal="center"/>
    </xf>
    <xf borderId="1" fillId="10" fontId="1" numFmtId="0" xfId="0" applyAlignment="1" applyBorder="1" applyFill="1" applyFont="1">
      <alignment horizontal="center" shrinkToFit="0" wrapText="1"/>
    </xf>
    <xf borderId="3" fillId="0" fontId="21" numFmtId="0" xfId="0" applyAlignment="1" applyBorder="1" applyFont="1">
      <alignment horizontal="center" vertical="center"/>
    </xf>
    <xf borderId="17" fillId="4" fontId="38" numFmtId="0" xfId="0" applyAlignment="1" applyBorder="1" applyFill="1" applyFont="1">
      <alignment horizontal="center"/>
    </xf>
    <xf borderId="69" fillId="0" fontId="21" numFmtId="0" xfId="0" applyAlignment="1" applyBorder="1" applyFont="1">
      <alignment horizontal="left" vertical="center"/>
    </xf>
    <xf borderId="18" fillId="4" fontId="38" numFmtId="0" xfId="0" applyAlignment="1" applyBorder="1" applyFill="1" applyFont="1">
      <alignment horizontal="left"/>
    </xf>
    <xf borderId="4" fillId="5" fontId="40" numFmtId="2" xfId="0" applyAlignment="1" applyBorder="1" applyFill="1" applyFont="1" applyNumberFormat="1">
      <alignment horizontal="center" vertical="center"/>
    </xf>
    <xf borderId="10" fillId="0" fontId="1" numFmtId="0" xfId="0" applyAlignment="1" applyBorder="1" applyFont="1">
      <alignment horizontal="center"/>
    </xf>
    <xf borderId="12" fillId="0" fontId="36" numFmtId="0" xfId="0" applyAlignment="1" applyBorder="1" applyFont="1">
      <alignment horizontal="left" vertical="center"/>
    </xf>
    <xf borderId="32" fillId="5" fontId="21" numFmtId="0" xfId="0" applyBorder="1" applyFill="1" applyFont="1"/>
    <xf borderId="38" fillId="5" fontId="21" numFmtId="15" xfId="0" applyBorder="1" applyFill="1" applyFont="1" applyNumberFormat="1"/>
    <xf borderId="47" fillId="5" fontId="38" numFmtId="0" xfId="0" applyBorder="1" applyFill="1" applyFont="1"/>
    <xf borderId="70" fillId="5" fontId="21" numFmtId="0" xfId="0" applyAlignment="1" applyBorder="1" applyFill="1" applyFont="1">
      <alignment horizontal="left"/>
    </xf>
    <xf borderId="1" fillId="0" fontId="41" numFmtId="0" xfId="0" applyAlignment="1" applyBorder="1" applyFont="1">
      <alignment horizontal="center"/>
    </xf>
    <xf borderId="27" fillId="5" fontId="38" numFmtId="0" xfId="0" applyAlignment="1" applyBorder="1" applyFill="1" applyFont="1">
      <alignment horizontal="center"/>
    </xf>
    <xf borderId="38" fillId="5" fontId="21" numFmtId="164" xfId="0" applyBorder="1" applyFill="1" applyFont="1" applyNumberFormat="1"/>
    <xf borderId="50" fillId="5" fontId="38" numFmtId="0" xfId="0" applyAlignment="1" applyBorder="1" applyFill="1" applyFont="1">
      <alignment horizontal="center"/>
    </xf>
    <xf borderId="71" fillId="5" fontId="21" numFmtId="0" xfId="0" applyAlignment="1" applyBorder="1" applyFill="1" applyFont="1">
      <alignment horizontal="left"/>
    </xf>
    <xf borderId="16" fillId="0" fontId="21" numFmtId="0" xfId="0" applyAlignment="1" applyBorder="1" applyFont="1">
      <alignment horizontal="center" vertical="center"/>
    </xf>
    <xf borderId="31" fillId="0" fontId="11" numFmtId="0" xfId="0" applyAlignment="1" applyBorder="1" applyFont="1">
      <alignment vertical="center"/>
    </xf>
    <xf borderId="53" fillId="5" fontId="38" numFmtId="0" xfId="0" applyAlignment="1" applyBorder="1" applyFill="1" applyFont="1">
      <alignment horizontal="left"/>
    </xf>
    <xf borderId="15" fillId="0" fontId="7" numFmtId="0" xfId="0" applyBorder="1" applyFont="1"/>
    <xf borderId="72" fillId="5" fontId="21" numFmtId="164" xfId="0" applyBorder="1" applyFill="1" applyFont="1" applyNumberFormat="1"/>
    <xf borderId="6" fillId="0" fontId="13" numFmtId="0" xfId="0" applyAlignment="1" applyBorder="1" applyFont="1">
      <alignment horizontal="right"/>
    </xf>
    <xf borderId="19" fillId="0" fontId="36" numFmtId="0" xfId="0" applyAlignment="1" applyBorder="1" applyFont="1">
      <alignment horizontal="left" vertical="center"/>
    </xf>
    <xf borderId="27" fillId="0" fontId="13" numFmtId="0" xfId="0" applyAlignment="1" applyBorder="1" applyFont="1">
      <alignment horizontal="right"/>
    </xf>
    <xf borderId="2" fillId="0" fontId="1" numFmtId="0" xfId="0" applyAlignment="1" applyBorder="1" applyFont="1">
      <alignment horizontal="center"/>
    </xf>
    <xf borderId="1" fillId="0" fontId="42" numFmtId="0" xfId="0" applyAlignment="1" applyBorder="1" applyFont="1">
      <alignment horizontal="center"/>
    </xf>
    <xf borderId="5" fillId="0" fontId="13" numFmtId="0" xfId="0" applyAlignment="1" applyBorder="1" applyFont="1">
      <alignment horizontal="right"/>
    </xf>
    <xf borderId="73" fillId="0" fontId="36" numFmtId="0" xfId="0" applyAlignment="1" applyBorder="1" applyFont="1">
      <alignment horizontal="center" vertical="center"/>
    </xf>
    <xf borderId="1" fillId="0" fontId="1" numFmtId="0" xfId="0" applyAlignment="1" applyBorder="1" applyFont="1">
      <alignment horizontal="center"/>
    </xf>
    <xf borderId="14" fillId="0" fontId="4" numFmtId="0" xfId="0" applyAlignment="1" applyBorder="1" applyFont="1">
      <alignment horizontal="left"/>
    </xf>
    <xf borderId="55" fillId="0" fontId="7" numFmtId="0" xfId="0" applyBorder="1" applyFont="1"/>
    <xf borderId="15" fillId="0" fontId="9" numFmtId="2" xfId="0" applyAlignment="1" applyBorder="1" applyFont="1" applyNumberFormat="1">
      <alignment horizontal="right"/>
    </xf>
    <xf borderId="1" fillId="0" fontId="1" numFmtId="0" xfId="0" applyAlignment="1" applyBorder="1" applyFont="1">
      <alignment horizontal="center" shrinkToFit="0" wrapText="1"/>
    </xf>
    <xf borderId="57" fillId="0" fontId="13" numFmtId="0" xfId="0" applyAlignment="1" applyBorder="1" applyFont="1">
      <alignment horizontal="right"/>
    </xf>
    <xf borderId="16" fillId="0" fontId="4" numFmtId="0" xfId="0" applyBorder="1" applyFont="1"/>
    <xf borderId="32" fillId="0" fontId="9" numFmtId="0" xfId="0" applyBorder="1" applyFont="1"/>
    <xf borderId="35" fillId="0" fontId="9" numFmtId="2" xfId="0" applyAlignment="1" applyBorder="1" applyFont="1" applyNumberFormat="1">
      <alignment horizontal="right"/>
    </xf>
    <xf borderId="38" fillId="0" fontId="9" numFmtId="0" xfId="0" applyBorder="1" applyFont="1"/>
    <xf borderId="4" fillId="0" fontId="9" numFmtId="0" xfId="0" applyBorder="1" applyFont="1"/>
    <xf borderId="6" fillId="0" fontId="9" numFmtId="2" xfId="0" applyAlignment="1" applyBorder="1" applyFont="1" applyNumberFormat="1">
      <alignment horizontal="right"/>
    </xf>
    <xf borderId="9" fillId="0" fontId="9" numFmtId="0" xfId="0" applyBorder="1" applyFont="1"/>
    <xf borderId="0" fillId="0" fontId="1" numFmtId="0" xfId="0" applyAlignment="1" applyFont="1">
      <alignment horizontal="center" shrinkToFit="0" wrapText="1"/>
    </xf>
    <xf borderId="57" fillId="0" fontId="7" numFmtId="0" xfId="0" applyBorder="1" applyFont="1"/>
    <xf borderId="59" fillId="0" fontId="7" numFmtId="0" xfId="0" applyBorder="1" applyFont="1"/>
    <xf borderId="19" fillId="0" fontId="43" numFmtId="0" xfId="0" applyAlignment="1" applyBorder="1" applyFont="1">
      <alignment horizontal="center" shrinkToFit="0" vertical="center" wrapText="1"/>
    </xf>
    <xf borderId="12" fillId="5" fontId="21" numFmtId="165" xfId="0" applyAlignment="1" applyBorder="1" applyFill="1" applyFont="1" applyNumberFormat="1">
      <alignment horizontal="center"/>
    </xf>
    <xf borderId="13" fillId="0" fontId="9" numFmtId="0" xfId="0" applyBorder="1" applyFont="1"/>
    <xf borderId="74" fillId="5" fontId="21" numFmtId="0" xfId="0" applyBorder="1" applyFill="1" applyFont="1"/>
    <xf borderId="8" fillId="0" fontId="41" numFmtId="0" xfId="0" applyAlignment="1" applyBorder="1" applyFont="1">
      <alignment horizontal="center"/>
    </xf>
    <xf borderId="5" fillId="0" fontId="9" numFmtId="2" xfId="0" applyAlignment="1" applyBorder="1" applyFont="1" applyNumberFormat="1">
      <alignment horizontal="right"/>
    </xf>
    <xf borderId="4" fillId="0" fontId="4" numFmtId="0" xfId="0" applyBorder="1" applyFont="1"/>
    <xf borderId="6" fillId="0" fontId="4" numFmtId="0" xfId="0" applyAlignment="1" applyBorder="1" applyFont="1">
      <alignment horizontal="right"/>
    </xf>
    <xf borderId="18" fillId="0" fontId="9" numFmtId="0" xfId="0" applyBorder="1" applyFont="1"/>
    <xf borderId="9" fillId="0" fontId="4" numFmtId="0" xfId="0" applyBorder="1" applyFont="1"/>
    <xf borderId="21" fillId="0" fontId="9" numFmtId="0" xfId="0" applyBorder="1" applyFont="1"/>
    <xf borderId="13" fillId="0" fontId="4" numFmtId="0" xfId="0" applyBorder="1" applyFont="1"/>
    <xf borderId="22" fillId="0" fontId="17" numFmtId="0" xfId="0" applyAlignment="1" applyBorder="1" applyFont="1">
      <alignment horizontal="center"/>
    </xf>
    <xf borderId="18" fillId="0" fontId="4" numFmtId="0" xfId="0" applyBorder="1" applyFont="1"/>
    <xf borderId="30" fillId="0" fontId="9" numFmtId="0" xfId="0" applyAlignment="1" applyBorder="1" applyFont="1">
      <alignment horizontal="left"/>
    </xf>
    <xf borderId="21" fillId="0" fontId="4" numFmtId="0" xfId="0" applyBorder="1" applyFont="1"/>
    <xf borderId="22" fillId="0" fontId="13" numFmtId="0" xfId="0" applyAlignment="1" applyBorder="1" applyFont="1">
      <alignment horizontal="right"/>
    </xf>
    <xf borderId="30" fillId="0" fontId="4" numFmtId="0" xfId="0" applyBorder="1" applyFont="1"/>
    <xf borderId="52" fillId="0" fontId="9" numFmtId="0" xfId="0" applyBorder="1" applyFont="1"/>
    <xf borderId="47" fillId="0" fontId="9" numFmtId="0" xfId="0" applyBorder="1" applyFont="1"/>
    <xf borderId="51" fillId="0" fontId="9" numFmtId="2" xfId="0" applyAlignment="1" applyBorder="1" applyFont="1" applyNumberFormat="1">
      <alignment horizontal="right"/>
    </xf>
    <xf borderId="32" fillId="0" fontId="4" numFmtId="0" xfId="0" applyBorder="1" applyFont="1"/>
    <xf borderId="60" fillId="0" fontId="9" numFmtId="0" xfId="0" applyBorder="1" applyFont="1"/>
    <xf borderId="53" fillId="0" fontId="9" numFmtId="0" xfId="0" applyAlignment="1" applyBorder="1" applyFont="1">
      <alignment horizontal="left"/>
    </xf>
    <xf borderId="35" fillId="0" fontId="13" numFmtId="0" xfId="0" applyAlignment="1" applyBorder="1" applyFont="1">
      <alignment horizontal="right"/>
    </xf>
    <xf borderId="22" fillId="0" fontId="9" numFmtId="2" xfId="0" applyAlignment="1" applyBorder="1" applyFont="1" applyNumberFormat="1">
      <alignment horizontal="right"/>
    </xf>
    <xf borderId="55" fillId="0" fontId="9" numFmtId="0" xfId="0" applyBorder="1" applyFont="1"/>
    <xf borderId="38" fillId="0" fontId="4" numFmtId="0" xfId="0" applyBorder="1" applyFont="1"/>
    <xf borderId="30" fillId="0" fontId="9" numFmtId="0" xfId="0" applyBorder="1" applyFont="1"/>
    <xf borderId="57" fillId="0" fontId="13" numFmtId="0" xfId="0" applyAlignment="1" applyBorder="1" applyFont="1">
      <alignment horizontal="center"/>
    </xf>
    <xf borderId="14" fillId="0" fontId="11" numFmtId="0" xfId="0" applyBorder="1" applyFont="1"/>
    <xf borderId="57" fillId="0" fontId="7" numFmtId="0" xfId="0" applyAlignment="1" applyBorder="1" applyFont="1">
      <alignment horizontal="center"/>
    </xf>
    <xf borderId="58" fillId="0" fontId="7" numFmtId="0" xfId="0" applyAlignment="1" applyBorder="1" applyFont="1">
      <alignment horizontal="center"/>
    </xf>
    <xf borderId="59" fillId="0" fontId="9" numFmtId="0" xfId="0" applyAlignment="1" applyBorder="1" applyFont="1">
      <alignment horizontal="left"/>
    </xf>
    <xf borderId="11" fillId="0" fontId="1" numFmtId="0" xfId="0" applyBorder="1" applyFont="1"/>
    <xf borderId="4" fillId="0" fontId="11" numFmtId="0" xfId="0" applyBorder="1" applyFont="1"/>
    <xf borderId="12" fillId="5" fontId="10" numFmtId="0" xfId="0" applyAlignment="1" applyBorder="1" applyFill="1" applyFont="1">
      <alignment horizontal="left"/>
    </xf>
    <xf borderId="75" fillId="5" fontId="1" numFmtId="164" xfId="0" applyAlignment="1" applyBorder="1" applyFill="1" applyFont="1" applyNumberFormat="1">
      <alignment horizontal="center"/>
    </xf>
    <xf borderId="13" fillId="0" fontId="11" numFmtId="0" xfId="0" applyBorder="1" applyFont="1"/>
    <xf borderId="47" fillId="0" fontId="11" numFmtId="0" xfId="0" applyBorder="1" applyFont="1"/>
    <xf borderId="3" fillId="0" fontId="43" numFmtId="0" xfId="0" applyAlignment="1" applyBorder="1" applyFont="1">
      <alignment horizontal="center" shrinkToFit="0" vertical="center" wrapText="1"/>
    </xf>
    <xf borderId="21" fillId="0" fontId="11" numFmtId="0" xfId="0" applyBorder="1" applyFont="1"/>
    <xf borderId="12" fillId="5" fontId="21" numFmtId="0" xfId="0" applyAlignment="1" applyBorder="1" applyFill="1" applyFont="1">
      <alignment horizontal="left"/>
    </xf>
    <xf borderId="76" fillId="0" fontId="44" numFmtId="0" xfId="0" applyAlignment="1" applyBorder="1" applyFont="1">
      <alignment horizontal="left" vertical="center"/>
    </xf>
    <xf borderId="22" fillId="0" fontId="7" numFmtId="0" xfId="0" applyBorder="1" applyFont="1"/>
    <xf borderId="6" fillId="0" fontId="1" numFmtId="2" xfId="0" applyAlignment="1" applyBorder="1" applyFont="1" applyNumberFormat="1">
      <alignment horizontal="left" vertical="center"/>
    </xf>
    <xf borderId="27" fillId="0" fontId="9" numFmtId="2" xfId="0" applyAlignment="1" applyBorder="1" applyFont="1" applyNumberFormat="1">
      <alignment horizontal="right"/>
    </xf>
    <xf borderId="1" fillId="0" fontId="33" numFmtId="0" xfId="0" applyAlignment="1" applyBorder="1" applyFont="1">
      <alignment horizontal="center"/>
    </xf>
    <xf borderId="52" fillId="0" fontId="11" numFmtId="0" xfId="0" applyBorder="1" applyFont="1"/>
    <xf borderId="53" fillId="0" fontId="9" numFmtId="0" xfId="0" applyBorder="1" applyFont="1"/>
    <xf borderId="9" fillId="0" fontId="1" numFmtId="2" xfId="0" applyAlignment="1" applyBorder="1" applyFont="1" applyNumberFormat="1">
      <alignment horizontal="left" vertical="center"/>
    </xf>
    <xf borderId="51" fillId="0" fontId="7" numFmtId="0" xfId="0" applyBorder="1" applyFont="1"/>
    <xf borderId="52" fillId="0" fontId="45" numFmtId="0" xfId="0" applyBorder="1" applyFont="1"/>
    <xf borderId="23" fillId="0" fontId="21" numFmtId="0" xfId="0" applyAlignment="1" applyBorder="1" applyFont="1">
      <alignment horizontal="center" vertical="center"/>
    </xf>
    <xf borderId="51" fillId="0" fontId="45" numFmtId="2" xfId="0" applyAlignment="1" applyBorder="1" applyFont="1" applyNumberFormat="1">
      <alignment horizontal="right"/>
    </xf>
    <xf borderId="19" fillId="0" fontId="11" numFmtId="0" xfId="0" applyAlignment="1" applyBorder="1" applyFont="1">
      <alignment horizontal="center" vertical="center"/>
    </xf>
    <xf borderId="60" fillId="0" fontId="45" numFmtId="0" xfId="0" applyBorder="1" applyFont="1"/>
    <xf borderId="0" fillId="0" fontId="10" numFmtId="0" xfId="0" applyAlignment="1" applyFont="1">
      <alignment horizontal="left"/>
    </xf>
    <xf borderId="77" fillId="11" fontId="36" numFmtId="0" xfId="0" applyAlignment="1" applyBorder="1" applyFill="1" applyFont="1">
      <alignment horizontal="center" vertical="center"/>
    </xf>
    <xf borderId="1" fillId="3" fontId="9" numFmtId="0" xfId="0" applyAlignment="1" applyBorder="1" applyFill="1" applyFont="1">
      <alignment horizontal="center" shrinkToFit="0" vertical="center" wrapText="1"/>
    </xf>
    <xf borderId="13" fillId="0" fontId="45" numFmtId="0" xfId="0" applyBorder="1" applyFont="1"/>
    <xf borderId="5" fillId="11" fontId="46" numFmtId="2" xfId="0" applyAlignment="1" applyBorder="1" applyFill="1" applyFont="1" applyNumberFormat="1">
      <alignment horizontal="left" vertical="center"/>
    </xf>
    <xf borderId="70" fillId="5" fontId="7" numFmtId="0" xfId="0" applyBorder="1" applyFill="1" applyFont="1"/>
    <xf borderId="78" fillId="5" fontId="7" numFmtId="15" xfId="0" applyBorder="1" applyFill="1" applyFont="1" applyNumberFormat="1"/>
    <xf borderId="0" fillId="0" fontId="47" numFmtId="0" xfId="0" applyAlignment="1" applyFont="1">
      <alignment horizontal="center"/>
    </xf>
    <xf borderId="5" fillId="0" fontId="45" numFmtId="2" xfId="0" applyAlignment="1" applyBorder="1" applyFont="1" applyNumberFormat="1">
      <alignment horizontal="right"/>
    </xf>
    <xf borderId="19" fillId="0" fontId="7" numFmtId="0" xfId="0" applyBorder="1" applyFont="1"/>
    <xf borderId="18" fillId="11" fontId="26" numFmtId="0" xfId="0" applyAlignment="1" applyBorder="1" applyFill="1" applyFont="1">
      <alignment horizontal="left" vertical="center"/>
    </xf>
    <xf borderId="0" fillId="0" fontId="4" numFmtId="2" xfId="0" applyAlignment="1" applyFont="1" applyNumberFormat="1">
      <alignment horizontal="left"/>
    </xf>
    <xf borderId="18" fillId="0" fontId="45" numFmtId="0" xfId="0" applyBorder="1" applyFont="1"/>
    <xf borderId="79" fillId="11" fontId="48" numFmtId="0" xfId="0" applyAlignment="1" applyBorder="1" applyFill="1" applyFont="1">
      <alignment horizontal="left" vertical="center"/>
    </xf>
    <xf borderId="15" fillId="0" fontId="13" numFmtId="0" xfId="0" applyAlignment="1" applyBorder="1" applyFont="1">
      <alignment horizontal="center"/>
    </xf>
    <xf borderId="80" fillId="0" fontId="36" numFmtId="0" xfId="0" applyAlignment="1" applyBorder="1" applyFont="1">
      <alignment horizontal="center" vertical="center"/>
    </xf>
    <xf borderId="21" fillId="0" fontId="45" numFmtId="0" xfId="0" applyBorder="1" applyFont="1"/>
    <xf borderId="22" fillId="0" fontId="45" numFmtId="2" xfId="0" applyAlignment="1" applyBorder="1" applyFont="1" applyNumberFormat="1">
      <alignment horizontal="right"/>
    </xf>
    <xf borderId="30" fillId="0" fontId="45" numFmtId="0" xfId="0" applyBorder="1" applyFont="1"/>
    <xf borderId="81" fillId="0" fontId="49" numFmtId="0" xfId="0" applyAlignment="1" applyBorder="1" applyFont="1">
      <alignment horizontal="left" vertical="center"/>
    </xf>
    <xf borderId="32" fillId="0" fontId="47" numFmtId="0" xfId="0" applyBorder="1" applyFont="1"/>
    <xf borderId="66" fillId="0" fontId="1" numFmtId="0" xfId="0" applyBorder="1" applyFont="1"/>
    <xf borderId="44" fillId="0" fontId="1" numFmtId="0" xfId="0" applyAlignment="1" applyBorder="1" applyFont="1">
      <alignment horizontal="center"/>
    </xf>
    <xf borderId="20" fillId="0" fontId="1" numFmtId="0" xfId="0" applyAlignment="1" applyBorder="1" applyFont="1">
      <alignment horizontal="center"/>
    </xf>
    <xf borderId="68" fillId="0" fontId="1" numFmtId="0" xfId="0" applyAlignment="1" applyBorder="1" applyFont="1">
      <alignment horizontal="left"/>
    </xf>
    <xf borderId="13" fillId="3" fontId="1" numFmtId="0" xfId="0" applyBorder="1" applyFill="1" applyFont="1"/>
    <xf borderId="5" fillId="3" fontId="1" numFmtId="0" xfId="0" applyAlignment="1" applyBorder="1" applyFill="1" applyFont="1">
      <alignment horizontal="center"/>
    </xf>
    <xf borderId="5" fillId="3" fontId="7" numFmtId="0" xfId="0" applyAlignment="1" applyBorder="1" applyFill="1" applyFont="1">
      <alignment horizontal="center"/>
    </xf>
    <xf borderId="17" fillId="3" fontId="7" numFmtId="0" xfId="0" applyAlignment="1" applyBorder="1" applyFill="1" applyFont="1">
      <alignment horizontal="center"/>
    </xf>
    <xf borderId="18" fillId="3" fontId="1" numFmtId="0" xfId="0" applyAlignment="1" applyBorder="1" applyFill="1" applyFont="1">
      <alignment horizontal="left"/>
    </xf>
    <xf borderId="31" fillId="0" fontId="50" numFmtId="0" xfId="0" applyAlignment="1" applyBorder="1" applyFont="1">
      <alignment horizontal="center" shrinkToFit="0" vertical="center" wrapText="1"/>
    </xf>
    <xf borderId="0" fillId="0" fontId="50" numFmtId="0" xfId="0" applyAlignment="1" applyFont="1">
      <alignment horizontal="center" shrinkToFit="0" vertical="center" wrapText="1"/>
    </xf>
    <xf borderId="16" fillId="0" fontId="7" numFmtId="0" xfId="0" applyAlignment="1" applyBorder="1" applyFont="1">
      <alignment horizontal="center"/>
    </xf>
    <xf borderId="0" fillId="0" fontId="6" numFmtId="0" xfId="0" applyAlignment="1" applyFont="1">
      <alignment horizontal="center" vertical="center"/>
    </xf>
    <xf borderId="51" fillId="0" fontId="1" numFmtId="2" xfId="0" applyAlignment="1" applyBorder="1" applyFont="1" applyNumberFormat="1">
      <alignment horizontal="left" vertical="center"/>
    </xf>
    <xf borderId="35" fillId="0" fontId="47" numFmtId="2" xfId="0" applyAlignment="1" applyBorder="1" applyFont="1" applyNumberFormat="1">
      <alignment horizontal="right"/>
    </xf>
    <xf borderId="9" fillId="0" fontId="7" numFmtId="0" xfId="0" applyAlignment="1" applyBorder="1" applyFont="1">
      <alignment horizontal="center"/>
    </xf>
    <xf borderId="36" fillId="0" fontId="1" numFmtId="0" xfId="0" applyAlignment="1" applyBorder="1" applyFont="1">
      <alignment horizontal="center"/>
    </xf>
    <xf borderId="38" fillId="0" fontId="47" numFmtId="0" xfId="0" applyBorder="1" applyFont="1"/>
    <xf borderId="60" fillId="0" fontId="1" numFmtId="2" xfId="0" applyAlignment="1" applyBorder="1" applyFont="1" applyNumberFormat="1">
      <alignment horizontal="left" vertical="center"/>
    </xf>
    <xf borderId="28" fillId="11" fontId="21" numFmtId="0" xfId="0" applyAlignment="1" applyBorder="1" applyFill="1" applyFont="1">
      <alignment horizontal="center" vertical="center"/>
    </xf>
    <xf borderId="60" fillId="0" fontId="7" numFmtId="0" xfId="0" applyAlignment="1" applyBorder="1" applyFont="1">
      <alignment horizontal="center"/>
    </xf>
    <xf borderId="70" fillId="5" fontId="9" numFmtId="0" xfId="0" applyBorder="1" applyFill="1" applyFont="1"/>
    <xf borderId="28" fillId="11" fontId="36" numFmtId="0" xfId="0" applyAlignment="1" applyBorder="1" applyFill="1" applyFont="1">
      <alignment horizontal="left" vertical="center"/>
    </xf>
    <xf borderId="82" fillId="5" fontId="9" numFmtId="2" xfId="0" applyAlignment="1" applyBorder="1" applyFill="1" applyFont="1" applyNumberFormat="1">
      <alignment horizontal="right"/>
    </xf>
    <xf borderId="18" fillId="0" fontId="7" numFmtId="0" xfId="0" applyAlignment="1" applyBorder="1" applyFont="1">
      <alignment horizontal="center"/>
    </xf>
    <xf borderId="78" fillId="5" fontId="9" numFmtId="0" xfId="0" applyBorder="1" applyFill="1" applyFont="1"/>
    <xf borderId="11" fillId="0" fontId="43" numFmtId="0" xfId="0" applyAlignment="1" applyBorder="1" applyFont="1">
      <alignment vertical="center"/>
    </xf>
    <xf borderId="15" fillId="0" fontId="4" numFmtId="0" xfId="0" applyAlignment="1" applyBorder="1" applyFont="1">
      <alignment horizontal="center"/>
    </xf>
    <xf borderId="15" fillId="0" fontId="4" numFmtId="0" xfId="0" applyAlignment="1" applyBorder="1" applyFont="1">
      <alignment horizontal="center" readingOrder="0"/>
    </xf>
    <xf borderId="29" fillId="0" fontId="4" numFmtId="0" xfId="0" applyAlignment="1" applyBorder="1" applyFont="1">
      <alignment horizontal="center" readingOrder="0"/>
    </xf>
    <xf borderId="16" fillId="0" fontId="4" numFmtId="0" xfId="0" applyAlignment="1" applyBorder="1" applyFont="1">
      <alignment horizontal="left"/>
    </xf>
    <xf borderId="9" fillId="0" fontId="4" numFmtId="0" xfId="0" applyAlignment="1" applyBorder="1" applyFont="1">
      <alignment horizontal="left"/>
    </xf>
    <xf borderId="83" fillId="0" fontId="36" numFmtId="0" xfId="0" applyAlignment="1" applyBorder="1" applyFont="1">
      <alignment horizontal="center" vertical="center"/>
    </xf>
    <xf borderId="0" fillId="0" fontId="9" numFmtId="0" xfId="0" applyAlignment="1" applyFont="1">
      <alignment horizontal="right"/>
    </xf>
    <xf borderId="84" fillId="0" fontId="51" numFmtId="0" xfId="0" applyBorder="1" applyFont="1"/>
    <xf borderId="5" fillId="0" fontId="1" numFmtId="2" xfId="0" applyAlignment="1" applyBorder="1" applyFont="1" applyNumberFormat="1">
      <alignment horizontal="left" vertical="center"/>
    </xf>
    <xf borderId="0" fillId="0" fontId="10" numFmtId="0" xfId="0" applyAlignment="1" applyFont="1">
      <alignment horizontal="right"/>
    </xf>
    <xf borderId="27" fillId="0" fontId="4" numFmtId="0" xfId="0" applyAlignment="1" applyBorder="1" applyFont="1">
      <alignment horizontal="center"/>
    </xf>
    <xf borderId="0" fillId="0" fontId="9" numFmtId="0" xfId="0" applyFont="1"/>
    <xf borderId="18" fillId="0" fontId="26" numFmtId="0" xfId="0" applyAlignment="1" applyBorder="1" applyFont="1">
      <alignment horizontal="left" vertical="center"/>
    </xf>
    <xf borderId="53" fillId="0" fontId="4" numFmtId="0" xfId="0" applyAlignment="1" applyBorder="1" applyFont="1">
      <alignment horizontal="left"/>
    </xf>
    <xf borderId="32" fillId="0" fontId="7" numFmtId="0" xfId="0" applyBorder="1" applyFont="1"/>
    <xf borderId="8" fillId="12" fontId="52" numFmtId="0" xfId="0" applyAlignment="1" applyBorder="1" applyFill="1" applyFont="1">
      <alignment horizontal="center"/>
    </xf>
    <xf borderId="35" fillId="0" fontId="7" numFmtId="0" xfId="0" applyBorder="1" applyFont="1"/>
    <xf borderId="57" fillId="0" fontId="4" numFmtId="0" xfId="0" applyAlignment="1" applyBorder="1" applyFont="1">
      <alignment horizontal="center"/>
    </xf>
    <xf borderId="4" fillId="11" fontId="36" numFmtId="0" xfId="0" applyAlignment="1" applyBorder="1" applyFill="1" applyFont="1">
      <alignment horizontal="center" vertical="center"/>
    </xf>
    <xf borderId="38" fillId="0" fontId="7" numFmtId="0" xfId="0" applyBorder="1" applyFont="1"/>
    <xf borderId="58" fillId="0" fontId="4" numFmtId="0" xfId="0" applyAlignment="1" applyBorder="1" applyFont="1">
      <alignment horizontal="center"/>
    </xf>
    <xf borderId="23" fillId="0" fontId="7" numFmtId="0" xfId="0" applyBorder="1" applyFont="1"/>
    <xf borderId="59" fillId="0" fontId="4" numFmtId="0" xfId="0" applyAlignment="1" applyBorder="1" applyFont="1">
      <alignment horizontal="left"/>
    </xf>
    <xf borderId="62" fillId="12" fontId="52" numFmtId="0" xfId="0" applyAlignment="1" applyBorder="1" applyFill="1" applyFont="1">
      <alignment horizontal="center"/>
    </xf>
    <xf borderId="5" fillId="11" fontId="53" numFmtId="0" xfId="0" applyAlignment="1" applyBorder="1" applyFill="1" applyFont="1">
      <alignment horizontal="left" vertical="center"/>
    </xf>
    <xf borderId="6" fillId="11" fontId="1" numFmtId="2" xfId="0" applyAlignment="1" applyBorder="1" applyFill="1" applyFont="1" applyNumberFormat="1">
      <alignment horizontal="left" vertical="center"/>
    </xf>
    <xf borderId="9" fillId="11" fontId="26" numFmtId="0" xfId="0" applyAlignment="1" applyBorder="1" applyFill="1" applyFont="1">
      <alignment horizontal="left" vertical="center"/>
    </xf>
    <xf borderId="6" fillId="11" fontId="54" numFmtId="0" xfId="0" applyBorder="1" applyFill="1" applyFont="1"/>
    <xf borderId="85" fillId="11" fontId="55" numFmtId="0" xfId="0" applyAlignment="1" applyBorder="1" applyFill="1" applyFont="1">
      <alignment horizontal="left" vertical="center"/>
    </xf>
    <xf borderId="28" fillId="11" fontId="1" numFmtId="2" xfId="0" applyAlignment="1" applyBorder="1" applyFill="1" applyFont="1" applyNumberFormat="1">
      <alignment horizontal="left" vertical="center"/>
    </xf>
    <xf borderId="34" fillId="11" fontId="1" numFmtId="2" xfId="0" applyAlignment="1" applyBorder="1" applyFill="1" applyFont="1" applyNumberFormat="1">
      <alignment horizontal="left" vertical="center"/>
    </xf>
    <xf borderId="53" fillId="0" fontId="7" numFmtId="0" xfId="0" applyAlignment="1" applyBorder="1" applyFont="1">
      <alignment horizontal="center"/>
    </xf>
    <xf borderId="83" fillId="13" fontId="36" numFmtId="0" xfId="0" applyAlignment="1" applyBorder="1" applyFill="1" applyFont="1">
      <alignment horizontal="center" vertical="center"/>
    </xf>
    <xf borderId="79" fillId="13" fontId="56" numFmtId="0" xfId="0" applyAlignment="1" applyBorder="1" applyFill="1" applyFont="1">
      <alignment horizontal="left" vertical="center"/>
    </xf>
    <xf borderId="5" fillId="13" fontId="1" numFmtId="2" xfId="0" applyAlignment="1" applyBorder="1" applyFill="1" applyFont="1" applyNumberFormat="1">
      <alignment horizontal="left" vertical="center"/>
    </xf>
    <xf borderId="18" fillId="13" fontId="26" numFmtId="0" xfId="0" applyAlignment="1" applyBorder="1" applyFill="1" applyFont="1">
      <alignment horizontal="left" vertical="center"/>
    </xf>
    <xf borderId="72" fillId="12" fontId="52" numFmtId="0" xfId="0" applyAlignment="1" applyBorder="1" applyFill="1" applyFont="1">
      <alignment horizontal="center"/>
    </xf>
    <xf borderId="31" fillId="0" fontId="6" numFmtId="0" xfId="0" applyAlignment="1" applyBorder="1" applyFont="1">
      <alignment horizontal="center" vertical="center"/>
    </xf>
    <xf borderId="0" fillId="0" fontId="57" numFmtId="0" xfId="0" applyAlignment="1" applyFont="1">
      <alignment horizontal="left" vertical="center"/>
    </xf>
    <xf borderId="37" fillId="0" fontId="7" numFmtId="0" xfId="0" applyBorder="1" applyFont="1"/>
    <xf borderId="13" fillId="0" fontId="36" numFmtId="0" xfId="0" applyAlignment="1" applyBorder="1" applyFont="1">
      <alignment horizontal="center" vertical="center"/>
    </xf>
    <xf borderId="5" fillId="0" fontId="58" numFmtId="0" xfId="0" applyAlignment="1" applyBorder="1" applyFont="1">
      <alignment horizontal="left" vertical="center"/>
    </xf>
    <xf borderId="13" fillId="14" fontId="1" numFmtId="0" xfId="0" applyBorder="1" applyFill="1" applyFont="1"/>
    <xf borderId="5" fillId="14" fontId="1" numFmtId="0" xfId="0" applyAlignment="1" applyBorder="1" applyFill="1" applyFont="1">
      <alignment horizontal="center"/>
    </xf>
    <xf borderId="17" fillId="14" fontId="1" numFmtId="0" xfId="0" applyAlignment="1" applyBorder="1" applyFill="1" applyFont="1">
      <alignment horizontal="center"/>
    </xf>
    <xf borderId="18" fillId="0" fontId="1" numFmtId="2" xfId="0" applyAlignment="1" applyBorder="1" applyFont="1" applyNumberFormat="1">
      <alignment horizontal="left" vertical="center"/>
    </xf>
    <xf borderId="18" fillId="14" fontId="1" numFmtId="0" xfId="0" applyAlignment="1" applyBorder="1" applyFill="1" applyFont="1">
      <alignment horizontal="left"/>
    </xf>
    <xf borderId="35" fillId="0" fontId="7" numFmtId="1" xfId="0" applyBorder="1" applyFont="1" applyNumberFormat="1"/>
    <xf borderId="35" fillId="0" fontId="7" numFmtId="166" xfId="0" applyBorder="1" applyFont="1" applyNumberFormat="1"/>
    <xf borderId="31" fillId="0" fontId="11" numFmtId="0" xfId="0" applyAlignment="1" applyBorder="1" applyFont="1">
      <alignment shrinkToFit="0" vertical="center" wrapText="1"/>
    </xf>
    <xf borderId="37" fillId="0" fontId="43" numFmtId="0" xfId="0" applyAlignment="1" applyBorder="1" applyFont="1">
      <alignment shrinkToFit="0" vertical="center" wrapText="1"/>
    </xf>
    <xf borderId="0" fillId="0" fontId="11" numFmtId="0" xfId="0" applyAlignment="1" applyFont="1">
      <alignment shrinkToFit="0" vertical="center" wrapText="1"/>
    </xf>
    <xf borderId="51" fillId="0" fontId="7" numFmtId="1" xfId="0" applyBorder="1" applyFont="1" applyNumberFormat="1"/>
    <xf borderId="0" fillId="0" fontId="1" numFmtId="0" xfId="0" applyAlignment="1" applyFont="1">
      <alignment readingOrder="0"/>
    </xf>
    <xf borderId="51" fillId="0" fontId="7" numFmtId="166" xfId="0" applyBorder="1" applyFont="1" applyNumberFormat="1"/>
    <xf borderId="83" fillId="11" fontId="36" numFmtId="0" xfId="0" applyAlignment="1" applyBorder="1" applyFill="1" applyFont="1">
      <alignment horizontal="center" vertical="center"/>
    </xf>
    <xf borderId="5" fillId="0" fontId="7" numFmtId="2" xfId="0" applyBorder="1" applyFont="1" applyNumberFormat="1"/>
    <xf borderId="26" fillId="15" fontId="9" numFmtId="0" xfId="0" applyBorder="1" applyFill="1" applyFont="1"/>
    <xf borderId="28" fillId="15" fontId="9" numFmtId="2" xfId="0" applyAlignment="1" applyBorder="1" applyFill="1" applyFont="1" applyNumberFormat="1">
      <alignment horizontal="right"/>
    </xf>
    <xf borderId="34" fillId="15" fontId="9" numFmtId="0" xfId="0" applyBorder="1" applyFill="1" applyFont="1"/>
    <xf borderId="33" fillId="0" fontId="43" numFmtId="0" xfId="0" applyAlignment="1" applyBorder="1" applyFont="1">
      <alignment horizontal="center" shrinkToFit="0" vertical="center" wrapText="1"/>
    </xf>
    <xf borderId="8" fillId="0" fontId="23" numFmtId="0" xfId="0" applyAlignment="1" applyBorder="1" applyFont="1">
      <alignment horizontal="center"/>
    </xf>
    <xf borderId="32" fillId="0" fontId="4" numFmtId="0" xfId="0" applyAlignment="1" applyBorder="1" applyFont="1">
      <alignment horizontal="left"/>
    </xf>
    <xf borderId="35" fillId="0" fontId="4" numFmtId="0" xfId="0" applyAlignment="1" applyBorder="1" applyFont="1">
      <alignment horizontal="center"/>
    </xf>
    <xf borderId="32" fillId="5" fontId="9" numFmtId="0" xfId="0" applyBorder="1" applyFill="1" applyFont="1"/>
    <xf borderId="35" fillId="5" fontId="9" numFmtId="2" xfId="0" applyAlignment="1" applyBorder="1" applyFill="1" applyFont="1" applyNumberFormat="1">
      <alignment horizontal="right"/>
    </xf>
    <xf borderId="38" fillId="5" fontId="9" numFmtId="0" xfId="0" applyBorder="1" applyFill="1" applyFont="1"/>
    <xf borderId="8" fillId="0" fontId="6" numFmtId="0" xfId="0" applyAlignment="1" applyBorder="1" applyFont="1">
      <alignment horizontal="center"/>
    </xf>
    <xf borderId="14" fillId="0" fontId="1" numFmtId="0" xfId="0" applyAlignment="1" applyBorder="1" applyFont="1">
      <alignment horizontal="left"/>
    </xf>
    <xf borderId="15" fillId="0" fontId="1" numFmtId="0" xfId="0" applyAlignment="1" applyBorder="1" applyFont="1">
      <alignment horizontal="right"/>
    </xf>
    <xf borderId="16" fillId="0" fontId="1" numFmtId="0" xfId="0" applyBorder="1" applyFont="1"/>
    <xf borderId="31" fillId="0" fontId="11" numFmtId="0" xfId="0" applyAlignment="1" applyBorder="1" applyFont="1">
      <alignment horizontal="center" vertical="center"/>
    </xf>
    <xf borderId="6" fillId="0" fontId="1" numFmtId="2" xfId="0" applyAlignment="1" applyBorder="1" applyFont="1" applyNumberFormat="1">
      <alignment horizontal="right"/>
    </xf>
    <xf borderId="27" fillId="0" fontId="1" numFmtId="2" xfId="0" applyAlignment="1" applyBorder="1" applyFont="1" applyNumberFormat="1">
      <alignment horizontal="right"/>
    </xf>
    <xf borderId="53" fillId="0" fontId="1" numFmtId="0" xfId="0" applyBorder="1" applyFont="1"/>
    <xf borderId="51" fillId="0" fontId="1" numFmtId="2" xfId="0" applyAlignment="1" applyBorder="1" applyFont="1" applyNumberFormat="1">
      <alignment horizontal="right"/>
    </xf>
    <xf borderId="60" fillId="0" fontId="1" numFmtId="0" xfId="0" applyBorder="1" applyFont="1"/>
    <xf borderId="5" fillId="0" fontId="1" numFmtId="2" xfId="0" applyAlignment="1" applyBorder="1" applyFont="1" applyNumberFormat="1">
      <alignment horizontal="right"/>
    </xf>
    <xf borderId="27" fillId="0" fontId="1" numFmtId="0" xfId="0" applyBorder="1" applyFont="1"/>
    <xf borderId="51" fillId="0" fontId="1" numFmtId="0" xfId="0" applyBorder="1" applyFont="1"/>
    <xf borderId="19" fillId="0" fontId="59" numFmtId="0" xfId="0" applyAlignment="1" applyBorder="1" applyFont="1">
      <alignment horizontal="center" shrinkToFit="0" vertical="center" wrapText="1"/>
    </xf>
    <xf borderId="14" fillId="0" fontId="4" numFmtId="0" xfId="0" applyBorder="1" applyFont="1"/>
    <xf borderId="15" fillId="0" fontId="7" numFmtId="0" xfId="0" applyAlignment="1" applyBorder="1" applyFont="1">
      <alignment horizontal="right"/>
    </xf>
    <xf borderId="86" fillId="5" fontId="1" numFmtId="0" xfId="0" applyBorder="1" applyFill="1" applyFont="1"/>
    <xf borderId="5" fillId="5" fontId="1" numFmtId="0" xfId="0" applyBorder="1" applyFill="1" applyFont="1"/>
    <xf borderId="5" fillId="5" fontId="1" numFmtId="0" xfId="0" applyAlignment="1" applyBorder="1" applyFill="1" applyFont="1">
      <alignment horizontal="right"/>
    </xf>
    <xf borderId="87" fillId="5" fontId="1" numFmtId="0" xfId="0" applyBorder="1" applyFill="1" applyFont="1"/>
    <xf borderId="86" fillId="16" fontId="1" numFmtId="0" xfId="0" applyBorder="1" applyFill="1" applyFont="1"/>
    <xf borderId="88" fillId="16" fontId="1" numFmtId="0" xfId="0" applyBorder="1" applyFill="1" applyFont="1"/>
    <xf borderId="88" fillId="16" fontId="1" numFmtId="0" xfId="0" applyAlignment="1" applyBorder="1" applyFill="1" applyFont="1">
      <alignment horizontal="right"/>
    </xf>
    <xf borderId="87" fillId="16" fontId="1" numFmtId="0" xfId="0" applyBorder="1" applyFill="1" applyFont="1"/>
    <xf borderId="47" fillId="16" fontId="1" numFmtId="0" xfId="0" applyBorder="1" applyFill="1" applyFont="1"/>
    <xf borderId="27" fillId="16" fontId="1" numFmtId="0" xfId="0" applyBorder="1" applyFill="1" applyFont="1"/>
    <xf borderId="27" fillId="16" fontId="1" numFmtId="0" xfId="0" applyAlignment="1" applyBorder="1" applyFill="1" applyFont="1">
      <alignment horizontal="right"/>
    </xf>
    <xf borderId="53" fillId="16" fontId="1" numFmtId="0" xfId="0" applyBorder="1" applyFill="1" applyFont="1"/>
    <xf borderId="19" fillId="0" fontId="60" numFmtId="0" xfId="0" applyAlignment="1" applyBorder="1" applyFont="1">
      <alignment horizontal="center" shrinkToFit="0" textRotation="255" vertical="center" wrapText="1"/>
    </xf>
    <xf borderId="15" fillId="0" fontId="38" numFmtId="0" xfId="0" applyAlignment="1" applyBorder="1" applyFont="1">
      <alignment horizontal="right"/>
    </xf>
    <xf borderId="44" fillId="0" fontId="1" numFmtId="0" xfId="0" applyBorder="1" applyFont="1"/>
    <xf borderId="44" fillId="0" fontId="1" numFmtId="0" xfId="0" applyAlignment="1" applyBorder="1" applyFont="1">
      <alignment horizontal="right"/>
    </xf>
    <xf borderId="68" fillId="0" fontId="1" numFmtId="0" xfId="0" applyBorder="1" applyFont="1"/>
    <xf borderId="19" fillId="0" fontId="61" numFmtId="0" xfId="0" applyAlignment="1" applyBorder="1" applyFont="1">
      <alignment horizontal="center" shrinkToFit="0" textRotation="255" vertical="center" wrapText="1"/>
    </xf>
    <xf borderId="35" fillId="0" fontId="1" numFmtId="0" xfId="0" applyBorder="1" applyFont="1"/>
    <xf borderId="35" fillId="0" fontId="1" numFmtId="2" xfId="0" applyAlignment="1" applyBorder="1" applyFont="1" applyNumberFormat="1">
      <alignment horizontal="right"/>
    </xf>
    <xf borderId="38" fillId="0" fontId="1" numFmtId="0" xfId="0" applyBorder="1" applyFont="1"/>
    <xf borderId="15" fillId="0" fontId="1" numFmtId="2" xfId="0" applyAlignment="1" applyBorder="1" applyFont="1" applyNumberFormat="1">
      <alignment horizontal="right"/>
    </xf>
    <xf borderId="1" fillId="0" fontId="11" numFmtId="0" xfId="0" applyAlignment="1" applyBorder="1" applyFont="1">
      <alignment shrinkToFit="0" vertical="center" wrapText="1"/>
    </xf>
    <xf borderId="12" fillId="5" fontId="21" numFmtId="0" xfId="0" applyBorder="1" applyFill="1" applyFont="1"/>
    <xf borderId="75" fillId="5" fontId="21" numFmtId="165" xfId="0" applyBorder="1" applyFill="1" applyFont="1" applyNumberFormat="1"/>
    <xf borderId="89" fillId="5" fontId="21" numFmtId="0" xfId="0" applyBorder="1" applyFill="1" applyFont="1"/>
    <xf borderId="4" fillId="0" fontId="1" numFmtId="0" xfId="0" applyAlignment="1" applyBorder="1" applyFont="1">
      <alignment horizontal="left"/>
    </xf>
    <xf borderId="13" fillId="0" fontId="1" numFmtId="0" xfId="0" applyAlignment="1" applyBorder="1" applyFont="1">
      <alignment horizontal="left"/>
    </xf>
    <xf borderId="47" fillId="0" fontId="1" numFmtId="0" xfId="0" applyAlignment="1" applyBorder="1" applyFont="1">
      <alignment horizontal="left"/>
    </xf>
    <xf borderId="57" fillId="0" fontId="1" numFmtId="2" xfId="0" applyAlignment="1" applyBorder="1" applyFont="1" applyNumberFormat="1">
      <alignment horizontal="right"/>
    </xf>
    <xf borderId="90" fillId="5" fontId="21" numFmtId="165" xfId="0" applyBorder="1" applyFill="1" applyFont="1" applyNumberFormat="1"/>
    <xf borderId="0" fillId="0" fontId="6" numFmtId="0" xfId="0" applyAlignment="1" applyFont="1">
      <alignment horizontal="right"/>
    </xf>
    <xf borderId="12" fillId="3" fontId="23" numFmtId="2" xfId="0" applyAlignment="1" applyBorder="1" applyFill="1" applyFont="1" applyNumberFormat="1">
      <alignment horizontal="center" vertical="center"/>
    </xf>
    <xf borderId="91" fillId="5" fontId="62" numFmtId="2" xfId="0" applyAlignment="1" applyBorder="1" applyFill="1" applyFont="1" applyNumberFormat="1">
      <alignment horizontal="center" vertical="center"/>
    </xf>
    <xf borderId="0" fillId="0" fontId="1" numFmtId="2" xfId="0" applyAlignment="1" applyFont="1" applyNumberFormat="1">
      <alignment horizontal="right"/>
    </xf>
    <xf borderId="23" fillId="0" fontId="1" numFmtId="0" xfId="0" applyBorder="1" applyFont="1"/>
    <xf borderId="15" fillId="0" fontId="9" numFmtId="0" xfId="0" applyAlignment="1" applyBorder="1" applyFont="1">
      <alignment horizontal="right"/>
    </xf>
    <xf borderId="35" fillId="0" fontId="9" numFmtId="0" xfId="0" applyAlignment="1" applyBorder="1" applyFont="1">
      <alignment horizontal="right"/>
    </xf>
    <xf borderId="8" fillId="0" fontId="11" numFmtId="0" xfId="0" applyAlignment="1" applyBorder="1" applyFont="1">
      <alignment horizontal="center"/>
    </xf>
    <xf borderId="6" fillId="0" fontId="9" numFmtId="0" xfId="0" applyAlignment="1" applyBorder="1" applyFont="1">
      <alignment horizontal="right"/>
    </xf>
    <xf borderId="5" fillId="0" fontId="9" numFmtId="0" xfId="0" applyAlignment="1" applyBorder="1" applyFont="1">
      <alignment horizontal="right"/>
    </xf>
    <xf borderId="22" fillId="0" fontId="9" numFmtId="0" xfId="0" applyAlignment="1" applyBorder="1" applyFont="1">
      <alignment horizontal="right"/>
    </xf>
    <xf borderId="14" fillId="0" fontId="11" numFmtId="0" xfId="0" applyAlignment="1" applyBorder="1" applyFont="1">
      <alignment horizontal="center" shrinkToFit="0" vertical="center" wrapText="1"/>
    </xf>
    <xf borderId="66" fillId="0" fontId="3" numFmtId="0" xfId="0" applyBorder="1" applyFont="1"/>
    <xf borderId="27" fillId="0" fontId="9" numFmtId="0" xfId="0" applyAlignment="1" applyBorder="1" applyFont="1">
      <alignment horizontal="right"/>
    </xf>
    <xf borderId="55" fillId="0" fontId="3" numFmtId="0" xfId="0" applyBorder="1" applyFont="1"/>
    <xf borderId="82" fillId="5" fontId="9" numFmtId="0" xfId="0" applyAlignment="1" applyBorder="1" applyFill="1" applyFont="1">
      <alignment horizontal="right"/>
    </xf>
    <xf borderId="10" fillId="0" fontId="11" numFmtId="0" xfId="0" applyAlignment="1" applyBorder="1" applyFont="1">
      <alignment vertical="center"/>
    </xf>
    <xf borderId="0" fillId="0" fontId="9" numFmtId="2" xfId="0" applyAlignment="1" applyFont="1" applyNumberFormat="1">
      <alignment horizontal="right"/>
    </xf>
    <xf borderId="1" fillId="0" fontId="52" numFmtId="0" xfId="0" applyAlignment="1" applyBorder="1" applyFont="1">
      <alignment horizontal="center" shrinkToFit="0" wrapText="1"/>
    </xf>
    <xf borderId="8" fillId="0" fontId="12" numFmtId="0" xfId="0" applyAlignment="1" applyBorder="1" applyFont="1">
      <alignment horizontal="center" vertical="center"/>
    </xf>
    <xf borderId="19" fillId="0" fontId="11" numFmtId="0" xfId="0" applyAlignment="1" applyBorder="1" applyFont="1">
      <alignment shrinkToFit="0" vertical="center" wrapText="1"/>
    </xf>
    <xf borderId="8" fillId="0" fontId="63" numFmtId="0" xfId="0" applyAlignment="1" applyBorder="1" applyFont="1">
      <alignment horizontal="center"/>
    </xf>
    <xf borderId="5" fillId="11" fontId="1" numFmtId="2" xfId="0" applyAlignment="1" applyBorder="1" applyFill="1" applyFont="1" applyNumberFormat="1">
      <alignment horizontal="left" vertical="center"/>
    </xf>
    <xf borderId="5" fillId="0" fontId="7" numFmtId="166" xfId="0" applyBorder="1" applyFont="1" applyNumberFormat="1"/>
    <xf borderId="36" fillId="0" fontId="4" numFmtId="0" xfId="0" applyAlignment="1" applyBorder="1" applyFont="1">
      <alignment horizontal="center"/>
    </xf>
    <xf borderId="13" fillId="13" fontId="36" numFmtId="0" xfId="0" applyAlignment="1" applyBorder="1" applyFill="1" applyFont="1">
      <alignment horizontal="center" vertical="center"/>
    </xf>
    <xf borderId="5" fillId="0" fontId="7" numFmtId="1" xfId="0" applyBorder="1" applyFont="1" applyNumberFormat="1"/>
    <xf borderId="27" fillId="0" fontId="7" numFmtId="1" xfId="0" applyBorder="1" applyFont="1" applyNumberFormat="1"/>
    <xf borderId="27" fillId="0" fontId="7" numFmtId="166" xfId="0" applyBorder="1" applyFont="1" applyNumberFormat="1"/>
    <xf borderId="35" fillId="0" fontId="1" numFmtId="166" xfId="0" applyBorder="1" applyFont="1" applyNumberFormat="1"/>
    <xf borderId="0" fillId="0" fontId="64" numFmtId="0" xfId="0" applyFont="1"/>
    <xf borderId="5" fillId="13" fontId="65" numFmtId="0" xfId="0" applyAlignment="1" applyBorder="1" applyFill="1" applyFont="1">
      <alignment horizontal="left" vertical="center"/>
    </xf>
    <xf borderId="62" fillId="17" fontId="1" numFmtId="0" xfId="0" applyAlignment="1" applyBorder="1" applyFill="1" applyFont="1">
      <alignment horizontal="left"/>
    </xf>
    <xf borderId="52" fillId="0" fontId="4" numFmtId="0" xfId="0" applyBorder="1" applyFont="1"/>
    <xf borderId="12" fillId="0" fontId="11" numFmtId="0" xfId="0" applyAlignment="1" applyBorder="1" applyFont="1">
      <alignment horizontal="center" vertical="center"/>
    </xf>
    <xf borderId="60" fillId="0" fontId="4" numFmtId="0" xfId="0" applyAlignment="1" applyBorder="1" applyFont="1">
      <alignment horizontal="left"/>
    </xf>
    <xf borderId="26" fillId="18" fontId="7" numFmtId="0" xfId="0" applyBorder="1" applyFill="1" applyFont="1"/>
    <xf borderId="51" fillId="0" fontId="1" numFmtId="166" xfId="0" applyBorder="1" applyFont="1" applyNumberFormat="1"/>
    <xf borderId="5" fillId="13" fontId="66" numFmtId="0" xfId="0" applyAlignment="1" applyBorder="1" applyFill="1" applyFont="1">
      <alignment horizontal="left" vertical="center"/>
    </xf>
    <xf borderId="28" fillId="18" fontId="7" numFmtId="0" xfId="0" applyAlignment="1" applyBorder="1" applyFill="1" applyFont="1">
      <alignment horizontal="right"/>
    </xf>
    <xf borderId="34" fillId="18" fontId="7" numFmtId="0" xfId="0" applyBorder="1" applyFill="1" applyFont="1"/>
    <xf borderId="19" fillId="18" fontId="11" numFmtId="0" xfId="0" applyAlignment="1" applyBorder="1" applyFill="1" applyFont="1">
      <alignment horizontal="center" shrinkToFit="0" vertical="center" wrapText="1"/>
    </xf>
    <xf borderId="5" fillId="0" fontId="1" numFmtId="166" xfId="0" applyBorder="1" applyFont="1" applyNumberFormat="1"/>
    <xf borderId="47" fillId="18" fontId="7" numFmtId="0" xfId="0" applyBorder="1" applyFill="1" applyFont="1"/>
    <xf borderId="27" fillId="18" fontId="7" numFmtId="0" xfId="0" applyBorder="1" applyFill="1" applyFont="1"/>
    <xf borderId="53" fillId="18" fontId="7" numFmtId="0" xfId="0" applyBorder="1" applyFill="1" applyFont="1"/>
    <xf borderId="27" fillId="0" fontId="1" numFmtId="166" xfId="0" applyBorder="1" applyFont="1" applyNumberFormat="1"/>
    <xf borderId="0" fillId="0" fontId="67" numFmtId="0" xfId="0" applyFont="1"/>
    <xf borderId="47" fillId="0" fontId="4" numFmtId="0" xfId="0" applyBorder="1" applyFont="1"/>
    <xf borderId="6" fillId="0" fontId="1" numFmtId="166" xfId="0" applyBorder="1" applyFont="1" applyNumberFormat="1"/>
    <xf borderId="35" fillId="0" fontId="7" numFmtId="0" xfId="0" applyAlignment="1" applyBorder="1" applyFont="1">
      <alignment horizontal="right"/>
    </xf>
    <xf borderId="86" fillId="7" fontId="4" numFmtId="0" xfId="0" applyBorder="1" applyFill="1" applyFont="1"/>
    <xf borderId="19" fillId="0" fontId="1" numFmtId="0" xfId="0" applyAlignment="1" applyBorder="1" applyFont="1">
      <alignment horizontal="center" shrinkToFit="0" vertical="center" wrapText="1"/>
    </xf>
    <xf borderId="88" fillId="7" fontId="13" numFmtId="0" xfId="0" applyAlignment="1" applyBorder="1" applyFill="1" applyFont="1">
      <alignment horizontal="center"/>
    </xf>
    <xf borderId="92" fillId="7" fontId="13" numFmtId="0" xfId="0" applyAlignment="1" applyBorder="1" applyFill="1" applyFont="1">
      <alignment horizontal="center"/>
    </xf>
    <xf borderId="87" fillId="7" fontId="4" numFmtId="0" xfId="0" applyAlignment="1" applyBorder="1" applyFill="1" applyFont="1">
      <alignment horizontal="left"/>
    </xf>
    <xf borderId="0" fillId="0" fontId="68" numFmtId="0" xfId="0" applyAlignment="1" applyFont="1">
      <alignment horizontal="center" shrinkToFit="0" wrapText="1"/>
    </xf>
    <xf borderId="0" fillId="0" fontId="1" numFmtId="2" xfId="0" applyFont="1" applyNumberFormat="1"/>
    <xf borderId="32" fillId="10" fontId="4" numFmtId="0" xfId="0" applyBorder="1" applyFill="1" applyFont="1"/>
    <xf borderId="4" fillId="0" fontId="69" numFmtId="0" xfId="0" applyBorder="1" applyFont="1"/>
    <xf borderId="5" fillId="0" fontId="70" numFmtId="0" xfId="0" applyAlignment="1" applyBorder="1" applyFont="1">
      <alignment horizontal="left" vertical="center"/>
    </xf>
    <xf borderId="35" fillId="10" fontId="13" numFmtId="0" xfId="0" applyAlignment="1" applyBorder="1" applyFill="1" applyFont="1">
      <alignment horizontal="center"/>
    </xf>
    <xf borderId="6" fillId="0" fontId="69" numFmtId="0" xfId="0" applyBorder="1" applyFont="1"/>
    <xf borderId="36" fillId="10" fontId="13" numFmtId="0" xfId="0" applyAlignment="1" applyBorder="1" applyFill="1" applyFont="1">
      <alignment horizontal="center"/>
    </xf>
    <xf borderId="38" fillId="10" fontId="4" numFmtId="0" xfId="0" applyAlignment="1" applyBorder="1" applyFill="1" applyFont="1">
      <alignment horizontal="left"/>
    </xf>
    <xf borderId="0" fillId="0" fontId="7" numFmtId="0" xfId="0" applyAlignment="1" applyFont="1">
      <alignment horizontal="center" shrinkToFit="0" wrapText="1"/>
    </xf>
    <xf borderId="46" fillId="0" fontId="7" numFmtId="0" xfId="0" applyAlignment="1" applyBorder="1" applyFont="1">
      <alignment horizontal="right"/>
    </xf>
    <xf borderId="12" fillId="5" fontId="71" numFmtId="164" xfId="0" applyAlignment="1" applyBorder="1" applyFill="1" applyFont="1" applyNumberFormat="1">
      <alignment horizontal="center"/>
    </xf>
    <xf borderId="8" fillId="5" fontId="8" numFmtId="0" xfId="0" applyAlignment="1" applyBorder="1" applyFill="1" applyFont="1">
      <alignment horizontal="center"/>
    </xf>
    <xf borderId="5" fillId="0" fontId="72" numFmtId="0" xfId="0" applyBorder="1" applyFont="1"/>
    <xf borderId="9" fillId="0" fontId="69" numFmtId="0" xfId="0" applyAlignment="1" applyBorder="1" applyFont="1">
      <alignment horizontal="left"/>
    </xf>
    <xf borderId="19" fillId="0" fontId="4" numFmtId="0" xfId="0" applyAlignment="1" applyBorder="1" applyFont="1">
      <alignment horizontal="center" shrinkToFit="0" wrapText="1"/>
    </xf>
    <xf borderId="0" fillId="0" fontId="4" numFmtId="0" xfId="0" applyAlignment="1" applyFont="1">
      <alignment horizontal="center" shrinkToFit="0" wrapText="1"/>
    </xf>
    <xf borderId="0" fillId="0" fontId="8" numFmtId="0" xfId="0" applyAlignment="1" applyFont="1">
      <alignment horizontal="center" shrinkToFit="0" wrapText="1"/>
    </xf>
    <xf borderId="26" fillId="13" fontId="7" numFmtId="0" xfId="0" applyBorder="1" applyFill="1" applyFont="1"/>
    <xf borderId="28" fillId="13" fontId="7" numFmtId="0" xfId="0" applyAlignment="1" applyBorder="1" applyFill="1" applyFont="1">
      <alignment horizontal="right"/>
    </xf>
    <xf borderId="40" fillId="13" fontId="7" numFmtId="0" xfId="0" applyAlignment="1" applyBorder="1" applyFill="1" applyFont="1">
      <alignment horizontal="right"/>
    </xf>
    <xf borderId="34" fillId="13" fontId="7" numFmtId="0" xfId="0" applyBorder="1" applyFill="1" applyFont="1"/>
    <xf borderId="84" fillId="0" fontId="73" numFmtId="0" xfId="0" applyAlignment="1" applyBorder="1" applyFont="1">
      <alignment horizontal="left" vertical="center"/>
    </xf>
    <xf borderId="0" fillId="0" fontId="7" numFmtId="0" xfId="0" applyAlignment="1" applyFont="1">
      <alignment shrinkToFit="0" wrapText="1"/>
    </xf>
    <xf borderId="19" fillId="0" fontId="1" numFmtId="0" xfId="0" applyAlignment="1" applyBorder="1" applyFont="1">
      <alignment horizontal="center"/>
    </xf>
    <xf borderId="0" fillId="0" fontId="23" numFmtId="0" xfId="0" applyAlignment="1" applyFont="1">
      <alignment horizontal="center"/>
    </xf>
    <xf borderId="24" fillId="5" fontId="21" numFmtId="0" xfId="0" applyBorder="1" applyFill="1" applyFont="1"/>
    <xf borderId="13" fillId="13" fontId="7" numFmtId="0" xfId="0" applyBorder="1" applyFill="1" applyFont="1"/>
    <xf borderId="91" fillId="5" fontId="21" numFmtId="165" xfId="0" applyBorder="1" applyFill="1" applyFont="1" applyNumberFormat="1"/>
    <xf borderId="79" fillId="11" fontId="74" numFmtId="0" xfId="0" applyBorder="1" applyFill="1" applyFont="1"/>
    <xf borderId="5" fillId="13" fontId="7" numFmtId="0" xfId="0" applyBorder="1" applyFill="1" applyFont="1"/>
    <xf borderId="88" fillId="13" fontId="7" numFmtId="0" xfId="0" applyAlignment="1" applyBorder="1" applyFill="1" applyFont="1">
      <alignment horizontal="right"/>
    </xf>
    <xf borderId="18" fillId="13" fontId="7" numFmtId="0" xfId="0" applyBorder="1" applyFill="1" applyFont="1"/>
    <xf borderId="8" fillId="0" fontId="60" numFmtId="0" xfId="0" applyAlignment="1" applyBorder="1" applyFont="1">
      <alignment horizontal="center" vertical="center"/>
    </xf>
    <xf borderId="47" fillId="13" fontId="7" numFmtId="0" xfId="0" applyBorder="1" applyFill="1" applyFont="1"/>
    <xf borderId="27" fillId="13" fontId="7" numFmtId="0" xfId="0" applyBorder="1" applyFill="1" applyFont="1"/>
    <xf borderId="27" fillId="13" fontId="7" numFmtId="0" xfId="0" applyAlignment="1" applyBorder="1" applyFill="1" applyFont="1">
      <alignment horizontal="right"/>
    </xf>
    <xf borderId="53" fillId="13" fontId="7" numFmtId="0" xfId="0" applyBorder="1" applyFill="1" applyFont="1"/>
    <xf borderId="13" fillId="11" fontId="36" numFmtId="0" xfId="0" applyAlignment="1" applyBorder="1" applyFill="1" applyFont="1">
      <alignment horizontal="center" vertical="center"/>
    </xf>
    <xf borderId="19" fillId="0" fontId="38" numFmtId="0" xfId="0" applyAlignment="1" applyBorder="1" applyFont="1">
      <alignment horizontal="center" shrinkToFit="0" vertical="center" wrapText="1"/>
    </xf>
    <xf borderId="0" fillId="0" fontId="38" numFmtId="0" xfId="0" applyAlignment="1" applyFont="1">
      <alignment horizontal="center" shrinkToFit="0" vertical="center" wrapText="1"/>
    </xf>
    <xf borderId="1" fillId="0" fontId="1" numFmtId="0" xfId="0" applyAlignment="1" applyBorder="1" applyFont="1">
      <alignment horizontal="center" shrinkToFit="0" vertical="center" wrapText="1"/>
    </xf>
    <xf borderId="8" fillId="0" fontId="41" numFmtId="0" xfId="0" applyAlignment="1" applyBorder="1" applyFont="1">
      <alignment horizontal="center" vertical="center"/>
    </xf>
    <xf borderId="51" fillId="0" fontId="1" numFmtId="166" xfId="0" applyAlignment="1" applyBorder="1" applyFont="1" applyNumberFormat="1">
      <alignment horizontal="center"/>
    </xf>
    <xf borderId="6" fillId="0" fontId="1" numFmtId="0" xfId="0" applyAlignment="1" applyBorder="1" applyFont="1">
      <alignment horizontal="center" readingOrder="0"/>
    </xf>
    <xf borderId="83" fillId="11" fontId="75" numFmtId="0" xfId="0" applyAlignment="1" applyBorder="1" applyFill="1" applyFont="1">
      <alignment horizontal="center" vertical="center"/>
    </xf>
    <xf borderId="18" fillId="11" fontId="76" numFmtId="0" xfId="0" applyAlignment="1" applyBorder="1" applyFill="1" applyFont="1">
      <alignment horizontal="left" vertical="center"/>
    </xf>
    <xf borderId="8" fillId="3" fontId="1" numFmtId="0" xfId="0" applyAlignment="1" applyBorder="1" applyFill="1" applyFont="1">
      <alignment horizontal="center"/>
    </xf>
    <xf borderId="7" fillId="0" fontId="1" numFmtId="0" xfId="0" applyAlignment="1" applyBorder="1" applyFont="1">
      <alignment horizontal="center" readingOrder="0"/>
    </xf>
    <xf borderId="63" fillId="5" fontId="71" numFmtId="0" xfId="0" applyBorder="1" applyFill="1" applyFont="1"/>
    <xf borderId="74" fillId="5" fontId="8" numFmtId="0" xfId="0" applyBorder="1" applyFill="1" applyFont="1"/>
    <xf borderId="6" fillId="0" fontId="9" numFmtId="2" xfId="0" applyAlignment="1" applyBorder="1" applyFont="1" applyNumberFormat="1">
      <alignment horizontal="center"/>
    </xf>
    <xf borderId="6" fillId="0" fontId="7" numFmtId="2" xfId="0" applyBorder="1" applyFont="1" applyNumberFormat="1"/>
    <xf borderId="93" fillId="13" fontId="36" numFmtId="0" xfId="0" applyAlignment="1" applyBorder="1" applyFill="1" applyFont="1">
      <alignment horizontal="center" vertical="center"/>
    </xf>
    <xf borderId="94" fillId="13" fontId="77" numFmtId="0" xfId="0" applyAlignment="1" applyBorder="1" applyFill="1" applyFont="1">
      <alignment horizontal="left" vertical="center"/>
    </xf>
    <xf borderId="27" fillId="13" fontId="1" numFmtId="2" xfId="0" applyAlignment="1" applyBorder="1" applyFill="1" applyFont="1" applyNumberFormat="1">
      <alignment horizontal="left" vertical="center"/>
    </xf>
    <xf borderId="0" fillId="0" fontId="12" numFmtId="0" xfId="0" applyAlignment="1" applyFont="1">
      <alignment horizontal="left"/>
    </xf>
    <xf borderId="0" fillId="0" fontId="71" numFmtId="0" xfId="0" applyFont="1"/>
    <xf borderId="0" fillId="0" fontId="71" numFmtId="0" xfId="0" applyAlignment="1" applyFont="1">
      <alignment horizontal="right"/>
    </xf>
    <xf borderId="0" fillId="0" fontId="38" numFmtId="0" xfId="0" applyFont="1"/>
    <xf borderId="8" fillId="0" fontId="78" numFmtId="0" xfId="0" applyAlignment="1" applyBorder="1" applyFont="1">
      <alignment horizontal="center" vertical="center"/>
    </xf>
    <xf borderId="47" fillId="0" fontId="21" numFmtId="0" xfId="0" applyBorder="1" applyFont="1"/>
    <xf borderId="27" fillId="0" fontId="21" numFmtId="0" xfId="0" applyBorder="1" applyFont="1"/>
    <xf borderId="27" fillId="0" fontId="21" numFmtId="0" xfId="0" applyAlignment="1" applyBorder="1" applyFont="1">
      <alignment horizontal="right"/>
    </xf>
    <xf borderId="53" fillId="0" fontId="21" numFmtId="0" xfId="0" applyBorder="1" applyFont="1"/>
    <xf borderId="12" fillId="0" fontId="11" numFmtId="0" xfId="0" applyAlignment="1" applyBorder="1" applyFont="1">
      <alignment shrinkToFit="0" vertical="center" wrapText="1"/>
    </xf>
    <xf borderId="8" fillId="0" fontId="2" numFmtId="0" xfId="0" applyAlignment="1" applyBorder="1" applyFont="1">
      <alignment horizontal="center"/>
    </xf>
    <xf borderId="1" fillId="0" fontId="1" numFmtId="0" xfId="0" applyAlignment="1" applyBorder="1" applyFont="1">
      <alignment horizontal="center" vertical="center"/>
    </xf>
    <xf borderId="1" fillId="0" fontId="79" numFmtId="0" xfId="0" applyAlignment="1" applyBorder="1" applyFont="1">
      <alignment horizontal="center" shrinkToFit="0" vertical="center" wrapText="1"/>
    </xf>
    <xf borderId="53" fillId="13" fontId="26" numFmtId="0" xfId="0" applyAlignment="1" applyBorder="1" applyFill="1" applyFont="1">
      <alignment horizontal="left" vertical="center"/>
    </xf>
    <xf borderId="27" fillId="0" fontId="7" numFmtId="2" xfId="0" applyBorder="1" applyFont="1" applyNumberFormat="1"/>
    <xf borderId="4" fillId="5" fontId="21" numFmtId="0" xfId="0" applyBorder="1" applyFill="1" applyFont="1"/>
    <xf borderId="9" fillId="5" fontId="21" numFmtId="165" xfId="0" applyBorder="1" applyFill="1" applyFont="1" applyNumberFormat="1"/>
    <xf borderId="13" fillId="19" fontId="5" numFmtId="0" xfId="0" applyBorder="1" applyFill="1" applyFont="1"/>
    <xf borderId="5" fillId="19" fontId="4" numFmtId="2" xfId="0" applyAlignment="1" applyBorder="1" applyFill="1" applyFont="1" applyNumberFormat="1">
      <alignment horizontal="center"/>
    </xf>
    <xf borderId="5" fillId="19" fontId="7" numFmtId="0" xfId="0" applyAlignment="1" applyBorder="1" applyFill="1" applyFont="1">
      <alignment horizontal="center"/>
    </xf>
    <xf borderId="17" fillId="19" fontId="7" numFmtId="0" xfId="0" applyAlignment="1" applyBorder="1" applyFill="1" applyFont="1">
      <alignment horizontal="center"/>
    </xf>
    <xf borderId="18" fillId="19" fontId="9" numFmtId="0" xfId="0" applyAlignment="1" applyBorder="1" applyFill="1" applyFont="1">
      <alignment horizontal="left"/>
    </xf>
    <xf borderId="47" fillId="5" fontId="21" numFmtId="0" xfId="0" applyBorder="1" applyFill="1" applyFont="1"/>
    <xf borderId="53" fillId="5" fontId="21" numFmtId="165" xfId="0" applyBorder="1" applyFill="1" applyFont="1" applyNumberFormat="1"/>
    <xf borderId="13" fillId="19" fontId="5" numFmtId="0" xfId="0" applyAlignment="1" applyBorder="1" applyFill="1" applyFont="1">
      <alignment horizontal="left"/>
    </xf>
    <xf borderId="5" fillId="19" fontId="4" numFmtId="0" xfId="0" applyAlignment="1" applyBorder="1" applyFill="1" applyFont="1">
      <alignment horizontal="center"/>
    </xf>
    <xf borderId="18" fillId="19" fontId="4" numFmtId="0" xfId="0" applyAlignment="1" applyBorder="1" applyFill="1" applyFont="1">
      <alignment horizontal="left"/>
    </xf>
    <xf borderId="13" fillId="15" fontId="5" numFmtId="0" xfId="0" applyBorder="1" applyFill="1" applyFont="1"/>
    <xf borderId="5" fillId="15" fontId="4" numFmtId="2" xfId="0" applyAlignment="1" applyBorder="1" applyFill="1" applyFont="1" applyNumberFormat="1">
      <alignment horizontal="center"/>
    </xf>
    <xf borderId="5" fillId="15" fontId="7" numFmtId="0" xfId="0" applyAlignment="1" applyBorder="1" applyFill="1" applyFont="1">
      <alignment horizontal="center"/>
    </xf>
    <xf borderId="17" fillId="15" fontId="7" numFmtId="0" xfId="0" applyAlignment="1" applyBorder="1" applyFill="1" applyFont="1">
      <alignment horizontal="center"/>
    </xf>
    <xf borderId="18" fillId="15" fontId="9" numFmtId="0" xfId="0" applyAlignment="1" applyBorder="1" applyFill="1" applyFont="1">
      <alignment horizontal="left"/>
    </xf>
    <xf borderId="86" fillId="15" fontId="5" numFmtId="0" xfId="0" applyAlignment="1" applyBorder="1" applyFill="1" applyFont="1">
      <alignment horizontal="left"/>
    </xf>
    <xf borderId="88" fillId="15" fontId="4" numFmtId="0" xfId="0" applyAlignment="1" applyBorder="1" applyFill="1" applyFont="1">
      <alignment horizontal="center"/>
    </xf>
    <xf borderId="88" fillId="15" fontId="7" numFmtId="0" xfId="0" applyAlignment="1" applyBorder="1" applyFill="1" applyFont="1">
      <alignment horizontal="center"/>
    </xf>
    <xf borderId="92" fillId="15" fontId="7" numFmtId="0" xfId="0" applyAlignment="1" applyBorder="1" applyFill="1" applyFont="1">
      <alignment horizontal="center"/>
    </xf>
    <xf borderId="87" fillId="15" fontId="4" numFmtId="0" xfId="0" applyAlignment="1" applyBorder="1" applyFill="1" applyFont="1">
      <alignment horizontal="left"/>
    </xf>
    <xf borderId="4" fillId="0" fontId="5" numFmtId="0" xfId="0" applyBorder="1" applyFont="1"/>
    <xf borderId="47" fillId="0" fontId="5" numFmtId="0" xfId="0" applyBorder="1" applyFont="1"/>
    <xf borderId="27" fillId="0" fontId="4" numFmtId="2" xfId="0" applyAlignment="1" applyBorder="1" applyFont="1" applyNumberFormat="1">
      <alignment horizontal="center"/>
    </xf>
    <xf borderId="7" fillId="0" fontId="4" numFmtId="2" xfId="0" applyAlignment="1" applyBorder="1" applyFont="1" applyNumberFormat="1">
      <alignment horizontal="center"/>
    </xf>
    <xf borderId="19" fillId="0" fontId="50" numFmtId="0" xfId="0" applyAlignment="1" applyBorder="1" applyFont="1">
      <alignment horizontal="center" shrinkToFit="0" vertical="center" wrapText="1"/>
    </xf>
    <xf borderId="5" fillId="0" fontId="7" numFmtId="2" xfId="0" applyAlignment="1" applyBorder="1" applyFont="1" applyNumberFormat="1">
      <alignment horizontal="center"/>
    </xf>
    <xf borderId="17" fillId="0" fontId="7" numFmtId="2" xfId="0" applyAlignment="1" applyBorder="1" applyFont="1" applyNumberFormat="1">
      <alignment horizontal="center"/>
    </xf>
    <xf borderId="5" fillId="19" fontId="7" numFmtId="2" xfId="0" applyAlignment="1" applyBorder="1" applyFill="1" applyFont="1" applyNumberFormat="1">
      <alignment horizontal="center"/>
    </xf>
    <xf borderId="17" fillId="19" fontId="7" numFmtId="2" xfId="0" applyAlignment="1" applyBorder="1" applyFill="1" applyFont="1" applyNumberFormat="1">
      <alignment horizontal="center"/>
    </xf>
    <xf borderId="5" fillId="15" fontId="7" numFmtId="2" xfId="0" applyAlignment="1" applyBorder="1" applyFill="1" applyFont="1" applyNumberFormat="1">
      <alignment horizontal="center"/>
    </xf>
    <xf borderId="17" fillId="15" fontId="7" numFmtId="2" xfId="0" applyAlignment="1" applyBorder="1" applyFill="1" applyFont="1" applyNumberFormat="1">
      <alignment horizontal="center"/>
    </xf>
    <xf borderId="88" fillId="15" fontId="4" numFmtId="2" xfId="0" applyAlignment="1" applyBorder="1" applyFill="1" applyFont="1" applyNumberFormat="1">
      <alignment horizontal="center"/>
    </xf>
    <xf borderId="5" fillId="11" fontId="80" numFmtId="0" xfId="0" applyBorder="1" applyFill="1" applyFont="1"/>
    <xf borderId="88" fillId="15" fontId="7" numFmtId="2" xfId="0" applyAlignment="1" applyBorder="1" applyFill="1" applyFont="1" applyNumberFormat="1">
      <alignment horizontal="center"/>
    </xf>
    <xf borderId="92" fillId="15" fontId="7" numFmtId="2" xfId="0" applyAlignment="1" applyBorder="1" applyFill="1" applyFont="1" applyNumberFormat="1">
      <alignment horizontal="center"/>
    </xf>
    <xf borderId="6" fillId="0" fontId="7" numFmtId="2" xfId="0" applyAlignment="1" applyBorder="1" applyFont="1" applyNumberFormat="1">
      <alignment horizontal="center"/>
    </xf>
    <xf borderId="7" fillId="0" fontId="7" numFmtId="2" xfId="0" applyAlignment="1" applyBorder="1" applyFont="1" applyNumberFormat="1">
      <alignment horizontal="center"/>
    </xf>
    <xf borderId="27" fillId="0" fontId="7" numFmtId="2" xfId="0" applyAlignment="1" applyBorder="1" applyFont="1" applyNumberFormat="1">
      <alignment horizontal="center"/>
    </xf>
    <xf borderId="50" fillId="0" fontId="7" numFmtId="2" xfId="0" applyAlignment="1" applyBorder="1" applyFont="1" applyNumberFormat="1">
      <alignment horizontal="center"/>
    </xf>
    <xf borderId="0" fillId="0" fontId="1" numFmtId="2" xfId="0" applyAlignment="1" applyFont="1" applyNumberFormat="1">
      <alignment horizontal="center"/>
    </xf>
    <xf borderId="0" fillId="0" fontId="4" numFmtId="2" xfId="0" applyAlignment="1" applyFont="1" applyNumberFormat="1">
      <alignment horizontal="center"/>
    </xf>
    <xf borderId="38" fillId="5" fontId="71" numFmtId="15" xfId="0" applyAlignment="1" applyBorder="1" applyFill="1" applyFont="1" applyNumberFormat="1">
      <alignment horizontal="right"/>
    </xf>
    <xf borderId="38" fillId="5" fontId="7" numFmtId="2" xfId="0" applyAlignment="1" applyBorder="1" applyFill="1" applyFont="1" applyNumberFormat="1">
      <alignment horizontal="center"/>
    </xf>
    <xf borderId="10" fillId="0" fontId="6" numFmtId="0" xfId="0" applyAlignment="1" applyBorder="1" applyFont="1">
      <alignment horizontal="center" vertical="center"/>
    </xf>
    <xf borderId="11" fillId="0" fontId="6" numFmtId="0" xfId="0" applyAlignment="1" applyBorder="1" applyFont="1">
      <alignment horizontal="center" vertical="center"/>
    </xf>
    <xf borderId="4" fillId="0" fontId="7" numFmtId="0" xfId="0" applyAlignment="1" applyBorder="1" applyFont="1">
      <alignment horizontal="left"/>
    </xf>
    <xf borderId="9" fillId="0" fontId="7" numFmtId="0" xfId="0" applyAlignment="1" applyBorder="1" applyFont="1">
      <alignment horizontal="left"/>
    </xf>
    <xf borderId="13" fillId="5" fontId="7" numFmtId="0" xfId="0" applyBorder="1" applyFill="1" applyFont="1"/>
    <xf borderId="83" fillId="0" fontId="21" numFmtId="0" xfId="0" applyAlignment="1" applyBorder="1" applyFont="1">
      <alignment horizontal="left" vertical="center"/>
    </xf>
    <xf borderId="95" fillId="0" fontId="81" numFmtId="0" xfId="0" applyAlignment="1" applyBorder="1" applyFont="1">
      <alignment horizontal="left"/>
    </xf>
    <xf borderId="51" fillId="0" fontId="1" numFmtId="0" xfId="0" applyAlignment="1" applyBorder="1" applyFont="1">
      <alignment horizontal="left" vertical="center"/>
    </xf>
    <xf borderId="18" fillId="0" fontId="1" numFmtId="0" xfId="0" applyAlignment="1" applyBorder="1" applyFont="1">
      <alignment horizontal="left" vertical="center"/>
    </xf>
    <xf borderId="5" fillId="5" fontId="7" numFmtId="2" xfId="0" applyAlignment="1" applyBorder="1" applyFill="1" applyFont="1" applyNumberFormat="1">
      <alignment horizontal="center"/>
    </xf>
    <xf borderId="88" fillId="5" fontId="1" numFmtId="0" xfId="0" applyBorder="1" applyFill="1" applyFont="1"/>
    <xf borderId="47" fillId="13" fontId="36" numFmtId="0" xfId="0" applyAlignment="1" applyBorder="1" applyFill="1" applyFont="1">
      <alignment horizontal="center" vertical="center"/>
    </xf>
    <xf borderId="17" fillId="5" fontId="7" numFmtId="2" xfId="0" applyAlignment="1" applyBorder="1" applyFill="1" applyFont="1" applyNumberFormat="1">
      <alignment horizontal="center"/>
    </xf>
    <xf borderId="27" fillId="13" fontId="82" numFmtId="0" xfId="0" applyAlignment="1" applyBorder="1" applyFill="1" applyFont="1">
      <alignment horizontal="left" vertical="center"/>
    </xf>
    <xf borderId="18" fillId="5" fontId="7" numFmtId="0" xfId="0" applyAlignment="1" applyBorder="1" applyFill="1" applyFont="1">
      <alignment horizontal="left"/>
    </xf>
    <xf borderId="26" fillId="20" fontId="7" numFmtId="0" xfId="0" applyBorder="1" applyFill="1" applyFont="1"/>
    <xf borderId="28" fillId="20" fontId="7" numFmtId="0" xfId="0" applyAlignment="1" applyBorder="1" applyFill="1" applyFont="1">
      <alignment horizontal="center"/>
    </xf>
    <xf borderId="96" fillId="20" fontId="7" numFmtId="0" xfId="0" applyAlignment="1" applyBorder="1" applyFill="1" applyFont="1">
      <alignment horizontal="center"/>
    </xf>
    <xf borderId="34" fillId="20" fontId="7" numFmtId="0" xfId="0" applyAlignment="1" applyBorder="1" applyFill="1" applyFont="1">
      <alignment horizontal="left"/>
    </xf>
    <xf borderId="1" fillId="0" fontId="59" numFmtId="0" xfId="0" applyAlignment="1" applyBorder="1" applyFont="1">
      <alignment horizontal="center" shrinkToFit="0" vertical="center" wrapText="1"/>
    </xf>
    <xf borderId="0" fillId="0" fontId="43" numFmtId="0" xfId="0" applyAlignment="1" applyFont="1">
      <alignment horizontal="center" shrinkToFit="0" vertical="center" wrapText="1"/>
    </xf>
    <xf borderId="32" fillId="0" fontId="21" numFmtId="0" xfId="0" applyBorder="1" applyFont="1"/>
    <xf borderId="35" fillId="0" fontId="21" numFmtId="0" xfId="0" applyBorder="1" applyFont="1"/>
    <xf borderId="35" fillId="0" fontId="21" numFmtId="0" xfId="0" applyAlignment="1" applyBorder="1" applyFont="1">
      <alignment horizontal="right"/>
    </xf>
    <xf borderId="38" fillId="0" fontId="21" numFmtId="0" xfId="0" applyBorder="1" applyFont="1"/>
    <xf borderId="0" fillId="0" fontId="7" numFmtId="0" xfId="0" applyAlignment="1" applyFont="1">
      <alignment horizontal="left"/>
    </xf>
    <xf borderId="1" fillId="21" fontId="12" numFmtId="0" xfId="0" applyAlignment="1" applyBorder="1" applyFill="1" applyFont="1">
      <alignment horizontal="center" shrinkToFit="0" wrapText="1"/>
    </xf>
    <xf borderId="37" fillId="0" fontId="59" numFmtId="0" xfId="0" applyAlignment="1" applyBorder="1" applyFont="1">
      <alignment shrinkToFit="0" vertical="center" wrapText="1"/>
    </xf>
    <xf borderId="1" fillId="0" fontId="8" numFmtId="0" xfId="0" applyAlignment="1" applyBorder="1" applyFont="1">
      <alignment horizontal="center" vertical="top"/>
    </xf>
    <xf borderId="0" fillId="21" fontId="12" numFmtId="0" xfId="0" applyAlignment="1" applyFill="1" applyFont="1">
      <alignment horizontal="center" shrinkToFit="0" wrapText="1"/>
    </xf>
    <xf borderId="31" fillId="0" fontId="1" numFmtId="0" xfId="0" applyAlignment="1" applyBorder="1" applyFont="1">
      <alignment vertical="center"/>
    </xf>
    <xf borderId="12" fillId="3" fontId="50" numFmtId="0" xfId="0" applyAlignment="1" applyBorder="1" applyFill="1" applyFont="1">
      <alignment horizontal="center" vertical="center"/>
    </xf>
    <xf borderId="15" fillId="0" fontId="7" numFmtId="0" xfId="0" applyAlignment="1" applyBorder="1" applyFont="1">
      <alignment readingOrder="0"/>
    </xf>
    <xf borderId="31" fillId="0" fontId="1" numFmtId="0" xfId="0" applyBorder="1" applyFont="1"/>
    <xf borderId="37" fillId="0" fontId="59" numFmtId="0" xfId="0" applyAlignment="1" applyBorder="1" applyFont="1">
      <alignment horizontal="center" shrinkToFit="0" vertical="center" wrapText="1"/>
    </xf>
    <xf borderId="45" fillId="0" fontId="59" numFmtId="0" xfId="0" applyAlignment="1" applyBorder="1" applyFont="1">
      <alignment horizontal="center" shrinkToFit="0" vertical="center" wrapText="1"/>
    </xf>
    <xf borderId="8" fillId="0" fontId="12" numFmtId="0" xfId="0" applyAlignment="1" applyBorder="1" applyFont="1">
      <alignment horizontal="center"/>
    </xf>
    <xf borderId="51" fillId="0" fontId="7" numFmtId="2" xfId="0" applyBorder="1" applyFont="1" applyNumberFormat="1"/>
    <xf borderId="6" fillId="0" fontId="7" numFmtId="0" xfId="0" applyAlignment="1" applyBorder="1" applyFont="1">
      <alignment horizontal="center" readingOrder="0"/>
    </xf>
    <xf borderId="18" fillId="0" fontId="83" numFmtId="0" xfId="0" applyBorder="1" applyFont="1"/>
    <xf borderId="19" fillId="0" fontId="1" numFmtId="0" xfId="0" applyAlignment="1" applyBorder="1" applyFont="1">
      <alignment horizontal="center" vertical="center"/>
    </xf>
    <xf borderId="7" fillId="0" fontId="7" numFmtId="0" xfId="0" applyAlignment="1" applyBorder="1" applyFont="1">
      <alignment horizontal="center" readingOrder="0"/>
    </xf>
    <xf borderId="9" fillId="0" fontId="83" numFmtId="0" xfId="0" applyBorder="1" applyFont="1"/>
    <xf borderId="60" fillId="0" fontId="83" numFmtId="0" xfId="0" applyBorder="1" applyFont="1"/>
    <xf borderId="18" fillId="0" fontId="7" numFmtId="0" xfId="0" applyAlignment="1" applyBorder="1" applyFont="1">
      <alignment horizontal="left"/>
    </xf>
    <xf borderId="53" fillId="0" fontId="83" numFmtId="0" xfId="0" applyBorder="1" applyFont="1"/>
    <xf borderId="13" fillId="0" fontId="21" numFmtId="0" xfId="0" applyAlignment="1" applyBorder="1" applyFont="1">
      <alignment horizontal="left" vertical="center"/>
    </xf>
    <xf borderId="52" fillId="0" fontId="7" numFmtId="0" xfId="0" applyAlignment="1" applyBorder="1" applyFont="1">
      <alignment horizontal="left" vertical="top"/>
    </xf>
    <xf borderId="5" fillId="0" fontId="1" numFmtId="0" xfId="0" applyAlignment="1" applyBorder="1" applyFont="1">
      <alignment horizontal="left" vertical="center"/>
    </xf>
    <xf borderId="3" fillId="0" fontId="11" numFmtId="0" xfId="0" applyAlignment="1" applyBorder="1" applyFont="1">
      <alignment horizontal="center" vertical="center"/>
    </xf>
    <xf borderId="35" fillId="0" fontId="7" numFmtId="2" xfId="0" applyAlignment="1" applyBorder="1" applyFont="1" applyNumberFormat="1">
      <alignment horizontal="center"/>
    </xf>
    <xf borderId="36" fillId="0" fontId="7" numFmtId="2" xfId="0" applyAlignment="1" applyBorder="1" applyFont="1" applyNumberFormat="1">
      <alignment horizontal="center"/>
    </xf>
    <xf borderId="38" fillId="0" fontId="7" numFmtId="0" xfId="0" applyAlignment="1" applyBorder="1" applyFont="1">
      <alignment horizontal="left"/>
    </xf>
    <xf borderId="35" fillId="0" fontId="7" numFmtId="2" xfId="0" applyBorder="1" applyFont="1" applyNumberFormat="1"/>
    <xf borderId="12" fillId="0" fontId="11" numFmtId="0" xfId="0" applyAlignment="1" applyBorder="1" applyFont="1">
      <alignment horizontal="center" shrinkToFit="0" vertical="center" wrapText="1"/>
    </xf>
    <xf borderId="86" fillId="15" fontId="1" numFmtId="0" xfId="0" applyBorder="1" applyFill="1" applyFont="1"/>
    <xf borderId="32" fillId="5" fontId="8" numFmtId="0" xfId="0" applyBorder="1" applyFill="1" applyFont="1"/>
    <xf borderId="0" fillId="0" fontId="1" numFmtId="0" xfId="0" applyAlignment="1" applyFont="1">
      <alignment horizontal="center" shrinkToFit="0" vertical="center" wrapText="1"/>
    </xf>
    <xf borderId="1" fillId="3" fontId="7" numFmtId="0" xfId="0" applyAlignment="1" applyBorder="1" applyFill="1" applyFont="1">
      <alignment horizontal="center" shrinkToFit="0" wrapText="1"/>
    </xf>
    <xf borderId="88" fillId="15" fontId="1" numFmtId="0" xfId="0" applyBorder="1" applyFill="1" applyFont="1"/>
    <xf borderId="5" fillId="0" fontId="84" numFmtId="0" xfId="0" applyAlignment="1" applyBorder="1" applyFont="1">
      <alignment horizontal="left"/>
    </xf>
    <xf borderId="22" fillId="0" fontId="7" numFmtId="166" xfId="0" applyAlignment="1" applyBorder="1" applyFont="1" applyNumberFormat="1">
      <alignment horizontal="center"/>
    </xf>
    <xf borderId="88" fillId="15" fontId="1" numFmtId="0" xfId="0" applyAlignment="1" applyBorder="1" applyFill="1" applyFont="1">
      <alignment horizontal="right"/>
    </xf>
    <xf borderId="30" fillId="0" fontId="7" numFmtId="0" xfId="0" applyAlignment="1" applyBorder="1" applyFont="1">
      <alignment horizontal="left"/>
    </xf>
    <xf borderId="87" fillId="15" fontId="1" numFmtId="0" xfId="0" applyBorder="1" applyFill="1" applyFont="1"/>
    <xf borderId="5" fillId="5" fontId="21" numFmtId="0" xfId="0" applyBorder="1" applyFill="1" applyFont="1"/>
    <xf borderId="5" fillId="5" fontId="85" numFmtId="15" xfId="0" applyAlignment="1" applyBorder="1" applyFill="1" applyFont="1" applyNumberFormat="1">
      <alignment horizontal="center"/>
    </xf>
    <xf borderId="70" fillId="22" fontId="1" numFmtId="0" xfId="0" applyBorder="1" applyFill="1" applyFont="1"/>
    <xf borderId="82" fillId="22" fontId="1" numFmtId="0" xfId="0" applyBorder="1" applyFill="1" applyFont="1"/>
    <xf borderId="75" fillId="5" fontId="1" numFmtId="164" xfId="0" applyBorder="1" applyFill="1" applyFont="1" applyNumberFormat="1"/>
    <xf borderId="82" fillId="22" fontId="1" numFmtId="0" xfId="0" applyAlignment="1" applyBorder="1" applyFill="1" applyFont="1">
      <alignment horizontal="right"/>
    </xf>
    <xf borderId="78" fillId="22" fontId="1" numFmtId="0" xfId="0" applyBorder="1" applyFill="1" applyFont="1"/>
    <xf borderId="12" fillId="22" fontId="1" numFmtId="0" xfId="0" applyBorder="1" applyFill="1" applyFont="1"/>
    <xf borderId="1" fillId="5" fontId="1" numFmtId="0" xfId="0" applyAlignment="1" applyBorder="1" applyFill="1" applyFont="1">
      <alignment horizontal="center" shrinkToFit="0" wrapText="1"/>
    </xf>
    <xf borderId="78" fillId="5" fontId="21" numFmtId="164" xfId="0" applyAlignment="1" applyBorder="1" applyFill="1" applyFont="1" applyNumberFormat="1">
      <alignment horizontal="center"/>
    </xf>
    <xf borderId="14" fillId="0" fontId="9" numFmtId="0" xfId="0" applyBorder="1" applyFont="1"/>
    <xf borderId="51" fillId="0" fontId="1" numFmtId="0" xfId="0" applyAlignment="1" applyBorder="1" applyFont="1">
      <alignment horizontal="right" readingOrder="0"/>
    </xf>
    <xf borderId="0" fillId="5" fontId="21" numFmtId="164" xfId="0" applyAlignment="1" applyFill="1" applyFont="1" applyNumberFormat="1">
      <alignment horizontal="center"/>
    </xf>
    <xf borderId="15" fillId="0" fontId="13" numFmtId="0" xfId="0" applyAlignment="1" applyBorder="1" applyFont="1">
      <alignment horizontal="right" readingOrder="0"/>
    </xf>
    <xf borderId="57" fillId="0" fontId="7" numFmtId="2" xfId="0" applyBorder="1" applyFont="1" applyNumberFormat="1"/>
    <xf borderId="16" fillId="0" fontId="83" numFmtId="0" xfId="0" applyBorder="1" applyFont="1"/>
    <xf borderId="70" fillId="5" fontId="21" numFmtId="0" xfId="0" applyBorder="1" applyFill="1" applyFont="1"/>
    <xf borderId="78" fillId="5" fontId="21" numFmtId="15" xfId="0" applyAlignment="1" applyBorder="1" applyFill="1" applyFont="1" applyNumberFormat="1">
      <alignment horizontal="center"/>
    </xf>
    <xf borderId="19" fillId="0" fontId="7" numFmtId="0" xfId="0" applyAlignment="1" applyBorder="1" applyFont="1">
      <alignment horizontal="center" vertical="center"/>
    </xf>
    <xf borderId="4" fillId="17" fontId="9" numFmtId="0" xfId="0" applyBorder="1" applyFill="1" applyFont="1"/>
    <xf borderId="19" fillId="0" fontId="86" numFmtId="0" xfId="0" applyAlignment="1" applyBorder="1" applyFont="1">
      <alignment horizontal="center" shrinkToFit="0" vertical="center" wrapText="1"/>
    </xf>
    <xf borderId="11" fillId="0" fontId="86" numFmtId="0" xfId="0" applyAlignment="1" applyBorder="1" applyFont="1">
      <alignment horizontal="center" shrinkToFit="0" vertical="center" wrapText="1"/>
    </xf>
    <xf borderId="6" fillId="17" fontId="13" numFmtId="0" xfId="0" applyAlignment="1" applyBorder="1" applyFill="1" applyFont="1">
      <alignment horizontal="right"/>
    </xf>
    <xf borderId="75" fillId="5" fontId="87" numFmtId="2" xfId="0" applyAlignment="1" applyBorder="1" applyFill="1" applyFont="1" applyNumberFormat="1">
      <alignment horizontal="center" vertical="center"/>
    </xf>
    <xf borderId="9" fillId="17" fontId="83" numFmtId="0" xfId="0" applyBorder="1" applyFill="1" applyFont="1"/>
    <xf borderId="14" fillId="0" fontId="5" numFmtId="0" xfId="0" applyAlignment="1" applyBorder="1" applyFont="1">
      <alignment horizontal="left"/>
    </xf>
    <xf borderId="15" fillId="0" fontId="4" numFmtId="2" xfId="0" applyAlignment="1" applyBorder="1" applyFont="1" applyNumberFormat="1">
      <alignment horizontal="center"/>
    </xf>
    <xf borderId="29" fillId="0" fontId="4" numFmtId="2" xfId="0" applyAlignment="1" applyBorder="1" applyFont="1" applyNumberFormat="1">
      <alignment horizontal="center"/>
    </xf>
    <xf borderId="16" fillId="0" fontId="9" numFmtId="0" xfId="0" applyAlignment="1" applyBorder="1" applyFont="1">
      <alignment horizontal="left"/>
    </xf>
    <xf borderId="0" fillId="0" fontId="86" numFmtId="0" xfId="0" applyAlignment="1" applyFont="1">
      <alignment horizontal="center" shrinkToFit="0" vertical="center" wrapText="1"/>
    </xf>
    <xf borderId="97" fillId="0" fontId="12" numFmtId="0" xfId="0" applyAlignment="1" applyBorder="1" applyFont="1">
      <alignment horizontal="center" vertical="center"/>
    </xf>
    <xf borderId="3" fillId="0" fontId="1" numFmtId="0" xfId="0" applyAlignment="1" applyBorder="1" applyFont="1">
      <alignment horizontal="center" shrinkToFit="0" vertical="center" wrapText="1"/>
    </xf>
    <xf borderId="26" fillId="17" fontId="9" numFmtId="0" xfId="0" applyBorder="1" applyFill="1" applyFont="1"/>
    <xf borderId="28" fillId="17" fontId="13" numFmtId="0" xfId="0" applyAlignment="1" applyBorder="1" applyFill="1" applyFont="1">
      <alignment horizontal="right"/>
    </xf>
    <xf borderId="30" fillId="0" fontId="12" numFmtId="2" xfId="0" applyAlignment="1" applyBorder="1" applyFont="1" applyNumberFormat="1">
      <alignment horizontal="center"/>
    </xf>
    <xf borderId="34" fillId="17" fontId="83" numFmtId="0" xfId="0" applyBorder="1" applyFill="1" applyFont="1"/>
    <xf borderId="1" fillId="0" fontId="11" numFmtId="0" xfId="0" applyAlignment="1" applyBorder="1" applyFont="1">
      <alignment vertical="center"/>
    </xf>
    <xf borderId="9" fillId="0" fontId="9" numFmtId="2" xfId="0" applyAlignment="1" applyBorder="1" applyFont="1" applyNumberFormat="1">
      <alignment horizontal="left"/>
    </xf>
    <xf borderId="13" fillId="17" fontId="9" numFmtId="0" xfId="0" applyBorder="1" applyFill="1" applyFont="1"/>
    <xf borderId="2" fillId="0" fontId="86" numFmtId="0" xfId="0" applyAlignment="1" applyBorder="1" applyFont="1">
      <alignment horizontal="center" shrinkToFit="0" vertical="center" wrapText="1"/>
    </xf>
    <xf borderId="5" fillId="17" fontId="13" numFmtId="0" xfId="0" applyAlignment="1" applyBorder="1" applyFill="1" applyFont="1">
      <alignment horizontal="right"/>
    </xf>
    <xf borderId="98" fillId="0" fontId="1" numFmtId="0" xfId="0" applyBorder="1" applyFont="1"/>
    <xf borderId="18" fillId="17" fontId="83" numFmtId="0" xfId="0" applyBorder="1" applyFill="1" applyFont="1"/>
    <xf borderId="9" fillId="0" fontId="88" numFmtId="2" xfId="0" applyBorder="1" applyFont="1" applyNumberFormat="1"/>
    <xf borderId="51" fillId="0" fontId="13" numFmtId="0" xfId="0" applyAlignment="1" applyBorder="1" applyFont="1">
      <alignment horizontal="right"/>
    </xf>
    <xf borderId="17" fillId="0" fontId="4" numFmtId="2" xfId="0" applyAlignment="1" applyBorder="1" applyFont="1" applyNumberFormat="1">
      <alignment horizontal="center"/>
    </xf>
    <xf borderId="95" fillId="0" fontId="1" numFmtId="0" xfId="0" applyBorder="1" applyFont="1"/>
    <xf borderId="22" fillId="0" fontId="1" numFmtId="2" xfId="0" applyAlignment="1" applyBorder="1" applyFont="1" applyNumberFormat="1">
      <alignment horizontal="right"/>
    </xf>
    <xf borderId="18" fillId="0" fontId="88" numFmtId="2" xfId="0" applyBorder="1" applyFont="1" applyNumberFormat="1"/>
    <xf borderId="59" fillId="0" fontId="83" numFmtId="0" xfId="0" applyBorder="1" applyFont="1"/>
    <xf borderId="19" fillId="0" fontId="88" numFmtId="0" xfId="0" applyAlignment="1" applyBorder="1" applyFont="1">
      <alignment horizontal="center" shrinkToFit="0" wrapText="1"/>
    </xf>
    <xf borderId="25" fillId="0" fontId="4" numFmtId="2" xfId="0" applyAlignment="1" applyBorder="1" applyFont="1" applyNumberFormat="1">
      <alignment horizontal="center"/>
    </xf>
    <xf borderId="62" fillId="17" fontId="1" numFmtId="0" xfId="0" applyAlignment="1" applyBorder="1" applyFill="1" applyFont="1">
      <alignment horizontal="left" shrinkToFit="0" wrapText="1"/>
    </xf>
    <xf borderId="99" fillId="17" fontId="1" numFmtId="0" xfId="0" applyAlignment="1" applyBorder="1" applyFill="1" applyFont="1">
      <alignment horizontal="left" shrinkToFit="0" wrapText="1"/>
    </xf>
    <xf borderId="61" fillId="17" fontId="1" numFmtId="0" xfId="0" applyBorder="1" applyFill="1" applyFont="1"/>
    <xf borderId="100" fillId="17" fontId="1" numFmtId="2" xfId="0" applyBorder="1" applyFill="1" applyFont="1" applyNumberFormat="1"/>
    <xf borderId="71" fillId="23" fontId="1" numFmtId="0" xfId="0" applyAlignment="1" applyBorder="1" applyFill="1" applyFont="1">
      <alignment horizontal="left" shrinkToFit="0" wrapText="1"/>
    </xf>
    <xf borderId="101" fillId="23" fontId="1" numFmtId="0" xfId="0" applyAlignment="1" applyBorder="1" applyFill="1" applyFont="1">
      <alignment horizontal="left" shrinkToFit="0" wrapText="1"/>
    </xf>
    <xf borderId="61" fillId="23" fontId="1" numFmtId="1" xfId="0" applyBorder="1" applyFill="1" applyFont="1" applyNumberFormat="1"/>
    <xf borderId="30" fillId="0" fontId="83" numFmtId="0" xfId="0" applyBorder="1" applyFont="1"/>
    <xf borderId="100" fillId="23" fontId="1" numFmtId="2" xfId="0" applyBorder="1" applyFill="1" applyFont="1" applyNumberFormat="1"/>
    <xf borderId="71" fillId="9" fontId="1" numFmtId="0" xfId="0" applyAlignment="1" applyBorder="1" applyFill="1" applyFont="1">
      <alignment horizontal="left" shrinkToFit="0" wrapText="1"/>
    </xf>
    <xf borderId="101" fillId="9" fontId="1" numFmtId="0" xfId="0" applyAlignment="1" applyBorder="1" applyFill="1" applyFont="1">
      <alignment horizontal="left" shrinkToFit="0" wrapText="1"/>
    </xf>
    <xf borderId="61" fillId="9" fontId="1" numFmtId="0" xfId="0" applyBorder="1" applyFill="1" applyFont="1"/>
    <xf borderId="100" fillId="9" fontId="1" numFmtId="2" xfId="0" applyBorder="1" applyFill="1" applyFont="1" applyNumberFormat="1"/>
    <xf borderId="59" fillId="0" fontId="9" numFmtId="0" xfId="0" applyBorder="1" applyFont="1"/>
    <xf borderId="71" fillId="24" fontId="1" numFmtId="0" xfId="0" applyAlignment="1" applyBorder="1" applyFill="1" applyFont="1">
      <alignment horizontal="left" shrinkToFit="0" wrapText="1"/>
    </xf>
    <xf borderId="101" fillId="24" fontId="1" numFmtId="0" xfId="0" applyAlignment="1" applyBorder="1" applyFill="1" applyFont="1">
      <alignment horizontal="left" shrinkToFit="0" wrapText="1"/>
    </xf>
    <xf borderId="61" fillId="24" fontId="1" numFmtId="0" xfId="0" applyBorder="1" applyFill="1" applyFont="1"/>
    <xf borderId="100" fillId="24" fontId="1" numFmtId="2" xfId="0" applyBorder="1" applyFill="1" applyFont="1" applyNumberFormat="1"/>
    <xf borderId="12" fillId="5" fontId="8" numFmtId="0" xfId="0" applyBorder="1" applyFill="1" applyFont="1"/>
    <xf borderId="71" fillId="25" fontId="1" numFmtId="0" xfId="0" applyAlignment="1" applyBorder="1" applyFill="1" applyFont="1">
      <alignment shrinkToFit="0" wrapText="1"/>
    </xf>
    <xf borderId="101" fillId="25" fontId="1" numFmtId="0" xfId="0" applyAlignment="1" applyBorder="1" applyFill="1" applyFont="1">
      <alignment shrinkToFit="0" wrapText="1"/>
    </xf>
    <xf borderId="61" fillId="25" fontId="1" numFmtId="0" xfId="0" applyBorder="1" applyFill="1" applyFont="1"/>
    <xf borderId="12" fillId="5" fontId="8" numFmtId="15" xfId="0" applyBorder="1" applyFill="1" applyFont="1" applyNumberFormat="1"/>
    <xf borderId="31" fillId="0" fontId="6" numFmtId="0" xfId="0" applyBorder="1" applyFont="1"/>
    <xf borderId="100" fillId="25" fontId="1" numFmtId="2" xfId="0" applyBorder="1" applyFill="1" applyFont="1" applyNumberFormat="1"/>
    <xf borderId="71" fillId="26" fontId="1" numFmtId="0" xfId="0" applyAlignment="1" applyBorder="1" applyFill="1" applyFont="1">
      <alignment shrinkToFit="0" wrapText="1"/>
    </xf>
    <xf borderId="32" fillId="5" fontId="47" numFmtId="0" xfId="0" applyBorder="1" applyFill="1" applyFont="1"/>
    <xf borderId="101" fillId="26" fontId="1" numFmtId="0" xfId="0" applyAlignment="1" applyBorder="1" applyFill="1" applyFont="1">
      <alignment shrinkToFit="0" wrapText="1"/>
    </xf>
    <xf borderId="61" fillId="26" fontId="1" numFmtId="0" xfId="0" applyBorder="1" applyFill="1" applyFont="1"/>
    <xf borderId="100" fillId="26" fontId="1" numFmtId="2" xfId="0" applyBorder="1" applyFill="1" applyFont="1" applyNumberFormat="1"/>
    <xf borderId="74" fillId="27" fontId="1" numFmtId="0" xfId="0" applyAlignment="1" applyBorder="1" applyFill="1" applyFont="1">
      <alignment shrinkToFit="0" wrapText="1"/>
    </xf>
    <xf borderId="102" fillId="27" fontId="1" numFmtId="0" xfId="0" applyAlignment="1" applyBorder="1" applyFill="1" applyFont="1">
      <alignment shrinkToFit="0" wrapText="1"/>
    </xf>
    <xf borderId="103" fillId="27" fontId="1" numFmtId="0" xfId="0" applyBorder="1" applyFill="1" applyFont="1"/>
    <xf borderId="57" fillId="0" fontId="17" numFmtId="0" xfId="0" applyAlignment="1" applyBorder="1" applyFont="1">
      <alignment horizontal="right"/>
    </xf>
    <xf borderId="38" fillId="3" fontId="7" numFmtId="0" xfId="0" applyAlignment="1" applyBorder="1" applyFill="1" applyFont="1">
      <alignment vertical="center"/>
    </xf>
    <xf borderId="90" fillId="27" fontId="1" numFmtId="2" xfId="0" applyBorder="1" applyFill="1" applyFont="1" applyNumberFormat="1"/>
    <xf borderId="6" fillId="0" fontId="13" numFmtId="0" xfId="0" applyBorder="1" applyFont="1"/>
    <xf borderId="22" fillId="0" fontId="13" numFmtId="0" xfId="0" applyBorder="1" applyFont="1"/>
    <xf borderId="15" fillId="0" fontId="13" numFmtId="0" xfId="0" applyBorder="1" applyFont="1"/>
    <xf borderId="44" fillId="0" fontId="1" numFmtId="0" xfId="0" applyAlignment="1" applyBorder="1" applyFont="1">
      <alignment horizontal="right" readingOrder="0"/>
    </xf>
    <xf borderId="104" fillId="20" fontId="7" numFmtId="0" xfId="0" applyBorder="1" applyFill="1" applyFont="1"/>
    <xf borderId="105" fillId="20" fontId="13" numFmtId="0" xfId="0" applyBorder="1" applyFill="1" applyFont="1"/>
    <xf borderId="41" fillId="20" fontId="7" numFmtId="0" xfId="0" applyBorder="1" applyFill="1" applyFont="1"/>
    <xf borderId="32" fillId="23" fontId="7" numFmtId="0" xfId="0" applyBorder="1" applyFill="1" applyFont="1"/>
    <xf borderId="35" fillId="23" fontId="13" numFmtId="0" xfId="0" applyBorder="1" applyFill="1" applyFont="1"/>
    <xf borderId="38" fillId="23" fontId="7" numFmtId="0" xfId="0" applyBorder="1" applyFill="1" applyFont="1"/>
    <xf borderId="9" fillId="5" fontId="89" numFmtId="2" xfId="0" applyAlignment="1" applyBorder="1" applyFill="1" applyFont="1" applyNumberFormat="1">
      <alignment horizontal="center" vertical="center"/>
    </xf>
    <xf borderId="51" fillId="0" fontId="13" numFmtId="0" xfId="0" applyBorder="1" applyFont="1"/>
    <xf borderId="5" fillId="0" fontId="13" numFmtId="0" xfId="0" applyBorder="1" applyFont="1"/>
    <xf borderId="27" fillId="0" fontId="13" numFmtId="0" xfId="0" applyBorder="1" applyFont="1"/>
    <xf borderId="23" fillId="0" fontId="11" numFmtId="0" xfId="0" applyAlignment="1" applyBorder="1" applyFont="1">
      <alignment horizontal="center" vertical="center"/>
    </xf>
    <xf borderId="13" fillId="0" fontId="38" numFmtId="0" xfId="0" applyBorder="1" applyFont="1"/>
    <xf borderId="7" fillId="0" fontId="1" numFmtId="0" xfId="0" applyAlignment="1" applyBorder="1" applyFont="1">
      <alignment horizontal="right"/>
    </xf>
    <xf borderId="17" fillId="0" fontId="1" numFmtId="0" xfId="0" applyAlignment="1" applyBorder="1" applyFont="1">
      <alignment horizontal="right"/>
    </xf>
    <xf borderId="47" fillId="15" fontId="1" numFmtId="0" xfId="0" applyBorder="1" applyFill="1" applyFont="1"/>
    <xf borderId="27" fillId="15" fontId="1" numFmtId="0" xfId="0" applyBorder="1" applyFill="1" applyFont="1"/>
    <xf borderId="19" fillId="0" fontId="39" numFmtId="0" xfId="0" applyAlignment="1" applyBorder="1" applyFont="1">
      <alignment horizontal="center" shrinkToFit="0" vertical="center" wrapText="1"/>
    </xf>
    <xf borderId="106" fillId="15" fontId="1" numFmtId="0" xfId="0" applyAlignment="1" applyBorder="1" applyFill="1" applyFont="1">
      <alignment horizontal="right"/>
    </xf>
    <xf borderId="53" fillId="15" fontId="1" numFmtId="0" xfId="0" applyBorder="1" applyFill="1" applyFont="1"/>
    <xf borderId="34" fillId="11" fontId="26" numFmtId="0" xfId="0" applyAlignment="1" applyBorder="1" applyFill="1" applyFont="1">
      <alignment horizontal="left" vertical="center"/>
    </xf>
    <xf borderId="0" fillId="0" fontId="36" numFmtId="0" xfId="0" applyAlignment="1" applyFont="1">
      <alignment vertical="center"/>
    </xf>
    <xf borderId="70" fillId="28" fontId="1" numFmtId="0" xfId="0" applyBorder="1" applyFill="1" applyFont="1"/>
    <xf borderId="107" fillId="28" fontId="1" numFmtId="0" xfId="0" applyBorder="1" applyFill="1" applyFont="1"/>
    <xf borderId="74" fillId="28" fontId="1" numFmtId="0" xfId="0" applyAlignment="1" applyBorder="1" applyFill="1" applyFont="1">
      <alignment horizontal="right"/>
    </xf>
    <xf borderId="78" fillId="28" fontId="1" numFmtId="0" xfId="0" applyBorder="1" applyFill="1" applyFont="1"/>
    <xf borderId="47" fillId="11" fontId="36" numFmtId="0" xfId="0" applyAlignment="1" applyBorder="1" applyFill="1" applyFont="1">
      <alignment horizontal="center" vertical="center"/>
    </xf>
    <xf borderId="1" fillId="0" fontId="6" numFmtId="0" xfId="0" applyAlignment="1" applyBorder="1" applyFont="1">
      <alignment horizontal="center" vertical="center"/>
    </xf>
    <xf borderId="27" fillId="11" fontId="90" numFmtId="0" xfId="0" applyBorder="1" applyFill="1" applyFont="1"/>
    <xf borderId="35" fillId="0" fontId="1" numFmtId="0" xfId="0" applyAlignment="1" applyBorder="1" applyFont="1">
      <alignment horizontal="right" readingOrder="0"/>
    </xf>
    <xf borderId="27" fillId="11" fontId="1" numFmtId="2" xfId="0" applyAlignment="1" applyBorder="1" applyFill="1" applyFont="1" applyNumberFormat="1">
      <alignment horizontal="left" vertical="center"/>
    </xf>
    <xf borderId="53" fillId="11" fontId="26" numFmtId="0" xfId="0" applyAlignment="1" applyBorder="1" applyFill="1" applyFont="1">
      <alignment horizontal="left" vertical="center"/>
    </xf>
    <xf borderId="22" fillId="0" fontId="7" numFmtId="0" xfId="0" applyAlignment="1" applyBorder="1" applyFont="1">
      <alignment readingOrder="0"/>
    </xf>
    <xf borderId="19" fillId="0" fontId="91" numFmtId="0" xfId="0" applyAlignment="1" applyBorder="1" applyFont="1">
      <alignment horizontal="center" textRotation="180" vertical="center"/>
    </xf>
    <xf borderId="20" fillId="0" fontId="1" numFmtId="0" xfId="0" applyBorder="1" applyFont="1"/>
    <xf borderId="0" fillId="0" fontId="11" numFmtId="0" xfId="0" applyFont="1"/>
    <xf borderId="1" fillId="0" fontId="11" numFmtId="0" xfId="0" applyAlignment="1" applyBorder="1" applyFont="1">
      <alignment horizontal="center" shrinkToFit="0" wrapText="1"/>
    </xf>
    <xf borderId="22" fillId="0" fontId="1" numFmtId="166" xfId="0" applyBorder="1" applyFont="1" applyNumberFormat="1"/>
    <xf borderId="12" fillId="0" fontId="1" numFmtId="0" xfId="0" applyBorder="1" applyFont="1"/>
    <xf borderId="45" fillId="0" fontId="11" numFmtId="0" xfId="0" applyAlignment="1" applyBorder="1" applyFont="1">
      <alignment shrinkToFit="0" vertical="center" wrapText="1"/>
    </xf>
    <xf borderId="41" fillId="5" fontId="92" numFmtId="2" xfId="0" applyAlignment="1" applyBorder="1" applyFill="1" applyFont="1" applyNumberFormat="1">
      <alignment horizontal="center" vertical="center"/>
    </xf>
    <xf borderId="1" fillId="0" fontId="12" numFmtId="0" xfId="0" applyAlignment="1" applyBorder="1" applyFont="1">
      <alignment horizontal="center"/>
    </xf>
    <xf borderId="13" fillId="0" fontId="93" numFmtId="0" xfId="0" applyBorder="1" applyFont="1"/>
    <xf borderId="5" fillId="0" fontId="93" numFmtId="0" xfId="0" applyBorder="1" applyFont="1"/>
    <xf borderId="5" fillId="0" fontId="93" numFmtId="166" xfId="0" applyBorder="1" applyFont="1" applyNumberFormat="1"/>
    <xf borderId="18" fillId="0" fontId="93" numFmtId="0" xfId="0" applyBorder="1" applyFont="1"/>
    <xf borderId="35" fillId="23" fontId="7" numFmtId="0" xfId="0" applyBorder="1" applyFill="1" applyFont="1"/>
    <xf borderId="35" fillId="23" fontId="7" numFmtId="166" xfId="0" applyBorder="1" applyFill="1" applyFont="1" applyNumberFormat="1"/>
    <xf borderId="8" fillId="0" fontId="1" numFmtId="0" xfId="0" applyAlignment="1" applyBorder="1" applyFont="1">
      <alignment horizontal="center" vertical="center"/>
    </xf>
    <xf borderId="13" fillId="13" fontId="1" numFmtId="0" xfId="0" applyBorder="1" applyFill="1" applyFont="1"/>
    <xf borderId="4" fillId="5" fontId="7" numFmtId="0" xfId="0" applyBorder="1" applyFill="1" applyFont="1"/>
    <xf borderId="5" fillId="13" fontId="1" numFmtId="0" xfId="0" applyBorder="1" applyFill="1" applyFont="1"/>
    <xf borderId="5" fillId="13" fontId="1" numFmtId="2" xfId="0" applyAlignment="1" applyBorder="1" applyFill="1" applyFont="1" applyNumberFormat="1">
      <alignment horizontal="right"/>
    </xf>
    <xf borderId="6" fillId="5" fontId="7" numFmtId="0" xfId="0" applyBorder="1" applyFill="1" applyFont="1"/>
    <xf borderId="18" fillId="13" fontId="1" numFmtId="0" xfId="0" applyBorder="1" applyFill="1" applyFont="1"/>
    <xf borderId="6" fillId="5" fontId="7" numFmtId="1" xfId="0" applyBorder="1" applyFill="1" applyFont="1" applyNumberFormat="1"/>
    <xf borderId="9" fillId="5" fontId="7" numFmtId="0" xfId="0" applyBorder="1" applyFill="1" applyFont="1"/>
    <xf borderId="47" fillId="5" fontId="7" numFmtId="0" xfId="0" applyBorder="1" applyFill="1" applyFont="1"/>
    <xf borderId="27" fillId="5" fontId="7" numFmtId="0" xfId="0" applyBorder="1" applyFill="1" applyFont="1"/>
    <xf borderId="27" fillId="5" fontId="7" numFmtId="1" xfId="0" applyBorder="1" applyFill="1" applyFont="1" applyNumberFormat="1"/>
    <xf borderId="53" fillId="5" fontId="7" numFmtId="0" xfId="0" applyBorder="1" applyFill="1" applyFont="1"/>
    <xf borderId="4" fillId="29" fontId="7" numFmtId="0" xfId="0" applyBorder="1" applyFill="1" applyFont="1"/>
    <xf borderId="6" fillId="29" fontId="7" numFmtId="0" xfId="0" applyBorder="1" applyFill="1" applyFont="1"/>
    <xf borderId="6" fillId="29" fontId="7" numFmtId="1" xfId="0" applyBorder="1" applyFill="1" applyFont="1" applyNumberFormat="1"/>
    <xf borderId="9" fillId="29" fontId="7" numFmtId="0" xfId="0" applyBorder="1" applyFill="1" applyFont="1"/>
    <xf borderId="86" fillId="29" fontId="7" numFmtId="0" xfId="0" applyBorder="1" applyFill="1" applyFont="1"/>
    <xf borderId="88" fillId="29" fontId="7" numFmtId="0" xfId="0" applyBorder="1" applyFill="1" applyFont="1"/>
    <xf borderId="88" fillId="29" fontId="7" numFmtId="1" xfId="0" applyBorder="1" applyFill="1" applyFont="1" applyNumberFormat="1"/>
    <xf borderId="87" fillId="29" fontId="7" numFmtId="0" xfId="0" applyBorder="1" applyFill="1" applyFont="1"/>
    <xf borderId="4" fillId="30" fontId="1" numFmtId="0" xfId="0" applyBorder="1" applyFill="1" applyFont="1"/>
    <xf borderId="6" fillId="30" fontId="1" numFmtId="0" xfId="0" applyBorder="1" applyFill="1" applyFont="1"/>
    <xf borderId="6" fillId="30" fontId="1" numFmtId="2" xfId="0" applyBorder="1" applyFill="1" applyFont="1" applyNumberFormat="1"/>
    <xf borderId="9" fillId="30" fontId="1" numFmtId="0" xfId="0" applyBorder="1" applyFill="1" applyFont="1"/>
    <xf borderId="13" fillId="30" fontId="1" numFmtId="0" xfId="0" applyBorder="1" applyFill="1" applyFont="1"/>
    <xf borderId="5" fillId="30" fontId="1" numFmtId="0" xfId="0" applyBorder="1" applyFill="1" applyFont="1"/>
    <xf borderId="5" fillId="30" fontId="1" numFmtId="2" xfId="0" applyBorder="1" applyFill="1" applyFont="1" applyNumberFormat="1"/>
    <xf borderId="18" fillId="30" fontId="1" numFmtId="0" xfId="0" applyBorder="1" applyFill="1" applyFont="1"/>
    <xf borderId="86" fillId="30" fontId="1" numFmtId="0" xfId="0" applyBorder="1" applyFill="1" applyFont="1"/>
    <xf borderId="88" fillId="30" fontId="1" numFmtId="0" xfId="0" applyBorder="1" applyFill="1" applyFont="1"/>
    <xf borderId="88" fillId="30" fontId="1" numFmtId="2" xfId="0" applyBorder="1" applyFill="1" applyFont="1" applyNumberFormat="1"/>
    <xf borderId="87" fillId="30" fontId="1" numFmtId="0" xfId="0" applyBorder="1" applyFill="1" applyFont="1"/>
    <xf borderId="47" fillId="30" fontId="1" numFmtId="0" xfId="0" applyBorder="1" applyFill="1" applyFont="1"/>
    <xf borderId="27" fillId="30" fontId="1" numFmtId="0" xfId="0" applyBorder="1" applyFill="1" applyFont="1"/>
    <xf borderId="27" fillId="30" fontId="1" numFmtId="2" xfId="0" applyBorder="1" applyFill="1" applyFont="1" applyNumberFormat="1"/>
    <xf borderId="53" fillId="30" fontId="1" numFmtId="0" xfId="0" applyBorder="1" applyFill="1" applyFont="1"/>
    <xf borderId="12" fillId="0" fontId="67" numFmtId="0" xfId="0" applyBorder="1" applyFont="1"/>
    <xf borderId="38" fillId="5" fontId="1" numFmtId="15" xfId="0" applyBorder="1" applyFill="1" applyFont="1" applyNumberFormat="1"/>
    <xf borderId="14" fillId="0" fontId="38" numFmtId="0" xfId="0" applyAlignment="1" applyBorder="1" applyFont="1">
      <alignment horizontal="left"/>
    </xf>
    <xf borderId="38" fillId="5" fontId="1" numFmtId="164" xfId="0" applyBorder="1" applyFill="1" applyFont="1" applyNumberFormat="1"/>
    <xf borderId="6" fillId="0" fontId="1" numFmtId="2" xfId="0" applyAlignment="1" applyBorder="1" applyFont="1" applyNumberFormat="1">
      <alignment horizontal="center"/>
    </xf>
    <xf borderId="6" fillId="0" fontId="1" numFmtId="2" xfId="0" applyBorder="1" applyFont="1" applyNumberFormat="1"/>
    <xf borderId="4" fillId="0" fontId="1" numFmtId="0" xfId="0" applyAlignment="1" applyBorder="1" applyFont="1">
      <alignment horizontal="left" vertical="center"/>
    </xf>
    <xf borderId="6" fillId="0" fontId="1" numFmtId="0" xfId="0" applyAlignment="1" applyBorder="1" applyFont="1">
      <alignment horizontal="right" vertical="center"/>
    </xf>
    <xf borderId="9" fillId="0" fontId="1" numFmtId="0" xfId="0" applyAlignment="1" applyBorder="1" applyFont="1">
      <alignment horizontal="left" vertical="center"/>
    </xf>
    <xf borderId="27" fillId="0" fontId="1" numFmtId="2" xfId="0" applyAlignment="1" applyBorder="1" applyFont="1" applyNumberFormat="1">
      <alignment horizontal="center"/>
    </xf>
    <xf borderId="27" fillId="0" fontId="1" numFmtId="2" xfId="0" applyBorder="1" applyFont="1" applyNumberFormat="1"/>
    <xf borderId="51" fillId="0" fontId="1" numFmtId="2" xfId="0" applyAlignment="1" applyBorder="1" applyFont="1" applyNumberFormat="1">
      <alignment horizontal="center"/>
    </xf>
    <xf borderId="4" fillId="9" fontId="1" numFmtId="0" xfId="0" applyBorder="1" applyFill="1" applyFont="1"/>
    <xf borderId="6" fillId="9" fontId="1" numFmtId="0" xfId="0" applyBorder="1" applyFill="1" applyFont="1"/>
    <xf borderId="51" fillId="0" fontId="1" numFmtId="2" xfId="0" applyBorder="1" applyFont="1" applyNumberFormat="1"/>
    <xf borderId="25" fillId="0" fontId="7" numFmtId="0" xfId="0" applyBorder="1" applyFont="1"/>
    <xf borderId="9" fillId="9" fontId="1" numFmtId="0" xfId="0" applyBorder="1" applyFill="1" applyFont="1"/>
    <xf borderId="47" fillId="31" fontId="1" numFmtId="0" xfId="0" applyBorder="1" applyFill="1" applyFont="1"/>
    <xf borderId="27" fillId="31" fontId="1" numFmtId="0" xfId="0" applyBorder="1" applyFill="1" applyFont="1"/>
    <xf borderId="53" fillId="31" fontId="1" numFmtId="0" xfId="0" applyBorder="1" applyFill="1" applyFont="1"/>
    <xf borderId="7" fillId="0" fontId="7" numFmtId="0" xfId="0" applyBorder="1" applyFont="1"/>
    <xf borderId="5" fillId="0" fontId="1" numFmtId="2" xfId="0" applyBorder="1" applyFont="1" applyNumberFormat="1"/>
    <xf borderId="17" fillId="0" fontId="7" numFmtId="0" xfId="0" applyBorder="1" applyFont="1"/>
    <xf borderId="12" fillId="0" fontId="21" numFmtId="0" xfId="0" applyBorder="1" applyFont="1"/>
    <xf borderId="2" fillId="0" fontId="1" numFmtId="0" xfId="0" applyBorder="1" applyFont="1"/>
    <xf borderId="50" fillId="0" fontId="7" numFmtId="0" xfId="0" applyBorder="1" applyFont="1"/>
    <xf borderId="73" fillId="0" fontId="3" numFmtId="0" xfId="0" applyBorder="1" applyFont="1"/>
    <xf borderId="0" fillId="0" fontId="21" numFmtId="0" xfId="0" applyAlignment="1" applyFont="1">
      <alignment shrinkToFit="0" vertical="center" wrapText="1"/>
    </xf>
    <xf borderId="2" fillId="0" fontId="11" numFmtId="0" xfId="0" applyAlignment="1" applyBorder="1" applyFont="1">
      <alignment horizontal="center" vertical="center"/>
    </xf>
    <xf borderId="12" fillId="32" fontId="21" numFmtId="0" xfId="0" applyBorder="1" applyFill="1" applyFont="1"/>
    <xf borderId="54" fillId="0" fontId="7" numFmtId="0" xfId="0" applyBorder="1" applyFont="1"/>
    <xf borderId="108" fillId="0" fontId="11" numFmtId="0" xfId="0" applyAlignment="1" applyBorder="1" applyFont="1">
      <alignment horizontal="center" shrinkToFit="0" vertical="center" wrapText="1"/>
    </xf>
    <xf borderId="83" fillId="0" fontId="11" numFmtId="0" xfId="0" applyAlignment="1" applyBorder="1" applyFont="1">
      <alignment shrinkToFit="0" vertical="center" wrapText="1"/>
    </xf>
    <xf borderId="8" fillId="0" fontId="11" numFmtId="0" xfId="0" applyAlignment="1" applyBorder="1" applyFont="1">
      <alignment horizontal="center" vertical="center"/>
    </xf>
    <xf borderId="44" fillId="0" fontId="7" numFmtId="0" xfId="0" applyBorder="1" applyFont="1"/>
    <xf borderId="20" fillId="0" fontId="7" numFmtId="0" xfId="0" applyBorder="1" applyFont="1"/>
    <xf borderId="83" fillId="0" fontId="11" numFmtId="0" xfId="0" applyAlignment="1" applyBorder="1" applyFont="1">
      <alignment horizontal="center" shrinkToFit="0" vertical="center" wrapText="1"/>
    </xf>
    <xf borderId="36" fillId="0" fontId="7" numFmtId="0" xfId="0" applyBorder="1" applyFont="1"/>
    <xf borderId="26" fillId="8" fontId="1" numFmtId="0" xfId="0" applyBorder="1" applyFill="1" applyFont="1"/>
    <xf borderId="28" fillId="8" fontId="1" numFmtId="0" xfId="0" applyBorder="1" applyFill="1" applyFont="1"/>
    <xf borderId="14" fillId="0" fontId="7" numFmtId="0" xfId="0" applyAlignment="1" applyBorder="1" applyFont="1">
      <alignment horizontal="left" vertical="center"/>
    </xf>
    <xf borderId="34" fillId="8" fontId="1" numFmtId="0" xfId="0" applyBorder="1" applyFill="1" applyFont="1"/>
    <xf borderId="15" fillId="0" fontId="7" numFmtId="0" xfId="0" applyAlignment="1" applyBorder="1" applyFont="1">
      <alignment horizontal="right" vertical="center"/>
    </xf>
    <xf borderId="26" fillId="33" fontId="1" numFmtId="0" xfId="0" applyBorder="1" applyFill="1" applyFont="1"/>
    <xf borderId="16" fillId="0" fontId="7" numFmtId="0" xfId="0" applyAlignment="1" applyBorder="1" applyFont="1">
      <alignment horizontal="left" vertical="center"/>
    </xf>
    <xf borderId="28" fillId="33" fontId="1" numFmtId="0" xfId="0" applyBorder="1" applyFill="1" applyFont="1"/>
    <xf borderId="82" fillId="22" fontId="1" numFmtId="2" xfId="0" applyAlignment="1" applyBorder="1" applyFill="1" applyFont="1" applyNumberFormat="1">
      <alignment horizontal="right"/>
    </xf>
    <xf borderId="0" fillId="0" fontId="11" numFmtId="0" xfId="0" applyAlignment="1" applyFont="1">
      <alignment horizontal="left" shrinkToFit="0" wrapText="1"/>
    </xf>
    <xf borderId="5" fillId="33" fontId="1" numFmtId="0" xfId="0" applyBorder="1" applyFill="1" applyFont="1"/>
    <xf borderId="34" fillId="33" fontId="1" numFmtId="0" xfId="0" applyBorder="1" applyFill="1" applyFont="1"/>
    <xf borderId="46" fillId="0" fontId="1" numFmtId="0" xfId="0" applyBorder="1" applyFont="1"/>
    <xf borderId="45" fillId="0" fontId="11" numFmtId="0" xfId="0" applyAlignment="1" applyBorder="1" applyFont="1">
      <alignment vertical="center"/>
    </xf>
    <xf borderId="38" fillId="5" fontId="21" numFmtId="15" xfId="0" applyAlignment="1" applyBorder="1" applyFill="1" applyFont="1" applyNumberFormat="1">
      <alignment horizontal="right"/>
    </xf>
    <xf borderId="89" fillId="5" fontId="94" numFmtId="0" xfId="0" applyBorder="1" applyFill="1" applyFont="1"/>
    <xf borderId="6" fillId="0" fontId="7" numFmtId="166" xfId="0" applyBorder="1" applyFont="1" applyNumberFormat="1"/>
    <xf borderId="55" fillId="0" fontId="93" numFmtId="0" xfId="0" applyBorder="1" applyFont="1"/>
    <xf borderId="57" fillId="0" fontId="93" numFmtId="0" xfId="0" applyBorder="1" applyFont="1"/>
    <xf borderId="57" fillId="0" fontId="93" numFmtId="166" xfId="0" applyBorder="1" applyFont="1" applyNumberFormat="1"/>
    <xf borderId="59" fillId="0" fontId="93" numFmtId="0" xfId="0" applyBorder="1" applyFont="1"/>
    <xf borderId="4" fillId="34" fontId="7" numFmtId="0" xfId="0" applyBorder="1" applyFill="1" applyFont="1"/>
    <xf borderId="6" fillId="34" fontId="1" numFmtId="166" xfId="0" applyBorder="1" applyFill="1" applyFont="1" applyNumberFormat="1"/>
    <xf borderId="9" fillId="34" fontId="7" numFmtId="0" xfId="0" applyBorder="1" applyFill="1" applyFont="1"/>
    <xf borderId="39" fillId="34" fontId="7" numFmtId="0" xfId="0" applyBorder="1" applyFill="1" applyFont="1"/>
    <xf borderId="40" fillId="34" fontId="1" numFmtId="166" xfId="0" applyBorder="1" applyFill="1" applyFont="1" applyNumberFormat="1"/>
    <xf borderId="42" fillId="34" fontId="7" numFmtId="0" xfId="0" applyBorder="1" applyFill="1" applyFont="1"/>
    <xf borderId="47" fillId="34" fontId="7" numFmtId="0" xfId="0" applyBorder="1" applyFill="1" applyFont="1"/>
    <xf borderId="27" fillId="34" fontId="7" numFmtId="0" xfId="0" applyBorder="1" applyFill="1" applyFont="1"/>
    <xf borderId="27" fillId="34" fontId="7" numFmtId="166" xfId="0" applyBorder="1" applyFill="1" applyFont="1" applyNumberFormat="1"/>
    <xf borderId="53" fillId="34" fontId="7" numFmtId="0" xfId="0" applyBorder="1" applyFill="1" applyFont="1"/>
    <xf borderId="26" fillId="5" fontId="7" numFmtId="0" xfId="0" applyBorder="1" applyFill="1" applyFont="1"/>
    <xf borderId="28" fillId="5" fontId="7" numFmtId="0" xfId="0" applyBorder="1" applyFill="1" applyFont="1"/>
    <xf borderId="28" fillId="5" fontId="7" numFmtId="1" xfId="0" applyBorder="1" applyFill="1" applyFont="1" applyNumberFormat="1"/>
    <xf borderId="34" fillId="5" fontId="7" numFmtId="0" xfId="0" applyBorder="1" applyFill="1" applyFont="1"/>
    <xf borderId="4" fillId="35" fontId="7" numFmtId="0" xfId="0" applyBorder="1" applyFill="1" applyFont="1"/>
    <xf borderId="6" fillId="0" fontId="7" numFmtId="166" xfId="0" applyAlignment="1" applyBorder="1" applyFont="1" applyNumberFormat="1">
      <alignment horizontal="right"/>
    </xf>
    <xf borderId="6" fillId="35" fontId="7" numFmtId="0" xfId="0" applyBorder="1" applyFill="1" applyFont="1"/>
    <xf borderId="44" fillId="0" fontId="13" numFmtId="0" xfId="0" applyAlignment="1" applyBorder="1" applyFont="1">
      <alignment horizontal="right"/>
    </xf>
    <xf borderId="6" fillId="35" fontId="7" numFmtId="1" xfId="0" applyBorder="1" applyFill="1" applyFont="1" applyNumberFormat="1"/>
    <xf borderId="9" fillId="35" fontId="7" numFmtId="0" xfId="0" applyBorder="1" applyFill="1" applyFont="1"/>
    <xf borderId="86" fillId="35" fontId="7" numFmtId="0" xfId="0" applyBorder="1" applyFill="1" applyFont="1"/>
    <xf borderId="88" fillId="35" fontId="7" numFmtId="0" xfId="0" applyBorder="1" applyFill="1" applyFont="1"/>
    <xf borderId="53" fillId="0" fontId="7" numFmtId="0" xfId="0" applyAlignment="1" applyBorder="1" applyFont="1">
      <alignment horizontal="left"/>
    </xf>
    <xf borderId="88" fillId="35" fontId="7" numFmtId="1" xfId="0" applyBorder="1" applyFill="1" applyFont="1" applyNumberFormat="1"/>
    <xf borderId="87" fillId="35" fontId="7" numFmtId="0" xfId="0" applyBorder="1" applyFill="1" applyFont="1"/>
    <xf borderId="60" fillId="0" fontId="7" numFmtId="0" xfId="0" applyAlignment="1" applyBorder="1" applyFont="1">
      <alignment horizontal="left"/>
    </xf>
    <xf borderId="2" fillId="0" fontId="1" numFmtId="0" xfId="0" applyAlignment="1" applyBorder="1" applyFont="1">
      <alignment horizontal="center" vertical="center"/>
    </xf>
    <xf borderId="1" fillId="5" fontId="95" numFmtId="0" xfId="0" applyAlignment="1" applyBorder="1" applyFill="1" applyFont="1">
      <alignment horizontal="center" shrinkToFit="0" wrapText="1"/>
    </xf>
    <xf borderId="4" fillId="0" fontId="79" numFmtId="0" xfId="0" applyBorder="1" applyFont="1"/>
    <xf borderId="6" fillId="0" fontId="79" numFmtId="0" xfId="0" applyBorder="1" applyFont="1"/>
    <xf borderId="0" fillId="0" fontId="8" numFmtId="0" xfId="0" applyFont="1"/>
    <xf borderId="13" fillId="0" fontId="79" numFmtId="0" xfId="0" applyBorder="1" applyFont="1"/>
    <xf borderId="5" fillId="0" fontId="79" numFmtId="0" xfId="0" applyBorder="1" applyFont="1"/>
    <xf borderId="21" fillId="0" fontId="79" numFmtId="0" xfId="0" applyBorder="1" applyFont="1"/>
    <xf borderId="22" fillId="0" fontId="79" numFmtId="0" xfId="0" applyBorder="1" applyFont="1"/>
    <xf borderId="47" fillId="0" fontId="79" numFmtId="0" xfId="0" applyBorder="1" applyFont="1"/>
    <xf borderId="27" fillId="0" fontId="79" numFmtId="0" xfId="0" applyBorder="1" applyFont="1"/>
    <xf borderId="52" fillId="0" fontId="79" numFmtId="0" xfId="0" applyBorder="1" applyFont="1"/>
    <xf borderId="51" fillId="0" fontId="79" numFmtId="0" xfId="0" applyBorder="1" applyFont="1"/>
    <xf borderId="1" fillId="0" fontId="8" numFmtId="0" xfId="0" applyAlignment="1" applyBorder="1" applyFont="1">
      <alignment horizontal="center" vertical="center"/>
    </xf>
    <xf borderId="38" fillId="5" fontId="47" numFmtId="15" xfId="0" applyAlignment="1" applyBorder="1" applyFill="1" applyFont="1" applyNumberFormat="1">
      <alignment horizontal="right"/>
    </xf>
    <xf borderId="35" fillId="0" fontId="38" numFmtId="0" xfId="0" applyBorder="1" applyFont="1"/>
    <xf borderId="35" fillId="0" fontId="7" numFmtId="0" xfId="0" applyAlignment="1" applyBorder="1" applyFont="1">
      <alignment horizontal="center" vertical="center"/>
    </xf>
    <xf borderId="38" fillId="0" fontId="7" numFmtId="0" xfId="0" applyAlignment="1" applyBorder="1" applyFont="1">
      <alignment horizontal="center" vertical="center"/>
    </xf>
    <xf borderId="6" fillId="0" fontId="7" numFmtId="0" xfId="0" applyAlignment="1" applyBorder="1" applyFont="1">
      <alignment horizontal="center" vertical="center"/>
    </xf>
    <xf borderId="0" fillId="0" fontId="88" numFmtId="0" xfId="0" applyFont="1"/>
    <xf borderId="9" fillId="0" fontId="7" numFmtId="0" xfId="0" applyAlignment="1" applyBorder="1" applyFont="1">
      <alignment horizontal="center" vertical="center"/>
    </xf>
    <xf borderId="5" fillId="0" fontId="7" numFmtId="0" xfId="0" applyAlignment="1" applyBorder="1" applyFont="1">
      <alignment horizontal="center" vertical="center"/>
    </xf>
    <xf borderId="18" fillId="0" fontId="7" numFmtId="0" xfId="0" applyAlignment="1" applyBorder="1" applyFont="1">
      <alignment horizontal="center" vertical="center"/>
    </xf>
    <xf borderId="18" fillId="0" fontId="1" numFmtId="0" xfId="0" applyAlignment="1" applyBorder="1" applyFont="1">
      <alignment horizontal="center" vertical="center"/>
    </xf>
    <xf borderId="3" fillId="0" fontId="88" numFmtId="0" xfId="0" applyAlignment="1" applyBorder="1" applyFont="1">
      <alignment horizontal="center" shrinkToFit="0" vertical="center" wrapText="1"/>
    </xf>
    <xf borderId="27" fillId="0" fontId="7" numFmtId="0" xfId="0" applyAlignment="1" applyBorder="1" applyFont="1">
      <alignment horizontal="center" vertical="center"/>
    </xf>
    <xf borderId="53" fillId="0" fontId="1" numFmtId="0" xfId="0" applyAlignment="1" applyBorder="1" applyFont="1">
      <alignment horizontal="center" vertical="center"/>
    </xf>
    <xf borderId="51" fillId="0" fontId="7" numFmtId="0" xfId="0" applyAlignment="1" applyBorder="1" applyFont="1">
      <alignment horizontal="center" vertical="center"/>
    </xf>
    <xf borderId="60" fillId="0" fontId="1" numFmtId="0" xfId="0" applyAlignment="1" applyBorder="1" applyFont="1">
      <alignment horizontal="center" vertical="center"/>
    </xf>
    <xf borderId="53" fillId="0" fontId="7" numFmtId="0" xfId="0" applyAlignment="1" applyBorder="1" applyFont="1">
      <alignment horizontal="center" vertical="center"/>
    </xf>
    <xf borderId="8" fillId="0" fontId="8" numFmtId="0" xfId="0" applyAlignment="1" applyBorder="1" applyFont="1">
      <alignment horizontal="center" vertical="center"/>
    </xf>
    <xf borderId="15" fillId="0" fontId="38" numFmtId="0" xfId="0" applyBorder="1" applyFont="1"/>
    <xf borderId="16" fillId="0" fontId="7" numFmtId="0" xfId="0" applyAlignment="1" applyBorder="1" applyFont="1">
      <alignment horizontal="center" vertical="center"/>
    </xf>
    <xf borderId="6" fillId="0" fontId="7" numFmtId="0" xfId="0" applyAlignment="1" applyBorder="1" applyFont="1">
      <alignment horizontal="right" vertical="center"/>
    </xf>
    <xf borderId="5" fillId="0" fontId="7" numFmtId="0" xfId="0" applyAlignment="1" applyBorder="1" applyFont="1">
      <alignment horizontal="right" vertical="center"/>
    </xf>
    <xf borderId="35" fillId="0" fontId="1" numFmtId="2" xfId="0" applyBorder="1" applyFont="1" applyNumberFormat="1"/>
    <xf borderId="27" fillId="0" fontId="7" numFmtId="0" xfId="0" applyAlignment="1" applyBorder="1" applyFont="1">
      <alignment horizontal="right" vertical="center"/>
    </xf>
    <xf borderId="15" fillId="0" fontId="1" numFmtId="2" xfId="0" applyBorder="1" applyFont="1" applyNumberFormat="1"/>
    <xf borderId="68" fillId="0" fontId="7" numFmtId="0" xfId="0" applyAlignment="1" applyBorder="1" applyFont="1">
      <alignment horizontal="center" vertical="center"/>
    </xf>
    <xf borderId="66" fillId="0" fontId="7" numFmtId="0" xfId="0" applyAlignment="1" applyBorder="1" applyFont="1">
      <alignment horizontal="left" vertical="top"/>
    </xf>
    <xf borderId="9" fillId="0" fontId="1" numFmtId="0" xfId="0" applyAlignment="1" applyBorder="1" applyFont="1">
      <alignment horizontal="center" vertical="center"/>
    </xf>
    <xf borderId="14" fillId="0" fontId="7" numFmtId="0" xfId="0" applyAlignment="1" applyBorder="1" applyFont="1">
      <alignment horizontal="left" vertical="top"/>
    </xf>
    <xf borderId="15" fillId="0" fontId="7" numFmtId="0" xfId="0" applyAlignment="1" applyBorder="1" applyFont="1">
      <alignment horizontal="center" vertical="center"/>
    </xf>
    <xf borderId="12" fillId="0" fontId="11" numFmtId="0" xfId="0" applyAlignment="1" applyBorder="1" applyFont="1">
      <alignment horizontal="center" shrinkToFit="0" wrapText="1"/>
    </xf>
    <xf borderId="19" fillId="0" fontId="21" numFmtId="0" xfId="0" applyAlignment="1" applyBorder="1" applyFont="1">
      <alignment horizontal="center" shrinkToFit="0" vertical="center" wrapText="1"/>
    </xf>
    <xf borderId="8" fillId="0" fontId="96" numFmtId="0" xfId="0" applyAlignment="1" applyBorder="1" applyFont="1">
      <alignment horizontal="center" vertical="center"/>
    </xf>
    <xf borderId="76" fillId="0" fontId="1" numFmtId="0" xfId="0" applyBorder="1" applyFont="1"/>
    <xf borderId="80" fillId="0" fontId="1" numFmtId="2" xfId="0" applyBorder="1" applyFont="1" applyNumberFormat="1"/>
    <xf borderId="98" fillId="0" fontId="7" numFmtId="0" xfId="0" applyAlignment="1" applyBorder="1" applyFont="1">
      <alignment horizontal="center" vertical="center"/>
    </xf>
    <xf borderId="84" fillId="0" fontId="1" numFmtId="0" xfId="0" applyBorder="1" applyFont="1"/>
    <xf borderId="83" fillId="0" fontId="1" numFmtId="2" xfId="0" applyBorder="1" applyFont="1" applyNumberFormat="1"/>
    <xf borderId="95" fillId="0" fontId="7" numFmtId="0" xfId="0" applyAlignment="1" applyBorder="1" applyFont="1">
      <alignment horizontal="center" vertical="center"/>
    </xf>
    <xf borderId="109" fillId="0" fontId="1" numFmtId="0" xfId="0" applyBorder="1" applyFont="1"/>
    <xf borderId="108" fillId="0" fontId="1" numFmtId="2" xfId="0" applyBorder="1" applyFont="1" applyNumberFormat="1"/>
    <xf borderId="97" fillId="0" fontId="7" numFmtId="0" xfId="0" applyAlignment="1" applyBorder="1" applyFont="1">
      <alignment horizontal="center" vertical="center"/>
    </xf>
    <xf borderId="30" fillId="0" fontId="7" numFmtId="0" xfId="0" applyAlignment="1" applyBorder="1" applyFont="1">
      <alignment horizontal="center" vertical="center"/>
    </xf>
    <xf borderId="0" fillId="0" fontId="1" numFmtId="0" xfId="0" applyAlignment="1" applyFont="1">
      <alignment shrinkToFit="0" wrapText="1"/>
    </xf>
    <xf borderId="44" fillId="0" fontId="1" numFmtId="2" xfId="0" applyBorder="1" applyFont="1" applyNumberFormat="1"/>
    <xf borderId="46" fillId="0" fontId="1" numFmtId="0" xfId="0" applyAlignment="1" applyBorder="1" applyFont="1">
      <alignment shrinkToFit="0" wrapText="1"/>
    </xf>
    <xf borderId="75" fillId="5" fontId="21" numFmtId="164" xfId="0" applyBorder="1" applyFill="1" applyFont="1" applyNumberFormat="1"/>
    <xf borderId="110" fillId="0" fontId="7" numFmtId="0" xfId="0" applyAlignment="1" applyBorder="1" applyFont="1">
      <alignment horizontal="center" vertical="center"/>
    </xf>
    <xf borderId="11" fillId="0" fontId="11" numFmtId="0" xfId="0" applyAlignment="1" applyBorder="1" applyFont="1">
      <alignment shrinkToFit="0" wrapText="1"/>
    </xf>
    <xf borderId="66" fillId="0" fontId="7" numFmtId="0" xfId="0" applyAlignment="1" applyBorder="1" applyFont="1">
      <alignment horizontal="left" vertical="center"/>
    </xf>
    <xf borderId="44" fillId="0" fontId="7" numFmtId="0" xfId="0" applyAlignment="1" applyBorder="1" applyFont="1">
      <alignment horizontal="right" vertical="center"/>
    </xf>
    <xf borderId="68" fillId="0" fontId="7" numFmtId="0" xfId="0" applyAlignment="1" applyBorder="1" applyFont="1">
      <alignment horizontal="left" vertical="center"/>
    </xf>
    <xf borderId="57" fillId="0" fontId="1" numFmtId="2" xfId="0" applyBorder="1" applyFont="1" applyNumberFormat="1"/>
    <xf borderId="111" fillId="0" fontId="7" numFmtId="0" xfId="0" applyAlignment="1" applyBorder="1" applyFont="1">
      <alignment horizontal="center" vertical="center"/>
    </xf>
    <xf borderId="1" fillId="0" fontId="41" numFmtId="0" xfId="0" applyAlignment="1" applyBorder="1" applyFont="1">
      <alignment horizontal="center" vertical="center"/>
    </xf>
    <xf borderId="98" fillId="0" fontId="7" numFmtId="2" xfId="0" applyAlignment="1" applyBorder="1" applyFont="1" applyNumberFormat="1">
      <alignment horizontal="center" vertical="center"/>
    </xf>
    <xf borderId="0" fillId="0" fontId="47" numFmtId="0" xfId="0" applyFont="1"/>
    <xf borderId="95" fillId="0" fontId="7" numFmtId="2" xfId="0" applyAlignment="1" applyBorder="1" applyFont="1" applyNumberFormat="1">
      <alignment horizontal="center" vertical="center"/>
    </xf>
    <xf borderId="0" fillId="0" fontId="7" numFmtId="0" xfId="0" applyAlignment="1" applyFont="1">
      <alignment horizontal="right"/>
    </xf>
    <xf borderId="97" fillId="0" fontId="7" numFmtId="2" xfId="0" applyAlignment="1" applyBorder="1" applyFont="1" applyNumberFormat="1">
      <alignment horizontal="center" vertical="center"/>
    </xf>
    <xf borderId="21" fillId="0" fontId="7" numFmtId="0" xfId="0" applyAlignment="1" applyBorder="1" applyFont="1">
      <alignment horizontal="left"/>
    </xf>
    <xf borderId="27" fillId="0" fontId="7" numFmtId="2" xfId="0" applyAlignment="1" applyBorder="1" applyFont="1" applyNumberFormat="1">
      <alignment horizontal="center" vertical="center"/>
    </xf>
    <xf borderId="110" fillId="0" fontId="7" numFmtId="2" xfId="0" applyAlignment="1" applyBorder="1" applyFont="1" applyNumberFormat="1">
      <alignment horizontal="center" vertical="center"/>
    </xf>
    <xf borderId="19" fillId="0" fontId="47" numFmtId="0" xfId="0" applyAlignment="1" applyBorder="1" applyFont="1">
      <alignment horizontal="center" vertical="center"/>
    </xf>
    <xf borderId="5" fillId="0" fontId="7" numFmtId="2" xfId="0" applyAlignment="1" applyBorder="1" applyFont="1" applyNumberFormat="1">
      <alignment horizontal="center" vertical="center"/>
    </xf>
    <xf borderId="13" fillId="0" fontId="7" numFmtId="0" xfId="0" applyAlignment="1" applyBorder="1" applyFont="1">
      <alignment horizontal="left"/>
    </xf>
    <xf borderId="12" fillId="5" fontId="23" numFmtId="2" xfId="0" applyAlignment="1" applyBorder="1" applyFill="1" applyFont="1" applyNumberFormat="1">
      <alignment horizontal="center" vertical="center"/>
    </xf>
    <xf borderId="47" fillId="0" fontId="7" numFmtId="0" xfId="0" applyAlignment="1" applyBorder="1" applyFont="1">
      <alignment horizontal="left"/>
    </xf>
    <xf borderId="75" fillId="5" fontId="23" numFmtId="2" xfId="0" applyAlignment="1" applyBorder="1" applyFill="1" applyFont="1" applyNumberFormat="1">
      <alignment horizontal="center" vertical="center"/>
    </xf>
    <xf borderId="52" fillId="0" fontId="7" numFmtId="0" xfId="0" applyAlignment="1" applyBorder="1" applyFont="1">
      <alignment horizontal="left"/>
    </xf>
    <xf borderId="23" fillId="0" fontId="88" numFmtId="0" xfId="0" applyAlignment="1" applyBorder="1" applyFont="1">
      <alignment horizontal="center" shrinkToFit="0" wrapText="1"/>
    </xf>
    <xf borderId="19" fillId="0" fontId="9" numFmtId="0" xfId="0" applyAlignment="1" applyBorder="1" applyFont="1">
      <alignment horizontal="center" vertical="center"/>
    </xf>
    <xf borderId="32" fillId="0" fontId="7" numFmtId="0" xfId="0" applyAlignment="1" applyBorder="1" applyFont="1">
      <alignment horizontal="left"/>
    </xf>
    <xf borderId="5" fillId="0" fontId="9" numFmtId="0" xfId="0" applyBorder="1" applyFont="1"/>
    <xf borderId="12" fillId="5" fontId="97" numFmtId="2" xfId="0" applyAlignment="1" applyBorder="1" applyFill="1" applyFont="1" applyNumberFormat="1">
      <alignment horizontal="center" vertical="center"/>
    </xf>
    <xf borderId="4" fillId="0" fontId="38" numFmtId="0" xfId="0" applyBorder="1" applyFont="1"/>
    <xf borderId="26" fillId="5" fontId="1" numFmtId="0" xfId="0" applyBorder="1" applyFill="1" applyFont="1"/>
    <xf borderId="6" fillId="0" fontId="71" numFmtId="2" xfId="0" applyAlignment="1" applyBorder="1" applyFont="1" applyNumberFormat="1">
      <alignment horizontal="center"/>
    </xf>
    <xf borderId="8" fillId="0" fontId="2" numFmtId="0" xfId="0" applyAlignment="1" applyBorder="1" applyFont="1">
      <alignment horizontal="center" vertical="center"/>
    </xf>
    <xf borderId="0" fillId="0" fontId="9" numFmtId="0" xfId="0" applyAlignment="1" applyFont="1">
      <alignment horizontal="center"/>
    </xf>
    <xf borderId="28" fillId="5" fontId="1" numFmtId="0" xfId="0" applyAlignment="1" applyBorder="1" applyFill="1" applyFont="1">
      <alignment horizontal="center"/>
    </xf>
    <xf borderId="9" fillId="0" fontId="38" numFmtId="0" xfId="0" applyAlignment="1" applyBorder="1" applyFont="1">
      <alignment horizontal="center"/>
    </xf>
    <xf borderId="47" fillId="0" fontId="38" numFmtId="0" xfId="0" applyBorder="1" applyFont="1"/>
    <xf borderId="27" fillId="0" fontId="38" numFmtId="2" xfId="0" applyAlignment="1" applyBorder="1" applyFont="1" applyNumberFormat="1">
      <alignment horizontal="center"/>
    </xf>
    <xf borderId="32" fillId="0" fontId="38" numFmtId="0" xfId="0" applyBorder="1" applyFont="1"/>
    <xf borderId="35" fillId="0" fontId="38" numFmtId="2" xfId="0" applyAlignment="1" applyBorder="1" applyFont="1" applyNumberFormat="1">
      <alignment horizontal="center"/>
    </xf>
    <xf borderId="35" fillId="0" fontId="1" numFmtId="2" xfId="0" applyAlignment="1" applyBorder="1" applyFont="1" applyNumberFormat="1">
      <alignment horizontal="center"/>
    </xf>
    <xf borderId="38" fillId="0" fontId="38" numFmtId="0" xfId="0" applyAlignment="1" applyBorder="1" applyFont="1">
      <alignment horizontal="center"/>
    </xf>
    <xf borderId="9" fillId="0" fontId="1" numFmtId="0" xfId="0" applyAlignment="1" applyBorder="1" applyFont="1">
      <alignment horizontal="center"/>
    </xf>
    <xf borderId="18" fillId="0" fontId="1" numFmtId="0" xfId="0" applyAlignment="1" applyBorder="1" applyFont="1">
      <alignment horizontal="center"/>
    </xf>
    <xf borderId="18" fillId="0" fontId="38" numFmtId="2" xfId="0" applyAlignment="1" applyBorder="1" applyFont="1" applyNumberFormat="1">
      <alignment horizontal="center"/>
    </xf>
    <xf borderId="18" fillId="0" fontId="38" numFmtId="0" xfId="0" applyAlignment="1" applyBorder="1" applyFont="1">
      <alignment horizontal="center"/>
    </xf>
    <xf borderId="5" fillId="0" fontId="38" numFmtId="2" xfId="0" applyAlignment="1" applyBorder="1" applyFont="1" applyNumberFormat="1">
      <alignment horizontal="center"/>
    </xf>
    <xf borderId="53" fillId="0" fontId="38" numFmtId="0" xfId="0" applyAlignment="1" applyBorder="1" applyFont="1">
      <alignment horizontal="center"/>
    </xf>
    <xf borderId="55" fillId="0" fontId="38" numFmtId="0" xfId="0" applyBorder="1" applyFont="1"/>
    <xf borderId="57" fillId="0" fontId="38" numFmtId="2" xfId="0" applyAlignment="1" applyBorder="1" applyFont="1" applyNumberFormat="1">
      <alignment horizontal="center"/>
    </xf>
    <xf borderId="57" fillId="0" fontId="1" numFmtId="2" xfId="0" applyAlignment="1" applyBorder="1" applyFont="1" applyNumberFormat="1">
      <alignment horizontal="center"/>
    </xf>
    <xf borderId="59" fillId="0" fontId="38" numFmtId="0" xfId="0" applyAlignment="1" applyBorder="1" applyFont="1">
      <alignment horizontal="center"/>
    </xf>
    <xf borderId="0" fillId="0" fontId="7" numFmtId="0" xfId="0" applyAlignment="1" applyFont="1">
      <alignment horizontal="center"/>
    </xf>
    <xf borderId="28" fillId="5" fontId="1" numFmtId="0" xfId="0" applyAlignment="1" applyBorder="1" applyFill="1" applyFont="1">
      <alignment horizontal="right"/>
    </xf>
    <xf borderId="1" fillId="0" fontId="12" numFmtId="0" xfId="0" applyAlignment="1" applyBorder="1" applyFont="1">
      <alignment horizontal="center" vertical="center"/>
    </xf>
    <xf borderId="34" fillId="5" fontId="1" numFmtId="0" xfId="0" applyAlignment="1" applyBorder="1" applyFill="1" applyFont="1">
      <alignment horizontal="left"/>
    </xf>
    <xf borderId="32" fillId="0" fontId="1" numFmtId="0" xfId="0" applyAlignment="1" applyBorder="1" applyFont="1">
      <alignment horizontal="left"/>
    </xf>
    <xf borderId="32" fillId="0" fontId="12" numFmtId="0" xfId="0" applyAlignment="1" applyBorder="1" applyFont="1">
      <alignment horizontal="center" vertical="center"/>
    </xf>
    <xf borderId="15" fillId="0" fontId="7" numFmtId="0" xfId="0" applyAlignment="1" applyBorder="1" applyFont="1">
      <alignment horizontal="right" readingOrder="0" vertical="center"/>
    </xf>
    <xf borderId="38" fillId="0" fontId="12" numFmtId="2" xfId="0" applyAlignment="1" applyBorder="1" applyFont="1" applyNumberFormat="1">
      <alignment horizontal="center"/>
    </xf>
    <xf borderId="26" fillId="15" fontId="1" numFmtId="0" xfId="0" applyBorder="1" applyFill="1" applyFont="1"/>
    <xf borderId="38" fillId="0" fontId="43" numFmtId="0" xfId="0" applyAlignment="1" applyBorder="1" applyFont="1">
      <alignment horizontal="center"/>
    </xf>
    <xf borderId="12" fillId="0" fontId="7" numFmtId="0" xfId="0" applyBorder="1" applyFont="1"/>
    <xf borderId="28" fillId="15" fontId="1" numFmtId="0" xfId="0" applyAlignment="1" applyBorder="1" applyFill="1" applyFont="1">
      <alignment horizontal="center"/>
    </xf>
    <xf borderId="28" fillId="15" fontId="1" numFmtId="0" xfId="0" applyAlignment="1" applyBorder="1" applyFill="1" applyFont="1">
      <alignment horizontal="right"/>
    </xf>
    <xf borderId="34" fillId="15" fontId="1" numFmtId="0" xfId="0" applyAlignment="1" applyBorder="1" applyFill="1" applyFont="1">
      <alignment horizontal="left"/>
    </xf>
    <xf borderId="9" fillId="0" fontId="7" numFmtId="2" xfId="0" applyBorder="1" applyFont="1" applyNumberFormat="1"/>
    <xf borderId="53" fillId="0" fontId="1" numFmtId="0" xfId="0" applyAlignment="1" applyBorder="1" applyFont="1">
      <alignment horizontal="center"/>
    </xf>
    <xf borderId="19" fillId="0" fontId="88" numFmtId="0" xfId="0" applyAlignment="1" applyBorder="1" applyFont="1">
      <alignment horizontal="center" shrinkToFit="0" vertical="center" wrapText="1"/>
    </xf>
    <xf borderId="60" fillId="0" fontId="1" numFmtId="0" xfId="0" applyAlignment="1" applyBorder="1" applyFont="1">
      <alignment horizontal="center"/>
    </xf>
    <xf borderId="18" fillId="0" fontId="7" numFmtId="2" xfId="0" applyBorder="1" applyFont="1" applyNumberFormat="1"/>
    <xf borderId="37" fillId="0" fontId="11" numFmtId="0" xfId="0" applyAlignment="1" applyBorder="1" applyFont="1">
      <alignment shrinkToFit="0" vertical="center" wrapText="1"/>
    </xf>
    <xf borderId="12" fillId="5" fontId="98" numFmtId="2" xfId="0" applyAlignment="1" applyBorder="1" applyFill="1" applyFont="1" applyNumberFormat="1">
      <alignment horizontal="center" vertical="center"/>
    </xf>
    <xf borderId="38" fillId="5" fontId="21" numFmtId="164" xfId="0" applyAlignment="1" applyBorder="1" applyFill="1" applyFont="1" applyNumberFormat="1">
      <alignment horizontal="center"/>
    </xf>
    <xf borderId="22" fillId="0" fontId="7" numFmtId="166" xfId="0" applyBorder="1" applyFont="1" applyNumberFormat="1"/>
    <xf borderId="44" fillId="0" fontId="13" numFmtId="0" xfId="0" applyAlignment="1" applyBorder="1" applyFont="1">
      <alignment horizontal="center"/>
    </xf>
    <xf borderId="23" fillId="0" fontId="88" numFmtId="0" xfId="0" applyAlignment="1" applyBorder="1" applyFont="1">
      <alignment shrinkToFit="0" vertical="center" wrapText="1"/>
    </xf>
    <xf borderId="6" fillId="0" fontId="1" numFmtId="166" xfId="0" applyAlignment="1" applyBorder="1" applyFont="1" applyNumberFormat="1">
      <alignment horizontal="center"/>
    </xf>
    <xf borderId="6" fillId="0" fontId="1" numFmtId="166" xfId="0" applyAlignment="1" applyBorder="1" applyFont="1" applyNumberFormat="1">
      <alignment horizontal="right"/>
    </xf>
    <xf borderId="71" fillId="24" fontId="1" numFmtId="0" xfId="0" applyAlignment="1" applyBorder="1" applyFill="1" applyFont="1">
      <alignment horizontal="left"/>
    </xf>
    <xf borderId="19" fillId="0" fontId="69" numFmtId="0" xfId="0" applyAlignment="1" applyBorder="1" applyFont="1">
      <alignment horizontal="center" shrinkToFit="0" vertical="center" wrapText="1"/>
    </xf>
    <xf borderId="71" fillId="25" fontId="1" numFmtId="0" xfId="0" applyBorder="1" applyFill="1" applyFont="1"/>
    <xf borderId="68" fillId="0" fontId="7" numFmtId="0" xfId="0" applyAlignment="1" applyBorder="1" applyFont="1">
      <alignment horizontal="left"/>
    </xf>
    <xf borderId="75" fillId="5" fontId="21" numFmtId="164" xfId="0" applyAlignment="1" applyBorder="1" applyFill="1" applyFont="1" applyNumberFormat="1">
      <alignment horizontal="center"/>
    </xf>
    <xf borderId="71" fillId="26" fontId="1" numFmtId="0" xfId="0" applyBorder="1" applyFill="1" applyFont="1"/>
    <xf borderId="89" fillId="5" fontId="21" numFmtId="0" xfId="0" applyAlignment="1" applyBorder="1" applyFill="1" applyFont="1">
      <alignment horizontal="left"/>
    </xf>
    <xf borderId="10" fillId="0" fontId="1" numFmtId="0" xfId="0" applyBorder="1" applyFont="1"/>
    <xf borderId="6" fillId="0" fontId="17" numFmtId="0" xfId="0" applyAlignment="1" applyBorder="1" applyFont="1">
      <alignment horizontal="center"/>
    </xf>
    <xf borderId="74" fillId="27" fontId="1" numFmtId="0" xfId="0" applyBorder="1" applyFill="1" applyFont="1"/>
    <xf borderId="6" fillId="0" fontId="1" numFmtId="167" xfId="0" applyAlignment="1" applyBorder="1" applyFont="1" applyNumberFormat="1">
      <alignment horizontal="right"/>
    </xf>
    <xf borderId="90" fillId="27" fontId="1" numFmtId="0" xfId="0" applyBorder="1" applyFill="1" applyFont="1"/>
    <xf borderId="0" fillId="0" fontId="39" numFmtId="0" xfId="0" applyAlignment="1" applyFont="1">
      <alignment horizontal="center"/>
    </xf>
    <xf borderId="35" fillId="0" fontId="38" numFmtId="0" xfId="0" applyAlignment="1" applyBorder="1" applyFont="1">
      <alignment horizontal="center"/>
    </xf>
    <xf borderId="0" fillId="0" fontId="39" numFmtId="0" xfId="0" applyFont="1"/>
    <xf borderId="51" fillId="0" fontId="17" numFmtId="0" xfId="0" applyAlignment="1" applyBorder="1" applyFont="1">
      <alignment horizontal="center"/>
    </xf>
    <xf borderId="3" fillId="0" fontId="69" numFmtId="0" xfId="0" applyAlignment="1" applyBorder="1" applyFont="1">
      <alignment horizontal="center" shrinkToFit="0" wrapText="1"/>
    </xf>
    <xf borderId="51" fillId="0" fontId="1" numFmtId="167" xfId="0" applyAlignment="1" applyBorder="1" applyFont="1" applyNumberFormat="1">
      <alignment horizontal="right"/>
    </xf>
    <xf borderId="19" fillId="0" fontId="9" numFmtId="0" xfId="0" applyAlignment="1" applyBorder="1" applyFont="1">
      <alignment horizontal="center" shrinkToFit="0" wrapText="1"/>
    </xf>
    <xf borderId="5" fillId="0" fontId="17" numFmtId="0" xfId="0" applyAlignment="1" applyBorder="1" applyFont="1">
      <alignment horizontal="center"/>
    </xf>
    <xf borderId="5" fillId="0" fontId="1" numFmtId="167" xfId="0" applyAlignment="1" applyBorder="1" applyFont="1" applyNumberFormat="1">
      <alignment horizontal="right"/>
    </xf>
    <xf borderId="21" fillId="0" fontId="1" numFmtId="0" xfId="0" applyAlignment="1" applyBorder="1" applyFont="1">
      <alignment horizontal="left"/>
    </xf>
    <xf borderId="27" fillId="0" fontId="17" numFmtId="0" xfId="0" applyAlignment="1" applyBorder="1" applyFont="1">
      <alignment horizontal="center"/>
    </xf>
    <xf borderId="27" fillId="0" fontId="1" numFmtId="167" xfId="0" applyAlignment="1" applyBorder="1" applyFont="1" applyNumberFormat="1">
      <alignment horizontal="right"/>
    </xf>
    <xf borderId="22" fillId="0" fontId="7" numFmtId="0" xfId="0" applyAlignment="1" applyBorder="1" applyFont="1">
      <alignment horizontal="center" vertical="center"/>
    </xf>
    <xf borderId="30" fillId="0" fontId="1" numFmtId="0" xfId="0" applyAlignment="1" applyBorder="1" applyFont="1">
      <alignment horizontal="center"/>
    </xf>
    <xf borderId="57" fillId="0" fontId="17" numFmtId="0" xfId="0" applyAlignment="1" applyBorder="1" applyFont="1">
      <alignment horizontal="center"/>
    </xf>
    <xf borderId="13" fillId="0" fontId="83" numFmtId="0" xfId="0" applyBorder="1" applyFont="1"/>
    <xf borderId="57" fillId="0" fontId="1" numFmtId="167" xfId="0" applyAlignment="1" applyBorder="1" applyFont="1" applyNumberFormat="1">
      <alignment horizontal="right"/>
    </xf>
    <xf borderId="55" fillId="0" fontId="1" numFmtId="0" xfId="0" applyAlignment="1" applyBorder="1" applyFont="1">
      <alignment horizontal="left"/>
    </xf>
    <xf borderId="57" fillId="0" fontId="7" numFmtId="0" xfId="0" applyAlignment="1" applyBorder="1" applyFont="1">
      <alignment horizontal="center" vertical="center"/>
    </xf>
    <xf borderId="59" fillId="0" fontId="1" numFmtId="0" xfId="0" applyAlignment="1" applyBorder="1" applyFont="1">
      <alignment horizontal="center"/>
    </xf>
    <xf borderId="76" fillId="0" fontId="12" numFmtId="0" xfId="0" applyAlignment="1" applyBorder="1" applyFont="1">
      <alignment horizontal="center"/>
    </xf>
    <xf borderId="112" fillId="0" fontId="3" numFmtId="0" xfId="0" applyBorder="1" applyFont="1"/>
    <xf borderId="113" fillId="0" fontId="3" numFmtId="0" xfId="0" applyBorder="1" applyFont="1"/>
    <xf borderId="22" fillId="0" fontId="1" numFmtId="167" xfId="0" applyAlignment="1" applyBorder="1" applyFont="1" applyNumberFormat="1">
      <alignment horizontal="right"/>
    </xf>
    <xf borderId="21" fillId="0" fontId="21" numFmtId="0" xfId="0" applyAlignment="1" applyBorder="1" applyFont="1">
      <alignment horizontal="left"/>
    </xf>
    <xf borderId="1" fillId="35" fontId="9" numFmtId="0" xfId="0" applyAlignment="1" applyBorder="1" applyFill="1" applyFont="1">
      <alignment horizontal="center" shrinkToFit="0" wrapText="1"/>
    </xf>
    <xf borderId="23" fillId="0" fontId="39" numFmtId="0" xfId="0" applyAlignment="1" applyBorder="1" applyFont="1">
      <alignment shrinkToFit="0" vertical="center" wrapText="1"/>
    </xf>
    <xf borderId="30" fillId="0" fontId="21" numFmtId="0" xfId="0" applyAlignment="1" applyBorder="1" applyFont="1">
      <alignment horizontal="left"/>
    </xf>
    <xf borderId="35" fillId="0" fontId="17" numFmtId="0" xfId="0" applyAlignment="1" applyBorder="1" applyFont="1">
      <alignment horizontal="center"/>
    </xf>
    <xf borderId="35" fillId="0" fontId="1" numFmtId="167" xfId="0" applyAlignment="1" applyBorder="1" applyFont="1" applyNumberFormat="1">
      <alignment horizontal="right"/>
    </xf>
    <xf borderId="4" fillId="0" fontId="7" numFmtId="0" xfId="0" applyAlignment="1" applyBorder="1" applyFont="1">
      <alignment horizontal="left" vertical="top"/>
    </xf>
    <xf borderId="37" fillId="0" fontId="39" numFmtId="0" xfId="0" applyAlignment="1" applyBorder="1" applyFont="1">
      <alignment shrinkToFit="0" vertical="center" wrapText="1"/>
    </xf>
    <xf borderId="47" fillId="0" fontId="7" numFmtId="0" xfId="0" applyAlignment="1" applyBorder="1" applyFont="1">
      <alignment horizontal="left" vertical="top"/>
    </xf>
    <xf borderId="13" fillId="0" fontId="7" numFmtId="0" xfId="0" applyAlignment="1" applyBorder="1" applyFont="1">
      <alignment horizontal="left" vertical="top"/>
    </xf>
    <xf borderId="1" fillId="0" fontId="96" numFmtId="0" xfId="0" applyAlignment="1" applyBorder="1" applyFont="1">
      <alignment horizontal="center" vertical="center"/>
    </xf>
    <xf borderId="16" fillId="0" fontId="7" numFmtId="0" xfId="0" applyAlignment="1" applyBorder="1" applyFont="1">
      <alignment horizontal="left"/>
    </xf>
    <xf borderId="4" fillId="17" fontId="7" numFmtId="0" xfId="0" applyBorder="1" applyFill="1" applyFont="1"/>
    <xf borderId="6" fillId="17" fontId="7" numFmtId="0" xfId="0" applyAlignment="1" applyBorder="1" applyFill="1" applyFont="1">
      <alignment horizontal="center"/>
    </xf>
    <xf borderId="6" fillId="17" fontId="7" numFmtId="0" xfId="0" applyAlignment="1" applyBorder="1" applyFill="1" applyFont="1">
      <alignment horizontal="right"/>
    </xf>
    <xf borderId="9" fillId="17" fontId="7" numFmtId="0" xfId="0" applyAlignment="1" applyBorder="1" applyFill="1" applyFont="1">
      <alignment horizontal="left"/>
    </xf>
    <xf borderId="5" fillId="0" fontId="7" numFmtId="2" xfId="0" applyAlignment="1" applyBorder="1" applyFont="1" applyNumberFormat="1">
      <alignment horizontal="right"/>
    </xf>
    <xf borderId="15" fillId="0" fontId="17" numFmtId="0" xfId="0" applyAlignment="1" applyBorder="1" applyFont="1">
      <alignment horizontal="right"/>
    </xf>
    <xf borderId="44" fillId="0" fontId="7" numFmtId="0" xfId="0" applyAlignment="1" applyBorder="1" applyFont="1">
      <alignment horizontal="center"/>
    </xf>
    <xf borderId="1" fillId="21" fontId="71" numFmtId="0" xfId="0" applyAlignment="1" applyBorder="1" applyFill="1" applyFont="1">
      <alignment horizontal="left" shrinkToFit="0" vertical="top" wrapText="1"/>
    </xf>
    <xf borderId="19" fillId="0" fontId="88" numFmtId="0" xfId="0" applyAlignment="1" applyBorder="1" applyFont="1">
      <alignment shrinkToFit="0" wrapText="1"/>
    </xf>
    <xf borderId="23" fillId="0" fontId="88" numFmtId="0" xfId="0" applyAlignment="1" applyBorder="1" applyFont="1">
      <alignment shrinkToFit="0" wrapText="1"/>
    </xf>
    <xf borderId="12" fillId="0" fontId="88" numFmtId="0" xfId="0" applyAlignment="1" applyBorder="1" applyFont="1">
      <alignment shrinkToFit="0" wrapText="1"/>
    </xf>
    <xf borderId="44" fillId="0" fontId="17" numFmtId="0" xfId="0" applyAlignment="1" applyBorder="1" applyFont="1">
      <alignment horizontal="right"/>
    </xf>
    <xf borderId="31" fillId="0" fontId="7" numFmtId="0" xfId="0" applyBorder="1" applyFont="1"/>
    <xf borderId="5" fillId="3" fontId="17" numFmtId="0" xfId="0" applyAlignment="1" applyBorder="1" applyFill="1" applyFont="1">
      <alignment horizontal="right"/>
    </xf>
    <xf borderId="2" fillId="0" fontId="88" numFmtId="0" xfId="0" applyAlignment="1" applyBorder="1" applyFont="1">
      <alignment horizontal="center" shrinkToFit="0" vertical="center" wrapText="1"/>
    </xf>
    <xf borderId="5" fillId="3" fontId="17" numFmtId="2" xfId="0" applyAlignment="1" applyBorder="1" applyFill="1" applyFont="1" applyNumberFormat="1">
      <alignment horizontal="right"/>
    </xf>
    <xf borderId="18" fillId="3" fontId="1" numFmtId="0" xfId="0" applyBorder="1" applyFill="1" applyFont="1"/>
    <xf borderId="12" fillId="0" fontId="7" numFmtId="0" xfId="0" applyAlignment="1" applyBorder="1" applyFont="1">
      <alignment horizontal="center"/>
    </xf>
    <xf borderId="14" fillId="0" fontId="7" numFmtId="0" xfId="0" applyAlignment="1" applyBorder="1" applyFont="1">
      <alignment vertical="center"/>
    </xf>
    <xf borderId="15" fillId="0" fontId="7" numFmtId="0" xfId="0" applyAlignment="1" applyBorder="1" applyFont="1">
      <alignment vertical="center"/>
    </xf>
    <xf borderId="76" fillId="0" fontId="2" numFmtId="0" xfId="0" applyAlignment="1" applyBorder="1" applyFont="1">
      <alignment horizontal="center" vertical="top"/>
    </xf>
    <xf borderId="16" fillId="0" fontId="7" numFmtId="0" xfId="0" applyAlignment="1" applyBorder="1" applyFont="1">
      <alignment vertical="center"/>
    </xf>
    <xf borderId="95" fillId="0" fontId="21" numFmtId="0" xfId="0" applyBorder="1" applyFont="1"/>
    <xf borderId="5" fillId="0" fontId="21" numFmtId="0" xfId="0" applyBorder="1" applyFont="1"/>
    <xf borderId="22" fillId="0" fontId="7" numFmtId="2" xfId="0" applyBorder="1" applyFont="1" applyNumberFormat="1"/>
    <xf borderId="22" fillId="0" fontId="7" numFmtId="2" xfId="0" applyAlignment="1" applyBorder="1" applyFont="1" applyNumberFormat="1">
      <alignment horizontal="center"/>
    </xf>
    <xf borderId="30" fillId="0" fontId="7" numFmtId="0" xfId="0" applyAlignment="1" applyBorder="1" applyFont="1">
      <alignment horizontal="center"/>
    </xf>
    <xf borderId="8" fillId="0" fontId="21" numFmtId="0" xfId="0" applyAlignment="1" applyBorder="1" applyFont="1">
      <alignment horizontal="center" vertical="center"/>
    </xf>
    <xf borderId="0" fillId="0" fontId="21" numFmtId="0" xfId="0" applyFont="1"/>
    <xf borderId="114" fillId="36" fontId="9" numFmtId="0" xfId="0" applyBorder="1" applyFill="1" applyFont="1"/>
    <xf borderId="23" fillId="0" fontId="88" numFmtId="0" xfId="0" applyAlignment="1" applyBorder="1" applyFont="1">
      <alignment horizontal="center" shrinkToFit="0" vertical="center" wrapText="1"/>
    </xf>
    <xf borderId="14" fillId="0" fontId="1" numFmtId="0" xfId="0" applyAlignment="1" applyBorder="1" applyFont="1">
      <alignment horizontal="left" vertical="center"/>
    </xf>
    <xf borderId="15" fillId="0" fontId="1" numFmtId="0" xfId="0" applyAlignment="1" applyBorder="1" applyFont="1">
      <alignment horizontal="right" readingOrder="0"/>
    </xf>
    <xf borderId="16" fillId="0" fontId="1" numFmtId="0" xfId="0" applyAlignment="1" applyBorder="1" applyFont="1">
      <alignment horizontal="left" vertical="center"/>
    </xf>
    <xf borderId="14" fillId="0" fontId="85" numFmtId="0" xfId="0" applyBorder="1" applyFont="1"/>
    <xf borderId="15" fillId="0" fontId="85" numFmtId="0" xfId="0" applyAlignment="1" applyBorder="1" applyFont="1">
      <alignment horizontal="center"/>
    </xf>
    <xf borderId="15" fillId="0" fontId="85" numFmtId="0" xfId="0" applyAlignment="1" applyBorder="1" applyFont="1">
      <alignment horizontal="right"/>
    </xf>
    <xf borderId="16" fillId="0" fontId="85" numFmtId="0" xfId="0" applyAlignment="1" applyBorder="1" applyFont="1">
      <alignment horizontal="left"/>
    </xf>
    <xf borderId="47" fillId="4" fontId="1" numFmtId="0" xfId="0" applyBorder="1" applyFill="1" applyFont="1"/>
    <xf borderId="27" fillId="4" fontId="17" numFmtId="0" xfId="0" applyAlignment="1" applyBorder="1" applyFill="1" applyFont="1">
      <alignment horizontal="center"/>
    </xf>
    <xf borderId="19" fillId="5" fontId="21" numFmtId="0" xfId="0" applyAlignment="1" applyBorder="1" applyFill="1" applyFont="1">
      <alignment horizontal="center" vertical="center"/>
    </xf>
    <xf borderId="27" fillId="4" fontId="1" numFmtId="0" xfId="0" applyAlignment="1" applyBorder="1" applyFill="1" applyFont="1">
      <alignment horizontal="right"/>
    </xf>
    <xf borderId="53" fillId="4" fontId="1" numFmtId="0" xfId="0" applyAlignment="1" applyBorder="1" applyFill="1" applyFont="1">
      <alignment horizontal="left"/>
    </xf>
    <xf borderId="44" fillId="0" fontId="17" numFmtId="0" xfId="0" applyAlignment="1" applyBorder="1" applyFont="1">
      <alignment horizontal="center"/>
    </xf>
    <xf borderId="15" fillId="0" fontId="9" numFmtId="2" xfId="0" applyAlignment="1" applyBorder="1" applyFont="1" applyNumberFormat="1">
      <alignment horizontal="center"/>
    </xf>
    <xf borderId="12" fillId="0" fontId="9" numFmtId="0" xfId="0" applyBorder="1" applyFont="1"/>
    <xf borderId="67" fillId="0" fontId="13" numFmtId="0" xfId="0" applyAlignment="1" applyBorder="1" applyFont="1">
      <alignment horizontal="right"/>
    </xf>
    <xf borderId="35" fillId="0" fontId="9" numFmtId="2" xfId="0" applyAlignment="1" applyBorder="1" applyFont="1" applyNumberFormat="1">
      <alignment horizontal="center"/>
    </xf>
    <xf borderId="36" fillId="0" fontId="9" numFmtId="0" xfId="0" applyBorder="1" applyFont="1"/>
    <xf borderId="5" fillId="0" fontId="11" numFmtId="0" xfId="0" applyAlignment="1" applyBorder="1" applyFont="1">
      <alignment horizontal="center"/>
    </xf>
    <xf borderId="105" fillId="17" fontId="13" numFmtId="0" xfId="0" applyAlignment="1" applyBorder="1" applyFill="1" applyFont="1">
      <alignment horizontal="right"/>
    </xf>
    <xf borderId="7" fillId="0" fontId="9" numFmtId="0" xfId="0" applyBorder="1" applyFont="1"/>
    <xf borderId="22" fillId="0" fontId="43" numFmtId="0" xfId="0" applyAlignment="1" applyBorder="1" applyFont="1">
      <alignment horizontal="center" shrinkToFit="0" vertical="center" wrapText="1"/>
    </xf>
    <xf borderId="5" fillId="0" fontId="9" numFmtId="2" xfId="0" applyAlignment="1" applyBorder="1" applyFont="1" applyNumberFormat="1">
      <alignment horizontal="center"/>
    </xf>
    <xf borderId="17" fillId="0" fontId="9" numFmtId="0" xfId="0" applyBorder="1" applyFont="1"/>
    <xf borderId="22" fillId="0" fontId="9" numFmtId="2" xfId="0" applyAlignment="1" applyBorder="1" applyFont="1" applyNumberFormat="1">
      <alignment horizontal="center"/>
    </xf>
    <xf borderId="25" fillId="0" fontId="9" numFmtId="0" xfId="0" applyBorder="1" applyFont="1"/>
    <xf borderId="23" fillId="0" fontId="1" numFmtId="0" xfId="0" applyAlignment="1" applyBorder="1" applyFont="1">
      <alignment horizontal="center" shrinkToFit="0" vertical="center" wrapText="1"/>
    </xf>
    <xf borderId="27" fillId="0" fontId="9" numFmtId="2" xfId="0" applyAlignment="1" applyBorder="1" applyFont="1" applyNumberFormat="1">
      <alignment horizontal="center"/>
    </xf>
    <xf borderId="12" fillId="0" fontId="6" numFmtId="0" xfId="0" applyBorder="1" applyFont="1"/>
    <xf borderId="18" fillId="0" fontId="38" numFmtId="0" xfId="0" applyBorder="1" applyFont="1"/>
    <xf borderId="30" fillId="0" fontId="38" numFmtId="0" xfId="0" applyBorder="1" applyFont="1"/>
    <xf borderId="22" fillId="0" fontId="38" numFmtId="0" xfId="0" applyBorder="1" applyFont="1"/>
    <xf borderId="3" fillId="0" fontId="12" numFmtId="0" xfId="0" applyBorder="1" applyFont="1"/>
    <xf borderId="3" fillId="0" fontId="12" numFmtId="0" xfId="0" applyAlignment="1" applyBorder="1" applyFont="1">
      <alignment horizontal="center"/>
    </xf>
    <xf borderId="10" fillId="0" fontId="17" numFmtId="0" xfId="0" applyAlignment="1" applyBorder="1" applyFont="1">
      <alignment horizontal="center"/>
    </xf>
    <xf borderId="8" fillId="0" fontId="1" numFmtId="0" xfId="0" applyAlignment="1" applyBorder="1" applyFont="1">
      <alignment horizontal="center"/>
    </xf>
    <xf borderId="12" fillId="5" fontId="21" numFmtId="15" xfId="0" applyAlignment="1" applyBorder="1" applyFill="1" applyFont="1" applyNumberFormat="1">
      <alignment horizontal="center"/>
    </xf>
    <xf borderId="94" fillId="5" fontId="21" numFmtId="0" xfId="0" applyBorder="1" applyFill="1" applyFont="1"/>
    <xf borderId="89" fillId="5" fontId="21" numFmtId="15" xfId="0" applyAlignment="1" applyBorder="1" applyFill="1" applyFont="1" applyNumberFormat="1">
      <alignment horizontal="center"/>
    </xf>
    <xf borderId="0" fillId="0" fontId="85" numFmtId="0" xfId="0" applyFont="1"/>
    <xf borderId="0" fillId="0" fontId="85" numFmtId="0" xfId="0" applyAlignment="1" applyFont="1">
      <alignment horizontal="center"/>
    </xf>
    <xf borderId="0" fillId="0" fontId="85" numFmtId="0" xfId="0" applyAlignment="1" applyFont="1">
      <alignment horizontal="right"/>
    </xf>
    <xf borderId="0" fillId="0" fontId="85" numFmtId="0" xfId="0" applyAlignment="1" applyFont="1">
      <alignment horizontal="left"/>
    </xf>
    <xf borderId="0" fillId="0" fontId="99" numFmtId="2" xfId="0" applyAlignment="1" applyFont="1" applyNumberFormat="1">
      <alignment horizontal="center" vertical="center"/>
    </xf>
    <xf borderId="0" fillId="0" fontId="23" numFmtId="2" xfId="0" applyAlignment="1" applyFont="1" applyNumberFormat="1">
      <alignment horizontal="center" vertical="center"/>
    </xf>
    <xf borderId="23" fillId="0" fontId="83" numFmtId="0" xfId="0" applyAlignment="1" applyBorder="1" applyFont="1">
      <alignment shrinkToFit="0" vertical="center" wrapText="1"/>
    </xf>
    <xf borderId="58" fillId="0" fontId="7" numFmtId="0" xfId="0" applyBorder="1" applyFont="1"/>
    <xf borderId="12" fillId="17" fontId="13" numFmtId="0" xfId="0" applyAlignment="1" applyBorder="1" applyFill="1" applyFont="1">
      <alignment horizontal="right"/>
    </xf>
    <xf borderId="69" fillId="0" fontId="3" numFmtId="0" xfId="0" applyBorder="1" applyFont="1"/>
    <xf borderId="48" fillId="0" fontId="9" numFmtId="0" xfId="0" applyBorder="1" applyFont="1"/>
    <xf borderId="19" fillId="0" fontId="83" numFmtId="0" xfId="0" applyAlignment="1" applyBorder="1" applyFont="1">
      <alignment shrinkToFit="0" vertical="center" wrapText="1"/>
    </xf>
    <xf borderId="31" fillId="0" fontId="83" numFmtId="0" xfId="0" applyAlignment="1" applyBorder="1" applyFont="1">
      <alignment shrinkToFit="0" vertical="center" wrapText="1"/>
    </xf>
    <xf borderId="19" fillId="0" fontId="60" numFmtId="0" xfId="0" applyAlignment="1" applyBorder="1" applyFont="1">
      <alignment horizontal="center" vertical="center"/>
    </xf>
    <xf borderId="8" fillId="0" fontId="21" numFmtId="0" xfId="0" applyAlignment="1" applyBorder="1" applyFont="1">
      <alignment horizontal="center"/>
    </xf>
    <xf borderId="19" fillId="0" fontId="60" numFmtId="0" xfId="0" applyAlignment="1" applyBorder="1" applyFont="1">
      <alignment horizontal="center" shrinkToFit="0" vertical="center" wrapText="1"/>
    </xf>
    <xf borderId="32" fillId="0" fontId="7" numFmtId="0" xfId="0" applyAlignment="1" applyBorder="1" applyFont="1">
      <alignment horizontal="left" vertical="center"/>
    </xf>
    <xf borderId="35" fillId="0" fontId="7" numFmtId="0" xfId="0" applyAlignment="1" applyBorder="1" applyFont="1">
      <alignment horizontal="right" vertical="center"/>
    </xf>
    <xf borderId="38" fillId="0" fontId="7" numFmtId="0" xfId="0" applyAlignment="1" applyBorder="1" applyFont="1">
      <alignment horizontal="left" vertical="center"/>
    </xf>
    <xf borderId="45" fillId="0" fontId="83" numFmtId="0" xfId="0" applyAlignment="1" applyBorder="1" applyFont="1">
      <alignment shrinkToFit="0" vertical="center" wrapText="1"/>
    </xf>
    <xf borderId="31" fillId="0" fontId="83" numFmtId="0" xfId="0" applyAlignment="1" applyBorder="1" applyFont="1">
      <alignment horizontal="center" shrinkToFit="0" vertical="center" wrapText="1"/>
    </xf>
    <xf borderId="13" fillId="37" fontId="1" numFmtId="0" xfId="0" applyBorder="1" applyFill="1" applyFont="1"/>
    <xf borderId="5" fillId="37" fontId="1" numFmtId="0" xfId="0" applyBorder="1" applyFill="1" applyFont="1"/>
    <xf borderId="51" fillId="0" fontId="7" numFmtId="166" xfId="0" applyAlignment="1" applyBorder="1" applyFont="1" applyNumberFormat="1">
      <alignment horizontal="right"/>
    </xf>
    <xf borderId="19" fillId="0" fontId="24" numFmtId="0" xfId="0" applyAlignment="1" applyBorder="1" applyFont="1">
      <alignment horizontal="center" shrinkToFit="0" vertical="center" wrapText="1"/>
    </xf>
    <xf borderId="38" fillId="5" fontId="10" numFmtId="15" xfId="0" applyAlignment="1" applyBorder="1" applyFill="1" applyFont="1" applyNumberFormat="1">
      <alignment horizontal="center"/>
    </xf>
    <xf borderId="18" fillId="37" fontId="1" numFmtId="0" xfId="0" applyBorder="1" applyFill="1" applyFont="1"/>
    <xf borderId="0" fillId="0" fontId="100" numFmtId="0" xfId="0" applyFont="1"/>
    <xf borderId="5" fillId="0" fontId="7" numFmtId="166" xfId="0" applyAlignment="1" applyBorder="1" applyFont="1" applyNumberFormat="1">
      <alignment horizontal="right"/>
    </xf>
    <xf borderId="7" fillId="0" fontId="1" numFmtId="0" xfId="0" applyAlignment="1" applyBorder="1" applyFont="1">
      <alignment horizontal="left"/>
    </xf>
    <xf borderId="17" fillId="0" fontId="1" numFmtId="0" xfId="0" applyAlignment="1" applyBorder="1" applyFont="1">
      <alignment horizontal="left"/>
    </xf>
    <xf borderId="47" fillId="23" fontId="1" numFmtId="0" xfId="0" applyBorder="1" applyFill="1" applyFont="1"/>
    <xf borderId="27" fillId="23" fontId="1" numFmtId="0" xfId="0" applyBorder="1" applyFill="1" applyFont="1"/>
    <xf borderId="25" fillId="0" fontId="1" numFmtId="0" xfId="0" applyAlignment="1" applyBorder="1" applyFont="1">
      <alignment horizontal="left"/>
    </xf>
    <xf borderId="53" fillId="23" fontId="1" numFmtId="0" xfId="0" applyBorder="1" applyFill="1" applyFont="1"/>
    <xf borderId="19" fillId="0" fontId="24" numFmtId="0" xfId="0" applyAlignment="1" applyBorder="1" applyFont="1">
      <alignment horizontal="center" vertical="center"/>
    </xf>
    <xf borderId="22" fillId="0" fontId="7" numFmtId="166" xfId="0" applyAlignment="1" applyBorder="1" applyFont="1" applyNumberFormat="1">
      <alignment horizontal="right"/>
    </xf>
    <xf borderId="32" fillId="5" fontId="1" numFmtId="0" xfId="0" applyBorder="1" applyFill="1" applyFont="1"/>
    <xf borderId="24" fillId="5" fontId="101" numFmtId="0" xfId="0" applyAlignment="1" applyBorder="1" applyFill="1" applyFont="1">
      <alignment horizontal="center" vertical="center"/>
    </xf>
    <xf borderId="36" fillId="0" fontId="1" numFmtId="0" xfId="0" applyAlignment="1" applyBorder="1" applyFont="1">
      <alignment horizontal="left"/>
    </xf>
    <xf borderId="32" fillId="5" fontId="71" numFmtId="0" xfId="0" applyAlignment="1" applyBorder="1" applyFill="1" applyFont="1">
      <alignment horizontal="left"/>
    </xf>
    <xf borderId="38" fillId="5" fontId="71" numFmtId="15" xfId="0" applyAlignment="1" applyBorder="1" applyFill="1" applyFont="1" applyNumberFormat="1">
      <alignment horizontal="center"/>
    </xf>
    <xf borderId="8" fillId="29" fontId="11" numFmtId="0" xfId="0" applyAlignment="1" applyBorder="1" applyFill="1" applyFont="1">
      <alignment horizontal="center"/>
    </xf>
    <xf borderId="8" fillId="29" fontId="43" numFmtId="0" xfId="0" applyAlignment="1" applyBorder="1" applyFill="1" applyFont="1">
      <alignment horizontal="center"/>
    </xf>
    <xf borderId="66" fillId="0" fontId="85" numFmtId="0" xfId="0" applyBorder="1" applyFont="1"/>
    <xf borderId="44" fillId="0" fontId="85" numFmtId="0" xfId="0" applyBorder="1" applyFont="1"/>
    <xf borderId="68" fillId="0" fontId="85" numFmtId="0" xfId="0" applyBorder="1" applyFont="1"/>
    <xf borderId="32" fillId="0" fontId="1" numFmtId="0" xfId="0" applyAlignment="1" applyBorder="1" applyFont="1">
      <alignment shrinkToFit="0" wrapText="1"/>
    </xf>
    <xf borderId="22" fillId="0" fontId="13" numFmtId="0" xfId="0" applyAlignment="1" applyBorder="1" applyFont="1">
      <alignment horizontal="center"/>
    </xf>
    <xf borderId="1" fillId="0" fontId="60" numFmtId="0" xfId="0" applyAlignment="1" applyBorder="1" applyFont="1">
      <alignment horizontal="center"/>
    </xf>
    <xf borderId="57" fillId="0" fontId="7" numFmtId="0" xfId="0" applyAlignment="1" applyBorder="1" applyFont="1">
      <alignment horizontal="right"/>
    </xf>
    <xf borderId="12" fillId="5" fontId="21" numFmtId="164" xfId="0" applyAlignment="1" applyBorder="1" applyFill="1" applyFont="1" applyNumberFormat="1">
      <alignment horizontal="center"/>
    </xf>
    <xf borderId="8" fillId="0" fontId="24" numFmtId="0" xfId="0" applyAlignment="1" applyBorder="1" applyFont="1">
      <alignment horizontal="center"/>
    </xf>
    <xf borderId="94" fillId="5" fontId="8" numFmtId="0" xfId="0" applyBorder="1" applyFill="1" applyFont="1"/>
    <xf borderId="9" fillId="0" fontId="1" numFmtId="0" xfId="0" applyAlignment="1" applyBorder="1" applyFont="1">
      <alignment shrinkToFit="0" vertical="center" wrapText="1"/>
    </xf>
    <xf borderId="21" fillId="0" fontId="21" numFmtId="0" xfId="0" applyBorder="1" applyFont="1"/>
    <xf borderId="30" fillId="0" fontId="1" numFmtId="0" xfId="0" applyAlignment="1" applyBorder="1" applyFont="1">
      <alignment shrinkToFit="0" vertical="center" wrapText="1"/>
    </xf>
    <xf borderId="31" fillId="0" fontId="1" numFmtId="0" xfId="0" applyAlignment="1" applyBorder="1" applyFont="1">
      <alignment shrinkToFit="0" vertical="center" wrapText="1"/>
    </xf>
    <xf borderId="1" fillId="0" fontId="85" numFmtId="0" xfId="0" applyAlignment="1" applyBorder="1" applyFont="1">
      <alignment horizontal="left" shrinkToFit="0" vertical="top" wrapText="1"/>
    </xf>
    <xf borderId="8" fillId="5" fontId="21" numFmtId="164" xfId="0" applyAlignment="1" applyBorder="1" applyFill="1" applyFont="1" applyNumberFormat="1">
      <alignment horizontal="center"/>
    </xf>
    <xf borderId="1" fillId="21" fontId="1" numFmtId="0" xfId="0" applyAlignment="1" applyBorder="1" applyFill="1" applyFont="1">
      <alignment horizontal="left" shrinkToFit="0" vertical="center" wrapText="1"/>
    </xf>
    <xf borderId="115" fillId="5" fontId="21" numFmtId="164" xfId="0" applyAlignment="1" applyBorder="1" applyFill="1" applyFont="1" applyNumberFormat="1">
      <alignment horizontal="center"/>
    </xf>
    <xf borderId="116" fillId="0" fontId="3" numFmtId="0" xfId="0" applyBorder="1" applyFont="1"/>
    <xf borderId="75" fillId="5" fontId="21" numFmtId="15" xfId="0" applyAlignment="1" applyBorder="1" applyFill="1" applyFont="1" applyNumberFormat="1">
      <alignment horizontal="center"/>
    </xf>
    <xf borderId="93" fillId="5" fontId="21" numFmtId="0" xfId="0" applyBorder="1" applyFill="1" applyFont="1"/>
    <xf borderId="24" fillId="5" fontId="102" numFmtId="2" xfId="0" applyAlignment="1" applyBorder="1" applyFill="1" applyFont="1" applyNumberFormat="1">
      <alignment horizontal="center" vertical="center"/>
    </xf>
    <xf borderId="5" fillId="0" fontId="1" numFmtId="1" xfId="0" applyAlignment="1" applyBorder="1" applyFont="1" applyNumberFormat="1">
      <alignment horizontal="center"/>
    </xf>
    <xf borderId="4" fillId="0" fontId="103" numFmtId="0" xfId="0" applyBorder="1" applyFont="1"/>
    <xf borderId="6" fillId="0" fontId="103" numFmtId="0" xfId="0" applyAlignment="1" applyBorder="1" applyFont="1">
      <alignment horizontal="center"/>
    </xf>
    <xf borderId="6" fillId="0" fontId="103" numFmtId="0" xfId="0" applyAlignment="1" applyBorder="1" applyFont="1">
      <alignment horizontal="right"/>
    </xf>
    <xf borderId="8" fillId="0" fontId="47" numFmtId="0" xfId="0" applyAlignment="1" applyBorder="1" applyFont="1">
      <alignment horizontal="center" vertical="center"/>
    </xf>
    <xf borderId="15" fillId="0" fontId="13" numFmtId="2" xfId="0" applyAlignment="1" applyBorder="1" applyFont="1" applyNumberFormat="1">
      <alignment horizontal="right"/>
    </xf>
    <xf borderId="15" fillId="0" fontId="7" numFmtId="2" xfId="0" applyAlignment="1" applyBorder="1" applyFont="1" applyNumberFormat="1">
      <alignment horizontal="center" vertical="center"/>
    </xf>
    <xf borderId="5" fillId="0" fontId="13" numFmtId="2" xfId="0" applyAlignment="1" applyBorder="1" applyFont="1" applyNumberFormat="1">
      <alignment horizontal="right"/>
    </xf>
    <xf borderId="22" fillId="0" fontId="13" numFmtId="2" xfId="0" applyAlignment="1" applyBorder="1" applyFont="1" applyNumberFormat="1">
      <alignment horizontal="right"/>
    </xf>
    <xf borderId="6" fillId="0" fontId="13" numFmtId="2" xfId="0" applyAlignment="1" applyBorder="1" applyFont="1" applyNumberFormat="1">
      <alignment horizontal="right"/>
    </xf>
    <xf borderId="27" fillId="0" fontId="13" numFmtId="2" xfId="0" applyAlignment="1" applyBorder="1" applyFont="1" applyNumberFormat="1">
      <alignment horizontal="right"/>
    </xf>
    <xf borderId="51" fillId="0" fontId="13" numFmtId="2" xfId="0" applyAlignment="1" applyBorder="1" applyFont="1" applyNumberFormat="1">
      <alignment horizontal="right"/>
    </xf>
    <xf borderId="51" fillId="0" fontId="7" numFmtId="2" xfId="0" applyAlignment="1" applyBorder="1" applyFont="1" applyNumberFormat="1">
      <alignment horizontal="center"/>
    </xf>
    <xf borderId="15" fillId="0" fontId="7" numFmtId="2" xfId="0" applyAlignment="1" applyBorder="1" applyFont="1" applyNumberFormat="1">
      <alignment horizontal="center"/>
    </xf>
    <xf borderId="44" fillId="0" fontId="7" numFmtId="2" xfId="0" applyAlignment="1" applyBorder="1" applyFont="1" applyNumberFormat="1">
      <alignment horizontal="center"/>
    </xf>
    <xf borderId="35" fillId="0" fontId="13" numFmtId="2" xfId="0" applyAlignment="1" applyBorder="1" applyFont="1" applyNumberFormat="1">
      <alignment horizontal="right"/>
    </xf>
    <xf borderId="38" fillId="0" fontId="7" numFmtId="0" xfId="0" applyAlignment="1" applyBorder="1" applyFont="1">
      <alignment horizontal="center"/>
    </xf>
    <xf borderId="35" fillId="0" fontId="4" numFmtId="0" xfId="0" applyBorder="1" applyFont="1"/>
    <xf borderId="35" fillId="0" fontId="7" numFmtId="2" xfId="0" applyAlignment="1" applyBorder="1" applyFont="1" applyNumberFormat="1">
      <alignment horizontal="center" vertical="center"/>
    </xf>
    <xf borderId="38" fillId="0" fontId="4" numFmtId="0" xfId="0" applyAlignment="1" applyBorder="1" applyFont="1">
      <alignment horizontal="center"/>
    </xf>
    <xf borderId="9" fillId="0" fontId="4" numFmtId="0" xfId="0" applyAlignment="1" applyBorder="1" applyFont="1">
      <alignment horizontal="center"/>
    </xf>
    <xf borderId="18" fillId="0" fontId="4" numFmtId="0" xfId="0" applyAlignment="1" applyBorder="1" applyFont="1">
      <alignment horizontal="center"/>
    </xf>
    <xf borderId="60" fillId="0" fontId="1" numFmtId="0" xfId="0" applyAlignment="1" applyBorder="1" applyFont="1">
      <alignment horizontal="right"/>
    </xf>
    <xf borderId="4" fillId="0" fontId="85" numFmtId="0" xfId="0" applyBorder="1" applyFont="1"/>
    <xf borderId="6" fillId="0" fontId="17" numFmtId="2" xfId="0" applyAlignment="1" applyBorder="1" applyFont="1" applyNumberFormat="1">
      <alignment horizontal="right"/>
    </xf>
    <xf borderId="53" fillId="0" fontId="4" numFmtId="0" xfId="0" applyAlignment="1" applyBorder="1" applyFont="1">
      <alignment horizontal="center"/>
    </xf>
    <xf borderId="9" fillId="0" fontId="1" numFmtId="0" xfId="0" applyAlignment="1" applyBorder="1" applyFont="1">
      <alignment horizontal="right"/>
    </xf>
    <xf borderId="60" fillId="0" fontId="4" numFmtId="0" xfId="0" applyAlignment="1" applyBorder="1" applyFont="1">
      <alignment horizontal="center"/>
    </xf>
    <xf borderId="5" fillId="0" fontId="17" numFmtId="2" xfId="0" applyAlignment="1" applyBorder="1" applyFont="1" applyNumberFormat="1">
      <alignment horizontal="right"/>
    </xf>
    <xf borderId="18" fillId="0" fontId="1" numFmtId="0" xfId="0" applyAlignment="1" applyBorder="1" applyFont="1">
      <alignment horizontal="right"/>
    </xf>
    <xf borderId="22" fillId="0" fontId="17" numFmtId="2" xfId="0" applyAlignment="1" applyBorder="1" applyFont="1" applyNumberFormat="1">
      <alignment horizontal="right"/>
    </xf>
    <xf borderId="30" fillId="0" fontId="1" numFmtId="0" xfId="0" applyAlignment="1" applyBorder="1" applyFont="1">
      <alignment horizontal="right"/>
    </xf>
    <xf borderId="35" fillId="0" fontId="17" numFmtId="2" xfId="0" applyAlignment="1" applyBorder="1" applyFont="1" applyNumberFormat="1">
      <alignment horizontal="right"/>
    </xf>
    <xf borderId="38" fillId="0" fontId="1" numFmtId="0" xfId="0" applyAlignment="1" applyBorder="1" applyFont="1">
      <alignment horizontal="right"/>
    </xf>
    <xf borderId="74" fillId="5" fontId="7" numFmtId="0" xfId="0" applyBorder="1" applyFill="1" applyFont="1"/>
    <xf borderId="63" fillId="36" fontId="1" numFmtId="168" xfId="0" applyBorder="1" applyFill="1" applyFont="1" applyNumberFormat="1"/>
    <xf borderId="117" fillId="36" fontId="1" numFmtId="168" xfId="0" applyBorder="1" applyFill="1" applyFont="1" applyNumberFormat="1"/>
    <xf borderId="75" fillId="36" fontId="1" numFmtId="168" xfId="0" applyBorder="1" applyFill="1" applyFont="1" applyNumberFormat="1"/>
    <xf borderId="63" fillId="5" fontId="21" numFmtId="0" xfId="0" applyAlignment="1" applyBorder="1" applyFill="1" applyFont="1">
      <alignment horizontal="left"/>
    </xf>
    <xf borderId="8" fillId="36" fontId="1" numFmtId="168" xfId="0" applyAlignment="1" applyBorder="1" applyFill="1" applyFont="1" applyNumberFormat="1">
      <alignment horizontal="center"/>
    </xf>
    <xf borderId="27" fillId="0" fontId="7" numFmtId="166" xfId="0" applyAlignment="1" applyBorder="1" applyFont="1" applyNumberFormat="1">
      <alignment horizontal="right"/>
    </xf>
    <xf borderId="15" fillId="0" fontId="7" numFmtId="166" xfId="0" applyAlignment="1" applyBorder="1" applyFont="1" applyNumberFormat="1">
      <alignment horizontal="right"/>
    </xf>
    <xf borderId="5" fillId="0" fontId="1" numFmtId="166" xfId="0" applyAlignment="1" applyBorder="1" applyFont="1" applyNumberFormat="1">
      <alignment horizontal="right"/>
    </xf>
    <xf borderId="13" fillId="0" fontId="4" numFmtId="2" xfId="0" applyBorder="1" applyFont="1" applyNumberFormat="1"/>
    <xf borderId="86" fillId="38" fontId="4" numFmtId="2" xfId="0" applyBorder="1" applyFill="1" applyFont="1" applyNumberFormat="1"/>
    <xf borderId="88" fillId="38" fontId="1" numFmtId="0" xfId="0" applyAlignment="1" applyBorder="1" applyFill="1" applyFont="1">
      <alignment horizontal="center"/>
    </xf>
    <xf borderId="5" fillId="38" fontId="1" numFmtId="166" xfId="0" applyAlignment="1" applyBorder="1" applyFill="1" applyFont="1" applyNumberFormat="1">
      <alignment horizontal="right"/>
    </xf>
    <xf borderId="87" fillId="38" fontId="4" numFmtId="0" xfId="0" applyAlignment="1" applyBorder="1" applyFill="1" applyFont="1">
      <alignment horizontal="left"/>
    </xf>
    <xf borderId="15" fillId="0" fontId="7" numFmtId="2" xfId="0" applyBorder="1" applyFont="1" applyNumberFormat="1"/>
    <xf borderId="22" fillId="0" fontId="39" numFmtId="0" xfId="0" applyAlignment="1" applyBorder="1" applyFont="1">
      <alignment horizontal="center" shrinkToFit="0" vertical="center" wrapText="1"/>
    </xf>
    <xf borderId="12" fillId="5" fontId="104" numFmtId="0" xfId="0" applyAlignment="1" applyBorder="1" applyFill="1" applyFont="1">
      <alignment horizontal="center"/>
    </xf>
    <xf borderId="44" fillId="0" fontId="7" numFmtId="2" xfId="0" applyBorder="1" applyFont="1" applyNumberFormat="1"/>
    <xf borderId="5" fillId="0" fontId="39" numFmtId="0" xfId="0" applyAlignment="1" applyBorder="1" applyFont="1">
      <alignment horizontal="center"/>
    </xf>
    <xf borderId="22" fillId="0" fontId="39" numFmtId="0" xfId="0" applyAlignment="1" applyBorder="1" applyFont="1">
      <alignment horizontal="center" shrinkToFit="0" wrapText="1"/>
    </xf>
    <xf borderId="19" fillId="0" fontId="105" numFmtId="0" xfId="0" applyAlignment="1" applyBorder="1" applyFont="1">
      <alignment horizontal="center" textRotation="180" vertical="center"/>
    </xf>
    <xf borderId="13" fillId="19" fontId="7" numFmtId="0" xfId="0" applyBorder="1" applyFill="1" applyFont="1"/>
    <xf borderId="5" fillId="19" fontId="7" numFmtId="0" xfId="0" applyBorder="1" applyFill="1" applyFont="1"/>
    <xf borderId="5" fillId="19" fontId="7" numFmtId="2" xfId="0" applyBorder="1" applyFill="1" applyFont="1" applyNumberFormat="1"/>
    <xf borderId="118" fillId="19" fontId="1" numFmtId="0" xfId="0" applyBorder="1" applyFill="1" applyFont="1"/>
    <xf borderId="6" fillId="0" fontId="9" numFmtId="0" xfId="0" applyBorder="1" applyFont="1"/>
    <xf borderId="0" fillId="0" fontId="1" numFmtId="164" xfId="0" applyFont="1" applyNumberFormat="1"/>
    <xf borderId="5" fillId="0" fontId="9" numFmtId="2" xfId="0" applyBorder="1" applyFont="1" applyNumberFormat="1"/>
    <xf borderId="14" fillId="0" fontId="23" numFmtId="0" xfId="0" applyAlignment="1" applyBorder="1" applyFont="1">
      <alignment horizontal="left"/>
    </xf>
    <xf borderId="15" fillId="0" fontId="4" numFmtId="2" xfId="0" applyBorder="1" applyFont="1" applyNumberFormat="1"/>
    <xf borderId="15" fillId="0" fontId="10" numFmtId="0" xfId="0" applyBorder="1" applyFont="1"/>
    <xf borderId="27" fillId="0" fontId="9" numFmtId="2" xfId="0" applyBorder="1" applyFont="1" applyNumberFormat="1"/>
    <xf borderId="22" fillId="0" fontId="1" numFmtId="0" xfId="0" applyAlignment="1" applyBorder="1" applyFont="1">
      <alignment horizontal="center" shrinkToFit="0" vertical="top" wrapText="1"/>
    </xf>
    <xf borderId="44" fillId="0" fontId="21" numFmtId="0" xfId="0" applyBorder="1" applyFont="1"/>
    <xf borderId="119" fillId="5" fontId="106" numFmtId="2" xfId="0" applyAlignment="1" applyBorder="1" applyFill="1" applyFont="1" applyNumberFormat="1">
      <alignment horizontal="center" vertical="center"/>
    </xf>
    <xf borderId="12" fillId="11" fontId="21" numFmtId="0" xfId="0" applyBorder="1" applyFill="1" applyFont="1"/>
    <xf borderId="35" fillId="0" fontId="9" numFmtId="0" xfId="0" applyBorder="1" applyFont="1"/>
    <xf borderId="19" fillId="0" fontId="1" numFmtId="0" xfId="0" applyAlignment="1" applyBorder="1" applyFont="1">
      <alignment horizontal="left" shrinkToFit="0" vertical="top" wrapText="1"/>
    </xf>
    <xf borderId="9" fillId="0" fontId="103" numFmtId="0" xfId="0" applyAlignment="1" applyBorder="1" applyFont="1">
      <alignment horizontal="left"/>
    </xf>
    <xf borderId="16" fillId="0" fontId="9" numFmtId="0" xfId="0" applyBorder="1" applyFont="1"/>
    <xf borderId="35" fillId="0" fontId="4" numFmtId="1" xfId="0" applyAlignment="1" applyBorder="1" applyFont="1" applyNumberFormat="1">
      <alignment horizontal="right"/>
    </xf>
    <xf borderId="35" fillId="0" fontId="4" numFmtId="2" xfId="0" applyAlignment="1" applyBorder="1" applyFont="1" applyNumberFormat="1">
      <alignment horizontal="right"/>
    </xf>
    <xf borderId="6" fillId="0" fontId="47" numFmtId="2" xfId="0" applyBorder="1" applyFont="1" applyNumberFormat="1"/>
    <xf borderId="51" fillId="0" fontId="17" numFmtId="1" xfId="0" applyAlignment="1" applyBorder="1" applyFont="1" applyNumberFormat="1">
      <alignment horizontal="right"/>
    </xf>
    <xf borderId="9" fillId="0" fontId="47" numFmtId="0" xfId="0" applyBorder="1" applyFont="1"/>
    <xf borderId="60" fillId="0" fontId="4" numFmtId="0" xfId="0" applyBorder="1" applyFont="1"/>
    <xf borderId="19" fillId="0" fontId="4" numFmtId="0" xfId="0" applyAlignment="1" applyBorder="1" applyFont="1">
      <alignment horizontal="left" shrinkToFit="0" vertical="top" wrapText="1"/>
    </xf>
    <xf borderId="27" fillId="0" fontId="1" numFmtId="1" xfId="0" applyAlignment="1" applyBorder="1" applyFont="1" applyNumberFormat="1">
      <alignment horizontal="center"/>
    </xf>
    <xf borderId="23" fillId="0" fontId="1" numFmtId="0" xfId="0" applyAlignment="1" applyBorder="1" applyFont="1">
      <alignment shrinkToFit="0" vertical="center" wrapText="1"/>
    </xf>
    <xf borderId="37" fillId="0" fontId="1" numFmtId="0" xfId="0" applyAlignment="1" applyBorder="1" applyFont="1">
      <alignment shrinkToFit="0" vertical="center" wrapText="1"/>
    </xf>
    <xf borderId="13" fillId="0" fontId="103" numFmtId="0" xfId="0" applyBorder="1" applyFont="1"/>
    <xf borderId="5" fillId="0" fontId="47" numFmtId="2" xfId="0" applyBorder="1" applyFont="1" applyNumberFormat="1"/>
    <xf borderId="5" fillId="0" fontId="103" numFmtId="0" xfId="0" applyAlignment="1" applyBorder="1" applyFont="1">
      <alignment horizontal="center"/>
    </xf>
    <xf borderId="5" fillId="0" fontId="17" numFmtId="1" xfId="0" applyAlignment="1" applyBorder="1" applyFont="1" applyNumberFormat="1">
      <alignment horizontal="right"/>
    </xf>
    <xf borderId="5" fillId="0" fontId="103" numFmtId="0" xfId="0" applyAlignment="1" applyBorder="1" applyFont="1">
      <alignment horizontal="right"/>
    </xf>
    <xf borderId="18" fillId="0" fontId="103" numFmtId="0" xfId="0" applyAlignment="1" applyBorder="1" applyFont="1">
      <alignment horizontal="left"/>
    </xf>
    <xf borderId="18" fillId="0" fontId="47" numFmtId="0" xfId="0" applyBorder="1" applyFont="1"/>
    <xf borderId="47" fillId="0" fontId="103" numFmtId="0" xfId="0" applyBorder="1" applyFont="1"/>
    <xf borderId="27" fillId="0" fontId="103" numFmtId="0" xfId="0" applyAlignment="1" applyBorder="1" applyFont="1">
      <alignment horizontal="center"/>
    </xf>
    <xf borderId="27" fillId="0" fontId="103" numFmtId="0" xfId="0" applyAlignment="1" applyBorder="1" applyFont="1">
      <alignment horizontal="right"/>
    </xf>
    <xf borderId="53" fillId="0" fontId="103" numFmtId="0" xfId="0" applyAlignment="1" applyBorder="1" applyFont="1">
      <alignment horizontal="left"/>
    </xf>
    <xf borderId="5" fillId="0" fontId="1" numFmtId="1" xfId="0" applyBorder="1" applyFont="1" applyNumberFormat="1"/>
    <xf borderId="27" fillId="0" fontId="1" numFmtId="1" xfId="0" applyBorder="1" applyFont="1" applyNumberFormat="1"/>
    <xf borderId="53" fillId="0" fontId="4" numFmtId="0" xfId="0" applyBorder="1" applyFont="1"/>
    <xf borderId="12" fillId="5" fontId="107" numFmtId="2" xfId="0" applyAlignment="1" applyBorder="1" applyFill="1" applyFont="1" applyNumberFormat="1">
      <alignment horizontal="center" vertical="center"/>
    </xf>
    <xf borderId="17" fillId="6" fontId="4" numFmtId="0" xfId="0" applyAlignment="1" applyBorder="1" applyFill="1" applyFont="1">
      <alignment horizontal="center"/>
    </xf>
    <xf borderId="120" fillId="0" fontId="3" numFmtId="0" xfId="0" applyBorder="1" applyFont="1"/>
    <xf borderId="95" fillId="0" fontId="3" numFmtId="0" xfId="0" applyBorder="1" applyFont="1"/>
    <xf borderId="17" fillId="5" fontId="1" numFmtId="0" xfId="0" applyAlignment="1" applyBorder="1" applyFill="1" applyFont="1">
      <alignment horizontal="center"/>
    </xf>
    <xf borderId="17" fillId="39" fontId="4" numFmtId="0" xfId="0" applyAlignment="1" applyBorder="1" applyFill="1" applyFont="1">
      <alignment horizontal="center"/>
    </xf>
    <xf borderId="15" fillId="0" fontId="4" numFmtId="1" xfId="0" applyAlignment="1" applyBorder="1" applyFont="1" applyNumberFormat="1">
      <alignment horizontal="right"/>
    </xf>
    <xf borderId="15" fillId="0" fontId="4" numFmtId="2" xfId="0" applyAlignment="1" applyBorder="1" applyFont="1" applyNumberFormat="1">
      <alignment horizontal="right"/>
    </xf>
    <xf borderId="6" fillId="0" fontId="17" numFmtId="1" xfId="0" applyAlignment="1" applyBorder="1" applyFont="1" applyNumberFormat="1">
      <alignment horizontal="right"/>
    </xf>
    <xf borderId="27" fillId="0" fontId="17" numFmtId="1" xfId="0" applyAlignment="1" applyBorder="1" applyFont="1" applyNumberFormat="1">
      <alignment horizontal="right"/>
    </xf>
    <xf borderId="121" fillId="0" fontId="1" numFmtId="0" xfId="0" applyBorder="1" applyFont="1"/>
    <xf borderId="121" fillId="0" fontId="1" numFmtId="0" xfId="0" applyAlignment="1" applyBorder="1" applyFont="1">
      <alignment horizontal="center"/>
    </xf>
    <xf borderId="121" fillId="0" fontId="1" numFmtId="0" xfId="0" applyAlignment="1" applyBorder="1" applyFont="1">
      <alignment horizontal="right"/>
    </xf>
    <xf borderId="121" fillId="0" fontId="1" numFmtId="0" xfId="0" applyAlignment="1" applyBorder="1" applyFont="1">
      <alignment horizontal="left"/>
    </xf>
    <xf borderId="6" fillId="0" fontId="7" numFmtId="2" xfId="0" applyAlignment="1" applyBorder="1" applyFont="1" applyNumberFormat="1">
      <alignment horizontal="right"/>
    </xf>
    <xf borderId="19" fillId="0" fontId="1" numFmtId="0" xfId="0" applyAlignment="1" applyBorder="1" applyFont="1">
      <alignment horizontal="center" shrinkToFit="0" wrapText="1"/>
    </xf>
    <xf borderId="27" fillId="0" fontId="7" numFmtId="2" xfId="0" applyAlignment="1" applyBorder="1" applyFont="1" applyNumberFormat="1">
      <alignment horizontal="right"/>
    </xf>
    <xf borderId="44" fillId="0" fontId="7" numFmtId="2" xfId="0" applyAlignment="1" applyBorder="1" applyFont="1" applyNumberFormat="1">
      <alignment horizontal="right"/>
    </xf>
    <xf borderId="0" fillId="0" fontId="21" numFmtId="0" xfId="0" applyAlignment="1" applyFont="1">
      <alignment horizontal="center"/>
    </xf>
    <xf borderId="1" fillId="0" fontId="108" numFmtId="0" xfId="0" applyAlignment="1" applyBorder="1" applyFont="1">
      <alignment horizontal="center" vertical="center"/>
    </xf>
    <xf borderId="4" fillId="0" fontId="79" numFmtId="0" xfId="0" applyAlignment="1" applyBorder="1" applyFont="1">
      <alignment horizontal="left"/>
    </xf>
    <xf borderId="35" fillId="0" fontId="7" numFmtId="2" xfId="0" applyAlignment="1" applyBorder="1" applyFont="1" applyNumberFormat="1">
      <alignment horizontal="right"/>
    </xf>
    <xf borderId="5" fillId="0" fontId="4" numFmtId="0" xfId="0" applyBorder="1" applyFont="1"/>
    <xf borderId="63" fillId="5" fontId="8" numFmtId="0" xfId="0" applyBorder="1" applyFill="1" applyFont="1"/>
    <xf borderId="12" fillId="5" fontId="8" numFmtId="164" xfId="0" applyAlignment="1" applyBorder="1" applyFill="1" applyFont="1" applyNumberFormat="1">
      <alignment horizontal="center"/>
    </xf>
    <xf borderId="89" fillId="5" fontId="8" numFmtId="164" xfId="0" applyAlignment="1" applyBorder="1" applyFill="1" applyFont="1" applyNumberFormat="1">
      <alignment horizontal="center"/>
    </xf>
    <xf borderId="27" fillId="0" fontId="4" numFmtId="0" xfId="0" applyBorder="1" applyFont="1"/>
    <xf borderId="122" fillId="5" fontId="79" numFmtId="0" xfId="0" applyAlignment="1" applyBorder="1" applyFill="1" applyFont="1">
      <alignment horizontal="center"/>
    </xf>
    <xf borderId="123" fillId="0" fontId="3" numFmtId="0" xfId="0" applyBorder="1" applyFont="1"/>
    <xf borderId="29" fillId="0" fontId="7" numFmtId="0" xfId="0" applyBorder="1" applyFont="1"/>
    <xf borderId="5" fillId="0" fontId="11" numFmtId="0" xfId="0" applyAlignment="1" applyBorder="1" applyFont="1">
      <alignment shrinkToFit="0" vertical="center" wrapText="1"/>
    </xf>
    <xf borderId="1" fillId="21" fontId="11" numFmtId="0" xfId="0" applyAlignment="1" applyBorder="1" applyFill="1" applyFont="1">
      <alignment horizontal="center" shrinkToFit="0" wrapText="1"/>
    </xf>
    <xf borderId="89" fillId="5" fontId="21" numFmtId="164" xfId="0" applyAlignment="1" applyBorder="1" applyFill="1" applyFont="1" applyNumberFormat="1">
      <alignment horizontal="center"/>
    </xf>
    <xf borderId="4" fillId="40" fontId="7" numFmtId="0" xfId="0" applyBorder="1" applyFill="1" applyFont="1"/>
    <xf borderId="6" fillId="40" fontId="13" numFmtId="0" xfId="0" applyAlignment="1" applyBorder="1" applyFill="1" applyFont="1">
      <alignment horizontal="right"/>
    </xf>
    <xf borderId="6" fillId="40" fontId="1" numFmtId="0" xfId="0" applyBorder="1" applyFill="1" applyFont="1"/>
    <xf borderId="124" fillId="40" fontId="7" numFmtId="0" xfId="0" applyBorder="1" applyFill="1" applyFont="1"/>
    <xf borderId="13" fillId="40" fontId="7" numFmtId="0" xfId="0" applyBorder="1" applyFill="1" applyFont="1"/>
    <xf borderId="5" fillId="40" fontId="7" numFmtId="0" xfId="0" applyBorder="1" applyFill="1" applyFont="1"/>
    <xf borderId="5" fillId="40" fontId="1" numFmtId="0" xfId="0" applyBorder="1" applyFill="1" applyFont="1"/>
    <xf borderId="118" fillId="40" fontId="7" numFmtId="0" xfId="0" applyBorder="1" applyFill="1" applyFont="1"/>
    <xf borderId="5" fillId="40" fontId="13" numFmtId="0" xfId="0" applyAlignment="1" applyBorder="1" applyFill="1" applyFont="1">
      <alignment horizontal="right"/>
    </xf>
    <xf borderId="47" fillId="40" fontId="7" numFmtId="0" xfId="0" applyBorder="1" applyFill="1" applyFont="1"/>
    <xf borderId="27" fillId="40" fontId="7" numFmtId="0" xfId="0" applyBorder="1" applyFill="1" applyFont="1"/>
    <xf borderId="106" fillId="40" fontId="7" numFmtId="0" xfId="0" applyBorder="1" applyFill="1" applyFont="1"/>
    <xf borderId="6" fillId="17" fontId="1" numFmtId="0" xfId="0" applyBorder="1" applyFill="1" applyFont="1"/>
    <xf borderId="124" fillId="17" fontId="7" numFmtId="0" xfId="0" applyBorder="1" applyFill="1" applyFont="1"/>
    <xf borderId="3" fillId="0" fontId="63" numFmtId="0" xfId="0" applyAlignment="1" applyBorder="1" applyFont="1">
      <alignment horizontal="center" shrinkToFit="0" wrapText="1"/>
    </xf>
    <xf borderId="0" fillId="0" fontId="79" numFmtId="0" xfId="0" applyFont="1"/>
    <xf borderId="32" fillId="0" fontId="85" numFmtId="0" xfId="0" applyBorder="1" applyFont="1"/>
    <xf borderId="35" fillId="0" fontId="85" numFmtId="0" xfId="0" applyAlignment="1" applyBorder="1" applyFont="1">
      <alignment horizontal="center"/>
    </xf>
    <xf borderId="35" fillId="0" fontId="85" numFmtId="0" xfId="0" applyAlignment="1" applyBorder="1" applyFont="1">
      <alignment horizontal="right" readingOrder="0"/>
    </xf>
    <xf borderId="38" fillId="0" fontId="85" numFmtId="0" xfId="0" applyAlignment="1" applyBorder="1" applyFont="1">
      <alignment horizontal="left"/>
    </xf>
    <xf borderId="13" fillId="17" fontId="7" numFmtId="0" xfId="0" applyBorder="1" applyFill="1" applyFont="1"/>
    <xf borderId="5" fillId="17" fontId="7" numFmtId="0" xfId="0" applyBorder="1" applyFill="1" applyFont="1"/>
    <xf borderId="5" fillId="17" fontId="1" numFmtId="0" xfId="0" applyBorder="1" applyFill="1" applyFont="1"/>
    <xf borderId="118" fillId="17" fontId="7" numFmtId="0" xfId="0" applyBorder="1" applyFill="1" applyFont="1"/>
    <xf borderId="47" fillId="17" fontId="7" numFmtId="0" xfId="0" applyBorder="1" applyFill="1" applyFont="1"/>
    <xf borderId="27" fillId="17" fontId="7" numFmtId="0" xfId="0" applyBorder="1" applyFill="1" applyFont="1"/>
    <xf borderId="106" fillId="17" fontId="7" numFmtId="0" xfId="0" applyBorder="1" applyFill="1" applyFont="1"/>
    <xf borderId="8" fillId="3" fontId="7" numFmtId="0" xfId="0" applyAlignment="1" applyBorder="1" applyFill="1" applyFont="1">
      <alignment horizontal="center"/>
    </xf>
    <xf borderId="4" fillId="5" fontId="1" numFmtId="0" xfId="0" applyBorder="1" applyFill="1" applyFont="1"/>
    <xf borderId="9" fillId="5" fontId="1" numFmtId="15" xfId="0" applyBorder="1" applyFill="1" applyFont="1" applyNumberFormat="1"/>
    <xf borderId="47" fillId="5" fontId="1" numFmtId="0" xfId="0" applyBorder="1" applyFill="1" applyFont="1"/>
    <xf borderId="53" fillId="5" fontId="1" numFmtId="164" xfId="0" applyBorder="1" applyFill="1" applyFont="1" applyNumberFormat="1"/>
    <xf borderId="19" fillId="0" fontId="7" numFmtId="0" xfId="0" applyAlignment="1" applyBorder="1" applyFont="1">
      <alignment horizontal="center" shrinkToFit="0" vertical="center" wrapText="1"/>
    </xf>
    <xf borderId="5" fillId="0" fontId="4" numFmtId="2" xfId="0" applyBorder="1" applyFont="1" applyNumberFormat="1"/>
    <xf borderId="95" fillId="0" fontId="4" numFmtId="0" xfId="0" applyBorder="1" applyFont="1"/>
    <xf borderId="13" fillId="0" fontId="10" numFmtId="0" xfId="0" applyBorder="1" applyFont="1"/>
    <xf borderId="27" fillId="0" fontId="4" numFmtId="2" xfId="0" applyBorder="1" applyFont="1" applyNumberFormat="1"/>
    <xf borderId="33" fillId="0" fontId="1" numFmtId="0" xfId="0" applyAlignment="1" applyBorder="1" applyFont="1">
      <alignment horizontal="left"/>
    </xf>
    <xf borderId="0" fillId="0" fontId="4" numFmtId="2" xfId="0" applyFont="1" applyNumberFormat="1"/>
    <xf borderId="19" fillId="0" fontId="12" numFmtId="0" xfId="0" applyAlignment="1" applyBorder="1" applyFont="1">
      <alignment horizontal="center" shrinkToFit="0" wrapText="1"/>
    </xf>
    <xf borderId="35" fillId="0" fontId="1" numFmtId="166" xfId="0" applyAlignment="1" applyBorder="1" applyFont="1" applyNumberFormat="1">
      <alignment horizontal="center"/>
    </xf>
    <xf borderId="35" fillId="0" fontId="1" numFmtId="166" xfId="0" applyAlignment="1" applyBorder="1" applyFont="1" applyNumberFormat="1">
      <alignment horizontal="right"/>
    </xf>
    <xf borderId="57" fillId="0" fontId="1" numFmtId="0" xfId="0" applyAlignment="1" applyBorder="1" applyFont="1">
      <alignment horizontal="right" readingOrder="0"/>
    </xf>
    <xf borderId="4" fillId="41" fontId="1" numFmtId="0" xfId="0" applyBorder="1" applyFill="1" applyFont="1"/>
    <xf borderId="15" fillId="0" fontId="1" numFmtId="2" xfId="0" applyAlignment="1" applyBorder="1" applyFont="1" applyNumberFormat="1">
      <alignment horizontal="center"/>
    </xf>
    <xf borderId="22" fillId="0" fontId="1" numFmtId="2" xfId="0" applyAlignment="1" applyBorder="1" applyFont="1" applyNumberFormat="1">
      <alignment horizontal="center"/>
    </xf>
    <xf borderId="44" fillId="0" fontId="1" numFmtId="166" xfId="0" applyAlignment="1" applyBorder="1" applyFont="1" applyNumberFormat="1">
      <alignment horizontal="center"/>
    </xf>
    <xf borderId="44" fillId="0" fontId="1" numFmtId="166" xfId="0" applyAlignment="1" applyBorder="1" applyFont="1" applyNumberFormat="1">
      <alignment horizontal="right"/>
    </xf>
    <xf borderId="35" fillId="0" fontId="85" numFmtId="0" xfId="0" applyAlignment="1" applyBorder="1" applyFont="1">
      <alignment horizontal="right"/>
    </xf>
    <xf borderId="35" fillId="0" fontId="9" numFmtId="2" xfId="0" applyBorder="1" applyFont="1" applyNumberFormat="1"/>
    <xf borderId="57" fillId="0" fontId="7" numFmtId="0" xfId="0" applyAlignment="1" applyBorder="1" applyFont="1">
      <alignment horizontal="right" readingOrder="0"/>
    </xf>
    <xf borderId="59" fillId="0" fontId="7" numFmtId="0" xfId="0" applyAlignment="1" applyBorder="1" applyFont="1">
      <alignment horizontal="left"/>
    </xf>
    <xf borderId="11" fillId="0" fontId="4" numFmtId="0" xfId="0" applyAlignment="1" applyBorder="1" applyFont="1">
      <alignment horizontal="left" vertical="top"/>
    </xf>
    <xf borderId="51" fillId="0" fontId="9" numFmtId="2" xfId="0" applyBorder="1" applyFont="1" applyNumberFormat="1"/>
    <xf borderId="33" fillId="0" fontId="10" numFmtId="0" xfId="0" applyAlignment="1" applyBorder="1" applyFont="1">
      <alignment horizontal="center" shrinkToFit="0" vertical="center" wrapText="1"/>
    </xf>
    <xf borderId="1" fillId="0" fontId="78" numFmtId="0" xfId="0" applyAlignment="1" applyBorder="1" applyFont="1">
      <alignment horizontal="center" vertical="center"/>
    </xf>
    <xf borderId="1" fillId="0" fontId="1" numFmtId="0" xfId="0" applyBorder="1" applyFont="1"/>
    <xf borderId="70" fillId="5" fontId="10" numFmtId="0" xfId="0" applyAlignment="1" applyBorder="1" applyFill="1" applyFont="1">
      <alignment horizontal="left"/>
    </xf>
    <xf borderId="78" fillId="5" fontId="1" numFmtId="164" xfId="0" applyBorder="1" applyFill="1" applyFont="1" applyNumberFormat="1"/>
    <xf borderId="38" fillId="5" fontId="4" numFmtId="15" xfId="0" applyAlignment="1" applyBorder="1" applyFill="1" applyFont="1" applyNumberFormat="1">
      <alignment horizontal="center"/>
    </xf>
    <xf borderId="8" fillId="0" fontId="6" numFmtId="0" xfId="0" applyAlignment="1" applyBorder="1" applyFont="1">
      <alignment horizontal="center" shrinkToFit="0" wrapText="1"/>
    </xf>
    <xf borderId="0" fillId="0" fontId="11" numFmtId="0" xfId="0" applyAlignment="1" applyFont="1">
      <alignment horizontal="center"/>
    </xf>
    <xf borderId="29" fillId="0" fontId="1" numFmtId="0" xfId="0" applyAlignment="1" applyBorder="1" applyFont="1">
      <alignment horizontal="right" readingOrder="0"/>
    </xf>
    <xf borderId="16" fillId="0" fontId="1" numFmtId="2" xfId="0" applyBorder="1" applyFont="1" applyNumberFormat="1"/>
    <xf borderId="93" fillId="0" fontId="11" numFmtId="0" xfId="0" applyAlignment="1" applyBorder="1" applyFont="1">
      <alignment shrinkToFit="0" textRotation="135" wrapText="1"/>
    </xf>
    <xf borderId="15" fillId="0" fontId="7" numFmtId="2" xfId="0" applyAlignment="1" applyBorder="1" applyFont="1" applyNumberFormat="1">
      <alignment readingOrder="0"/>
    </xf>
    <xf borderId="32" fillId="3" fontId="1" numFmtId="0" xfId="0" applyBorder="1" applyFill="1" applyFont="1"/>
    <xf borderId="29" fillId="0" fontId="1" numFmtId="0" xfId="0" applyAlignment="1" applyBorder="1" applyFont="1">
      <alignment horizontal="right"/>
    </xf>
    <xf borderId="19" fillId="0" fontId="11" numFmtId="0" xfId="0" applyAlignment="1" applyBorder="1" applyFont="1">
      <alignment shrinkToFit="0" textRotation="135" vertical="center" wrapText="1"/>
    </xf>
    <xf borderId="35" fillId="3" fontId="1" numFmtId="0" xfId="0" applyAlignment="1" applyBorder="1" applyFill="1" applyFont="1">
      <alignment horizontal="center"/>
    </xf>
    <xf borderId="9" fillId="0" fontId="1" numFmtId="2" xfId="0" applyBorder="1" applyFont="1" applyNumberFormat="1"/>
    <xf borderId="35" fillId="3" fontId="1" numFmtId="0" xfId="0" applyAlignment="1" applyBorder="1" applyFill="1" applyFont="1">
      <alignment horizontal="right"/>
    </xf>
    <xf borderId="38" fillId="3" fontId="1" numFmtId="0" xfId="0" applyAlignment="1" applyBorder="1" applyFill="1" applyFont="1">
      <alignment horizontal="left"/>
    </xf>
    <xf borderId="5" fillId="0" fontId="11" numFmtId="0" xfId="0" applyBorder="1" applyFont="1"/>
    <xf borderId="54" fillId="0" fontId="1" numFmtId="0" xfId="0" applyAlignment="1" applyBorder="1" applyFont="1">
      <alignment horizontal="right"/>
    </xf>
    <xf borderId="60" fillId="0" fontId="1" numFmtId="2" xfId="0" applyBorder="1" applyFont="1" applyNumberFormat="1"/>
    <xf borderId="5" fillId="0" fontId="11" numFmtId="0" xfId="0" applyAlignment="1" applyBorder="1" applyFont="1">
      <alignment vertical="center"/>
    </xf>
    <xf borderId="17" fillId="0" fontId="17" numFmtId="0" xfId="0" applyAlignment="1" applyBorder="1" applyFont="1">
      <alignment horizontal="right"/>
    </xf>
    <xf borderId="23" fillId="0" fontId="11" numFmtId="0" xfId="0" applyAlignment="1" applyBorder="1" applyFont="1">
      <alignment horizontal="center" shrinkToFit="0" vertical="center" wrapText="1"/>
    </xf>
    <xf borderId="18" fillId="0" fontId="1" numFmtId="2" xfId="0" applyBorder="1" applyFont="1" applyNumberFormat="1"/>
    <xf borderId="8" fillId="32" fontId="21" numFmtId="0" xfId="0" applyAlignment="1" applyBorder="1" applyFill="1" applyFont="1">
      <alignment horizontal="center"/>
    </xf>
    <xf borderId="4" fillId="0" fontId="21" numFmtId="0" xfId="0" applyBorder="1" applyFont="1"/>
    <xf borderId="6" fillId="0" fontId="21" numFmtId="0" xfId="0" applyBorder="1" applyFont="1"/>
    <xf borderId="9" fillId="0" fontId="21" numFmtId="0" xfId="0" applyBorder="1" applyFont="1"/>
    <xf borderId="16" fillId="0" fontId="1" numFmtId="0" xfId="0" applyAlignment="1" applyBorder="1" applyFont="1">
      <alignment horizontal="center"/>
    </xf>
    <xf borderId="13" fillId="0" fontId="21" numFmtId="0" xfId="0" applyBorder="1" applyFont="1"/>
    <xf borderId="18" fillId="0" fontId="21" numFmtId="0" xfId="0" applyBorder="1" applyFont="1"/>
    <xf borderId="25" fillId="0" fontId="17" numFmtId="0" xfId="0" applyAlignment="1" applyBorder="1" applyFont="1">
      <alignment horizontal="right"/>
    </xf>
    <xf borderId="22" fillId="0" fontId="21" numFmtId="0" xfId="0" applyBorder="1" applyFont="1"/>
    <xf borderId="30" fillId="0" fontId="21" numFmtId="0" xfId="0" applyBorder="1" applyFont="1"/>
    <xf borderId="30" fillId="0" fontId="1" numFmtId="2" xfId="0" applyBorder="1" applyFont="1" applyNumberFormat="1"/>
    <xf borderId="125" fillId="0" fontId="21" numFmtId="0" xfId="0" applyBorder="1" applyFont="1"/>
    <xf borderId="125" fillId="0" fontId="1" numFmtId="0" xfId="0" applyBorder="1" applyFont="1"/>
    <xf borderId="5" fillId="6" fontId="13" numFmtId="0" xfId="0" applyAlignment="1" applyBorder="1" applyFill="1" applyFont="1">
      <alignment horizontal="right"/>
    </xf>
    <xf borderId="5" fillId="6" fontId="7" numFmtId="2" xfId="0" applyBorder="1" applyFill="1" applyFont="1" applyNumberFormat="1"/>
    <xf borderId="50" fillId="0" fontId="1" numFmtId="0" xfId="0" applyAlignment="1" applyBorder="1" applyFont="1">
      <alignment horizontal="right"/>
    </xf>
    <xf borderId="53" fillId="0" fontId="1" numFmtId="2" xfId="0" applyBorder="1" applyFont="1" applyNumberFormat="1"/>
    <xf borderId="13" fillId="42" fontId="7" numFmtId="0" xfId="0" applyBorder="1" applyFill="1" applyFont="1"/>
    <xf borderId="25" fillId="0" fontId="1" numFmtId="0" xfId="0" applyAlignment="1" applyBorder="1" applyFont="1">
      <alignment horizontal="right"/>
    </xf>
    <xf borderId="5" fillId="42" fontId="17" numFmtId="0" xfId="0" applyAlignment="1" applyBorder="1" applyFill="1" applyFont="1">
      <alignment horizontal="right"/>
    </xf>
    <xf borderId="5" fillId="42" fontId="7" numFmtId="2" xfId="0" applyBorder="1" applyFill="1" applyFont="1" applyNumberFormat="1"/>
    <xf borderId="38" fillId="0" fontId="1" numFmtId="0" xfId="0" applyAlignment="1" applyBorder="1" applyFont="1">
      <alignment horizontal="center"/>
    </xf>
    <xf borderId="118" fillId="42" fontId="7" numFmtId="0" xfId="0" applyBorder="1" applyFill="1" applyFont="1"/>
    <xf borderId="13" fillId="20" fontId="7" numFmtId="0" xfId="0" applyBorder="1" applyFill="1" applyFont="1"/>
    <xf borderId="6" fillId="0" fontId="7" numFmtId="0" xfId="0" applyAlignment="1" applyBorder="1" applyFont="1">
      <alignment horizontal="right" readingOrder="0"/>
    </xf>
    <xf borderId="20" fillId="0" fontId="1" numFmtId="0" xfId="0" applyAlignment="1" applyBorder="1" applyFont="1">
      <alignment horizontal="right"/>
    </xf>
    <xf borderId="5" fillId="20" fontId="17" numFmtId="0" xfId="0" applyAlignment="1" applyBorder="1" applyFill="1" applyFont="1">
      <alignment horizontal="right"/>
    </xf>
    <xf borderId="68" fillId="0" fontId="1" numFmtId="2" xfId="0" applyBorder="1" applyFont="1" applyNumberFormat="1"/>
    <xf borderId="5" fillId="20" fontId="7" numFmtId="2" xfId="0" applyBorder="1" applyFill="1" applyFont="1" applyNumberFormat="1"/>
    <xf borderId="118" fillId="20" fontId="7" numFmtId="0" xfId="0" applyBorder="1" applyFill="1" applyFont="1"/>
    <xf borderId="32" fillId="0" fontId="6" numFmtId="0" xfId="0" applyAlignment="1" applyBorder="1" applyFont="1">
      <alignment horizontal="center"/>
    </xf>
    <xf borderId="7" fillId="0" fontId="17" numFmtId="0" xfId="0" applyAlignment="1" applyBorder="1" applyFont="1">
      <alignment horizontal="right"/>
    </xf>
    <xf borderId="35" fillId="0" fontId="6" numFmtId="0" xfId="0" applyAlignment="1" applyBorder="1" applyFont="1">
      <alignment horizontal="center"/>
    </xf>
    <xf borderId="35" fillId="0" fontId="6" numFmtId="0" xfId="0" applyAlignment="1" applyBorder="1" applyFont="1">
      <alignment horizontal="right"/>
    </xf>
    <xf borderId="38" fillId="0" fontId="6" numFmtId="0" xfId="0" applyAlignment="1" applyBorder="1" applyFont="1">
      <alignment horizontal="left"/>
    </xf>
    <xf borderId="5" fillId="17" fontId="17" numFmtId="0" xfId="0" applyAlignment="1" applyBorder="1" applyFill="1" applyFont="1">
      <alignment horizontal="right"/>
    </xf>
    <xf borderId="5" fillId="17" fontId="7" numFmtId="2" xfId="0" applyBorder="1" applyFill="1" applyFont="1" applyNumberFormat="1"/>
    <xf borderId="13" fillId="5" fontId="1" numFmtId="0" xfId="0" applyBorder="1" applyFill="1" applyFont="1"/>
    <xf borderId="47" fillId="9" fontId="7" numFmtId="0" xfId="0" applyBorder="1" applyFill="1" applyFont="1"/>
    <xf borderId="5" fillId="5" fontId="17" numFmtId="0" xfId="0" applyAlignment="1" applyBorder="1" applyFill="1" applyFont="1">
      <alignment horizontal="center"/>
    </xf>
    <xf borderId="27" fillId="9" fontId="17" numFmtId="0" xfId="0" applyAlignment="1" applyBorder="1" applyFill="1" applyFont="1">
      <alignment horizontal="right"/>
    </xf>
    <xf borderId="47" fillId="0" fontId="43" numFmtId="0" xfId="0" applyBorder="1" applyFont="1"/>
    <xf borderId="5" fillId="5" fontId="17" numFmtId="0" xfId="0" applyAlignment="1" applyBorder="1" applyFill="1" applyFont="1">
      <alignment horizontal="right"/>
    </xf>
    <xf borderId="27" fillId="9" fontId="7" numFmtId="2" xfId="0" applyBorder="1" applyFill="1" applyFont="1" applyNumberFormat="1"/>
    <xf borderId="17" fillId="5" fontId="17" numFmtId="0" xfId="0" applyAlignment="1" applyBorder="1" applyFill="1" applyFont="1">
      <alignment horizontal="right"/>
    </xf>
    <xf borderId="106" fillId="9" fontId="7" numFmtId="0" xfId="0" applyBorder="1" applyFill="1" applyFont="1"/>
    <xf borderId="18" fillId="5" fontId="1" numFmtId="0" xfId="0" applyBorder="1" applyFill="1" applyFont="1"/>
    <xf borderId="27" fillId="23" fontId="17" numFmtId="0" xfId="0" applyAlignment="1" applyBorder="1" applyFill="1" applyFont="1">
      <alignment horizontal="center"/>
    </xf>
    <xf borderId="27" fillId="23" fontId="17" numFmtId="0" xfId="0" applyAlignment="1" applyBorder="1" applyFill="1" applyFont="1">
      <alignment horizontal="right"/>
    </xf>
    <xf borderId="50" fillId="23" fontId="17" numFmtId="0" xfId="0" applyAlignment="1" applyBorder="1" applyFill="1" applyFont="1">
      <alignment horizontal="right"/>
    </xf>
    <xf borderId="27" fillId="0" fontId="4" numFmtId="2" xfId="0" applyAlignment="1" applyBorder="1" applyFont="1" applyNumberFormat="1">
      <alignment horizontal="right"/>
    </xf>
    <xf borderId="4" fillId="5" fontId="109" numFmtId="2" xfId="0" applyAlignment="1" applyBorder="1" applyFill="1" applyFont="1" applyNumberFormat="1">
      <alignment horizontal="center" vertical="center"/>
    </xf>
    <xf borderId="9" fillId="5" fontId="110" numFmtId="0" xfId="0" applyAlignment="1" applyBorder="1" applyFill="1" applyFont="1">
      <alignment horizontal="center" vertical="center"/>
    </xf>
    <xf borderId="10" fillId="0" fontId="8" numFmtId="0" xfId="0" applyAlignment="1" applyBorder="1" applyFont="1">
      <alignment horizontal="center"/>
    </xf>
    <xf borderId="10" fillId="0" fontId="8" numFmtId="0" xfId="0" applyAlignment="1" applyBorder="1" applyFont="1">
      <alignment horizontal="right"/>
    </xf>
    <xf borderId="11" fillId="0" fontId="8" numFmtId="0" xfId="0" applyAlignment="1" applyBorder="1" applyFont="1">
      <alignment horizontal="left"/>
    </xf>
    <xf borderId="8" fillId="5" fontId="1" numFmtId="0" xfId="0" applyAlignment="1" applyBorder="1" applyFill="1" applyFont="1">
      <alignment horizontal="center"/>
    </xf>
    <xf borderId="32" fillId="0" fontId="93" numFmtId="0" xfId="0" applyBorder="1" applyFont="1"/>
    <xf borderId="0" fillId="5" fontId="1" numFmtId="0" xfId="0" applyAlignment="1" applyFill="1" applyFont="1">
      <alignment horizontal="center"/>
    </xf>
    <xf borderId="35" fillId="0" fontId="93" numFmtId="0" xfId="0" applyAlignment="1" applyBorder="1" applyFont="1">
      <alignment horizontal="center"/>
    </xf>
    <xf borderId="35" fillId="0" fontId="93" numFmtId="166" xfId="0" applyAlignment="1" applyBorder="1" applyFont="1" applyNumberFormat="1">
      <alignment horizontal="right"/>
    </xf>
    <xf borderId="38" fillId="0" fontId="93" numFmtId="0" xfId="0" applyAlignment="1" applyBorder="1" applyFont="1">
      <alignment horizontal="left"/>
    </xf>
    <xf borderId="29" fillId="0" fontId="1" numFmtId="2" xfId="0" applyAlignment="1" applyBorder="1" applyFont="1" applyNumberFormat="1">
      <alignment horizontal="right"/>
    </xf>
    <xf borderId="7" fillId="0" fontId="1" numFmtId="2" xfId="0" applyAlignment="1" applyBorder="1" applyFont="1" applyNumberFormat="1">
      <alignment horizontal="right"/>
    </xf>
    <xf borderId="17" fillId="0" fontId="1" numFmtId="2" xfId="0" applyAlignment="1" applyBorder="1" applyFont="1" applyNumberFormat="1">
      <alignment horizontal="right"/>
    </xf>
    <xf borderId="35" fillId="0" fontId="7" numFmtId="166" xfId="0" applyAlignment="1" applyBorder="1" applyFont="1" applyNumberFormat="1">
      <alignment horizontal="right"/>
    </xf>
    <xf borderId="25" fillId="0" fontId="1" numFmtId="2" xfId="0" applyAlignment="1" applyBorder="1" applyFont="1" applyNumberFormat="1">
      <alignment horizontal="right"/>
    </xf>
    <xf borderId="50" fillId="0" fontId="1" numFmtId="2" xfId="0" applyAlignment="1" applyBorder="1" applyFont="1" applyNumberFormat="1">
      <alignment horizontal="right"/>
    </xf>
    <xf borderId="54" fillId="0" fontId="1" numFmtId="2" xfId="0" applyAlignment="1" applyBorder="1" applyFont="1" applyNumberFormat="1">
      <alignment horizontal="right"/>
    </xf>
    <xf borderId="3" fillId="0" fontId="21" numFmtId="0" xfId="0" applyAlignment="1" applyBorder="1" applyFont="1">
      <alignment horizontal="center" shrinkToFit="0" vertical="center" wrapText="1"/>
    </xf>
    <xf borderId="10" fillId="0" fontId="6" numFmtId="0" xfId="0" applyAlignment="1" applyBorder="1" applyFont="1">
      <alignment horizontal="center"/>
    </xf>
    <xf borderId="10" fillId="0" fontId="6" numFmtId="0" xfId="0" applyAlignment="1" applyBorder="1" applyFont="1">
      <alignment horizontal="right"/>
    </xf>
    <xf borderId="11" fillId="0" fontId="6" numFmtId="0" xfId="0" applyAlignment="1" applyBorder="1" applyFont="1">
      <alignment horizontal="left"/>
    </xf>
    <xf borderId="11" fillId="0" fontId="6" numFmtId="0" xfId="0" applyBorder="1" applyFont="1"/>
    <xf borderId="23" fillId="0" fontId="11" numFmtId="0" xfId="0" applyAlignment="1" applyBorder="1" applyFont="1">
      <alignment shrinkToFit="0" wrapText="1"/>
    </xf>
    <xf borderId="2" fillId="0" fontId="8" numFmtId="0" xfId="0" applyAlignment="1" applyBorder="1" applyFont="1">
      <alignment horizontal="center" vertical="top"/>
    </xf>
    <xf borderId="2" fillId="0" fontId="8" numFmtId="0" xfId="0" applyAlignment="1" applyBorder="1" applyFont="1">
      <alignment horizontal="right" vertical="top"/>
    </xf>
    <xf borderId="3" fillId="0" fontId="8" numFmtId="0" xfId="0" applyAlignment="1" applyBorder="1" applyFont="1">
      <alignment horizontal="left" vertical="top"/>
    </xf>
    <xf borderId="18" fillId="0" fontId="83" numFmtId="0" xfId="0" applyAlignment="1" applyBorder="1" applyFont="1">
      <alignment horizontal="left"/>
    </xf>
    <xf borderId="60" fillId="0" fontId="83" numFmtId="0" xfId="0" applyAlignment="1" applyBorder="1" applyFont="1">
      <alignment horizontal="left"/>
    </xf>
    <xf borderId="30" fillId="0" fontId="83" numFmtId="0" xfId="0" applyAlignment="1" applyBorder="1" applyFont="1">
      <alignment horizontal="left"/>
    </xf>
    <xf borderId="32" fillId="0" fontId="85" numFmtId="0" xfId="0" applyAlignment="1" applyBorder="1" applyFont="1">
      <alignment vertical="center"/>
    </xf>
    <xf borderId="35" fillId="0" fontId="85" numFmtId="0" xfId="0" applyAlignment="1" applyBorder="1" applyFont="1">
      <alignment horizontal="center" vertical="center"/>
    </xf>
    <xf borderId="35" fillId="0" fontId="85" numFmtId="0" xfId="0" applyAlignment="1" applyBorder="1" applyFont="1">
      <alignment horizontal="right" vertical="center"/>
    </xf>
    <xf borderId="36" fillId="0" fontId="85" numFmtId="0" xfId="0" applyAlignment="1" applyBorder="1" applyFont="1">
      <alignment horizontal="right" vertical="center"/>
    </xf>
    <xf borderId="38" fillId="0" fontId="85" numFmtId="0" xfId="0" applyAlignment="1" applyBorder="1" applyFont="1">
      <alignment vertical="center"/>
    </xf>
    <xf borderId="12" fillId="5" fontId="111" numFmtId="2" xfId="0" applyAlignment="1" applyBorder="1" applyFill="1" applyFont="1" applyNumberFormat="1">
      <alignment horizontal="center" vertical="center"/>
    </xf>
    <xf borderId="63" fillId="5" fontId="10" numFmtId="0" xfId="0" applyAlignment="1" applyBorder="1" applyFill="1" applyFont="1">
      <alignment horizontal="left"/>
    </xf>
    <xf borderId="12" fillId="5" fontId="10" numFmtId="15" xfId="0" applyAlignment="1" applyBorder="1" applyFill="1" applyFont="1" applyNumberFormat="1">
      <alignment horizontal="center"/>
    </xf>
    <xf borderId="32" fillId="0" fontId="112" numFmtId="0" xfId="0" applyBorder="1" applyFont="1"/>
    <xf borderId="35" fillId="0" fontId="112" numFmtId="0" xfId="0" applyAlignment="1" applyBorder="1" applyFont="1">
      <alignment horizontal="center"/>
    </xf>
    <xf borderId="35" fillId="0" fontId="112" numFmtId="0" xfId="0" applyAlignment="1" applyBorder="1" applyFont="1">
      <alignment horizontal="right"/>
    </xf>
    <xf borderId="36" fillId="0" fontId="112" numFmtId="0" xfId="0" applyAlignment="1" applyBorder="1" applyFont="1">
      <alignment horizontal="right"/>
    </xf>
    <xf borderId="38" fillId="0" fontId="112" numFmtId="0" xfId="0" applyBorder="1" applyFont="1"/>
    <xf borderId="4" fillId="0" fontId="1" numFmtId="0" xfId="0" applyAlignment="1" applyBorder="1" applyFont="1">
      <alignment horizontal="left" vertical="top"/>
    </xf>
    <xf borderId="13" fillId="0" fontId="1" numFmtId="0" xfId="0" applyAlignment="1" applyBorder="1" applyFont="1">
      <alignment horizontal="left" vertical="top"/>
    </xf>
    <xf borderId="47" fillId="0" fontId="1" numFmtId="0" xfId="0" applyAlignment="1" applyBorder="1" applyFont="1">
      <alignment horizontal="left" vertical="top"/>
    </xf>
    <xf borderId="52" fillId="0" fontId="1" numFmtId="0" xfId="0" applyAlignment="1" applyBorder="1" applyFont="1">
      <alignment horizontal="left" vertical="top"/>
    </xf>
    <xf borderId="21" fillId="0" fontId="1" numFmtId="0" xfId="0" applyAlignment="1" applyBorder="1" applyFont="1">
      <alignment horizontal="left" vertical="top"/>
    </xf>
    <xf borderId="32" fillId="5" fontId="21" numFmtId="0" xfId="0" applyAlignment="1" applyBorder="1" applyFill="1" applyFont="1">
      <alignment horizontal="left" vertical="top"/>
    </xf>
    <xf borderId="36" fillId="0" fontId="1" numFmtId="0" xfId="0" applyAlignment="1" applyBorder="1" applyFont="1">
      <alignment horizontal="right"/>
    </xf>
    <xf borderId="58" fillId="0" fontId="1" numFmtId="0" xfId="0" applyAlignment="1" applyBorder="1" applyFont="1">
      <alignment horizontal="right"/>
    </xf>
    <xf borderId="8" fillId="5" fontId="38" numFmtId="0" xfId="0" applyAlignment="1" applyBorder="1" applyFill="1" applyFont="1">
      <alignment horizontal="center"/>
    </xf>
    <xf borderId="38" fillId="5" fontId="38" numFmtId="15" xfId="0" applyAlignment="1" applyBorder="1" applyFill="1" applyFont="1" applyNumberFormat="1">
      <alignment horizontal="center"/>
    </xf>
    <xf borderId="0" fillId="0" fontId="67" numFmtId="0" xfId="0" applyAlignment="1" applyFont="1">
      <alignment shrinkToFit="0" vertical="center" wrapText="1"/>
    </xf>
    <xf borderId="4" fillId="15" fontId="1" numFmtId="0" xfId="0" applyBorder="1" applyFill="1" applyFont="1"/>
    <xf borderId="6" fillId="15" fontId="1" numFmtId="0" xfId="0" applyAlignment="1" applyBorder="1" applyFill="1" applyFont="1">
      <alignment horizontal="center"/>
    </xf>
    <xf borderId="6" fillId="15" fontId="1" numFmtId="0" xfId="0" applyAlignment="1" applyBorder="1" applyFill="1" applyFont="1">
      <alignment horizontal="right"/>
    </xf>
    <xf borderId="7" fillId="15" fontId="1" numFmtId="0" xfId="0" applyAlignment="1" applyBorder="1" applyFill="1" applyFont="1">
      <alignment horizontal="right"/>
    </xf>
    <xf borderId="9" fillId="15" fontId="1" numFmtId="0" xfId="0" applyBorder="1" applyFill="1" applyFont="1"/>
    <xf borderId="32" fillId="0" fontId="21" numFmtId="0" xfId="0" applyAlignment="1" applyBorder="1" applyFont="1">
      <alignment horizontal="left"/>
    </xf>
    <xf borderId="35" fillId="0" fontId="21" numFmtId="0" xfId="0" applyAlignment="1" applyBorder="1" applyFont="1">
      <alignment horizontal="center"/>
    </xf>
    <xf borderId="38" fillId="0" fontId="21" numFmtId="0" xfId="0" applyAlignment="1" applyBorder="1" applyFont="1">
      <alignment horizontal="left"/>
    </xf>
    <xf borderId="5" fillId="0" fontId="7" numFmtId="169" xfId="0" applyBorder="1" applyFont="1" applyNumberFormat="1"/>
    <xf borderId="37" fillId="0" fontId="11" numFmtId="0" xfId="0" applyAlignment="1" applyBorder="1" applyFont="1">
      <alignment horizontal="center" shrinkToFit="0" vertical="center" wrapText="1"/>
    </xf>
    <xf borderId="39" fillId="5" fontId="113" numFmtId="2" xfId="0" applyAlignment="1" applyBorder="1" applyFill="1" applyFont="1" applyNumberFormat="1">
      <alignment horizontal="center" vertical="center"/>
    </xf>
    <xf borderId="42" fillId="5" fontId="114" numFmtId="0" xfId="0" applyAlignment="1" applyBorder="1" applyFill="1" applyFont="1">
      <alignment horizontal="center" vertical="center"/>
    </xf>
    <xf borderId="1" fillId="3" fontId="1" numFmtId="0" xfId="0" applyAlignment="1" applyBorder="1" applyFill="1" applyFont="1">
      <alignment horizontal="left" shrinkToFit="0" wrapText="1"/>
    </xf>
    <xf borderId="57" fillId="0" fontId="7" numFmtId="166" xfId="0" applyBorder="1" applyFont="1" applyNumberFormat="1"/>
    <xf borderId="0" fillId="3" fontId="1" numFmtId="0" xfId="0" applyAlignment="1" applyFill="1" applyFont="1">
      <alignment horizontal="left" shrinkToFit="0" wrapText="1"/>
    </xf>
    <xf borderId="20" fillId="0" fontId="1" numFmtId="0" xfId="0" applyAlignment="1" applyBorder="1" applyFont="1">
      <alignment horizontal="right" readingOrder="0"/>
    </xf>
    <xf borderId="105" fillId="43" fontId="7" numFmtId="0" xfId="0" applyBorder="1" applyFill="1" applyFont="1"/>
    <xf borderId="6" fillId="0" fontId="71" numFmtId="2" xfId="0" applyBorder="1" applyFont="1" applyNumberFormat="1"/>
    <xf borderId="6" fillId="0" fontId="9" numFmtId="2" xfId="0" applyBorder="1" applyFont="1" applyNumberFormat="1"/>
    <xf borderId="75" fillId="5" fontId="115" numFmtId="0" xfId="0" applyAlignment="1" applyBorder="1" applyFill="1" applyFont="1">
      <alignment horizontal="center" vertical="center"/>
    </xf>
    <xf borderId="9" fillId="0" fontId="38" numFmtId="0" xfId="0" applyBorder="1" applyFont="1"/>
    <xf borderId="113" fillId="0" fontId="11" numFmtId="0" xfId="0" applyAlignment="1" applyBorder="1" applyFont="1">
      <alignment vertical="center"/>
    </xf>
    <xf borderId="1" fillId="19" fontId="1" numFmtId="0" xfId="0" applyAlignment="1" applyBorder="1" applyFill="1" applyFont="1">
      <alignment horizontal="center" shrinkToFit="0" wrapText="1"/>
    </xf>
    <xf borderId="5" fillId="0" fontId="38" numFmtId="2" xfId="0" applyBorder="1" applyFont="1" applyNumberFormat="1"/>
    <xf borderId="0" fillId="19" fontId="1" numFmtId="0" xfId="0" applyAlignment="1" applyFill="1" applyFont="1">
      <alignment horizontal="center" shrinkToFit="0" wrapText="1"/>
    </xf>
    <xf borderId="126" fillId="0" fontId="11" numFmtId="0" xfId="0" applyAlignment="1" applyBorder="1" applyFont="1">
      <alignment vertical="center"/>
    </xf>
    <xf borderId="27" fillId="0" fontId="38" numFmtId="2" xfId="0" applyBorder="1" applyFont="1" applyNumberFormat="1"/>
    <xf borderId="8" fillId="0" fontId="42" numFmtId="0" xfId="0" applyAlignment="1" applyBorder="1" applyFont="1">
      <alignment horizontal="center" vertical="center"/>
    </xf>
    <xf borderId="53" fillId="0" fontId="38" numFmtId="0" xfId="0" applyBorder="1" applyFont="1"/>
    <xf borderId="14" fillId="0" fontId="23" numFmtId="0" xfId="0" applyAlignment="1" applyBorder="1" applyFont="1">
      <alignment horizontal="left" vertical="center"/>
    </xf>
    <xf borderId="127" fillId="0" fontId="11" numFmtId="0" xfId="0" applyAlignment="1" applyBorder="1" applyFont="1">
      <alignment vertical="center"/>
    </xf>
    <xf borderId="0" fillId="0" fontId="116" numFmtId="0" xfId="0" applyFont="1"/>
    <xf borderId="52" fillId="0" fontId="38" numFmtId="0" xfId="0" applyBorder="1" applyFont="1"/>
    <xf borderId="15" fillId="0" fontId="4" numFmtId="2" xfId="0" applyAlignment="1" applyBorder="1" applyFont="1" applyNumberFormat="1">
      <alignment horizontal="center" vertical="center"/>
    </xf>
    <xf borderId="51" fillId="0" fontId="38" numFmtId="2" xfId="0" applyBorder="1" applyFont="1" applyNumberFormat="1"/>
    <xf borderId="31" fillId="0" fontId="11" numFmtId="0" xfId="0" applyBorder="1" applyFont="1"/>
    <xf borderId="5" fillId="0" fontId="11" numFmtId="0" xfId="0" applyAlignment="1" applyBorder="1" applyFont="1">
      <alignment horizontal="center" shrinkToFit="0" vertical="center" wrapText="1"/>
    </xf>
    <xf borderId="7" fillId="0" fontId="7" numFmtId="0" xfId="0" applyAlignment="1" applyBorder="1" applyFont="1">
      <alignment horizontal="right"/>
    </xf>
    <xf borderId="15" fillId="0" fontId="10" numFmtId="166" xfId="0" applyAlignment="1" applyBorder="1" applyFont="1" applyNumberFormat="1">
      <alignment vertical="center"/>
    </xf>
    <xf borderId="16" fillId="0" fontId="9" numFmtId="0" xfId="0" applyAlignment="1" applyBorder="1" applyFont="1">
      <alignment horizontal="left" vertical="center"/>
    </xf>
    <xf borderId="60" fillId="0" fontId="38" numFmtId="0" xfId="0" applyBorder="1" applyFont="1"/>
    <xf borderId="17" fillId="0" fontId="7" numFmtId="0" xfId="0" applyAlignment="1" applyBorder="1" applyFont="1">
      <alignment horizontal="right"/>
    </xf>
    <xf borderId="0" fillId="0" fontId="39" numFmtId="0" xfId="0" applyAlignment="1" applyFont="1">
      <alignment vertical="center"/>
    </xf>
    <xf borderId="6" fillId="0" fontId="47" numFmtId="2" xfId="0" applyAlignment="1" applyBorder="1" applyFont="1" applyNumberFormat="1">
      <alignment horizontal="center"/>
    </xf>
    <xf borderId="50" fillId="0" fontId="7" numFmtId="0" xfId="0" applyAlignment="1" applyBorder="1" applyFont="1">
      <alignment horizontal="right"/>
    </xf>
    <xf borderId="9" fillId="0" fontId="47" numFmtId="0" xfId="0" applyAlignment="1" applyBorder="1" applyFont="1">
      <alignment horizontal="left"/>
    </xf>
    <xf borderId="5" fillId="0" fontId="47" numFmtId="2" xfId="0" applyAlignment="1" applyBorder="1" applyFont="1" applyNumberFormat="1">
      <alignment horizontal="center"/>
    </xf>
    <xf borderId="18" fillId="0" fontId="38" numFmtId="2" xfId="0" applyBorder="1" applyFont="1" applyNumberFormat="1"/>
    <xf borderId="18" fillId="0" fontId="47" numFmtId="0" xfId="0" applyAlignment="1" applyBorder="1" applyFont="1">
      <alignment horizontal="left"/>
    </xf>
    <xf borderId="13" fillId="11" fontId="38" numFmtId="0" xfId="0" applyBorder="1" applyFill="1" applyFont="1"/>
    <xf borderId="75" fillId="5" fontId="117" numFmtId="2" xfId="0" applyAlignment="1" applyBorder="1" applyFill="1" applyFont="1" applyNumberFormat="1">
      <alignment horizontal="center" vertical="center"/>
    </xf>
    <xf borderId="5" fillId="11" fontId="38" numFmtId="2" xfId="0" applyBorder="1" applyFill="1" applyFont="1" applyNumberFormat="1"/>
    <xf borderId="66" fillId="0" fontId="4" numFmtId="0" xfId="0" applyBorder="1" applyFont="1"/>
    <xf borderId="5" fillId="11" fontId="1" numFmtId="0" xfId="0" applyBorder="1" applyFill="1" applyFont="1"/>
    <xf borderId="18" fillId="11" fontId="38" numFmtId="0" xfId="0" applyBorder="1" applyFill="1" applyFont="1"/>
    <xf borderId="47" fillId="34" fontId="38" numFmtId="0" xfId="0" applyBorder="1" applyFill="1" applyFont="1"/>
    <xf borderId="27" fillId="34" fontId="38" numFmtId="2" xfId="0" applyBorder="1" applyFill="1" applyFont="1" applyNumberFormat="1"/>
    <xf borderId="22" fillId="0" fontId="59" numFmtId="0" xfId="0" applyAlignment="1" applyBorder="1" applyFont="1">
      <alignment horizontal="center" shrinkToFit="0" vertical="center" wrapText="1"/>
    </xf>
    <xf borderId="27" fillId="34" fontId="1" numFmtId="0" xfId="0" applyBorder="1" applyFill="1" applyFont="1"/>
    <xf borderId="53" fillId="34" fontId="38" numFmtId="0" xfId="0" applyBorder="1" applyFill="1" applyFont="1"/>
    <xf borderId="57" fillId="0" fontId="38" numFmtId="2" xfId="0" applyBorder="1" applyFont="1" applyNumberFormat="1"/>
    <xf borderId="59" fillId="0" fontId="38" numFmtId="0" xfId="0" applyBorder="1" applyFont="1"/>
    <xf borderId="38" fillId="5" fontId="10" numFmtId="15" xfId="0" applyAlignment="1" applyBorder="1" applyFill="1" applyFont="1" applyNumberFormat="1">
      <alignment horizontal="right"/>
    </xf>
    <xf borderId="12" fillId="5" fontId="118" numFmtId="0" xfId="0" applyAlignment="1" applyBorder="1" applyFill="1" applyFont="1">
      <alignment horizontal="center" vertical="center"/>
    </xf>
    <xf borderId="44" fillId="0" fontId="4" numFmtId="0" xfId="0" applyAlignment="1" applyBorder="1" applyFont="1">
      <alignment horizontal="center"/>
    </xf>
    <xf borderId="15" fillId="0" fontId="7" numFmtId="166" xfId="0" applyBorder="1" applyFont="1" applyNumberFormat="1"/>
    <xf borderId="20" fillId="0" fontId="7" numFmtId="0" xfId="0" applyAlignment="1" applyBorder="1" applyFont="1">
      <alignment horizontal="right"/>
    </xf>
    <xf borderId="104" fillId="5" fontId="21" numFmtId="0" xfId="0" applyAlignment="1" applyBorder="1" applyFill="1" applyFont="1">
      <alignment horizontal="left"/>
    </xf>
    <xf borderId="68" fillId="0" fontId="4" numFmtId="0" xfId="0" applyBorder="1" applyFont="1"/>
    <xf borderId="0" fillId="0" fontId="50" numFmtId="0" xfId="0" applyAlignment="1" applyFont="1">
      <alignment horizontal="center" vertical="center"/>
    </xf>
    <xf borderId="9" fillId="0" fontId="79" numFmtId="0" xfId="0" applyBorder="1" applyFont="1"/>
    <xf borderId="22" fillId="0" fontId="7" numFmtId="2" xfId="0" applyAlignment="1" applyBorder="1" applyFont="1" applyNumberFormat="1">
      <alignment horizontal="right"/>
    </xf>
    <xf borderId="37" fillId="0" fontId="39" numFmtId="0" xfId="0" applyAlignment="1" applyBorder="1" applyFont="1">
      <alignment horizontal="center" shrinkToFit="0" vertical="center" wrapText="1"/>
    </xf>
    <xf borderId="31" fillId="0" fontId="6" numFmtId="0" xfId="0" applyAlignment="1" applyBorder="1" applyFont="1">
      <alignment vertical="center"/>
    </xf>
    <xf borderId="41" fillId="5" fontId="10" numFmtId="15" xfId="0" applyAlignment="1" applyBorder="1" applyFill="1" applyFont="1" applyNumberFormat="1">
      <alignment horizontal="right"/>
    </xf>
    <xf borderId="32" fillId="0" fontId="1" numFmtId="0" xfId="0" applyAlignment="1" applyBorder="1" applyFont="1">
      <alignment vertical="center"/>
    </xf>
    <xf borderId="51" fillId="0" fontId="7" numFmtId="2" xfId="0" applyAlignment="1" applyBorder="1" applyFont="1" applyNumberFormat="1">
      <alignment horizontal="right"/>
    </xf>
    <xf borderId="35" fillId="0" fontId="1" numFmtId="0" xfId="0" applyAlignment="1" applyBorder="1" applyFont="1">
      <alignment horizontal="center" vertical="center"/>
    </xf>
    <xf borderId="35" fillId="0" fontId="1" numFmtId="0" xfId="0" applyAlignment="1" applyBorder="1" applyFont="1">
      <alignment horizontal="right" readingOrder="0" vertical="center"/>
    </xf>
    <xf borderId="36" fillId="0" fontId="1" numFmtId="0" xfId="0" applyAlignment="1" applyBorder="1" applyFont="1">
      <alignment horizontal="right" readingOrder="0" vertical="center"/>
    </xf>
    <xf borderId="38" fillId="0" fontId="1" numFmtId="0" xfId="0" applyAlignment="1" applyBorder="1" applyFont="1">
      <alignment vertical="center"/>
    </xf>
    <xf borderId="21" fillId="0" fontId="79" numFmtId="0" xfId="0" applyAlignment="1" applyBorder="1" applyFont="1">
      <alignment horizontal="left"/>
    </xf>
    <xf borderId="30" fillId="0" fontId="79" numFmtId="2" xfId="0" applyAlignment="1" applyBorder="1" applyFont="1" applyNumberFormat="1">
      <alignment horizontal="left"/>
    </xf>
    <xf borderId="22" fillId="0" fontId="1" numFmtId="2" xfId="0" applyBorder="1" applyFont="1" applyNumberFormat="1"/>
    <xf borderId="38" fillId="0" fontId="38" numFmtId="0" xfId="0" applyBorder="1" applyFont="1"/>
    <xf borderId="4" fillId="0" fontId="1" numFmtId="2" xfId="0" applyBorder="1" applyFont="1" applyNumberFormat="1"/>
    <xf borderId="55" fillId="0" fontId="1" numFmtId="2" xfId="0" applyBorder="1" applyFont="1" applyNumberFormat="1"/>
    <xf borderId="59" fillId="0" fontId="1" numFmtId="2" xfId="0" applyBorder="1" applyFont="1" applyNumberFormat="1"/>
    <xf borderId="52" fillId="0" fontId="1" numFmtId="2" xfId="0" applyBorder="1" applyFont="1" applyNumberFormat="1"/>
    <xf borderId="13" fillId="0" fontId="1" numFmtId="2" xfId="0" applyBorder="1" applyFont="1" applyNumberFormat="1"/>
    <xf borderId="0" fillId="0" fontId="6" numFmtId="0" xfId="0" applyAlignment="1" applyFont="1">
      <alignment vertical="center"/>
    </xf>
    <xf borderId="45" fillId="0" fontId="6" numFmtId="0" xfId="0" applyAlignment="1" applyBorder="1" applyFont="1">
      <alignment vertical="center"/>
    </xf>
    <xf borderId="47" fillId="0" fontId="1" numFmtId="2" xfId="0" applyBorder="1" applyFont="1" applyNumberFormat="1"/>
    <xf borderId="32" fillId="0" fontId="1" numFmtId="2" xfId="0" applyBorder="1" applyFont="1" applyNumberFormat="1"/>
    <xf borderId="38" fillId="0" fontId="1" numFmtId="2" xfId="0" applyBorder="1" applyFont="1" applyNumberFormat="1"/>
    <xf borderId="38" fillId="5" fontId="38" numFmtId="15" xfId="0" applyAlignment="1" applyBorder="1" applyFill="1" applyFont="1" applyNumberFormat="1">
      <alignment horizontal="right"/>
    </xf>
    <xf borderId="1" fillId="0" fontId="10" numFmtId="0" xfId="0" applyAlignment="1" applyBorder="1" applyFont="1">
      <alignment horizontal="center"/>
    </xf>
    <xf borderId="6" fillId="0" fontId="1" numFmtId="0" xfId="0" applyAlignment="1" applyBorder="1" applyFont="1">
      <alignment horizontal="right" readingOrder="0"/>
    </xf>
    <xf borderId="6" fillId="0" fontId="4" numFmtId="0" xfId="0" applyBorder="1" applyFont="1"/>
    <xf borderId="6" fillId="0" fontId="7" numFmtId="166" xfId="0" applyAlignment="1" applyBorder="1" applyFont="1" applyNumberFormat="1">
      <alignment horizontal="center"/>
    </xf>
    <xf borderId="5" fillId="0" fontId="7" numFmtId="166" xfId="0" applyAlignment="1" applyBorder="1" applyFont="1" applyNumberFormat="1">
      <alignment horizontal="center"/>
    </xf>
    <xf borderId="1" fillId="0" fontId="11" numFmtId="0" xfId="0" applyAlignment="1" applyBorder="1" applyFont="1">
      <alignment horizontal="center" vertical="center"/>
    </xf>
    <xf borderId="27" fillId="0" fontId="7" numFmtId="166" xfId="0" applyAlignment="1" applyBorder="1" applyFont="1" applyNumberFormat="1">
      <alignment horizontal="center"/>
    </xf>
    <xf borderId="5" fillId="0" fontId="1" numFmtId="169" xfId="0" applyAlignment="1" applyBorder="1" applyFont="1" applyNumberFormat="1">
      <alignment horizontal="right"/>
    </xf>
    <xf borderId="17" fillId="0" fontId="1" numFmtId="169" xfId="0" applyAlignment="1" applyBorder="1" applyFont="1" applyNumberFormat="1">
      <alignment horizontal="right"/>
    </xf>
    <xf borderId="9" fillId="5" fontId="21" numFmtId="15" xfId="0" applyAlignment="1" applyBorder="1" applyFill="1" applyFont="1" applyNumberFormat="1">
      <alignment horizontal="center"/>
    </xf>
    <xf borderId="12" fillId="5" fontId="119" numFmtId="0" xfId="0" applyAlignment="1" applyBorder="1" applyFill="1" applyFont="1">
      <alignment horizontal="center" vertical="center"/>
    </xf>
    <xf borderId="13" fillId="15" fontId="1" numFmtId="0" xfId="0" applyBorder="1" applyFill="1" applyFont="1"/>
    <xf borderId="53" fillId="5" fontId="21" numFmtId="15" xfId="0" applyBorder="1" applyFill="1" applyFont="1" applyNumberFormat="1"/>
    <xf borderId="66" fillId="0" fontId="1" numFmtId="0" xfId="0" applyAlignment="1" applyBorder="1" applyFont="1">
      <alignment shrinkToFit="0" wrapText="1"/>
    </xf>
    <xf borderId="5" fillId="15" fontId="1" numFmtId="0" xfId="0" applyAlignment="1" applyBorder="1" applyFill="1" applyFont="1">
      <alignment horizontal="center"/>
    </xf>
    <xf borderId="37" fillId="0" fontId="11" numFmtId="0" xfId="0" applyAlignment="1" applyBorder="1" applyFont="1">
      <alignment shrinkToFit="0" wrapText="1"/>
    </xf>
    <xf borderId="55" fillId="0" fontId="4" numFmtId="0" xfId="0" applyBorder="1" applyFont="1"/>
    <xf borderId="5" fillId="15" fontId="1" numFmtId="0" xfId="0" applyAlignment="1" applyBorder="1" applyFill="1" applyFont="1">
      <alignment horizontal="right"/>
    </xf>
    <xf borderId="36" fillId="0" fontId="1" numFmtId="2" xfId="0" applyAlignment="1" applyBorder="1" applyFont="1" applyNumberFormat="1">
      <alignment horizontal="right"/>
    </xf>
    <xf borderId="17" fillId="15" fontId="1" numFmtId="0" xfId="0" applyAlignment="1" applyBorder="1" applyFill="1" applyFont="1">
      <alignment horizontal="right"/>
    </xf>
    <xf borderId="59" fillId="0" fontId="4" numFmtId="0" xfId="0" applyBorder="1" applyFont="1"/>
    <xf borderId="1" fillId="0" fontId="120" numFmtId="0" xfId="0" applyAlignment="1" applyBorder="1" applyFont="1">
      <alignment horizontal="center" shrinkToFit="0" vertical="top" wrapText="1"/>
    </xf>
    <xf borderId="5" fillId="5" fontId="21" numFmtId="15" xfId="0" applyBorder="1" applyFill="1" applyFont="1" applyNumberFormat="1"/>
    <xf borderId="18" fillId="15" fontId="1" numFmtId="0" xfId="0" applyAlignment="1" applyBorder="1" applyFill="1" applyFont="1">
      <alignment horizontal="left"/>
    </xf>
    <xf borderId="7" fillId="0" fontId="7" numFmtId="2" xfId="0" applyAlignment="1" applyBorder="1" applyFont="1" applyNumberFormat="1">
      <alignment horizontal="right"/>
    </xf>
    <xf borderId="41" fillId="5" fontId="121" numFmtId="2" xfId="0" applyAlignment="1" applyBorder="1" applyFill="1" applyFont="1" applyNumberFormat="1">
      <alignment horizontal="center" vertical="center"/>
    </xf>
    <xf borderId="5" fillId="3" fontId="1" numFmtId="0" xfId="0" applyAlignment="1" applyBorder="1" applyFill="1" applyFont="1">
      <alignment horizontal="right"/>
    </xf>
    <xf borderId="1" fillId="0" fontId="10" numFmtId="0" xfId="0" applyAlignment="1" applyBorder="1" applyFont="1">
      <alignment horizontal="center" vertical="center"/>
    </xf>
    <xf borderId="17" fillId="3" fontId="1" numFmtId="0" xfId="0" applyAlignment="1" applyBorder="1" applyFill="1" applyFont="1">
      <alignment horizontal="right"/>
    </xf>
    <xf borderId="17" fillId="0" fontId="7" numFmtId="2" xfId="0" applyAlignment="1" applyBorder="1" applyFont="1" applyNumberFormat="1">
      <alignment horizontal="right"/>
    </xf>
    <xf borderId="35" fillId="0" fontId="4" numFmtId="0" xfId="0" applyAlignment="1" applyBorder="1" applyFont="1">
      <alignment horizontal="center" vertical="center"/>
    </xf>
    <xf borderId="22" fillId="0" fontId="4" numFmtId="0" xfId="0" applyAlignment="1" applyBorder="1" applyFont="1">
      <alignment horizontal="center"/>
    </xf>
    <xf borderId="25" fillId="0" fontId="7" numFmtId="2" xfId="0" applyAlignment="1" applyBorder="1" applyFont="1" applyNumberFormat="1">
      <alignment horizontal="right"/>
    </xf>
    <xf borderId="4" fillId="5" fontId="4" numFmtId="0" xfId="0" applyBorder="1" applyFill="1" applyFont="1"/>
    <xf borderId="13" fillId="0" fontId="38" numFmtId="0" xfId="0" applyAlignment="1" applyBorder="1" applyFont="1">
      <alignment horizontal="right"/>
    </xf>
    <xf borderId="6" fillId="5" fontId="4" numFmtId="0" xfId="0" applyAlignment="1" applyBorder="1" applyFill="1" applyFont="1">
      <alignment horizontal="center"/>
    </xf>
    <xf borderId="6" fillId="0" fontId="4" numFmtId="0" xfId="0" applyAlignment="1" applyBorder="1" applyFont="1">
      <alignment horizontal="center" vertical="center"/>
    </xf>
    <xf borderId="6" fillId="5" fontId="7" numFmtId="2" xfId="0" applyAlignment="1" applyBorder="1" applyFill="1" applyFont="1" applyNumberFormat="1">
      <alignment horizontal="right"/>
    </xf>
    <xf borderId="7" fillId="5" fontId="7" numFmtId="2" xfId="0" applyAlignment="1" applyBorder="1" applyFill="1" applyFont="1" applyNumberFormat="1">
      <alignment horizontal="right"/>
    </xf>
    <xf borderId="9" fillId="5" fontId="1" numFmtId="0" xfId="0" applyBorder="1" applyFill="1" applyFont="1"/>
    <xf borderId="10" fillId="0" fontId="11" numFmtId="0" xfId="0" applyAlignment="1" applyBorder="1" applyFont="1">
      <alignment horizontal="center" vertical="center"/>
    </xf>
    <xf borderId="13" fillId="10" fontId="4" numFmtId="0" xfId="0" applyBorder="1" applyFill="1" applyFont="1"/>
    <xf borderId="5" fillId="10" fontId="4" numFmtId="0" xfId="0" applyAlignment="1" applyBorder="1" applyFill="1" applyFont="1">
      <alignment horizontal="center"/>
    </xf>
    <xf borderId="5" fillId="10" fontId="7" numFmtId="2" xfId="0" applyAlignment="1" applyBorder="1" applyFill="1" applyFont="1" applyNumberFormat="1">
      <alignment horizontal="right"/>
    </xf>
    <xf borderId="17" fillId="10" fontId="7" numFmtId="2" xfId="0" applyAlignment="1" applyBorder="1" applyFill="1" applyFont="1" applyNumberFormat="1">
      <alignment horizontal="right"/>
    </xf>
    <xf borderId="5" fillId="0" fontId="4" numFmtId="0" xfId="0" applyAlignment="1" applyBorder="1" applyFont="1">
      <alignment horizontal="center" vertical="center"/>
    </xf>
    <xf borderId="18" fillId="10" fontId="1" numFmtId="0" xfId="0" applyBorder="1" applyFill="1" applyFont="1"/>
    <xf borderId="13" fillId="0" fontId="38" numFmtId="0" xfId="0" applyAlignment="1" applyBorder="1" applyFont="1">
      <alignment horizontal="right" vertical="center"/>
    </xf>
    <xf borderId="0" fillId="0" fontId="21" numFmtId="0" xfId="0" applyAlignment="1" applyFont="1">
      <alignment horizontal="right"/>
    </xf>
    <xf borderId="0" fillId="0" fontId="1" numFmtId="2" xfId="0" applyAlignment="1" applyFont="1" applyNumberFormat="1">
      <alignment horizontal="left"/>
    </xf>
    <xf borderId="27" fillId="0" fontId="4" numFmtId="0" xfId="0" applyAlignment="1" applyBorder="1" applyFont="1">
      <alignment horizontal="center" vertical="center"/>
    </xf>
    <xf borderId="50" fillId="0" fontId="7" numFmtId="2" xfId="0" applyAlignment="1" applyBorder="1" applyFont="1" applyNumberFormat="1">
      <alignment horizontal="right"/>
    </xf>
    <xf borderId="26" fillId="44" fontId="1" numFmtId="0" xfId="0" applyBorder="1" applyFill="1" applyFont="1"/>
    <xf borderId="20" fillId="0" fontId="7" numFmtId="2" xfId="0" applyAlignment="1" applyBorder="1" applyFont="1" applyNumberFormat="1">
      <alignment horizontal="right"/>
    </xf>
    <xf borderId="28" fillId="44" fontId="1" numFmtId="0" xfId="0" applyAlignment="1" applyBorder="1" applyFill="1" applyFont="1">
      <alignment horizontal="center"/>
    </xf>
    <xf borderId="30" fillId="0" fontId="4" numFmtId="0" xfId="0" applyAlignment="1" applyBorder="1" applyFont="1">
      <alignment horizontal="center"/>
    </xf>
    <xf borderId="28" fillId="44" fontId="1" numFmtId="0" xfId="0" applyAlignment="1" applyBorder="1" applyFill="1" applyFont="1">
      <alignment horizontal="right"/>
    </xf>
    <xf borderId="96" fillId="44" fontId="1" numFmtId="0" xfId="0" applyAlignment="1" applyBorder="1" applyFill="1" applyFont="1">
      <alignment horizontal="right"/>
    </xf>
    <xf borderId="3" fillId="0" fontId="50" numFmtId="0" xfId="0" applyAlignment="1" applyBorder="1" applyFont="1">
      <alignment horizontal="center" shrinkToFit="0" vertical="center" wrapText="1"/>
    </xf>
    <xf borderId="34" fillId="44" fontId="1" numFmtId="0" xfId="0" applyAlignment="1" applyBorder="1" applyFill="1" applyFont="1">
      <alignment horizontal="left"/>
    </xf>
    <xf borderId="27" fillId="15" fontId="1" numFmtId="0" xfId="0" applyAlignment="1" applyBorder="1" applyFill="1" applyFont="1">
      <alignment horizontal="center"/>
    </xf>
    <xf borderId="1" fillId="35" fontId="12" numFmtId="0" xfId="0" applyAlignment="1" applyBorder="1" applyFill="1" applyFont="1">
      <alignment horizontal="center" shrinkToFit="0" vertical="center" wrapText="1"/>
    </xf>
    <xf borderId="27" fillId="15" fontId="1" numFmtId="0" xfId="0" applyAlignment="1" applyBorder="1" applyFill="1" applyFont="1">
      <alignment horizontal="right"/>
    </xf>
    <xf borderId="0" fillId="35" fontId="12" numFmtId="0" xfId="0" applyAlignment="1" applyFill="1" applyFont="1">
      <alignment horizontal="center" shrinkToFit="0" vertical="center" wrapText="1"/>
    </xf>
    <xf borderId="50" fillId="15" fontId="1" numFmtId="0" xfId="0" applyAlignment="1" applyBorder="1" applyFill="1" applyFont="1">
      <alignment horizontal="right"/>
    </xf>
    <xf borderId="53" fillId="15" fontId="1" numFmtId="0" xfId="0" applyAlignment="1" applyBorder="1" applyFill="1" applyFont="1">
      <alignment horizontal="left"/>
    </xf>
    <xf borderId="19" fillId="0" fontId="105" numFmtId="0" xfId="0" applyAlignment="1" applyBorder="1" applyFont="1">
      <alignment horizontal="center" vertical="center"/>
    </xf>
    <xf borderId="59" fillId="0" fontId="4" numFmtId="0" xfId="0" applyAlignment="1" applyBorder="1" applyFont="1">
      <alignment horizontal="center"/>
    </xf>
    <xf borderId="1" fillId="0" fontId="122" numFmtId="0" xfId="0" applyAlignment="1" applyBorder="1" applyFont="1">
      <alignment horizontal="center" shrinkToFit="0" vertical="center" wrapText="1"/>
    </xf>
    <xf borderId="72" fillId="17" fontId="1" numFmtId="0" xfId="0" applyBorder="1" applyFill="1" applyFont="1"/>
    <xf borderId="91" fillId="17" fontId="1" numFmtId="2" xfId="0" applyBorder="1" applyFill="1" applyFont="1" applyNumberFormat="1"/>
    <xf borderId="31" fillId="0" fontId="11" numFmtId="0" xfId="0" applyAlignment="1" applyBorder="1" applyFont="1">
      <alignment horizontal="center" shrinkToFit="0" vertical="center" wrapText="1"/>
    </xf>
    <xf borderId="45" fillId="0" fontId="11" numFmtId="0" xfId="0" applyAlignment="1" applyBorder="1" applyFont="1">
      <alignment horizontal="center" shrinkToFit="0" vertical="center" wrapText="1"/>
    </xf>
    <xf borderId="71" fillId="25" fontId="1" numFmtId="2" xfId="0" applyAlignment="1" applyBorder="1" applyFill="1" applyFont="1" applyNumberFormat="1">
      <alignment shrinkToFit="0" wrapText="1"/>
    </xf>
    <xf borderId="8" fillId="3" fontId="78" numFmtId="0" xfId="0" applyAlignment="1" applyBorder="1" applyFill="1" applyFont="1">
      <alignment horizontal="center"/>
    </xf>
    <xf borderId="0" fillId="3" fontId="78" numFmtId="0" xfId="0" applyAlignment="1" applyFill="1" applyFont="1">
      <alignment horizontal="center"/>
    </xf>
    <xf borderId="19" fillId="0" fontId="1" numFmtId="0" xfId="0" applyBorder="1" applyFont="1"/>
    <xf borderId="41" fillId="5" fontId="21" numFmtId="15" xfId="0" applyAlignment="1" applyBorder="1" applyFill="1" applyFont="1" applyNumberFormat="1">
      <alignment horizontal="center"/>
    </xf>
    <xf borderId="1" fillId="0" fontId="11" numFmtId="0" xfId="0" applyAlignment="1" applyBorder="1" applyFont="1">
      <alignment horizontal="left" shrinkToFit="0" vertical="center" wrapText="1"/>
    </xf>
    <xf borderId="74" fillId="45" fontId="1" numFmtId="0" xfId="0" applyAlignment="1" applyBorder="1" applyFill="1" applyFont="1">
      <alignment shrinkToFit="0" wrapText="1"/>
    </xf>
    <xf borderId="37" fillId="0" fontId="1" numFmtId="0" xfId="0" applyBorder="1" applyFont="1"/>
    <xf borderId="103" fillId="45" fontId="1" numFmtId="0" xfId="0" applyBorder="1" applyFill="1" applyFont="1"/>
    <xf borderId="90" fillId="45" fontId="1" numFmtId="2" xfId="0" applyBorder="1" applyFill="1" applyFont="1" applyNumberFormat="1"/>
    <xf borderId="104" fillId="5" fontId="123" numFmtId="2" xfId="0" applyAlignment="1" applyBorder="1" applyFill="1" applyFont="1" applyNumberFormat="1">
      <alignment horizontal="center" vertical="center"/>
    </xf>
    <xf borderId="41" fillId="5" fontId="124" numFmtId="0" xfId="0" applyAlignment="1" applyBorder="1" applyFill="1" applyFont="1">
      <alignment horizontal="center" vertical="center"/>
    </xf>
    <xf borderId="74" fillId="5" fontId="21" numFmtId="0" xfId="0" applyAlignment="1" applyBorder="1" applyFill="1" applyFont="1">
      <alignment horizontal="left"/>
    </xf>
    <xf borderId="12" fillId="5" fontId="1" numFmtId="164" xfId="0" applyBorder="1" applyFill="1" applyFont="1" applyNumberFormat="1"/>
    <xf borderId="1" fillId="0" fontId="1" numFmtId="0" xfId="0" applyAlignment="1" applyBorder="1" applyFont="1">
      <alignment horizontal="left" shrinkToFit="0" wrapText="1"/>
    </xf>
    <xf borderId="5" fillId="0" fontId="1" numFmtId="166" xfId="0" applyAlignment="1" applyBorder="1" applyFont="1" applyNumberFormat="1">
      <alignment horizontal="center"/>
    </xf>
    <xf borderId="27" fillId="0" fontId="1" numFmtId="166" xfId="0" applyAlignment="1" applyBorder="1" applyFont="1" applyNumberFormat="1">
      <alignment horizontal="center"/>
    </xf>
    <xf borderId="89" fillId="5" fontId="1" numFmtId="164" xfId="0" applyBorder="1" applyFill="1" applyFont="1" applyNumberFormat="1"/>
    <xf borderId="0" fillId="0" fontId="1" numFmtId="0" xfId="0" applyAlignment="1" applyFont="1">
      <alignment horizontal="left" shrinkToFit="0" wrapText="1"/>
    </xf>
    <xf borderId="1" fillId="0" fontId="11" numFmtId="0" xfId="0" applyAlignment="1" applyBorder="1" applyFont="1">
      <alignment horizontal="center" readingOrder="0" shrinkToFit="0" wrapText="1"/>
    </xf>
    <xf borderId="57" fillId="0" fontId="1" numFmtId="166" xfId="0" applyAlignment="1" applyBorder="1" applyFont="1" applyNumberFormat="1">
      <alignment horizontal="center"/>
    </xf>
    <xf borderId="7" fillId="0" fontId="1" numFmtId="166" xfId="0" applyAlignment="1" applyBorder="1" applyFont="1" applyNumberFormat="1">
      <alignment horizontal="right"/>
    </xf>
    <xf borderId="76" fillId="0" fontId="21" numFmtId="0" xfId="0" applyAlignment="1" applyBorder="1" applyFont="1">
      <alignment horizontal="center"/>
    </xf>
    <xf borderId="17" fillId="0" fontId="1" numFmtId="166" xfId="0" applyAlignment="1" applyBorder="1" applyFont="1" applyNumberFormat="1">
      <alignment horizontal="right"/>
    </xf>
    <xf borderId="22" fillId="0" fontId="1" numFmtId="166" xfId="0" applyAlignment="1" applyBorder="1" applyFont="1" applyNumberFormat="1">
      <alignment horizontal="right"/>
    </xf>
    <xf borderId="63" fillId="5" fontId="1" numFmtId="0" xfId="0" applyAlignment="1" applyBorder="1" applyFill="1" applyFont="1">
      <alignment horizontal="left"/>
    </xf>
    <xf borderId="25" fillId="0" fontId="1" numFmtId="166" xfId="0" applyAlignment="1" applyBorder="1" applyFont="1" applyNumberFormat="1">
      <alignment horizontal="right"/>
    </xf>
    <xf borderId="117" fillId="5" fontId="1" numFmtId="0" xfId="0" applyAlignment="1" applyBorder="1" applyFill="1" applyFont="1">
      <alignment horizontal="center"/>
    </xf>
    <xf borderId="75" fillId="5" fontId="1" numFmtId="2" xfId="0" applyAlignment="1" applyBorder="1" applyFill="1" applyFont="1" applyNumberFormat="1">
      <alignment horizontal="center"/>
    </xf>
    <xf borderId="51" fillId="0" fontId="1" numFmtId="0" xfId="0" applyAlignment="1" applyBorder="1" applyFont="1">
      <alignment horizontal="center" readingOrder="0"/>
    </xf>
    <xf borderId="19" fillId="0" fontId="11" numFmtId="0" xfId="0" applyAlignment="1" applyBorder="1" applyFont="1">
      <alignment horizontal="left" shrinkToFit="0" vertical="center" wrapText="1"/>
    </xf>
    <xf borderId="6" fillId="0" fontId="1" numFmtId="0" xfId="0" applyAlignment="1" applyBorder="1" applyFont="1">
      <alignment horizontal="center" vertical="center"/>
    </xf>
    <xf borderId="17" fillId="0" fontId="21" numFmtId="0" xfId="0" applyAlignment="1" applyBorder="1" applyFont="1">
      <alignment horizontal="center"/>
    </xf>
    <xf borderId="14" fillId="0" fontId="38" numFmtId="0" xfId="0" applyBorder="1" applyFont="1"/>
    <xf borderId="27" fillId="0" fontId="1" numFmtId="166" xfId="0" applyAlignment="1" applyBorder="1" applyFont="1" applyNumberFormat="1">
      <alignment horizontal="right"/>
    </xf>
    <xf borderId="50" fillId="0" fontId="1" numFmtId="166" xfId="0" applyAlignment="1" applyBorder="1" applyFont="1" applyNumberFormat="1">
      <alignment horizontal="right"/>
    </xf>
    <xf borderId="6" fillId="0" fontId="1" numFmtId="0" xfId="0" applyAlignment="1" applyBorder="1" applyFont="1">
      <alignment horizontal="right" readingOrder="0" vertical="center"/>
    </xf>
    <xf borderId="35" fillId="0" fontId="38" numFmtId="2" xfId="0" applyBorder="1" applyFont="1" applyNumberFormat="1"/>
    <xf borderId="7" fillId="0" fontId="1" numFmtId="0" xfId="0" applyAlignment="1" applyBorder="1" applyFont="1">
      <alignment horizontal="right" readingOrder="0" vertical="center"/>
    </xf>
    <xf borderId="0" fillId="0" fontId="39" numFmtId="0" xfId="0" applyAlignment="1" applyFont="1">
      <alignment horizontal="center" shrinkToFit="0" vertical="center" wrapText="1"/>
    </xf>
    <xf borderId="15" fillId="0" fontId="38" numFmtId="2" xfId="0" applyBorder="1" applyFont="1" applyNumberFormat="1"/>
    <xf borderId="78" fillId="5" fontId="1" numFmtId="164" xfId="0" applyAlignment="1" applyBorder="1" applyFill="1" applyFont="1" applyNumberFormat="1">
      <alignment horizontal="center"/>
    </xf>
    <xf borderId="16" fillId="0" fontId="38" numFmtId="0" xfId="0" applyBorder="1" applyFont="1"/>
    <xf borderId="6" fillId="0" fontId="38" numFmtId="0" xfId="0" applyBorder="1" applyFont="1"/>
    <xf borderId="6" fillId="0" fontId="38" numFmtId="2" xfId="0" applyBorder="1" applyFont="1" applyNumberFormat="1"/>
    <xf borderId="1" fillId="21" fontId="1" numFmtId="0" xfId="0" applyAlignment="1" applyBorder="1" applyFill="1" applyFont="1">
      <alignment horizontal="center" shrinkToFit="0" wrapText="1"/>
    </xf>
    <xf borderId="0" fillId="21" fontId="1" numFmtId="0" xfId="0" applyAlignment="1" applyFill="1" applyFont="1">
      <alignment horizontal="center" shrinkToFit="0" wrapText="1"/>
    </xf>
    <xf borderId="5" fillId="0" fontId="38" numFmtId="0" xfId="0" applyBorder="1" applyFont="1"/>
    <xf borderId="46" fillId="0" fontId="1" numFmtId="18" xfId="0" applyAlignment="1" applyBorder="1" applyFont="1" applyNumberFormat="1">
      <alignment horizontal="center"/>
    </xf>
    <xf borderId="27" fillId="0" fontId="38" numFmtId="0" xfId="0" applyBorder="1" applyFont="1"/>
    <xf borderId="1" fillId="0" fontId="39" numFmtId="0" xfId="0" applyAlignment="1" applyBorder="1" applyFont="1">
      <alignment horizontal="center" shrinkToFit="0" vertical="center" wrapText="1"/>
    </xf>
    <xf borderId="57" fillId="0" fontId="38" numFmtId="0" xfId="0" applyBorder="1" applyFont="1"/>
    <xf borderId="25" fillId="0" fontId="7" numFmtId="166" xfId="0" applyAlignment="1" applyBorder="1" applyFont="1" applyNumberFormat="1">
      <alignment horizontal="right"/>
    </xf>
    <xf borderId="25" fillId="0" fontId="21" numFmtId="0" xfId="0" applyAlignment="1" applyBorder="1" applyFont="1">
      <alignment horizontal="center" shrinkToFit="0" vertical="center" wrapText="1"/>
    </xf>
    <xf borderId="128" fillId="0" fontId="3" numFmtId="0" xfId="0" applyBorder="1" applyFont="1"/>
    <xf borderId="0" fillId="0" fontId="125" numFmtId="0" xfId="0" applyAlignment="1" applyFont="1">
      <alignment vertical="center"/>
    </xf>
    <xf borderId="97" fillId="0" fontId="3" numFmtId="0" xfId="0" applyBorder="1" applyFont="1"/>
    <xf borderId="45" fillId="0" fontId="1" numFmtId="0" xfId="0" applyBorder="1" applyFont="1"/>
    <xf borderId="20" fillId="0" fontId="3" numFmtId="0" xfId="0" applyBorder="1" applyFont="1"/>
    <xf borderId="110" fillId="0" fontId="3" numFmtId="0" xfId="0" applyBorder="1" applyFont="1"/>
    <xf borderId="54" fillId="0" fontId="3" numFmtId="0" xfId="0" applyBorder="1" applyFont="1"/>
    <xf borderId="121" fillId="0" fontId="3" numFmtId="0" xfId="0" applyBorder="1" applyFont="1"/>
    <xf borderId="129" fillId="0" fontId="3" numFmtId="0" xfId="0" applyBorder="1" applyFont="1"/>
    <xf borderId="0" fillId="0" fontId="38" numFmtId="2" xfId="0" applyFont="1" applyNumberFormat="1"/>
    <xf borderId="7" fillId="0" fontId="1" numFmtId="0" xfId="0" applyAlignment="1" applyBorder="1" applyFont="1">
      <alignment horizontal="right" readingOrder="0"/>
    </xf>
    <xf borderId="89" fillId="5" fontId="126" numFmtId="0" xfId="0" applyAlignment="1" applyBorder="1" applyFill="1" applyFont="1">
      <alignment horizontal="center" vertical="center"/>
    </xf>
    <xf borderId="28" fillId="5" fontId="85" numFmtId="15" xfId="0" applyAlignment="1" applyBorder="1" applyFill="1" applyFont="1" applyNumberFormat="1">
      <alignment horizontal="center"/>
    </xf>
    <xf borderId="24" fillId="5" fontId="1" numFmtId="164" xfId="0" applyBorder="1" applyFill="1" applyFont="1" applyNumberFormat="1"/>
    <xf borderId="13" fillId="4" fontId="1" numFmtId="0" xfId="0" applyBorder="1" applyFill="1" applyFont="1"/>
    <xf borderId="12" fillId="5" fontId="21" numFmtId="164" xfId="0" applyBorder="1" applyFill="1" applyFont="1" applyNumberFormat="1"/>
    <xf borderId="5" fillId="4" fontId="1" numFmtId="0" xfId="0" applyAlignment="1" applyBorder="1" applyFill="1" applyFont="1">
      <alignment horizontal="center"/>
    </xf>
    <xf borderId="5" fillId="4" fontId="1" numFmtId="2" xfId="0" applyAlignment="1" applyBorder="1" applyFill="1" applyFont="1" applyNumberFormat="1">
      <alignment horizontal="right"/>
    </xf>
    <xf borderId="17" fillId="4" fontId="1" numFmtId="2" xfId="0" applyAlignment="1" applyBorder="1" applyFill="1" applyFont="1" applyNumberFormat="1">
      <alignment horizontal="right"/>
    </xf>
    <xf borderId="18" fillId="4" fontId="1" numFmtId="0" xfId="0" applyAlignment="1" applyBorder="1" applyFill="1" applyFont="1">
      <alignment horizontal="left"/>
    </xf>
    <xf borderId="33" fillId="0" fontId="11" numFmtId="0" xfId="0" applyAlignment="1" applyBorder="1" applyFont="1">
      <alignment shrinkToFit="0" vertical="center" wrapText="1"/>
    </xf>
    <xf borderId="6" fillId="0" fontId="7" numFmtId="1" xfId="0" applyAlignment="1" applyBorder="1" applyFont="1" applyNumberFormat="1">
      <alignment horizontal="right"/>
    </xf>
    <xf borderId="35" fillId="0" fontId="1" numFmtId="0" xfId="0" applyAlignment="1" applyBorder="1" applyFont="1">
      <alignment horizontal="right" vertical="center"/>
    </xf>
    <xf borderId="6" fillId="0" fontId="17" numFmtId="0" xfId="0" applyAlignment="1" applyBorder="1" applyFont="1">
      <alignment horizontal="right" readingOrder="0"/>
    </xf>
    <xf borderId="6" fillId="0" fontId="1" numFmtId="2" xfId="0" applyAlignment="1" applyBorder="1" applyFont="1" applyNumberFormat="1">
      <alignment readingOrder="0"/>
    </xf>
    <xf borderId="32" fillId="0" fontId="127" numFmtId="0" xfId="0" applyBorder="1" applyFont="1"/>
    <xf borderId="35" fillId="0" fontId="127" numFmtId="2" xfId="0" applyBorder="1" applyFont="1" applyNumberFormat="1"/>
    <xf borderId="7" fillId="0" fontId="7" numFmtId="1" xfId="0" applyAlignment="1" applyBorder="1" applyFont="1" applyNumberFormat="1">
      <alignment horizontal="right"/>
    </xf>
    <xf borderId="36" fillId="0" fontId="1" numFmtId="0" xfId="0" applyAlignment="1" applyBorder="1" applyFont="1">
      <alignment horizontal="right" vertical="center"/>
    </xf>
    <xf borderId="46" fillId="0" fontId="11" numFmtId="0" xfId="0" applyAlignment="1" applyBorder="1" applyFont="1">
      <alignment horizontal="center" shrinkToFit="0" vertical="center" wrapText="1"/>
    </xf>
    <xf borderId="27" fillId="0" fontId="7" numFmtId="1" xfId="0" applyAlignment="1" applyBorder="1" applyFont="1" applyNumberFormat="1">
      <alignment horizontal="right"/>
    </xf>
    <xf borderId="50" fillId="0" fontId="7" numFmtId="1" xfId="0" applyAlignment="1" applyBorder="1" applyFont="1" applyNumberFormat="1">
      <alignment horizontal="right"/>
    </xf>
    <xf borderId="35" fillId="0" fontId="85" numFmtId="2" xfId="0" applyBorder="1" applyFont="1" applyNumberFormat="1"/>
    <xf borderId="38" fillId="0" fontId="64" numFmtId="0" xfId="0" applyBorder="1" applyFont="1"/>
    <xf borderId="128" fillId="0" fontId="11" numFmtId="0" xfId="0" applyAlignment="1" applyBorder="1" applyFont="1">
      <alignment horizontal="center" shrinkToFit="0" vertical="center" wrapText="1"/>
    </xf>
    <xf borderId="0" fillId="0" fontId="1" numFmtId="166" xfId="0" applyFont="1" applyNumberFormat="1"/>
    <xf borderId="54" fillId="0" fontId="17" numFmtId="0" xfId="0" applyAlignment="1" applyBorder="1" applyFont="1">
      <alignment horizontal="right"/>
    </xf>
    <xf borderId="6" fillId="5" fontId="1" numFmtId="0" xfId="0" applyAlignment="1" applyBorder="1" applyFill="1" applyFont="1">
      <alignment horizontal="center"/>
    </xf>
    <xf borderId="1" fillId="0" fontId="2" numFmtId="0" xfId="0" applyAlignment="1" applyBorder="1" applyFont="1">
      <alignment horizontal="center" shrinkToFit="0" wrapText="1"/>
    </xf>
    <xf borderId="6" fillId="5" fontId="1" numFmtId="0" xfId="0" applyAlignment="1" applyBorder="1" applyFill="1" applyFont="1">
      <alignment horizontal="right"/>
    </xf>
    <xf borderId="57" fillId="0" fontId="17" numFmtId="0" xfId="0" applyBorder="1" applyFont="1"/>
    <xf borderId="128" fillId="0" fontId="11" numFmtId="0" xfId="0" applyAlignment="1" applyBorder="1" applyFont="1">
      <alignment horizontal="center"/>
    </xf>
    <xf borderId="50" fillId="0" fontId="17" numFmtId="0" xfId="0" applyAlignment="1" applyBorder="1" applyFont="1">
      <alignment horizontal="right"/>
    </xf>
    <xf borderId="70" fillId="5" fontId="1" numFmtId="0" xfId="0" applyBorder="1" applyFill="1" applyFont="1"/>
    <xf borderId="78" fillId="5" fontId="1" numFmtId="15" xfId="0" applyBorder="1" applyFill="1" applyFont="1" applyNumberFormat="1"/>
    <xf borderId="19" fillId="0" fontId="86" numFmtId="0" xfId="0" applyAlignment="1" applyBorder="1" applyFont="1">
      <alignment shrinkToFit="0" vertical="center" wrapText="1"/>
    </xf>
    <xf borderId="0" fillId="0" fontId="95" numFmtId="0" xfId="0" applyFont="1"/>
    <xf borderId="7" fillId="5" fontId="1" numFmtId="0" xfId="0" applyAlignment="1" applyBorder="1" applyFill="1" applyFont="1">
      <alignment horizontal="right"/>
    </xf>
    <xf borderId="9" fillId="5" fontId="1" numFmtId="0" xfId="0" applyAlignment="1" applyBorder="1" applyFill="1" applyFont="1">
      <alignment horizontal="left"/>
    </xf>
    <xf borderId="23" fillId="0" fontId="86" numFmtId="0" xfId="0" applyAlignment="1" applyBorder="1" applyFont="1">
      <alignment shrinkToFit="0" vertical="center" wrapText="1"/>
    </xf>
    <xf borderId="14" fillId="0" fontId="7" numFmtId="0" xfId="0" applyAlignment="1" applyBorder="1" applyFont="1">
      <alignment horizontal="left"/>
    </xf>
    <xf borderId="8" fillId="0" fontId="11" numFmtId="0" xfId="0" applyAlignment="1" applyBorder="1" applyFont="1">
      <alignment shrinkToFit="0" wrapText="1"/>
    </xf>
    <xf borderId="98" fillId="0" fontId="1" numFmtId="0" xfId="0" applyAlignment="1" applyBorder="1" applyFont="1">
      <alignment horizontal="center"/>
    </xf>
    <xf borderId="13" fillId="23" fontId="1" numFmtId="0" xfId="0" applyBorder="1" applyFill="1" applyFont="1"/>
    <xf borderId="5" fillId="23" fontId="1" numFmtId="0" xfId="0" applyAlignment="1" applyBorder="1" applyFill="1" applyFont="1">
      <alignment horizontal="center"/>
    </xf>
    <xf borderId="5" fillId="23" fontId="1" numFmtId="0" xfId="0" applyAlignment="1" applyBorder="1" applyFill="1" applyFont="1">
      <alignment horizontal="right"/>
    </xf>
    <xf borderId="17" fillId="23" fontId="1" numFmtId="0" xfId="0" applyAlignment="1" applyBorder="1" applyFill="1" applyFont="1">
      <alignment horizontal="right"/>
    </xf>
    <xf borderId="18" fillId="23" fontId="1" numFmtId="0" xfId="0" applyAlignment="1" applyBorder="1" applyFill="1" applyFont="1">
      <alignment horizontal="left"/>
    </xf>
    <xf borderId="86" fillId="23" fontId="1" numFmtId="0" xfId="0" applyBorder="1" applyFill="1" applyFont="1"/>
    <xf borderId="88" fillId="23" fontId="1" numFmtId="0" xfId="0" applyAlignment="1" applyBorder="1" applyFill="1" applyFont="1">
      <alignment horizontal="center"/>
    </xf>
    <xf borderId="88" fillId="23" fontId="1" numFmtId="0" xfId="0" applyAlignment="1" applyBorder="1" applyFill="1" applyFont="1">
      <alignment horizontal="right"/>
    </xf>
    <xf borderId="92" fillId="23" fontId="1" numFmtId="0" xfId="0" applyAlignment="1" applyBorder="1" applyFill="1" applyFont="1">
      <alignment horizontal="right"/>
    </xf>
    <xf borderId="87" fillId="23" fontId="1" numFmtId="0" xfId="0" applyAlignment="1" applyBorder="1" applyFill="1" applyFont="1">
      <alignment horizontal="left"/>
    </xf>
    <xf borderId="27" fillId="4" fontId="1" numFmtId="0" xfId="0" applyAlignment="1" applyBorder="1" applyFill="1" applyFont="1">
      <alignment horizontal="center"/>
    </xf>
    <xf borderId="50" fillId="4" fontId="1" numFmtId="0" xfId="0" applyAlignment="1" applyBorder="1" applyFill="1" applyFont="1">
      <alignment horizontal="right"/>
    </xf>
    <xf borderId="52" fillId="0" fontId="5" numFmtId="0" xfId="0" applyBorder="1" applyFont="1"/>
    <xf borderId="129" fillId="0" fontId="1" numFmtId="0" xfId="0" applyAlignment="1" applyBorder="1" applyFont="1">
      <alignment horizontal="center"/>
    </xf>
    <xf borderId="51" fillId="0" fontId="4" numFmtId="2" xfId="0" applyAlignment="1" applyBorder="1" applyFont="1" applyNumberFormat="1">
      <alignment horizontal="center"/>
    </xf>
    <xf borderId="60" fillId="0" fontId="9" numFmtId="2" xfId="0" applyAlignment="1" applyBorder="1" applyFont="1" applyNumberFormat="1">
      <alignment horizontal="left"/>
    </xf>
    <xf borderId="47" fillId="0" fontId="93" numFmtId="0" xfId="0" applyBorder="1" applyFont="1"/>
    <xf borderId="27" fillId="0" fontId="93" numFmtId="0" xfId="0" applyAlignment="1" applyBorder="1" applyFont="1">
      <alignment horizontal="center"/>
    </xf>
    <xf borderId="95" fillId="0" fontId="1" numFmtId="0" xfId="0" applyAlignment="1" applyBorder="1" applyFont="1">
      <alignment horizontal="center"/>
    </xf>
    <xf borderId="27" fillId="0" fontId="93" numFmtId="0" xfId="0" applyAlignment="1" applyBorder="1" applyFont="1">
      <alignment horizontal="right"/>
    </xf>
    <xf borderId="50" fillId="0" fontId="93" numFmtId="0" xfId="0" applyAlignment="1" applyBorder="1" applyFont="1">
      <alignment horizontal="right"/>
    </xf>
    <xf borderId="53" fillId="0" fontId="93" numFmtId="0" xfId="0" applyAlignment="1" applyBorder="1" applyFont="1">
      <alignment horizontal="left"/>
    </xf>
    <xf borderId="23" fillId="0" fontId="11" numFmtId="0" xfId="0" applyAlignment="1" applyBorder="1" applyFont="1">
      <alignment vertical="center"/>
    </xf>
    <xf borderId="61" fillId="17" fontId="1" numFmtId="0" xfId="0" applyAlignment="1" applyBorder="1" applyFill="1" applyFont="1">
      <alignment horizontal="center"/>
    </xf>
    <xf borderId="12" fillId="5" fontId="21" numFmtId="164" xfId="0" applyAlignment="1" applyBorder="1" applyFill="1" applyFont="1" applyNumberFormat="1">
      <alignment horizontal="center" vertical="center"/>
    </xf>
    <xf borderId="61" fillId="23" fontId="1" numFmtId="1" xfId="0" applyAlignment="1" applyBorder="1" applyFill="1" applyFont="1" applyNumberFormat="1">
      <alignment horizontal="center"/>
    </xf>
    <xf borderId="0" fillId="0" fontId="1" numFmtId="170" xfId="0" applyFont="1" applyNumberFormat="1"/>
    <xf borderId="61" fillId="9" fontId="1" numFmtId="0" xfId="0" applyAlignment="1" applyBorder="1" applyFill="1" applyFont="1">
      <alignment horizontal="center"/>
    </xf>
    <xf borderId="54" fillId="0" fontId="7" numFmtId="0" xfId="0" applyAlignment="1" applyBorder="1" applyFont="1">
      <alignment horizontal="right"/>
    </xf>
    <xf borderId="61" fillId="24" fontId="1" numFmtId="0" xfId="0" applyAlignment="1" applyBorder="1" applyFill="1" applyFont="1">
      <alignment horizontal="center"/>
    </xf>
    <xf borderId="61" fillId="25" fontId="1" numFmtId="0" xfId="0" applyAlignment="1" applyBorder="1" applyFill="1" applyFont="1">
      <alignment horizontal="center"/>
    </xf>
    <xf borderId="61" fillId="26" fontId="1" numFmtId="0" xfId="0" applyAlignment="1" applyBorder="1" applyFill="1" applyFont="1">
      <alignment horizontal="center"/>
    </xf>
    <xf borderId="103" fillId="27" fontId="1" numFmtId="0" xfId="0" applyAlignment="1" applyBorder="1" applyFill="1" applyFont="1">
      <alignment horizontal="center"/>
    </xf>
    <xf borderId="46" fillId="0" fontId="11" numFmtId="0" xfId="0" applyAlignment="1" applyBorder="1" applyFont="1">
      <alignment vertical="center"/>
    </xf>
    <xf borderId="32" fillId="5" fontId="128" numFmtId="2" xfId="0" applyAlignment="1" applyBorder="1" applyFill="1" applyFont="1" applyNumberFormat="1">
      <alignment horizontal="center" vertical="center"/>
    </xf>
    <xf borderId="0" fillId="0" fontId="11" numFmtId="15" xfId="0" applyAlignment="1" applyFont="1" applyNumberFormat="1">
      <alignment horizontal="center" vertical="center"/>
    </xf>
    <xf borderId="38" fillId="5" fontId="129" numFmtId="0" xfId="0" applyAlignment="1" applyBorder="1" applyFill="1" applyFont="1">
      <alignment horizontal="center" vertical="center"/>
    </xf>
    <xf borderId="12" fillId="0" fontId="103" numFmtId="0" xfId="0" applyAlignment="1" applyBorder="1" applyFont="1">
      <alignment vertical="center"/>
    </xf>
    <xf borderId="8" fillId="0" fontId="130" numFmtId="0" xfId="0" applyAlignment="1" applyBorder="1" applyFont="1">
      <alignment horizontal="center" shrinkToFit="0" vertical="center" wrapText="1"/>
    </xf>
    <xf borderId="10" fillId="0" fontId="130" numFmtId="0" xfId="0" applyAlignment="1" applyBorder="1" applyFont="1">
      <alignment horizontal="center" shrinkToFit="0" vertical="center" wrapText="1"/>
    </xf>
    <xf borderId="13" fillId="17" fontId="1" numFmtId="0" xfId="0" applyBorder="1" applyFill="1" applyFont="1"/>
    <xf borderId="11" fillId="0" fontId="130" numFmtId="0" xfId="0" applyAlignment="1" applyBorder="1" applyFont="1">
      <alignment horizontal="center" shrinkToFit="0" vertical="center" wrapText="1"/>
    </xf>
    <xf borderId="5" fillId="17" fontId="1" numFmtId="0" xfId="0" applyAlignment="1" applyBorder="1" applyFill="1" applyFont="1">
      <alignment horizontal="center"/>
    </xf>
    <xf borderId="55" fillId="0" fontId="71" numFmtId="0" xfId="0" applyAlignment="1" applyBorder="1" applyFont="1">
      <alignment horizontal="left" vertical="center"/>
    </xf>
    <xf borderId="5" fillId="17" fontId="1" numFmtId="0" xfId="0" applyAlignment="1" applyBorder="1" applyFill="1" applyFont="1">
      <alignment horizontal="right"/>
    </xf>
    <xf borderId="51" fillId="0" fontId="21" numFmtId="0" xfId="0" applyAlignment="1" applyBorder="1" applyFont="1">
      <alignment horizontal="center" vertical="center"/>
    </xf>
    <xf borderId="17" fillId="17" fontId="1" numFmtId="0" xfId="0" applyAlignment="1" applyBorder="1" applyFill="1" applyFont="1">
      <alignment horizontal="right"/>
    </xf>
    <xf borderId="18" fillId="17" fontId="1" numFmtId="0" xfId="0" applyAlignment="1" applyBorder="1" applyFill="1" applyFont="1">
      <alignment horizontal="left"/>
    </xf>
    <xf borderId="51" fillId="0" fontId="21" numFmtId="1" xfId="0" applyAlignment="1" applyBorder="1" applyFont="1" applyNumberFormat="1">
      <alignment horizontal="right" vertical="center"/>
    </xf>
    <xf borderId="20" fillId="0" fontId="21" numFmtId="1" xfId="0" applyAlignment="1" applyBorder="1" applyFont="1" applyNumberFormat="1">
      <alignment horizontal="right" vertical="center"/>
    </xf>
    <xf borderId="59" fillId="0" fontId="21" numFmtId="0" xfId="0" applyAlignment="1" applyBorder="1" applyFont="1">
      <alignment horizontal="left" vertical="center"/>
    </xf>
    <xf borderId="47" fillId="19" fontId="1" numFmtId="0" xfId="0" applyBorder="1" applyFill="1" applyFont="1"/>
    <xf borderId="27" fillId="19" fontId="1" numFmtId="0" xfId="0" applyAlignment="1" applyBorder="1" applyFill="1" applyFont="1">
      <alignment horizontal="center"/>
    </xf>
    <xf borderId="27" fillId="19" fontId="1" numFmtId="0" xfId="0" applyAlignment="1" applyBorder="1" applyFill="1" applyFont="1">
      <alignment horizontal="right"/>
    </xf>
    <xf borderId="50" fillId="19" fontId="1" numFmtId="0" xfId="0" applyAlignment="1" applyBorder="1" applyFill="1" applyFont="1">
      <alignment horizontal="right"/>
    </xf>
    <xf borderId="35" fillId="0" fontId="1" numFmtId="1" xfId="0" applyAlignment="1" applyBorder="1" applyFont="1" applyNumberFormat="1">
      <alignment horizontal="right" vertical="center"/>
    </xf>
    <xf borderId="53" fillId="19" fontId="1" numFmtId="0" xfId="0" applyAlignment="1" applyBorder="1" applyFill="1" applyFont="1">
      <alignment horizontal="left"/>
    </xf>
    <xf borderId="55" fillId="0" fontId="7" numFmtId="0" xfId="0" applyAlignment="1" applyBorder="1" applyFont="1">
      <alignment horizontal="left"/>
    </xf>
    <xf borderId="36" fillId="0" fontId="1" numFmtId="1" xfId="0" applyAlignment="1" applyBorder="1" applyFont="1" applyNumberFormat="1">
      <alignment horizontal="right" vertical="center"/>
    </xf>
    <xf borderId="48" fillId="0" fontId="88" numFmtId="0" xfId="0" applyAlignment="1" applyBorder="1" applyFont="1">
      <alignment shrinkToFit="0" vertical="center" wrapText="1"/>
    </xf>
    <xf borderId="12" fillId="0" fontId="43" numFmtId="0" xfId="0" applyAlignment="1" applyBorder="1" applyFont="1">
      <alignment horizontal="center" shrinkToFit="0" wrapText="1"/>
    </xf>
    <xf borderId="6" fillId="0" fontId="1" numFmtId="1" xfId="0" applyAlignment="1" applyBorder="1" applyFont="1" applyNumberFormat="1">
      <alignment horizontal="right" vertical="center"/>
    </xf>
    <xf borderId="7" fillId="0" fontId="1" numFmtId="1" xfId="0" applyAlignment="1" applyBorder="1" applyFont="1" applyNumberFormat="1">
      <alignment horizontal="right" vertical="center"/>
    </xf>
    <xf borderId="22" fillId="0" fontId="1" numFmtId="0" xfId="0" applyAlignment="1" applyBorder="1" applyFont="1">
      <alignment horizontal="center" shrinkToFit="0" vertical="center" wrapText="1"/>
    </xf>
    <xf borderId="22" fillId="0" fontId="1" numFmtId="1" xfId="0" applyAlignment="1" applyBorder="1" applyFont="1" applyNumberFormat="1">
      <alignment horizontal="right" shrinkToFit="0" vertical="center" wrapText="1"/>
    </xf>
    <xf borderId="25" fillId="0" fontId="1" numFmtId="1" xfId="0" applyAlignment="1" applyBorder="1" applyFont="1" applyNumberFormat="1">
      <alignment horizontal="right" shrinkToFit="0" vertical="center" wrapText="1"/>
    </xf>
    <xf borderId="19" fillId="0" fontId="21" numFmtId="0" xfId="0" applyAlignment="1" applyBorder="1" applyFont="1">
      <alignment horizontal="center" shrinkToFit="0" wrapText="1"/>
    </xf>
    <xf borderId="8" fillId="0" fontId="6" numFmtId="0" xfId="0" applyAlignment="1" applyBorder="1" applyFont="1">
      <alignment horizontal="center" readingOrder="0"/>
    </xf>
    <xf borderId="31" fillId="0" fontId="11" numFmtId="0" xfId="0" applyAlignment="1" applyBorder="1" applyFont="1">
      <alignment shrinkToFit="0" wrapText="1"/>
    </xf>
    <xf borderId="66" fillId="0" fontId="1" numFmtId="0" xfId="0" applyAlignment="1" applyBorder="1" applyFont="1">
      <alignment horizontal="left"/>
    </xf>
    <xf borderId="6" fillId="0" fontId="1" numFmtId="166" xfId="0" applyAlignment="1" applyBorder="1" applyFont="1" applyNumberFormat="1">
      <alignment horizontal="right" vertical="center"/>
    </xf>
    <xf borderId="7" fillId="0" fontId="1" numFmtId="166" xfId="0" applyAlignment="1" applyBorder="1" applyFont="1" applyNumberFormat="1">
      <alignment horizontal="right" vertical="center"/>
    </xf>
    <xf borderId="38" fillId="0" fontId="1" numFmtId="0" xfId="0" applyAlignment="1" applyBorder="1" applyFont="1">
      <alignment horizontal="left" vertical="center"/>
    </xf>
    <xf borderId="5" fillId="0" fontId="1" numFmtId="0" xfId="0" applyAlignment="1" applyBorder="1" applyFont="1">
      <alignment horizontal="center" vertical="center"/>
    </xf>
    <xf borderId="5" fillId="0" fontId="1" numFmtId="166" xfId="0" applyAlignment="1" applyBorder="1" applyFont="1" applyNumberFormat="1">
      <alignment horizontal="right" vertical="center"/>
    </xf>
    <xf borderId="17" fillId="0" fontId="1" numFmtId="166" xfId="0" applyAlignment="1" applyBorder="1" applyFont="1" applyNumberFormat="1">
      <alignment horizontal="right" vertical="center"/>
    </xf>
    <xf borderId="60" fillId="0" fontId="1" numFmtId="0" xfId="0" applyAlignment="1" applyBorder="1" applyFont="1">
      <alignment horizontal="left" vertical="center"/>
    </xf>
    <xf borderId="27" fillId="0" fontId="1" numFmtId="0" xfId="0" applyAlignment="1" applyBorder="1" applyFont="1">
      <alignment horizontal="center" vertical="center"/>
    </xf>
    <xf borderId="46" fillId="0" fontId="7" numFmtId="0" xfId="0" applyBorder="1" applyFont="1"/>
    <xf borderId="27" fillId="0" fontId="1" numFmtId="166" xfId="0" applyAlignment="1" applyBorder="1" applyFont="1" applyNumberFormat="1">
      <alignment horizontal="right" vertical="center"/>
    </xf>
    <xf borderId="50" fillId="0" fontId="1" numFmtId="166" xfId="0" applyAlignment="1" applyBorder="1" applyFont="1" applyNumberFormat="1">
      <alignment horizontal="right" vertical="center"/>
    </xf>
    <xf borderId="27" fillId="0" fontId="1" numFmtId="1" xfId="0" applyAlignment="1" applyBorder="1" applyFont="1" applyNumberFormat="1">
      <alignment horizontal="right" vertical="center"/>
    </xf>
    <xf borderId="26" fillId="4" fontId="21" numFmtId="0" xfId="0" applyBorder="1" applyFill="1" applyFont="1"/>
    <xf borderId="50" fillId="0" fontId="1" numFmtId="1" xfId="0" applyAlignment="1" applyBorder="1" applyFont="1" applyNumberFormat="1">
      <alignment horizontal="right" vertical="center"/>
    </xf>
    <xf borderId="51" fillId="0" fontId="21" numFmtId="0" xfId="0" applyBorder="1" applyFont="1"/>
    <xf borderId="51" fillId="0" fontId="1" numFmtId="0" xfId="0" applyAlignment="1" applyBorder="1" applyFont="1">
      <alignment horizontal="center" vertical="center"/>
    </xf>
    <xf borderId="51" fillId="0" fontId="21" numFmtId="0" xfId="0" applyAlignment="1" applyBorder="1" applyFont="1">
      <alignment horizontal="center"/>
    </xf>
    <xf borderId="60" fillId="0" fontId="21" numFmtId="0" xfId="0" applyBorder="1" applyFont="1"/>
    <xf borderId="51" fillId="0" fontId="1" numFmtId="166" xfId="0" applyAlignment="1" applyBorder="1" applyFont="1" applyNumberFormat="1">
      <alignment horizontal="right" vertical="center"/>
    </xf>
    <xf borderId="53" fillId="0" fontId="1" numFmtId="0" xfId="0" applyAlignment="1" applyBorder="1" applyFont="1">
      <alignment horizontal="left" vertical="center"/>
    </xf>
    <xf borderId="54" fillId="0" fontId="1" numFmtId="166" xfId="0" applyAlignment="1" applyBorder="1" applyFont="1" applyNumberFormat="1">
      <alignment horizontal="right" vertical="center"/>
    </xf>
    <xf borderId="22" fillId="0" fontId="1" numFmtId="0" xfId="0" applyAlignment="1" applyBorder="1" applyFont="1">
      <alignment horizontal="center" vertical="center"/>
    </xf>
    <xf borderId="22" fillId="0" fontId="1" numFmtId="1" xfId="0" applyAlignment="1" applyBorder="1" applyFont="1" applyNumberFormat="1">
      <alignment horizontal="right" vertical="center"/>
    </xf>
    <xf borderId="25" fillId="0" fontId="1" numFmtId="1" xfId="0" applyAlignment="1" applyBorder="1" applyFont="1" applyNumberFormat="1">
      <alignment horizontal="right" vertical="center"/>
    </xf>
    <xf borderId="27" fillId="0" fontId="1" numFmtId="2" xfId="0" applyAlignment="1" applyBorder="1" applyFont="1" applyNumberFormat="1">
      <alignment horizontal="right" vertical="center"/>
    </xf>
    <xf borderId="50" fillId="0" fontId="1" numFmtId="2" xfId="0" applyAlignment="1" applyBorder="1" applyFont="1" applyNumberFormat="1">
      <alignment horizontal="right" vertical="center"/>
    </xf>
    <xf borderId="4" fillId="23" fontId="1" numFmtId="0" xfId="0" applyBorder="1" applyFill="1" applyFont="1"/>
    <xf borderId="51" fillId="0" fontId="1" numFmtId="1" xfId="0" applyAlignment="1" applyBorder="1" applyFont="1" applyNumberFormat="1">
      <alignment horizontal="right" vertical="center"/>
    </xf>
    <xf borderId="54" fillId="0" fontId="1" numFmtId="1" xfId="0" applyAlignment="1" applyBorder="1" applyFont="1" applyNumberFormat="1">
      <alignment horizontal="right" vertical="center"/>
    </xf>
    <xf borderId="6" fillId="23" fontId="1" numFmtId="0" xfId="0" applyAlignment="1" applyBorder="1" applyFill="1" applyFont="1">
      <alignment horizontal="center"/>
    </xf>
    <xf borderId="6" fillId="23" fontId="1" numFmtId="2" xfId="0" applyAlignment="1" applyBorder="1" applyFill="1" applyFont="1" applyNumberFormat="1">
      <alignment horizontal="right"/>
    </xf>
    <xf borderId="7" fillId="23" fontId="1" numFmtId="2" xfId="0" applyAlignment="1" applyBorder="1" applyFill="1" applyFont="1" applyNumberFormat="1">
      <alignment horizontal="right"/>
    </xf>
    <xf borderId="5" fillId="0" fontId="1" numFmtId="1" xfId="0" applyAlignment="1" applyBorder="1" applyFont="1" applyNumberFormat="1">
      <alignment horizontal="right" vertical="center"/>
    </xf>
    <xf borderId="9" fillId="23" fontId="1" numFmtId="0" xfId="0" applyAlignment="1" applyBorder="1" applyFill="1" applyFont="1">
      <alignment horizontal="left" vertical="center"/>
    </xf>
    <xf borderId="13" fillId="0" fontId="85" numFmtId="0" xfId="0" applyBorder="1" applyFont="1"/>
    <xf borderId="6" fillId="0" fontId="1" numFmtId="167" xfId="0" applyAlignment="1" applyBorder="1" applyFont="1" applyNumberFormat="1">
      <alignment horizontal="center"/>
    </xf>
    <xf borderId="27" fillId="23" fontId="1" numFmtId="0" xfId="0" applyAlignment="1" applyBorder="1" applyFill="1" applyFont="1">
      <alignment horizontal="center"/>
    </xf>
    <xf borderId="27" fillId="23" fontId="1" numFmtId="2" xfId="0" applyAlignment="1" applyBorder="1" applyFill="1" applyFont="1" applyNumberFormat="1">
      <alignment horizontal="right"/>
    </xf>
    <xf borderId="50" fillId="23" fontId="1" numFmtId="2" xfId="0" applyAlignment="1" applyBorder="1" applyFill="1" applyFont="1" applyNumberFormat="1">
      <alignment horizontal="right"/>
    </xf>
    <xf borderId="53" fillId="23" fontId="1" numFmtId="0" xfId="0" applyAlignment="1" applyBorder="1" applyFill="1" applyFont="1">
      <alignment horizontal="left" vertical="center"/>
    </xf>
    <xf borderId="5" fillId="0" fontId="1" numFmtId="167" xfId="0" applyAlignment="1" applyBorder="1" applyFont="1" applyNumberFormat="1">
      <alignment horizontal="center"/>
    </xf>
    <xf borderId="20" fillId="0" fontId="1" numFmtId="1" xfId="0" applyAlignment="1" applyBorder="1" applyFont="1" applyNumberFormat="1">
      <alignment horizontal="right" vertical="center"/>
    </xf>
    <xf borderId="5" fillId="0" fontId="21" numFmtId="0" xfId="0" applyAlignment="1" applyBorder="1" applyFont="1">
      <alignment horizontal="center"/>
    </xf>
    <xf borderId="27" fillId="0" fontId="1" numFmtId="167" xfId="0" applyAlignment="1" applyBorder="1" applyFont="1" applyNumberFormat="1">
      <alignment horizontal="center"/>
    </xf>
    <xf borderId="17" fillId="0" fontId="1" numFmtId="1" xfId="0" applyAlignment="1" applyBorder="1" applyFont="1" applyNumberFormat="1">
      <alignment horizontal="right" vertical="center"/>
    </xf>
    <xf borderId="1" fillId="0" fontId="131" numFmtId="0" xfId="0" applyAlignment="1" applyBorder="1" applyFont="1">
      <alignment horizontal="center" shrinkToFit="0" vertical="center" wrapText="1"/>
    </xf>
    <xf borderId="8" fillId="0" fontId="95" numFmtId="0" xfId="0" applyAlignment="1" applyBorder="1" applyFont="1">
      <alignment horizontal="center"/>
    </xf>
    <xf borderId="16" fillId="0" fontId="7" numFmtId="0" xfId="0" applyAlignment="1" applyBorder="1" applyFont="1">
      <alignment horizontal="right"/>
    </xf>
    <xf borderId="29" fillId="0" fontId="13" numFmtId="0" xfId="0" applyAlignment="1" applyBorder="1" applyFont="1">
      <alignment horizontal="right"/>
    </xf>
    <xf borderId="9" fillId="0" fontId="7" numFmtId="0" xfId="0" applyAlignment="1" applyBorder="1" applyFont="1">
      <alignment horizontal="right"/>
    </xf>
    <xf borderId="18" fillId="0" fontId="7" numFmtId="0" xfId="0" applyAlignment="1" applyBorder="1" applyFont="1">
      <alignment horizontal="right"/>
    </xf>
    <xf borderId="7" fillId="0" fontId="13" numFmtId="0" xfId="0" applyAlignment="1" applyBorder="1" applyFont="1">
      <alignment horizontal="right"/>
    </xf>
    <xf borderId="8" fillId="0" fontId="11" numFmtId="0" xfId="0" applyAlignment="1" applyBorder="1" applyFont="1">
      <alignment horizontal="center" shrinkToFit="0" vertical="center" wrapText="1"/>
    </xf>
    <xf borderId="53" fillId="0" fontId="7" numFmtId="0" xfId="0" applyAlignment="1" applyBorder="1" applyFont="1">
      <alignment horizontal="right"/>
    </xf>
    <xf borderId="32" fillId="15" fontId="1" numFmtId="0" xfId="0" applyBorder="1" applyFill="1" applyFont="1"/>
    <xf borderId="17" fillId="0" fontId="13" numFmtId="0" xfId="0" applyAlignment="1" applyBorder="1" applyFont="1">
      <alignment horizontal="right"/>
    </xf>
    <xf borderId="35" fillId="15" fontId="1" numFmtId="0" xfId="0" applyAlignment="1" applyBorder="1" applyFill="1" applyFont="1">
      <alignment horizontal="center"/>
    </xf>
    <xf borderId="22" fillId="0" fontId="1" numFmtId="167" xfId="0" applyAlignment="1" applyBorder="1" applyFont="1" applyNumberFormat="1">
      <alignment horizontal="center"/>
    </xf>
    <xf borderId="35" fillId="15" fontId="1" numFmtId="0" xfId="0" applyAlignment="1" applyBorder="1" applyFill="1" applyFont="1">
      <alignment horizontal="right"/>
    </xf>
    <xf borderId="36" fillId="15" fontId="1" numFmtId="0" xfId="0" applyAlignment="1" applyBorder="1" applyFill="1" applyFont="1">
      <alignment horizontal="right"/>
    </xf>
    <xf borderId="38" fillId="15" fontId="1" numFmtId="0" xfId="0" applyAlignment="1" applyBorder="1" applyFill="1" applyFont="1">
      <alignment horizontal="left"/>
    </xf>
    <xf borderId="25" fillId="0" fontId="13" numFmtId="0" xfId="0" applyAlignment="1" applyBorder="1" applyFont="1">
      <alignment horizontal="right"/>
    </xf>
    <xf borderId="63" fillId="15" fontId="11" numFmtId="0" xfId="0" applyAlignment="1" applyBorder="1" applyFill="1" applyFont="1">
      <alignment horizontal="center" shrinkToFit="0" vertical="center" wrapText="1"/>
    </xf>
    <xf borderId="4" fillId="46" fontId="1" numFmtId="0" xfId="0" applyBorder="1" applyFill="1" applyFont="1"/>
    <xf borderId="6" fillId="46" fontId="1" numFmtId="0" xfId="0" applyAlignment="1" applyBorder="1" applyFill="1" applyFont="1">
      <alignment horizontal="center"/>
    </xf>
    <xf borderId="6" fillId="46" fontId="1" numFmtId="0" xfId="0" applyAlignment="1" applyBorder="1" applyFill="1" applyFont="1">
      <alignment horizontal="right"/>
    </xf>
    <xf borderId="20" fillId="0" fontId="13" numFmtId="0" xfId="0" applyAlignment="1" applyBorder="1" applyFont="1">
      <alignment horizontal="right"/>
    </xf>
    <xf borderId="6" fillId="46" fontId="1" numFmtId="0" xfId="0" applyAlignment="1" applyBorder="1" applyFill="1" applyFont="1">
      <alignment horizontal="left"/>
    </xf>
    <xf borderId="4" fillId="22" fontId="23" numFmtId="2" xfId="0" applyAlignment="1" applyBorder="1" applyFill="1" applyFont="1" applyNumberFormat="1">
      <alignment horizontal="center" vertical="center"/>
    </xf>
    <xf borderId="50" fillId="0" fontId="13" numFmtId="0" xfId="0" applyAlignment="1" applyBorder="1" applyFont="1">
      <alignment horizontal="right"/>
    </xf>
    <xf borderId="54" fillId="0" fontId="13" numFmtId="0" xfId="0" applyAlignment="1" applyBorder="1" applyFont="1">
      <alignment horizontal="right"/>
    </xf>
    <xf borderId="57" fillId="0" fontId="7" numFmtId="2" xfId="0" applyAlignment="1" applyBorder="1" applyFont="1" applyNumberFormat="1">
      <alignment horizontal="center"/>
    </xf>
    <xf borderId="12" fillId="0" fontId="11" numFmtId="0" xfId="0" applyBorder="1" applyFont="1"/>
    <xf borderId="12" fillId="0" fontId="12" numFmtId="0" xfId="0" applyAlignment="1" applyBorder="1" applyFont="1">
      <alignment horizontal="center"/>
    </xf>
    <xf borderId="1" fillId="0" fontId="11" numFmtId="0" xfId="0" applyBorder="1" applyFont="1"/>
    <xf borderId="6" fillId="0" fontId="69" numFmtId="0" xfId="0" applyAlignment="1" applyBorder="1" applyFont="1">
      <alignment horizontal="center"/>
    </xf>
    <xf borderId="6" fillId="0" fontId="69" numFmtId="0" xfId="0" applyAlignment="1" applyBorder="1" applyFont="1">
      <alignment horizontal="right"/>
    </xf>
    <xf borderId="7" fillId="0" fontId="69" numFmtId="0" xfId="0" applyAlignment="1" applyBorder="1" applyFont="1">
      <alignment horizontal="right"/>
    </xf>
    <xf borderId="9" fillId="0" fontId="69" numFmtId="0" xfId="0" applyBorder="1" applyFont="1"/>
    <xf borderId="47" fillId="0" fontId="69" numFmtId="0" xfId="0" applyBorder="1" applyFont="1"/>
    <xf borderId="27" fillId="0" fontId="69" numFmtId="0" xfId="0" applyAlignment="1" applyBorder="1" applyFont="1">
      <alignment horizontal="center"/>
    </xf>
    <xf borderId="27" fillId="0" fontId="69" numFmtId="0" xfId="0" applyAlignment="1" applyBorder="1" applyFont="1">
      <alignment horizontal="right"/>
    </xf>
    <xf borderId="50" fillId="0" fontId="69" numFmtId="0" xfId="0" applyAlignment="1" applyBorder="1" applyFont="1">
      <alignment horizontal="right"/>
    </xf>
    <xf borderId="53" fillId="0" fontId="69" numFmtId="0" xfId="0" applyBorder="1" applyFont="1"/>
    <xf borderId="52" fillId="0" fontId="69" numFmtId="0" xfId="0" applyBorder="1" applyFont="1"/>
    <xf borderId="51" fillId="0" fontId="69" numFmtId="0" xfId="0" applyAlignment="1" applyBorder="1" applyFont="1">
      <alignment horizontal="center"/>
    </xf>
    <xf borderId="20" fillId="0" fontId="69" numFmtId="0" xfId="0" applyAlignment="1" applyBorder="1" applyFont="1">
      <alignment horizontal="right"/>
    </xf>
    <xf borderId="60" fillId="0" fontId="69" numFmtId="0" xfId="0" applyBorder="1" applyFont="1"/>
    <xf borderId="3" fillId="0" fontId="69" numFmtId="0" xfId="0" applyAlignment="1" applyBorder="1" applyFont="1">
      <alignment horizontal="center" shrinkToFit="0" vertical="center" wrapText="1"/>
    </xf>
    <xf borderId="13" fillId="0" fontId="69" numFmtId="0" xfId="0" applyBorder="1" applyFont="1"/>
    <xf borderId="5" fillId="0" fontId="69" numFmtId="0" xfId="0" applyAlignment="1" applyBorder="1" applyFont="1">
      <alignment horizontal="center"/>
    </xf>
    <xf borderId="5" fillId="0" fontId="69" numFmtId="0" xfId="0" applyAlignment="1" applyBorder="1" applyFont="1">
      <alignment horizontal="right"/>
    </xf>
    <xf borderId="17" fillId="0" fontId="69" numFmtId="0" xfId="0" applyAlignment="1" applyBorder="1" applyFont="1">
      <alignment horizontal="right"/>
    </xf>
    <xf borderId="18" fillId="0" fontId="69" numFmtId="0" xfId="0" applyBorder="1" applyFont="1"/>
    <xf borderId="35" fillId="0" fontId="21" numFmtId="2" xfId="0" applyAlignment="1" applyBorder="1" applyFont="1" applyNumberFormat="1">
      <alignment horizontal="center"/>
    </xf>
    <xf borderId="12" fillId="0" fontId="1" numFmtId="0" xfId="0" applyAlignment="1" applyBorder="1" applyFont="1">
      <alignment shrinkToFit="0" vertical="center" wrapText="1"/>
    </xf>
    <xf borderId="3" fillId="0" fontId="11" numFmtId="0" xfId="0" applyAlignment="1" applyBorder="1" applyFont="1">
      <alignment horizontal="center" shrinkToFit="0" wrapText="1"/>
    </xf>
    <xf borderId="5" fillId="0" fontId="39" numFmtId="0" xfId="0" applyAlignment="1" applyBorder="1" applyFont="1">
      <alignment shrinkToFit="0" vertical="center" wrapText="1"/>
    </xf>
    <xf borderId="1" fillId="47" fontId="85" numFmtId="0" xfId="0" applyAlignment="1" applyBorder="1" applyFill="1" applyFont="1">
      <alignment horizontal="center" shrinkToFit="0" vertical="center" wrapText="1"/>
    </xf>
    <xf borderId="90" fillId="5" fontId="21" numFmtId="15" xfId="0" applyBorder="1" applyFill="1" applyFont="1" applyNumberFormat="1"/>
    <xf borderId="75" fillId="5" fontId="21" numFmtId="15" xfId="0" applyBorder="1" applyFill="1" applyFont="1" applyNumberFormat="1"/>
    <xf borderId="47" fillId="0" fontId="1" numFmtId="0" xfId="0" applyAlignment="1" applyBorder="1" applyFont="1">
      <alignment shrinkToFit="0" wrapText="1"/>
    </xf>
    <xf borderId="44" fillId="0" fontId="1" numFmtId="2" xfId="0" applyAlignment="1" applyBorder="1" applyFont="1" applyNumberFormat="1">
      <alignment horizontal="center"/>
    </xf>
    <xf borderId="8" fillId="0" fontId="11" numFmtId="0" xfId="0" applyBorder="1" applyFont="1"/>
    <xf borderId="29" fillId="0" fontId="7" numFmtId="0" xfId="0" applyAlignment="1" applyBorder="1" applyFont="1">
      <alignment horizontal="right"/>
    </xf>
    <xf borderId="130" fillId="46" fontId="11" numFmtId="0" xfId="0" applyAlignment="1" applyBorder="1" applyFill="1" applyFont="1">
      <alignment horizontal="center" shrinkToFit="0" vertical="center" wrapText="1"/>
    </xf>
    <xf borderId="33" fillId="0" fontId="1" numFmtId="0" xfId="0" applyAlignment="1" applyBorder="1" applyFont="1">
      <alignment horizontal="center" shrinkToFit="0" wrapText="1"/>
    </xf>
    <xf borderId="19" fillId="0" fontId="11" numFmtId="0" xfId="0" applyAlignment="1" applyBorder="1" applyFont="1">
      <alignment vertical="center"/>
    </xf>
    <xf borderId="13" fillId="46" fontId="1" numFmtId="0" xfId="0" applyBorder="1" applyFill="1" applyFont="1"/>
    <xf borderId="5" fillId="46" fontId="1" numFmtId="0" xfId="0" applyAlignment="1" applyBorder="1" applyFill="1" applyFont="1">
      <alignment horizontal="center"/>
    </xf>
    <xf borderId="36" fillId="0" fontId="7" numFmtId="0" xfId="0" applyAlignment="1" applyBorder="1" applyFont="1">
      <alignment horizontal="right"/>
    </xf>
    <xf borderId="11" fillId="0" fontId="11" numFmtId="0" xfId="0" applyAlignment="1" applyBorder="1" applyFont="1">
      <alignment horizontal="center" shrinkToFit="0" vertical="center" wrapText="1"/>
    </xf>
    <xf borderId="5" fillId="46" fontId="1" numFmtId="0" xfId="0" applyAlignment="1" applyBorder="1" applyFill="1" applyFont="1">
      <alignment horizontal="right"/>
    </xf>
    <xf borderId="5" fillId="46" fontId="1" numFmtId="0" xfId="0" applyAlignment="1" applyBorder="1" applyFill="1" applyFont="1">
      <alignment horizontal="left"/>
    </xf>
    <xf borderId="131" fillId="0" fontId="3" numFmtId="0" xfId="0" applyBorder="1" applyFont="1"/>
    <xf borderId="47" fillId="46" fontId="1" numFmtId="0" xfId="0" applyBorder="1" applyFill="1" applyFont="1"/>
    <xf borderId="27" fillId="46" fontId="1" numFmtId="0" xfId="0" applyAlignment="1" applyBorder="1" applyFill="1" applyFont="1">
      <alignment horizontal="center"/>
    </xf>
    <xf borderId="27" fillId="46" fontId="1" numFmtId="0" xfId="0" applyAlignment="1" applyBorder="1" applyFill="1" applyFont="1">
      <alignment horizontal="right"/>
    </xf>
    <xf borderId="27" fillId="46" fontId="1" numFmtId="0" xfId="0" applyAlignment="1" applyBorder="1" applyFill="1" applyFont="1">
      <alignment horizontal="left"/>
    </xf>
    <xf borderId="104" fillId="48" fontId="1" numFmtId="0" xfId="0" applyBorder="1" applyFill="1" applyFont="1"/>
    <xf borderId="105" fillId="48" fontId="1" numFmtId="0" xfId="0" applyAlignment="1" applyBorder="1" applyFill="1" applyFont="1">
      <alignment horizontal="center"/>
    </xf>
    <xf borderId="105" fillId="48" fontId="1" numFmtId="0" xfId="0" applyAlignment="1" applyBorder="1" applyFill="1" applyFont="1">
      <alignment horizontal="right"/>
    </xf>
    <xf borderId="132" fillId="48" fontId="1" numFmtId="0" xfId="0" applyAlignment="1" applyBorder="1" applyFill="1" applyFont="1">
      <alignment horizontal="right"/>
    </xf>
    <xf borderId="37" fillId="0" fontId="11" numFmtId="0" xfId="0" applyAlignment="1" applyBorder="1" applyFont="1">
      <alignment vertical="center"/>
    </xf>
    <xf borderId="25" fillId="0" fontId="7" numFmtId="0" xfId="0" applyAlignment="1" applyBorder="1" applyFont="1">
      <alignment horizontal="right"/>
    </xf>
    <xf borderId="41" fillId="48" fontId="1" numFmtId="0" xfId="0" applyAlignment="1" applyBorder="1" applyFill="1" applyFont="1">
      <alignment horizontal="left"/>
    </xf>
    <xf borderId="7" fillId="0" fontId="4" numFmtId="0" xfId="0" applyAlignment="1" applyBorder="1" applyFont="1">
      <alignment horizontal="right"/>
    </xf>
    <xf borderId="62" fillId="48" fontId="11" numFmtId="0" xfId="0" applyAlignment="1" applyBorder="1" applyFill="1" applyFont="1">
      <alignment horizontal="center" shrinkToFit="0" vertical="center" wrapText="1"/>
    </xf>
    <xf borderId="31" fillId="0" fontId="11" numFmtId="0" xfId="0" applyAlignment="1" applyBorder="1" applyFont="1">
      <alignment horizontal="center" shrinkToFit="0" wrapText="1"/>
    </xf>
    <xf borderId="32" fillId="48" fontId="1" numFmtId="0" xfId="0" applyBorder="1" applyFill="1" applyFont="1"/>
    <xf borderId="35" fillId="48" fontId="1" numFmtId="0" xfId="0" applyAlignment="1" applyBorder="1" applyFill="1" applyFont="1">
      <alignment horizontal="center"/>
    </xf>
    <xf borderId="35" fillId="48" fontId="1" numFmtId="0" xfId="0" applyAlignment="1" applyBorder="1" applyFill="1" applyFont="1">
      <alignment horizontal="right"/>
    </xf>
    <xf borderId="26" fillId="39" fontId="1" numFmtId="0" xfId="0" applyBorder="1" applyFill="1" applyFont="1"/>
    <xf borderId="22" fillId="0" fontId="4" numFmtId="0" xfId="0" applyAlignment="1" applyBorder="1" applyFont="1">
      <alignment horizontal="right"/>
    </xf>
    <xf borderId="25" fillId="0" fontId="4" numFmtId="0" xfId="0" applyAlignment="1" applyBorder="1" applyFont="1">
      <alignment horizontal="right"/>
    </xf>
    <xf borderId="36" fillId="48" fontId="1" numFmtId="0" xfId="0" applyAlignment="1" applyBorder="1" applyFill="1" applyFont="1">
      <alignment horizontal="right"/>
    </xf>
    <xf borderId="28" fillId="39" fontId="1" numFmtId="0" xfId="0" applyBorder="1" applyFill="1" applyFont="1"/>
    <xf borderId="38" fillId="48" fontId="1" numFmtId="0" xfId="0" applyAlignment="1" applyBorder="1" applyFill="1" applyFont="1">
      <alignment horizontal="left"/>
    </xf>
    <xf borderId="28" fillId="39" fontId="1" numFmtId="2" xfId="0" applyAlignment="1" applyBorder="1" applyFill="1" applyFont="1" applyNumberFormat="1">
      <alignment horizontal="center"/>
    </xf>
    <xf borderId="63" fillId="48" fontId="11" numFmtId="0" xfId="0" applyAlignment="1" applyBorder="1" applyFill="1" applyFont="1">
      <alignment horizontal="center" shrinkToFit="0" vertical="center" wrapText="1"/>
    </xf>
    <xf borderId="34" fillId="39" fontId="1" numFmtId="0" xfId="0" applyBorder="1" applyFill="1" applyFont="1"/>
    <xf borderId="39" fillId="48" fontId="1" numFmtId="0" xfId="0" applyBorder="1" applyFill="1" applyFont="1"/>
    <xf borderId="40" fillId="48" fontId="1" numFmtId="0" xfId="0" applyAlignment="1" applyBorder="1" applyFill="1" applyFont="1">
      <alignment horizontal="center"/>
    </xf>
    <xf borderId="13" fillId="49" fontId="1" numFmtId="0" xfId="0" applyBorder="1" applyFill="1" applyFont="1"/>
    <xf borderId="5" fillId="0" fontId="4" numFmtId="0" xfId="0" applyAlignment="1" applyBorder="1" applyFont="1">
      <alignment horizontal="right"/>
    </xf>
    <xf borderId="17" fillId="0" fontId="4" numFmtId="0" xfId="0" applyAlignment="1" applyBorder="1" applyFont="1">
      <alignment horizontal="right"/>
    </xf>
    <xf borderId="58" fillId="0" fontId="7" numFmtId="0" xfId="0" applyAlignment="1" applyBorder="1" applyFont="1">
      <alignment horizontal="right"/>
    </xf>
    <xf borderId="40" fillId="48" fontId="1" numFmtId="0" xfId="0" applyAlignment="1" applyBorder="1" applyFill="1" applyFont="1">
      <alignment horizontal="right"/>
    </xf>
    <xf borderId="5" fillId="49" fontId="1" numFmtId="0" xfId="0" applyBorder="1" applyFill="1" applyFont="1"/>
    <xf borderId="133" fillId="48" fontId="1" numFmtId="0" xfId="0" applyAlignment="1" applyBorder="1" applyFill="1" applyFont="1">
      <alignment horizontal="right"/>
    </xf>
    <xf borderId="5" fillId="49" fontId="1" numFmtId="2" xfId="0" applyAlignment="1" applyBorder="1" applyFill="1" applyFont="1" applyNumberFormat="1">
      <alignment horizontal="center"/>
    </xf>
    <xf borderId="18" fillId="49" fontId="1" numFmtId="0" xfId="0" applyBorder="1" applyFill="1" applyFont="1"/>
    <xf borderId="42" fillId="48" fontId="1" numFmtId="0" xfId="0" applyAlignment="1" applyBorder="1" applyFill="1" applyFont="1">
      <alignment horizontal="left"/>
    </xf>
    <xf borderId="71" fillId="48" fontId="11" numFmtId="0" xfId="0" applyAlignment="1" applyBorder="1" applyFill="1" applyFont="1">
      <alignment horizontal="center" shrinkToFit="0" vertical="center" wrapText="1"/>
    </xf>
    <xf borderId="86" fillId="48" fontId="1" numFmtId="0" xfId="0" applyBorder="1" applyFill="1" applyFont="1"/>
    <xf borderId="88" fillId="48" fontId="1" numFmtId="0" xfId="0" applyAlignment="1" applyBorder="1" applyFill="1" applyFont="1">
      <alignment horizontal="center"/>
    </xf>
    <xf borderId="88" fillId="48" fontId="1" numFmtId="0" xfId="0" applyAlignment="1" applyBorder="1" applyFill="1" applyFont="1">
      <alignment horizontal="right"/>
    </xf>
    <xf borderId="92" fillId="48" fontId="1" numFmtId="0" xfId="0" applyAlignment="1" applyBorder="1" applyFill="1" applyFont="1">
      <alignment horizontal="right"/>
    </xf>
    <xf borderId="87" fillId="48" fontId="1" numFmtId="0" xfId="0" applyAlignment="1" applyBorder="1" applyFill="1" applyFont="1">
      <alignment horizontal="left"/>
    </xf>
    <xf borderId="74" fillId="48" fontId="11" numFmtId="0" xfId="0" applyAlignment="1" applyBorder="1" applyFill="1" applyFont="1">
      <alignment horizontal="center" vertical="center"/>
    </xf>
    <xf borderId="4" fillId="39" fontId="1" numFmtId="0" xfId="0" applyBorder="1" applyFill="1" applyFont="1"/>
    <xf borderId="6" fillId="39" fontId="1" numFmtId="0" xfId="0" applyAlignment="1" applyBorder="1" applyFill="1" applyFont="1">
      <alignment horizontal="center"/>
    </xf>
    <xf borderId="27" fillId="0" fontId="4" numFmtId="0" xfId="0" applyAlignment="1" applyBorder="1" applyFont="1">
      <alignment horizontal="right"/>
    </xf>
    <xf borderId="12" fillId="3" fontId="6" numFmtId="0" xfId="0" applyAlignment="1" applyBorder="1" applyFill="1" applyFont="1">
      <alignment horizontal="center"/>
    </xf>
    <xf borderId="15" fillId="0" fontId="1" numFmtId="167" xfId="0" applyAlignment="1" applyBorder="1" applyFont="1" applyNumberFormat="1">
      <alignment horizontal="center"/>
    </xf>
    <xf borderId="6" fillId="39" fontId="1" numFmtId="0" xfId="0" applyAlignment="1" applyBorder="1" applyFill="1" applyFont="1">
      <alignment horizontal="right"/>
    </xf>
    <xf borderId="7" fillId="39" fontId="1" numFmtId="0" xfId="0" applyAlignment="1" applyBorder="1" applyFill="1" applyFont="1">
      <alignment horizontal="right"/>
    </xf>
    <xf borderId="50" fillId="0" fontId="4" numFmtId="0" xfId="0" applyAlignment="1" applyBorder="1" applyFont="1">
      <alignment horizontal="right"/>
    </xf>
    <xf borderId="9" fillId="39" fontId="1" numFmtId="0" xfId="0" applyAlignment="1" applyBorder="1" applyFill="1" applyFont="1">
      <alignment horizontal="left"/>
    </xf>
    <xf borderId="44" fillId="0" fontId="4" numFmtId="0" xfId="0" applyAlignment="1" applyBorder="1" applyFont="1">
      <alignment horizontal="right"/>
    </xf>
    <xf borderId="20" fillId="0" fontId="4" numFmtId="0" xfId="0" applyAlignment="1" applyBorder="1" applyFont="1">
      <alignment horizontal="right"/>
    </xf>
    <xf borderId="134" fillId="39" fontId="11" numFmtId="0" xfId="0" applyAlignment="1" applyBorder="1" applyFill="1" applyFont="1">
      <alignment horizontal="center" vertical="center"/>
    </xf>
    <xf borderId="51" fillId="0" fontId="1" numFmtId="167" xfId="0" applyAlignment="1" applyBorder="1" applyFont="1" applyNumberFormat="1">
      <alignment horizontal="center"/>
    </xf>
    <xf borderId="13" fillId="39" fontId="1" numFmtId="0" xfId="0" applyBorder="1" applyFill="1" applyFont="1"/>
    <xf borderId="8" fillId="0" fontId="23" numFmtId="2" xfId="0" applyAlignment="1" applyBorder="1" applyFont="1" applyNumberFormat="1">
      <alignment horizontal="center"/>
    </xf>
    <xf borderId="0" fillId="0" fontId="88" numFmtId="0" xfId="0" applyAlignment="1" applyFont="1">
      <alignment horizontal="center" shrinkToFit="0" wrapText="1"/>
    </xf>
    <xf borderId="44" fillId="0" fontId="1" numFmtId="167" xfId="0" applyAlignment="1" applyBorder="1" applyFont="1" applyNumberFormat="1">
      <alignment horizontal="center"/>
    </xf>
    <xf borderId="5" fillId="39" fontId="1" numFmtId="0" xfId="0" applyAlignment="1" applyBorder="1" applyFill="1" applyFont="1">
      <alignment horizontal="center"/>
    </xf>
    <xf borderId="15" fillId="0" fontId="4" numFmtId="0" xfId="0" applyAlignment="1" applyBorder="1" applyFont="1">
      <alignment horizontal="right"/>
    </xf>
    <xf borderId="5" fillId="39" fontId="1" numFmtId="0" xfId="0" applyAlignment="1" applyBorder="1" applyFill="1" applyFont="1">
      <alignment horizontal="right"/>
    </xf>
    <xf borderId="29" fillId="0" fontId="4" numFmtId="0" xfId="0" applyAlignment="1" applyBorder="1" applyFont="1">
      <alignment horizontal="right"/>
    </xf>
    <xf borderId="17" fillId="39" fontId="1" numFmtId="0" xfId="0" applyAlignment="1" applyBorder="1" applyFill="1" applyFont="1">
      <alignment horizontal="right"/>
    </xf>
    <xf borderId="0" fillId="0" fontId="50" numFmtId="0" xfId="0" applyAlignment="1" applyFont="1">
      <alignment horizontal="center" shrinkToFit="0" wrapText="1"/>
    </xf>
    <xf borderId="12" fillId="0" fontId="11" numFmtId="0" xfId="0" applyAlignment="1" applyBorder="1" applyFont="1">
      <alignment horizontal="center"/>
    </xf>
    <xf borderId="18" fillId="39" fontId="1" numFmtId="0" xfId="0" applyAlignment="1" applyBorder="1" applyFill="1" applyFont="1">
      <alignment horizontal="left"/>
    </xf>
    <xf borderId="4" fillId="0" fontId="4" numFmtId="2" xfId="0" applyBorder="1" applyFont="1" applyNumberFormat="1"/>
    <xf borderId="2" fillId="0" fontId="11" numFmtId="0" xfId="0" applyBorder="1" applyFont="1"/>
    <xf borderId="135" fillId="0" fontId="3" numFmtId="0" xfId="0" applyBorder="1" applyFont="1"/>
    <xf borderId="6" fillId="0" fontId="4" numFmtId="2" xfId="0" applyAlignment="1" applyBorder="1" applyFont="1" applyNumberFormat="1">
      <alignment horizontal="right"/>
    </xf>
    <xf borderId="7" fillId="0" fontId="4" numFmtId="2" xfId="0" applyAlignment="1" applyBorder="1" applyFont="1" applyNumberFormat="1">
      <alignment horizontal="right"/>
    </xf>
    <xf borderId="47" fillId="39" fontId="1" numFmtId="0" xfId="0" applyBorder="1" applyFill="1" applyFont="1"/>
    <xf borderId="5" fillId="0" fontId="4" numFmtId="2" xfId="0" applyAlignment="1" applyBorder="1" applyFont="1" applyNumberFormat="1">
      <alignment horizontal="right"/>
    </xf>
    <xf borderId="17" fillId="0" fontId="4" numFmtId="2" xfId="0" applyAlignment="1" applyBorder="1" applyFont="1" applyNumberFormat="1">
      <alignment horizontal="right"/>
    </xf>
    <xf borderId="27" fillId="39" fontId="1" numFmtId="0" xfId="0" applyAlignment="1" applyBorder="1" applyFill="1" applyFont="1">
      <alignment horizontal="center"/>
    </xf>
    <xf borderId="27" fillId="39" fontId="1" numFmtId="0" xfId="0" applyAlignment="1" applyBorder="1" applyFill="1" applyFont="1">
      <alignment horizontal="right"/>
    </xf>
    <xf borderId="47" fillId="0" fontId="4" numFmtId="2" xfId="0" applyBorder="1" applyFont="1" applyNumberFormat="1"/>
    <xf borderId="50" fillId="39" fontId="1" numFmtId="0" xfId="0" applyAlignment="1" applyBorder="1" applyFill="1" applyFont="1">
      <alignment horizontal="right"/>
    </xf>
    <xf borderId="50" fillId="0" fontId="4" numFmtId="2" xfId="0" applyAlignment="1" applyBorder="1" applyFont="1" applyNumberFormat="1">
      <alignment horizontal="right"/>
    </xf>
    <xf borderId="53" fillId="39" fontId="1" numFmtId="0" xfId="0" applyAlignment="1" applyBorder="1" applyFill="1" applyFont="1">
      <alignment horizontal="left"/>
    </xf>
    <xf borderId="136" fillId="0" fontId="3" numFmtId="0" xfId="0" applyBorder="1" applyFont="1"/>
    <xf borderId="66" fillId="0" fontId="4" numFmtId="2" xfId="0" applyBorder="1" applyFont="1" applyNumberFormat="1"/>
    <xf borderId="44" fillId="0" fontId="4" numFmtId="2" xfId="0" applyAlignment="1" applyBorder="1" applyFont="1" applyNumberFormat="1">
      <alignment horizontal="center"/>
    </xf>
    <xf borderId="44" fillId="0" fontId="4" numFmtId="2" xfId="0" applyAlignment="1" applyBorder="1" applyFont="1" applyNumberFormat="1">
      <alignment horizontal="right"/>
    </xf>
    <xf borderId="20" fillId="0" fontId="4" numFmtId="2" xfId="0" applyAlignment="1" applyBorder="1" applyFont="1" applyNumberFormat="1">
      <alignment horizontal="right"/>
    </xf>
    <xf borderId="7" fillId="0" fontId="4" numFmtId="0" xfId="0" applyBorder="1" applyFont="1"/>
    <xf borderId="19" fillId="0" fontId="50" numFmtId="2" xfId="0" applyAlignment="1" applyBorder="1" applyFont="1" applyNumberFormat="1">
      <alignment horizontal="center" shrinkToFit="0" vertical="center" wrapText="1"/>
    </xf>
    <xf borderId="17" fillId="0" fontId="4" numFmtId="0" xfId="0" applyBorder="1" applyFont="1"/>
    <xf borderId="0" fillId="0" fontId="1" numFmtId="15" xfId="0" applyAlignment="1" applyFont="1" applyNumberFormat="1">
      <alignment horizontal="right"/>
    </xf>
    <xf borderId="0" fillId="0" fontId="1" numFmtId="15" xfId="0" applyAlignment="1" applyFont="1" applyNumberFormat="1">
      <alignment horizontal="left"/>
    </xf>
    <xf borderId="0" fillId="0" fontId="11" numFmtId="15" xfId="0" applyFont="1" applyNumberFormat="1"/>
    <xf borderId="8" fillId="0" fontId="85" numFmtId="0" xfId="0" applyAlignment="1" applyBorder="1" applyFont="1">
      <alignment horizontal="center"/>
    </xf>
    <xf borderId="50" fillId="0" fontId="4" numFmtId="0" xfId="0" applyBorder="1" applyFont="1"/>
    <xf borderId="52" fillId="0" fontId="4" numFmtId="2" xfId="0" applyBorder="1" applyFont="1" applyNumberFormat="1"/>
    <xf borderId="7" fillId="0" fontId="1" numFmtId="0" xfId="0" applyAlignment="1" applyBorder="1" applyFont="1">
      <alignment horizontal="right" vertical="center"/>
    </xf>
    <xf borderId="8" fillId="0" fontId="88" numFmtId="0" xfId="0" applyAlignment="1" applyBorder="1" applyFont="1">
      <alignment horizontal="center" vertical="center"/>
    </xf>
    <xf borderId="2" fillId="0" fontId="1" numFmtId="0" xfId="0" applyAlignment="1" applyBorder="1" applyFont="1">
      <alignment horizontal="right"/>
    </xf>
    <xf borderId="2" fillId="0" fontId="1" numFmtId="0" xfId="0" applyAlignment="1" applyBorder="1" applyFont="1">
      <alignment horizontal="left"/>
    </xf>
    <xf borderId="51" fillId="0" fontId="4" numFmtId="2" xfId="0" applyAlignment="1" applyBorder="1" applyFont="1" applyNumberFormat="1">
      <alignment horizontal="right"/>
    </xf>
    <xf borderId="31" fillId="0" fontId="88" numFmtId="0" xfId="0" applyAlignment="1" applyBorder="1" applyFont="1">
      <alignment horizontal="center" vertical="center"/>
    </xf>
    <xf borderId="54" fillId="0" fontId="4" numFmtId="2" xfId="0" applyAlignment="1" applyBorder="1" applyFont="1" applyNumberFormat="1">
      <alignment horizontal="right"/>
    </xf>
    <xf borderId="31" fillId="0" fontId="88" numFmtId="0" xfId="0" applyAlignment="1" applyBorder="1" applyFont="1">
      <alignment shrinkToFit="0" wrapText="1"/>
    </xf>
    <xf borderId="1" fillId="0" fontId="88" numFmtId="0" xfId="0" applyAlignment="1" applyBorder="1" applyFont="1">
      <alignment horizontal="center" shrinkToFit="0" vertical="center" wrapText="1"/>
    </xf>
    <xf borderId="1" fillId="0" fontId="95" numFmtId="0" xfId="0" applyAlignment="1" applyBorder="1" applyFont="1">
      <alignment horizontal="center" shrinkToFit="0" vertical="center" wrapText="1"/>
    </xf>
    <xf borderId="45" fillId="0" fontId="7" numFmtId="0" xfId="0" applyBorder="1" applyFont="1"/>
    <xf borderId="48" fillId="0" fontId="7" numFmtId="0" xfId="0" applyBorder="1" applyFont="1"/>
    <xf borderId="8" fillId="0" fontId="88" numFmtId="0" xfId="0" applyAlignment="1" applyBorder="1" applyFont="1">
      <alignment horizontal="center" shrinkToFit="0" vertical="center" wrapText="1"/>
    </xf>
    <xf borderId="15" fillId="0" fontId="1" numFmtId="166" xfId="0" applyAlignment="1" applyBorder="1" applyFont="1" applyNumberFormat="1">
      <alignment horizontal="right"/>
    </xf>
    <xf borderId="29" fillId="0" fontId="1" numFmtId="166" xfId="0" applyAlignment="1" applyBorder="1" applyFont="1" applyNumberFormat="1">
      <alignment horizontal="right"/>
    </xf>
    <xf borderId="20" fillId="0" fontId="1" numFmtId="166" xfId="0" applyAlignment="1" applyBorder="1" applyFont="1" applyNumberFormat="1">
      <alignment horizontal="right"/>
    </xf>
    <xf borderId="31" fillId="0" fontId="39" numFmtId="0" xfId="0" applyAlignment="1" applyBorder="1" applyFont="1">
      <alignment shrinkToFit="0" vertical="center" wrapText="1"/>
    </xf>
    <xf borderId="0" fillId="0" fontId="21" numFmtId="0" xfId="0" applyAlignment="1" applyFont="1">
      <alignment horizontal="left" vertical="top"/>
    </xf>
    <xf borderId="0" fillId="0" fontId="21" numFmtId="15" xfId="0" applyAlignment="1" applyFont="1" applyNumberFormat="1">
      <alignment horizontal="center"/>
    </xf>
    <xf borderId="36" fillId="0" fontId="1" numFmtId="166" xfId="0" applyAlignment="1" applyBorder="1" applyFont="1" applyNumberFormat="1">
      <alignment horizontal="right"/>
    </xf>
    <xf borderId="45" fillId="0" fontId="39" numFmtId="0" xfId="0" applyAlignment="1" applyBorder="1" applyFont="1">
      <alignment shrinkToFit="0" vertical="center" wrapText="1"/>
    </xf>
    <xf borderId="18" fillId="0" fontId="7" numFmtId="0" xfId="0" applyAlignment="1" applyBorder="1" applyFont="1">
      <alignment horizontal="left" shrinkToFit="0" wrapText="1"/>
    </xf>
    <xf borderId="80" fillId="5" fontId="132" numFmtId="2" xfId="0" applyAlignment="1" applyBorder="1" applyFill="1" applyFont="1" applyNumberFormat="1">
      <alignment horizontal="center" vertical="center"/>
    </xf>
    <xf borderId="1" fillId="29" fontId="1" numFmtId="0" xfId="0" applyAlignment="1" applyBorder="1" applyFill="1" applyFont="1">
      <alignment horizontal="center" shrinkToFit="0" vertical="center" wrapText="1"/>
    </xf>
    <xf borderId="3" fillId="0" fontId="1" numFmtId="0" xfId="0" applyBorder="1" applyFont="1"/>
    <xf borderId="19" fillId="0" fontId="50" numFmtId="0" xfId="0" applyAlignment="1" applyBorder="1" applyFont="1">
      <alignment shrinkToFit="0" wrapText="1"/>
    </xf>
    <xf borderId="33" fillId="0" fontId="1" numFmtId="0" xfId="0" applyAlignment="1" applyBorder="1" applyFont="1">
      <alignment shrinkToFit="0" wrapText="1"/>
    </xf>
    <xf borderId="35" fillId="0" fontId="4" numFmtId="2" xfId="0" applyBorder="1" applyFont="1" applyNumberFormat="1"/>
    <xf borderId="0" fillId="0" fontId="1" numFmtId="0" xfId="0" applyAlignment="1" applyFont="1">
      <alignment shrinkToFit="0" vertical="center" wrapText="1"/>
    </xf>
    <xf borderId="19" fillId="0" fontId="50" numFmtId="0" xfId="0" applyAlignment="1" applyBorder="1" applyFont="1">
      <alignment horizontal="center" shrinkToFit="0" wrapText="1"/>
    </xf>
    <xf borderId="44" fillId="0" fontId="4" numFmtId="2" xfId="0" applyBorder="1" applyFont="1" applyNumberFormat="1"/>
    <xf borderId="44" fillId="0" fontId="7" numFmtId="167" xfId="0" applyAlignment="1" applyBorder="1" applyFont="1" applyNumberFormat="1">
      <alignment horizontal="center"/>
    </xf>
    <xf borderId="36" fillId="0" fontId="1" numFmtId="0" xfId="0" applyAlignment="1" applyBorder="1" applyFont="1">
      <alignment horizontal="right" readingOrder="0"/>
    </xf>
    <xf borderId="0" fillId="0" fontId="38" numFmtId="0" xfId="0" applyAlignment="1" applyFont="1">
      <alignment shrinkToFit="0" wrapText="1"/>
    </xf>
    <xf borderId="6" fillId="0" fontId="4" numFmtId="2" xfId="0" applyBorder="1" applyFont="1" applyNumberFormat="1"/>
    <xf borderId="6" fillId="0" fontId="7" numFmtId="167" xfId="0" applyAlignment="1" applyBorder="1" applyFont="1" applyNumberFormat="1">
      <alignment horizontal="center"/>
    </xf>
    <xf borderId="5" fillId="0" fontId="7" numFmtId="167" xfId="0" applyAlignment="1" applyBorder="1" applyFont="1" applyNumberFormat="1">
      <alignment horizontal="center"/>
    </xf>
    <xf borderId="6" fillId="6" fontId="13" numFmtId="0" xfId="0" applyAlignment="1" applyBorder="1" applyFill="1" applyFont="1">
      <alignment horizontal="center"/>
    </xf>
    <xf borderId="88" fillId="15" fontId="1" numFmtId="0" xfId="0" applyAlignment="1" applyBorder="1" applyFill="1" applyFont="1">
      <alignment horizontal="center"/>
    </xf>
    <xf borderId="7" fillId="6" fontId="7" numFmtId="0" xfId="0" applyAlignment="1" applyBorder="1" applyFill="1" applyFont="1">
      <alignment horizontal="right"/>
    </xf>
    <xf borderId="88" fillId="15" fontId="1" numFmtId="2" xfId="0" applyAlignment="1" applyBorder="1" applyFill="1" applyFont="1" applyNumberFormat="1">
      <alignment horizontal="right"/>
    </xf>
    <xf borderId="22" fillId="0" fontId="4" numFmtId="2" xfId="0" applyBorder="1" applyFont="1" applyNumberFormat="1"/>
    <xf borderId="92" fillId="15" fontId="1" numFmtId="2" xfId="0" applyAlignment="1" applyBorder="1" applyFill="1" applyFont="1" applyNumberFormat="1">
      <alignment horizontal="right"/>
    </xf>
    <xf borderId="0" fillId="0" fontId="21" numFmtId="0" xfId="0" applyAlignment="1" applyFont="1">
      <alignment shrinkToFit="0" wrapText="1"/>
    </xf>
    <xf borderId="22" fillId="0" fontId="7" numFmtId="167" xfId="0" applyAlignment="1" applyBorder="1" applyFont="1" applyNumberFormat="1">
      <alignment horizontal="center"/>
    </xf>
    <xf borderId="87" fillId="15" fontId="1" numFmtId="0" xfId="0" applyAlignment="1" applyBorder="1" applyFill="1" applyFont="1">
      <alignment horizontal="left"/>
    </xf>
    <xf borderId="39" fillId="6" fontId="7" numFmtId="0" xfId="0" applyBorder="1" applyFill="1" applyFont="1"/>
    <xf borderId="40" fillId="6" fontId="13" numFmtId="0" xfId="0" applyAlignment="1" applyBorder="1" applyFill="1" applyFont="1">
      <alignment horizontal="center"/>
    </xf>
    <xf borderId="27" fillId="0" fontId="7" numFmtId="167" xfId="0" applyAlignment="1" applyBorder="1" applyFont="1" applyNumberFormat="1">
      <alignment horizontal="center"/>
    </xf>
    <xf borderId="40" fillId="6" fontId="7" numFmtId="0" xfId="0" applyAlignment="1" applyBorder="1" applyFill="1" applyFont="1">
      <alignment horizontal="right"/>
    </xf>
    <xf borderId="4" fillId="44" fontId="1" numFmtId="0" xfId="0" applyBorder="1" applyFill="1" applyFont="1"/>
    <xf borderId="133" fillId="6" fontId="7" numFmtId="0" xfId="0" applyAlignment="1" applyBorder="1" applyFill="1" applyFont="1">
      <alignment horizontal="right"/>
    </xf>
    <xf borderId="51" fillId="0" fontId="4" numFmtId="2" xfId="0" applyBorder="1" applyFont="1" applyNumberFormat="1"/>
    <xf borderId="6" fillId="44" fontId="1" numFmtId="0" xfId="0" applyAlignment="1" applyBorder="1" applyFill="1" applyFont="1">
      <alignment horizontal="center"/>
    </xf>
    <xf borderId="6" fillId="44" fontId="1" numFmtId="2" xfId="0" applyAlignment="1" applyBorder="1" applyFill="1" applyFont="1" applyNumberFormat="1">
      <alignment horizontal="right"/>
    </xf>
    <xf borderId="7" fillId="44" fontId="1" numFmtId="2" xfId="0" applyAlignment="1" applyBorder="1" applyFill="1" applyFont="1" applyNumberFormat="1">
      <alignment horizontal="right"/>
    </xf>
    <xf borderId="9" fillId="44" fontId="1" numFmtId="0" xfId="0" applyAlignment="1" applyBorder="1" applyFill="1" applyFont="1">
      <alignment horizontal="left"/>
    </xf>
    <xf borderId="19" fillId="0" fontId="11" numFmtId="0" xfId="0" applyAlignment="1" applyBorder="1" applyFont="1">
      <alignment horizontal="center" shrinkToFit="0" textRotation="135" wrapText="1"/>
    </xf>
    <xf borderId="47" fillId="44" fontId="1" numFmtId="0" xfId="0" applyBorder="1" applyFill="1" applyFont="1"/>
    <xf borderId="42" fillId="6" fontId="7" numFmtId="0" xfId="0" applyBorder="1" applyFill="1" applyFont="1"/>
    <xf borderId="51" fillId="0" fontId="7" numFmtId="167" xfId="0" applyAlignment="1" applyBorder="1" applyFont="1" applyNumberFormat="1">
      <alignment horizontal="center"/>
    </xf>
    <xf borderId="27" fillId="44" fontId="1" numFmtId="0" xfId="0" applyAlignment="1" applyBorder="1" applyFill="1" applyFont="1">
      <alignment horizontal="center"/>
    </xf>
    <xf borderId="27" fillId="6" fontId="13" numFmtId="0" xfId="0" applyAlignment="1" applyBorder="1" applyFill="1" applyFont="1">
      <alignment horizontal="center"/>
    </xf>
    <xf borderId="27" fillId="44" fontId="1" numFmtId="2" xfId="0" applyAlignment="1" applyBorder="1" applyFill="1" applyFont="1" applyNumberFormat="1">
      <alignment horizontal="right"/>
    </xf>
    <xf borderId="50" fillId="44" fontId="1" numFmtId="2" xfId="0" applyAlignment="1" applyBorder="1" applyFill="1" applyFont="1" applyNumberFormat="1">
      <alignment horizontal="right"/>
    </xf>
    <xf borderId="53" fillId="44" fontId="1" numFmtId="0" xfId="0" applyAlignment="1" applyBorder="1" applyFill="1" applyFont="1">
      <alignment horizontal="left"/>
    </xf>
    <xf borderId="50" fillId="6" fontId="7" numFmtId="0" xfId="0" applyAlignment="1" applyBorder="1" applyFill="1" applyFont="1">
      <alignment horizontal="right"/>
    </xf>
    <xf borderId="44" fillId="0" fontId="1" numFmtId="2" xfId="0" applyAlignment="1" applyBorder="1" applyFont="1" applyNumberFormat="1">
      <alignment horizontal="right"/>
    </xf>
    <xf borderId="20" fillId="0" fontId="1" numFmtId="2" xfId="0" applyAlignment="1" applyBorder="1" applyFont="1" applyNumberFormat="1">
      <alignment horizontal="right"/>
    </xf>
    <xf borderId="48" fillId="0" fontId="11" numFmtId="0" xfId="0" applyAlignment="1" applyBorder="1" applyFont="1">
      <alignment horizontal="center" shrinkToFit="0" vertical="center" wrapText="1"/>
    </xf>
    <xf borderId="35" fillId="0" fontId="7" numFmtId="167" xfId="0" applyAlignment="1" applyBorder="1" applyFont="1" applyNumberFormat="1">
      <alignment horizontal="center"/>
    </xf>
    <xf borderId="12" fillId="0" fontId="4" numFmtId="0" xfId="0" applyBorder="1" applyFont="1"/>
    <xf borderId="74" fillId="5" fontId="71" numFmtId="0" xfId="0" applyBorder="1" applyFill="1" applyFont="1"/>
    <xf borderId="89" fillId="5" fontId="71" numFmtId="164" xfId="0" applyAlignment="1" applyBorder="1" applyFill="1" applyFont="1" applyNumberFormat="1">
      <alignment horizontal="center"/>
    </xf>
    <xf borderId="66" fillId="0" fontId="127" numFmtId="0" xfId="0" applyAlignment="1" applyBorder="1" applyFont="1">
      <alignment horizontal="left"/>
    </xf>
    <xf borderId="44" fillId="0" fontId="93" numFmtId="0" xfId="0" applyAlignment="1" applyBorder="1" applyFont="1">
      <alignment horizontal="center"/>
    </xf>
    <xf borderId="44" fillId="0" fontId="7" numFmtId="0" xfId="0" applyAlignment="1" applyBorder="1" applyFont="1">
      <alignment horizontal="right" readingOrder="0"/>
    </xf>
    <xf borderId="68" fillId="0" fontId="127" numFmtId="0" xfId="0" applyBorder="1" applyFont="1"/>
    <xf borderId="1" fillId="5" fontId="7" numFmtId="0" xfId="0" applyAlignment="1" applyBorder="1" applyFill="1" applyFont="1">
      <alignment horizontal="center" shrinkToFit="0" wrapText="1"/>
    </xf>
    <xf borderId="26" fillId="17" fontId="4" numFmtId="0" xfId="0" applyBorder="1" applyFill="1" applyFont="1"/>
    <xf borderId="28" fillId="17" fontId="4" numFmtId="2" xfId="0" applyAlignment="1" applyBorder="1" applyFill="1" applyFont="1" applyNumberFormat="1">
      <alignment horizontal="center"/>
    </xf>
    <xf borderId="28" fillId="17" fontId="4" numFmtId="2" xfId="0" applyAlignment="1" applyBorder="1" applyFill="1" applyFont="1" applyNumberFormat="1">
      <alignment horizontal="right"/>
    </xf>
    <xf borderId="96" fillId="17" fontId="4" numFmtId="2" xfId="0" applyAlignment="1" applyBorder="1" applyFill="1" applyFont="1" applyNumberFormat="1">
      <alignment horizontal="right"/>
    </xf>
    <xf borderId="34" fillId="17" fontId="4" numFmtId="0" xfId="0" applyBorder="1" applyFill="1" applyFont="1"/>
    <xf borderId="68" fillId="0" fontId="1" numFmtId="0" xfId="0" applyAlignment="1" applyBorder="1" applyFont="1">
      <alignment horizontal="center"/>
    </xf>
    <xf borderId="36" fillId="0" fontId="4" numFmtId="2" xfId="0" applyAlignment="1" applyBorder="1" applyFont="1" applyNumberFormat="1">
      <alignment horizontal="right"/>
    </xf>
    <xf borderId="36" fillId="0" fontId="1" numFmtId="166" xfId="0" applyAlignment="1" applyBorder="1" applyFont="1" applyNumberFormat="1">
      <alignment horizontal="center"/>
    </xf>
    <xf borderId="8" fillId="0" fontId="1" numFmtId="0" xfId="0" applyBorder="1" applyFont="1"/>
    <xf borderId="28" fillId="5" fontId="21" numFmtId="0" xfId="0" applyBorder="1" applyFill="1" applyFont="1"/>
    <xf borderId="28" fillId="5" fontId="21" numFmtId="165" xfId="0" applyAlignment="1" applyBorder="1" applyFill="1" applyFont="1" applyNumberFormat="1">
      <alignment horizontal="center"/>
    </xf>
    <xf borderId="5" fillId="5" fontId="21" numFmtId="165" xfId="0" applyAlignment="1" applyBorder="1" applyFill="1" applyFont="1" applyNumberFormat="1">
      <alignment horizontal="center"/>
    </xf>
    <xf borderId="5" fillId="5" fontId="133" numFmtId="2" xfId="0" applyAlignment="1" applyBorder="1" applyFill="1" applyFont="1" applyNumberFormat="1">
      <alignment horizontal="center" vertical="center"/>
    </xf>
    <xf borderId="89" fillId="5" fontId="1" numFmtId="164" xfId="0" applyAlignment="1" applyBorder="1" applyFill="1" applyFont="1" applyNumberFormat="1">
      <alignment horizontal="center"/>
    </xf>
    <xf borderId="0" fillId="5" fontId="1" numFmtId="164" xfId="0" applyAlignment="1" applyFill="1" applyFont="1" applyNumberFormat="1">
      <alignment horizontal="center"/>
    </xf>
    <xf borderId="8" fillId="11" fontId="1" numFmtId="0" xfId="0" applyAlignment="1" applyBorder="1" applyFill="1" applyFont="1">
      <alignment horizontal="center"/>
    </xf>
    <xf borderId="13" fillId="0" fontId="4" numFmtId="0" xfId="0" applyAlignment="1" applyBorder="1" applyFont="1">
      <alignment vertical="center"/>
    </xf>
    <xf borderId="122" fillId="7" fontId="21" numFmtId="0" xfId="0" applyAlignment="1" applyBorder="1" applyFill="1" applyFont="1">
      <alignment horizontal="center"/>
    </xf>
    <xf borderId="17" fillId="0" fontId="7" numFmtId="0" xfId="0" applyAlignment="1" applyBorder="1" applyFont="1">
      <alignment horizontal="right" vertical="center"/>
    </xf>
    <xf borderId="137" fillId="0" fontId="3" numFmtId="0" xfId="0" applyBorder="1" applyFont="1"/>
    <xf borderId="18" fillId="0" fontId="4" numFmtId="0" xfId="0" applyAlignment="1" applyBorder="1" applyFont="1">
      <alignment vertical="center"/>
    </xf>
    <xf borderId="15" fillId="0" fontId="13" numFmtId="0" xfId="0" applyAlignment="1" applyBorder="1" applyFont="1">
      <alignment horizontal="center" readingOrder="0"/>
    </xf>
    <xf borderId="28" fillId="44" fontId="1" numFmtId="2" xfId="0" applyAlignment="1" applyBorder="1" applyFill="1" applyFont="1" applyNumberFormat="1">
      <alignment horizontal="right"/>
    </xf>
    <xf borderId="96" fillId="44" fontId="1" numFmtId="2" xfId="0" applyAlignment="1" applyBorder="1" applyFill="1" applyFont="1" applyNumberFormat="1">
      <alignment horizontal="right"/>
    </xf>
    <xf borderId="5" fillId="15" fontId="1" numFmtId="2" xfId="0" applyAlignment="1" applyBorder="1" applyFill="1" applyFont="1" applyNumberFormat="1">
      <alignment horizontal="right"/>
    </xf>
    <xf borderId="17" fillId="15" fontId="1" numFmtId="2" xfId="0" applyAlignment="1" applyBorder="1" applyFill="1" applyFont="1" applyNumberFormat="1">
      <alignment horizontal="right"/>
    </xf>
    <xf borderId="66" fillId="0" fontId="134" numFmtId="0" xfId="0" applyAlignment="1" applyBorder="1" applyFont="1">
      <alignment horizontal="left"/>
    </xf>
    <xf borderId="44" fillId="0" fontId="135" numFmtId="0" xfId="0" applyAlignment="1" applyBorder="1" applyFont="1">
      <alignment horizontal="center"/>
    </xf>
    <xf borderId="58" fillId="0" fontId="1" numFmtId="2" xfId="0" applyAlignment="1" applyBorder="1" applyFont="1" applyNumberFormat="1">
      <alignment horizontal="right"/>
    </xf>
    <xf borderId="44" fillId="0" fontId="135" numFmtId="0" xfId="0" applyAlignment="1" applyBorder="1" applyFont="1">
      <alignment horizontal="right" readingOrder="0"/>
    </xf>
    <xf borderId="20" fillId="0" fontId="135" numFmtId="0" xfId="0" applyAlignment="1" applyBorder="1" applyFont="1">
      <alignment horizontal="right"/>
    </xf>
    <xf borderId="68" fillId="0" fontId="134" numFmtId="0" xfId="0" applyBorder="1" applyFont="1"/>
    <xf borderId="13" fillId="0" fontId="43" numFmtId="0" xfId="0" applyAlignment="1" applyBorder="1" applyFont="1">
      <alignment vertical="center"/>
    </xf>
    <xf borderId="5" fillId="0" fontId="39" numFmtId="0" xfId="0" applyAlignment="1" applyBorder="1" applyFont="1">
      <alignment horizontal="center" shrinkToFit="0" vertical="center" wrapText="1"/>
    </xf>
    <xf borderId="57" fillId="0" fontId="4" numFmtId="2" xfId="0" applyAlignment="1" applyBorder="1" applyFont="1" applyNumberFormat="1">
      <alignment horizontal="center"/>
    </xf>
    <xf borderId="80" fillId="5" fontId="136" numFmtId="2" xfId="0" applyAlignment="1" applyBorder="1" applyFill="1" applyFont="1" applyNumberFormat="1">
      <alignment horizontal="center" vertical="center"/>
    </xf>
    <xf borderId="57" fillId="0" fontId="4" numFmtId="2" xfId="0" applyAlignment="1" applyBorder="1" applyFont="1" applyNumberFormat="1">
      <alignment horizontal="right"/>
    </xf>
    <xf borderId="46" fillId="0" fontId="11" numFmtId="0" xfId="0" applyAlignment="1" applyBorder="1" applyFont="1">
      <alignment horizontal="center" vertical="center"/>
    </xf>
    <xf borderId="58" fillId="0" fontId="4" numFmtId="2" xfId="0" applyAlignment="1" applyBorder="1" applyFont="1" applyNumberFormat="1">
      <alignment horizontal="right"/>
    </xf>
    <xf borderId="52" fillId="0" fontId="3" numFmtId="0" xfId="0" applyBorder="1" applyFont="1"/>
    <xf borderId="0" fillId="0" fontId="21" numFmtId="0" xfId="0" applyAlignment="1" applyFont="1">
      <alignment horizontal="left"/>
    </xf>
    <xf borderId="44" fillId="0" fontId="1" numFmtId="1" xfId="0" applyAlignment="1" applyBorder="1" applyFont="1" applyNumberFormat="1">
      <alignment horizontal="center"/>
    </xf>
    <xf borderId="20" fillId="0" fontId="1" numFmtId="1" xfId="0" applyAlignment="1" applyBorder="1" applyFont="1" applyNumberFormat="1">
      <alignment horizontal="center"/>
    </xf>
    <xf borderId="51" fillId="0" fontId="1" numFmtId="166" xfId="0" applyAlignment="1" applyBorder="1" applyFont="1" applyNumberFormat="1">
      <alignment horizontal="right"/>
    </xf>
    <xf borderId="54" fillId="0" fontId="1" numFmtId="166" xfId="0" applyAlignment="1" applyBorder="1" applyFont="1" applyNumberFormat="1">
      <alignment horizontal="right"/>
    </xf>
    <xf borderId="1" fillId="5" fontId="1" numFmtId="0" xfId="0" applyAlignment="1" applyBorder="1" applyFill="1" applyFont="1">
      <alignment horizontal="center" shrinkToFit="0" vertical="center" wrapText="1"/>
    </xf>
    <xf borderId="0" fillId="5" fontId="1" numFmtId="0" xfId="0" applyAlignment="1" applyFill="1" applyFont="1">
      <alignment horizontal="center" shrinkToFit="0" vertical="center" wrapText="1"/>
    </xf>
    <xf borderId="75" fillId="8" fontId="21" numFmtId="0" xfId="0" applyAlignment="1" applyBorder="1" applyFill="1" applyFont="1">
      <alignment horizontal="center" shrinkToFit="0" vertical="center" wrapText="1"/>
    </xf>
    <xf borderId="15" fillId="0" fontId="1" numFmtId="1" xfId="0" applyAlignment="1" applyBorder="1" applyFont="1" applyNumberFormat="1">
      <alignment horizontal="right"/>
    </xf>
    <xf borderId="29" fillId="0" fontId="1" numFmtId="1" xfId="0" applyAlignment="1" applyBorder="1" applyFont="1" applyNumberFormat="1">
      <alignment horizontal="right"/>
    </xf>
    <xf borderId="66" fillId="0" fontId="43" numFmtId="0" xfId="0" applyBorder="1" applyFont="1"/>
    <xf borderId="19" fillId="0" fontId="7" numFmtId="0" xfId="0" applyAlignment="1" applyBorder="1" applyFont="1">
      <alignment shrinkToFit="0" wrapText="1"/>
    </xf>
    <xf borderId="66" fillId="0" fontId="11" numFmtId="0" xfId="0" applyAlignment="1" applyBorder="1" applyFont="1">
      <alignment shrinkToFit="0" vertical="center" wrapText="1"/>
    </xf>
    <xf borderId="6" fillId="0" fontId="4" numFmtId="166" xfId="0" applyAlignment="1" applyBorder="1" applyFont="1" applyNumberFormat="1">
      <alignment horizontal="right"/>
    </xf>
    <xf borderId="7" fillId="0" fontId="4" numFmtId="166" xfId="0" applyAlignment="1" applyBorder="1" applyFont="1" applyNumberFormat="1">
      <alignment horizontal="right"/>
    </xf>
    <xf borderId="19" fillId="0" fontId="38" numFmtId="0" xfId="0" applyAlignment="1" applyBorder="1" applyFont="1">
      <alignment horizontal="center" shrinkToFit="0" wrapText="1"/>
    </xf>
    <xf borderId="0" fillId="0" fontId="39" numFmtId="0" xfId="0" applyAlignment="1" applyFont="1">
      <alignment shrinkToFit="0" wrapText="1"/>
    </xf>
    <xf borderId="23" fillId="0" fontId="7" numFmtId="0" xfId="0" applyAlignment="1" applyBorder="1" applyFont="1">
      <alignment shrinkToFit="0" wrapText="1"/>
    </xf>
    <xf borderId="0" fillId="0" fontId="43" numFmtId="0" xfId="0" applyFont="1"/>
    <xf borderId="2" fillId="0" fontId="6" numFmtId="0" xfId="0" applyAlignment="1" applyBorder="1" applyFont="1">
      <alignment horizontal="center"/>
    </xf>
    <xf borderId="3" fillId="0" fontId="6" numFmtId="0" xfId="0" applyAlignment="1" applyBorder="1" applyFont="1">
      <alignment horizontal="center"/>
    </xf>
    <xf borderId="1" fillId="29" fontId="1" numFmtId="0" xfId="0" applyAlignment="1" applyBorder="1" applyFill="1" applyFont="1">
      <alignment horizontal="center" shrinkToFit="0" wrapText="1"/>
    </xf>
    <xf borderId="5" fillId="0" fontId="17" numFmtId="2" xfId="0" applyBorder="1" applyFont="1" applyNumberFormat="1"/>
    <xf borderId="61" fillId="5" fontId="23" numFmtId="2" xfId="0" applyAlignment="1" applyBorder="1" applyFill="1" applyFont="1" applyNumberFormat="1">
      <alignment horizontal="center" vertical="center"/>
    </xf>
    <xf borderId="61" fillId="5" fontId="23" numFmtId="0" xfId="0" applyAlignment="1" applyBorder="1" applyFill="1" applyFont="1">
      <alignment horizontal="center" vertical="center"/>
    </xf>
    <xf borderId="44" fillId="0" fontId="1" numFmtId="1" xfId="0" applyAlignment="1" applyBorder="1" applyFont="1" applyNumberFormat="1">
      <alignment horizontal="right"/>
    </xf>
    <xf borderId="20" fillId="0" fontId="1" numFmtId="1" xfId="0" applyAlignment="1" applyBorder="1" applyFont="1" applyNumberFormat="1">
      <alignment horizontal="right"/>
    </xf>
    <xf borderId="1" fillId="0" fontId="39" numFmtId="0" xfId="0" applyAlignment="1" applyBorder="1" applyFont="1">
      <alignment horizontal="center" vertical="center"/>
    </xf>
    <xf borderId="1" fillId="0" fontId="85" numFmtId="0" xfId="0" applyAlignment="1" applyBorder="1" applyFont="1">
      <alignment horizontal="center" shrinkToFit="0" vertical="center" wrapText="1"/>
    </xf>
    <xf borderId="0" fillId="0" fontId="85" numFmtId="0" xfId="0" applyAlignment="1" applyFont="1">
      <alignment vertical="center"/>
    </xf>
    <xf borderId="1" fillId="44" fontId="1" numFmtId="0" xfId="0" applyAlignment="1" applyBorder="1" applyFill="1" applyFont="1">
      <alignment horizontal="center" shrinkToFit="0" wrapText="1"/>
    </xf>
    <xf borderId="4" fillId="20" fontId="1" numFmtId="0" xfId="0" applyBorder="1" applyFill="1" applyFont="1"/>
    <xf borderId="6" fillId="20" fontId="1" numFmtId="0" xfId="0" applyAlignment="1" applyBorder="1" applyFill="1" applyFont="1">
      <alignment horizontal="center"/>
    </xf>
    <xf borderId="6" fillId="20" fontId="1" numFmtId="0" xfId="0" applyAlignment="1" applyBorder="1" applyFill="1" applyFont="1">
      <alignment horizontal="right"/>
    </xf>
    <xf borderId="7" fillId="20" fontId="1" numFmtId="0" xfId="0" applyAlignment="1" applyBorder="1" applyFill="1" applyFont="1">
      <alignment horizontal="right"/>
    </xf>
    <xf borderId="9" fillId="20" fontId="1" numFmtId="0" xfId="0" applyAlignment="1" applyBorder="1" applyFill="1" applyFont="1">
      <alignment horizontal="left"/>
    </xf>
    <xf borderId="47" fillId="8" fontId="1" numFmtId="0" xfId="0" applyBorder="1" applyFill="1" applyFont="1"/>
    <xf borderId="27" fillId="8" fontId="1" numFmtId="0" xfId="0" applyAlignment="1" applyBorder="1" applyFill="1" applyFont="1">
      <alignment horizontal="center"/>
    </xf>
    <xf borderId="27" fillId="8" fontId="1" numFmtId="0" xfId="0" applyAlignment="1" applyBorder="1" applyFill="1" applyFont="1">
      <alignment horizontal="right"/>
    </xf>
    <xf borderId="50" fillId="8" fontId="1" numFmtId="0" xfId="0" applyAlignment="1" applyBorder="1" applyFill="1" applyFont="1">
      <alignment horizontal="right"/>
    </xf>
    <xf borderId="53" fillId="8" fontId="1" numFmtId="0" xfId="0" applyAlignment="1" applyBorder="1" applyFill="1" applyFont="1">
      <alignment horizontal="left"/>
    </xf>
    <xf borderId="51" fillId="0" fontId="137" numFmtId="0" xfId="0" applyAlignment="1" applyBorder="1" applyFont="1">
      <alignment horizontal="right" readingOrder="0"/>
    </xf>
    <xf borderId="54" fillId="0" fontId="137" numFmtId="0" xfId="0" applyAlignment="1" applyBorder="1" applyFont="1">
      <alignment horizontal="right"/>
    </xf>
    <xf borderId="60" fillId="0" fontId="69" numFmtId="0" xfId="0" applyAlignment="1" applyBorder="1" applyFont="1">
      <alignment horizontal="left"/>
    </xf>
    <xf borderId="4" fillId="0" fontId="138" numFmtId="0" xfId="0" applyBorder="1" applyFont="1"/>
    <xf borderId="6" fillId="0" fontId="137" numFmtId="0" xfId="0" applyAlignment="1" applyBorder="1" applyFont="1">
      <alignment horizontal="right"/>
    </xf>
    <xf borderId="7" fillId="0" fontId="137" numFmtId="0" xfId="0" applyAlignment="1" applyBorder="1" applyFont="1">
      <alignment horizontal="right"/>
    </xf>
    <xf borderId="12" fillId="5" fontId="1" numFmtId="164" xfId="0" applyAlignment="1" applyBorder="1" applyFill="1" applyFont="1" applyNumberFormat="1">
      <alignment horizontal="center"/>
    </xf>
    <xf borderId="5" fillId="0" fontId="137" numFmtId="0" xfId="0" applyAlignment="1" applyBorder="1" applyFont="1">
      <alignment horizontal="right"/>
    </xf>
    <xf borderId="17" fillId="0" fontId="137" numFmtId="0" xfId="0" applyAlignment="1" applyBorder="1" applyFont="1">
      <alignment horizontal="right"/>
    </xf>
    <xf borderId="18" fillId="0" fontId="69" numFmtId="0" xfId="0" applyAlignment="1" applyBorder="1" applyFont="1">
      <alignment horizontal="left"/>
    </xf>
    <xf borderId="21" fillId="0" fontId="69" numFmtId="0" xfId="0" applyBorder="1" applyFont="1"/>
    <xf borderId="25" fillId="0" fontId="137" numFmtId="0" xfId="0" applyAlignment="1" applyBorder="1" applyFont="1">
      <alignment horizontal="right"/>
    </xf>
    <xf borderId="30" fillId="0" fontId="69" numFmtId="0" xfId="0" applyAlignment="1" applyBorder="1" applyFont="1">
      <alignment horizontal="left"/>
    </xf>
    <xf borderId="36" fillId="0" fontId="21" numFmtId="0" xfId="0" applyAlignment="1" applyBorder="1" applyFont="1">
      <alignment horizontal="right"/>
    </xf>
    <xf borderId="11" fillId="0" fontId="6" numFmtId="0" xfId="0" applyAlignment="1" applyBorder="1" applyFont="1">
      <alignment horizontal="center"/>
    </xf>
    <xf borderId="22" fillId="0" fontId="69" numFmtId="0" xfId="0" applyAlignment="1" applyBorder="1" applyFont="1">
      <alignment horizontal="right"/>
    </xf>
    <xf borderId="25" fillId="0" fontId="69" numFmtId="0" xfId="0" applyAlignment="1" applyBorder="1" applyFont="1">
      <alignment horizontal="right"/>
    </xf>
    <xf borderId="53" fillId="0" fontId="69" numFmtId="0" xfId="0" applyAlignment="1" applyBorder="1" applyFont="1">
      <alignment horizontal="left"/>
    </xf>
    <xf borderId="66" fillId="0" fontId="11" numFmtId="0" xfId="0" applyBorder="1" applyFont="1"/>
    <xf borderId="17" fillId="0" fontId="17" numFmtId="0" xfId="0" applyAlignment="1" applyBorder="1" applyFont="1">
      <alignment horizontal="center"/>
    </xf>
    <xf borderId="51" fillId="0" fontId="17" numFmtId="0" xfId="0" applyAlignment="1" applyBorder="1" applyFont="1">
      <alignment horizontal="right" readingOrder="0"/>
    </xf>
    <xf borderId="17" fillId="0" fontId="1" numFmtId="2" xfId="0" applyAlignment="1" applyBorder="1" applyFont="1" applyNumberFormat="1">
      <alignment horizontal="center"/>
    </xf>
    <xf borderId="25" fillId="0" fontId="1" numFmtId="2" xfId="0" applyAlignment="1" applyBorder="1" applyFont="1" applyNumberFormat="1">
      <alignment horizontal="center"/>
    </xf>
    <xf borderId="25" fillId="0" fontId="17" numFmtId="0" xfId="0" applyAlignment="1" applyBorder="1" applyFont="1">
      <alignment horizontal="center"/>
    </xf>
    <xf borderId="9" fillId="0" fontId="11" numFmtId="0" xfId="0" applyAlignment="1" applyBorder="1" applyFont="1">
      <alignment horizontal="center" shrinkToFit="0" vertical="center" wrapText="1"/>
    </xf>
    <xf borderId="53" fillId="0" fontId="11" numFmtId="0" xfId="0" applyAlignment="1" applyBorder="1" applyFont="1">
      <alignment horizontal="center" shrinkToFit="0" vertical="center" wrapText="1"/>
    </xf>
    <xf borderId="27" fillId="0" fontId="1" numFmtId="0" xfId="0" applyAlignment="1" applyBorder="1" applyFont="1">
      <alignment horizontal="right" readingOrder="0"/>
    </xf>
    <xf borderId="60"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23" fillId="0" fontId="39" numFmtId="0" xfId="0" applyAlignment="1" applyBorder="1" applyFont="1">
      <alignment horizontal="center" shrinkToFit="0" vertical="center" wrapText="1"/>
    </xf>
    <xf borderId="6" fillId="9" fontId="1" numFmtId="0" xfId="0" applyAlignment="1" applyBorder="1" applyFill="1" applyFont="1">
      <alignment horizontal="center"/>
    </xf>
    <xf borderId="15" fillId="0" fontId="7" numFmtId="0" xfId="0" applyAlignment="1" applyBorder="1" applyFont="1">
      <alignment horizontal="right" readingOrder="0"/>
    </xf>
    <xf borderId="6" fillId="9" fontId="1" numFmtId="0" xfId="0" applyAlignment="1" applyBorder="1" applyFill="1" applyFont="1">
      <alignment horizontal="right"/>
    </xf>
    <xf borderId="7" fillId="9" fontId="1" numFmtId="0" xfId="0" applyAlignment="1" applyBorder="1" applyFill="1" applyFont="1">
      <alignment horizontal="right"/>
    </xf>
    <xf borderId="9" fillId="9" fontId="1" numFmtId="0" xfId="0" applyAlignment="1" applyBorder="1" applyFill="1" applyFont="1">
      <alignment horizontal="left"/>
    </xf>
    <xf borderId="19" fillId="9" fontId="21" numFmtId="0" xfId="0" applyAlignment="1" applyBorder="1" applyFill="1" applyFont="1">
      <alignment horizontal="center" vertical="center"/>
    </xf>
    <xf borderId="47" fillId="9" fontId="1" numFmtId="0" xfId="0" applyBorder="1" applyFill="1" applyFont="1"/>
    <xf borderId="27" fillId="9" fontId="1" numFmtId="0" xfId="0" applyAlignment="1" applyBorder="1" applyFill="1" applyFont="1">
      <alignment horizontal="center"/>
    </xf>
    <xf borderId="27" fillId="9" fontId="1" numFmtId="0" xfId="0" applyAlignment="1" applyBorder="1" applyFill="1" applyFont="1">
      <alignment horizontal="right"/>
    </xf>
    <xf borderId="50" fillId="9" fontId="1" numFmtId="0" xfId="0" applyAlignment="1" applyBorder="1" applyFill="1" applyFont="1">
      <alignment horizontal="right"/>
    </xf>
    <xf borderId="53" fillId="9" fontId="1" numFmtId="0" xfId="0" applyAlignment="1" applyBorder="1" applyFill="1" applyFont="1">
      <alignment horizontal="left"/>
    </xf>
    <xf borderId="66" fillId="0" fontId="21" numFmtId="0" xfId="0" applyBorder="1" applyFont="1"/>
    <xf borderId="44" fillId="0" fontId="1" numFmtId="166" xfId="0" applyAlignment="1" applyBorder="1" applyFont="1" applyNumberFormat="1">
      <alignment horizontal="right" readingOrder="0" vertical="center"/>
    </xf>
    <xf borderId="96" fillId="5" fontId="1" numFmtId="0" xfId="0" applyAlignment="1" applyBorder="1" applyFill="1" applyFont="1">
      <alignment horizontal="right"/>
    </xf>
    <xf borderId="20" fillId="0" fontId="1" numFmtId="166" xfId="0" applyAlignment="1" applyBorder="1" applyFont="1" applyNumberFormat="1">
      <alignment horizontal="right" vertical="center"/>
    </xf>
    <xf borderId="27" fillId="5" fontId="1" numFmtId="0" xfId="0" applyAlignment="1" applyBorder="1" applyFill="1" applyFont="1">
      <alignment horizontal="center"/>
    </xf>
    <xf borderId="6" fillId="0" fontId="4" numFmtId="1" xfId="0" applyAlignment="1" applyBorder="1" applyFont="1" applyNumberFormat="1">
      <alignment horizontal="right"/>
    </xf>
    <xf borderId="27" fillId="5" fontId="1" numFmtId="0" xfId="0" applyAlignment="1" applyBorder="1" applyFill="1" applyFont="1">
      <alignment horizontal="right"/>
    </xf>
    <xf borderId="50" fillId="5" fontId="1" numFmtId="0" xfId="0" applyAlignment="1" applyBorder="1" applyFill="1" applyFont="1">
      <alignment horizontal="right"/>
    </xf>
    <xf borderId="53" fillId="5" fontId="1" numFmtId="0" xfId="0" applyAlignment="1" applyBorder="1" applyFill="1" applyFont="1">
      <alignment horizontal="left"/>
    </xf>
    <xf borderId="26" fillId="3" fontId="1" numFmtId="0" xfId="0" applyBorder="1" applyFill="1" applyFont="1"/>
    <xf borderId="28" fillId="3" fontId="1" numFmtId="0" xfId="0" applyAlignment="1" applyBorder="1" applyFill="1" applyFont="1">
      <alignment horizontal="center"/>
    </xf>
    <xf borderId="28" fillId="3" fontId="1" numFmtId="0" xfId="0" applyAlignment="1" applyBorder="1" applyFill="1" applyFont="1">
      <alignment horizontal="right"/>
    </xf>
    <xf borderId="96" fillId="3" fontId="1" numFmtId="0" xfId="0" applyAlignment="1" applyBorder="1" applyFill="1" applyFont="1">
      <alignment horizontal="right"/>
    </xf>
    <xf borderId="34" fillId="3" fontId="1" numFmtId="0" xfId="0" applyAlignment="1" applyBorder="1" applyFill="1" applyFont="1">
      <alignment horizontal="left"/>
    </xf>
    <xf borderId="19" fillId="3" fontId="71" numFmtId="0" xfId="0" applyAlignment="1" applyBorder="1" applyFill="1" applyFont="1">
      <alignment horizontal="center" vertical="center"/>
    </xf>
    <xf borderId="8" fillId="0" fontId="24" numFmtId="0" xfId="0" applyAlignment="1" applyBorder="1" applyFont="1">
      <alignment horizontal="center" vertical="center"/>
    </xf>
    <xf borderId="47" fillId="3" fontId="1" numFmtId="0" xfId="0" applyBorder="1" applyFill="1" applyFont="1"/>
    <xf borderId="27" fillId="0" fontId="4" numFmtId="1" xfId="0" applyAlignment="1" applyBorder="1" applyFont="1" applyNumberFormat="1">
      <alignment horizontal="right"/>
    </xf>
    <xf borderId="27" fillId="3" fontId="1" numFmtId="0" xfId="0" applyAlignment="1" applyBorder="1" applyFill="1" applyFont="1">
      <alignment horizontal="center"/>
    </xf>
    <xf borderId="11" fillId="0" fontId="60" numFmtId="0" xfId="0" applyAlignment="1" applyBorder="1" applyFont="1">
      <alignment vertical="center"/>
    </xf>
    <xf borderId="27" fillId="3" fontId="1" numFmtId="0" xfId="0" applyAlignment="1" applyBorder="1" applyFill="1" applyFont="1">
      <alignment horizontal="right"/>
    </xf>
    <xf borderId="0" fillId="0" fontId="139" numFmtId="0" xfId="0" applyFont="1"/>
    <xf borderId="50" fillId="3" fontId="1" numFmtId="0" xfId="0" applyAlignment="1" applyBorder="1" applyFill="1" applyFont="1">
      <alignment horizontal="right"/>
    </xf>
    <xf borderId="53" fillId="3" fontId="1" numFmtId="0" xfId="0" applyAlignment="1" applyBorder="1" applyFill="1" applyFont="1">
      <alignment horizontal="left"/>
    </xf>
    <xf borderId="51" fillId="0" fontId="4" numFmtId="1" xfId="0" applyAlignment="1" applyBorder="1" applyFont="1" applyNumberFormat="1">
      <alignment horizontal="right"/>
    </xf>
    <xf borderId="15" fillId="0" fontId="1" numFmtId="0" xfId="0" applyAlignment="1" applyBorder="1" applyFont="1">
      <alignment horizontal="center" shrinkToFit="0" vertical="center" wrapText="1"/>
    </xf>
    <xf borderId="5" fillId="0" fontId="4" numFmtId="1" xfId="0" applyAlignment="1" applyBorder="1" applyFont="1" applyNumberFormat="1">
      <alignment horizontal="right"/>
    </xf>
    <xf borderId="4" fillId="49" fontId="1" numFmtId="0" xfId="0" applyBorder="1" applyFill="1" applyFont="1"/>
    <xf borderId="6" fillId="49" fontId="1" numFmtId="0" xfId="0" applyAlignment="1" applyBorder="1" applyFill="1" applyFont="1">
      <alignment horizontal="center"/>
    </xf>
    <xf borderId="6" fillId="49" fontId="1" numFmtId="0" xfId="0" applyAlignment="1" applyBorder="1" applyFill="1" applyFont="1">
      <alignment horizontal="right"/>
    </xf>
    <xf borderId="12" fillId="3" fontId="21" numFmtId="0" xfId="0" applyAlignment="1" applyBorder="1" applyFill="1" applyFont="1">
      <alignment horizontal="center" shrinkToFit="0" wrapText="1"/>
    </xf>
    <xf borderId="7" fillId="49" fontId="1" numFmtId="0" xfId="0" applyAlignment="1" applyBorder="1" applyFill="1" applyFont="1">
      <alignment horizontal="right"/>
    </xf>
    <xf borderId="9" fillId="49" fontId="1" numFmtId="0" xfId="0" applyAlignment="1" applyBorder="1" applyFill="1" applyFont="1">
      <alignment horizontal="left"/>
    </xf>
    <xf borderId="80" fillId="49" fontId="11" numFmtId="0" xfId="0" applyBorder="1" applyFill="1" applyFont="1"/>
    <xf borderId="86" fillId="49" fontId="1" numFmtId="0" xfId="0" applyBorder="1" applyFill="1" applyFont="1"/>
    <xf borderId="88" fillId="49" fontId="1" numFmtId="0" xfId="0" applyAlignment="1" applyBorder="1" applyFill="1" applyFont="1">
      <alignment horizontal="center"/>
    </xf>
    <xf borderId="88" fillId="49" fontId="1" numFmtId="0" xfId="0" applyAlignment="1" applyBorder="1" applyFill="1" applyFont="1">
      <alignment horizontal="right"/>
    </xf>
    <xf borderId="92" fillId="49" fontId="1" numFmtId="0" xfId="0" applyAlignment="1" applyBorder="1" applyFill="1" applyFont="1">
      <alignment horizontal="right"/>
    </xf>
    <xf borderId="57" fillId="0" fontId="3" numFmtId="0" xfId="0" applyBorder="1" applyFont="1"/>
    <xf borderId="87" fillId="49" fontId="1" numFmtId="0" xfId="0" applyAlignment="1" applyBorder="1" applyFill="1" applyFont="1">
      <alignment horizontal="left"/>
    </xf>
    <xf borderId="108" fillId="49" fontId="71" numFmtId="0" xfId="0" applyAlignment="1" applyBorder="1" applyFill="1" applyFont="1">
      <alignment horizontal="center" vertical="center"/>
    </xf>
    <xf borderId="47" fillId="49" fontId="1" numFmtId="0" xfId="0" applyBorder="1" applyFill="1" applyFont="1"/>
    <xf borderId="27" fillId="49" fontId="1" numFmtId="0" xfId="0" applyAlignment="1" applyBorder="1" applyFill="1" applyFont="1">
      <alignment horizontal="center"/>
    </xf>
    <xf borderId="27" fillId="49" fontId="1" numFmtId="0" xfId="0" applyAlignment="1" applyBorder="1" applyFill="1" applyFont="1">
      <alignment horizontal="right"/>
    </xf>
    <xf borderId="35" fillId="0" fontId="112" numFmtId="0" xfId="0" applyBorder="1" applyFont="1"/>
    <xf borderId="12" fillId="0" fontId="63" numFmtId="0" xfId="0" applyAlignment="1" applyBorder="1" applyFont="1">
      <alignment vertical="center"/>
    </xf>
    <xf borderId="36" fillId="0" fontId="112" numFmtId="0" xfId="0" applyBorder="1" applyFont="1"/>
    <xf borderId="44" fillId="0" fontId="85" numFmtId="0" xfId="0" applyAlignment="1" applyBorder="1" applyFont="1">
      <alignment horizontal="center"/>
    </xf>
    <xf borderId="44" fillId="0" fontId="85" numFmtId="0" xfId="0" applyAlignment="1" applyBorder="1" applyFont="1">
      <alignment horizontal="right" readingOrder="0"/>
    </xf>
    <xf borderId="20" fillId="0" fontId="85" numFmtId="0" xfId="0" applyAlignment="1" applyBorder="1" applyFont="1">
      <alignment horizontal="right"/>
    </xf>
    <xf borderId="50" fillId="49" fontId="1" numFmtId="0" xfId="0" applyAlignment="1" applyBorder="1" applyFill="1" applyFont="1">
      <alignment horizontal="right"/>
    </xf>
    <xf borderId="53" fillId="49" fontId="1" numFmtId="0" xfId="0" applyAlignment="1" applyBorder="1" applyFill="1" applyFont="1">
      <alignment horizontal="left"/>
    </xf>
    <xf borderId="12" fillId="5" fontId="21" numFmtId="164" xfId="0" applyAlignment="1" applyBorder="1" applyFill="1" applyFont="1" applyNumberFormat="1">
      <alignment horizontal="right"/>
    </xf>
    <xf borderId="19" fillId="39" fontId="12" numFmtId="0" xfId="0" applyAlignment="1" applyBorder="1" applyFill="1" applyFont="1">
      <alignment horizontal="center" vertical="center"/>
    </xf>
    <xf borderId="86" fillId="39" fontId="1" numFmtId="0" xfId="0" applyBorder="1" applyFill="1" applyFont="1"/>
    <xf borderId="88" fillId="39" fontId="1" numFmtId="0" xfId="0" applyAlignment="1" applyBorder="1" applyFill="1" applyFont="1">
      <alignment horizontal="center"/>
    </xf>
    <xf borderId="88" fillId="39" fontId="1" numFmtId="0" xfId="0" applyAlignment="1" applyBorder="1" applyFill="1" applyFont="1">
      <alignment horizontal="right"/>
    </xf>
    <xf borderId="92" fillId="39" fontId="1" numFmtId="0" xfId="0" applyAlignment="1" applyBorder="1" applyFill="1" applyFont="1">
      <alignment horizontal="right"/>
    </xf>
    <xf borderId="87" fillId="39" fontId="1" numFmtId="0" xfId="0" applyAlignment="1" applyBorder="1" applyFill="1" applyFont="1">
      <alignment horizontal="left"/>
    </xf>
    <xf borderId="2" fillId="0" fontId="21" numFmtId="0" xfId="0" applyAlignment="1" applyBorder="1" applyFont="1">
      <alignment horizontal="left"/>
    </xf>
    <xf borderId="32" fillId="0" fontId="1" numFmtId="0" xfId="0" applyAlignment="1" applyBorder="1" applyFont="1">
      <alignment horizontal="left" vertical="top"/>
    </xf>
    <xf borderId="13" fillId="0" fontId="69" numFmtId="0" xfId="0" applyAlignment="1" applyBorder="1" applyFont="1">
      <alignment horizontal="left" vertical="top"/>
    </xf>
    <xf borderId="5" fillId="0" fontId="69" numFmtId="0" xfId="0" applyBorder="1" applyFont="1"/>
    <xf borderId="17" fillId="0" fontId="69" numFmtId="0" xfId="0" applyBorder="1" applyFont="1"/>
    <xf borderId="10" fillId="0" fontId="60" numFmtId="0" xfId="0" applyAlignment="1" applyBorder="1" applyFont="1">
      <alignment horizontal="center" vertical="center"/>
    </xf>
    <xf borderId="11" fillId="0" fontId="60" numFmtId="0" xfId="0" applyAlignment="1" applyBorder="1" applyFont="1">
      <alignment horizontal="center" vertical="center"/>
    </xf>
    <xf borderId="39" fillId="7" fontId="1" numFmtId="0" xfId="0" applyBorder="1" applyFill="1" applyFont="1"/>
    <xf borderId="40" fillId="7" fontId="1" numFmtId="0" xfId="0" applyAlignment="1" applyBorder="1" applyFill="1" applyFont="1">
      <alignment horizontal="center"/>
    </xf>
    <xf borderId="5" fillId="7" fontId="1" numFmtId="0" xfId="0" applyAlignment="1" applyBorder="1" applyFill="1" applyFont="1">
      <alignment horizontal="right"/>
    </xf>
    <xf borderId="20" fillId="7" fontId="1" numFmtId="0" xfId="0" applyAlignment="1" applyBorder="1" applyFill="1" applyFont="1">
      <alignment horizontal="right"/>
    </xf>
    <xf borderId="42" fillId="7" fontId="1" numFmtId="0" xfId="0" applyAlignment="1" applyBorder="1" applyFill="1" applyFont="1">
      <alignment horizontal="left"/>
    </xf>
    <xf borderId="63" fillId="7" fontId="11" numFmtId="0" xfId="0" applyAlignment="1" applyBorder="1" applyFill="1" applyFont="1">
      <alignment horizontal="center" vertical="center"/>
    </xf>
    <xf borderId="104" fillId="15" fontId="1" numFmtId="0" xfId="0" applyBorder="1" applyFill="1" applyFont="1"/>
    <xf borderId="105" fillId="15" fontId="1" numFmtId="0" xfId="0" applyAlignment="1" applyBorder="1" applyFill="1" applyFont="1">
      <alignment horizontal="center"/>
    </xf>
    <xf borderId="105" fillId="15" fontId="1" numFmtId="0" xfId="0" applyAlignment="1" applyBorder="1" applyFill="1" applyFont="1">
      <alignment horizontal="right"/>
    </xf>
    <xf borderId="132" fillId="15" fontId="1" numFmtId="0" xfId="0" applyAlignment="1" applyBorder="1" applyFill="1" applyFont="1">
      <alignment horizontal="right"/>
    </xf>
    <xf borderId="41" fillId="15" fontId="1" numFmtId="0" xfId="0" applyAlignment="1" applyBorder="1" applyFill="1" applyFont="1">
      <alignment horizontal="left"/>
    </xf>
    <xf borderId="117" fillId="15" fontId="11" numFmtId="0" xfId="0" applyAlignment="1" applyBorder="1" applyFill="1" applyFont="1">
      <alignment horizontal="center" vertical="center"/>
    </xf>
    <xf borderId="12" fillId="50" fontId="78" numFmtId="0" xfId="0" applyAlignment="1" applyBorder="1" applyFill="1" applyFont="1">
      <alignment horizontal="center" shrinkToFit="0" wrapText="1"/>
    </xf>
    <xf borderId="4" fillId="3" fontId="1" numFmtId="0" xfId="0" applyBorder="1" applyFill="1" applyFont="1"/>
    <xf borderId="6" fillId="3" fontId="1" numFmtId="0" xfId="0" applyAlignment="1" applyBorder="1" applyFill="1" applyFont="1">
      <alignment horizontal="center"/>
    </xf>
    <xf borderId="2" fillId="0" fontId="11" numFmtId="0" xfId="0" applyAlignment="1" applyBorder="1" applyFont="1">
      <alignment horizontal="center" shrinkToFit="0" wrapText="1"/>
    </xf>
    <xf borderId="6" fillId="3" fontId="1" numFmtId="0" xfId="0" applyAlignment="1" applyBorder="1" applyFill="1" applyFont="1">
      <alignment horizontal="right"/>
    </xf>
    <xf borderId="7" fillId="3" fontId="1" numFmtId="0" xfId="0" applyAlignment="1" applyBorder="1" applyFill="1" applyFont="1">
      <alignment horizontal="right"/>
    </xf>
    <xf borderId="9" fillId="3" fontId="1" numFmtId="0" xfId="0" applyAlignment="1" applyBorder="1" applyFill="1" applyFont="1">
      <alignment horizontal="left"/>
    </xf>
    <xf borderId="134" fillId="3" fontId="11" numFmtId="0" xfId="0" applyAlignment="1" applyBorder="1" applyFill="1" applyFont="1">
      <alignment horizontal="center" vertical="center"/>
    </xf>
    <xf borderId="14" fillId="0" fontId="95" numFmtId="0" xfId="0" applyBorder="1" applyFont="1"/>
    <xf borderId="15" fillId="0" fontId="95" numFmtId="0" xfId="0" applyAlignment="1" applyBorder="1" applyFont="1">
      <alignment horizontal="center"/>
    </xf>
    <xf borderId="15" fillId="0" fontId="95" numFmtId="0" xfId="0" applyBorder="1" applyFont="1"/>
    <xf borderId="29" fillId="0" fontId="95" numFmtId="0" xfId="0" applyBorder="1" applyFont="1"/>
    <xf borderId="19" fillId="0" fontId="11" numFmtId="2" xfId="0" applyAlignment="1" applyBorder="1" applyFont="1" applyNumberFormat="1">
      <alignment horizontal="center" shrinkToFit="0" vertical="center" wrapText="1"/>
    </xf>
    <xf borderId="138" fillId="49" fontId="11" numFmtId="0" xfId="0" applyBorder="1" applyFill="1" applyFont="1"/>
    <xf borderId="16" fillId="0" fontId="95" numFmtId="0" xfId="0" applyAlignment="1" applyBorder="1" applyFont="1">
      <alignment horizontal="center"/>
    </xf>
    <xf borderId="61" fillId="49" fontId="11" numFmtId="0" xfId="0" applyBorder="1" applyFill="1" applyFont="1"/>
    <xf borderId="12" fillId="0" fontId="140" numFmtId="0" xfId="0" applyBorder="1" applyFont="1"/>
    <xf borderId="3" fillId="0" fontId="1" numFmtId="0" xfId="0" applyAlignment="1" applyBorder="1" applyFont="1">
      <alignment horizontal="center" shrinkToFit="0" wrapText="1"/>
    </xf>
    <xf borderId="103" fillId="49" fontId="11" numFmtId="0" xfId="0" applyBorder="1" applyFill="1" applyFont="1"/>
    <xf borderId="12" fillId="0" fontId="141" numFmtId="0" xfId="0" applyBorder="1" applyFont="1"/>
    <xf borderId="19" fillId="0" fontId="7" numFmtId="0" xfId="0" applyAlignment="1" applyBorder="1" applyFont="1">
      <alignment horizontal="center" shrinkToFit="0" wrapText="1"/>
    </xf>
    <xf borderId="19" fillId="0" fontId="8" numFmtId="0" xfId="0" applyAlignment="1" applyBorder="1" applyFont="1">
      <alignment horizontal="center" shrinkToFit="0" vertical="center" wrapText="1"/>
    </xf>
    <xf borderId="8" fillId="0" fontId="11" numFmtId="0" xfId="0" applyAlignment="1" applyBorder="1" applyFont="1">
      <alignment shrinkToFit="0" vertical="center" wrapText="1"/>
    </xf>
    <xf borderId="26" fillId="5" fontId="142" numFmtId="2" xfId="0" applyAlignment="1" applyBorder="1" applyFill="1" applyFont="1" applyNumberFormat="1">
      <alignment horizontal="center" vertical="center"/>
    </xf>
    <xf borderId="34" fillId="5" fontId="143" numFmtId="2" xfId="0" applyAlignment="1" applyBorder="1" applyFill="1" applyFont="1" applyNumberFormat="1">
      <alignment horizontal="center" vertical="center"/>
    </xf>
    <xf borderId="12" fillId="5" fontId="12" numFmtId="164" xfId="0" applyAlignment="1" applyBorder="1" applyFill="1" applyFont="1" applyNumberFormat="1">
      <alignment horizontal="center"/>
    </xf>
    <xf borderId="58" fillId="0" fontId="1" numFmtId="0" xfId="0" applyAlignment="1" applyBorder="1" applyFont="1">
      <alignment horizontal="left"/>
    </xf>
    <xf borderId="47" fillId="17" fontId="1" numFmtId="0" xfId="0" applyBorder="1" applyFill="1" applyFont="1"/>
    <xf borderId="27" fillId="17" fontId="1" numFmtId="0" xfId="0" applyAlignment="1" applyBorder="1" applyFill="1" applyFont="1">
      <alignment horizontal="center"/>
    </xf>
    <xf borderId="27" fillId="17" fontId="1" numFmtId="0" xfId="0" applyAlignment="1" applyBorder="1" applyFill="1" applyFont="1">
      <alignment horizontal="right"/>
    </xf>
    <xf borderId="50" fillId="17" fontId="1" numFmtId="0" xfId="0" applyAlignment="1" applyBorder="1" applyFill="1" applyFont="1">
      <alignment horizontal="right"/>
    </xf>
    <xf borderId="53" fillId="17" fontId="1" numFmtId="0" xfId="0" applyBorder="1" applyFill="1" applyFont="1"/>
    <xf borderId="8" fillId="5" fontId="6" numFmtId="0" xfId="0" applyAlignment="1" applyBorder="1" applyFill="1" applyFont="1">
      <alignment horizontal="center" vertical="center"/>
    </xf>
    <xf borderId="14" fillId="0" fontId="1" numFmtId="0" xfId="0" applyAlignment="1" applyBorder="1" applyFont="1">
      <alignment horizontal="left" vertical="top"/>
    </xf>
    <xf borderId="15" fillId="0" fontId="1" numFmtId="166" xfId="0" applyBorder="1" applyFont="1" applyNumberFormat="1"/>
    <xf borderId="86" fillId="4" fontId="1" numFmtId="0" xfId="0" applyBorder="1" applyFill="1" applyFont="1"/>
    <xf borderId="88" fillId="4" fontId="1" numFmtId="0" xfId="0" applyAlignment="1" applyBorder="1" applyFill="1" applyFont="1">
      <alignment horizontal="center"/>
    </xf>
    <xf borderId="29" fillId="0" fontId="1" numFmtId="166" xfId="0" applyBorder="1" applyFont="1" applyNumberFormat="1"/>
    <xf borderId="88" fillId="4" fontId="1" numFmtId="0" xfId="0" applyAlignment="1" applyBorder="1" applyFill="1" applyFont="1">
      <alignment horizontal="right"/>
    </xf>
    <xf borderId="92" fillId="4" fontId="1" numFmtId="0" xfId="0" applyAlignment="1" applyBorder="1" applyFill="1" applyFont="1">
      <alignment horizontal="right"/>
    </xf>
    <xf borderId="87" fillId="4" fontId="1" numFmtId="0" xfId="0" applyAlignment="1" applyBorder="1" applyFill="1" applyFont="1">
      <alignment horizontal="left"/>
    </xf>
    <xf borderId="86" fillId="19" fontId="1" numFmtId="0" xfId="0" applyBorder="1" applyFill="1" applyFont="1"/>
    <xf borderId="63" fillId="3" fontId="1" numFmtId="0" xfId="0" applyAlignment="1" applyBorder="1" applyFill="1" applyFont="1">
      <alignment horizontal="left"/>
    </xf>
    <xf borderId="88" fillId="19" fontId="1" numFmtId="0" xfId="0" applyAlignment="1" applyBorder="1" applyFill="1" applyFont="1">
      <alignment horizontal="center"/>
    </xf>
    <xf borderId="117" fillId="3" fontId="1" numFmtId="0" xfId="0" applyAlignment="1" applyBorder="1" applyFill="1" applyFont="1">
      <alignment horizontal="center"/>
    </xf>
    <xf borderId="88" fillId="19" fontId="1" numFmtId="0" xfId="0" applyAlignment="1" applyBorder="1" applyFill="1" applyFont="1">
      <alignment horizontal="right"/>
    </xf>
    <xf borderId="75" fillId="3" fontId="1" numFmtId="0" xfId="0" applyAlignment="1" applyBorder="1" applyFill="1" applyFont="1">
      <alignment horizontal="right"/>
    </xf>
    <xf borderId="0" fillId="3" fontId="1" numFmtId="0" xfId="0" applyAlignment="1" applyFill="1" applyFont="1">
      <alignment horizontal="right"/>
    </xf>
    <xf borderId="92" fillId="19" fontId="1" numFmtId="0" xfId="0" applyAlignment="1" applyBorder="1" applyFill="1" applyFont="1">
      <alignment horizontal="right"/>
    </xf>
    <xf borderId="87" fillId="19" fontId="1" numFmtId="0" xfId="0" applyAlignment="1" applyBorder="1" applyFill="1" applyFont="1">
      <alignment horizontal="left"/>
    </xf>
    <xf borderId="12" fillId="3" fontId="7" numFmtId="0" xfId="0" applyAlignment="1" applyBorder="1" applyFill="1" applyFont="1">
      <alignment horizontal="center" shrinkToFit="0" vertical="center" wrapText="1"/>
    </xf>
    <xf borderId="17" fillId="0" fontId="1" numFmtId="1" xfId="0" applyBorder="1" applyFont="1" applyNumberFormat="1"/>
    <xf borderId="6" fillId="0" fontId="38" numFmtId="0" xfId="0" applyAlignment="1" applyBorder="1" applyFont="1">
      <alignment horizontal="right"/>
    </xf>
    <xf borderId="7" fillId="0" fontId="38" numFmtId="0" xfId="0" applyAlignment="1" applyBorder="1" applyFont="1">
      <alignment horizontal="right"/>
    </xf>
    <xf borderId="7" fillId="0" fontId="1" numFmtId="166" xfId="0" applyBorder="1" applyFont="1" applyNumberFormat="1"/>
    <xf borderId="22" fillId="0" fontId="38" numFmtId="0" xfId="0" applyAlignment="1" applyBorder="1" applyFont="1">
      <alignment horizontal="right"/>
    </xf>
    <xf borderId="25" fillId="0" fontId="38" numFmtId="0" xfId="0" applyAlignment="1" applyBorder="1" applyFont="1">
      <alignment horizontal="right"/>
    </xf>
    <xf borderId="17" fillId="0" fontId="1" numFmtId="166" xfId="0" applyBorder="1" applyFont="1" applyNumberFormat="1"/>
    <xf borderId="5" fillId="0" fontId="38" numFmtId="0" xfId="0" applyAlignment="1" applyBorder="1" applyFont="1">
      <alignment horizontal="right"/>
    </xf>
    <xf borderId="17" fillId="0" fontId="38" numFmtId="0" xfId="0" applyAlignment="1" applyBorder="1" applyFont="1">
      <alignment horizontal="right"/>
    </xf>
    <xf borderId="66" fillId="0" fontId="1" numFmtId="0" xfId="0" applyAlignment="1" applyBorder="1" applyFont="1">
      <alignment horizontal="left" vertical="top"/>
    </xf>
    <xf borderId="27" fillId="0" fontId="38" numFmtId="0" xfId="0" applyAlignment="1" applyBorder="1" applyFont="1">
      <alignment horizontal="right"/>
    </xf>
    <xf borderId="50" fillId="0" fontId="38" numFmtId="0" xfId="0" applyAlignment="1" applyBorder="1" applyFont="1">
      <alignment horizontal="right"/>
    </xf>
    <xf borderId="51" fillId="0" fontId="38" numFmtId="0" xfId="0" applyAlignment="1" applyBorder="1" applyFont="1">
      <alignment horizontal="right"/>
    </xf>
    <xf borderId="54" fillId="0" fontId="38" numFmtId="0" xfId="0" applyAlignment="1" applyBorder="1" applyFont="1">
      <alignment horizontal="right"/>
    </xf>
    <xf borderId="50" fillId="0" fontId="1" numFmtId="166" xfId="0" applyBorder="1" applyFont="1" applyNumberFormat="1"/>
    <xf borderId="38" fillId="0" fontId="1" numFmtId="0" xfId="0" applyAlignment="1" applyBorder="1" applyFont="1">
      <alignment shrinkToFit="0" vertical="center" wrapText="1"/>
    </xf>
    <xf borderId="60" fillId="0" fontId="1" numFmtId="0" xfId="0" applyAlignment="1" applyBorder="1" applyFont="1">
      <alignment shrinkToFit="0" vertical="center" wrapText="1"/>
    </xf>
    <xf borderId="57" fillId="0" fontId="38" numFmtId="0" xfId="0" applyAlignment="1" applyBorder="1" applyFont="1">
      <alignment horizontal="right"/>
    </xf>
    <xf borderId="58" fillId="0" fontId="38" numFmtId="0" xfId="0" applyAlignment="1" applyBorder="1" applyFont="1">
      <alignment horizontal="right"/>
    </xf>
    <xf borderId="17" fillId="0" fontId="7" numFmtId="2" xfId="0" applyBorder="1" applyFont="1" applyNumberFormat="1"/>
    <xf borderId="104" fillId="5" fontId="21" numFmtId="0" xfId="0" applyBorder="1" applyFill="1" applyFont="1"/>
    <xf borderId="6" fillId="15" fontId="1" numFmtId="0" xfId="0" applyBorder="1" applyFill="1" applyFont="1"/>
    <xf borderId="7" fillId="15" fontId="1" numFmtId="0" xfId="0" applyBorder="1" applyFill="1" applyFont="1"/>
    <xf borderId="24" fillId="5" fontId="71" numFmtId="164" xfId="0" applyAlignment="1" applyBorder="1" applyFill="1" applyFont="1" applyNumberFormat="1">
      <alignment horizontal="center"/>
    </xf>
    <xf borderId="26" fillId="20" fontId="1" numFmtId="0" xfId="0" applyBorder="1" applyFill="1" applyFont="1"/>
    <xf borderId="28" fillId="20" fontId="1" numFmtId="0" xfId="0" applyAlignment="1" applyBorder="1" applyFill="1" applyFont="1">
      <alignment horizontal="center"/>
    </xf>
    <xf borderId="28" fillId="20" fontId="1" numFmtId="2" xfId="0" applyAlignment="1" applyBorder="1" applyFill="1" applyFont="1" applyNumberFormat="1">
      <alignment horizontal="right"/>
    </xf>
    <xf borderId="96" fillId="20" fontId="1" numFmtId="2" xfId="0" applyAlignment="1" applyBorder="1" applyFill="1" applyFont="1" applyNumberFormat="1">
      <alignment horizontal="right"/>
    </xf>
    <xf borderId="34" fillId="20" fontId="1" numFmtId="0" xfId="0" applyAlignment="1" applyBorder="1" applyFill="1" applyFont="1">
      <alignment horizontal="left"/>
    </xf>
    <xf borderId="13" fillId="20" fontId="1" numFmtId="0" xfId="0" applyBorder="1" applyFill="1" applyFont="1"/>
    <xf borderId="5" fillId="20" fontId="1" numFmtId="0" xfId="0" applyAlignment="1" applyBorder="1" applyFill="1" applyFont="1">
      <alignment horizontal="center"/>
    </xf>
    <xf borderId="5" fillId="20" fontId="1" numFmtId="2" xfId="0" applyAlignment="1" applyBorder="1" applyFill="1" applyFont="1" applyNumberFormat="1">
      <alignment horizontal="right"/>
    </xf>
    <xf borderId="17" fillId="20" fontId="1" numFmtId="2" xfId="0" applyAlignment="1" applyBorder="1" applyFill="1" applyFont="1" applyNumberFormat="1">
      <alignment horizontal="right"/>
    </xf>
    <xf borderId="18" fillId="20" fontId="1" numFmtId="0" xfId="0" applyAlignment="1" applyBorder="1" applyFill="1" applyFont="1">
      <alignment horizontal="left"/>
    </xf>
    <xf borderId="5" fillId="20" fontId="1" numFmtId="0" xfId="0" applyAlignment="1" applyBorder="1" applyFill="1" applyFont="1">
      <alignment horizontal="right"/>
    </xf>
    <xf borderId="69" fillId="0" fontId="1" numFmtId="0" xfId="0" applyBorder="1" applyFont="1"/>
    <xf borderId="39" fillId="15" fontId="1" numFmtId="0" xfId="0" applyBorder="1" applyFill="1" applyFont="1"/>
    <xf borderId="17" fillId="20" fontId="1" numFmtId="0" xfId="0" applyAlignment="1" applyBorder="1" applyFill="1" applyFont="1">
      <alignment horizontal="right"/>
    </xf>
    <xf borderId="40" fillId="15" fontId="1" numFmtId="0" xfId="0" applyAlignment="1" applyBorder="1" applyFill="1" applyFont="1">
      <alignment horizontal="center"/>
    </xf>
    <xf borderId="18" fillId="20" fontId="1" numFmtId="0" xfId="0" applyBorder="1" applyFill="1" applyFont="1"/>
    <xf borderId="40" fillId="15" fontId="1" numFmtId="0" xfId="0" applyAlignment="1" applyBorder="1" applyFill="1" applyFont="1">
      <alignment horizontal="right"/>
    </xf>
    <xf borderId="133" fillId="15" fontId="1" numFmtId="0" xfId="0" applyAlignment="1" applyBorder="1" applyFill="1" applyFont="1">
      <alignment horizontal="right"/>
    </xf>
    <xf borderId="42" fillId="15" fontId="1" numFmtId="0" xfId="0" applyAlignment="1" applyBorder="1" applyFill="1" applyFont="1">
      <alignment horizontal="left"/>
    </xf>
    <xf borderId="43" fillId="15" fontId="11" numFmtId="0" xfId="0" applyAlignment="1" applyBorder="1" applyFill="1" applyFont="1">
      <alignment horizontal="center" shrinkToFit="0" vertical="center" wrapText="1"/>
    </xf>
    <xf borderId="104" fillId="39" fontId="1" numFmtId="0" xfId="0" applyBorder="1" applyFill="1" applyFont="1"/>
    <xf borderId="105" fillId="39" fontId="1" numFmtId="0" xfId="0" applyAlignment="1" applyBorder="1" applyFill="1" applyFont="1">
      <alignment horizontal="center"/>
    </xf>
    <xf borderId="105" fillId="39" fontId="1" numFmtId="0" xfId="0" applyAlignment="1" applyBorder="1" applyFill="1" applyFont="1">
      <alignment horizontal="right"/>
    </xf>
    <xf borderId="132" fillId="39" fontId="1" numFmtId="0" xfId="0" applyAlignment="1" applyBorder="1" applyFill="1" applyFont="1">
      <alignment horizontal="right"/>
    </xf>
    <xf borderId="41" fillId="39" fontId="1" numFmtId="0" xfId="0" applyBorder="1" applyFill="1" applyFont="1"/>
    <xf borderId="53" fillId="39" fontId="1" numFmtId="0" xfId="0" applyBorder="1" applyFill="1" applyFont="1"/>
    <xf borderId="104" fillId="9" fontId="1" numFmtId="0" xfId="0" applyBorder="1" applyFill="1" applyFont="1"/>
    <xf borderId="105" fillId="9" fontId="1" numFmtId="0" xfId="0" applyAlignment="1" applyBorder="1" applyFill="1" applyFont="1">
      <alignment horizontal="center"/>
    </xf>
    <xf borderId="105" fillId="9" fontId="1" numFmtId="0" xfId="0" applyAlignment="1" applyBorder="1" applyFill="1" applyFont="1">
      <alignment horizontal="right"/>
    </xf>
    <xf borderId="132" fillId="9" fontId="1" numFmtId="0" xfId="0" applyAlignment="1" applyBorder="1" applyFill="1" applyFont="1">
      <alignment horizontal="right"/>
    </xf>
    <xf borderId="41" fillId="9" fontId="1" numFmtId="0" xfId="0" applyBorder="1" applyFill="1" applyFont="1"/>
    <xf borderId="8" fillId="0" fontId="96" numFmtId="0" xfId="0" applyAlignment="1" applyBorder="1" applyFont="1">
      <alignment horizontal="center"/>
    </xf>
    <xf borderId="53" fillId="9" fontId="1" numFmtId="0" xfId="0" applyBorder="1" applyFill="1" applyFont="1"/>
    <xf borderId="29" fillId="43" fontId="7" numFmtId="0" xfId="0" applyBorder="1" applyFill="1" applyFont="1"/>
    <xf borderId="16" fillId="0" fontId="8" numFmtId="0" xfId="0" applyBorder="1" applyFont="1"/>
    <xf borderId="32" fillId="17" fontId="1" numFmtId="0" xfId="0" applyBorder="1" applyFill="1" applyFont="1"/>
    <xf borderId="35" fillId="17" fontId="1" numFmtId="0" xfId="0" applyAlignment="1" applyBorder="1" applyFill="1" applyFont="1">
      <alignment horizontal="center"/>
    </xf>
    <xf borderId="35" fillId="17" fontId="1" numFmtId="0" xfId="0" applyAlignment="1" applyBorder="1" applyFill="1" applyFont="1">
      <alignment horizontal="right"/>
    </xf>
    <xf borderId="36" fillId="17" fontId="1" numFmtId="0" xfId="0" applyAlignment="1" applyBorder="1" applyFill="1" applyFont="1">
      <alignment horizontal="right"/>
    </xf>
    <xf borderId="38" fillId="17" fontId="1" numFmtId="0" xfId="0" applyBorder="1" applyFill="1" applyFont="1"/>
    <xf borderId="8" fillId="0" fontId="11" numFmtId="0" xfId="0" applyAlignment="1" applyBorder="1" applyFont="1">
      <alignment horizontal="center" shrinkToFit="0" wrapText="1"/>
    </xf>
    <xf borderId="12" fillId="0" fontId="85" numFmtId="0" xfId="0" applyBorder="1" applyFont="1"/>
    <xf borderId="12" fillId="5" fontId="1" numFmtId="0" xfId="0" applyAlignment="1" applyBorder="1" applyFill="1" applyFont="1">
      <alignment horizontal="left"/>
    </xf>
    <xf borderId="89" fillId="5" fontId="1" numFmtId="0" xfId="0" applyAlignment="1" applyBorder="1" applyFill="1" applyFont="1">
      <alignment horizontal="left"/>
    </xf>
    <xf borderId="15" fillId="0" fontId="4" numFmtId="0" xfId="0" applyAlignment="1" applyBorder="1" applyFont="1">
      <alignment horizontal="right" readingOrder="0"/>
    </xf>
    <xf borderId="29" fillId="0" fontId="4" numFmtId="0" xfId="0" applyAlignment="1" applyBorder="1" applyFont="1">
      <alignment horizontal="right" readingOrder="0"/>
    </xf>
    <xf borderId="7" fillId="0" fontId="7" numFmtId="2" xfId="0" applyBorder="1" applyFont="1" applyNumberFormat="1"/>
    <xf borderId="19" fillId="0" fontId="1" numFmtId="0" xfId="0" applyAlignment="1" applyBorder="1" applyFont="1">
      <alignment shrinkToFit="0" wrapText="1"/>
    </xf>
    <xf borderId="6" fillId="0" fontId="10" numFmtId="0" xfId="0" applyAlignment="1" applyBorder="1" applyFont="1">
      <alignment horizontal="right"/>
    </xf>
    <xf borderId="7" fillId="0" fontId="10" numFmtId="0" xfId="0" applyAlignment="1" applyBorder="1" applyFont="1">
      <alignment horizontal="right"/>
    </xf>
    <xf borderId="104" fillId="3" fontId="4" numFmtId="0" xfId="0" applyBorder="1" applyFill="1" applyFont="1"/>
    <xf borderId="23" fillId="0" fontId="1" numFmtId="0" xfId="0" applyAlignment="1" applyBorder="1" applyFont="1">
      <alignment shrinkToFit="0" wrapText="1"/>
    </xf>
    <xf borderId="5" fillId="0" fontId="4" numFmtId="1" xfId="0" applyAlignment="1" applyBorder="1" applyFont="1" applyNumberFormat="1">
      <alignment horizontal="center"/>
    </xf>
    <xf borderId="5" fillId="0" fontId="7" numFmtId="167" xfId="0" applyAlignment="1" applyBorder="1" applyFont="1" applyNumberFormat="1">
      <alignment horizontal="right"/>
    </xf>
    <xf borderId="17" fillId="0" fontId="7" numFmtId="167" xfId="0" applyAlignment="1" applyBorder="1" applyFont="1" applyNumberFormat="1">
      <alignment horizontal="right"/>
    </xf>
    <xf borderId="5" fillId="0" fontId="7" numFmtId="171" xfId="0" applyAlignment="1" applyBorder="1" applyFont="1" applyNumberFormat="1">
      <alignment horizontal="right"/>
    </xf>
    <xf borderId="17" fillId="0" fontId="7" numFmtId="171" xfId="0" applyAlignment="1" applyBorder="1" applyFont="1" applyNumberFormat="1">
      <alignment horizontal="right"/>
    </xf>
    <xf borderId="27" fillId="0" fontId="4" numFmtId="1" xfId="0" applyAlignment="1" applyBorder="1" applyFont="1" applyNumberFormat="1">
      <alignment horizontal="center"/>
    </xf>
    <xf borderId="27" fillId="0" fontId="7" numFmtId="171" xfId="0" applyAlignment="1" applyBorder="1" applyFont="1" applyNumberFormat="1">
      <alignment horizontal="right"/>
    </xf>
    <xf borderId="50" fillId="0" fontId="7" numFmtId="171" xfId="0" applyAlignment="1" applyBorder="1" applyFont="1" applyNumberFormat="1">
      <alignment horizontal="right"/>
    </xf>
    <xf borderId="37" fillId="0" fontId="1" numFmtId="0" xfId="0" applyAlignment="1" applyBorder="1" applyFont="1">
      <alignment shrinkToFit="0" wrapText="1"/>
    </xf>
    <xf borderId="105" fillId="3" fontId="4" numFmtId="2" xfId="0" applyAlignment="1" applyBorder="1" applyFill="1" applyFont="1" applyNumberFormat="1">
      <alignment horizontal="center"/>
    </xf>
    <xf borderId="20" fillId="0" fontId="71" numFmtId="0" xfId="0" applyAlignment="1" applyBorder="1" applyFont="1">
      <alignment horizontal="center" shrinkToFit="0" wrapText="1"/>
    </xf>
    <xf borderId="119" fillId="5" fontId="144" numFmtId="2" xfId="0" applyAlignment="1" applyBorder="1" applyFill="1" applyFont="1" applyNumberFormat="1">
      <alignment horizontal="center" vertical="center"/>
    </xf>
    <xf borderId="105" fillId="3" fontId="7" numFmtId="0" xfId="0" applyAlignment="1" applyBorder="1" applyFill="1" applyFont="1">
      <alignment horizontal="right"/>
    </xf>
    <xf borderId="0" fillId="0" fontId="4" numFmtId="0" xfId="0" applyAlignment="1" applyFont="1">
      <alignment horizontal="right"/>
    </xf>
    <xf borderId="132" fillId="3" fontId="7" numFmtId="0" xfId="0" applyAlignment="1" applyBorder="1" applyFill="1" applyFont="1">
      <alignment horizontal="right"/>
    </xf>
    <xf borderId="41" fillId="3" fontId="4" numFmtId="0" xfId="0" applyAlignment="1" applyBorder="1" applyFill="1" applyFont="1">
      <alignment horizontal="left"/>
    </xf>
    <xf borderId="86" fillId="3" fontId="4" numFmtId="0" xfId="0" applyBorder="1" applyFill="1" applyFont="1"/>
    <xf borderId="88" fillId="3" fontId="4" numFmtId="2" xfId="0" applyAlignment="1" applyBorder="1" applyFill="1" applyFont="1" applyNumberFormat="1">
      <alignment horizontal="center"/>
    </xf>
    <xf borderId="88" fillId="3" fontId="7" numFmtId="0" xfId="0" applyAlignment="1" applyBorder="1" applyFill="1" applyFont="1">
      <alignment horizontal="right"/>
    </xf>
    <xf borderId="92" fillId="3" fontId="7" numFmtId="0" xfId="0" applyAlignment="1" applyBorder="1" applyFill="1" applyFont="1">
      <alignment horizontal="right"/>
    </xf>
    <xf borderId="87" fillId="3" fontId="4" numFmtId="0" xfId="0" applyAlignment="1" applyBorder="1" applyFill="1" applyFont="1">
      <alignment horizontal="left"/>
    </xf>
    <xf borderId="4" fillId="9" fontId="4" numFmtId="0" xfId="0" applyBorder="1" applyFill="1" applyFont="1"/>
    <xf borderId="6" fillId="9" fontId="4" numFmtId="2" xfId="0" applyAlignment="1" applyBorder="1" applyFill="1" applyFont="1" applyNumberFormat="1">
      <alignment horizontal="center"/>
    </xf>
    <xf borderId="6" fillId="9" fontId="7" numFmtId="0" xfId="0" applyAlignment="1" applyBorder="1" applyFill="1" applyFont="1">
      <alignment horizontal="right"/>
    </xf>
    <xf borderId="7" fillId="9" fontId="7" numFmtId="0" xfId="0" applyAlignment="1" applyBorder="1" applyFill="1" applyFont="1">
      <alignment horizontal="right"/>
    </xf>
    <xf borderId="9" fillId="9" fontId="4" numFmtId="0" xfId="0" applyAlignment="1" applyBorder="1" applyFill="1" applyFont="1">
      <alignment horizontal="left"/>
    </xf>
    <xf borderId="47" fillId="9" fontId="4" numFmtId="0" xfId="0" applyBorder="1" applyFill="1" applyFont="1"/>
    <xf borderId="27" fillId="9" fontId="4" numFmtId="2" xfId="0" applyAlignment="1" applyBorder="1" applyFill="1" applyFont="1" applyNumberFormat="1">
      <alignment horizontal="center"/>
    </xf>
    <xf borderId="27" fillId="9" fontId="7" numFmtId="0" xfId="0" applyAlignment="1" applyBorder="1" applyFill="1" applyFont="1">
      <alignment horizontal="right"/>
    </xf>
    <xf borderId="50" fillId="9" fontId="7" numFmtId="0" xfId="0" applyAlignment="1" applyBorder="1" applyFill="1" applyFont="1">
      <alignment horizontal="right"/>
    </xf>
    <xf borderId="53" fillId="9" fontId="4" numFmtId="0" xfId="0" applyAlignment="1" applyBorder="1" applyFill="1" applyFont="1">
      <alignment horizontal="left"/>
    </xf>
    <xf borderId="3" fillId="0" fontId="69" numFmtId="2" xfId="0" applyAlignment="1" applyBorder="1" applyFont="1" applyNumberFormat="1">
      <alignment horizontal="center" shrinkToFit="0" vertical="center" wrapText="1"/>
    </xf>
    <xf borderId="119" fillId="5" fontId="23" numFmtId="2" xfId="0" applyAlignment="1" applyBorder="1" applyFill="1" applyFont="1" applyNumberFormat="1">
      <alignment horizontal="center" vertical="center"/>
    </xf>
    <xf borderId="32" fillId="0" fontId="21" numFmtId="0" xfId="0" applyAlignment="1" applyBorder="1" applyFont="1">
      <alignment horizontal="left" vertical="center"/>
    </xf>
    <xf borderId="35" fillId="0" fontId="21" numFmtId="0" xfId="0" applyAlignment="1" applyBorder="1" applyFont="1">
      <alignment horizontal="right" vertical="center"/>
    </xf>
    <xf borderId="12" fillId="51" fontId="145" numFmtId="0" xfId="0" applyAlignment="1" applyBorder="1" applyFill="1" applyFont="1">
      <alignment horizontal="center" shrinkToFit="0" vertical="center" wrapText="1"/>
    </xf>
    <xf borderId="54" fillId="0" fontId="7" numFmtId="166" xfId="0" applyAlignment="1" applyBorder="1" applyFont="1" applyNumberFormat="1">
      <alignment horizontal="right"/>
    </xf>
    <xf borderId="3" fillId="0" fontId="146" numFmtId="0" xfId="0" applyAlignment="1" applyBorder="1" applyFont="1">
      <alignment horizontal="center" shrinkToFit="0" vertical="center" wrapText="1"/>
    </xf>
    <xf borderId="5" fillId="0" fontId="93" numFmtId="0" xfId="0" applyAlignment="1" applyBorder="1" applyFont="1">
      <alignment horizontal="center"/>
    </xf>
    <xf borderId="5" fillId="0" fontId="93" numFmtId="166" xfId="0" applyAlignment="1" applyBorder="1" applyFont="1" applyNumberFormat="1">
      <alignment horizontal="right"/>
    </xf>
    <xf borderId="17" fillId="0" fontId="93" numFmtId="166" xfId="0" applyAlignment="1" applyBorder="1" applyFont="1" applyNumberFormat="1">
      <alignment horizontal="right"/>
    </xf>
    <xf borderId="18" fillId="0" fontId="93" numFmtId="0" xfId="0" applyAlignment="1" applyBorder="1" applyFont="1">
      <alignment horizontal="left"/>
    </xf>
    <xf borderId="17" fillId="0" fontId="7" numFmtId="166" xfId="0" applyAlignment="1" applyBorder="1" applyFont="1" applyNumberFormat="1">
      <alignment horizontal="right"/>
    </xf>
    <xf borderId="14" fillId="0" fontId="21" numFmtId="0" xfId="0" applyAlignment="1" applyBorder="1" applyFont="1">
      <alignment horizontal="left" vertical="center"/>
    </xf>
    <xf borderId="22" fillId="0" fontId="1" numFmtId="166" xfId="0" applyAlignment="1" applyBorder="1" applyFont="1" applyNumberFormat="1">
      <alignment horizontal="center"/>
    </xf>
    <xf borderId="15" fillId="0" fontId="21" numFmtId="0" xfId="0" applyAlignment="1" applyBorder="1" applyFont="1">
      <alignment horizontal="right" vertical="center"/>
    </xf>
    <xf borderId="35" fillId="23" fontId="7" numFmtId="0" xfId="0" applyAlignment="1" applyBorder="1" applyFill="1" applyFont="1">
      <alignment horizontal="center"/>
    </xf>
    <xf borderId="35" fillId="23" fontId="7" numFmtId="166" xfId="0" applyAlignment="1" applyBorder="1" applyFill="1" applyFont="1" applyNumberFormat="1">
      <alignment horizontal="right"/>
    </xf>
    <xf borderId="36" fillId="23" fontId="7" numFmtId="166" xfId="0" applyAlignment="1" applyBorder="1" applyFill="1" applyFont="1" applyNumberFormat="1">
      <alignment horizontal="right"/>
    </xf>
    <xf borderId="38" fillId="23" fontId="7" numFmtId="0" xfId="0" applyAlignment="1" applyBorder="1" applyFill="1" applyFont="1">
      <alignment horizontal="left"/>
    </xf>
    <xf borderId="6" fillId="5" fontId="7" numFmtId="0" xfId="0" applyAlignment="1" applyBorder="1" applyFill="1" applyFont="1">
      <alignment horizontal="center"/>
    </xf>
    <xf borderId="6" fillId="5" fontId="7" numFmtId="1" xfId="0" applyAlignment="1" applyBorder="1" applyFill="1" applyFont="1" applyNumberFormat="1">
      <alignment horizontal="right"/>
    </xf>
    <xf borderId="7" fillId="5" fontId="7" numFmtId="1" xfId="0" applyAlignment="1" applyBorder="1" applyFill="1" applyFont="1" applyNumberFormat="1">
      <alignment horizontal="right"/>
    </xf>
    <xf borderId="9" fillId="5" fontId="7" numFmtId="0" xfId="0" applyAlignment="1" applyBorder="1" applyFill="1" applyFont="1">
      <alignment horizontal="left"/>
    </xf>
    <xf borderId="32" fillId="0" fontId="38" numFmtId="0" xfId="0" applyAlignment="1" applyBorder="1" applyFont="1">
      <alignment horizontal="left" vertical="center"/>
    </xf>
    <xf borderId="27" fillId="5" fontId="7" numFmtId="0" xfId="0" applyAlignment="1" applyBorder="1" applyFill="1" applyFont="1">
      <alignment horizontal="center"/>
    </xf>
    <xf borderId="27" fillId="5" fontId="7" numFmtId="1" xfId="0" applyAlignment="1" applyBorder="1" applyFill="1" applyFont="1" applyNumberFormat="1">
      <alignment horizontal="right"/>
    </xf>
    <xf borderId="50" fillId="5" fontId="7" numFmtId="1" xfId="0" applyAlignment="1" applyBorder="1" applyFill="1" applyFont="1" applyNumberFormat="1">
      <alignment horizontal="right"/>
    </xf>
    <xf borderId="36" fillId="0" fontId="7" numFmtId="0" xfId="0" applyAlignment="1" applyBorder="1" applyFont="1">
      <alignment horizontal="right" vertical="center"/>
    </xf>
    <xf borderId="53" fillId="5" fontId="7" numFmtId="0" xfId="0" applyAlignment="1" applyBorder="1" applyFill="1" applyFont="1">
      <alignment horizontal="left"/>
    </xf>
    <xf borderId="6" fillId="29" fontId="7" numFmtId="0" xfId="0" applyAlignment="1" applyBorder="1" applyFill="1" applyFont="1">
      <alignment horizontal="center"/>
    </xf>
    <xf borderId="6" fillId="29" fontId="7" numFmtId="1" xfId="0" applyAlignment="1" applyBorder="1" applyFill="1" applyFont="1" applyNumberFormat="1">
      <alignment horizontal="right"/>
    </xf>
    <xf borderId="7" fillId="29" fontId="7" numFmtId="1" xfId="0" applyAlignment="1" applyBorder="1" applyFill="1" applyFont="1" applyNumberFormat="1">
      <alignment horizontal="right"/>
    </xf>
    <xf borderId="9" fillId="29" fontId="7" numFmtId="0" xfId="0" applyAlignment="1" applyBorder="1" applyFill="1" applyFont="1">
      <alignment horizontal="left"/>
    </xf>
    <xf borderId="88" fillId="29" fontId="7" numFmtId="0" xfId="0" applyAlignment="1" applyBorder="1" applyFill="1" applyFont="1">
      <alignment horizontal="center"/>
    </xf>
    <xf borderId="88" fillId="29" fontId="7" numFmtId="1" xfId="0" applyAlignment="1" applyBorder="1" applyFill="1" applyFont="1" applyNumberFormat="1">
      <alignment horizontal="right"/>
    </xf>
    <xf borderId="92" fillId="29" fontId="7" numFmtId="1" xfId="0" applyAlignment="1" applyBorder="1" applyFill="1" applyFont="1" applyNumberFormat="1">
      <alignment horizontal="right"/>
    </xf>
    <xf borderId="87" fillId="29" fontId="7" numFmtId="0" xfId="0" applyAlignment="1" applyBorder="1" applyFill="1" applyFont="1">
      <alignment horizontal="left"/>
    </xf>
    <xf borderId="6" fillId="30" fontId="1" numFmtId="0" xfId="0" applyAlignment="1" applyBorder="1" applyFill="1" applyFont="1">
      <alignment horizontal="center"/>
    </xf>
    <xf borderId="6" fillId="30" fontId="1" numFmtId="2" xfId="0" applyAlignment="1" applyBorder="1" applyFill="1" applyFont="1" applyNumberFormat="1">
      <alignment horizontal="right"/>
    </xf>
    <xf borderId="7" fillId="30" fontId="1" numFmtId="2" xfId="0" applyAlignment="1" applyBorder="1" applyFill="1" applyFont="1" applyNumberFormat="1">
      <alignment horizontal="right"/>
    </xf>
    <xf borderId="9" fillId="30" fontId="1" numFmtId="0" xfId="0" applyAlignment="1" applyBorder="1" applyFill="1" applyFont="1">
      <alignment horizontal="left"/>
    </xf>
    <xf borderId="32" fillId="0" fontId="147" numFmtId="0" xfId="0" applyBorder="1" applyFont="1"/>
    <xf borderId="5" fillId="30" fontId="1" numFmtId="0" xfId="0" applyAlignment="1" applyBorder="1" applyFill="1" applyFont="1">
      <alignment horizontal="center"/>
    </xf>
    <xf borderId="35" fillId="0" fontId="148" numFmtId="0" xfId="0" applyAlignment="1" applyBorder="1" applyFont="1">
      <alignment horizontal="center"/>
    </xf>
    <xf borderId="5" fillId="30" fontId="1" numFmtId="2" xfId="0" applyAlignment="1" applyBorder="1" applyFill="1" applyFont="1" applyNumberFormat="1">
      <alignment horizontal="right"/>
    </xf>
    <xf borderId="17" fillId="30" fontId="1" numFmtId="2" xfId="0" applyAlignment="1" applyBorder="1" applyFill="1" applyFont="1" applyNumberFormat="1">
      <alignment horizontal="right"/>
    </xf>
    <xf borderId="18" fillId="30" fontId="1" numFmtId="0" xfId="0" applyAlignment="1" applyBorder="1" applyFill="1" applyFont="1">
      <alignment horizontal="left"/>
    </xf>
    <xf borderId="88" fillId="30" fontId="1" numFmtId="0" xfId="0" applyAlignment="1" applyBorder="1" applyFill="1" applyFont="1">
      <alignment horizontal="center"/>
    </xf>
    <xf borderId="35" fillId="0" fontId="148" numFmtId="0" xfId="0" applyAlignment="1" applyBorder="1" applyFont="1">
      <alignment horizontal="right"/>
    </xf>
    <xf borderId="88" fillId="30" fontId="1" numFmtId="2" xfId="0" applyAlignment="1" applyBorder="1" applyFill="1" applyFont="1" applyNumberFormat="1">
      <alignment horizontal="right"/>
    </xf>
    <xf borderId="36" fillId="0" fontId="148" numFmtId="0" xfId="0" applyAlignment="1" applyBorder="1" applyFont="1">
      <alignment horizontal="right"/>
    </xf>
    <xf borderId="92" fillId="30" fontId="1" numFmtId="2" xfId="0" applyAlignment="1" applyBorder="1" applyFill="1" applyFont="1" applyNumberFormat="1">
      <alignment horizontal="right"/>
    </xf>
    <xf borderId="52" fillId="0" fontId="1" numFmtId="0" xfId="0" applyAlignment="1" applyBorder="1" applyFont="1">
      <alignment horizontal="left"/>
    </xf>
    <xf borderId="38" fillId="0" fontId="148" numFmtId="0" xfId="0" applyBorder="1" applyFont="1"/>
    <xf borderId="87" fillId="30" fontId="1" numFmtId="0" xfId="0" applyAlignment="1" applyBorder="1" applyFill="1" applyFont="1">
      <alignment horizontal="left"/>
    </xf>
    <xf borderId="4" fillId="52" fontId="1" numFmtId="0" xfId="0" applyBorder="1" applyFill="1" applyFont="1"/>
    <xf borderId="6" fillId="52" fontId="1" numFmtId="0" xfId="0" applyAlignment="1" applyBorder="1" applyFill="1" applyFont="1">
      <alignment horizontal="center"/>
    </xf>
    <xf borderId="6" fillId="52" fontId="1" numFmtId="2" xfId="0" applyAlignment="1" applyBorder="1" applyFill="1" applyFont="1" applyNumberFormat="1">
      <alignment horizontal="right"/>
    </xf>
    <xf borderId="7" fillId="52" fontId="1" numFmtId="2" xfId="0" applyAlignment="1" applyBorder="1" applyFill="1" applyFont="1" applyNumberFormat="1">
      <alignment horizontal="right"/>
    </xf>
    <xf borderId="9" fillId="52" fontId="1" numFmtId="0" xfId="0" applyAlignment="1" applyBorder="1" applyFill="1" applyFont="1">
      <alignment horizontal="left"/>
    </xf>
    <xf borderId="47" fillId="52" fontId="1" numFmtId="0" xfId="0" applyBorder="1" applyFill="1" applyFont="1"/>
    <xf borderId="27" fillId="52" fontId="1" numFmtId="0" xfId="0" applyAlignment="1" applyBorder="1" applyFill="1" applyFont="1">
      <alignment horizontal="center"/>
    </xf>
    <xf borderId="27" fillId="52" fontId="1" numFmtId="2" xfId="0" applyAlignment="1" applyBorder="1" applyFill="1" applyFont="1" applyNumberFormat="1">
      <alignment horizontal="right"/>
    </xf>
    <xf borderId="50" fillId="52" fontId="1" numFmtId="2" xfId="0" applyAlignment="1" applyBorder="1" applyFill="1" applyFont="1" applyNumberFormat="1">
      <alignment horizontal="right"/>
    </xf>
    <xf borderId="53" fillId="52" fontId="1" numFmtId="0" xfId="0" applyAlignment="1" applyBorder="1" applyFill="1" applyFont="1">
      <alignment horizontal="left"/>
    </xf>
    <xf borderId="38" fillId="5" fontId="1" numFmtId="15" xfId="0" applyAlignment="1" applyBorder="1" applyFill="1" applyFont="1" applyNumberFormat="1">
      <alignment horizontal="center"/>
    </xf>
    <xf borderId="66" fillId="0" fontId="21" numFmtId="0" xfId="0" applyAlignment="1" applyBorder="1" applyFont="1">
      <alignment horizontal="left"/>
    </xf>
    <xf borderId="44" fillId="0" fontId="21" numFmtId="0" xfId="0" applyAlignment="1" applyBorder="1" applyFont="1">
      <alignment horizontal="right"/>
    </xf>
    <xf borderId="68" fillId="0" fontId="21" numFmtId="0" xfId="0" applyAlignment="1" applyBorder="1" applyFont="1">
      <alignment horizontal="left"/>
    </xf>
    <xf borderId="5" fillId="0" fontId="38" numFmtId="0" xfId="0" applyAlignment="1" applyBorder="1" applyFont="1">
      <alignment horizontal="center"/>
    </xf>
    <xf borderId="8" fillId="0" fontId="47" numFmtId="0" xfId="0" applyBorder="1" applyFont="1"/>
    <xf borderId="29" fillId="0" fontId="7" numFmtId="0" xfId="0" applyAlignment="1" applyBorder="1" applyFont="1">
      <alignment horizontal="right" readingOrder="0"/>
    </xf>
    <xf borderId="27" fillId="0" fontId="38" numFmtId="0" xfId="0" applyAlignment="1" applyBorder="1" applyFont="1">
      <alignment horizontal="center"/>
    </xf>
    <xf borderId="33" fillId="0" fontId="7" numFmtId="0" xfId="0" applyAlignment="1" applyBorder="1" applyFont="1">
      <alignment horizontal="left"/>
    </xf>
    <xf borderId="4" fillId="0" fontId="149" numFmtId="0" xfId="0" applyBorder="1" applyFont="1"/>
    <xf borderId="6" fillId="0" fontId="150" numFmtId="0" xfId="0" applyAlignment="1" applyBorder="1" applyFont="1">
      <alignment horizontal="center"/>
    </xf>
    <xf borderId="6" fillId="0" fontId="149" numFmtId="0" xfId="0" applyAlignment="1" applyBorder="1" applyFont="1">
      <alignment horizontal="right"/>
    </xf>
    <xf borderId="7" fillId="0" fontId="149" numFmtId="0" xfId="0" applyAlignment="1" applyBorder="1" applyFont="1">
      <alignment horizontal="right"/>
    </xf>
    <xf borderId="9" fillId="0" fontId="149" numFmtId="0" xfId="0" applyAlignment="1" applyBorder="1" applyFont="1">
      <alignment horizontal="left"/>
    </xf>
    <xf borderId="6" fillId="0" fontId="151" numFmtId="0" xfId="0" applyAlignment="1" applyBorder="1" applyFont="1">
      <alignment horizontal="center"/>
    </xf>
    <xf borderId="6" fillId="0" fontId="8" numFmtId="0" xfId="0" applyAlignment="1" applyBorder="1" applyFont="1">
      <alignment horizontal="right"/>
    </xf>
    <xf borderId="7" fillId="0" fontId="8" numFmtId="0" xfId="0" applyAlignment="1" applyBorder="1" applyFont="1">
      <alignment horizontal="right"/>
    </xf>
    <xf borderId="9" fillId="0" fontId="8" numFmtId="0" xfId="0" applyAlignment="1" applyBorder="1" applyFont="1">
      <alignment horizontal="left"/>
    </xf>
    <xf borderId="32" fillId="0" fontId="69" numFmtId="0" xfId="0" applyBorder="1" applyFont="1"/>
    <xf borderId="2" fillId="0" fontId="1" numFmtId="0" xfId="0" applyAlignment="1" applyBorder="1" applyFont="1">
      <alignment horizontal="left" shrinkToFit="0" vertical="top" wrapText="1"/>
    </xf>
    <xf borderId="13" fillId="0" fontId="149" numFmtId="0" xfId="0" applyBorder="1" applyFont="1"/>
    <xf borderId="5" fillId="0" fontId="150" numFmtId="0" xfId="0" applyAlignment="1" applyBorder="1" applyFont="1">
      <alignment horizontal="center"/>
    </xf>
    <xf borderId="5" fillId="0" fontId="149" numFmtId="0" xfId="0" applyAlignment="1" applyBorder="1" applyFont="1">
      <alignment horizontal="right"/>
    </xf>
    <xf borderId="17" fillId="0" fontId="149" numFmtId="0" xfId="0" applyAlignment="1" applyBorder="1" applyFont="1">
      <alignment horizontal="right"/>
    </xf>
    <xf borderId="18" fillId="0" fontId="149" numFmtId="0" xfId="0" applyAlignment="1" applyBorder="1" applyFont="1">
      <alignment horizontal="left"/>
    </xf>
    <xf borderId="27" fillId="0" fontId="149" numFmtId="0" xfId="0" applyAlignment="1" applyBorder="1" applyFont="1">
      <alignment horizontal="right"/>
    </xf>
    <xf borderId="50" fillId="0" fontId="149" numFmtId="0" xfId="0" applyAlignment="1" applyBorder="1" applyFont="1">
      <alignment horizontal="right"/>
    </xf>
    <xf borderId="1" fillId="0" fontId="112" numFmtId="0" xfId="0" applyAlignment="1" applyBorder="1" applyFont="1">
      <alignment horizontal="center" shrinkToFit="0" vertical="center" wrapText="1"/>
    </xf>
    <xf borderId="32" fillId="0" fontId="8" numFmtId="0" xfId="0" applyBorder="1" applyFont="1"/>
    <xf borderId="35" fillId="0" fontId="151" numFmtId="0" xfId="0" applyAlignment="1" applyBorder="1" applyFont="1">
      <alignment horizontal="center"/>
    </xf>
    <xf borderId="35" fillId="0" fontId="8" numFmtId="0" xfId="0" applyAlignment="1" applyBorder="1" applyFont="1">
      <alignment horizontal="right"/>
    </xf>
    <xf borderId="36" fillId="0" fontId="8" numFmtId="0" xfId="0" applyAlignment="1" applyBorder="1" applyFont="1">
      <alignment horizontal="right"/>
    </xf>
    <xf borderId="38" fillId="0" fontId="71" numFmtId="0" xfId="0" applyAlignment="1" applyBorder="1" applyFont="1">
      <alignment horizontal="left"/>
    </xf>
    <xf borderId="52" fillId="0" fontId="8" numFmtId="0" xfId="0" applyBorder="1" applyFont="1"/>
    <xf borderId="51" fillId="0" fontId="151" numFmtId="0" xfId="0" applyAlignment="1" applyBorder="1" applyFont="1">
      <alignment horizontal="center"/>
    </xf>
    <xf borderId="51" fillId="0" fontId="8" numFmtId="169" xfId="0" applyAlignment="1" applyBorder="1" applyFont="1" applyNumberFormat="1">
      <alignment horizontal="right"/>
    </xf>
    <xf borderId="32" fillId="0" fontId="21" numFmtId="0" xfId="0" applyAlignment="1" applyBorder="1" applyFont="1">
      <alignment horizontal="left" vertical="top"/>
    </xf>
    <xf borderId="54" fillId="0" fontId="8" numFmtId="169" xfId="0" applyAlignment="1" applyBorder="1" applyFont="1" applyNumberFormat="1">
      <alignment horizontal="right"/>
    </xf>
    <xf borderId="51" fillId="0" fontId="1" numFmtId="1" xfId="0" applyAlignment="1" applyBorder="1" applyFont="1" applyNumberFormat="1">
      <alignment horizontal="right"/>
    </xf>
    <xf borderId="60" fillId="0" fontId="8" numFmtId="0" xfId="0" applyAlignment="1" applyBorder="1" applyFont="1">
      <alignment horizontal="left"/>
    </xf>
    <xf borderId="10" fillId="0" fontId="1" numFmtId="1" xfId="0" applyBorder="1" applyFont="1" applyNumberFormat="1"/>
    <xf borderId="5" fillId="0" fontId="13" numFmtId="169" xfId="0" applyAlignment="1" applyBorder="1" applyFont="1" applyNumberFormat="1">
      <alignment horizontal="right"/>
    </xf>
    <xf borderId="17" fillId="0" fontId="13" numFmtId="169" xfId="0" applyAlignment="1" applyBorder="1" applyFont="1" applyNumberFormat="1">
      <alignment horizontal="right"/>
    </xf>
    <xf borderId="8" fillId="7" fontId="12" numFmtId="0" xfId="0" applyAlignment="1" applyBorder="1" applyFill="1" applyFont="1">
      <alignment horizontal="center" vertical="center"/>
    </xf>
    <xf borderId="27" fillId="0" fontId="1" numFmtId="169" xfId="0" applyAlignment="1" applyBorder="1" applyFont="1" applyNumberFormat="1">
      <alignment horizontal="right"/>
    </xf>
    <xf borderId="50" fillId="0" fontId="1" numFmtId="169" xfId="0" applyAlignment="1" applyBorder="1" applyFont="1" applyNumberFormat="1">
      <alignment horizontal="right"/>
    </xf>
    <xf borderId="0" fillId="0" fontId="12" numFmtId="0" xfId="0" applyAlignment="1" applyFont="1">
      <alignment vertical="center"/>
    </xf>
    <xf borderId="1" fillId="0" fontId="38" numFmtId="0" xfId="0" applyAlignment="1" applyBorder="1" applyFont="1">
      <alignment horizontal="left" shrinkToFit="0" vertical="center" wrapText="1"/>
    </xf>
    <xf borderId="35" fillId="0" fontId="13" numFmtId="0" xfId="0" applyAlignment="1" applyBorder="1" applyFont="1">
      <alignment horizontal="center"/>
    </xf>
    <xf borderId="0" fillId="0" fontId="1" numFmtId="0" xfId="0" applyAlignment="1" applyFont="1">
      <alignment horizontal="right" vertical="center"/>
    </xf>
    <xf borderId="36" fillId="0" fontId="13" numFmtId="0" xfId="0" applyAlignment="1" applyBorder="1" applyFont="1">
      <alignment horizontal="right"/>
    </xf>
    <xf borderId="12" fillId="5" fontId="8" numFmtId="15" xfId="0" applyAlignment="1" applyBorder="1" applyFill="1" applyFont="1" applyNumberFormat="1">
      <alignment horizontal="center"/>
    </xf>
    <xf borderId="1" fillId="0" fontId="47" numFmtId="0" xfId="0" applyAlignment="1" applyBorder="1" applyFont="1">
      <alignment horizontal="center"/>
    </xf>
    <xf borderId="22" fillId="0" fontId="7" numFmtId="0" xfId="0" applyAlignment="1" applyBorder="1" applyFont="1">
      <alignment horizontal="right" readingOrder="0"/>
    </xf>
    <xf borderId="104" fillId="47" fontId="7" numFmtId="0" xfId="0" applyBorder="1" applyFill="1" applyFont="1"/>
    <xf borderId="105" fillId="47" fontId="13" numFmtId="0" xfId="0" applyAlignment="1" applyBorder="1" applyFill="1" applyFont="1">
      <alignment horizontal="center"/>
    </xf>
    <xf borderId="105" fillId="47" fontId="7" numFmtId="0" xfId="0" applyAlignment="1" applyBorder="1" applyFill="1" applyFont="1">
      <alignment horizontal="right"/>
    </xf>
    <xf borderId="41" fillId="47" fontId="7" numFmtId="0" xfId="0" applyBorder="1" applyFill="1" applyFont="1"/>
    <xf borderId="89" fillId="53" fontId="71" numFmtId="164" xfId="0" applyAlignment="1" applyBorder="1" applyFill="1" applyFont="1" applyNumberFormat="1">
      <alignment horizontal="center"/>
    </xf>
    <xf borderId="52" fillId="0" fontId="4" numFmtId="0" xfId="0" applyAlignment="1" applyBorder="1" applyFont="1">
      <alignment horizontal="left"/>
    </xf>
    <xf borderId="51" fillId="0" fontId="4" numFmtId="0" xfId="0" applyAlignment="1" applyBorder="1" applyFont="1">
      <alignment horizontal="right"/>
    </xf>
    <xf borderId="54" fillId="0" fontId="4" numFmtId="0" xfId="0" applyAlignment="1" applyBorder="1" applyFont="1">
      <alignment horizontal="right"/>
    </xf>
    <xf borderId="0" fillId="0" fontId="1" numFmtId="0" xfId="0" applyAlignment="1" applyFont="1">
      <alignment horizontal="right" shrinkToFit="0" vertical="center" wrapText="1"/>
    </xf>
    <xf borderId="0" fillId="0" fontId="1" numFmtId="0" xfId="0" applyAlignment="1" applyFont="1">
      <alignment horizontal="left" shrinkToFit="0" vertical="center" wrapText="1"/>
    </xf>
    <xf borderId="8" fillId="0" fontId="60" numFmtId="0" xfId="0" applyAlignment="1" applyBorder="1" applyFont="1">
      <alignment horizontal="center"/>
    </xf>
    <xf borderId="10" fillId="0" fontId="60" numFmtId="0" xfId="0" applyBorder="1" applyFont="1"/>
    <xf borderId="22" fillId="0" fontId="1" numFmtId="167" xfId="0" applyAlignment="1" applyBorder="1" applyFont="1" applyNumberFormat="1">
      <alignment horizontal="right" readingOrder="0"/>
    </xf>
    <xf borderId="25" fillId="0" fontId="1" numFmtId="167" xfId="0" applyAlignment="1" applyBorder="1" applyFont="1" applyNumberFormat="1">
      <alignment horizontal="right"/>
    </xf>
    <xf borderId="89" fillId="5" fontId="8" numFmtId="15" xfId="0" applyAlignment="1" applyBorder="1" applyFill="1" applyFont="1" applyNumberFormat="1">
      <alignment horizontal="center"/>
    </xf>
    <xf borderId="14" fillId="0" fontId="1" numFmtId="0" xfId="0" applyAlignment="1" applyBorder="1" applyFont="1">
      <alignment horizontal="center" shrinkToFit="0" vertical="center" wrapText="1"/>
    </xf>
    <xf borderId="15" fillId="0" fontId="1" numFmtId="167" xfId="0" applyAlignment="1" applyBorder="1" applyFont="1" applyNumberFormat="1">
      <alignment horizontal="right"/>
    </xf>
    <xf borderId="29" fillId="0" fontId="1" numFmtId="167" xfId="0" applyAlignment="1" applyBorder="1" applyFont="1" applyNumberFormat="1">
      <alignment horizontal="right"/>
    </xf>
    <xf borderId="29" fillId="0" fontId="17" numFmtId="0" xfId="0" applyAlignment="1" applyBorder="1" applyFont="1">
      <alignment horizontal="right"/>
    </xf>
    <xf borderId="7" fillId="0" fontId="1" numFmtId="167" xfId="0" applyAlignment="1" applyBorder="1" applyFont="1" applyNumberFormat="1">
      <alignment horizontal="right"/>
    </xf>
    <xf borderId="1" fillId="0" fontId="43" numFmtId="0" xfId="0" applyAlignment="1" applyBorder="1" applyFont="1">
      <alignment horizontal="center" shrinkToFit="0" vertical="center" wrapText="1"/>
    </xf>
    <xf borderId="17" fillId="0" fontId="1" numFmtId="167" xfId="0" applyAlignment="1" applyBorder="1" applyFont="1" applyNumberFormat="1">
      <alignment horizontal="right"/>
    </xf>
    <xf borderId="20" fillId="0" fontId="17" numFmtId="0" xfId="0" applyAlignment="1" applyBorder="1" applyFont="1">
      <alignment horizontal="right"/>
    </xf>
    <xf borderId="36" fillId="0" fontId="17" numFmtId="0" xfId="0" applyAlignment="1" applyBorder="1" applyFont="1">
      <alignment horizontal="right"/>
    </xf>
    <xf borderId="58" fillId="0" fontId="17" numFmtId="0" xfId="0" applyAlignment="1" applyBorder="1" applyFont="1">
      <alignment horizontal="right"/>
    </xf>
    <xf borderId="13" fillId="0" fontId="152" numFmtId="0" xfId="0" applyBorder="1" applyFont="1"/>
    <xf borderId="14" fillId="0" fontId="21" numFmtId="0" xfId="0" applyBorder="1" applyFont="1"/>
    <xf borderId="50" fillId="0" fontId="1" numFmtId="167" xfId="0" applyAlignment="1" applyBorder="1" applyFont="1" applyNumberFormat="1">
      <alignment horizontal="right"/>
    </xf>
    <xf borderId="31" fillId="0" fontId="1" numFmtId="0" xfId="0" applyAlignment="1" applyBorder="1" applyFont="1">
      <alignment horizontal="center" shrinkToFit="0" vertical="center" wrapText="1"/>
    </xf>
    <xf borderId="1" fillId="0" fontId="21" numFmtId="0" xfId="0" applyAlignment="1" applyBorder="1" applyFont="1">
      <alignment horizontal="center" shrinkToFit="0" wrapText="1"/>
    </xf>
    <xf borderId="8" fillId="0" fontId="103" numFmtId="0" xfId="0" applyAlignment="1" applyBorder="1" applyFont="1">
      <alignment vertical="center"/>
    </xf>
    <xf borderId="51" fillId="0" fontId="1" numFmtId="171" xfId="0" applyAlignment="1" applyBorder="1" applyFont="1" applyNumberFormat="1">
      <alignment horizontal="center"/>
    </xf>
    <xf borderId="51" fillId="0" fontId="1" numFmtId="171" xfId="0" applyAlignment="1" applyBorder="1" applyFont="1" applyNumberFormat="1">
      <alignment horizontal="right"/>
    </xf>
    <xf borderId="54" fillId="0" fontId="1" numFmtId="171" xfId="0" applyAlignment="1" applyBorder="1" applyFont="1" applyNumberFormat="1">
      <alignment horizontal="right"/>
    </xf>
    <xf borderId="60" fillId="0" fontId="1" numFmtId="2" xfId="0" applyAlignment="1" applyBorder="1" applyFont="1" applyNumberFormat="1">
      <alignment horizontal="left"/>
    </xf>
    <xf borderId="5" fillId="0" fontId="1" numFmtId="171" xfId="0" applyAlignment="1" applyBorder="1" applyFont="1" applyNumberFormat="1">
      <alignment horizontal="center"/>
    </xf>
    <xf borderId="5" fillId="0" fontId="1" numFmtId="172" xfId="0" applyAlignment="1" applyBorder="1" applyFont="1" applyNumberFormat="1">
      <alignment horizontal="right"/>
    </xf>
    <xf borderId="17" fillId="0" fontId="1" numFmtId="172" xfId="0" applyAlignment="1" applyBorder="1" applyFont="1" applyNumberFormat="1">
      <alignment horizontal="right"/>
    </xf>
    <xf borderId="1" fillId="0" fontId="88" numFmtId="0" xfId="0" applyAlignment="1" applyBorder="1" applyFont="1">
      <alignment shrinkToFit="0" vertical="center" wrapText="1"/>
    </xf>
    <xf borderId="31" fillId="0" fontId="88" numFmtId="0" xfId="0" applyAlignment="1" applyBorder="1" applyFont="1">
      <alignment shrinkToFit="0" vertical="center" wrapText="1"/>
    </xf>
    <xf borderId="27" fillId="0" fontId="1" numFmtId="171" xfId="0" applyAlignment="1" applyBorder="1" applyFont="1" applyNumberFormat="1">
      <alignment horizontal="center"/>
    </xf>
    <xf borderId="45" fillId="0" fontId="88" numFmtId="0" xfId="0" applyAlignment="1" applyBorder="1" applyFont="1">
      <alignment shrinkToFit="0" vertical="center" wrapText="1"/>
    </xf>
    <xf borderId="58" fillId="0" fontId="1" numFmtId="0" xfId="0" applyBorder="1" applyFont="1"/>
    <xf borderId="1" fillId="0" fontId="67" numFmtId="0" xfId="0" applyAlignment="1" applyBorder="1" applyFont="1">
      <alignment horizontal="center" shrinkToFit="0" vertical="center" wrapText="1"/>
    </xf>
    <xf borderId="0" fillId="0" fontId="67" numFmtId="0" xfId="0" applyAlignment="1" applyFont="1">
      <alignment horizontal="center" shrinkToFit="0" vertical="center" wrapText="1"/>
    </xf>
    <xf borderId="54" fillId="0" fontId="1" numFmtId="167" xfId="0" applyAlignment="1" applyBorder="1" applyFont="1" applyNumberFormat="1">
      <alignment horizontal="right"/>
    </xf>
    <xf borderId="36" fillId="0" fontId="1" numFmtId="167" xfId="0" applyAlignment="1" applyBorder="1" applyFont="1" applyNumberFormat="1">
      <alignment horizontal="right"/>
    </xf>
    <xf borderId="8" fillId="0" fontId="10" numFmtId="0" xfId="0" applyAlignment="1" applyBorder="1" applyFont="1">
      <alignment horizontal="center"/>
    </xf>
    <xf borderId="4" fillId="10" fontId="1" numFmtId="0" xfId="0" applyBorder="1" applyFill="1" applyFont="1"/>
    <xf borderId="6" fillId="10" fontId="1" numFmtId="0" xfId="0" applyAlignment="1" applyBorder="1" applyFill="1" applyFont="1">
      <alignment horizontal="center"/>
    </xf>
    <xf borderId="6" fillId="10" fontId="1" numFmtId="0" xfId="0" applyBorder="1" applyFill="1" applyFont="1"/>
    <xf borderId="7" fillId="10" fontId="1" numFmtId="0" xfId="0" applyBorder="1" applyFill="1" applyFont="1"/>
    <xf borderId="9" fillId="10" fontId="1" numFmtId="0" xfId="0" applyAlignment="1" applyBorder="1" applyFill="1" applyFont="1">
      <alignment horizontal="left"/>
    </xf>
    <xf borderId="19" fillId="10" fontId="1" numFmtId="0" xfId="0" applyAlignment="1" applyBorder="1" applyFill="1" applyFont="1">
      <alignment horizontal="center" shrinkToFit="0" vertical="center" wrapText="1"/>
    </xf>
    <xf borderId="18" fillId="0" fontId="1" numFmtId="2" xfId="0" applyAlignment="1" applyBorder="1" applyFont="1" applyNumberFormat="1">
      <alignment horizontal="center"/>
    </xf>
    <xf borderId="47" fillId="10" fontId="1" numFmtId="0" xfId="0" applyBorder="1" applyFill="1" applyFont="1"/>
    <xf borderId="27" fillId="10" fontId="1" numFmtId="0" xfId="0" applyAlignment="1" applyBorder="1" applyFill="1" applyFont="1">
      <alignment horizontal="center"/>
    </xf>
    <xf borderId="27" fillId="10" fontId="1" numFmtId="0" xfId="0" applyBorder="1" applyFill="1" applyFont="1"/>
    <xf borderId="50" fillId="10" fontId="1" numFmtId="0" xfId="0" applyBorder="1" applyFill="1" applyFont="1"/>
    <xf borderId="53" fillId="10" fontId="1" numFmtId="0" xfId="0" applyAlignment="1" applyBorder="1" applyFill="1" applyFont="1">
      <alignment horizontal="left"/>
    </xf>
    <xf borderId="61" fillId="5" fontId="21" numFmtId="0" xfId="0" applyAlignment="1" applyBorder="1" applyFill="1" applyFont="1">
      <alignment horizontal="left"/>
    </xf>
    <xf borderId="32" fillId="10" fontId="1" numFmtId="0" xfId="0" applyAlignment="1" applyBorder="1" applyFill="1" applyFont="1">
      <alignment horizontal="left"/>
    </xf>
    <xf borderId="61" fillId="5" fontId="21" numFmtId="164" xfId="0" applyAlignment="1" applyBorder="1" applyFill="1" applyFont="1" applyNumberFormat="1">
      <alignment horizontal="center"/>
    </xf>
    <xf borderId="35" fillId="10" fontId="1" numFmtId="0" xfId="0" applyAlignment="1" applyBorder="1" applyFill="1" applyFont="1">
      <alignment horizontal="center"/>
    </xf>
    <xf borderId="58" fillId="10" fontId="1" numFmtId="0" xfId="0" applyBorder="1" applyFill="1" applyFont="1"/>
    <xf borderId="38" fillId="10" fontId="1" numFmtId="0" xfId="0" applyAlignment="1" applyBorder="1" applyFill="1" applyFont="1">
      <alignment horizontal="left"/>
    </xf>
    <xf borderId="12" fillId="44" fontId="23" numFmtId="2" xfId="0" applyAlignment="1" applyBorder="1" applyFill="1" applyFont="1" applyNumberFormat="1">
      <alignment horizontal="center" vertical="center"/>
    </xf>
    <xf borderId="12" fillId="10" fontId="11" numFmtId="0" xfId="0" applyAlignment="1" applyBorder="1" applyFill="1" applyFont="1">
      <alignment horizontal="center"/>
    </xf>
    <xf borderId="63" fillId="54" fontId="1" numFmtId="0" xfId="0" applyBorder="1" applyFill="1" applyFont="1"/>
    <xf borderId="33" fillId="0" fontId="10" numFmtId="0" xfId="0" applyBorder="1" applyFont="1"/>
    <xf borderId="35" fillId="54" fontId="1" numFmtId="0" xfId="0" applyAlignment="1" applyBorder="1" applyFill="1" applyFont="1">
      <alignment horizontal="center"/>
    </xf>
    <xf borderId="6" fillId="0" fontId="7" numFmtId="167" xfId="0" applyAlignment="1" applyBorder="1" applyFont="1" applyNumberFormat="1">
      <alignment horizontal="right"/>
    </xf>
    <xf borderId="7" fillId="0" fontId="7" numFmtId="167" xfId="0" applyAlignment="1" applyBorder="1" applyFont="1" applyNumberFormat="1">
      <alignment horizontal="right"/>
    </xf>
    <xf borderId="35" fillId="54" fontId="1" numFmtId="0" xfId="0" applyBorder="1" applyFill="1" applyFont="1"/>
    <xf borderId="36" fillId="54" fontId="1" numFmtId="0" xfId="0" applyBorder="1" applyFill="1" applyFont="1"/>
    <xf borderId="38" fillId="54" fontId="1" numFmtId="0" xfId="0" applyAlignment="1" applyBorder="1" applyFill="1" applyFont="1">
      <alignment horizontal="left"/>
    </xf>
    <xf borderId="25" fillId="0" fontId="7" numFmtId="167" xfId="0" applyAlignment="1" applyBorder="1" applyFont="1" applyNumberFormat="1">
      <alignment horizontal="right"/>
    </xf>
    <xf borderId="12" fillId="54" fontId="11" numFmtId="0" xfId="0" applyAlignment="1" applyBorder="1" applyFill="1" applyFont="1">
      <alignment horizontal="center"/>
    </xf>
    <xf borderId="27" fillId="0" fontId="7" numFmtId="167" xfId="0" applyAlignment="1" applyBorder="1" applyFont="1" applyNumberFormat="1">
      <alignment horizontal="right"/>
    </xf>
    <xf borderId="50" fillId="0" fontId="7" numFmtId="167" xfId="0" applyAlignment="1" applyBorder="1" applyFont="1" applyNumberFormat="1">
      <alignment horizontal="right"/>
    </xf>
    <xf borderId="22" fillId="0" fontId="1" numFmtId="0" xfId="0" applyAlignment="1" applyBorder="1" applyFont="1">
      <alignment horizontal="right" readingOrder="0"/>
    </xf>
    <xf borderId="23" fillId="0" fontId="4" numFmtId="0" xfId="0" applyBorder="1" applyFont="1"/>
    <xf borderId="8" fillId="55" fontId="153" numFmtId="0" xfId="0" applyAlignment="1" applyBorder="1" applyFill="1" applyFont="1">
      <alignment horizontal="center"/>
    </xf>
    <xf borderId="51" fillId="0" fontId="7" numFmtId="167" xfId="0" applyAlignment="1" applyBorder="1" applyFont="1" applyNumberFormat="1">
      <alignment horizontal="right"/>
    </xf>
    <xf borderId="54" fillId="0" fontId="7" numFmtId="167" xfId="0" applyAlignment="1" applyBorder="1" applyFont="1" applyNumberFormat="1">
      <alignment horizontal="right"/>
    </xf>
    <xf borderId="19" fillId="0" fontId="50" numFmtId="0" xfId="0" applyAlignment="1" applyBorder="1" applyFont="1">
      <alignment horizontal="center" vertical="center"/>
    </xf>
    <xf borderId="86" fillId="13" fontId="1" numFmtId="0" xfId="0" applyBorder="1" applyFill="1" applyFont="1"/>
    <xf borderId="88" fillId="13" fontId="1" numFmtId="0" xfId="0" applyAlignment="1" applyBorder="1" applyFill="1" applyFont="1">
      <alignment horizontal="center"/>
    </xf>
    <xf borderId="88" fillId="13" fontId="1" numFmtId="0" xfId="0" applyAlignment="1" applyBorder="1" applyFill="1" applyFont="1">
      <alignment horizontal="right"/>
    </xf>
    <xf borderId="92" fillId="13" fontId="1" numFmtId="0" xfId="0" applyAlignment="1" applyBorder="1" applyFill="1" applyFont="1">
      <alignment horizontal="right"/>
    </xf>
    <xf borderId="87" fillId="13" fontId="1" numFmtId="0" xfId="0" applyAlignment="1" applyBorder="1" applyFill="1" applyFont="1">
      <alignment horizontal="left"/>
    </xf>
    <xf borderId="5" fillId="4" fontId="1" numFmtId="0" xfId="0" applyAlignment="1" applyBorder="1" applyFill="1" applyFont="1">
      <alignment horizontal="right"/>
    </xf>
    <xf borderId="17" fillId="4" fontId="1" numFmtId="0" xfId="0" applyAlignment="1" applyBorder="1" applyFill="1" applyFont="1">
      <alignment horizontal="right"/>
    </xf>
    <xf borderId="18" fillId="4" fontId="1" numFmtId="0" xfId="0" applyBorder="1" applyFill="1" applyFont="1"/>
    <xf borderId="5" fillId="20" fontId="38" numFmtId="0" xfId="0" applyAlignment="1" applyBorder="1" applyFill="1" applyFont="1">
      <alignment horizontal="center"/>
    </xf>
    <xf borderId="12" fillId="0" fontId="95" numFmtId="0" xfId="0" applyBorder="1" applyFont="1"/>
    <xf borderId="50" fillId="0" fontId="71" numFmtId="0" xfId="0" applyAlignment="1" applyBorder="1" applyFont="1">
      <alignment horizontal="right"/>
    </xf>
    <xf borderId="51" fillId="0" fontId="1" numFmtId="0" xfId="0" applyAlignment="1" applyBorder="1" applyFont="1">
      <alignment horizontal="left"/>
    </xf>
    <xf borderId="19" fillId="0" fontId="1" numFmtId="0" xfId="0" applyAlignment="1" applyBorder="1" applyFont="1">
      <alignment horizontal="center" shrinkToFit="0" vertical="top" wrapText="1"/>
    </xf>
    <xf borderId="5" fillId="0" fontId="1" numFmtId="0" xfId="0" applyAlignment="1" applyBorder="1" applyFont="1">
      <alignment horizontal="left"/>
    </xf>
    <xf borderId="2" fillId="0" fontId="21" numFmtId="0" xfId="0" applyAlignment="1" applyBorder="1" applyFont="1">
      <alignment horizontal="center" shrinkToFit="0" vertical="center" wrapText="1"/>
    </xf>
    <xf borderId="26" fillId="47" fontId="1" numFmtId="0" xfId="0" applyBorder="1" applyFill="1" applyFont="1"/>
    <xf borderId="28" fillId="47" fontId="1" numFmtId="0" xfId="0" applyAlignment="1" applyBorder="1" applyFill="1" applyFont="1">
      <alignment horizontal="center"/>
    </xf>
    <xf borderId="28" fillId="47" fontId="1" numFmtId="0" xfId="0" applyAlignment="1" applyBorder="1" applyFill="1" applyFont="1">
      <alignment horizontal="right"/>
    </xf>
    <xf borderId="96" fillId="47" fontId="1" numFmtId="0" xfId="0" applyAlignment="1" applyBorder="1" applyFill="1" applyFont="1">
      <alignment horizontal="right"/>
    </xf>
    <xf borderId="34" fillId="47" fontId="1" numFmtId="0" xfId="0" applyBorder="1" applyFill="1" applyFont="1"/>
    <xf borderId="0" fillId="0" fontId="1" numFmtId="0" xfId="0" applyAlignment="1" applyFont="1">
      <alignment horizontal="left" shrinkToFit="0" vertical="top" wrapText="1"/>
    </xf>
    <xf borderId="80" fillId="0" fontId="11" numFmtId="0" xfId="0" applyBorder="1" applyFont="1"/>
    <xf borderId="44" fillId="0" fontId="38" numFmtId="0" xfId="0" applyAlignment="1" applyBorder="1" applyFont="1">
      <alignment horizontal="right"/>
    </xf>
    <xf borderId="20" fillId="0" fontId="38" numFmtId="0" xfId="0" applyAlignment="1" applyBorder="1" applyFont="1">
      <alignment horizontal="right"/>
    </xf>
    <xf borderId="108" fillId="0" fontId="71" numFmtId="0" xfId="0" applyAlignment="1" applyBorder="1" applyFont="1">
      <alignment horizontal="center" vertical="center"/>
    </xf>
    <xf borderId="1" fillId="5" fontId="95" numFmtId="0" xfId="0" applyAlignment="1" applyBorder="1" applyFill="1" applyFont="1">
      <alignment horizontal="center" shrinkToFit="0" vertical="center" wrapText="1"/>
    </xf>
    <xf borderId="27" fillId="5" fontId="38" numFmtId="0" xfId="0" applyAlignment="1" applyBorder="1" applyFill="1" applyFont="1">
      <alignment horizontal="right"/>
    </xf>
    <xf borderId="50" fillId="5" fontId="38" numFmtId="0" xfId="0" applyAlignment="1" applyBorder="1" applyFill="1" applyFont="1">
      <alignment horizontal="right"/>
    </xf>
    <xf borderId="53" fillId="5" fontId="1" numFmtId="0" xfId="0" applyBorder="1" applyFill="1" applyFont="1"/>
    <xf borderId="12" fillId="0" fontId="95" numFmtId="0" xfId="0" applyAlignment="1" applyBorder="1" applyFont="1">
      <alignment horizontal="center"/>
    </xf>
    <xf borderId="36" fillId="0" fontId="1" numFmtId="2" xfId="0" applyBorder="1" applyFont="1" applyNumberFormat="1"/>
    <xf borderId="7" fillId="0" fontId="1" numFmtId="2" xfId="0" applyBorder="1" applyFont="1" applyNumberFormat="1"/>
    <xf borderId="35" fillId="0" fontId="21" numFmtId="0" xfId="0" applyAlignment="1" applyBorder="1" applyFont="1">
      <alignment horizontal="center" vertical="center"/>
    </xf>
    <xf borderId="35" fillId="0" fontId="21" numFmtId="0" xfId="0" applyAlignment="1" applyBorder="1" applyFont="1">
      <alignment horizontal="right" readingOrder="0" vertical="center"/>
    </xf>
    <xf borderId="36" fillId="0" fontId="21" numFmtId="0" xfId="0" applyAlignment="1" applyBorder="1" applyFont="1">
      <alignment horizontal="right" vertical="center"/>
    </xf>
    <xf borderId="50" fillId="0" fontId="1" numFmtId="2" xfId="0" applyBorder="1" applyFont="1" applyNumberFormat="1"/>
    <xf borderId="3" fillId="0" fontId="1" numFmtId="0" xfId="0" applyAlignment="1" applyBorder="1" applyFont="1">
      <alignment horizontal="center" vertical="center"/>
    </xf>
    <xf borderId="5" fillId="0" fontId="1" numFmtId="1" xfId="0" applyAlignment="1" applyBorder="1" applyFont="1" applyNumberFormat="1">
      <alignment horizontal="right"/>
    </xf>
    <xf borderId="17" fillId="0" fontId="1" numFmtId="1" xfId="0" applyAlignment="1" applyBorder="1" applyFont="1" applyNumberFormat="1">
      <alignment horizontal="right"/>
    </xf>
    <xf borderId="50" fillId="0" fontId="1" numFmtId="0" xfId="0" applyAlignment="1" applyBorder="1" applyFont="1">
      <alignment horizontal="left"/>
    </xf>
    <xf borderId="31" fillId="0" fontId="1" numFmtId="0" xfId="0" applyAlignment="1" applyBorder="1" applyFont="1">
      <alignment horizontal="center"/>
    </xf>
    <xf borderId="5" fillId="0" fontId="17" numFmtId="2" xfId="0" applyAlignment="1" applyBorder="1" applyFont="1" applyNumberFormat="1">
      <alignment horizontal="center"/>
    </xf>
    <xf borderId="51" fillId="0" fontId="1" numFmtId="1" xfId="0" applyAlignment="1" applyBorder="1" applyFont="1" applyNumberFormat="1">
      <alignment horizontal="center" readingOrder="0"/>
    </xf>
    <xf borderId="54" fillId="0" fontId="1" numFmtId="1" xfId="0" applyAlignment="1" applyBorder="1" applyFont="1" applyNumberFormat="1">
      <alignment horizontal="center"/>
    </xf>
    <xf borderId="17" fillId="0" fontId="1" numFmtId="1" xfId="0" applyAlignment="1" applyBorder="1" applyFont="1" applyNumberFormat="1">
      <alignment horizontal="center"/>
    </xf>
    <xf borderId="21" fillId="0" fontId="38" numFmtId="0" xfId="0" applyBorder="1" applyFont="1"/>
    <xf borderId="15" fillId="0" fontId="1" numFmtId="1" xfId="0" applyAlignment="1" applyBorder="1" applyFont="1" applyNumberFormat="1">
      <alignment horizontal="center"/>
    </xf>
    <xf borderId="29" fillId="0" fontId="1" numFmtId="1" xfId="0" applyAlignment="1" applyBorder="1" applyFont="1" applyNumberFormat="1">
      <alignment horizontal="center"/>
    </xf>
    <xf borderId="17" fillId="0" fontId="1" numFmtId="166" xfId="0" applyAlignment="1" applyBorder="1" applyFont="1" applyNumberFormat="1">
      <alignment horizontal="center"/>
    </xf>
    <xf borderId="1" fillId="44" fontId="78" numFmtId="0" xfId="0" applyAlignment="1" applyBorder="1" applyFill="1" applyFont="1">
      <alignment horizontal="center" shrinkToFit="0" vertical="center" wrapText="1"/>
    </xf>
    <xf borderId="50" fillId="0" fontId="1" numFmtId="166" xfId="0" applyAlignment="1" applyBorder="1" applyFont="1" applyNumberFormat="1">
      <alignment horizontal="center"/>
    </xf>
    <xf borderId="7" fillId="0" fontId="1" numFmtId="166" xfId="0" applyAlignment="1" applyBorder="1" applyFont="1" applyNumberFormat="1">
      <alignment horizontal="center"/>
    </xf>
    <xf borderId="8" fillId="0" fontId="41" numFmtId="0" xfId="0" applyAlignment="1" applyBorder="1" applyFont="1">
      <alignment horizontal="center" shrinkToFit="0" vertical="center" wrapText="1"/>
    </xf>
    <xf borderId="14" fillId="0" fontId="9" numFmtId="0" xfId="0" applyAlignment="1" applyBorder="1" applyFont="1">
      <alignment shrinkToFit="0" wrapText="1"/>
    </xf>
    <xf borderId="16" fillId="0" fontId="9" numFmtId="0" xfId="0" applyAlignment="1" applyBorder="1" applyFont="1">
      <alignment shrinkToFit="0" wrapText="1"/>
    </xf>
    <xf borderId="54" fillId="0" fontId="1" numFmtId="166" xfId="0" applyAlignment="1" applyBorder="1" applyFont="1" applyNumberFormat="1">
      <alignment horizontal="center"/>
    </xf>
    <xf borderId="4" fillId="0" fontId="9" numFmtId="0" xfId="0" applyAlignment="1" applyBorder="1" applyFont="1">
      <alignment shrinkToFit="0" wrapText="1"/>
    </xf>
    <xf borderId="9" fillId="0" fontId="9" numFmtId="0" xfId="0" applyAlignment="1" applyBorder="1" applyFont="1">
      <alignment shrinkToFit="0" wrapText="1"/>
    </xf>
    <xf borderId="13" fillId="0" fontId="9" numFmtId="0" xfId="0" applyAlignment="1" applyBorder="1" applyFont="1">
      <alignment shrinkToFit="0" wrapText="1"/>
    </xf>
    <xf borderId="18" fillId="0" fontId="9" numFmtId="0" xfId="0" applyAlignment="1" applyBorder="1" applyFont="1">
      <alignment shrinkToFit="0" wrapText="1"/>
    </xf>
    <xf borderId="47" fillId="0" fontId="9" numFmtId="0" xfId="0" applyAlignment="1" applyBorder="1" applyFont="1">
      <alignment shrinkToFit="0" wrapText="1"/>
    </xf>
    <xf borderId="53" fillId="0" fontId="9" numFmtId="0" xfId="0" applyAlignment="1" applyBorder="1" applyFont="1">
      <alignment shrinkToFit="0" wrapText="1"/>
    </xf>
    <xf borderId="12" fillId="56" fontId="1" numFmtId="0" xfId="0" applyBorder="1" applyFill="1" applyFont="1"/>
    <xf borderId="52" fillId="0" fontId="9" numFmtId="0" xfId="0" applyAlignment="1" applyBorder="1" applyFont="1">
      <alignment shrinkToFit="0" wrapText="1"/>
    </xf>
    <xf borderId="60" fillId="0" fontId="9" numFmtId="0" xfId="0" applyAlignment="1" applyBorder="1" applyFont="1">
      <alignment shrinkToFit="0" wrapText="1"/>
    </xf>
    <xf borderId="55" fillId="0" fontId="9" numFmtId="0" xfId="0" applyAlignment="1" applyBorder="1" applyFont="1">
      <alignment shrinkToFit="0" wrapText="1"/>
    </xf>
    <xf borderId="59" fillId="0" fontId="9" numFmtId="0" xfId="0" applyAlignment="1" applyBorder="1" applyFont="1">
      <alignment shrinkToFit="0" wrapText="1"/>
    </xf>
    <xf borderId="11" fillId="0" fontId="21" numFmtId="0" xfId="0" applyBorder="1" applyFont="1"/>
    <xf borderId="2" fillId="0" fontId="1" numFmtId="0" xfId="0" applyAlignment="1" applyBorder="1" applyFont="1">
      <alignment vertical="center"/>
    </xf>
    <xf borderId="0" fillId="0" fontId="85" numFmtId="0" xfId="0" applyAlignment="1" applyFont="1">
      <alignment shrinkToFit="0" wrapText="1"/>
    </xf>
    <xf borderId="21" fillId="0" fontId="9" numFmtId="0" xfId="0" applyAlignment="1" applyBorder="1" applyFont="1">
      <alignment shrinkToFit="0" wrapText="1"/>
    </xf>
    <xf borderId="30" fillId="0" fontId="9" numFmtId="0" xfId="0" applyAlignment="1" applyBorder="1" applyFont="1">
      <alignment shrinkToFit="0" wrapText="1"/>
    </xf>
    <xf borderId="66" fillId="0" fontId="9" numFmtId="0" xfId="0" applyAlignment="1" applyBorder="1" applyFont="1">
      <alignment shrinkToFit="0" wrapText="1"/>
    </xf>
    <xf borderId="68" fillId="0" fontId="9" numFmtId="0" xfId="0" applyAlignment="1" applyBorder="1" applyFont="1">
      <alignment shrinkToFit="0" wrapText="1"/>
    </xf>
    <xf borderId="0" fillId="0" fontId="21" numFmtId="15" xfId="0" applyAlignment="1" applyFont="1" applyNumberFormat="1">
      <alignment horizontal="right"/>
    </xf>
    <xf borderId="29" fillId="0" fontId="4" numFmtId="0" xfId="0" applyAlignment="1" applyBorder="1" applyFont="1">
      <alignment horizontal="center"/>
    </xf>
    <xf borderId="16" fillId="0" fontId="9" numFmtId="0" xfId="0" applyAlignment="1" applyBorder="1" applyFont="1">
      <alignment horizontal="center"/>
    </xf>
    <xf borderId="9" fillId="0" fontId="9" numFmtId="2" xfId="0" applyAlignment="1" applyBorder="1" applyFont="1" applyNumberFormat="1">
      <alignment horizontal="center"/>
    </xf>
    <xf borderId="8" fillId="0" fontId="8" numFmtId="0" xfId="0" applyAlignment="1" applyBorder="1" applyFont="1">
      <alignment horizontal="center" shrinkToFit="0" vertical="center" wrapText="1"/>
    </xf>
    <xf borderId="18" fillId="0" fontId="9" numFmtId="2" xfId="0" applyAlignment="1" applyBorder="1" applyFont="1" applyNumberFormat="1">
      <alignment horizontal="center"/>
    </xf>
    <xf borderId="9" fillId="0" fontId="9" numFmtId="0" xfId="0" applyAlignment="1" applyBorder="1" applyFont="1">
      <alignment horizontal="center"/>
    </xf>
    <xf borderId="18" fillId="0" fontId="9" numFmtId="0" xfId="0" applyAlignment="1" applyBorder="1" applyFont="1">
      <alignment horizontal="center"/>
    </xf>
    <xf borderId="55" fillId="0" fontId="5" numFmtId="0" xfId="0" applyAlignment="1" applyBorder="1" applyFont="1">
      <alignment horizontal="left"/>
    </xf>
    <xf borderId="71" fillId="23" fontId="1" numFmtId="0" xfId="0" applyAlignment="1" applyBorder="1" applyFill="1" applyFont="1">
      <alignment horizontal="left"/>
    </xf>
    <xf borderId="71" fillId="9" fontId="1" numFmtId="0" xfId="0" applyAlignment="1" applyBorder="1" applyFill="1" applyFont="1">
      <alignment horizontal="left"/>
    </xf>
    <xf borderId="61" fillId="23" fontId="1" numFmtId="0" xfId="0" applyBorder="1" applyFill="1" applyFont="1"/>
    <xf borderId="0" fillId="0" fontId="1" numFmtId="0" xfId="0" applyAlignment="1" applyFont="1">
      <alignment horizontal="right" shrinkToFit="0" wrapText="1"/>
    </xf>
    <xf borderId="33" fillId="0" fontId="6" numFmtId="0" xfId="0" applyAlignment="1" applyBorder="1" applyFont="1">
      <alignment vertical="center"/>
    </xf>
    <xf borderId="48" fillId="0" fontId="6" numFmtId="0" xfId="0" applyAlignment="1" applyBorder="1" applyFont="1">
      <alignment vertical="center"/>
    </xf>
    <xf borderId="10" fillId="0" fontId="12" numFmtId="0" xfId="0" applyAlignment="1" applyBorder="1" applyFont="1">
      <alignment horizontal="center"/>
    </xf>
    <xf borderId="10" fillId="0" fontId="12" numFmtId="0" xfId="0" applyAlignment="1" applyBorder="1" applyFont="1">
      <alignment horizontal="right"/>
    </xf>
    <xf borderId="11" fillId="0" fontId="12" numFmtId="0" xfId="0" applyAlignment="1" applyBorder="1" applyFont="1">
      <alignment horizontal="center"/>
    </xf>
    <xf borderId="1" fillId="13" fontId="21" numFmtId="0" xfId="0" applyAlignment="1" applyBorder="1" applyFill="1" applyFont="1">
      <alignment horizontal="center" shrinkToFit="0" wrapText="1"/>
    </xf>
    <xf borderId="0" fillId="13" fontId="21" numFmtId="0" xfId="0" applyAlignment="1" applyFill="1" applyFont="1">
      <alignment horizontal="center" shrinkToFit="0" wrapText="1"/>
    </xf>
    <xf borderId="8" fillId="0" fontId="6" numFmtId="2" xfId="0" applyAlignment="1" applyBorder="1" applyFont="1" applyNumberFormat="1">
      <alignment horizontal="center" shrinkToFit="0" wrapText="1"/>
    </xf>
    <xf borderId="0" fillId="0" fontId="11" numFmtId="2" xfId="0" applyAlignment="1" applyFont="1" applyNumberFormat="1">
      <alignment horizontal="center" shrinkToFit="0" wrapText="1"/>
    </xf>
    <xf borderId="21" fillId="0" fontId="1" numFmtId="2" xfId="0" applyBorder="1" applyFont="1" applyNumberFormat="1"/>
    <xf borderId="19" fillId="0" fontId="100" numFmtId="0" xfId="0" applyAlignment="1" applyBorder="1" applyFont="1">
      <alignment horizontal="center" shrinkToFit="0" vertical="center" wrapText="1"/>
    </xf>
    <xf borderId="47" fillId="0" fontId="11" numFmtId="2" xfId="0" applyBorder="1" applyFont="1" applyNumberFormat="1"/>
    <xf borderId="66" fillId="0" fontId="21" numFmtId="2" xfId="0" applyBorder="1" applyFont="1" applyNumberFormat="1"/>
    <xf borderId="12" fillId="0" fontId="11" numFmtId="0" xfId="0" applyAlignment="1" applyBorder="1" applyFont="1">
      <alignment shrinkToFit="0" wrapText="1"/>
    </xf>
    <xf borderId="32" fillId="0" fontId="21" numFmtId="2" xfId="0" applyBorder="1" applyFont="1" applyNumberFormat="1"/>
    <xf borderId="139" fillId="7" fontId="23" numFmtId="0" xfId="0" applyAlignment="1" applyBorder="1" applyFill="1" applyFont="1">
      <alignment horizontal="center"/>
    </xf>
    <xf borderId="140" fillId="0" fontId="3" numFmtId="0" xfId="0" applyBorder="1" applyFont="1"/>
    <xf borderId="141" fillId="0" fontId="3" numFmtId="0" xfId="0" applyBorder="1" applyFont="1"/>
    <xf borderId="32" fillId="0" fontId="23" numFmtId="0" xfId="0" applyBorder="1" applyFont="1"/>
    <xf borderId="35" fillId="0" fontId="151" numFmtId="0" xfId="0" applyAlignment="1" applyBorder="1" applyFont="1">
      <alignment horizontal="right"/>
    </xf>
    <xf borderId="38" fillId="0" fontId="154" numFmtId="0" xfId="0" applyBorder="1" applyFont="1"/>
    <xf borderId="51" fillId="0" fontId="155" numFmtId="0" xfId="0" applyBorder="1" applyFont="1"/>
    <xf borderId="51" fillId="0" fontId="83" numFmtId="0" xfId="0" applyBorder="1" applyFont="1"/>
    <xf borderId="5" fillId="0" fontId="155" numFmtId="0" xfId="0" applyBorder="1" applyFont="1"/>
    <xf borderId="5" fillId="0" fontId="83" numFmtId="0" xfId="0" applyBorder="1" applyFont="1"/>
    <xf borderId="86" fillId="3" fontId="1" numFmtId="0" xfId="0" applyBorder="1" applyFill="1" applyFont="1"/>
    <xf borderId="88" fillId="3" fontId="17" numFmtId="0" xfId="0" applyAlignment="1" applyBorder="1" applyFill="1" applyFont="1">
      <alignment horizontal="center"/>
    </xf>
    <xf borderId="88" fillId="3" fontId="17" numFmtId="0" xfId="0" applyAlignment="1" applyBorder="1" applyFill="1" applyFont="1">
      <alignment horizontal="right"/>
    </xf>
    <xf borderId="92" fillId="3" fontId="17" numFmtId="0" xfId="0" applyAlignment="1" applyBorder="1" applyFill="1" applyFont="1">
      <alignment horizontal="right"/>
    </xf>
    <xf borderId="87" fillId="3" fontId="1" numFmtId="0" xfId="0" applyBorder="1" applyFill="1" applyFont="1"/>
    <xf borderId="86" fillId="11" fontId="1" numFmtId="0" xfId="0" applyBorder="1" applyFill="1" applyFont="1"/>
    <xf borderId="88" fillId="11" fontId="17" numFmtId="0" xfId="0" applyAlignment="1" applyBorder="1" applyFill="1" applyFont="1">
      <alignment horizontal="center"/>
    </xf>
    <xf borderId="88" fillId="11" fontId="17" numFmtId="0" xfId="0" applyAlignment="1" applyBorder="1" applyFill="1" applyFont="1">
      <alignment horizontal="right"/>
    </xf>
    <xf borderId="92" fillId="11" fontId="17" numFmtId="0" xfId="0" applyAlignment="1" applyBorder="1" applyFill="1" applyFont="1">
      <alignment horizontal="right"/>
    </xf>
    <xf borderId="87" fillId="11" fontId="1" numFmtId="0" xfId="0" applyBorder="1" applyFill="1" applyFont="1"/>
    <xf borderId="24" fillId="5" fontId="8" numFmtId="0" xfId="0" applyBorder="1" applyFill="1" applyFont="1"/>
    <xf borderId="0" fillId="0" fontId="21" numFmtId="164" xfId="0" applyAlignment="1" applyFont="1" applyNumberFormat="1">
      <alignment horizontal="center"/>
    </xf>
    <xf borderId="14" fillId="0" fontId="10" numFmtId="0" xfId="0" applyAlignment="1" applyBorder="1" applyFont="1">
      <alignment horizontal="left"/>
    </xf>
    <xf borderId="15" fillId="0" fontId="4" numFmtId="2" xfId="0" applyAlignment="1" applyBorder="1" applyFont="1" applyNumberFormat="1">
      <alignment horizontal="right" readingOrder="0"/>
    </xf>
    <xf borderId="29" fillId="0" fontId="4" numFmtId="2" xfId="0" applyAlignment="1" applyBorder="1" applyFont="1" applyNumberFormat="1">
      <alignment horizontal="right"/>
    </xf>
    <xf borderId="4" fillId="0" fontId="4" numFmtId="0" xfId="0" applyAlignment="1" applyBorder="1" applyFont="1">
      <alignment horizontal="left"/>
    </xf>
    <xf borderId="8" fillId="0" fontId="50" numFmtId="0" xfId="0" applyAlignment="1" applyBorder="1" applyFont="1">
      <alignment horizontal="center" shrinkToFit="0" vertical="center" wrapText="1"/>
    </xf>
    <xf borderId="22" fillId="0" fontId="4" numFmtId="2" xfId="0" applyAlignment="1" applyBorder="1" applyFont="1" applyNumberFormat="1">
      <alignment horizontal="right"/>
    </xf>
    <xf borderId="25" fillId="0" fontId="4" numFmtId="2" xfId="0" applyAlignment="1" applyBorder="1" applyFont="1" applyNumberFormat="1">
      <alignment horizontal="right"/>
    </xf>
    <xf borderId="1" fillId="0" fontId="50" numFmtId="0" xfId="0" applyAlignment="1" applyBorder="1" applyFont="1">
      <alignment horizontal="center" shrinkToFit="0" wrapText="1"/>
    </xf>
    <xf borderId="32" fillId="5" fontId="156" numFmtId="2" xfId="0" applyAlignment="1" applyBorder="1" applyFill="1" applyFont="1" applyNumberFormat="1">
      <alignment horizontal="center" vertical="center"/>
    </xf>
    <xf borderId="53" fillId="5" fontId="21" numFmtId="15" xfId="0" applyAlignment="1" applyBorder="1" applyFill="1" applyFont="1" applyNumberFormat="1">
      <alignment horizontal="center"/>
    </xf>
    <xf borderId="8" fillId="0" fontId="91" numFmtId="0" xfId="0" applyAlignment="1" applyBorder="1" applyFont="1">
      <alignment horizontal="center" vertical="center"/>
    </xf>
    <xf borderId="6" fillId="0" fontId="1" numFmtId="1" xfId="0" applyAlignment="1" applyBorder="1" applyFont="1" applyNumberFormat="1">
      <alignment horizontal="right"/>
    </xf>
    <xf borderId="7" fillId="0" fontId="1" numFmtId="1" xfId="0" applyAlignment="1" applyBorder="1" applyFont="1" applyNumberFormat="1">
      <alignment horizontal="right"/>
    </xf>
    <xf borderId="19" fillId="0" fontId="146" numFmtId="0" xfId="0" applyAlignment="1" applyBorder="1" applyFont="1">
      <alignment horizontal="center" shrinkToFit="0" vertical="center" wrapText="1"/>
    </xf>
    <xf borderId="32" fillId="6" fontId="7" numFmtId="0" xfId="0" applyBorder="1" applyFill="1" applyFont="1"/>
    <xf borderId="35" fillId="6" fontId="13" numFmtId="0" xfId="0" applyAlignment="1" applyBorder="1" applyFill="1" applyFont="1">
      <alignment horizontal="right"/>
    </xf>
    <xf borderId="35" fillId="6" fontId="7" numFmtId="0" xfId="0" applyBorder="1" applyFill="1" applyFont="1"/>
    <xf borderId="38" fillId="6" fontId="7" numFmtId="0" xfId="0" applyBorder="1" applyFill="1" applyFont="1"/>
    <xf borderId="14" fillId="0" fontId="1" numFmtId="0" xfId="0" applyAlignment="1" applyBorder="1" applyFont="1">
      <alignment horizontal="left" shrinkToFit="0" vertical="center" wrapText="1"/>
    </xf>
    <xf borderId="15" fillId="0" fontId="1" numFmtId="0" xfId="0" applyAlignment="1" applyBorder="1" applyFont="1">
      <alignment horizontal="right" readingOrder="0" shrinkToFit="0" vertical="center" wrapText="1"/>
    </xf>
    <xf borderId="29" fillId="0" fontId="1" numFmtId="0" xfId="0" applyAlignment="1" applyBorder="1" applyFont="1">
      <alignment horizontal="right" shrinkToFit="0" vertical="center" wrapText="1"/>
    </xf>
    <xf borderId="16" fillId="0" fontId="1" numFmtId="0" xfId="0" applyAlignment="1" applyBorder="1" applyFont="1">
      <alignment horizontal="left" shrinkToFit="0" vertical="center" wrapText="1"/>
    </xf>
    <xf borderId="45" fillId="0" fontId="11" numFmtId="0" xfId="0" applyAlignment="1" applyBorder="1" applyFont="1">
      <alignment horizontal="center" shrinkToFit="0" wrapText="1"/>
    </xf>
    <xf borderId="8" fillId="0" fontId="157" numFmtId="0" xfId="0" applyAlignment="1" applyBorder="1" applyFont="1">
      <alignment horizontal="center"/>
    </xf>
    <xf borderId="80" fillId="0" fontId="7" numFmtId="0" xfId="0" applyAlignment="1" applyBorder="1" applyFont="1">
      <alignment horizontal="right"/>
    </xf>
    <xf borderId="113" fillId="0" fontId="7" numFmtId="0" xfId="0" applyAlignment="1" applyBorder="1" applyFont="1">
      <alignment horizontal="right"/>
    </xf>
    <xf borderId="113" fillId="0" fontId="4" numFmtId="0" xfId="0" applyBorder="1" applyFont="1"/>
    <xf borderId="54" fillId="0" fontId="4" numFmtId="2" xfId="0" applyAlignment="1" applyBorder="1" applyFont="1" applyNumberFormat="1">
      <alignment horizontal="center"/>
    </xf>
    <xf borderId="73" fillId="0" fontId="7" numFmtId="0" xfId="0" applyAlignment="1" applyBorder="1" applyFont="1">
      <alignment horizontal="right"/>
    </xf>
    <xf borderId="142" fillId="0" fontId="7" numFmtId="0" xfId="0" applyAlignment="1" applyBorder="1" applyFont="1">
      <alignment horizontal="right"/>
    </xf>
    <xf borderId="142" fillId="0" fontId="4" numFmtId="0" xfId="0" applyBorder="1" applyFont="1"/>
    <xf borderId="83" fillId="0" fontId="7" numFmtId="0" xfId="0" applyAlignment="1" applyBorder="1" applyFont="1">
      <alignment horizontal="right"/>
    </xf>
    <xf borderId="126" fillId="0" fontId="7" numFmtId="0" xfId="0" applyAlignment="1" applyBorder="1" applyFont="1">
      <alignment horizontal="right"/>
    </xf>
    <xf borderId="126" fillId="0" fontId="4" numFmtId="0" xfId="0" applyBorder="1" applyFont="1"/>
    <xf borderId="50" fillId="0" fontId="4" numFmtId="2" xfId="0" applyAlignment="1" applyBorder="1" applyFont="1" applyNumberFormat="1">
      <alignment horizontal="center"/>
    </xf>
    <xf borderId="93" fillId="0" fontId="7" numFmtId="0" xfId="0" applyAlignment="1" applyBorder="1" applyFont="1">
      <alignment horizontal="right"/>
    </xf>
    <xf borderId="127" fillId="0" fontId="7" numFmtId="0" xfId="0" applyAlignment="1" applyBorder="1" applyFont="1">
      <alignment horizontal="right"/>
    </xf>
    <xf borderId="127" fillId="0" fontId="4" numFmtId="0" xfId="0" applyBorder="1" applyFont="1"/>
    <xf borderId="20" fillId="0" fontId="4" numFmtId="2" xfId="0" applyAlignment="1" applyBorder="1" applyFont="1" applyNumberFormat="1">
      <alignment horizontal="center"/>
    </xf>
    <xf borderId="0" fillId="0" fontId="4" numFmtId="2" xfId="0" applyAlignment="1" applyFont="1" applyNumberFormat="1">
      <alignment horizontal="right"/>
    </xf>
    <xf borderId="33" fillId="0" fontId="4" numFmtId="0" xfId="0" applyBorder="1" applyFont="1"/>
    <xf borderId="12" fillId="0" fontId="7" numFmtId="0" xfId="0" applyAlignment="1" applyBorder="1" applyFont="1">
      <alignment horizontal="right" readingOrder="0"/>
    </xf>
    <xf borderId="11" fillId="0" fontId="7" numFmtId="0" xfId="0" applyAlignment="1" applyBorder="1" applyFont="1">
      <alignment horizontal="right"/>
    </xf>
    <xf borderId="112" fillId="0" fontId="7" numFmtId="0" xfId="0" applyAlignment="1" applyBorder="1" applyFont="1">
      <alignment horizontal="right"/>
    </xf>
    <xf borderId="120" fillId="0" fontId="7" numFmtId="0" xfId="0" applyAlignment="1" applyBorder="1" applyFont="1">
      <alignment horizontal="right"/>
    </xf>
    <xf borderId="121" fillId="0" fontId="7" numFmtId="0" xfId="0" applyAlignment="1" applyBorder="1" applyFont="1">
      <alignment horizontal="right"/>
    </xf>
    <xf borderId="143" fillId="0" fontId="7" numFmtId="0" xfId="0" applyAlignment="1" applyBorder="1" applyFont="1">
      <alignment horizontal="right"/>
    </xf>
    <xf borderId="128" fillId="0" fontId="7" numFmtId="0" xfId="0" applyAlignment="1" applyBorder="1" applyFont="1">
      <alignment horizontal="right"/>
    </xf>
    <xf borderId="12" fillId="7" fontId="1" numFmtId="0" xfId="0" applyAlignment="1" applyBorder="1" applyFill="1" applyFont="1">
      <alignment horizontal="center"/>
    </xf>
    <xf borderId="31" fillId="0" fontId="1" numFmtId="0" xfId="0" applyAlignment="1" applyBorder="1" applyFont="1">
      <alignment horizontal="center" vertical="center"/>
    </xf>
    <xf borderId="63" fillId="3" fontId="12" numFmtId="0" xfId="0" applyAlignment="1" applyBorder="1" applyFill="1" applyFont="1">
      <alignment horizontal="center" shrinkToFit="0" vertical="center" wrapText="1"/>
    </xf>
    <xf borderId="144" fillId="21" fontId="1" numFmtId="0" xfId="0" applyAlignment="1" applyBorder="1" applyFill="1" applyFont="1">
      <alignment horizontal="center" shrinkToFit="0" vertical="top" wrapText="1"/>
    </xf>
    <xf borderId="0" fillId="21" fontId="1" numFmtId="0" xfId="0" applyAlignment="1" applyFill="1" applyFont="1">
      <alignment horizontal="center" shrinkToFit="0" vertical="top" wrapText="1"/>
    </xf>
    <xf borderId="145" fillId="0" fontId="3" numFmtId="0" xfId="0" applyBorder="1" applyFont="1"/>
    <xf borderId="104" fillId="5" fontId="1" numFmtId="0" xfId="0" applyBorder="1" applyFill="1" applyFont="1"/>
    <xf borderId="41" fillId="5" fontId="1" numFmtId="15" xfId="0" applyAlignment="1" applyBorder="1" applyFill="1" applyFont="1" applyNumberFormat="1">
      <alignment horizontal="center"/>
    </xf>
    <xf borderId="0" fillId="0" fontId="1" numFmtId="0" xfId="0" applyAlignment="1" applyFont="1">
      <alignment horizontal="right" shrinkToFit="0" vertical="top" wrapText="1"/>
    </xf>
    <xf borderId="6" fillId="0" fontId="4" numFmtId="0" xfId="0" applyAlignment="1" applyBorder="1" applyFont="1">
      <alignment horizontal="right" readingOrder="0"/>
    </xf>
    <xf borderId="7" fillId="0" fontId="4" numFmtId="0" xfId="0" applyAlignment="1" applyBorder="1" applyFont="1">
      <alignment horizontal="right" readingOrder="0"/>
    </xf>
    <xf borderId="32" fillId="0" fontId="11" numFmtId="0" xfId="0" applyAlignment="1" applyBorder="1" applyFont="1">
      <alignment horizontal="center" shrinkToFit="0" vertical="center" wrapText="1"/>
    </xf>
    <xf borderId="5" fillId="5" fontId="8" numFmtId="0" xfId="0" applyBorder="1" applyFill="1" applyFont="1"/>
    <xf borderId="5" fillId="5" fontId="8" numFmtId="164" xfId="0" applyAlignment="1" applyBorder="1" applyFill="1" applyFont="1" applyNumberFormat="1">
      <alignment horizontal="center"/>
    </xf>
    <xf borderId="121" fillId="0" fontId="11" numFmtId="0" xfId="0" applyAlignment="1" applyBorder="1" applyFont="1">
      <alignment horizontal="center" shrinkToFit="0" vertical="center" wrapText="1"/>
    </xf>
    <xf borderId="32" fillId="0" fontId="10" numFmtId="0" xfId="0" applyAlignment="1" applyBorder="1" applyFont="1">
      <alignment horizontal="left"/>
    </xf>
    <xf borderId="35" fillId="0" fontId="4" numFmtId="0" xfId="0" applyAlignment="1" applyBorder="1" applyFont="1">
      <alignment horizontal="right"/>
    </xf>
    <xf borderId="36" fillId="0" fontId="4" numFmtId="0" xfId="0" applyAlignment="1" applyBorder="1" applyFont="1">
      <alignment horizontal="right"/>
    </xf>
    <xf borderId="51" fillId="0" fontId="4" numFmtId="0" xfId="0" applyAlignment="1" applyBorder="1" applyFont="1">
      <alignment horizontal="center"/>
    </xf>
    <xf borderId="14" fillId="0" fontId="147" numFmtId="0" xfId="0" applyBorder="1" applyFont="1"/>
    <xf borderId="15" fillId="0" fontId="148" numFmtId="0" xfId="0" applyAlignment="1" applyBorder="1" applyFont="1">
      <alignment horizontal="center"/>
    </xf>
    <xf borderId="15" fillId="0" fontId="148" numFmtId="0" xfId="0" applyAlignment="1" applyBorder="1" applyFont="1">
      <alignment horizontal="right"/>
    </xf>
    <xf borderId="29" fillId="0" fontId="148" numFmtId="0" xfId="0" applyAlignment="1" applyBorder="1" applyFont="1">
      <alignment horizontal="right"/>
    </xf>
    <xf borderId="16" fillId="0" fontId="148" numFmtId="0" xfId="0" applyBorder="1" applyFont="1"/>
    <xf borderId="19" fillId="0" fontId="12" numFmtId="0" xfId="0" applyAlignment="1" applyBorder="1" applyFont="1">
      <alignment horizontal="center" shrinkToFit="0" vertical="center" wrapText="1"/>
    </xf>
    <xf borderId="4" fillId="49" fontId="38" numFmtId="0" xfId="0" applyBorder="1" applyFill="1" applyFont="1"/>
    <xf borderId="6" fillId="49" fontId="13" numFmtId="0" xfId="0" applyAlignment="1" applyBorder="1" applyFill="1" applyFont="1">
      <alignment horizontal="center"/>
    </xf>
    <xf borderId="6" fillId="49" fontId="13" numFmtId="0" xfId="0" applyAlignment="1" applyBorder="1" applyFill="1" applyFont="1">
      <alignment horizontal="right"/>
    </xf>
    <xf borderId="7" fillId="49" fontId="13" numFmtId="0" xfId="0" applyAlignment="1" applyBorder="1" applyFill="1" applyFont="1">
      <alignment horizontal="right"/>
    </xf>
    <xf borderId="9" fillId="49" fontId="9" numFmtId="0" xfId="0" applyBorder="1" applyFill="1" applyFont="1"/>
    <xf borderId="13" fillId="15" fontId="38" numFmtId="0" xfId="0" applyBorder="1" applyFill="1" applyFont="1"/>
    <xf borderId="5" fillId="15" fontId="13" numFmtId="0" xfId="0" applyAlignment="1" applyBorder="1" applyFill="1" applyFont="1">
      <alignment horizontal="center"/>
    </xf>
    <xf borderId="5" fillId="15" fontId="13" numFmtId="0" xfId="0" applyAlignment="1" applyBorder="1" applyFill="1" applyFont="1">
      <alignment horizontal="right"/>
    </xf>
    <xf borderId="17" fillId="15" fontId="13" numFmtId="0" xfId="0" applyAlignment="1" applyBorder="1" applyFill="1" applyFont="1">
      <alignment horizontal="right"/>
    </xf>
    <xf borderId="18" fillId="15" fontId="9" numFmtId="0" xfId="0" applyBorder="1" applyFill="1" applyFont="1"/>
    <xf borderId="38" fillId="5" fontId="47" numFmtId="15" xfId="0" applyAlignment="1" applyBorder="1" applyFill="1" applyFont="1" applyNumberFormat="1">
      <alignment horizontal="center"/>
    </xf>
    <xf borderId="91" fillId="8" fontId="21" numFmtId="0" xfId="0" applyAlignment="1" applyBorder="1" applyFill="1" applyFont="1">
      <alignment horizontal="center" shrinkToFit="0" vertical="center" wrapText="1"/>
    </xf>
    <xf borderId="5" fillId="0" fontId="7" numFmtId="0" xfId="0" applyAlignment="1" applyBorder="1" applyFont="1">
      <alignment shrinkToFit="0" wrapText="1"/>
    </xf>
    <xf borderId="22" fillId="0" fontId="7" numFmtId="0" xfId="0" applyAlignment="1" applyBorder="1" applyFont="1">
      <alignment horizontal="center" shrinkToFit="0" vertical="center" wrapText="1"/>
    </xf>
    <xf borderId="27" fillId="0" fontId="1" numFmtId="1" xfId="0" applyAlignment="1" applyBorder="1" applyFont="1" applyNumberFormat="1">
      <alignment horizontal="right"/>
    </xf>
    <xf borderId="50" fillId="0" fontId="1" numFmtId="1" xfId="0" applyAlignment="1" applyBorder="1" applyFont="1" applyNumberFormat="1">
      <alignment horizontal="right"/>
    </xf>
    <xf borderId="62" fillId="48" fontId="69" numFmtId="0" xfId="0" applyAlignment="1" applyBorder="1" applyFill="1" applyFont="1">
      <alignment horizontal="left" shrinkToFit="0" vertical="center" wrapText="1"/>
    </xf>
    <xf borderId="72" fillId="48" fontId="69" numFmtId="0" xfId="0" applyAlignment="1" applyBorder="1" applyFill="1" applyFont="1">
      <alignment horizontal="left" shrinkToFit="0" vertical="center" wrapText="1"/>
    </xf>
    <xf borderId="72" fillId="48" fontId="69" numFmtId="0" xfId="0" applyAlignment="1" applyBorder="1" applyFill="1" applyFont="1">
      <alignment horizontal="right" shrinkToFit="0" vertical="center" wrapText="1"/>
    </xf>
    <xf borderId="91" fillId="48" fontId="69" numFmtId="0" xfId="0" applyAlignment="1" applyBorder="1" applyFill="1" applyFont="1">
      <alignment horizontal="left" shrinkToFit="0" vertical="center" wrapText="1"/>
    </xf>
    <xf borderId="71" fillId="48" fontId="69" numFmtId="0" xfId="0" applyAlignment="1" applyBorder="1" applyFill="1" applyFont="1">
      <alignment horizontal="left" shrinkToFit="0" vertical="center" wrapText="1"/>
    </xf>
    <xf borderId="61" fillId="48" fontId="69" numFmtId="0" xfId="0" applyAlignment="1" applyBorder="1" applyFill="1" applyFont="1">
      <alignment horizontal="left" shrinkToFit="0" vertical="center" wrapText="1"/>
    </xf>
    <xf borderId="61" fillId="48" fontId="69" numFmtId="0" xfId="0" applyAlignment="1" applyBorder="1" applyFill="1" applyFont="1">
      <alignment horizontal="right" shrinkToFit="0" vertical="center" wrapText="1"/>
    </xf>
    <xf borderId="100" fillId="48" fontId="69" numFmtId="0" xfId="0" applyAlignment="1" applyBorder="1" applyFill="1" applyFont="1">
      <alignment horizontal="left" shrinkToFit="0" vertical="center" wrapText="1"/>
    </xf>
    <xf borderId="74" fillId="48" fontId="69" numFmtId="0" xfId="0" applyAlignment="1" applyBorder="1" applyFill="1" applyFont="1">
      <alignment horizontal="left" shrinkToFit="0" vertical="center" wrapText="1"/>
    </xf>
    <xf borderId="103" fillId="48" fontId="69" numFmtId="0" xfId="0" applyAlignment="1" applyBorder="1" applyFill="1" applyFont="1">
      <alignment horizontal="left" shrinkToFit="0" vertical="center" wrapText="1"/>
    </xf>
    <xf borderId="103" fillId="48" fontId="69" numFmtId="0" xfId="0" applyAlignment="1" applyBorder="1" applyFill="1" applyFont="1">
      <alignment horizontal="right" shrinkToFit="0" vertical="center" wrapText="1"/>
    </xf>
    <xf borderId="90" fillId="48" fontId="69" numFmtId="0" xfId="0" applyAlignment="1" applyBorder="1" applyFill="1" applyFont="1">
      <alignment horizontal="left" shrinkToFit="0" vertical="center" wrapText="1"/>
    </xf>
    <xf borderId="47" fillId="0" fontId="83" numFmtId="0" xfId="0" applyBorder="1" applyFont="1"/>
    <xf borderId="44" fillId="0" fontId="21" numFmtId="0" xfId="0" applyAlignment="1" applyBorder="1" applyFont="1">
      <alignment horizontal="center"/>
    </xf>
    <xf borderId="20" fillId="0" fontId="21" numFmtId="0" xfId="0" applyAlignment="1" applyBorder="1" applyFont="1">
      <alignment horizontal="right"/>
    </xf>
    <xf borderId="3" fillId="0" fontId="11" numFmtId="0" xfId="0" applyAlignment="1" applyBorder="1" applyFont="1">
      <alignment shrinkToFit="0" vertical="center" wrapText="1"/>
    </xf>
    <xf borderId="48" fillId="0" fontId="11" numFmtId="0" xfId="0" applyAlignment="1" applyBorder="1" applyFont="1">
      <alignment shrinkToFit="0" vertical="center" wrapText="1"/>
    </xf>
    <xf borderId="11" fillId="0" fontId="39" numFmtId="0" xfId="0" applyAlignment="1" applyBorder="1" applyFont="1">
      <alignment horizontal="center" shrinkToFit="0" vertical="center" wrapText="1"/>
    </xf>
    <xf borderId="12" fillId="0" fontId="38" numFmtId="0" xfId="0" applyAlignment="1" applyBorder="1" applyFont="1">
      <alignment horizontal="center"/>
    </xf>
    <xf borderId="32" fillId="0" fontId="21" numFmtId="0" xfId="0" applyAlignment="1" applyBorder="1" applyFont="1">
      <alignment horizontal="center"/>
    </xf>
    <xf borderId="76" fillId="0" fontId="1" numFmtId="0" xfId="0" applyAlignment="1" applyBorder="1" applyFont="1">
      <alignment horizontal="center"/>
    </xf>
    <xf borderId="9" fillId="0" fontId="38" numFmtId="2" xfId="0" applyBorder="1" applyFont="1" applyNumberFormat="1"/>
    <xf borderId="84" fillId="0" fontId="1" numFmtId="0" xfId="0" applyAlignment="1" applyBorder="1" applyFont="1">
      <alignment horizontal="center"/>
    </xf>
    <xf borderId="146" fillId="0" fontId="1" numFmtId="0" xfId="0" applyAlignment="1" applyBorder="1" applyFont="1">
      <alignment horizontal="center"/>
    </xf>
    <xf borderId="26" fillId="15" fontId="7" numFmtId="0" xfId="0" applyBorder="1" applyFill="1" applyFont="1"/>
    <xf borderId="28" fillId="15" fontId="7" numFmtId="0" xfId="0" applyAlignment="1" applyBorder="1" applyFill="1" applyFont="1">
      <alignment horizontal="center"/>
    </xf>
    <xf borderId="5" fillId="15" fontId="7" numFmtId="0" xfId="0" applyAlignment="1" applyBorder="1" applyFill="1" applyFont="1">
      <alignment horizontal="right"/>
    </xf>
    <xf borderId="54" fillId="15" fontId="7" numFmtId="0" xfId="0" applyAlignment="1" applyBorder="1" applyFill="1" applyFont="1">
      <alignment horizontal="right"/>
    </xf>
    <xf borderId="34" fillId="15" fontId="7" numFmtId="0" xfId="0" applyBorder="1" applyFill="1" applyFont="1"/>
    <xf borderId="13" fillId="46" fontId="7" numFmtId="0" xfId="0" applyBorder="1" applyFill="1" applyFont="1"/>
    <xf borderId="5" fillId="46" fontId="7" numFmtId="0" xfId="0" applyAlignment="1" applyBorder="1" applyFill="1" applyFont="1">
      <alignment horizontal="center"/>
    </xf>
    <xf borderId="5" fillId="46" fontId="7" numFmtId="0" xfId="0" applyAlignment="1" applyBorder="1" applyFill="1" applyFont="1">
      <alignment horizontal="right"/>
    </xf>
    <xf borderId="17" fillId="46" fontId="7" numFmtId="0" xfId="0" applyAlignment="1" applyBorder="1" applyFill="1" applyFont="1">
      <alignment horizontal="right"/>
    </xf>
    <xf borderId="18" fillId="46" fontId="7" numFmtId="0" xfId="0" applyBorder="1" applyFill="1" applyFont="1"/>
    <xf borderId="19" fillId="0" fontId="95" numFmtId="0" xfId="0" applyAlignment="1" applyBorder="1" applyFont="1">
      <alignment horizontal="center" shrinkToFit="0" vertical="center" wrapText="1"/>
    </xf>
    <xf borderId="46" fillId="0" fontId="11" numFmtId="0" xfId="0" applyBorder="1" applyFont="1"/>
    <xf borderId="100" fillId="25" fontId="1" numFmtId="0" xfId="0" applyBorder="1" applyFill="1" applyFont="1"/>
    <xf borderId="63" fillId="5" fontId="7" numFmtId="0" xfId="0" applyAlignment="1" applyBorder="1" applyFill="1" applyFont="1">
      <alignment horizontal="center"/>
    </xf>
    <xf borderId="117" fillId="5" fontId="7" numFmtId="0" xfId="0" applyAlignment="1" applyBorder="1" applyFill="1" applyFont="1">
      <alignment horizontal="center"/>
    </xf>
    <xf borderId="117" fillId="5" fontId="7" numFmtId="0" xfId="0" applyAlignment="1" applyBorder="1" applyFill="1" applyFont="1">
      <alignment horizontal="right"/>
    </xf>
    <xf borderId="75" fillId="5" fontId="7" numFmtId="0" xfId="0" applyAlignment="1" applyBorder="1" applyFill="1" applyFont="1">
      <alignment horizontal="center"/>
    </xf>
    <xf borderId="0" fillId="0" fontId="1" numFmtId="2" xfId="0" applyAlignment="1" applyFont="1" applyNumberFormat="1">
      <alignment horizontal="center" shrinkToFit="0" wrapText="1"/>
    </xf>
    <xf borderId="12" fillId="0" fontId="158" numFmtId="0" xfId="0" applyBorder="1" applyFont="1"/>
    <xf borderId="67" fillId="0" fontId="7" numFmtId="0" xfId="0" applyAlignment="1" applyBorder="1" applyFont="1">
      <alignment horizontal="center"/>
    </xf>
    <xf borderId="0" fillId="5" fontId="71" numFmtId="164" xfId="0" applyAlignment="1" applyFill="1" applyFont="1" applyNumberFormat="1">
      <alignment horizontal="center"/>
    </xf>
    <xf borderId="0" fillId="53" fontId="71" numFmtId="164" xfId="0" applyAlignment="1" applyFill="1" applyFont="1" applyNumberFormat="1">
      <alignment horizontal="center"/>
    </xf>
    <xf borderId="12" fillId="0" fontId="159" numFmtId="0" xfId="0" applyBorder="1" applyFont="1"/>
    <xf borderId="52" fillId="0" fontId="21" numFmtId="0" xfId="0" applyBorder="1" applyFont="1"/>
    <xf borderId="31" fillId="0" fontId="38" numFmtId="0" xfId="0" applyBorder="1" applyFont="1"/>
    <xf borderId="1" fillId="0" fontId="160" numFmtId="0" xfId="0" applyAlignment="1" applyBorder="1" applyFont="1">
      <alignment horizontal="center"/>
    </xf>
    <xf borderId="128" fillId="0" fontId="1" numFmtId="0" xfId="0" applyBorder="1" applyFont="1"/>
    <xf borderId="74" fillId="53" fontId="8" numFmtId="0" xfId="0" applyBorder="1" applyFill="1" applyFont="1"/>
    <xf borderId="13" fillId="0" fontId="1" numFmtId="0" xfId="0" applyAlignment="1" applyBorder="1" applyFont="1">
      <alignment shrinkToFit="0" wrapText="1"/>
    </xf>
    <xf borderId="21" fillId="0" fontId="1" numFmtId="0" xfId="0" applyAlignment="1" applyBorder="1" applyFont="1">
      <alignment shrinkToFit="0" wrapText="1"/>
    </xf>
    <xf borderId="89" fillId="5" fontId="161" numFmtId="164" xfId="0" applyAlignment="1" applyBorder="1" applyFill="1" applyFont="1" applyNumberFormat="1">
      <alignment horizontal="center"/>
    </xf>
    <xf borderId="0" fillId="5" fontId="161" numFmtId="164" xfId="0" applyAlignment="1" applyFill="1" applyFont="1" applyNumberFormat="1">
      <alignment horizontal="center"/>
    </xf>
    <xf borderId="35" fillId="0" fontId="151" numFmtId="0" xfId="0" applyAlignment="1" applyBorder="1" applyFont="1">
      <alignment horizontal="right" readingOrder="0"/>
    </xf>
    <xf borderId="36" fillId="0" fontId="151" numFmtId="0" xfId="0" applyAlignment="1" applyBorder="1" applyFont="1">
      <alignment horizontal="right"/>
    </xf>
    <xf borderId="4" fillId="0" fontId="155" numFmtId="0" xfId="0" applyBorder="1" applyFont="1"/>
    <xf borderId="13" fillId="0" fontId="155" numFmtId="0" xfId="0" applyBorder="1" applyFont="1"/>
    <xf borderId="47" fillId="0" fontId="155" numFmtId="0" xfId="0" applyBorder="1" applyFont="1"/>
    <xf borderId="51" fillId="0" fontId="9" numFmtId="0" xfId="0" applyBorder="1" applyFont="1"/>
    <xf borderId="54" fillId="0" fontId="83" numFmtId="0" xfId="0" applyBorder="1" applyFont="1"/>
    <xf borderId="17" fillId="0" fontId="83" numFmtId="0" xfId="0" applyBorder="1" applyFont="1"/>
    <xf borderId="0" fillId="5" fontId="85" numFmtId="15" xfId="0" applyAlignment="1" applyFill="1" applyFont="1" applyNumberFormat="1">
      <alignment horizontal="center"/>
    </xf>
    <xf borderId="3" fillId="0" fontId="1" numFmtId="0" xfId="0" applyAlignment="1" applyBorder="1" applyFont="1">
      <alignment horizontal="left"/>
    </xf>
    <xf borderId="13" fillId="0" fontId="162" numFmtId="0" xfId="0" applyBorder="1" applyFont="1"/>
    <xf borderId="54" fillId="0" fontId="1" numFmtId="2" xfId="0" applyAlignment="1" applyBorder="1" applyFont="1" applyNumberFormat="1">
      <alignment horizontal="center"/>
    </xf>
    <xf borderId="12" fillId="0" fontId="1" numFmtId="0" xfId="0" applyAlignment="1" applyBorder="1" applyFont="1">
      <alignment horizontal="center"/>
    </xf>
    <xf borderId="20" fillId="0" fontId="7" numFmtId="0" xfId="0" applyAlignment="1" applyBorder="1" applyFont="1">
      <alignment horizontal="center"/>
    </xf>
    <xf borderId="59" fillId="0" fontId="7" numFmtId="0" xfId="0" applyAlignment="1" applyBorder="1" applyFont="1">
      <alignment horizontal="center"/>
    </xf>
    <xf borderId="60" fillId="0" fontId="7" numFmtId="0" xfId="0" applyAlignment="1" applyBorder="1" applyFont="1">
      <alignment horizontal="center" shrinkToFit="0" wrapText="1"/>
    </xf>
    <xf borderId="18" fillId="0" fontId="7" numFmtId="0" xfId="0" applyAlignment="1" applyBorder="1" applyFont="1">
      <alignment horizontal="center" shrinkToFit="0" wrapText="1"/>
    </xf>
    <xf borderId="11" fillId="0" fontId="1" numFmtId="0" xfId="0" applyAlignment="1" applyBorder="1" applyFont="1">
      <alignment horizontal="center" vertical="center"/>
    </xf>
    <xf borderId="13" fillId="0" fontId="1" numFmtId="0" xfId="0" applyAlignment="1" applyBorder="1" applyFont="1">
      <alignment horizontal="left" vertical="center"/>
    </xf>
    <xf borderId="5" fillId="0" fontId="17" numFmtId="0" xfId="0" applyAlignment="1" applyBorder="1" applyFont="1">
      <alignment horizontal="center" vertical="center"/>
    </xf>
    <xf borderId="25" fillId="0" fontId="1" numFmtId="166" xfId="0" applyAlignment="1" applyBorder="1" applyFont="1" applyNumberFormat="1">
      <alignment horizontal="center"/>
    </xf>
    <xf borderId="3" fillId="0" fontId="39" numFmtId="0" xfId="0" applyAlignment="1" applyBorder="1" applyFont="1">
      <alignment horizontal="center" shrinkToFit="0" wrapText="1"/>
    </xf>
    <xf borderId="47" fillId="0" fontId="1" numFmtId="0" xfId="0" applyAlignment="1" applyBorder="1" applyFont="1">
      <alignment horizontal="left" vertical="center"/>
    </xf>
    <xf borderId="27" fillId="0" fontId="17" numFmtId="0" xfId="0" applyAlignment="1" applyBorder="1" applyFont="1">
      <alignment horizontal="center" vertical="center"/>
    </xf>
    <xf borderId="53" fillId="0" fontId="1" numFmtId="0" xfId="0" applyAlignment="1" applyBorder="1" applyFont="1">
      <alignment vertical="center"/>
    </xf>
    <xf borderId="32" fillId="0" fontId="1" numFmtId="0" xfId="0" applyAlignment="1" applyBorder="1" applyFont="1">
      <alignment horizontal="left" vertical="center"/>
    </xf>
    <xf borderId="35" fillId="0" fontId="17" numFmtId="0" xfId="0" applyAlignment="1" applyBorder="1" applyFont="1">
      <alignment horizontal="center" vertical="center"/>
    </xf>
    <xf borderId="25" fillId="0" fontId="6" numFmtId="0" xfId="0" applyAlignment="1" applyBorder="1" applyFont="1">
      <alignment horizontal="center" vertical="center"/>
    </xf>
    <xf borderId="6" fillId="0" fontId="21" numFmtId="0" xfId="0" applyAlignment="1" applyBorder="1" applyFont="1">
      <alignment horizontal="center"/>
    </xf>
    <xf borderId="7" fillId="0" fontId="21" numFmtId="0" xfId="0" applyBorder="1" applyFont="1"/>
    <xf borderId="9" fillId="0" fontId="21" numFmtId="0" xfId="0" applyAlignment="1" applyBorder="1" applyFont="1">
      <alignment horizontal="center"/>
    </xf>
    <xf borderId="27" fillId="5" fontId="1" numFmtId="0" xfId="0" applyBorder="1" applyFill="1" applyFont="1"/>
    <xf borderId="50" fillId="5" fontId="1" numFmtId="0" xfId="0" applyBorder="1" applyFill="1" applyFont="1"/>
    <xf borderId="53" fillId="5" fontId="1" numFmtId="0" xfId="0" applyAlignment="1" applyBorder="1" applyFill="1" applyFont="1">
      <alignment horizontal="center"/>
    </xf>
    <xf borderId="5" fillId="0" fontId="8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6.xml.rels><?xml version="1.0" encoding="UTF-8" standalone="yes"?><Relationships xmlns="http://schemas.openxmlformats.org/package/2006/relationships"><Relationship Id="rId1" Type="http://schemas.openxmlformats.org/officeDocument/2006/relationships/hyperlink" Target="http://pinterest.com/pin/create/button/?url=http://www.tarladalal.com/Chocolate-Cake-1915r&amp;media=http://www.tarladalal.com/members/9306/images/chocolate-cake-644.jpg&amp;description=A+rich+dark+chocolate+cake"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2701</xdr:row>
      <xdr:rowOff>0</xdr:rowOff>
    </xdr:from>
    <xdr:ext cx="314325" cy="304800"/>
    <xdr:sp>
      <xdr:nvSpPr>
        <xdr:cNvPr descr="http://assets.pinterest.com/images/PinExt.png" id="3" name="Shape 3">
          <a:hlinkClick r:id="rId1"/>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6.25"/>
    <col customWidth="1" min="2" max="2" width="7.0"/>
    <col customWidth="1" min="3" max="3" width="29.25"/>
    <col customWidth="1" min="4" max="4" width="10.75"/>
    <col customWidth="1" min="5" max="5" width="13.75"/>
    <col customWidth="1" min="6" max="6" width="16.75"/>
    <col customWidth="1" min="7" max="7" width="7.25"/>
    <col customWidth="1" min="8" max="8" width="31.75"/>
    <col customWidth="1" min="9" max="9" width="27.75"/>
    <col customWidth="1" min="10" max="10" width="12.25"/>
    <col customWidth="1" min="11" max="11" width="17.75"/>
    <col customWidth="1" min="12" max="12" width="5.63"/>
    <col customWidth="1" min="13" max="13" width="32.38"/>
    <col customWidth="1" min="14" max="14" width="8.75"/>
    <col customWidth="1" min="15" max="15" width="10.63"/>
    <col customWidth="1" min="16" max="16" width="9.25"/>
    <col customWidth="1" min="17" max="17" width="7.0"/>
    <col customWidth="1" min="18" max="18" width="35.75"/>
    <col customWidth="1" min="19" max="19" width="10.25"/>
    <col customWidth="1" min="20" max="20" width="25.25"/>
    <col customWidth="1" min="21" max="21" width="14.75"/>
    <col customWidth="1" min="22" max="22" width="5.0"/>
    <col customWidth="1" min="23" max="23" width="25.75"/>
    <col customWidth="1" min="24" max="24" width="11.25"/>
    <col customWidth="1" min="25" max="25" width="10.63"/>
    <col customWidth="1" min="26" max="26" width="19.63"/>
    <col customWidth="1" min="27" max="27" width="7.38"/>
    <col customWidth="1" min="28" max="28" width="28.75"/>
    <col customWidth="1" min="29" max="29" width="8.75"/>
    <col customWidth="1" min="30" max="30" width="20.38"/>
    <col customWidth="1" min="31" max="31" width="8.75"/>
    <col customWidth="1" min="32" max="32" width="7.75"/>
    <col customWidth="1" min="33" max="33" width="25.25"/>
    <col customWidth="1" min="34" max="34" width="9.25"/>
    <col customWidth="1" min="35" max="35" width="25.38"/>
    <col customWidth="1" min="36" max="36" width="10.38"/>
    <col customWidth="1" min="37" max="37" width="5.0"/>
    <col customWidth="1" min="38" max="38" width="30.75"/>
    <col customWidth="1" min="39" max="39" width="9.25"/>
    <col customWidth="1" min="40" max="40" width="16.38"/>
    <col customWidth="1" min="41" max="41" width="9.75"/>
    <col customWidth="1" min="42" max="42" width="5.0"/>
    <col customWidth="1" min="43" max="43" width="21.0"/>
    <col customWidth="1" min="44" max="44" width="9.25"/>
    <col customWidth="1" min="45" max="45" width="10.63"/>
    <col customWidth="1" min="46" max="46" width="10.25"/>
    <col customWidth="1" min="47" max="47" width="9.75"/>
    <col customWidth="1" min="48" max="48" width="25.75"/>
    <col customWidth="1" min="49" max="49" width="9.25"/>
    <col customWidth="1" min="50" max="50" width="28.75"/>
    <col customWidth="1" min="51" max="51" width="10.25"/>
    <col customWidth="1" min="52" max="52" width="5.0"/>
    <col customWidth="1" min="53" max="53" width="26.75"/>
    <col customWidth="1" min="54" max="54" width="9.25"/>
    <col customWidth="1" min="55" max="55" width="21.75"/>
    <col customWidth="1" min="56" max="56" width="10.0"/>
    <col customWidth="1" min="57" max="57" width="8.38"/>
    <col customWidth="1" min="58" max="58" width="18.25"/>
    <col customWidth="1" min="59" max="59" width="9.25"/>
    <col customWidth="1" min="60" max="60" width="17.63"/>
    <col customWidth="1" min="61" max="61" width="10.0"/>
    <col customWidth="1" min="62" max="62" width="5.0"/>
    <col customWidth="1" min="63" max="63" width="25.0"/>
    <col customWidth="1" min="64" max="64" width="9.25"/>
    <col customWidth="1" min="65" max="65" width="21.38"/>
    <col customWidth="1" min="66" max="66" width="10.25"/>
    <col customWidth="1" min="67" max="67" width="5.63"/>
    <col customWidth="1" min="68" max="68" width="26.25"/>
    <col customWidth="1" min="69" max="69" width="9.25"/>
    <col customWidth="1" min="70" max="70" width="27.38"/>
    <col customWidth="1" min="71" max="71" width="10.25"/>
    <col customWidth="1" min="72" max="72" width="5.0"/>
    <col customWidth="1" min="73" max="73" width="31.25"/>
    <col customWidth="1" min="74" max="74" width="9.25"/>
    <col customWidth="1" min="75" max="75" width="10.63"/>
    <col customWidth="1" min="76" max="76" width="10.38"/>
    <col customWidth="1" min="77" max="77" width="3.25"/>
    <col customWidth="1" min="78" max="78" width="5.38"/>
    <col customWidth="1" min="79" max="79" width="5.0"/>
    <col customWidth="1" min="80" max="80" width="22.75"/>
    <col customWidth="1" min="81" max="81" width="9.25"/>
    <col customWidth="1" min="82" max="82" width="32.25"/>
    <col customWidth="1" min="83" max="83" width="10.25"/>
    <col customWidth="1" min="84" max="84" width="7.63"/>
    <col customWidth="1" min="85" max="85" width="5.0"/>
    <col customWidth="1" min="86" max="86" width="20.75"/>
    <col customWidth="1" min="87" max="87" width="11.63"/>
    <col customWidth="1" min="88" max="88" width="22.75"/>
    <col customWidth="1" min="89" max="89" width="10.75"/>
    <col customWidth="1" min="90" max="90" width="8.75"/>
    <col customWidth="1" min="91" max="91" width="5.0"/>
    <col customWidth="1" min="92" max="92" width="24.75"/>
    <col customWidth="1" min="93" max="93" width="11.25"/>
    <col customWidth="1" min="94" max="94" width="25.25"/>
    <col customWidth="1" min="95" max="96" width="9.25"/>
    <col customWidth="1" min="97" max="97" width="5.0"/>
    <col customWidth="1" min="98" max="98" width="31.63"/>
    <col customWidth="1" min="99" max="99" width="10.63"/>
    <col customWidth="1" min="100" max="100" width="22.75"/>
    <col customWidth="1" min="101" max="101" width="10.25"/>
    <col customWidth="1" min="102" max="102" width="14.75"/>
    <col customWidth="1" min="103" max="103" width="5.0"/>
    <col customWidth="1" min="104" max="104" width="31.25"/>
    <col customWidth="1" min="105" max="105" width="16.38"/>
    <col customWidth="1" min="106" max="108" width="9.25"/>
    <col customWidth="1" min="109" max="109" width="28.0"/>
    <col customWidth="1" min="110" max="119" width="9.25"/>
    <col customWidth="1" min="120" max="120" width="5.75"/>
    <col customWidth="1" min="121" max="121" width="30.75"/>
  </cols>
  <sheetData>
    <row r="1" ht="14.25" customHeight="1">
      <c r="A1" s="2"/>
      <c r="B1" s="2"/>
      <c r="C1" s="2"/>
      <c r="D1" s="3"/>
      <c r="E1" s="2"/>
      <c r="F1" s="2"/>
      <c r="G1" s="2"/>
      <c r="H1" s="2"/>
      <c r="I1" s="2"/>
      <c r="J1" s="2"/>
      <c r="K1" s="2"/>
      <c r="L1" s="2"/>
      <c r="M1" s="2"/>
      <c r="N1" s="2"/>
      <c r="O1" s="2"/>
      <c r="P1" s="2"/>
      <c r="Q1" s="2"/>
      <c r="R1" s="2"/>
      <c r="S1" s="2"/>
      <c r="T1" s="2"/>
      <c r="U1" s="2"/>
      <c r="V1" s="2"/>
      <c r="W1" s="2"/>
    </row>
    <row r="2" ht="14.25" customHeight="1">
      <c r="A2" s="2"/>
      <c r="B2" s="9" t="s">
        <v>2</v>
      </c>
      <c r="C2" s="12" t="s">
        <v>3</v>
      </c>
      <c r="D2" s="3"/>
      <c r="E2" s="14"/>
      <c r="F2" s="2"/>
      <c r="G2" s="2"/>
      <c r="H2" s="2"/>
      <c r="I2" s="2"/>
      <c r="J2" s="2"/>
      <c r="K2" s="2"/>
      <c r="L2" s="2"/>
      <c r="M2" s="2"/>
      <c r="N2" s="2"/>
      <c r="O2" s="2"/>
      <c r="P2" s="2"/>
      <c r="Q2" s="2"/>
      <c r="R2" s="2"/>
      <c r="S2" s="2"/>
      <c r="T2" s="2"/>
      <c r="U2" s="2"/>
      <c r="V2" s="2"/>
      <c r="W2" s="2"/>
    </row>
    <row r="3" ht="15.75" customHeight="1">
      <c r="A3" s="2"/>
      <c r="B3" s="24">
        <v>1.0</v>
      </c>
      <c r="C3" s="37" t="s">
        <v>8</v>
      </c>
      <c r="D3" s="39"/>
      <c r="E3" s="14"/>
      <c r="F3" s="2"/>
      <c r="G3" s="2"/>
      <c r="H3" s="2"/>
      <c r="I3" s="2"/>
      <c r="J3" s="2"/>
      <c r="K3" s="2"/>
      <c r="L3" s="2"/>
      <c r="M3" s="2"/>
      <c r="N3" s="2"/>
      <c r="O3" s="2"/>
      <c r="P3" s="2"/>
      <c r="Q3" s="2"/>
      <c r="R3" s="2"/>
      <c r="S3" s="2"/>
      <c r="T3" s="2"/>
      <c r="U3" s="2"/>
      <c r="V3" s="2"/>
      <c r="W3" s="2"/>
      <c r="X3" s="2"/>
      <c r="Y3" s="2"/>
    </row>
    <row r="4" ht="15.75" customHeight="1">
      <c r="A4" s="2" t="s">
        <v>24</v>
      </c>
      <c r="B4" s="24">
        <v>2.0</v>
      </c>
      <c r="C4" s="52" t="s">
        <v>25</v>
      </c>
      <c r="D4" s="39"/>
      <c r="E4" s="57" t="s">
        <v>26</v>
      </c>
      <c r="F4" s="5"/>
      <c r="G4" s="5"/>
      <c r="H4" s="5"/>
      <c r="I4" s="5"/>
      <c r="J4" s="6"/>
      <c r="K4" s="2"/>
      <c r="L4" s="2"/>
      <c r="M4" s="2"/>
      <c r="N4" s="2"/>
      <c r="O4" s="2"/>
      <c r="P4" s="2"/>
      <c r="Q4" s="2"/>
      <c r="R4" s="2"/>
      <c r="S4" s="2"/>
      <c r="T4" s="2"/>
      <c r="U4" s="2"/>
      <c r="V4" s="2"/>
      <c r="W4" s="2"/>
      <c r="X4" s="2"/>
      <c r="Y4" s="2"/>
    </row>
    <row r="5" ht="15.75" customHeight="1">
      <c r="A5" s="2"/>
      <c r="B5" s="24" t="s">
        <v>27</v>
      </c>
      <c r="C5" s="37" t="s">
        <v>28</v>
      </c>
      <c r="D5" s="39"/>
      <c r="E5" s="63"/>
      <c r="J5" s="66"/>
      <c r="K5" s="2"/>
      <c r="L5" s="2"/>
      <c r="M5" s="2"/>
      <c r="N5" s="2"/>
      <c r="O5" s="2"/>
      <c r="P5" s="2"/>
      <c r="Q5" s="2"/>
      <c r="R5" s="2"/>
      <c r="S5" s="2"/>
      <c r="T5" s="2"/>
      <c r="U5" s="2"/>
      <c r="V5" s="2"/>
      <c r="W5" s="2"/>
      <c r="X5" s="2"/>
      <c r="Y5" s="2"/>
    </row>
    <row r="6" ht="15.75" customHeight="1">
      <c r="A6" s="2"/>
      <c r="B6" s="24">
        <v>4.0</v>
      </c>
      <c r="C6" s="52" t="s">
        <v>29</v>
      </c>
      <c r="D6" s="39"/>
      <c r="E6" s="63"/>
      <c r="J6" s="66"/>
      <c r="K6" s="2"/>
      <c r="L6" s="2"/>
      <c r="M6" s="2"/>
      <c r="N6" s="2"/>
      <c r="O6" s="2"/>
      <c r="P6" s="2"/>
      <c r="Q6" s="2"/>
      <c r="R6" s="2"/>
      <c r="S6" s="2"/>
      <c r="T6" s="2"/>
      <c r="U6" s="2"/>
      <c r="V6" s="2"/>
      <c r="W6" s="2"/>
      <c r="X6" s="2"/>
      <c r="Y6" s="2"/>
    </row>
    <row r="7" ht="15.75" customHeight="1">
      <c r="A7" s="2" t="s">
        <v>32</v>
      </c>
      <c r="B7" s="24">
        <v>5.0</v>
      </c>
      <c r="C7" s="77" t="s">
        <v>33</v>
      </c>
      <c r="D7" s="39"/>
      <c r="E7" s="63"/>
      <c r="J7" s="66"/>
      <c r="K7" s="2"/>
      <c r="L7" s="2"/>
      <c r="M7" s="2"/>
      <c r="N7" s="2"/>
      <c r="O7" s="2"/>
      <c r="P7" s="2"/>
      <c r="Q7" s="2"/>
      <c r="R7" s="2"/>
      <c r="S7" s="2"/>
      <c r="T7" s="2"/>
      <c r="U7" s="2"/>
      <c r="V7" s="2"/>
      <c r="W7" s="2"/>
      <c r="X7" s="2"/>
      <c r="Y7" s="2"/>
    </row>
    <row r="8" ht="15.75" customHeight="1">
      <c r="A8" s="2"/>
      <c r="B8" s="24">
        <v>6.0</v>
      </c>
      <c r="C8" s="52" t="s">
        <v>37</v>
      </c>
      <c r="D8" s="3"/>
      <c r="E8" s="63"/>
      <c r="J8" s="66"/>
      <c r="K8" s="2"/>
      <c r="L8" s="2"/>
      <c r="M8" s="2"/>
      <c r="N8" s="2"/>
      <c r="O8" s="2"/>
      <c r="P8" s="2"/>
      <c r="Q8" s="2"/>
      <c r="R8" s="2"/>
      <c r="S8" s="2"/>
      <c r="T8" s="2"/>
      <c r="U8" s="2"/>
      <c r="V8" s="2"/>
      <c r="W8" s="2"/>
      <c r="X8" s="2"/>
      <c r="Y8" s="2"/>
    </row>
    <row r="9" ht="15.75" customHeight="1">
      <c r="A9" s="2"/>
      <c r="B9" s="24">
        <v>7.0</v>
      </c>
      <c r="C9" s="37" t="s">
        <v>40</v>
      </c>
      <c r="D9" s="39"/>
      <c r="E9" s="63"/>
      <c r="J9" s="66"/>
      <c r="K9" s="2"/>
      <c r="L9" s="2"/>
      <c r="M9" s="2"/>
      <c r="N9" s="2"/>
      <c r="O9" s="2"/>
      <c r="P9" s="2"/>
      <c r="Q9" s="2"/>
      <c r="R9" s="2"/>
      <c r="S9" s="2"/>
      <c r="T9" s="2"/>
      <c r="U9" s="2"/>
      <c r="V9" s="2"/>
      <c r="W9" s="2"/>
      <c r="X9" s="2"/>
      <c r="Y9" s="2"/>
    </row>
    <row r="10" ht="15.75" customHeight="1">
      <c r="A10" s="2"/>
      <c r="B10" s="24">
        <v>8.0</v>
      </c>
      <c r="C10" s="52" t="s">
        <v>41</v>
      </c>
      <c r="D10" s="39"/>
      <c r="E10" s="63"/>
      <c r="J10" s="66"/>
      <c r="K10" s="2"/>
      <c r="L10" s="2"/>
      <c r="M10" s="2"/>
      <c r="N10" s="2"/>
      <c r="O10" s="2"/>
      <c r="P10" s="2"/>
      <c r="Q10" s="2"/>
      <c r="R10" s="2"/>
      <c r="S10" s="2"/>
      <c r="T10" s="2"/>
      <c r="U10" s="2"/>
      <c r="V10" s="2"/>
      <c r="W10" s="2"/>
      <c r="X10" s="2"/>
      <c r="Y10" s="2"/>
    </row>
    <row r="11" ht="15.75" customHeight="1">
      <c r="A11" s="2"/>
      <c r="B11" s="24">
        <v>9.0</v>
      </c>
      <c r="C11" s="37" t="s">
        <v>43</v>
      </c>
      <c r="D11" s="39"/>
      <c r="E11" s="63"/>
      <c r="J11" s="66"/>
      <c r="K11" s="2"/>
      <c r="L11" s="2"/>
      <c r="M11" s="2"/>
      <c r="N11" s="2"/>
      <c r="O11" s="2"/>
      <c r="P11" s="2"/>
      <c r="Q11" s="2"/>
      <c r="R11" s="2"/>
      <c r="S11" s="2"/>
      <c r="T11" s="2"/>
      <c r="U11" s="2"/>
      <c r="V11" s="2"/>
      <c r="W11" s="2"/>
      <c r="X11" s="2"/>
      <c r="Y11" s="2"/>
    </row>
    <row r="12" ht="15.75" customHeight="1">
      <c r="A12" s="2"/>
      <c r="B12" s="24">
        <v>10.0</v>
      </c>
      <c r="C12" s="52" t="s">
        <v>44</v>
      </c>
      <c r="D12" s="39"/>
      <c r="E12" s="63"/>
      <c r="J12" s="66"/>
      <c r="K12" s="2"/>
      <c r="L12" s="2"/>
      <c r="M12" s="2"/>
      <c r="N12" s="2"/>
      <c r="O12" s="2"/>
      <c r="P12" s="2"/>
      <c r="Q12" s="2"/>
      <c r="R12" s="2"/>
      <c r="S12" s="2"/>
      <c r="T12" s="2"/>
      <c r="U12" s="2"/>
      <c r="V12" s="2"/>
      <c r="W12" s="2"/>
      <c r="X12" s="2"/>
      <c r="Y12" s="2"/>
    </row>
    <row r="13" ht="15.75" customHeight="1">
      <c r="A13" s="2"/>
      <c r="B13" s="24">
        <v>11.0</v>
      </c>
      <c r="C13" s="37" t="s">
        <v>46</v>
      </c>
      <c r="D13" s="39"/>
      <c r="E13" s="63"/>
      <c r="J13" s="66"/>
      <c r="K13" s="2"/>
      <c r="L13" s="2"/>
      <c r="M13" s="2"/>
      <c r="N13" s="2"/>
      <c r="O13" s="2"/>
      <c r="P13" s="2"/>
      <c r="Q13" s="2"/>
      <c r="R13" s="2"/>
      <c r="S13" s="2"/>
      <c r="T13" s="2"/>
      <c r="U13" s="2"/>
      <c r="V13" s="2"/>
      <c r="W13" s="2"/>
      <c r="X13" s="2"/>
      <c r="Y13" s="2"/>
    </row>
    <row r="14" ht="15.75" customHeight="1">
      <c r="A14" s="2"/>
      <c r="B14" s="24">
        <v>12.0</v>
      </c>
      <c r="C14" s="52" t="s">
        <v>53</v>
      </c>
      <c r="D14" s="39"/>
      <c r="E14" s="63"/>
      <c r="J14" s="66"/>
      <c r="K14" s="2"/>
      <c r="L14" s="2"/>
      <c r="M14" s="2"/>
      <c r="N14" s="2"/>
      <c r="O14" s="2"/>
      <c r="P14" s="2"/>
      <c r="Q14" s="2"/>
      <c r="R14" s="2"/>
      <c r="S14" s="2"/>
      <c r="T14" s="2"/>
      <c r="U14" s="2"/>
      <c r="V14" s="2"/>
      <c r="W14" s="2"/>
      <c r="X14" s="2"/>
      <c r="Y14" s="2"/>
    </row>
    <row r="15" ht="15.75" customHeight="1">
      <c r="A15" s="2"/>
      <c r="B15" s="24">
        <v>13.0</v>
      </c>
      <c r="C15" s="37" t="s">
        <v>54</v>
      </c>
      <c r="D15" s="39"/>
      <c r="E15" s="63"/>
      <c r="J15" s="66"/>
      <c r="K15" s="2"/>
      <c r="L15" s="2"/>
      <c r="M15" s="2"/>
      <c r="N15" s="2"/>
      <c r="O15" s="2"/>
      <c r="P15" s="2"/>
      <c r="Q15" s="2"/>
      <c r="R15" s="2"/>
      <c r="S15" s="2"/>
      <c r="T15" s="2"/>
      <c r="U15" s="2"/>
      <c r="V15" s="2"/>
      <c r="W15" s="2"/>
      <c r="X15" s="2"/>
      <c r="Y15" s="2"/>
    </row>
    <row r="16" ht="15.75" customHeight="1">
      <c r="A16" s="2"/>
      <c r="B16" s="24">
        <v>14.0</v>
      </c>
      <c r="C16" s="52" t="s">
        <v>55</v>
      </c>
      <c r="D16" s="39"/>
      <c r="E16" s="63"/>
      <c r="J16" s="66"/>
      <c r="K16" s="2"/>
      <c r="L16" s="2"/>
      <c r="M16" s="2"/>
      <c r="N16" s="2"/>
      <c r="O16" s="2"/>
      <c r="P16" s="2"/>
      <c r="Q16" s="2"/>
      <c r="R16" s="2"/>
      <c r="S16" s="2"/>
      <c r="T16" s="2"/>
      <c r="U16" s="2"/>
      <c r="V16" s="2"/>
      <c r="W16" s="2"/>
      <c r="X16" s="2"/>
      <c r="Y16" s="2"/>
    </row>
    <row r="17" ht="15.75" customHeight="1">
      <c r="A17" s="2"/>
      <c r="B17" s="24">
        <v>15.0</v>
      </c>
      <c r="C17" s="37" t="s">
        <v>56</v>
      </c>
      <c r="D17" s="39"/>
      <c r="E17" s="63"/>
      <c r="J17" s="66"/>
      <c r="K17" s="2"/>
      <c r="L17" s="2"/>
      <c r="M17" s="2"/>
      <c r="N17" s="2"/>
      <c r="O17" s="2"/>
      <c r="P17" s="2"/>
      <c r="Q17" s="2"/>
      <c r="R17" s="2"/>
      <c r="S17" s="2"/>
      <c r="T17" s="2"/>
      <c r="U17" s="2"/>
      <c r="V17" s="2"/>
      <c r="W17" s="2"/>
      <c r="X17" s="2"/>
      <c r="Y17" s="2"/>
    </row>
    <row r="18" ht="15.75" customHeight="1">
      <c r="A18" s="2"/>
      <c r="B18" s="24">
        <v>16.0</v>
      </c>
      <c r="C18" s="52" t="s">
        <v>57</v>
      </c>
      <c r="D18" s="39"/>
      <c r="E18" s="63"/>
      <c r="J18" s="66"/>
      <c r="K18" s="2"/>
      <c r="L18" s="2"/>
      <c r="M18" s="2"/>
      <c r="N18" s="2"/>
      <c r="O18" s="2"/>
      <c r="P18" s="2"/>
      <c r="Q18" s="2"/>
      <c r="R18" s="2"/>
      <c r="S18" s="2"/>
      <c r="T18" s="2"/>
      <c r="U18" s="2"/>
      <c r="V18" s="2"/>
      <c r="W18" s="2"/>
      <c r="X18" s="2"/>
      <c r="Y18" s="2"/>
    </row>
    <row r="19" ht="15.75" customHeight="1">
      <c r="A19" s="2"/>
      <c r="B19" s="24">
        <v>17.0</v>
      </c>
      <c r="C19" s="37" t="s">
        <v>58</v>
      </c>
      <c r="D19" s="39"/>
      <c r="E19" s="102"/>
      <c r="F19" s="104"/>
      <c r="G19" s="104"/>
      <c r="H19" s="104"/>
      <c r="I19" s="104"/>
      <c r="J19" s="106"/>
      <c r="K19" s="2"/>
      <c r="L19" s="2"/>
      <c r="M19" s="2"/>
      <c r="N19" s="2"/>
      <c r="O19" s="2"/>
      <c r="P19" s="2"/>
      <c r="Q19" s="2"/>
      <c r="R19" s="2"/>
      <c r="S19" s="2"/>
      <c r="T19" s="2"/>
      <c r="U19" s="2"/>
      <c r="V19" s="2"/>
      <c r="W19" s="2"/>
      <c r="X19" s="2"/>
      <c r="Y19" s="2"/>
    </row>
    <row r="20" ht="15.75" customHeight="1">
      <c r="A20" s="2"/>
      <c r="B20" s="24">
        <v>18.0</v>
      </c>
      <c r="C20" s="52" t="s">
        <v>72</v>
      </c>
      <c r="D20" s="39"/>
      <c r="E20" s="14"/>
      <c r="F20" s="2"/>
      <c r="G20" s="2"/>
      <c r="H20" s="2"/>
      <c r="I20" s="2"/>
      <c r="J20" s="2"/>
      <c r="K20" s="2"/>
      <c r="L20" s="2"/>
      <c r="M20" s="2"/>
      <c r="N20" s="2"/>
      <c r="O20" s="2"/>
      <c r="P20" s="2"/>
      <c r="Q20" s="2"/>
      <c r="R20" s="2"/>
      <c r="S20" s="2"/>
      <c r="T20" s="2"/>
      <c r="U20" s="2"/>
      <c r="V20" s="2"/>
      <c r="W20" s="2"/>
      <c r="X20" s="2"/>
      <c r="Y20" s="2"/>
    </row>
    <row r="21" ht="15.75" customHeight="1">
      <c r="A21" s="2"/>
      <c r="B21" s="24">
        <v>19.0</v>
      </c>
      <c r="C21" s="118" t="s">
        <v>74</v>
      </c>
      <c r="D21" s="39"/>
      <c r="E21" s="14"/>
      <c r="F21" s="2"/>
      <c r="G21" s="2"/>
      <c r="H21" s="2"/>
      <c r="I21" s="2"/>
      <c r="J21" s="2"/>
      <c r="K21" s="2"/>
      <c r="L21" s="2"/>
      <c r="M21" s="2"/>
      <c r="N21" s="2"/>
      <c r="O21" s="2"/>
      <c r="P21" s="2"/>
      <c r="Q21" s="2"/>
      <c r="R21" s="2"/>
      <c r="S21" s="2"/>
      <c r="T21" s="2"/>
      <c r="U21" s="2"/>
      <c r="V21" s="2"/>
      <c r="W21" s="2"/>
      <c r="X21" s="2"/>
      <c r="Y21" s="2"/>
      <c r="Z21" s="2"/>
      <c r="AA21" s="2"/>
      <c r="AB21" s="2"/>
      <c r="AC21" s="2"/>
    </row>
    <row r="22" ht="14.25" customHeight="1">
      <c r="A22" s="2"/>
      <c r="B22" s="14"/>
      <c r="C22" s="14"/>
      <c r="D22" s="14"/>
      <c r="E22" s="14"/>
      <c r="F22" s="2"/>
      <c r="G22" s="2"/>
      <c r="H22" s="2"/>
      <c r="I22" s="2" t="s">
        <v>76</v>
      </c>
      <c r="J22" s="2"/>
      <c r="K22" s="2"/>
      <c r="L22" s="2"/>
      <c r="M22" s="2"/>
      <c r="N22" s="2"/>
      <c r="O22" s="2"/>
      <c r="P22" s="2"/>
      <c r="Q22" s="2"/>
      <c r="R22" s="2"/>
      <c r="S22" s="2"/>
      <c r="T22" s="2"/>
      <c r="U22" s="2"/>
      <c r="V22" s="2"/>
      <c r="W22" s="2"/>
      <c r="X22" s="2"/>
      <c r="Y22" s="2"/>
      <c r="Z22" s="2"/>
      <c r="AA22" s="2"/>
      <c r="AB22" s="2"/>
      <c r="AC22" s="2"/>
    </row>
    <row r="23" ht="14.25" customHeight="1">
      <c r="A23" s="14"/>
      <c r="B23" s="14"/>
      <c r="C23" s="14"/>
      <c r="D23" s="14"/>
      <c r="E23" s="14"/>
      <c r="F23" s="2"/>
      <c r="G23" s="2"/>
      <c r="H23" s="2"/>
      <c r="I23" s="2"/>
      <c r="J23" s="2"/>
      <c r="K23" s="2"/>
      <c r="L23" s="2"/>
      <c r="M23" s="2"/>
      <c r="N23" s="2"/>
      <c r="O23" s="2"/>
      <c r="P23" s="2"/>
      <c r="Q23" s="2"/>
      <c r="R23" s="2"/>
      <c r="S23" s="2"/>
      <c r="T23" s="2"/>
      <c r="U23" s="2"/>
      <c r="V23" s="2"/>
      <c r="W23" s="2"/>
      <c r="X23" s="2"/>
      <c r="Y23" s="2"/>
      <c r="Z23" s="2"/>
      <c r="AA23" s="2"/>
      <c r="AB23" s="2"/>
      <c r="AC23" s="2"/>
    </row>
    <row r="24" ht="14.25" customHeight="1">
      <c r="A24" s="14"/>
      <c r="B24" s="14"/>
      <c r="C24" s="14"/>
      <c r="D24" s="14"/>
      <c r="E24" s="14"/>
      <c r="F24" s="2"/>
      <c r="G24" s="2"/>
      <c r="H24" s="2"/>
      <c r="I24" s="2"/>
      <c r="J24" s="2"/>
      <c r="K24" s="2"/>
      <c r="L24" s="2"/>
      <c r="M24" s="2"/>
      <c r="N24" s="2"/>
      <c r="O24" s="2"/>
      <c r="P24" s="2"/>
      <c r="Q24" s="2"/>
      <c r="R24" s="2"/>
      <c r="S24" s="2"/>
      <c r="T24" s="2"/>
      <c r="U24" s="2"/>
      <c r="V24" s="2"/>
      <c r="W24" s="2"/>
      <c r="X24" s="2"/>
      <c r="Y24" s="2"/>
      <c r="Z24" s="2"/>
      <c r="AA24" s="2"/>
      <c r="AB24" s="2"/>
      <c r="AC24" s="2"/>
    </row>
    <row r="25" ht="14.25" customHeight="1">
      <c r="A25" s="14"/>
      <c r="B25" s="14"/>
      <c r="C25" s="14"/>
      <c r="D25" s="14"/>
      <c r="E25" s="14"/>
      <c r="F25" s="2"/>
      <c r="G25" s="2"/>
      <c r="H25" s="2"/>
      <c r="I25" s="2"/>
      <c r="J25" s="2"/>
      <c r="K25" s="2"/>
      <c r="L25" s="2"/>
      <c r="M25" s="2"/>
      <c r="N25" s="2"/>
      <c r="O25" s="2"/>
      <c r="P25" s="2"/>
      <c r="Q25" s="2"/>
      <c r="R25" s="2"/>
      <c r="S25" s="2"/>
      <c r="T25" s="2"/>
      <c r="U25" s="2"/>
      <c r="V25" s="2"/>
      <c r="W25" s="2"/>
      <c r="X25" s="2"/>
      <c r="Y25" s="2"/>
      <c r="Z25" s="2"/>
      <c r="AA25" s="2"/>
      <c r="AB25" s="2"/>
      <c r="AC25" s="2"/>
    </row>
    <row r="26" ht="14.25" customHeight="1">
      <c r="A26" s="14"/>
      <c r="B26" s="14"/>
      <c r="C26" s="14"/>
      <c r="D26" s="14"/>
      <c r="E26" s="14"/>
      <c r="F26" s="2"/>
      <c r="G26" s="2"/>
      <c r="H26" s="2"/>
      <c r="I26" s="2"/>
      <c r="J26" s="2"/>
      <c r="K26" s="2"/>
      <c r="L26" s="2"/>
      <c r="M26" s="2"/>
      <c r="N26" s="2"/>
      <c r="O26" s="2"/>
      <c r="P26" s="2"/>
      <c r="Q26" s="2"/>
      <c r="R26" s="2"/>
      <c r="S26" s="2"/>
      <c r="T26" s="2"/>
      <c r="U26" s="2"/>
      <c r="V26" s="2"/>
      <c r="W26" s="2"/>
      <c r="X26" s="2"/>
      <c r="Y26" s="2"/>
      <c r="Z26" s="2"/>
      <c r="AA26" s="2"/>
      <c r="AB26" s="2"/>
      <c r="AC26" s="2"/>
    </row>
    <row r="27" ht="14.25" customHeight="1">
      <c r="A27" s="14"/>
      <c r="B27" s="14"/>
      <c r="C27" s="14"/>
      <c r="D27" s="14"/>
      <c r="E27" s="14"/>
      <c r="F27" s="2"/>
      <c r="G27" s="2"/>
      <c r="H27" s="2"/>
      <c r="I27" s="2"/>
      <c r="J27" s="2"/>
      <c r="K27" s="2"/>
      <c r="L27" s="2"/>
      <c r="M27" s="2"/>
      <c r="N27" s="2"/>
      <c r="O27" s="2"/>
      <c r="P27" s="2"/>
      <c r="Q27" s="2"/>
      <c r="R27" s="2"/>
      <c r="S27" s="2"/>
      <c r="T27" s="2"/>
      <c r="U27" s="2"/>
      <c r="V27" s="2"/>
      <c r="W27" s="2"/>
      <c r="X27" s="2"/>
      <c r="Y27" s="2"/>
      <c r="Z27" s="2"/>
      <c r="AA27" s="2"/>
      <c r="AB27" s="2"/>
      <c r="AC27" s="2"/>
    </row>
    <row r="28" ht="14.25" customHeight="1">
      <c r="A28" s="14"/>
      <c r="B28" s="14"/>
      <c r="C28" s="14"/>
      <c r="D28" s="14"/>
      <c r="E28" s="2"/>
      <c r="F28" s="2"/>
      <c r="G28" s="2"/>
      <c r="H28" s="2"/>
      <c r="I28" s="2"/>
      <c r="J28" s="2"/>
      <c r="K28" s="2"/>
      <c r="L28" s="2"/>
      <c r="M28" s="2"/>
      <c r="N28" s="2"/>
      <c r="O28" s="2"/>
      <c r="P28" s="2"/>
      <c r="Q28" s="2"/>
      <c r="R28" s="2"/>
      <c r="S28" s="2"/>
      <c r="T28" s="2"/>
      <c r="U28" s="2"/>
      <c r="V28" s="2"/>
      <c r="W28" s="2"/>
      <c r="X28" s="2"/>
      <c r="Y28" s="2"/>
      <c r="Z28" s="2"/>
      <c r="AA28" s="2"/>
      <c r="AB28" s="2"/>
      <c r="AC28" s="2"/>
    </row>
    <row r="29" ht="14.25" customHeight="1">
      <c r="A29" s="2"/>
      <c r="B29" s="14"/>
      <c r="C29" s="14"/>
      <c r="D29" s="2"/>
      <c r="E29" s="2"/>
      <c r="F29" s="2"/>
      <c r="G29" s="2"/>
      <c r="H29" s="2"/>
      <c r="I29" s="2"/>
      <c r="J29" s="2"/>
      <c r="K29" s="2"/>
      <c r="L29" s="2"/>
      <c r="M29" s="2"/>
      <c r="N29" s="2"/>
      <c r="O29" s="2"/>
      <c r="P29" s="2"/>
      <c r="Q29" s="2"/>
      <c r="R29" s="2"/>
      <c r="S29" s="2"/>
      <c r="T29" s="2"/>
      <c r="U29" s="2"/>
      <c r="V29" s="2"/>
      <c r="W29" s="2"/>
      <c r="X29" s="2"/>
      <c r="Y29" s="2"/>
      <c r="Z29" s="2"/>
      <c r="AA29" s="2"/>
      <c r="AB29" s="2"/>
      <c r="AC29" s="2"/>
    </row>
    <row r="30" ht="14.25" customHeight="1">
      <c r="A30" s="2"/>
      <c r="B30" s="14"/>
      <c r="C30" s="14"/>
      <c r="D30" s="2"/>
      <c r="E30" s="14"/>
      <c r="F30" s="2"/>
      <c r="G30" s="2"/>
      <c r="H30" s="2"/>
      <c r="I30" s="2"/>
      <c r="J30" s="2"/>
      <c r="K30" s="2"/>
      <c r="L30" s="2"/>
      <c r="M30" s="2"/>
      <c r="N30" s="2"/>
      <c r="O30" s="2"/>
      <c r="P30" s="2"/>
      <c r="Q30" s="2"/>
      <c r="R30" s="2"/>
      <c r="S30" s="2"/>
      <c r="T30" s="2"/>
      <c r="U30" s="2"/>
      <c r="V30" s="2"/>
      <c r="W30" s="2"/>
      <c r="X30" s="2"/>
      <c r="Y30" s="2"/>
      <c r="Z30" s="2"/>
      <c r="AA30" s="2"/>
      <c r="AB30" s="2"/>
      <c r="AC30" s="2"/>
    </row>
    <row r="31" ht="14.25" customHeight="1">
      <c r="A31" s="2"/>
      <c r="B31" s="14"/>
      <c r="C31" s="14"/>
      <c r="D31" s="2"/>
      <c r="E31" s="14"/>
      <c r="F31" s="2"/>
      <c r="G31" s="2"/>
      <c r="H31" s="2" t="s">
        <v>76</v>
      </c>
      <c r="I31" s="2"/>
      <c r="J31" s="2"/>
      <c r="K31" s="2"/>
      <c r="L31" s="2"/>
      <c r="M31" s="2"/>
      <c r="N31" s="2"/>
      <c r="O31" s="2"/>
      <c r="P31" s="2"/>
      <c r="Q31" s="2"/>
      <c r="R31" s="2"/>
      <c r="S31" s="2"/>
      <c r="T31" s="2"/>
      <c r="U31" s="2"/>
      <c r="V31" s="2"/>
      <c r="W31" s="2"/>
      <c r="X31" s="2"/>
      <c r="Y31" s="2"/>
      <c r="Z31" s="2"/>
      <c r="AA31" s="2"/>
      <c r="AB31" s="2"/>
      <c r="AC31" s="2"/>
    </row>
    <row r="32" ht="14.25" customHeight="1">
      <c r="A32" s="2"/>
      <c r="B32" s="127"/>
      <c r="C32" s="2"/>
      <c r="D32" s="3"/>
      <c r="E32" s="3"/>
      <c r="F32" s="2"/>
      <c r="G32" s="2"/>
      <c r="H32" s="2"/>
      <c r="I32" s="2"/>
      <c r="J32" s="2"/>
      <c r="K32" s="2"/>
      <c r="L32" s="2"/>
      <c r="M32" s="2"/>
      <c r="N32" s="2"/>
      <c r="O32" s="2"/>
      <c r="P32" s="2"/>
      <c r="Q32" s="2"/>
      <c r="R32" s="2"/>
      <c r="S32" s="2"/>
      <c r="T32" s="2"/>
      <c r="U32" s="2"/>
      <c r="V32" s="2"/>
      <c r="W32" s="2"/>
      <c r="X32" s="2"/>
      <c r="Y32" s="2"/>
      <c r="Z32" s="2"/>
      <c r="AA32" s="2"/>
      <c r="AB32" s="2"/>
      <c r="AC32" s="2"/>
    </row>
    <row r="33" ht="14.25" customHeight="1">
      <c r="A33" s="2"/>
      <c r="B33" s="127"/>
      <c r="C33" s="2"/>
      <c r="D33" s="3"/>
      <c r="E33" s="3"/>
      <c r="F33" s="2"/>
      <c r="G33" s="2"/>
      <c r="H33" s="2"/>
      <c r="I33" s="2"/>
      <c r="J33" s="2"/>
      <c r="K33" s="2"/>
      <c r="L33" s="2"/>
      <c r="M33" s="2"/>
      <c r="N33" s="2"/>
      <c r="O33" s="2"/>
      <c r="P33" s="2"/>
      <c r="Q33" s="2"/>
      <c r="R33" s="2"/>
      <c r="S33" s="2"/>
      <c r="T33" s="2"/>
      <c r="U33" s="2"/>
      <c r="V33" s="2"/>
      <c r="W33" s="2"/>
      <c r="X33" s="2"/>
      <c r="Y33" s="2"/>
      <c r="Z33" s="2"/>
      <c r="AA33" s="2"/>
      <c r="AB33" s="2"/>
      <c r="AC33" s="2"/>
    </row>
    <row r="34" ht="14.25" customHeight="1">
      <c r="A34" s="2"/>
      <c r="B34" s="127"/>
      <c r="C34" s="2"/>
      <c r="D34" s="3"/>
      <c r="E34" s="3"/>
      <c r="F34" s="2"/>
      <c r="G34" s="2"/>
      <c r="H34" s="2"/>
      <c r="I34" s="2"/>
      <c r="J34" s="2"/>
      <c r="K34" s="2"/>
      <c r="L34" s="2"/>
      <c r="M34" s="2"/>
      <c r="N34" s="2"/>
      <c r="O34" s="2"/>
      <c r="P34" s="2"/>
      <c r="Q34" s="2"/>
      <c r="R34" s="2"/>
      <c r="S34" s="2"/>
      <c r="T34" s="2"/>
      <c r="U34" s="2"/>
      <c r="V34" s="2"/>
      <c r="W34" s="2"/>
      <c r="X34" s="2"/>
      <c r="Y34" s="2"/>
      <c r="Z34" s="2"/>
      <c r="AA34" s="2"/>
      <c r="AB34" s="2"/>
      <c r="AC34" s="2"/>
    </row>
    <row r="35" ht="14.25" customHeight="1">
      <c r="A35" s="2"/>
      <c r="B35" s="2"/>
      <c r="C35" s="2"/>
      <c r="D35" s="3"/>
      <c r="E35" s="2"/>
      <c r="F35" s="2"/>
      <c r="G35" s="2"/>
      <c r="H35" s="2"/>
      <c r="I35" s="2"/>
      <c r="J35" s="2"/>
      <c r="K35" s="2"/>
      <c r="L35" s="2"/>
      <c r="M35" s="2"/>
      <c r="N35" s="2"/>
      <c r="O35" s="2"/>
      <c r="P35" s="2"/>
      <c r="Q35" s="2"/>
      <c r="R35" s="2"/>
      <c r="S35" s="2"/>
      <c r="T35" s="2"/>
      <c r="U35" s="2"/>
      <c r="V35" s="2"/>
      <c r="W35" s="2"/>
      <c r="X35" s="2"/>
      <c r="Y35" s="2"/>
      <c r="Z35" s="2"/>
      <c r="AA35" s="2"/>
      <c r="AB35" s="2"/>
      <c r="AC35" s="2"/>
    </row>
    <row r="36" ht="14.25" customHeight="1">
      <c r="A36" s="2"/>
      <c r="B36" s="2"/>
      <c r="C36" s="2"/>
      <c r="D36" s="3"/>
      <c r="E36" s="2"/>
      <c r="F36" s="2"/>
      <c r="G36" s="2"/>
      <c r="H36" s="2"/>
      <c r="I36" s="2"/>
      <c r="J36" s="2"/>
      <c r="K36" s="2"/>
      <c r="L36" s="2"/>
      <c r="M36" s="2"/>
      <c r="N36" s="2"/>
      <c r="O36" s="2"/>
      <c r="P36" s="2"/>
      <c r="Q36" s="2"/>
      <c r="R36" s="2"/>
      <c r="S36" s="2"/>
      <c r="T36" s="2"/>
      <c r="U36" s="2"/>
      <c r="V36" s="2"/>
      <c r="W36" s="2"/>
      <c r="X36" s="2"/>
      <c r="Y36" s="2"/>
      <c r="Z36" s="2"/>
      <c r="AA36" s="2"/>
      <c r="AB36" s="2"/>
      <c r="AC36" s="2"/>
    </row>
    <row r="37" ht="14.25" customHeight="1">
      <c r="A37" s="2"/>
      <c r="B37" s="2"/>
      <c r="C37" s="2"/>
      <c r="D37" s="3"/>
      <c r="E37" s="2"/>
      <c r="F37" s="2"/>
      <c r="G37" s="2"/>
      <c r="H37" s="2"/>
      <c r="I37" s="2"/>
      <c r="J37" s="2"/>
      <c r="K37" s="2"/>
      <c r="L37" s="2"/>
      <c r="M37" s="2"/>
      <c r="N37" s="2"/>
      <c r="O37" s="2"/>
      <c r="P37" s="2"/>
      <c r="Q37" s="2"/>
      <c r="R37" s="2"/>
      <c r="S37" s="2"/>
      <c r="T37" s="2"/>
      <c r="U37" s="2"/>
      <c r="V37" s="2"/>
      <c r="W37" s="2"/>
      <c r="X37" s="2"/>
      <c r="Y37" s="2"/>
      <c r="Z37" s="2"/>
      <c r="AA37" s="2"/>
      <c r="AB37" s="2"/>
      <c r="AC37" s="2"/>
    </row>
    <row r="38" ht="14.25" customHeight="1">
      <c r="A38" s="2"/>
      <c r="B38" s="134"/>
      <c r="C38" s="135" t="s">
        <v>85</v>
      </c>
      <c r="D38" s="142" t="s">
        <v>42</v>
      </c>
      <c r="E38" s="134"/>
      <c r="F38" s="134"/>
      <c r="G38" s="2"/>
      <c r="H38" s="135" t="s">
        <v>88</v>
      </c>
      <c r="I38" s="142" t="s">
        <v>42</v>
      </c>
      <c r="J38" s="127"/>
      <c r="K38" s="127"/>
      <c r="L38" s="127"/>
      <c r="M38" s="135" t="s">
        <v>53</v>
      </c>
      <c r="N38" s="142" t="s">
        <v>42</v>
      </c>
      <c r="O38" s="2"/>
      <c r="P38" s="127"/>
      <c r="Q38" s="127"/>
      <c r="R38" s="135" t="s">
        <v>29</v>
      </c>
      <c r="S38" s="142" t="s">
        <v>42</v>
      </c>
      <c r="T38" s="2"/>
      <c r="U38" s="2"/>
      <c r="V38" s="2"/>
      <c r="W38" s="135" t="s">
        <v>89</v>
      </c>
      <c r="X38" s="142" t="s">
        <v>42</v>
      </c>
      <c r="Y38" s="127"/>
      <c r="Z38" s="2"/>
      <c r="AA38" s="2"/>
      <c r="AB38" s="148" t="s">
        <v>58</v>
      </c>
      <c r="AC38" s="142" t="s">
        <v>42</v>
      </c>
      <c r="AD38" s="153"/>
      <c r="AE38" s="127"/>
      <c r="AF38" s="2"/>
      <c r="AG38" s="135" t="s">
        <v>72</v>
      </c>
      <c r="AH38" s="142" t="s">
        <v>42</v>
      </c>
      <c r="AI38" s="2"/>
      <c r="AJ38" s="127"/>
      <c r="AK38" s="127"/>
      <c r="AL38" s="135" t="s">
        <v>37</v>
      </c>
      <c r="AM38" s="166" t="s">
        <v>42</v>
      </c>
      <c r="AN38" s="2"/>
      <c r="AO38" s="14"/>
      <c r="AP38" s="2"/>
      <c r="AQ38" s="135" t="s">
        <v>99</v>
      </c>
      <c r="AR38" s="142" t="s">
        <v>42</v>
      </c>
      <c r="AS38" s="2"/>
      <c r="AT38" s="127"/>
      <c r="AU38" s="2"/>
      <c r="AV38" s="135" t="s">
        <v>28</v>
      </c>
      <c r="AW38" s="142" t="s">
        <v>42</v>
      </c>
      <c r="AX38" s="2"/>
      <c r="AY38" s="127"/>
      <c r="AZ38" s="2"/>
      <c r="BA38" s="135" t="s">
        <v>44</v>
      </c>
      <c r="BB38" s="142" t="s">
        <v>42</v>
      </c>
      <c r="BC38" s="2"/>
      <c r="BD38" s="127"/>
      <c r="BE38" s="2"/>
      <c r="BF38" s="135" t="s">
        <v>107</v>
      </c>
      <c r="BG38" s="142" t="s">
        <v>42</v>
      </c>
      <c r="BH38" s="2"/>
      <c r="BI38" s="127"/>
      <c r="BJ38" s="2"/>
      <c r="BK38" s="171" t="s">
        <v>108</v>
      </c>
      <c r="BL38" s="142" t="s">
        <v>42</v>
      </c>
      <c r="BM38" s="2"/>
      <c r="BN38" s="127"/>
      <c r="BO38" s="2"/>
      <c r="BP38" s="197" t="s">
        <v>25</v>
      </c>
      <c r="BQ38" s="142" t="s">
        <v>42</v>
      </c>
      <c r="BR38" s="2"/>
      <c r="BS38" s="127"/>
      <c r="BT38" s="2"/>
      <c r="BU38" s="214" t="s">
        <v>33</v>
      </c>
      <c r="BV38" s="217"/>
      <c r="BW38" s="166" t="s">
        <v>42</v>
      </c>
      <c r="BX38" s="2"/>
      <c r="BY38" s="223"/>
      <c r="BZ38" s="223"/>
      <c r="CA38" s="223"/>
      <c r="CB38" s="135" t="s">
        <v>8</v>
      </c>
      <c r="CC38" s="166" t="s">
        <v>42</v>
      </c>
      <c r="CD38" s="2"/>
      <c r="CE38" s="127"/>
      <c r="CF38" s="2"/>
      <c r="CG38" s="127"/>
      <c r="CH38" s="135" t="s">
        <v>46</v>
      </c>
      <c r="CI38" s="142" t="s">
        <v>42</v>
      </c>
      <c r="CJ38" s="2"/>
      <c r="CK38" s="127"/>
      <c r="CL38" s="2"/>
      <c r="CM38" s="127"/>
      <c r="CN38" s="135" t="s">
        <v>135</v>
      </c>
      <c r="CO38" s="142" t="s">
        <v>42</v>
      </c>
      <c r="CP38" s="2"/>
      <c r="CQ38" s="127"/>
      <c r="CR38" s="2"/>
      <c r="CS38" s="127"/>
      <c r="CT38" s="135" t="s">
        <v>74</v>
      </c>
      <c r="CU38" s="142" t="s">
        <v>42</v>
      </c>
      <c r="CV38" s="2"/>
      <c r="CW38" s="127" t="s">
        <v>76</v>
      </c>
      <c r="CX38" s="2"/>
      <c r="CY38" s="14"/>
      <c r="CZ38" s="14"/>
      <c r="DA38" s="14"/>
      <c r="DB38" s="14"/>
      <c r="DC38" s="14"/>
      <c r="DD38" s="223"/>
      <c r="DE38" s="223"/>
      <c r="DF38" s="223"/>
      <c r="DG38" s="223"/>
      <c r="DH38" s="223"/>
      <c r="DI38" s="223"/>
      <c r="DJ38" s="223"/>
      <c r="DK38" s="2"/>
      <c r="DL38" s="2"/>
      <c r="DM38" s="2"/>
      <c r="DN38" s="2"/>
      <c r="DO38" s="2"/>
      <c r="DP38" s="2"/>
      <c r="DQ38" s="2"/>
    </row>
    <row r="39" ht="45.0" customHeight="1">
      <c r="A39" s="2"/>
      <c r="B39" s="230" t="s">
        <v>2</v>
      </c>
      <c r="C39" s="241" t="s">
        <v>137</v>
      </c>
      <c r="D39" s="245" t="s">
        <v>141</v>
      </c>
      <c r="E39" s="248" t="s">
        <v>144</v>
      </c>
      <c r="F39" s="2"/>
      <c r="G39" s="250" t="s">
        <v>2</v>
      </c>
      <c r="H39" s="252" t="s">
        <v>137</v>
      </c>
      <c r="I39" s="254" t="s">
        <v>141</v>
      </c>
      <c r="J39" s="256" t="s">
        <v>144</v>
      </c>
      <c r="K39" s="127"/>
      <c r="L39" s="259" t="s">
        <v>2</v>
      </c>
      <c r="M39" s="261" t="s">
        <v>137</v>
      </c>
      <c r="N39" s="263" t="s">
        <v>141</v>
      </c>
      <c r="O39" s="268" t="s">
        <v>144</v>
      </c>
      <c r="P39" s="127"/>
      <c r="Q39" s="259" t="s">
        <v>2</v>
      </c>
      <c r="R39" s="271" t="s">
        <v>137</v>
      </c>
      <c r="S39" s="273" t="s">
        <v>141</v>
      </c>
      <c r="T39" s="287" t="s">
        <v>144</v>
      </c>
      <c r="U39" s="127"/>
      <c r="V39" s="250" t="s">
        <v>2</v>
      </c>
      <c r="W39" s="290" t="s">
        <v>137</v>
      </c>
      <c r="X39" s="292" t="s">
        <v>141</v>
      </c>
      <c r="Y39" s="295" t="s">
        <v>144</v>
      </c>
      <c r="Z39" s="127"/>
      <c r="AA39" s="259" t="s">
        <v>2</v>
      </c>
      <c r="AB39" s="297" t="s">
        <v>137</v>
      </c>
      <c r="AC39" s="245" t="s">
        <v>141</v>
      </c>
      <c r="AD39" s="268" t="s">
        <v>144</v>
      </c>
      <c r="AE39" s="127"/>
      <c r="AF39" s="259" t="s">
        <v>2</v>
      </c>
      <c r="AG39" s="271" t="s">
        <v>137</v>
      </c>
      <c r="AH39" s="301" t="s">
        <v>141</v>
      </c>
      <c r="AI39" s="268" t="s">
        <v>144</v>
      </c>
      <c r="AJ39" s="127"/>
      <c r="AK39" s="259" t="s">
        <v>2</v>
      </c>
      <c r="AL39" s="261" t="s">
        <v>137</v>
      </c>
      <c r="AM39" s="245" t="s">
        <v>141</v>
      </c>
      <c r="AN39" s="268" t="s">
        <v>144</v>
      </c>
      <c r="AO39" s="14"/>
      <c r="AP39" s="259" t="s">
        <v>2</v>
      </c>
      <c r="AQ39" s="271" t="s">
        <v>137</v>
      </c>
      <c r="AR39" s="301" t="s">
        <v>141</v>
      </c>
      <c r="AS39" s="268" t="s">
        <v>144</v>
      </c>
      <c r="AT39" s="127"/>
      <c r="AU39" s="250" t="s">
        <v>2</v>
      </c>
      <c r="AV39" s="252" t="s">
        <v>137</v>
      </c>
      <c r="AW39" s="263" t="s">
        <v>141</v>
      </c>
      <c r="AX39" s="311" t="s">
        <v>144</v>
      </c>
      <c r="AY39" s="127"/>
      <c r="AZ39" s="250" t="s">
        <v>2</v>
      </c>
      <c r="BA39" s="252" t="s">
        <v>137</v>
      </c>
      <c r="BB39" s="263" t="s">
        <v>141</v>
      </c>
      <c r="BC39" s="311" t="s">
        <v>144</v>
      </c>
      <c r="BD39" s="127"/>
      <c r="BE39" s="259" t="s">
        <v>2</v>
      </c>
      <c r="BF39" s="271" t="s">
        <v>137</v>
      </c>
      <c r="BG39" s="301" t="s">
        <v>141</v>
      </c>
      <c r="BH39" s="268" t="s">
        <v>144</v>
      </c>
      <c r="BI39" s="127"/>
      <c r="BJ39" s="259" t="s">
        <v>2</v>
      </c>
      <c r="BK39" s="271" t="s">
        <v>137</v>
      </c>
      <c r="BL39" s="301" t="s">
        <v>141</v>
      </c>
      <c r="BM39" s="268" t="s">
        <v>144</v>
      </c>
      <c r="BN39" s="127"/>
      <c r="BO39" s="250" t="s">
        <v>2</v>
      </c>
      <c r="BP39" s="290" t="s">
        <v>137</v>
      </c>
      <c r="BQ39" s="317" t="s">
        <v>141</v>
      </c>
      <c r="BR39" s="311" t="s">
        <v>144</v>
      </c>
      <c r="BS39" s="127"/>
      <c r="BT39" s="259" t="s">
        <v>2</v>
      </c>
      <c r="BU39" s="271" t="s">
        <v>137</v>
      </c>
      <c r="BV39" s="301" t="s">
        <v>141</v>
      </c>
      <c r="BW39" s="268" t="s">
        <v>144</v>
      </c>
      <c r="BX39" s="127"/>
      <c r="BY39" s="223"/>
      <c r="BZ39" s="127"/>
      <c r="CA39" s="259" t="s">
        <v>2</v>
      </c>
      <c r="CB39" s="271" t="s">
        <v>137</v>
      </c>
      <c r="CC39" s="301" t="s">
        <v>141</v>
      </c>
      <c r="CD39" s="268" t="s">
        <v>144</v>
      </c>
      <c r="CE39" s="127"/>
      <c r="CF39" s="127"/>
      <c r="CG39" s="250" t="s">
        <v>2</v>
      </c>
      <c r="CH39" s="290" t="s">
        <v>137</v>
      </c>
      <c r="CI39" s="317" t="s">
        <v>141</v>
      </c>
      <c r="CJ39" s="311" t="s">
        <v>144</v>
      </c>
      <c r="CK39" s="2"/>
      <c r="CL39" s="2"/>
      <c r="CM39" s="259" t="s">
        <v>2</v>
      </c>
      <c r="CN39" s="271" t="s">
        <v>137</v>
      </c>
      <c r="CO39" s="301" t="s">
        <v>141</v>
      </c>
      <c r="CP39" s="259" t="s">
        <v>144</v>
      </c>
      <c r="CQ39" s="2"/>
      <c r="CR39" s="2"/>
      <c r="CS39" s="259" t="s">
        <v>2</v>
      </c>
      <c r="CT39" s="271" t="s">
        <v>137</v>
      </c>
      <c r="CU39" s="301" t="s">
        <v>141</v>
      </c>
      <c r="CV39" s="259" t="s">
        <v>144</v>
      </c>
      <c r="CW39" s="2"/>
      <c r="CX39" s="2"/>
      <c r="CY39" s="14"/>
      <c r="CZ39" s="14"/>
      <c r="DA39" s="14"/>
      <c r="DB39" s="14"/>
      <c r="DC39" s="14"/>
      <c r="DD39" s="223"/>
      <c r="DE39" s="223"/>
      <c r="DF39" s="2"/>
      <c r="DG39" s="2"/>
      <c r="DH39" s="2"/>
      <c r="DI39" s="2"/>
      <c r="DJ39" s="2"/>
      <c r="DK39" s="2"/>
      <c r="DL39" s="2"/>
      <c r="DM39" s="2"/>
      <c r="DN39" s="2"/>
      <c r="DO39" s="2"/>
      <c r="DP39" s="2"/>
      <c r="DQ39" s="2"/>
    </row>
    <row r="40" ht="14.25" customHeight="1">
      <c r="A40" s="3"/>
      <c r="B40" s="322">
        <v>1.0</v>
      </c>
      <c r="C40" s="382" t="s">
        <v>181</v>
      </c>
      <c r="D40" s="384"/>
      <c r="E40" s="389"/>
      <c r="F40" s="3"/>
      <c r="G40" s="392">
        <v>1.0</v>
      </c>
      <c r="H40" s="382" t="s">
        <v>220</v>
      </c>
      <c r="I40" s="254"/>
      <c r="J40" s="256"/>
      <c r="K40" s="3"/>
      <c r="L40" s="322">
        <v>1.0</v>
      </c>
      <c r="M40" s="382" t="s">
        <v>221</v>
      </c>
      <c r="N40" s="384"/>
      <c r="O40" s="389"/>
      <c r="P40" s="3"/>
      <c r="Q40" s="397">
        <v>1.1</v>
      </c>
      <c r="R40" s="400" t="s">
        <v>224</v>
      </c>
      <c r="S40" s="406"/>
      <c r="T40" s="409"/>
      <c r="U40" s="3"/>
      <c r="V40" s="411">
        <v>1.0</v>
      </c>
      <c r="W40" s="382" t="s">
        <v>236</v>
      </c>
      <c r="X40" s="384"/>
      <c r="Y40" s="389"/>
      <c r="Z40" s="3"/>
      <c r="AA40" s="322">
        <v>1.0</v>
      </c>
      <c r="AB40" s="415" t="s">
        <v>238</v>
      </c>
      <c r="AC40" s="430"/>
      <c r="AD40" s="435"/>
      <c r="AE40" s="3"/>
      <c r="AF40" s="436">
        <v>1.1</v>
      </c>
      <c r="AG40" s="409" t="s">
        <v>245</v>
      </c>
      <c r="AH40" s="439"/>
      <c r="AI40" s="436"/>
      <c r="AJ40" s="3"/>
      <c r="AK40" s="449">
        <v>1.0</v>
      </c>
      <c r="AL40" s="451" t="s">
        <v>255</v>
      </c>
      <c r="AM40" s="452"/>
      <c r="AN40" s="456"/>
      <c r="AO40" s="14"/>
      <c r="AP40" s="322">
        <v>1.0</v>
      </c>
      <c r="AQ40" s="382" t="s">
        <v>257</v>
      </c>
      <c r="AR40" s="384"/>
      <c r="AS40" s="389"/>
      <c r="AT40" s="3"/>
      <c r="AU40" s="322">
        <v>1.0</v>
      </c>
      <c r="AV40" s="382" t="s">
        <v>231</v>
      </c>
      <c r="AW40" s="384"/>
      <c r="AX40" s="389"/>
      <c r="AY40" s="3"/>
      <c r="AZ40" s="411">
        <v>1.0</v>
      </c>
      <c r="BA40" s="382" t="s">
        <v>259</v>
      </c>
      <c r="BB40" s="384"/>
      <c r="BC40" s="389"/>
      <c r="BD40" s="3"/>
      <c r="BE40" s="322">
        <v>1.0</v>
      </c>
      <c r="BF40" s="382" t="s">
        <v>260</v>
      </c>
      <c r="BG40" s="384"/>
      <c r="BH40" s="389"/>
      <c r="BI40" s="3"/>
      <c r="BJ40" s="322">
        <v>1.0</v>
      </c>
      <c r="BK40" s="382" t="s">
        <v>261</v>
      </c>
      <c r="BL40" s="384"/>
      <c r="BM40" s="389"/>
      <c r="BN40" s="3"/>
      <c r="BO40" s="462">
        <v>1.0</v>
      </c>
      <c r="BP40" s="468" t="s">
        <v>262</v>
      </c>
      <c r="BQ40" s="469"/>
      <c r="BR40" s="470"/>
      <c r="BS40" s="3"/>
      <c r="BT40" s="322">
        <v>1.0</v>
      </c>
      <c r="BU40" s="382" t="s">
        <v>263</v>
      </c>
      <c r="BV40" s="384"/>
      <c r="BW40" s="389"/>
      <c r="BX40" s="3"/>
      <c r="BY40" s="223"/>
      <c r="BZ40" s="3" t="s">
        <v>264</v>
      </c>
      <c r="CA40" s="322">
        <v>1.0</v>
      </c>
      <c r="CB40" s="382" t="s">
        <v>0</v>
      </c>
      <c r="CC40" s="384"/>
      <c r="CD40" s="389"/>
      <c r="CE40" s="3"/>
      <c r="CF40" s="3"/>
      <c r="CG40" s="462">
        <v>0.0</v>
      </c>
      <c r="CH40" s="471" t="s">
        <v>265</v>
      </c>
      <c r="CI40" s="469"/>
      <c r="CJ40" s="470"/>
      <c r="CK40" s="3"/>
      <c r="CL40" s="3"/>
      <c r="CM40" s="322">
        <v>1.0</v>
      </c>
      <c r="CN40" s="382" t="s">
        <v>266</v>
      </c>
      <c r="CO40" s="384"/>
      <c r="CP40" s="389" t="s">
        <v>267</v>
      </c>
      <c r="CQ40" s="3"/>
      <c r="CR40" s="3"/>
      <c r="CS40" s="397">
        <v>1.0</v>
      </c>
      <c r="CT40" s="472" t="s">
        <v>268</v>
      </c>
      <c r="CU40" s="473"/>
      <c r="CV40" s="474"/>
      <c r="CW40" s="3"/>
      <c r="CX40" s="3"/>
      <c r="CY40" s="14"/>
      <c r="CZ40" s="14"/>
      <c r="DA40" s="14"/>
      <c r="DB40" s="14"/>
      <c r="DC40" s="14"/>
      <c r="DD40" s="223"/>
      <c r="DE40" s="223"/>
      <c r="DF40" s="3"/>
      <c r="DG40" s="3"/>
      <c r="DH40" s="3"/>
      <c r="DI40" s="3"/>
      <c r="DJ40" s="3"/>
      <c r="DK40" s="3"/>
      <c r="DL40" s="3"/>
      <c r="DM40" s="3"/>
      <c r="DN40" s="3"/>
      <c r="DO40" s="3"/>
      <c r="DP40" s="3"/>
      <c r="DQ40" s="3"/>
    </row>
    <row r="41" ht="14.25" customHeight="1">
      <c r="A41" s="3"/>
      <c r="B41" s="476">
        <v>2.0</v>
      </c>
      <c r="C41" s="477" t="s">
        <v>269</v>
      </c>
      <c r="D41" s="478"/>
      <c r="E41" s="479"/>
      <c r="F41" s="3"/>
      <c r="G41" s="322">
        <v>1.0</v>
      </c>
      <c r="H41" s="382" t="s">
        <v>270</v>
      </c>
      <c r="I41" s="384"/>
      <c r="J41" s="389"/>
      <c r="K41" s="3"/>
      <c r="L41" s="476">
        <v>2.0</v>
      </c>
      <c r="M41" s="477" t="s">
        <v>271</v>
      </c>
      <c r="N41" s="478"/>
      <c r="O41" s="479"/>
      <c r="P41" s="3"/>
      <c r="Q41" s="322">
        <v>1.2</v>
      </c>
      <c r="R41" s="382" t="s">
        <v>272</v>
      </c>
      <c r="S41" s="384"/>
      <c r="T41" s="389"/>
      <c r="U41" s="3"/>
      <c r="V41" s="476">
        <v>2.0</v>
      </c>
      <c r="W41" s="477" t="s">
        <v>273</v>
      </c>
      <c r="X41" s="478"/>
      <c r="Y41" s="479"/>
      <c r="Z41" s="3"/>
      <c r="AA41" s="476">
        <v>2.0</v>
      </c>
      <c r="AB41" s="477" t="s">
        <v>274</v>
      </c>
      <c r="AC41" s="478"/>
      <c r="AD41" s="479"/>
      <c r="AE41" s="3"/>
      <c r="AF41" s="322">
        <v>1.0</v>
      </c>
      <c r="AG41" s="415" t="s">
        <v>275</v>
      </c>
      <c r="AH41" s="430"/>
      <c r="AI41" s="435"/>
      <c r="AJ41" s="3"/>
      <c r="AK41" s="476">
        <v>2.0</v>
      </c>
      <c r="AL41" s="477" t="s">
        <v>276</v>
      </c>
      <c r="AM41" s="478"/>
      <c r="AN41" s="479"/>
      <c r="AO41" s="14"/>
      <c r="AP41" s="476">
        <v>2.0</v>
      </c>
      <c r="AQ41" s="477" t="s">
        <v>277</v>
      </c>
      <c r="AR41" s="478"/>
      <c r="AS41" s="479"/>
      <c r="AT41" s="3"/>
      <c r="AU41" s="476">
        <v>2.0</v>
      </c>
      <c r="AV41" s="477" t="s">
        <v>278</v>
      </c>
      <c r="AW41" s="478"/>
      <c r="AX41" s="479"/>
      <c r="AY41" s="3"/>
      <c r="AZ41" s="476">
        <v>2.0</v>
      </c>
      <c r="BA41" s="482" t="s">
        <v>281</v>
      </c>
      <c r="BB41" s="478"/>
      <c r="BC41" s="479"/>
      <c r="BD41" s="3"/>
      <c r="BE41" s="476">
        <v>2.0</v>
      </c>
      <c r="BF41" s="477" t="s">
        <v>282</v>
      </c>
      <c r="BG41" s="478"/>
      <c r="BH41" s="479"/>
      <c r="BI41" s="3"/>
      <c r="BJ41" s="476">
        <v>2.0</v>
      </c>
      <c r="BK41" s="477" t="s">
        <v>283</v>
      </c>
      <c r="BL41" s="478"/>
      <c r="BM41" s="479"/>
      <c r="BN41" s="3"/>
      <c r="BO41" s="484">
        <v>1.1</v>
      </c>
      <c r="BP41" s="485" t="s">
        <v>19</v>
      </c>
      <c r="BQ41" s="452"/>
      <c r="BR41" s="456"/>
      <c r="BS41" s="3"/>
      <c r="BT41" s="476">
        <v>2.0</v>
      </c>
      <c r="BU41" s="477" t="s">
        <v>285</v>
      </c>
      <c r="BV41" s="478"/>
      <c r="BW41" s="479"/>
      <c r="BX41" s="3"/>
      <c r="BY41" s="223"/>
      <c r="BZ41" s="3"/>
      <c r="CA41" s="476">
        <v>2.0</v>
      </c>
      <c r="CB41" s="477" t="s">
        <v>71</v>
      </c>
      <c r="CC41" s="478"/>
      <c r="CD41" s="479"/>
      <c r="CE41" s="3"/>
      <c r="CF41" s="3"/>
      <c r="CG41" s="484">
        <v>1.0</v>
      </c>
      <c r="CH41" s="485" t="s">
        <v>288</v>
      </c>
      <c r="CI41" s="452"/>
      <c r="CJ41" s="489"/>
      <c r="CK41" s="3"/>
      <c r="CL41" s="3"/>
      <c r="CM41" s="476">
        <v>2.0</v>
      </c>
      <c r="CN41" s="477" t="s">
        <v>289</v>
      </c>
      <c r="CO41" s="478"/>
      <c r="CP41" s="479"/>
      <c r="CQ41" s="3"/>
      <c r="CR41" s="3"/>
      <c r="CS41" s="322">
        <v>1.1</v>
      </c>
      <c r="CT41" s="382" t="s">
        <v>290</v>
      </c>
      <c r="CU41" s="384"/>
      <c r="CV41" s="389"/>
      <c r="CW41" s="3"/>
      <c r="CX41" s="3"/>
      <c r="CY41" s="14"/>
      <c r="CZ41" s="14"/>
      <c r="DA41" s="14"/>
      <c r="DB41" s="14"/>
      <c r="DC41" s="14"/>
      <c r="DD41" s="223"/>
      <c r="DE41" s="223"/>
      <c r="DF41" s="3"/>
      <c r="DG41" s="3"/>
      <c r="DH41" s="3"/>
      <c r="DI41" s="3"/>
      <c r="DJ41" s="3"/>
      <c r="DK41" s="3"/>
      <c r="DL41" s="3"/>
      <c r="DM41" s="3"/>
      <c r="DN41" s="3"/>
      <c r="DO41" s="3"/>
      <c r="DP41" s="3"/>
      <c r="DQ41" s="3"/>
    </row>
    <row r="42" ht="14.25" customHeight="1">
      <c r="A42" s="3"/>
      <c r="B42" s="449">
        <v>3.0</v>
      </c>
      <c r="C42" s="451" t="s">
        <v>291</v>
      </c>
      <c r="D42" s="452"/>
      <c r="E42" s="456"/>
      <c r="F42" s="3"/>
      <c r="G42" s="476">
        <v>2.0</v>
      </c>
      <c r="H42" s="477" t="s">
        <v>293</v>
      </c>
      <c r="I42" s="478"/>
      <c r="J42" s="479"/>
      <c r="K42" s="3"/>
      <c r="L42" s="476">
        <v>2.0</v>
      </c>
      <c r="M42" s="477" t="s">
        <v>294</v>
      </c>
      <c r="N42" s="478"/>
      <c r="O42" s="479"/>
      <c r="P42" s="3"/>
      <c r="Q42" s="476">
        <v>2.0</v>
      </c>
      <c r="R42" s="477" t="s">
        <v>295</v>
      </c>
      <c r="S42" s="478"/>
      <c r="T42" s="479"/>
      <c r="U42" s="3"/>
      <c r="V42" s="449">
        <v>3.0</v>
      </c>
      <c r="W42" s="451" t="s">
        <v>296</v>
      </c>
      <c r="X42" s="452"/>
      <c r="Y42" s="456"/>
      <c r="Z42" s="3"/>
      <c r="AA42" s="449">
        <v>3.0</v>
      </c>
      <c r="AB42" s="451" t="s">
        <v>299</v>
      </c>
      <c r="AC42" s="452"/>
      <c r="AD42" s="456"/>
      <c r="AE42" s="3"/>
      <c r="AF42" s="476">
        <v>2.0</v>
      </c>
      <c r="AG42" s="477" t="s">
        <v>300</v>
      </c>
      <c r="AH42" s="478"/>
      <c r="AI42" s="479" t="s">
        <v>301</v>
      </c>
      <c r="AJ42" s="3"/>
      <c r="AK42" s="449">
        <v>3.0</v>
      </c>
      <c r="AL42" s="451" t="s">
        <v>302</v>
      </c>
      <c r="AM42" s="452"/>
      <c r="AN42" s="456"/>
      <c r="AO42" s="14"/>
      <c r="AP42" s="499">
        <v>2.1</v>
      </c>
      <c r="AQ42" s="409" t="s">
        <v>306</v>
      </c>
      <c r="AR42" s="580"/>
      <c r="AS42" s="406"/>
      <c r="AT42" s="3"/>
      <c r="AU42" s="449">
        <v>3.0</v>
      </c>
      <c r="AV42" s="451" t="s">
        <v>232</v>
      </c>
      <c r="AW42" s="452"/>
      <c r="AX42" s="456"/>
      <c r="AY42" s="3"/>
      <c r="AZ42" s="449">
        <v>3.0</v>
      </c>
      <c r="BA42" s="477" t="s">
        <v>385</v>
      </c>
      <c r="BB42" s="452"/>
      <c r="BC42" s="456"/>
      <c r="BD42" s="3"/>
      <c r="BE42" s="449">
        <v>3.0</v>
      </c>
      <c r="BF42" s="451" t="s">
        <v>386</v>
      </c>
      <c r="BG42" s="452"/>
      <c r="BH42" s="456"/>
      <c r="BI42" s="3"/>
      <c r="BJ42" s="449">
        <v>3.0</v>
      </c>
      <c r="BK42" s="451" t="s">
        <v>387</v>
      </c>
      <c r="BL42" s="452"/>
      <c r="BM42" s="456"/>
      <c r="BN42" s="3"/>
      <c r="BO42" s="583">
        <v>2.0</v>
      </c>
      <c r="BP42" s="589" t="s">
        <v>389</v>
      </c>
      <c r="BQ42" s="478"/>
      <c r="BR42" s="479"/>
      <c r="BS42" s="3"/>
      <c r="BT42" s="449">
        <v>3.0</v>
      </c>
      <c r="BU42" s="451" t="s">
        <v>395</v>
      </c>
      <c r="BV42" s="452"/>
      <c r="BW42" s="456"/>
      <c r="BX42" s="3"/>
      <c r="BY42" s="223"/>
      <c r="BZ42" s="3"/>
      <c r="CA42" s="449">
        <v>3.0</v>
      </c>
      <c r="CB42" s="451" t="s">
        <v>121</v>
      </c>
      <c r="CC42" s="452"/>
      <c r="CD42" s="456"/>
      <c r="CE42" s="3"/>
      <c r="CF42" s="3"/>
      <c r="CG42" s="583">
        <v>2.0</v>
      </c>
      <c r="CH42" s="596" t="s">
        <v>396</v>
      </c>
      <c r="CI42" s="478"/>
      <c r="CJ42" s="479"/>
      <c r="CK42" s="3"/>
      <c r="CL42" s="3"/>
      <c r="CM42" s="499">
        <v>3.0</v>
      </c>
      <c r="CN42" s="409" t="s">
        <v>403</v>
      </c>
      <c r="CO42" s="580"/>
      <c r="CP42" s="406"/>
      <c r="CQ42" s="3"/>
      <c r="CR42" s="3"/>
      <c r="CS42" s="397">
        <v>1.1</v>
      </c>
      <c r="CT42" s="472" t="s">
        <v>405</v>
      </c>
      <c r="CU42" s="473"/>
      <c r="CV42" s="474"/>
      <c r="CW42" s="3"/>
      <c r="CX42" s="3"/>
      <c r="CY42" s="14"/>
      <c r="CZ42" s="14"/>
      <c r="DA42" s="14"/>
      <c r="DB42" s="14"/>
      <c r="DC42" s="14"/>
      <c r="DD42" s="223"/>
      <c r="DE42" s="223"/>
      <c r="DF42" s="3"/>
      <c r="DG42" s="3"/>
      <c r="DH42" s="3"/>
      <c r="DI42" s="3"/>
      <c r="DJ42" s="3"/>
      <c r="DK42" s="3"/>
      <c r="DL42" s="3"/>
      <c r="DM42" s="3"/>
      <c r="DN42" s="3"/>
      <c r="DO42" s="3"/>
      <c r="DP42" s="3"/>
      <c r="DQ42" s="3"/>
    </row>
    <row r="43" ht="14.25" customHeight="1">
      <c r="A43" s="3"/>
      <c r="B43" s="476">
        <v>4.0</v>
      </c>
      <c r="C43" s="477" t="s">
        <v>406</v>
      </c>
      <c r="D43" s="478"/>
      <c r="E43" s="479"/>
      <c r="F43" s="3"/>
      <c r="G43" s="449">
        <v>3.0</v>
      </c>
      <c r="H43" s="451" t="s">
        <v>407</v>
      </c>
      <c r="I43" s="452"/>
      <c r="J43" s="456"/>
      <c r="K43" s="3"/>
      <c r="L43" s="499">
        <v>2.1</v>
      </c>
      <c r="M43" s="409" t="s">
        <v>408</v>
      </c>
      <c r="N43" s="580"/>
      <c r="O43" s="406"/>
      <c r="P43" s="3"/>
      <c r="Q43" s="476">
        <v>2.1</v>
      </c>
      <c r="R43" s="477" t="s">
        <v>409</v>
      </c>
      <c r="S43" s="478"/>
      <c r="T43" s="479"/>
      <c r="U43" s="3"/>
      <c r="V43" s="476">
        <v>4.0</v>
      </c>
      <c r="W43" s="477" t="s">
        <v>411</v>
      </c>
      <c r="X43" s="478"/>
      <c r="Y43" s="479"/>
      <c r="Z43" s="3"/>
      <c r="AA43" s="476">
        <v>4.0</v>
      </c>
      <c r="AB43" s="477" t="s">
        <v>412</v>
      </c>
      <c r="AC43" s="478"/>
      <c r="AD43" s="479"/>
      <c r="AE43" s="3" t="s">
        <v>413</v>
      </c>
      <c r="AF43" s="499">
        <v>2.1</v>
      </c>
      <c r="AG43" s="409" t="s">
        <v>414</v>
      </c>
      <c r="AH43" s="580"/>
      <c r="AI43" s="406"/>
      <c r="AJ43" s="3"/>
      <c r="AK43" s="476">
        <v>4.0</v>
      </c>
      <c r="AL43" s="477" t="s">
        <v>416</v>
      </c>
      <c r="AM43" s="478"/>
      <c r="AN43" s="479"/>
      <c r="AO43" s="14"/>
      <c r="AP43" s="449">
        <v>3.0</v>
      </c>
      <c r="AQ43" s="451" t="s">
        <v>417</v>
      </c>
      <c r="AR43" s="452"/>
      <c r="AS43" s="456"/>
      <c r="AT43" s="3"/>
      <c r="AU43" s="476">
        <v>4.0</v>
      </c>
      <c r="AV43" s="477" t="s">
        <v>418</v>
      </c>
      <c r="AW43" s="478"/>
      <c r="AX43" s="479"/>
      <c r="AY43" s="3"/>
      <c r="AZ43" s="499">
        <v>4.0</v>
      </c>
      <c r="BA43" s="451" t="s">
        <v>419</v>
      </c>
      <c r="BB43" s="580"/>
      <c r="BC43" s="406"/>
      <c r="BD43" s="3"/>
      <c r="BE43" s="476">
        <v>4.0</v>
      </c>
      <c r="BF43" s="477" t="s">
        <v>421</v>
      </c>
      <c r="BG43" s="478"/>
      <c r="BH43" s="479"/>
      <c r="BI43" s="3"/>
      <c r="BJ43" s="476">
        <v>4.0</v>
      </c>
      <c r="BK43" s="477" t="s">
        <v>424</v>
      </c>
      <c r="BL43" s="478"/>
      <c r="BM43" s="479"/>
      <c r="BN43" s="3"/>
      <c r="BO43" s="484">
        <v>3.0</v>
      </c>
      <c r="BP43" s="618" t="s">
        <v>125</v>
      </c>
      <c r="BQ43" s="452"/>
      <c r="BR43" s="456"/>
      <c r="BS43" s="3" t="s">
        <v>425</v>
      </c>
      <c r="BT43" s="476">
        <v>4.0</v>
      </c>
      <c r="BU43" s="477" t="s">
        <v>426</v>
      </c>
      <c r="BV43" s="478"/>
      <c r="BW43" s="479"/>
      <c r="BX43" s="3"/>
      <c r="BY43" s="223"/>
      <c r="BZ43" s="3"/>
      <c r="CA43" s="476">
        <v>4.0</v>
      </c>
      <c r="CB43" s="477" t="s">
        <v>127</v>
      </c>
      <c r="CC43" s="478"/>
      <c r="CD43" s="479"/>
      <c r="CE43" s="3"/>
      <c r="CF43" s="3"/>
      <c r="CG43" s="484">
        <v>3.0</v>
      </c>
      <c r="CH43" s="627" t="s">
        <v>427</v>
      </c>
      <c r="CI43" s="452"/>
      <c r="CJ43" s="456"/>
      <c r="CK43" s="3"/>
      <c r="CL43" s="3"/>
      <c r="CM43" s="449">
        <v>3.1</v>
      </c>
      <c r="CN43" s="451" t="s">
        <v>434</v>
      </c>
      <c r="CO43" s="452"/>
      <c r="CP43" s="456"/>
      <c r="CQ43" s="3"/>
      <c r="CR43" s="3"/>
      <c r="CS43" s="397">
        <v>1.2</v>
      </c>
      <c r="CT43" s="472" t="s">
        <v>435</v>
      </c>
      <c r="CU43" s="473"/>
      <c r="CV43" s="474"/>
      <c r="CW43" s="3"/>
      <c r="CX43" s="3"/>
      <c r="CY43" s="14"/>
      <c r="CZ43" s="14"/>
      <c r="DA43" s="14"/>
      <c r="DB43" s="14"/>
      <c r="DC43" s="14"/>
      <c r="DD43" s="223"/>
      <c r="DE43" s="223"/>
      <c r="DF43" s="3"/>
      <c r="DG43" s="3"/>
      <c r="DH43" s="3"/>
      <c r="DI43" s="3"/>
      <c r="DJ43" s="3"/>
      <c r="DK43" s="3"/>
      <c r="DL43" s="3"/>
      <c r="DM43" s="3"/>
      <c r="DN43" s="3"/>
      <c r="DO43" s="3"/>
      <c r="DP43" s="3"/>
      <c r="DQ43" s="3"/>
    </row>
    <row r="44" ht="15.0" customHeight="1">
      <c r="A44" s="3"/>
      <c r="B44" s="449">
        <v>5.0</v>
      </c>
      <c r="C44" s="636" t="s">
        <v>438</v>
      </c>
      <c r="D44" s="452"/>
      <c r="E44" s="456"/>
      <c r="F44" s="3"/>
      <c r="G44" s="476">
        <v>4.0</v>
      </c>
      <c r="H44" s="477" t="s">
        <v>443</v>
      </c>
      <c r="I44" s="478"/>
      <c r="J44" s="479"/>
      <c r="K44" s="3"/>
      <c r="L44" s="449">
        <v>3.0</v>
      </c>
      <c r="M44" s="451" t="s">
        <v>444</v>
      </c>
      <c r="N44" s="452"/>
      <c r="O44" s="456"/>
      <c r="P44" s="3"/>
      <c r="Q44" s="449">
        <v>3.0</v>
      </c>
      <c r="R44" s="451" t="s">
        <v>445</v>
      </c>
      <c r="S44" s="452"/>
      <c r="T44" s="456"/>
      <c r="U44" s="3"/>
      <c r="V44" s="449">
        <v>5.0</v>
      </c>
      <c r="W44" s="636" t="s">
        <v>446</v>
      </c>
      <c r="X44" s="452"/>
      <c r="Y44" s="456"/>
      <c r="Z44" s="3"/>
      <c r="AA44" s="449">
        <v>5.0</v>
      </c>
      <c r="AB44" s="451" t="s">
        <v>447</v>
      </c>
      <c r="AC44" s="452"/>
      <c r="AD44" s="456"/>
      <c r="AE44" s="3"/>
      <c r="AF44" s="499">
        <v>2.2</v>
      </c>
      <c r="AG44" s="409" t="s">
        <v>448</v>
      </c>
      <c r="AH44" s="580"/>
      <c r="AI44" s="406"/>
      <c r="AJ44" s="3"/>
      <c r="AK44" s="449">
        <v>5.0</v>
      </c>
      <c r="AL44" s="451" t="s">
        <v>449</v>
      </c>
      <c r="AM44" s="452"/>
      <c r="AN44" s="456"/>
      <c r="AO44" s="14"/>
      <c r="AP44" s="499">
        <v>3.1</v>
      </c>
      <c r="AQ44" s="643" t="s">
        <v>450</v>
      </c>
      <c r="AR44" s="580"/>
      <c r="AS44" s="406"/>
      <c r="AT44" s="3"/>
      <c r="AU44" s="476">
        <v>4.1</v>
      </c>
      <c r="AV44" s="477" t="s">
        <v>451</v>
      </c>
      <c r="AW44" s="478"/>
      <c r="AX44" s="479"/>
      <c r="AY44" s="3"/>
      <c r="AZ44" s="499">
        <v>5.0</v>
      </c>
      <c r="BA44" s="409" t="s">
        <v>452</v>
      </c>
      <c r="BB44" s="580"/>
      <c r="BC44" s="406"/>
      <c r="BD44" s="3"/>
      <c r="BE44" s="499">
        <v>5.0</v>
      </c>
      <c r="BF44" s="409" t="s">
        <v>454</v>
      </c>
      <c r="BG44" s="580"/>
      <c r="BH44" s="406"/>
      <c r="BI44" s="3"/>
      <c r="BJ44" s="449">
        <v>5.0</v>
      </c>
      <c r="BK44" s="636" t="s">
        <v>456</v>
      </c>
      <c r="BL44" s="452"/>
      <c r="BM44" s="456"/>
      <c r="BN44" s="3"/>
      <c r="BO44" s="652">
        <v>3.1</v>
      </c>
      <c r="BP44" s="468" t="s">
        <v>457</v>
      </c>
      <c r="BQ44" s="580"/>
      <c r="BR44" s="406"/>
      <c r="BS44" s="3"/>
      <c r="BT44" s="449">
        <v>5.0</v>
      </c>
      <c r="BU44" s="636" t="s">
        <v>458</v>
      </c>
      <c r="BV44" s="452"/>
      <c r="BW44" s="456"/>
      <c r="BX44" s="3"/>
      <c r="BY44" s="223"/>
      <c r="BZ44" s="3"/>
      <c r="CA44" s="449">
        <v>5.0</v>
      </c>
      <c r="CB44" s="636" t="s">
        <v>460</v>
      </c>
      <c r="CC44" s="452"/>
      <c r="CD44" s="456"/>
      <c r="CE44" s="3"/>
      <c r="CF44" s="3"/>
      <c r="CG44" s="583">
        <v>4.0</v>
      </c>
      <c r="CH44" s="596" t="s">
        <v>462</v>
      </c>
      <c r="CI44" s="478"/>
      <c r="CJ44" s="479"/>
      <c r="CK44" s="3"/>
      <c r="CL44" s="3"/>
      <c r="CM44" s="476">
        <v>4.0</v>
      </c>
      <c r="CN44" s="477" t="s">
        <v>465</v>
      </c>
      <c r="CO44" s="478"/>
      <c r="CP44" s="479"/>
      <c r="CQ44" s="3"/>
      <c r="CR44" s="3"/>
      <c r="CS44" s="476">
        <v>2.0</v>
      </c>
      <c r="CT44" s="477" t="s">
        <v>467</v>
      </c>
      <c r="CU44" s="478"/>
      <c r="CV44" s="479"/>
      <c r="CW44" s="3"/>
      <c r="CX44" s="3"/>
      <c r="CY44" s="14"/>
      <c r="CZ44" s="14"/>
      <c r="DA44" s="14"/>
      <c r="DB44" s="14"/>
      <c r="DC44" s="14"/>
      <c r="DD44" s="223"/>
      <c r="DE44" s="223"/>
      <c r="DF44" s="3"/>
      <c r="DG44" s="3"/>
      <c r="DH44" s="3"/>
      <c r="DI44" s="3"/>
      <c r="DJ44" s="3"/>
      <c r="DK44" s="3"/>
      <c r="DL44" s="3"/>
      <c r="DM44" s="3"/>
      <c r="DN44" s="3"/>
      <c r="DO44" s="3"/>
      <c r="DP44" s="3"/>
      <c r="DQ44" s="3"/>
    </row>
    <row r="45" ht="15.75" customHeight="1">
      <c r="A45" s="3"/>
      <c r="B45" s="476">
        <v>6.0</v>
      </c>
      <c r="C45" s="477" t="s">
        <v>468</v>
      </c>
      <c r="D45" s="478"/>
      <c r="E45" s="479"/>
      <c r="F45" s="3"/>
      <c r="G45" s="449">
        <v>5.0</v>
      </c>
      <c r="H45" s="636" t="s">
        <v>470</v>
      </c>
      <c r="I45" s="452"/>
      <c r="J45" s="456"/>
      <c r="K45" s="3"/>
      <c r="L45" s="476">
        <v>4.0</v>
      </c>
      <c r="M45" s="477" t="s">
        <v>471</v>
      </c>
      <c r="N45" s="478"/>
      <c r="O45" s="479"/>
      <c r="P45" s="3"/>
      <c r="Q45" s="476">
        <v>4.0</v>
      </c>
      <c r="R45" s="477" t="s">
        <v>472</v>
      </c>
      <c r="S45" s="478"/>
      <c r="T45" s="479"/>
      <c r="U45" s="3"/>
      <c r="V45" s="476"/>
      <c r="W45" s="477"/>
      <c r="X45" s="478"/>
      <c r="Y45" s="479"/>
      <c r="Z45" s="3"/>
      <c r="AA45" s="499">
        <v>5.1</v>
      </c>
      <c r="AB45" s="643" t="s">
        <v>475</v>
      </c>
      <c r="AC45" s="580"/>
      <c r="AD45" s="406"/>
      <c r="AE45" s="3"/>
      <c r="AF45" s="449">
        <v>3.0</v>
      </c>
      <c r="AG45" s="451" t="s">
        <v>476</v>
      </c>
      <c r="AH45" s="452"/>
      <c r="AI45" s="456" t="s">
        <v>477</v>
      </c>
      <c r="AJ45" s="3"/>
      <c r="AK45" s="476">
        <v>6.0</v>
      </c>
      <c r="AL45" s="477" t="s">
        <v>478</v>
      </c>
      <c r="AM45" s="478"/>
      <c r="AN45" s="479"/>
      <c r="AO45" s="14"/>
      <c r="AP45" s="499">
        <v>3.2</v>
      </c>
      <c r="AQ45" s="643" t="s">
        <v>480</v>
      </c>
      <c r="AR45" s="580"/>
      <c r="AS45" s="406"/>
      <c r="AT45" s="3"/>
      <c r="AU45" s="449">
        <v>5.0</v>
      </c>
      <c r="AV45" s="636" t="s">
        <v>397</v>
      </c>
      <c r="AW45" s="452"/>
      <c r="AX45" s="456"/>
      <c r="AY45" s="3"/>
      <c r="AZ45" s="499">
        <v>6.0</v>
      </c>
      <c r="BA45" s="409" t="s">
        <v>481</v>
      </c>
      <c r="BB45" s="580"/>
      <c r="BC45" s="406"/>
      <c r="BD45" s="3"/>
      <c r="BE45" s="499">
        <v>6.0</v>
      </c>
      <c r="BF45" s="409" t="s">
        <v>482</v>
      </c>
      <c r="BG45" s="580"/>
      <c r="BH45" s="406"/>
      <c r="BI45" s="3"/>
      <c r="BJ45" s="499">
        <v>5.1</v>
      </c>
      <c r="BK45" s="409" t="s">
        <v>483</v>
      </c>
      <c r="BL45" s="580"/>
      <c r="BM45" s="406"/>
      <c r="BN45" s="3"/>
      <c r="BO45" s="583">
        <v>4.0</v>
      </c>
      <c r="BP45" s="596" t="s">
        <v>174</v>
      </c>
      <c r="BQ45" s="478"/>
      <c r="BR45" s="479"/>
      <c r="BS45" s="3"/>
      <c r="BT45" s="476">
        <v>6.0</v>
      </c>
      <c r="BU45" s="477" t="s">
        <v>484</v>
      </c>
      <c r="BV45" s="478"/>
      <c r="BW45" s="479"/>
      <c r="BX45" s="3"/>
      <c r="BY45" s="223"/>
      <c r="BZ45" s="3"/>
      <c r="CA45" s="476">
        <v>6.0</v>
      </c>
      <c r="CB45" s="477" t="s">
        <v>188</v>
      </c>
      <c r="CC45" s="478"/>
      <c r="CD45" s="479"/>
      <c r="CE45" s="3"/>
      <c r="CF45" s="3"/>
      <c r="CG45" s="484">
        <v>5.0</v>
      </c>
      <c r="CH45" s="485" t="s">
        <v>486</v>
      </c>
      <c r="CI45" s="452"/>
      <c r="CJ45" s="456"/>
      <c r="CK45" s="3"/>
      <c r="CL45" s="3"/>
      <c r="CM45" s="449">
        <v>4.1</v>
      </c>
      <c r="CN45" s="636" t="s">
        <v>488</v>
      </c>
      <c r="CO45" s="452"/>
      <c r="CP45" s="456"/>
      <c r="CQ45" s="3"/>
      <c r="CR45" s="3"/>
      <c r="CS45" s="659">
        <v>2.1</v>
      </c>
      <c r="CT45" s="409" t="s">
        <v>492</v>
      </c>
      <c r="CU45" s="400"/>
      <c r="CV45" s="660"/>
      <c r="CW45" s="14"/>
      <c r="CX45" s="3"/>
      <c r="CY45" s="14"/>
      <c r="CZ45" s="14"/>
      <c r="DA45" s="14"/>
      <c r="DB45" s="14"/>
      <c r="DC45" s="14"/>
      <c r="DD45" s="223"/>
      <c r="DE45" s="223"/>
      <c r="DF45" s="3"/>
      <c r="DG45" s="3"/>
      <c r="DH45" s="3"/>
      <c r="DI45" s="3"/>
      <c r="DJ45" s="3"/>
      <c r="DK45" s="3"/>
      <c r="DL45" s="3"/>
      <c r="DM45" s="3"/>
      <c r="DN45" s="3"/>
      <c r="DO45" s="3"/>
      <c r="DP45" s="3"/>
      <c r="DQ45" s="3"/>
    </row>
    <row r="46" ht="14.25" customHeight="1">
      <c r="A46" s="3"/>
      <c r="B46" s="499">
        <v>6.1</v>
      </c>
      <c r="C46" s="409" t="s">
        <v>496</v>
      </c>
      <c r="D46" s="580"/>
      <c r="E46" s="406"/>
      <c r="F46" s="3"/>
      <c r="G46" s="476">
        <v>6.0</v>
      </c>
      <c r="H46" s="477" t="s">
        <v>498</v>
      </c>
      <c r="I46" s="478"/>
      <c r="J46" s="479"/>
      <c r="K46" s="3"/>
      <c r="L46" s="449">
        <v>5.0</v>
      </c>
      <c r="M46" s="636" t="s">
        <v>500</v>
      </c>
      <c r="N46" s="452"/>
      <c r="O46" s="456"/>
      <c r="P46" s="3"/>
      <c r="Q46" s="449">
        <v>5.0</v>
      </c>
      <c r="R46" s="636" t="s">
        <v>503</v>
      </c>
      <c r="S46" s="452"/>
      <c r="T46" s="456"/>
      <c r="U46" s="3"/>
      <c r="V46" s="449"/>
      <c r="W46" s="451"/>
      <c r="X46" s="452"/>
      <c r="Y46" s="456"/>
      <c r="Z46" s="3"/>
      <c r="AA46" s="476">
        <v>6.0</v>
      </c>
      <c r="AB46" s="477" t="s">
        <v>506</v>
      </c>
      <c r="AC46" s="478"/>
      <c r="AD46" s="479"/>
      <c r="AE46" s="3"/>
      <c r="AF46" s="476">
        <v>4.0</v>
      </c>
      <c r="AG46" s="477" t="s">
        <v>508</v>
      </c>
      <c r="AH46" s="478"/>
      <c r="AI46" s="479"/>
      <c r="AJ46" s="3"/>
      <c r="AK46" s="499">
        <v>6.1</v>
      </c>
      <c r="AL46" s="409" t="s">
        <v>509</v>
      </c>
      <c r="AM46" s="580"/>
      <c r="AN46" s="406"/>
      <c r="AO46" s="3"/>
      <c r="AP46" s="499">
        <v>3.5</v>
      </c>
      <c r="AQ46" s="643" t="s">
        <v>510</v>
      </c>
      <c r="AR46" s="580"/>
      <c r="AS46" s="406"/>
      <c r="AT46" s="3"/>
      <c r="AU46" s="499">
        <v>5.1</v>
      </c>
      <c r="AV46" s="409" t="s">
        <v>511</v>
      </c>
      <c r="AW46" s="580"/>
      <c r="AX46" s="406"/>
      <c r="AY46" s="3"/>
      <c r="AZ46" s="499">
        <v>7.0</v>
      </c>
      <c r="BA46" s="409" t="s">
        <v>512</v>
      </c>
      <c r="BB46" s="580"/>
      <c r="BC46" s="406"/>
      <c r="BD46" s="3"/>
      <c r="BE46" s="449"/>
      <c r="BF46" s="451"/>
      <c r="BG46" s="452"/>
      <c r="BH46" s="456"/>
      <c r="BI46" s="3"/>
      <c r="BJ46" s="476">
        <v>6.0</v>
      </c>
      <c r="BK46" s="477" t="s">
        <v>513</v>
      </c>
      <c r="BL46" s="478"/>
      <c r="BM46" s="479"/>
      <c r="BN46" s="3"/>
      <c r="BO46" s="484">
        <v>5.0</v>
      </c>
      <c r="BP46" s="485" t="s">
        <v>514</v>
      </c>
      <c r="BQ46" s="452"/>
      <c r="BR46" s="456"/>
      <c r="BS46" s="3"/>
      <c r="BT46" s="449">
        <v>7.0</v>
      </c>
      <c r="BU46" s="451" t="s">
        <v>515</v>
      </c>
      <c r="BV46" s="452"/>
      <c r="BW46" s="456"/>
      <c r="BX46" s="3"/>
      <c r="BY46" s="223"/>
      <c r="BZ46" s="3"/>
      <c r="CA46" s="449">
        <v>7.0</v>
      </c>
      <c r="CB46" s="451" t="s">
        <v>214</v>
      </c>
      <c r="CC46" s="452"/>
      <c r="CD46" s="456"/>
      <c r="CE46" s="3"/>
      <c r="CF46" s="3"/>
      <c r="CG46" s="583">
        <v>6.0</v>
      </c>
      <c r="CH46" s="596" t="s">
        <v>516</v>
      </c>
      <c r="CI46" s="478"/>
      <c r="CJ46" s="479" t="s">
        <v>517</v>
      </c>
      <c r="CK46" s="3"/>
      <c r="CL46" s="3"/>
      <c r="CM46" s="476"/>
      <c r="CN46" s="477"/>
      <c r="CO46" s="478"/>
      <c r="CP46" s="479"/>
      <c r="CQ46" s="3"/>
      <c r="CR46" s="3"/>
      <c r="CS46" s="449">
        <v>3.0</v>
      </c>
      <c r="CT46" s="451" t="s">
        <v>518</v>
      </c>
      <c r="CU46" s="452"/>
      <c r="CV46" s="456"/>
      <c r="CW46" s="14"/>
      <c r="CX46" s="3"/>
      <c r="CY46" s="14"/>
      <c r="CZ46" s="14"/>
      <c r="DA46" s="14"/>
      <c r="DB46" s="14"/>
      <c r="DC46" s="14"/>
      <c r="DD46" s="223"/>
      <c r="DE46" s="223"/>
      <c r="DF46" s="3"/>
      <c r="DG46" s="3"/>
      <c r="DH46" s="3"/>
      <c r="DI46" s="3"/>
      <c r="DJ46" s="3"/>
      <c r="DK46" s="3"/>
      <c r="DL46" s="3"/>
      <c r="DM46" s="3"/>
      <c r="DN46" s="3"/>
      <c r="DO46" s="3"/>
      <c r="DP46" s="3"/>
      <c r="DQ46" s="3"/>
    </row>
    <row r="47" ht="14.25" customHeight="1">
      <c r="A47" s="3"/>
      <c r="B47" s="449">
        <v>7.0</v>
      </c>
      <c r="C47" s="451" t="s">
        <v>521</v>
      </c>
      <c r="D47" s="452"/>
      <c r="E47" s="456"/>
      <c r="F47" s="3"/>
      <c r="G47" s="449">
        <v>7.0</v>
      </c>
      <c r="H47" s="451" t="s">
        <v>522</v>
      </c>
      <c r="I47" s="452"/>
      <c r="J47" s="456"/>
      <c r="K47" s="3"/>
      <c r="L47" s="499">
        <v>5.1</v>
      </c>
      <c r="M47" s="409" t="s">
        <v>523</v>
      </c>
      <c r="N47" s="580"/>
      <c r="O47" s="406"/>
      <c r="P47" s="3"/>
      <c r="Q47" s="476">
        <v>6.0</v>
      </c>
      <c r="R47" s="477" t="s">
        <v>524</v>
      </c>
      <c r="S47" s="478"/>
      <c r="T47" s="479"/>
      <c r="U47" s="3"/>
      <c r="V47" s="667"/>
      <c r="W47" s="668"/>
      <c r="X47" s="669"/>
      <c r="Y47" s="683"/>
      <c r="Z47" s="223"/>
      <c r="AA47" s="499">
        <v>6.1</v>
      </c>
      <c r="AB47" s="409" t="s">
        <v>538</v>
      </c>
      <c r="AC47" s="580"/>
      <c r="AD47" s="406"/>
      <c r="AE47" s="3"/>
      <c r="AF47" s="449">
        <v>5.0</v>
      </c>
      <c r="AG47" s="636" t="s">
        <v>539</v>
      </c>
      <c r="AH47" s="452"/>
      <c r="AI47" s="456" t="s">
        <v>540</v>
      </c>
      <c r="AJ47" s="3"/>
      <c r="AK47" s="449">
        <v>7.0</v>
      </c>
      <c r="AL47" s="451" t="s">
        <v>542</v>
      </c>
      <c r="AM47" s="452"/>
      <c r="AN47" s="456"/>
      <c r="AO47" s="3"/>
      <c r="AP47" s="476">
        <v>4.0</v>
      </c>
      <c r="AQ47" s="477" t="s">
        <v>543</v>
      </c>
      <c r="AR47" s="478"/>
      <c r="AS47" s="479"/>
      <c r="AT47" s="3"/>
      <c r="AU47" s="499">
        <v>5.2</v>
      </c>
      <c r="AV47" s="409" t="s">
        <v>544</v>
      </c>
      <c r="AW47" s="580"/>
      <c r="AX47" s="406"/>
      <c r="AY47" s="3"/>
      <c r="AZ47" s="499">
        <v>8.0</v>
      </c>
      <c r="BA47" s="643" t="s">
        <v>545</v>
      </c>
      <c r="BB47" s="580"/>
      <c r="BC47" s="406"/>
      <c r="BD47" s="3"/>
      <c r="BE47" s="476"/>
      <c r="BF47" s="477"/>
      <c r="BG47" s="478"/>
      <c r="BH47" s="479"/>
      <c r="BI47" s="3"/>
      <c r="BJ47" s="499">
        <v>6.1</v>
      </c>
      <c r="BK47" s="409" t="s">
        <v>546</v>
      </c>
      <c r="BL47" s="580"/>
      <c r="BM47" s="406"/>
      <c r="BN47" s="3"/>
      <c r="BO47" s="583">
        <v>6.0</v>
      </c>
      <c r="BP47" s="589" t="s">
        <v>309</v>
      </c>
      <c r="BQ47" s="478"/>
      <c r="BR47" s="479"/>
      <c r="BS47" s="3"/>
      <c r="BT47" s="476"/>
      <c r="BU47" s="477"/>
      <c r="BV47" s="478"/>
      <c r="BW47" s="479"/>
      <c r="BX47" s="3"/>
      <c r="BY47" s="223"/>
      <c r="BZ47" s="3"/>
      <c r="CA47" s="476">
        <v>8.0</v>
      </c>
      <c r="CB47" s="477" t="s">
        <v>233</v>
      </c>
      <c r="CC47" s="478"/>
      <c r="CD47" s="479"/>
      <c r="CE47" s="3"/>
      <c r="CF47" s="3"/>
      <c r="CG47" s="484">
        <v>7.0</v>
      </c>
      <c r="CH47" s="627" t="s">
        <v>548</v>
      </c>
      <c r="CI47" s="452"/>
      <c r="CJ47" s="456"/>
      <c r="CK47" s="223"/>
      <c r="CL47" s="3"/>
      <c r="CM47" s="449"/>
      <c r="CN47" s="451"/>
      <c r="CO47" s="452"/>
      <c r="CP47" s="456"/>
      <c r="CQ47" s="3"/>
      <c r="CR47" s="3"/>
      <c r="CS47" s="499">
        <v>4.0</v>
      </c>
      <c r="CT47" s="409" t="s">
        <v>550</v>
      </c>
      <c r="CU47" s="580"/>
      <c r="CV47" s="406"/>
      <c r="CW47" s="14"/>
      <c r="CX47" s="3"/>
      <c r="CY47" s="223"/>
      <c r="CZ47" s="223"/>
      <c r="DA47" s="223"/>
      <c r="DB47" s="223"/>
      <c r="DC47" s="223"/>
      <c r="DD47" s="223"/>
      <c r="DE47" s="223"/>
      <c r="DF47" s="3"/>
      <c r="DG47" s="3"/>
      <c r="DH47" s="3"/>
      <c r="DI47" s="3"/>
      <c r="DJ47" s="3"/>
      <c r="DK47" s="3"/>
      <c r="DL47" s="3"/>
      <c r="DM47" s="3"/>
      <c r="DN47" s="3"/>
      <c r="DO47" s="3"/>
      <c r="DP47" s="3"/>
      <c r="DQ47" s="3"/>
    </row>
    <row r="48" ht="14.25" customHeight="1">
      <c r="A48" s="3"/>
      <c r="B48" s="476">
        <v>8.0</v>
      </c>
      <c r="C48" s="477" t="s">
        <v>556</v>
      </c>
      <c r="D48" s="478"/>
      <c r="E48" s="479"/>
      <c r="F48" s="3"/>
      <c r="G48" s="476">
        <v>8.0</v>
      </c>
      <c r="H48" s="477" t="s">
        <v>559</v>
      </c>
      <c r="I48" s="478"/>
      <c r="J48" s="479"/>
      <c r="K48" s="3"/>
      <c r="L48" s="476">
        <v>6.0</v>
      </c>
      <c r="M48" s="477" t="s">
        <v>561</v>
      </c>
      <c r="N48" s="478"/>
      <c r="O48" s="479"/>
      <c r="P48" s="3"/>
      <c r="Q48" s="499">
        <v>6.1</v>
      </c>
      <c r="R48" s="472" t="s">
        <v>409</v>
      </c>
      <c r="S48" s="580"/>
      <c r="T48" s="406"/>
      <c r="U48" s="3"/>
      <c r="V48" s="223"/>
      <c r="W48" s="223"/>
      <c r="X48" s="223"/>
      <c r="Y48" s="223"/>
      <c r="Z48" s="223"/>
      <c r="AA48" s="449">
        <v>7.0</v>
      </c>
      <c r="AB48" s="451" t="s">
        <v>564</v>
      </c>
      <c r="AC48" s="452"/>
      <c r="AD48" s="456" t="s">
        <v>565</v>
      </c>
      <c r="AE48" s="3"/>
      <c r="AF48" s="499">
        <v>5.1</v>
      </c>
      <c r="AG48" s="409" t="s">
        <v>566</v>
      </c>
      <c r="AH48" s="580"/>
      <c r="AI48" s="406"/>
      <c r="AJ48" s="3"/>
      <c r="AK48" s="476">
        <v>8.0</v>
      </c>
      <c r="AL48" s="477" t="s">
        <v>568</v>
      </c>
      <c r="AM48" s="478"/>
      <c r="AN48" s="479"/>
      <c r="AO48" s="3"/>
      <c r="AP48" s="449">
        <v>5.0</v>
      </c>
      <c r="AQ48" s="636" t="s">
        <v>571</v>
      </c>
      <c r="AR48" s="452"/>
      <c r="AS48" s="456"/>
      <c r="AT48" s="3"/>
      <c r="AU48" s="476">
        <v>6.0</v>
      </c>
      <c r="AV48" s="477" t="s">
        <v>170</v>
      </c>
      <c r="AW48" s="478"/>
      <c r="AX48" s="479"/>
      <c r="AY48" s="3"/>
      <c r="AZ48" s="499">
        <v>9.0</v>
      </c>
      <c r="BA48" s="409" t="s">
        <v>573</v>
      </c>
      <c r="BB48" s="580"/>
      <c r="BC48" s="406"/>
      <c r="BD48" s="3"/>
      <c r="BE48" s="449"/>
      <c r="BF48" s="636"/>
      <c r="BG48" s="452"/>
      <c r="BH48" s="456"/>
      <c r="BI48" s="3"/>
      <c r="BJ48" s="449">
        <v>7.0</v>
      </c>
      <c r="BK48" s="451" t="s">
        <v>575</v>
      </c>
      <c r="BL48" s="452"/>
      <c r="BM48" s="456"/>
      <c r="BN48" s="3"/>
      <c r="BO48" s="484">
        <v>7.0</v>
      </c>
      <c r="BP48" s="627" t="s">
        <v>577</v>
      </c>
      <c r="BQ48" s="452"/>
      <c r="BR48" s="456"/>
      <c r="BS48" s="3"/>
      <c r="BT48" s="449"/>
      <c r="BU48" s="636"/>
      <c r="BV48" s="452"/>
      <c r="BW48" s="456"/>
      <c r="BX48" s="3"/>
      <c r="BY48" s="223"/>
      <c r="BZ48" s="3"/>
      <c r="CA48" s="449">
        <v>9.0</v>
      </c>
      <c r="CB48" s="636" t="s">
        <v>242</v>
      </c>
      <c r="CC48" s="452"/>
      <c r="CD48" s="456"/>
      <c r="CE48" s="3"/>
      <c r="CF48" s="3"/>
      <c r="CG48" s="583"/>
      <c r="CH48" s="596"/>
      <c r="CI48" s="478"/>
      <c r="CJ48" s="479"/>
      <c r="CK48" s="223"/>
      <c r="CL48" s="3"/>
      <c r="CM48" s="476"/>
      <c r="CN48" s="477"/>
      <c r="CO48" s="478"/>
      <c r="CP48" s="479"/>
      <c r="CQ48" s="3"/>
      <c r="CR48" s="3"/>
      <c r="CS48" s="499">
        <v>5.0</v>
      </c>
      <c r="CT48" s="409" t="s">
        <v>579</v>
      </c>
      <c r="CU48" s="580"/>
      <c r="CV48" s="406"/>
      <c r="CW48" s="14"/>
      <c r="CX48" s="3"/>
      <c r="CY48" s="223"/>
      <c r="CZ48" s="223"/>
      <c r="DA48" s="223"/>
      <c r="DB48" s="223"/>
      <c r="DC48" s="223"/>
      <c r="DD48" s="223"/>
      <c r="DE48" s="223"/>
      <c r="DF48" s="3"/>
      <c r="DG48" s="3"/>
      <c r="DH48" s="3"/>
      <c r="DI48" s="3"/>
      <c r="DJ48" s="3"/>
      <c r="DK48" s="3"/>
      <c r="DL48" s="3"/>
      <c r="DM48" s="3"/>
      <c r="DN48" s="3"/>
      <c r="DO48" s="3"/>
      <c r="DP48" s="3"/>
      <c r="DQ48" s="3"/>
    </row>
    <row r="49" ht="14.25" customHeight="1">
      <c r="A49" s="3"/>
      <c r="B49" s="499">
        <v>8.1</v>
      </c>
      <c r="C49" s="409" t="s">
        <v>582</v>
      </c>
      <c r="D49" s="580"/>
      <c r="E49" s="406"/>
      <c r="F49" s="3"/>
      <c r="G49" s="449">
        <v>9.0</v>
      </c>
      <c r="H49" s="636" t="s">
        <v>583</v>
      </c>
      <c r="I49" s="452"/>
      <c r="J49" s="456"/>
      <c r="K49" s="3"/>
      <c r="L49" s="449">
        <v>7.0</v>
      </c>
      <c r="M49" s="451" t="s">
        <v>584</v>
      </c>
      <c r="N49" s="452"/>
      <c r="O49" s="456"/>
      <c r="P49" s="3"/>
      <c r="Q49" s="449">
        <v>7.0</v>
      </c>
      <c r="R49" s="382" t="s">
        <v>585</v>
      </c>
      <c r="S49" s="452"/>
      <c r="T49" s="456"/>
      <c r="U49" s="3"/>
      <c r="V49" s="223"/>
      <c r="W49" s="223"/>
      <c r="X49" s="223"/>
      <c r="Y49" s="223"/>
      <c r="Z49" s="223"/>
      <c r="AA49" s="476">
        <v>8.0</v>
      </c>
      <c r="AB49" s="477" t="s">
        <v>586</v>
      </c>
      <c r="AC49" s="478"/>
      <c r="AD49" s="479"/>
      <c r="AE49" s="3"/>
      <c r="AF49" s="476">
        <v>6.0</v>
      </c>
      <c r="AG49" s="477" t="s">
        <v>587</v>
      </c>
      <c r="AH49" s="478"/>
      <c r="AI49" s="479" t="s">
        <v>588</v>
      </c>
      <c r="AJ49" s="3"/>
      <c r="AK49" s="449">
        <v>9.0</v>
      </c>
      <c r="AL49" s="451" t="s">
        <v>590</v>
      </c>
      <c r="AM49" s="452"/>
      <c r="AN49" s="456"/>
      <c r="AO49" s="3"/>
      <c r="AP49" s="476">
        <v>6.0</v>
      </c>
      <c r="AQ49" s="477" t="s">
        <v>592</v>
      </c>
      <c r="AR49" s="478"/>
      <c r="AS49" s="479"/>
      <c r="AT49" s="3"/>
      <c r="AU49" s="499">
        <v>6.1</v>
      </c>
      <c r="AV49" s="409" t="s">
        <v>594</v>
      </c>
      <c r="AW49" s="580"/>
      <c r="AX49" s="406"/>
      <c r="AY49" s="3"/>
      <c r="AZ49" s="499">
        <v>9.0</v>
      </c>
      <c r="BA49" s="409" t="s">
        <v>596</v>
      </c>
      <c r="BB49" s="580"/>
      <c r="BC49" s="406"/>
      <c r="BD49" s="3"/>
      <c r="BE49" s="476"/>
      <c r="BF49" s="477"/>
      <c r="BG49" s="478"/>
      <c r="BH49" s="479"/>
      <c r="BI49" s="3"/>
      <c r="BJ49" s="476">
        <v>8.0</v>
      </c>
      <c r="BK49" s="477" t="s">
        <v>597</v>
      </c>
      <c r="BL49" s="478"/>
      <c r="BM49" s="479"/>
      <c r="BN49" s="3"/>
      <c r="BO49" s="652">
        <v>7.1</v>
      </c>
      <c r="BP49" s="719" t="s">
        <v>599</v>
      </c>
      <c r="BQ49" s="580"/>
      <c r="BR49" s="406"/>
      <c r="BS49" s="3"/>
      <c r="BT49" s="476"/>
      <c r="BU49" s="477"/>
      <c r="BV49" s="478"/>
      <c r="BW49" s="479"/>
      <c r="BX49" s="3"/>
      <c r="BY49" s="223"/>
      <c r="BZ49" s="3"/>
      <c r="CA49" s="476">
        <v>10.0</v>
      </c>
      <c r="CB49" s="477" t="s">
        <v>602</v>
      </c>
      <c r="CC49" s="478"/>
      <c r="CD49" s="479"/>
      <c r="CE49" s="3"/>
      <c r="CF49" s="3"/>
      <c r="CG49" s="484"/>
      <c r="CH49" s="485"/>
      <c r="CI49" s="452"/>
      <c r="CJ49" s="456"/>
      <c r="CK49" s="223"/>
      <c r="CL49" s="3"/>
      <c r="CM49" s="449"/>
      <c r="CN49" s="636"/>
      <c r="CO49" s="452"/>
      <c r="CP49" s="456"/>
      <c r="CQ49" s="3"/>
      <c r="CR49" s="3"/>
      <c r="CS49" s="499">
        <v>6.0</v>
      </c>
      <c r="CT49" s="409" t="s">
        <v>605</v>
      </c>
      <c r="CU49" s="580"/>
      <c r="CV49" s="406"/>
      <c r="CW49" s="14"/>
      <c r="CX49" s="3"/>
      <c r="CY49" s="223"/>
      <c r="CZ49" s="223"/>
      <c r="DA49" s="223"/>
      <c r="DB49" s="223"/>
      <c r="DC49" s="223"/>
      <c r="DD49" s="223"/>
      <c r="DE49" s="223"/>
      <c r="DF49" s="3"/>
      <c r="DG49" s="3"/>
      <c r="DH49" s="3"/>
      <c r="DI49" s="3"/>
      <c r="DJ49" s="3"/>
      <c r="DK49" s="223"/>
      <c r="DL49" s="223"/>
      <c r="DM49" s="223"/>
      <c r="DN49" s="223"/>
      <c r="DO49" s="223"/>
      <c r="DP49" s="223"/>
      <c r="DQ49" s="223"/>
    </row>
    <row r="50" ht="14.25" customHeight="1">
      <c r="A50" s="3"/>
      <c r="B50" s="449">
        <v>9.0</v>
      </c>
      <c r="C50" s="636" t="s">
        <v>606</v>
      </c>
      <c r="D50" s="452"/>
      <c r="E50" s="456"/>
      <c r="F50" s="3"/>
      <c r="G50" s="476">
        <v>10.0</v>
      </c>
      <c r="H50" s="477" t="s">
        <v>607</v>
      </c>
      <c r="I50" s="478"/>
      <c r="J50" s="479"/>
      <c r="K50" s="3"/>
      <c r="L50" s="476">
        <v>8.0</v>
      </c>
      <c r="M50" s="477" t="s">
        <v>608</v>
      </c>
      <c r="N50" s="478"/>
      <c r="O50" s="479"/>
      <c r="P50" s="3"/>
      <c r="Q50" s="449">
        <v>7.1</v>
      </c>
      <c r="R50" s="415" t="s">
        <v>610</v>
      </c>
      <c r="S50" s="452"/>
      <c r="T50" s="456"/>
      <c r="U50" s="3"/>
      <c r="V50" s="14"/>
      <c r="W50" s="223"/>
      <c r="X50" s="223"/>
      <c r="Y50" s="223"/>
      <c r="Z50" s="223"/>
      <c r="AA50" s="449">
        <v>9.0</v>
      </c>
      <c r="AB50" s="451" t="s">
        <v>614</v>
      </c>
      <c r="AC50" s="452"/>
      <c r="AD50" s="456"/>
      <c r="AE50" s="3"/>
      <c r="AF50" s="499">
        <v>6.0</v>
      </c>
      <c r="AG50" s="409" t="s">
        <v>617</v>
      </c>
      <c r="AH50" s="580"/>
      <c r="AI50" s="406" t="s">
        <v>588</v>
      </c>
      <c r="AJ50" s="3"/>
      <c r="AK50" s="476">
        <v>10.0</v>
      </c>
      <c r="AL50" s="477" t="s">
        <v>619</v>
      </c>
      <c r="AM50" s="478"/>
      <c r="AN50" s="479"/>
      <c r="AO50" s="3"/>
      <c r="AP50" s="449"/>
      <c r="AQ50" s="451"/>
      <c r="AR50" s="452"/>
      <c r="AS50" s="456"/>
      <c r="AT50" s="3"/>
      <c r="AU50" s="449">
        <v>7.0</v>
      </c>
      <c r="AV50" s="451" t="s">
        <v>621</v>
      </c>
      <c r="AW50" s="452"/>
      <c r="AX50" s="456"/>
      <c r="AY50" s="3"/>
      <c r="AZ50" s="223"/>
      <c r="BA50" s="223"/>
      <c r="BB50" s="223"/>
      <c r="BC50" s="223"/>
      <c r="BD50" s="3"/>
      <c r="BE50" s="223"/>
      <c r="BF50" s="223"/>
      <c r="BG50" s="223"/>
      <c r="BH50" s="223"/>
      <c r="BI50" s="3"/>
      <c r="BJ50" s="449">
        <v>9.0</v>
      </c>
      <c r="BK50" s="636" t="s">
        <v>622</v>
      </c>
      <c r="BL50" s="452"/>
      <c r="BM50" s="456"/>
      <c r="BN50" s="3"/>
      <c r="BO50" s="652">
        <v>7.2</v>
      </c>
      <c r="BP50" s="719" t="s">
        <v>624</v>
      </c>
      <c r="BQ50" s="580"/>
      <c r="BR50" s="406"/>
      <c r="BS50" s="3"/>
      <c r="BT50" s="735"/>
      <c r="BU50" s="736"/>
      <c r="BV50" s="737"/>
      <c r="BW50" s="738"/>
      <c r="BX50" s="3"/>
      <c r="BY50" s="223"/>
      <c r="BZ50" s="3"/>
      <c r="CA50" s="449">
        <v>11.0</v>
      </c>
      <c r="CB50" s="451" t="s">
        <v>81</v>
      </c>
      <c r="CC50" s="452"/>
      <c r="CD50" s="456"/>
      <c r="CE50" s="3"/>
      <c r="CF50" s="3"/>
      <c r="CG50" s="741"/>
      <c r="CH50" s="743"/>
      <c r="CI50" s="669"/>
      <c r="CJ50" s="683"/>
      <c r="CK50" s="223"/>
      <c r="CL50" s="3"/>
      <c r="CM50" s="476"/>
      <c r="CN50" s="477"/>
      <c r="CO50" s="478"/>
      <c r="CP50" s="479"/>
      <c r="CQ50" s="3"/>
      <c r="CR50" s="3"/>
      <c r="CS50" s="499">
        <v>7.0</v>
      </c>
      <c r="CT50" s="643" t="s">
        <v>633</v>
      </c>
      <c r="CU50" s="580"/>
      <c r="CV50" s="406"/>
      <c r="CW50" s="14"/>
      <c r="CX50" s="3"/>
      <c r="CY50" s="223"/>
      <c r="CZ50" s="223"/>
      <c r="DA50" s="223"/>
      <c r="DB50" s="223"/>
      <c r="DC50" s="223"/>
      <c r="DD50" s="223"/>
      <c r="DE50" s="223"/>
      <c r="DF50" s="3"/>
      <c r="DG50" s="3"/>
      <c r="DH50" s="3"/>
      <c r="DI50" s="3"/>
      <c r="DJ50" s="3"/>
      <c r="DK50" s="223"/>
      <c r="DL50" s="223"/>
      <c r="DM50" s="223"/>
      <c r="DN50" s="223"/>
      <c r="DO50" s="223"/>
      <c r="DP50" s="223"/>
      <c r="DQ50" s="223"/>
    </row>
    <row r="51" ht="14.25" customHeight="1">
      <c r="A51" s="3"/>
      <c r="B51" s="476">
        <v>10.0</v>
      </c>
      <c r="C51" s="477" t="s">
        <v>637</v>
      </c>
      <c r="D51" s="478"/>
      <c r="E51" s="479"/>
      <c r="F51" s="3"/>
      <c r="G51" s="449">
        <v>11.0</v>
      </c>
      <c r="H51" s="451" t="s">
        <v>639</v>
      </c>
      <c r="I51" s="452"/>
      <c r="J51" s="456"/>
      <c r="K51" s="3"/>
      <c r="L51" s="449">
        <v>9.0</v>
      </c>
      <c r="M51" s="636" t="s">
        <v>640</v>
      </c>
      <c r="N51" s="452"/>
      <c r="O51" s="456"/>
      <c r="P51" s="3"/>
      <c r="Q51" s="476">
        <v>8.0</v>
      </c>
      <c r="R51" s="477" t="s">
        <v>641</v>
      </c>
      <c r="S51" s="478"/>
      <c r="T51" s="479"/>
      <c r="U51" s="3"/>
      <c r="V51" s="14"/>
      <c r="W51" s="223"/>
      <c r="X51" s="223"/>
      <c r="Y51" s="223"/>
      <c r="Z51" s="223"/>
      <c r="AA51" s="449">
        <v>9.1</v>
      </c>
      <c r="AB51" s="451" t="s">
        <v>643</v>
      </c>
      <c r="AC51" s="452"/>
      <c r="AD51" s="456"/>
      <c r="AE51" s="3"/>
      <c r="AF51" s="499">
        <v>7.0</v>
      </c>
      <c r="AG51" s="643" t="s">
        <v>644</v>
      </c>
      <c r="AH51" s="580"/>
      <c r="AI51" s="406" t="s">
        <v>565</v>
      </c>
      <c r="AJ51" s="3"/>
      <c r="AK51" s="449">
        <v>11.0</v>
      </c>
      <c r="AL51" s="451" t="s">
        <v>646</v>
      </c>
      <c r="AM51" s="452"/>
      <c r="AN51" s="456"/>
      <c r="AO51" s="3"/>
      <c r="AP51" s="476"/>
      <c r="AQ51" s="477"/>
      <c r="AR51" s="478"/>
      <c r="AS51" s="479"/>
      <c r="AT51" s="3"/>
      <c r="AU51" s="476">
        <v>8.0</v>
      </c>
      <c r="AV51" s="477" t="s">
        <v>287</v>
      </c>
      <c r="AW51" s="478"/>
      <c r="AX51" s="479"/>
      <c r="AY51" s="3"/>
      <c r="AZ51" s="223"/>
      <c r="BA51" s="223"/>
      <c r="BB51" s="223"/>
      <c r="BC51" s="223"/>
      <c r="BD51" s="3"/>
      <c r="BE51" s="223"/>
      <c r="BF51" s="223"/>
      <c r="BG51" s="223"/>
      <c r="BH51" s="223"/>
      <c r="BI51" s="3"/>
      <c r="BJ51" s="476">
        <v>10.0</v>
      </c>
      <c r="BK51" s="477" t="s">
        <v>648</v>
      </c>
      <c r="BL51" s="478"/>
      <c r="BM51" s="479"/>
      <c r="BN51" s="3"/>
      <c r="BO51" s="652">
        <v>7.3</v>
      </c>
      <c r="BP51" s="719" t="s">
        <v>650</v>
      </c>
      <c r="BQ51" s="580"/>
      <c r="BR51" s="406"/>
      <c r="BS51" s="3"/>
      <c r="BT51" s="735"/>
      <c r="BU51" s="736"/>
      <c r="BV51" s="737"/>
      <c r="BW51" s="738"/>
      <c r="BX51" s="3"/>
      <c r="BY51" s="223"/>
      <c r="BZ51" s="3"/>
      <c r="CA51" s="476">
        <v>12.0</v>
      </c>
      <c r="CB51" s="477" t="s">
        <v>308</v>
      </c>
      <c r="CC51" s="478"/>
      <c r="CD51" s="479"/>
      <c r="CE51" s="3"/>
      <c r="CF51" s="3"/>
      <c r="CG51" s="223"/>
      <c r="CH51" s="223"/>
      <c r="CI51" s="223"/>
      <c r="CJ51" s="223"/>
      <c r="CK51" s="223"/>
      <c r="CL51" s="3"/>
      <c r="CM51" s="223"/>
      <c r="CN51" s="223"/>
      <c r="CO51" s="223"/>
      <c r="CP51" s="223"/>
      <c r="CQ51" s="3"/>
      <c r="CR51" s="3"/>
      <c r="CS51" s="499">
        <v>8.0</v>
      </c>
      <c r="CT51" s="409" t="s">
        <v>652</v>
      </c>
      <c r="CU51" s="580"/>
      <c r="CV51" s="406"/>
      <c r="CW51" s="3"/>
      <c r="CX51" s="3"/>
      <c r="CY51" s="223"/>
      <c r="CZ51" s="223"/>
      <c r="DA51" s="223"/>
      <c r="DB51" s="223"/>
      <c r="DC51" s="223"/>
      <c r="DD51" s="223"/>
      <c r="DE51" s="223"/>
      <c r="DF51" s="3"/>
      <c r="DG51" s="3"/>
      <c r="DH51" s="3"/>
      <c r="DI51" s="3"/>
      <c r="DJ51" s="3"/>
      <c r="DK51" s="223"/>
      <c r="DL51" s="223"/>
      <c r="DM51" s="223"/>
      <c r="DN51" s="223"/>
      <c r="DO51" s="223"/>
      <c r="DP51" s="223"/>
      <c r="DQ51" s="223"/>
    </row>
    <row r="52" ht="14.25" customHeight="1">
      <c r="A52" s="3"/>
      <c r="B52" s="449">
        <v>11.0</v>
      </c>
      <c r="C52" s="451" t="s">
        <v>518</v>
      </c>
      <c r="D52" s="452"/>
      <c r="E52" s="456"/>
      <c r="F52" s="3"/>
      <c r="G52" s="476">
        <v>12.0</v>
      </c>
      <c r="H52" s="477" t="s">
        <v>656</v>
      </c>
      <c r="I52" s="478"/>
      <c r="J52" s="479"/>
      <c r="K52" s="3"/>
      <c r="L52" s="476">
        <v>10.0</v>
      </c>
      <c r="M52" s="477" t="s">
        <v>658</v>
      </c>
      <c r="N52" s="478"/>
      <c r="O52" s="479"/>
      <c r="P52" s="3"/>
      <c r="Q52" s="449">
        <v>9.0</v>
      </c>
      <c r="R52" s="451" t="s">
        <v>659</v>
      </c>
      <c r="S52" s="452"/>
      <c r="T52" s="456"/>
      <c r="U52" s="760"/>
      <c r="V52" s="14"/>
      <c r="W52" s="223"/>
      <c r="X52" s="223"/>
      <c r="Y52" s="223"/>
      <c r="Z52" s="223"/>
      <c r="AA52" s="476">
        <v>10.0</v>
      </c>
      <c r="AB52" s="477" t="s">
        <v>664</v>
      </c>
      <c r="AC52" s="478"/>
      <c r="AD52" s="479"/>
      <c r="AE52" s="3"/>
      <c r="AF52" s="476">
        <v>8.0</v>
      </c>
      <c r="AG52" s="477" t="s">
        <v>665</v>
      </c>
      <c r="AH52" s="478"/>
      <c r="AI52" s="479"/>
      <c r="AJ52" s="3"/>
      <c r="AK52" s="476">
        <v>12.0</v>
      </c>
      <c r="AL52" s="477" t="s">
        <v>667</v>
      </c>
      <c r="AM52" s="478"/>
      <c r="AN52" s="479"/>
      <c r="AO52" s="3"/>
      <c r="AP52" s="449"/>
      <c r="AQ52" s="636"/>
      <c r="AR52" s="452"/>
      <c r="AS52" s="456"/>
      <c r="AT52" s="3"/>
      <c r="AU52" s="449">
        <v>9.0</v>
      </c>
      <c r="AV52" s="636" t="s">
        <v>201</v>
      </c>
      <c r="AW52" s="452"/>
      <c r="AX52" s="456"/>
      <c r="AY52" s="3"/>
      <c r="AZ52" s="223"/>
      <c r="BA52" s="223"/>
      <c r="BB52" s="223"/>
      <c r="BC52" s="223"/>
      <c r="BD52" s="3"/>
      <c r="BE52" s="223"/>
      <c r="BF52" s="223"/>
      <c r="BG52" s="223"/>
      <c r="BH52" s="223"/>
      <c r="BI52" s="3"/>
      <c r="BJ52" s="449">
        <v>11.0</v>
      </c>
      <c r="BK52" s="451" t="s">
        <v>672</v>
      </c>
      <c r="BL52" s="452"/>
      <c r="BM52" s="456"/>
      <c r="BN52" s="3"/>
      <c r="BO52" s="583">
        <v>8.0</v>
      </c>
      <c r="BP52" s="596" t="s">
        <v>674</v>
      </c>
      <c r="BQ52" s="478"/>
      <c r="BR52" s="479"/>
      <c r="BS52" s="3"/>
      <c r="BT52" s="14"/>
      <c r="BU52" s="14"/>
      <c r="BV52" s="14"/>
      <c r="BW52" s="14"/>
      <c r="BX52" s="3"/>
      <c r="BY52" s="223"/>
      <c r="BZ52" s="3"/>
      <c r="CA52" s="449">
        <v>13.0</v>
      </c>
      <c r="CB52" s="636" t="s">
        <v>676</v>
      </c>
      <c r="CC52" s="452"/>
      <c r="CD52" s="456"/>
      <c r="CE52" s="3"/>
      <c r="CF52" s="3"/>
      <c r="CG52" s="223"/>
      <c r="CH52" s="223"/>
      <c r="CI52" s="223"/>
      <c r="CJ52" s="223"/>
      <c r="CK52" s="223"/>
      <c r="CL52" s="3"/>
      <c r="CM52" s="223"/>
      <c r="CN52" s="223"/>
      <c r="CO52" s="223"/>
      <c r="CP52" s="223"/>
      <c r="CQ52" s="3"/>
      <c r="CR52" s="3"/>
      <c r="CS52" s="499">
        <v>9.0</v>
      </c>
      <c r="CT52" s="409" t="s">
        <v>678</v>
      </c>
      <c r="CU52" s="580"/>
      <c r="CV52" s="406"/>
      <c r="CW52" s="3"/>
      <c r="CX52" s="3"/>
      <c r="CY52" s="223"/>
      <c r="CZ52" s="223"/>
      <c r="DA52" s="223"/>
      <c r="DB52" s="223"/>
      <c r="DC52" s="223"/>
      <c r="DD52" s="223"/>
      <c r="DE52" s="223"/>
      <c r="DF52" s="3"/>
      <c r="DG52" s="3"/>
      <c r="DH52" s="3"/>
      <c r="DI52" s="3"/>
      <c r="DJ52" s="3"/>
      <c r="DK52" s="223"/>
      <c r="DL52" s="223"/>
      <c r="DM52" s="223"/>
      <c r="DN52" s="223"/>
      <c r="DO52" s="223"/>
      <c r="DP52" s="223"/>
      <c r="DQ52" s="223"/>
    </row>
    <row r="53" ht="14.25" customHeight="1">
      <c r="A53" s="3"/>
      <c r="B53" s="476">
        <v>12.0</v>
      </c>
      <c r="C53" s="477" t="s">
        <v>680</v>
      </c>
      <c r="D53" s="478"/>
      <c r="E53" s="479"/>
      <c r="F53" s="3"/>
      <c r="G53" s="449">
        <v>13.0</v>
      </c>
      <c r="H53" s="636" t="s">
        <v>681</v>
      </c>
      <c r="I53" s="452"/>
      <c r="J53" s="456"/>
      <c r="K53" s="3"/>
      <c r="L53" s="449">
        <v>11.0</v>
      </c>
      <c r="M53" s="451" t="s">
        <v>682</v>
      </c>
      <c r="N53" s="452"/>
      <c r="O53" s="456"/>
      <c r="P53" s="3"/>
      <c r="Q53" s="476">
        <v>10.0</v>
      </c>
      <c r="R53" s="477" t="s">
        <v>684</v>
      </c>
      <c r="S53" s="478"/>
      <c r="T53" s="479"/>
      <c r="U53" s="760"/>
      <c r="V53" s="14"/>
      <c r="W53" s="223"/>
      <c r="X53" s="223"/>
      <c r="Y53" s="223"/>
      <c r="Z53" s="223"/>
      <c r="AA53" s="449">
        <v>11.0</v>
      </c>
      <c r="AB53" s="451" t="s">
        <v>686</v>
      </c>
      <c r="AC53" s="452"/>
      <c r="AD53" s="456"/>
      <c r="AE53" s="3"/>
      <c r="AF53" s="449">
        <v>9.0</v>
      </c>
      <c r="AG53" s="636" t="s">
        <v>688</v>
      </c>
      <c r="AH53" s="452"/>
      <c r="AI53" s="456"/>
      <c r="AJ53" s="3"/>
      <c r="AK53" s="449">
        <v>13.0</v>
      </c>
      <c r="AL53" s="451" t="s">
        <v>692</v>
      </c>
      <c r="AM53" s="452"/>
      <c r="AN53" s="456"/>
      <c r="AO53" s="3"/>
      <c r="AP53" s="476"/>
      <c r="AQ53" s="477"/>
      <c r="AR53" s="478"/>
      <c r="AS53" s="479"/>
      <c r="AT53" s="3"/>
      <c r="AU53" s="476"/>
      <c r="AV53" s="636" t="s">
        <v>201</v>
      </c>
      <c r="AW53" s="478"/>
      <c r="AX53" s="479"/>
      <c r="AY53" s="3"/>
      <c r="AZ53" s="223"/>
      <c r="BA53" s="223"/>
      <c r="BB53" s="223"/>
      <c r="BC53" s="223"/>
      <c r="BD53" s="3"/>
      <c r="BE53" s="223"/>
      <c r="BF53" s="223"/>
      <c r="BG53" s="223"/>
      <c r="BH53" s="223"/>
      <c r="BI53" s="3"/>
      <c r="BJ53" s="476">
        <v>12.0</v>
      </c>
      <c r="BK53" s="477" t="s">
        <v>694</v>
      </c>
      <c r="BL53" s="478"/>
      <c r="BM53" s="479"/>
      <c r="BN53" s="3"/>
      <c r="BO53" s="484">
        <v>9.0</v>
      </c>
      <c r="BP53" s="485" t="s">
        <v>353</v>
      </c>
      <c r="BQ53" s="452"/>
      <c r="BR53" s="456"/>
      <c r="BS53" s="3"/>
      <c r="BT53" s="14"/>
      <c r="BU53" s="14"/>
      <c r="BV53" s="14"/>
      <c r="BW53" s="14"/>
      <c r="BX53" s="3"/>
      <c r="BY53" s="223"/>
      <c r="BZ53" s="3"/>
      <c r="CA53" s="476">
        <v>14.0</v>
      </c>
      <c r="CB53" s="477" t="s">
        <v>167</v>
      </c>
      <c r="CC53" s="478"/>
      <c r="CD53" s="479"/>
      <c r="CE53" s="3"/>
      <c r="CF53" s="3"/>
      <c r="CG53" s="223"/>
      <c r="CH53" s="223"/>
      <c r="CI53" s="223"/>
      <c r="CJ53" s="223"/>
      <c r="CK53" s="223"/>
      <c r="CL53" s="3"/>
      <c r="CM53" s="223"/>
      <c r="CN53" s="223"/>
      <c r="CO53" s="223"/>
      <c r="CP53" s="223"/>
      <c r="CQ53" s="3"/>
      <c r="CR53" s="3"/>
      <c r="CS53" s="476">
        <v>10.0</v>
      </c>
      <c r="CT53" s="477" t="s">
        <v>695</v>
      </c>
      <c r="CU53" s="478"/>
      <c r="CV53" s="479"/>
      <c r="CW53" s="3"/>
      <c r="CX53" s="3"/>
      <c r="CY53" s="223"/>
      <c r="CZ53" s="223"/>
      <c r="DA53" s="223"/>
      <c r="DB53" s="223"/>
      <c r="DC53" s="223"/>
      <c r="DD53" s="223"/>
      <c r="DE53" s="223"/>
      <c r="DF53" s="3"/>
      <c r="DG53" s="3"/>
      <c r="DH53" s="3"/>
      <c r="DI53" s="3"/>
      <c r="DJ53" s="3"/>
      <c r="DK53" s="223"/>
      <c r="DL53" s="223"/>
      <c r="DM53" s="223"/>
      <c r="DN53" s="223"/>
      <c r="DO53" s="223"/>
      <c r="DP53" s="223"/>
      <c r="DQ53" s="223"/>
    </row>
    <row r="54" ht="14.25" customHeight="1">
      <c r="A54" s="3"/>
      <c r="B54" s="499">
        <v>12.1</v>
      </c>
      <c r="C54" s="409" t="s">
        <v>698</v>
      </c>
      <c r="D54" s="580"/>
      <c r="E54" s="406"/>
      <c r="F54" s="3"/>
      <c r="G54" s="449">
        <v>13.1</v>
      </c>
      <c r="H54" s="636" t="s">
        <v>700</v>
      </c>
      <c r="I54" s="452"/>
      <c r="J54" s="456"/>
      <c r="K54" s="3"/>
      <c r="L54" s="476">
        <v>12.0</v>
      </c>
      <c r="M54" s="477" t="s">
        <v>702</v>
      </c>
      <c r="N54" s="478"/>
      <c r="O54" s="479"/>
      <c r="P54" s="3"/>
      <c r="Q54" s="449">
        <v>11.0</v>
      </c>
      <c r="R54" s="636" t="s">
        <v>703</v>
      </c>
      <c r="S54" s="452"/>
      <c r="T54" s="456"/>
      <c r="U54" s="760"/>
      <c r="V54" s="3"/>
      <c r="W54" s="223"/>
      <c r="X54" s="223"/>
      <c r="Y54" s="223"/>
      <c r="Z54" s="223"/>
      <c r="AA54" s="476">
        <v>12.0</v>
      </c>
      <c r="AB54" s="477" t="s">
        <v>704</v>
      </c>
      <c r="AC54" s="478"/>
      <c r="AD54" s="479"/>
      <c r="AE54" s="3"/>
      <c r="AF54" s="499">
        <v>10.0</v>
      </c>
      <c r="AG54" s="409" t="s">
        <v>705</v>
      </c>
      <c r="AH54" s="580"/>
      <c r="AI54" s="406"/>
      <c r="AJ54" s="3"/>
      <c r="AK54" s="476">
        <v>14.0</v>
      </c>
      <c r="AL54" s="477" t="s">
        <v>708</v>
      </c>
      <c r="AM54" s="478"/>
      <c r="AN54" s="479"/>
      <c r="AO54" s="3"/>
      <c r="AP54" s="223"/>
      <c r="AQ54" s="223"/>
      <c r="AR54" s="223"/>
      <c r="AS54" s="223"/>
      <c r="AT54" s="3"/>
      <c r="AU54" s="776"/>
      <c r="AV54" s="485"/>
      <c r="AW54" s="778"/>
      <c r="AX54" s="738"/>
      <c r="AY54" s="3"/>
      <c r="AZ54" s="223"/>
      <c r="BA54" s="223"/>
      <c r="BB54" s="223"/>
      <c r="BC54" s="223"/>
      <c r="BD54" s="3"/>
      <c r="BE54" s="223"/>
      <c r="BF54" s="223"/>
      <c r="BG54" s="223"/>
      <c r="BH54" s="223"/>
      <c r="BI54" s="3"/>
      <c r="BJ54" s="449">
        <v>13.0</v>
      </c>
      <c r="BK54" s="636" t="s">
        <v>714</v>
      </c>
      <c r="BL54" s="452"/>
      <c r="BM54" s="456"/>
      <c r="BN54" s="3"/>
      <c r="BO54" s="652">
        <v>9.1</v>
      </c>
      <c r="BP54" s="468" t="s">
        <v>717</v>
      </c>
      <c r="BQ54" s="580"/>
      <c r="BR54" s="406"/>
      <c r="BS54" s="3"/>
      <c r="BT54" s="14"/>
      <c r="BU54" s="14"/>
      <c r="BV54" s="14"/>
      <c r="BW54" s="14"/>
      <c r="BX54" s="3"/>
      <c r="BY54" s="223"/>
      <c r="BZ54" s="3"/>
      <c r="CA54" s="449">
        <v>15.0</v>
      </c>
      <c r="CB54" s="451" t="s">
        <v>534</v>
      </c>
      <c r="CC54" s="452"/>
      <c r="CD54" s="456"/>
      <c r="CE54" s="3"/>
      <c r="CF54" s="3"/>
      <c r="CG54" s="223"/>
      <c r="CH54" s="223"/>
      <c r="CI54" s="223"/>
      <c r="CJ54" s="223"/>
      <c r="CK54" s="223"/>
      <c r="CL54" s="3"/>
      <c r="CM54" s="223"/>
      <c r="CN54" s="223"/>
      <c r="CO54" s="223"/>
      <c r="CP54" s="223"/>
      <c r="CQ54" s="3"/>
      <c r="CR54" s="3"/>
      <c r="CS54" s="476">
        <v>11.0</v>
      </c>
      <c r="CT54" s="477" t="s">
        <v>720</v>
      </c>
      <c r="CU54" s="478"/>
      <c r="CV54" s="479"/>
      <c r="CW54" s="3"/>
      <c r="CX54" s="3"/>
      <c r="CY54" s="223"/>
      <c r="CZ54" s="223"/>
      <c r="DA54" s="223"/>
      <c r="DB54" s="223"/>
      <c r="DC54" s="223"/>
      <c r="DD54" s="223"/>
      <c r="DE54" s="223"/>
      <c r="DF54" s="3"/>
      <c r="DG54" s="3"/>
      <c r="DH54" s="3"/>
      <c r="DI54" s="3"/>
      <c r="DJ54" s="3"/>
      <c r="DK54" s="223"/>
      <c r="DL54" s="223"/>
      <c r="DM54" s="223"/>
      <c r="DN54" s="223"/>
      <c r="DO54" s="223"/>
      <c r="DP54" s="223"/>
      <c r="DQ54" s="223"/>
    </row>
    <row r="55" ht="14.25" customHeight="1">
      <c r="A55" s="3"/>
      <c r="B55" s="449">
        <v>13.0</v>
      </c>
      <c r="C55" s="636" t="s">
        <v>722</v>
      </c>
      <c r="D55" s="452"/>
      <c r="E55" s="456"/>
      <c r="F55" s="3"/>
      <c r="G55" s="476">
        <v>14.0</v>
      </c>
      <c r="H55" s="477" t="s">
        <v>724</v>
      </c>
      <c r="I55" s="478"/>
      <c r="J55" s="479"/>
      <c r="K55" s="3"/>
      <c r="L55" s="449">
        <v>13.0</v>
      </c>
      <c r="M55" s="636" t="s">
        <v>726</v>
      </c>
      <c r="N55" s="452"/>
      <c r="O55" s="456"/>
      <c r="P55" s="3"/>
      <c r="Q55" s="476">
        <v>12.0</v>
      </c>
      <c r="R55" s="477" t="s">
        <v>727</v>
      </c>
      <c r="S55" s="478"/>
      <c r="T55" s="479"/>
      <c r="U55" s="760"/>
      <c r="V55" s="3"/>
      <c r="W55" s="223"/>
      <c r="X55" s="223"/>
      <c r="Y55" s="223"/>
      <c r="Z55" s="223"/>
      <c r="AA55" s="449">
        <v>13.0</v>
      </c>
      <c r="AB55" s="451" t="s">
        <v>729</v>
      </c>
      <c r="AC55" s="452"/>
      <c r="AD55" s="456"/>
      <c r="AE55" s="3"/>
      <c r="AF55" s="735"/>
      <c r="AG55" s="627"/>
      <c r="AH55" s="737"/>
      <c r="AI55" s="738"/>
      <c r="AJ55" s="3"/>
      <c r="AK55" s="449">
        <v>15.0</v>
      </c>
      <c r="AL55" s="451" t="s">
        <v>731</v>
      </c>
      <c r="AM55" s="452"/>
      <c r="AN55" s="456"/>
      <c r="AO55" s="3"/>
      <c r="AP55" s="223"/>
      <c r="AQ55" s="223"/>
      <c r="AR55" s="223"/>
      <c r="AS55" s="223"/>
      <c r="AT55" s="3"/>
      <c r="AU55" s="776"/>
      <c r="AV55" s="790"/>
      <c r="AW55" s="778"/>
      <c r="AX55" s="738"/>
      <c r="AY55" s="3"/>
      <c r="AZ55" s="223"/>
      <c r="BA55" s="223"/>
      <c r="BB55" s="223"/>
      <c r="BC55" s="223"/>
      <c r="BD55" s="3"/>
      <c r="BE55" s="223"/>
      <c r="BF55" s="223"/>
      <c r="BG55" s="223"/>
      <c r="BH55" s="223"/>
      <c r="BI55" s="3"/>
      <c r="BJ55" s="476">
        <v>14.0</v>
      </c>
      <c r="BK55" s="477" t="s">
        <v>740</v>
      </c>
      <c r="BL55" s="478"/>
      <c r="BM55" s="479"/>
      <c r="BN55" s="3"/>
      <c r="BO55" s="652">
        <v>9.2</v>
      </c>
      <c r="BP55" s="468" t="s">
        <v>742</v>
      </c>
      <c r="BQ55" s="580"/>
      <c r="BR55" s="406"/>
      <c r="BS55" s="3"/>
      <c r="BT55" s="14"/>
      <c r="BU55" s="14"/>
      <c r="BV55" s="14"/>
      <c r="BW55" s="14"/>
      <c r="BX55" s="3"/>
      <c r="BY55" s="223"/>
      <c r="BZ55" s="3"/>
      <c r="CA55" s="476">
        <v>16.0</v>
      </c>
      <c r="CB55" s="477" t="s">
        <v>748</v>
      </c>
      <c r="CC55" s="478"/>
      <c r="CD55" s="479"/>
      <c r="CE55" s="3"/>
      <c r="CF55" s="3"/>
      <c r="CG55" s="223"/>
      <c r="CH55" s="223"/>
      <c r="CI55" s="223"/>
      <c r="CJ55" s="223"/>
      <c r="CK55" s="223"/>
      <c r="CL55" s="3"/>
      <c r="CM55" s="223"/>
      <c r="CN55" s="223"/>
      <c r="CO55" s="223"/>
      <c r="CP55" s="223"/>
      <c r="CQ55" s="3"/>
      <c r="CR55" s="3"/>
      <c r="CS55" s="3"/>
      <c r="CT55" s="3"/>
      <c r="CU55" s="3"/>
      <c r="CV55" s="3"/>
      <c r="CW55" s="3"/>
      <c r="CX55" s="3"/>
      <c r="CY55" s="223"/>
      <c r="CZ55" s="223"/>
      <c r="DA55" s="223"/>
      <c r="DB55" s="223"/>
      <c r="DC55" s="223"/>
      <c r="DD55" s="223"/>
      <c r="DE55" s="223"/>
      <c r="DF55" s="3"/>
      <c r="DG55" s="3"/>
      <c r="DH55" s="3"/>
      <c r="DI55" s="3"/>
      <c r="DJ55" s="3"/>
      <c r="DK55" s="223"/>
      <c r="DL55" s="223"/>
      <c r="DM55" s="223"/>
      <c r="DN55" s="223"/>
      <c r="DO55" s="223"/>
      <c r="DP55" s="223"/>
      <c r="DQ55" s="223"/>
    </row>
    <row r="56" ht="14.25" customHeight="1">
      <c r="A56" s="3"/>
      <c r="B56" s="476">
        <v>14.0</v>
      </c>
      <c r="C56" s="477" t="s">
        <v>752</v>
      </c>
      <c r="D56" s="478"/>
      <c r="E56" s="479"/>
      <c r="F56" s="3"/>
      <c r="G56" s="449">
        <v>15.0</v>
      </c>
      <c r="H56" s="451" t="s">
        <v>755</v>
      </c>
      <c r="I56" s="452"/>
      <c r="J56" s="456"/>
      <c r="K56" s="3"/>
      <c r="L56" s="499">
        <v>13.1</v>
      </c>
      <c r="M56" s="409" t="s">
        <v>757</v>
      </c>
      <c r="N56" s="580"/>
      <c r="O56" s="406"/>
      <c r="P56" s="3"/>
      <c r="Q56" s="449">
        <v>13.0</v>
      </c>
      <c r="R56" s="382" t="s">
        <v>758</v>
      </c>
      <c r="S56" s="452"/>
      <c r="T56" s="456"/>
      <c r="U56" s="223"/>
      <c r="V56" s="3"/>
      <c r="W56" s="223"/>
      <c r="X56" s="223"/>
      <c r="Y56" s="223"/>
      <c r="Z56" s="223"/>
      <c r="AA56" s="499">
        <v>13.1</v>
      </c>
      <c r="AB56" s="643" t="s">
        <v>759</v>
      </c>
      <c r="AC56" s="580"/>
      <c r="AD56" s="406"/>
      <c r="AE56" s="3"/>
      <c r="AF56" s="223"/>
      <c r="AG56" s="223"/>
      <c r="AH56" s="223"/>
      <c r="AI56" s="223"/>
      <c r="AJ56" s="3"/>
      <c r="AK56" s="476">
        <v>16.0</v>
      </c>
      <c r="AL56" s="477" t="s">
        <v>762</v>
      </c>
      <c r="AM56" s="478"/>
      <c r="AN56" s="479"/>
      <c r="AO56" s="3"/>
      <c r="AP56" s="223"/>
      <c r="AQ56" s="223"/>
      <c r="AR56" s="223"/>
      <c r="AS56" s="223"/>
      <c r="AT56" s="3"/>
      <c r="AU56" s="776"/>
      <c r="AV56" s="485"/>
      <c r="AW56" s="778"/>
      <c r="AX56" s="738"/>
      <c r="AY56" s="3"/>
      <c r="AZ56" s="223"/>
      <c r="BA56" s="223"/>
      <c r="BB56" s="223"/>
      <c r="BC56" s="223"/>
      <c r="BD56" s="3"/>
      <c r="BE56" s="223"/>
      <c r="BF56" s="223"/>
      <c r="BG56" s="223"/>
      <c r="BH56" s="223"/>
      <c r="BI56" s="3"/>
      <c r="BJ56" s="449">
        <v>15.0</v>
      </c>
      <c r="BK56" s="477" t="s">
        <v>740</v>
      </c>
      <c r="BL56" s="452"/>
      <c r="BM56" s="456"/>
      <c r="BN56" s="3"/>
      <c r="BO56" s="652">
        <v>9.3</v>
      </c>
      <c r="BP56" s="468" t="s">
        <v>763</v>
      </c>
      <c r="BQ56" s="580"/>
      <c r="BR56" s="406"/>
      <c r="BS56" s="3"/>
      <c r="BT56" s="14"/>
      <c r="BU56" s="14"/>
      <c r="BV56" s="14"/>
      <c r="BW56" s="14"/>
      <c r="BX56" s="3"/>
      <c r="BY56" s="223"/>
      <c r="BZ56" s="3"/>
      <c r="CA56" s="449">
        <v>17.0</v>
      </c>
      <c r="CB56" s="451" t="s">
        <v>766</v>
      </c>
      <c r="CC56" s="452"/>
      <c r="CD56" s="456"/>
      <c r="CE56" s="3"/>
      <c r="CF56" s="3"/>
      <c r="CG56" s="223"/>
      <c r="CH56" s="223"/>
      <c r="CI56" s="223"/>
      <c r="CJ56" s="223"/>
      <c r="CK56" s="223"/>
      <c r="CL56" s="3"/>
      <c r="CM56" s="223"/>
      <c r="CN56" s="223"/>
      <c r="CO56" s="223"/>
      <c r="CP56" s="223"/>
      <c r="CQ56" s="3"/>
      <c r="CR56" s="3"/>
      <c r="CS56" s="3"/>
      <c r="CT56" s="3"/>
      <c r="CU56" s="3"/>
      <c r="CV56" s="3"/>
      <c r="CW56" s="3"/>
      <c r="CX56" s="3"/>
      <c r="CY56" s="223"/>
      <c r="CZ56" s="223"/>
      <c r="DA56" s="223"/>
      <c r="DB56" s="223"/>
      <c r="DC56" s="223"/>
      <c r="DD56" s="223"/>
      <c r="DE56" s="223"/>
      <c r="DF56" s="3"/>
      <c r="DG56" s="3"/>
      <c r="DH56" s="3"/>
      <c r="DI56" s="3"/>
      <c r="DJ56" s="3"/>
      <c r="DK56" s="223"/>
      <c r="DL56" s="223"/>
      <c r="DM56" s="223"/>
      <c r="DN56" s="223"/>
      <c r="DO56" s="223"/>
      <c r="DP56" s="223"/>
      <c r="DQ56" s="223"/>
    </row>
    <row r="57" ht="14.25" customHeight="1">
      <c r="A57" s="3"/>
      <c r="B57" s="449">
        <v>15.0</v>
      </c>
      <c r="C57" s="451" t="s">
        <v>769</v>
      </c>
      <c r="D57" s="452"/>
      <c r="E57" s="456"/>
      <c r="F57" s="3"/>
      <c r="G57" s="499">
        <v>15.1</v>
      </c>
      <c r="H57" s="643" t="s">
        <v>770</v>
      </c>
      <c r="I57" s="580"/>
      <c r="J57" s="406"/>
      <c r="K57" s="3"/>
      <c r="L57" s="476">
        <v>14.0</v>
      </c>
      <c r="M57" s="477" t="s">
        <v>772</v>
      </c>
      <c r="N57" s="478"/>
      <c r="O57" s="479"/>
      <c r="P57" s="3"/>
      <c r="Q57" s="449">
        <v>13.1</v>
      </c>
      <c r="R57" s="415" t="s">
        <v>773</v>
      </c>
      <c r="S57" s="452"/>
      <c r="T57" s="456"/>
      <c r="U57" s="223"/>
      <c r="V57" s="3"/>
      <c r="W57" s="223"/>
      <c r="X57" s="223"/>
      <c r="Y57" s="223"/>
      <c r="Z57" s="223"/>
      <c r="AA57" s="476">
        <v>14.0</v>
      </c>
      <c r="AB57" s="477" t="s">
        <v>774</v>
      </c>
      <c r="AC57" s="478"/>
      <c r="AD57" s="479"/>
      <c r="AE57" s="3"/>
      <c r="AF57" s="223"/>
      <c r="AG57" s="223"/>
      <c r="AH57" s="223"/>
      <c r="AI57" s="223"/>
      <c r="AJ57" s="3"/>
      <c r="AK57" s="449">
        <v>17.0</v>
      </c>
      <c r="AL57" s="451" t="s">
        <v>775</v>
      </c>
      <c r="AM57" s="452"/>
      <c r="AN57" s="456"/>
      <c r="AO57" s="3"/>
      <c r="AP57" s="223"/>
      <c r="AQ57" s="223"/>
      <c r="AR57" s="223"/>
      <c r="AS57" s="223"/>
      <c r="AT57" s="3"/>
      <c r="AU57" s="223"/>
      <c r="AV57" s="223"/>
      <c r="AW57" s="223"/>
      <c r="AX57" s="223"/>
      <c r="AY57" s="3"/>
      <c r="AZ57" s="223"/>
      <c r="BA57" s="223"/>
      <c r="BB57" s="223"/>
      <c r="BC57" s="223"/>
      <c r="BD57" s="3"/>
      <c r="BE57" s="223"/>
      <c r="BF57" s="223"/>
      <c r="BG57" s="223"/>
      <c r="BH57" s="223"/>
      <c r="BI57" s="3"/>
      <c r="BJ57" s="735"/>
      <c r="BK57" s="477"/>
      <c r="BL57" s="737"/>
      <c r="BM57" s="738"/>
      <c r="BN57" s="3"/>
      <c r="BO57" s="652">
        <v>9.4</v>
      </c>
      <c r="BP57" s="468" t="s">
        <v>778</v>
      </c>
      <c r="BQ57" s="580"/>
      <c r="BR57" s="406"/>
      <c r="BS57" s="3"/>
      <c r="BT57" s="14"/>
      <c r="BU57" s="14"/>
      <c r="BV57" s="14"/>
      <c r="BW57" s="14"/>
      <c r="BX57" s="3"/>
      <c r="BY57" s="223"/>
      <c r="BZ57" s="3"/>
      <c r="CA57" s="476">
        <v>18.0</v>
      </c>
      <c r="CB57" s="477" t="s">
        <v>507</v>
      </c>
      <c r="CC57" s="478"/>
      <c r="CD57" s="479"/>
      <c r="CE57" s="3"/>
      <c r="CF57" s="3"/>
      <c r="CG57" s="223"/>
      <c r="CH57" s="223"/>
      <c r="CI57" s="223"/>
      <c r="CJ57" s="223"/>
      <c r="CK57" s="223"/>
      <c r="CL57" s="3"/>
      <c r="CM57" s="223"/>
      <c r="CN57" s="223"/>
      <c r="CO57" s="223"/>
      <c r="CP57" s="223"/>
      <c r="CQ57" s="3"/>
      <c r="CR57" s="3"/>
      <c r="CS57" s="3"/>
      <c r="CT57" s="3"/>
      <c r="CU57" s="3"/>
      <c r="CV57" s="3"/>
      <c r="CW57" s="3"/>
      <c r="CX57" s="3"/>
      <c r="CY57" s="223"/>
      <c r="CZ57" s="223"/>
      <c r="DA57" s="223"/>
      <c r="DB57" s="223"/>
      <c r="DC57" s="223"/>
      <c r="DD57" s="223"/>
      <c r="DE57" s="223"/>
      <c r="DF57" s="3"/>
      <c r="DG57" s="3"/>
      <c r="DH57" s="3"/>
      <c r="DI57" s="3"/>
      <c r="DJ57" s="3"/>
      <c r="DK57" s="223"/>
      <c r="DL57" s="223"/>
      <c r="DM57" s="223"/>
      <c r="DN57" s="223"/>
      <c r="DO57" s="223"/>
      <c r="DP57" s="223"/>
      <c r="DQ57" s="223"/>
    </row>
    <row r="58" ht="14.25" customHeight="1">
      <c r="A58" s="3"/>
      <c r="B58" s="499">
        <v>15.1</v>
      </c>
      <c r="C58" s="643" t="s">
        <v>780</v>
      </c>
      <c r="D58" s="580"/>
      <c r="E58" s="406"/>
      <c r="F58" s="3"/>
      <c r="G58" s="476">
        <v>16.0</v>
      </c>
      <c r="H58" s="477" t="s">
        <v>782</v>
      </c>
      <c r="I58" s="478"/>
      <c r="J58" s="479"/>
      <c r="K58" s="3"/>
      <c r="L58" s="449">
        <v>15.0</v>
      </c>
      <c r="M58" s="451" t="s">
        <v>785</v>
      </c>
      <c r="N58" s="452"/>
      <c r="O58" s="456"/>
      <c r="P58" s="3"/>
      <c r="Q58" s="449">
        <v>13.2</v>
      </c>
      <c r="R58" s="415" t="s">
        <v>787</v>
      </c>
      <c r="S58" s="452"/>
      <c r="T58" s="456"/>
      <c r="U58" s="223"/>
      <c r="V58" s="3"/>
      <c r="W58" s="223"/>
      <c r="X58" s="223"/>
      <c r="Y58" s="223"/>
      <c r="Z58" s="223"/>
      <c r="AA58" s="449">
        <v>15.0</v>
      </c>
      <c r="AB58" s="451" t="s">
        <v>790</v>
      </c>
      <c r="AC58" s="452"/>
      <c r="AD58" s="456"/>
      <c r="AE58" s="3"/>
      <c r="AF58" s="223"/>
      <c r="AG58" s="223"/>
      <c r="AH58" s="223"/>
      <c r="AI58" s="223"/>
      <c r="AJ58" s="3"/>
      <c r="AK58" s="476">
        <v>18.0</v>
      </c>
      <c r="AL58" s="477" t="s">
        <v>793</v>
      </c>
      <c r="AM58" s="478"/>
      <c r="AN58" s="479"/>
      <c r="AO58" s="3"/>
      <c r="AP58" s="223"/>
      <c r="AQ58" s="223"/>
      <c r="AR58" s="223"/>
      <c r="AS58" s="223"/>
      <c r="AT58" s="3"/>
      <c r="AU58" s="223"/>
      <c r="AV58" s="223"/>
      <c r="AW58" s="223"/>
      <c r="AX58" s="223"/>
      <c r="AY58" s="3"/>
      <c r="AZ58" s="223"/>
      <c r="BA58" s="223"/>
      <c r="BB58" s="223"/>
      <c r="BC58" s="223"/>
      <c r="BD58" s="3"/>
      <c r="BE58" s="223"/>
      <c r="BF58" s="223"/>
      <c r="BG58" s="223"/>
      <c r="BH58" s="223"/>
      <c r="BI58" s="3"/>
      <c r="BJ58" s="223"/>
      <c r="BK58" s="223"/>
      <c r="BL58" s="223"/>
      <c r="BM58" s="223"/>
      <c r="BN58" s="3"/>
      <c r="BO58" s="652">
        <v>9.5</v>
      </c>
      <c r="BP58" s="468" t="s">
        <v>794</v>
      </c>
      <c r="BQ58" s="580"/>
      <c r="BR58" s="406"/>
      <c r="BS58" s="3"/>
      <c r="BT58" s="14"/>
      <c r="BU58" s="14"/>
      <c r="BV58" s="14"/>
      <c r="BW58" s="14"/>
      <c r="BX58" s="3"/>
      <c r="BY58" s="223"/>
      <c r="BZ58" s="3"/>
      <c r="CA58" s="449">
        <v>19.0</v>
      </c>
      <c r="CB58" s="451" t="s">
        <v>623</v>
      </c>
      <c r="CC58" s="452"/>
      <c r="CD58" s="456"/>
      <c r="CE58" s="3"/>
      <c r="CF58" s="3"/>
      <c r="CG58" s="223"/>
      <c r="CH58" s="223"/>
      <c r="CI58" s="223"/>
      <c r="CJ58" s="223"/>
      <c r="CK58" s="223"/>
      <c r="CL58" s="3"/>
      <c r="CM58" s="223"/>
      <c r="CN58" s="223"/>
      <c r="CO58" s="223"/>
      <c r="CP58" s="223"/>
      <c r="CQ58" s="3"/>
      <c r="CR58" s="3"/>
      <c r="CS58" s="3"/>
      <c r="CT58" s="3"/>
      <c r="CU58" s="3"/>
      <c r="CV58" s="3"/>
      <c r="CW58" s="3"/>
      <c r="CX58" s="3"/>
      <c r="CY58" s="223"/>
      <c r="CZ58" s="223"/>
      <c r="DA58" s="223"/>
      <c r="DB58" s="223"/>
      <c r="DC58" s="223"/>
      <c r="DD58" s="223"/>
      <c r="DE58" s="223"/>
      <c r="DF58" s="3"/>
      <c r="DG58" s="3"/>
      <c r="DH58" s="3"/>
      <c r="DI58" s="3"/>
      <c r="DJ58" s="3"/>
      <c r="DK58" s="223"/>
      <c r="DL58" s="223"/>
      <c r="DM58" s="223"/>
      <c r="DN58" s="223"/>
      <c r="DO58" s="223"/>
      <c r="DP58" s="223"/>
      <c r="DQ58" s="223"/>
    </row>
    <row r="59" ht="14.25" customHeight="1">
      <c r="A59" s="3"/>
      <c r="B59" s="499">
        <v>15.2</v>
      </c>
      <c r="C59" s="643" t="s">
        <v>797</v>
      </c>
      <c r="D59" s="580"/>
      <c r="E59" s="406"/>
      <c r="F59" s="3"/>
      <c r="G59" s="449">
        <v>17.0</v>
      </c>
      <c r="H59" s="636" t="s">
        <v>799</v>
      </c>
      <c r="I59" s="452"/>
      <c r="J59" s="456"/>
      <c r="K59" s="3"/>
      <c r="L59" s="499">
        <v>15.1</v>
      </c>
      <c r="M59" s="643" t="s">
        <v>803</v>
      </c>
      <c r="N59" s="580"/>
      <c r="O59" s="406"/>
      <c r="P59" s="3"/>
      <c r="Q59" s="476">
        <v>14.0</v>
      </c>
      <c r="R59" s="477" t="s">
        <v>804</v>
      </c>
      <c r="S59" s="478"/>
      <c r="T59" s="479"/>
      <c r="U59" s="223"/>
      <c r="V59" s="3"/>
      <c r="W59" s="223"/>
      <c r="X59" s="223"/>
      <c r="Y59" s="223"/>
      <c r="Z59" s="223"/>
      <c r="AA59" s="476">
        <v>16.0</v>
      </c>
      <c r="AB59" s="477" t="s">
        <v>806</v>
      </c>
      <c r="AC59" s="478"/>
      <c r="AD59" s="479"/>
      <c r="AE59" s="3"/>
      <c r="AF59" s="223"/>
      <c r="AG59" s="223"/>
      <c r="AH59" s="223"/>
      <c r="AI59" s="223"/>
      <c r="AJ59" s="3"/>
      <c r="AK59" s="449">
        <v>19.0</v>
      </c>
      <c r="AL59" s="451" t="s">
        <v>807</v>
      </c>
      <c r="AM59" s="452"/>
      <c r="AN59" s="456"/>
      <c r="AO59" s="3"/>
      <c r="AP59" s="223"/>
      <c r="AQ59" s="223"/>
      <c r="AR59" s="223"/>
      <c r="AS59" s="223"/>
      <c r="AT59" s="3"/>
      <c r="AU59" s="223"/>
      <c r="AV59" s="223"/>
      <c r="AW59" s="223"/>
      <c r="AX59" s="223"/>
      <c r="AY59" s="3"/>
      <c r="AZ59" s="223"/>
      <c r="BA59" s="223"/>
      <c r="BB59" s="223"/>
      <c r="BC59" s="223"/>
      <c r="BD59" s="3"/>
      <c r="BE59" s="223"/>
      <c r="BF59" s="223"/>
      <c r="BG59" s="223"/>
      <c r="BH59" s="223"/>
      <c r="BI59" s="3"/>
      <c r="BJ59" s="223"/>
      <c r="BK59" s="223"/>
      <c r="BL59" s="223"/>
      <c r="BM59" s="223"/>
      <c r="BN59" s="3"/>
      <c r="BO59" s="583">
        <v>10.0</v>
      </c>
      <c r="BP59" s="596" t="s">
        <v>809</v>
      </c>
      <c r="BQ59" s="478"/>
      <c r="BR59" s="479"/>
      <c r="BS59" s="3"/>
      <c r="BT59" s="14"/>
      <c r="BU59" s="14"/>
      <c r="BV59" s="14"/>
      <c r="BW59" s="14"/>
      <c r="BX59" s="3"/>
      <c r="BY59" s="223"/>
      <c r="BZ59" s="3"/>
      <c r="CA59" s="476">
        <v>20.0</v>
      </c>
      <c r="CB59" s="477" t="s">
        <v>668</v>
      </c>
      <c r="CC59" s="478"/>
      <c r="CD59" s="479"/>
      <c r="CE59" s="3"/>
      <c r="CF59" s="3"/>
      <c r="CG59" s="223"/>
      <c r="CH59" s="223"/>
      <c r="CI59" s="223"/>
      <c r="CJ59" s="223"/>
      <c r="CK59" s="223"/>
      <c r="CL59" s="3"/>
      <c r="CM59" s="223"/>
      <c r="CN59" s="223"/>
      <c r="CO59" s="223"/>
      <c r="CP59" s="223"/>
      <c r="CQ59" s="3"/>
      <c r="CR59" s="3"/>
      <c r="CS59" s="3"/>
      <c r="CT59" s="3"/>
      <c r="CU59" s="3"/>
      <c r="CV59" s="3"/>
      <c r="CW59" s="3"/>
      <c r="CX59" s="3"/>
      <c r="CY59" s="223"/>
      <c r="CZ59" s="223"/>
      <c r="DA59" s="223"/>
      <c r="DB59" s="223"/>
      <c r="DC59" s="223"/>
      <c r="DD59" s="223"/>
      <c r="DE59" s="223"/>
      <c r="DF59" s="3"/>
      <c r="DG59" s="3"/>
      <c r="DH59" s="3"/>
      <c r="DI59" s="3"/>
      <c r="DJ59" s="3"/>
      <c r="DK59" s="223"/>
      <c r="DL59" s="223"/>
      <c r="DM59" s="223"/>
      <c r="DN59" s="223"/>
      <c r="DO59" s="223"/>
      <c r="DP59" s="223"/>
      <c r="DQ59" s="223"/>
    </row>
    <row r="60" ht="14.25" customHeight="1">
      <c r="A60" s="3"/>
      <c r="B60" s="476">
        <v>16.0</v>
      </c>
      <c r="C60" s="477" t="s">
        <v>811</v>
      </c>
      <c r="D60" s="478"/>
      <c r="E60" s="479"/>
      <c r="F60" s="3"/>
      <c r="G60" s="476">
        <v>18.0</v>
      </c>
      <c r="H60" s="477" t="s">
        <v>812</v>
      </c>
      <c r="I60" s="478"/>
      <c r="J60" s="479"/>
      <c r="K60" s="3"/>
      <c r="L60" s="476">
        <v>16.0</v>
      </c>
      <c r="M60" s="477" t="s">
        <v>813</v>
      </c>
      <c r="N60" s="478"/>
      <c r="O60" s="479"/>
      <c r="P60" s="760"/>
      <c r="Q60" s="449">
        <v>15.0</v>
      </c>
      <c r="R60" s="451" t="s">
        <v>814</v>
      </c>
      <c r="S60" s="452"/>
      <c r="T60" s="456"/>
      <c r="U60" s="223"/>
      <c r="V60" s="223"/>
      <c r="W60" s="3"/>
      <c r="X60" s="223"/>
      <c r="Y60" s="223"/>
      <c r="Z60" s="223"/>
      <c r="AA60" s="449">
        <v>17.0</v>
      </c>
      <c r="AB60" s="451" t="s">
        <v>815</v>
      </c>
      <c r="AC60" s="452"/>
      <c r="AD60" s="456"/>
      <c r="AE60" s="3"/>
      <c r="AF60" s="223"/>
      <c r="AG60" s="223"/>
      <c r="AH60" s="223"/>
      <c r="AI60" s="223"/>
      <c r="AJ60" s="3"/>
      <c r="AK60" s="476">
        <v>20.0</v>
      </c>
      <c r="AL60" s="477" t="s">
        <v>817</v>
      </c>
      <c r="AM60" s="478"/>
      <c r="AN60" s="479"/>
      <c r="AO60" s="3"/>
      <c r="AP60" s="223"/>
      <c r="AQ60" s="223"/>
      <c r="AR60" s="223"/>
      <c r="AS60" s="223"/>
      <c r="AT60" s="3"/>
      <c r="AU60" s="223"/>
      <c r="AV60" s="223"/>
      <c r="AW60" s="223"/>
      <c r="AX60" s="223"/>
      <c r="AY60" s="3"/>
      <c r="AZ60" s="223"/>
      <c r="BA60" s="223"/>
      <c r="BB60" s="223"/>
      <c r="BC60" s="223"/>
      <c r="BD60" s="3"/>
      <c r="BE60" s="223"/>
      <c r="BF60" s="223"/>
      <c r="BG60" s="223"/>
      <c r="BH60" s="223"/>
      <c r="BI60" s="3"/>
      <c r="BJ60" s="223"/>
      <c r="BK60" s="223"/>
      <c r="BL60" s="223"/>
      <c r="BM60" s="223"/>
      <c r="BN60" s="3"/>
      <c r="BO60" s="484">
        <v>11.0</v>
      </c>
      <c r="BP60" s="627" t="s">
        <v>363</v>
      </c>
      <c r="BQ60" s="452"/>
      <c r="BR60" s="456"/>
      <c r="BS60" s="3"/>
      <c r="BT60" s="14"/>
      <c r="BU60" s="14"/>
      <c r="BV60" s="14"/>
      <c r="BW60" s="14"/>
      <c r="BX60" s="3"/>
      <c r="BY60" s="223"/>
      <c r="BZ60" s="3"/>
      <c r="CA60" s="449">
        <v>21.0</v>
      </c>
      <c r="CB60" s="636" t="s">
        <v>679</v>
      </c>
      <c r="CC60" s="452"/>
      <c r="CD60" s="456"/>
      <c r="CE60" s="3"/>
      <c r="CF60" s="3"/>
      <c r="CG60" s="223"/>
      <c r="CH60" s="223"/>
      <c r="CI60" s="223"/>
      <c r="CJ60" s="223"/>
      <c r="CK60" s="223"/>
      <c r="CL60" s="3"/>
      <c r="CM60" s="223"/>
      <c r="CN60" s="223"/>
      <c r="CO60" s="223"/>
      <c r="CP60" s="223"/>
      <c r="CQ60" s="3"/>
      <c r="CR60" s="14"/>
      <c r="CS60" s="3"/>
      <c r="CT60" s="3"/>
      <c r="CU60" s="3"/>
      <c r="CV60" s="3"/>
      <c r="CW60" s="14"/>
      <c r="CX60" s="14"/>
      <c r="CY60" s="223"/>
      <c r="CZ60" s="223"/>
      <c r="DA60" s="223"/>
      <c r="DB60" s="223"/>
      <c r="DC60" s="223"/>
      <c r="DD60" s="223"/>
      <c r="DE60" s="223"/>
      <c r="DF60" s="3"/>
      <c r="DG60" s="3"/>
      <c r="DH60" s="3"/>
      <c r="DI60" s="3"/>
      <c r="DJ60" s="3"/>
      <c r="DK60" s="223"/>
      <c r="DL60" s="223"/>
      <c r="DM60" s="223"/>
      <c r="DN60" s="223"/>
      <c r="DO60" s="223"/>
      <c r="DP60" s="223"/>
      <c r="DQ60" s="223"/>
    </row>
    <row r="61" ht="14.25" customHeight="1">
      <c r="A61" s="3"/>
      <c r="B61" s="449">
        <v>17.0</v>
      </c>
      <c r="C61" s="636" t="s">
        <v>820</v>
      </c>
      <c r="D61" s="452"/>
      <c r="E61" s="456"/>
      <c r="F61" s="3"/>
      <c r="G61" s="449">
        <v>19.0</v>
      </c>
      <c r="H61" s="451" t="s">
        <v>821</v>
      </c>
      <c r="I61" s="452"/>
      <c r="J61" s="456"/>
      <c r="K61" s="3"/>
      <c r="L61" s="499">
        <v>16.1</v>
      </c>
      <c r="M61" s="409" t="s">
        <v>823</v>
      </c>
      <c r="N61" s="580"/>
      <c r="O61" s="406"/>
      <c r="P61" s="760"/>
      <c r="Q61" s="499">
        <v>15.1</v>
      </c>
      <c r="R61" s="643" t="s">
        <v>825</v>
      </c>
      <c r="S61" s="580"/>
      <c r="T61" s="406"/>
      <c r="U61" s="223"/>
      <c r="V61" s="223"/>
      <c r="W61" s="3"/>
      <c r="X61" s="223"/>
      <c r="Y61" s="223"/>
      <c r="Z61" s="223"/>
      <c r="AA61" s="476">
        <v>18.0</v>
      </c>
      <c r="AB61" s="477" t="s">
        <v>826</v>
      </c>
      <c r="AC61" s="478"/>
      <c r="AD61" s="479"/>
      <c r="AE61" s="3"/>
      <c r="AF61" s="223"/>
      <c r="AG61" s="223"/>
      <c r="AH61" s="223"/>
      <c r="AI61" s="223"/>
      <c r="AJ61" s="3"/>
      <c r="AK61" s="449">
        <v>21.0</v>
      </c>
      <c r="AL61" s="451" t="s">
        <v>827</v>
      </c>
      <c r="AM61" s="452"/>
      <c r="AN61" s="456"/>
      <c r="AO61" s="3"/>
      <c r="AP61" s="223"/>
      <c r="AQ61" s="223"/>
      <c r="AR61" s="223"/>
      <c r="AS61" s="223"/>
      <c r="AT61" s="3"/>
      <c r="AU61" s="223"/>
      <c r="AV61" s="223"/>
      <c r="AW61" s="223"/>
      <c r="AX61" s="223"/>
      <c r="AY61" s="3"/>
      <c r="AZ61" s="223"/>
      <c r="BA61" s="223"/>
      <c r="BB61" s="223"/>
      <c r="BC61" s="223"/>
      <c r="BD61" s="3"/>
      <c r="BE61" s="223"/>
      <c r="BF61" s="223"/>
      <c r="BG61" s="223"/>
      <c r="BH61" s="223"/>
      <c r="BI61" s="3"/>
      <c r="BJ61" s="223"/>
      <c r="BK61" s="223"/>
      <c r="BL61" s="223"/>
      <c r="BM61" s="223"/>
      <c r="BN61" s="3"/>
      <c r="BO61" s="583">
        <v>12.0</v>
      </c>
      <c r="BP61" s="596" t="s">
        <v>371</v>
      </c>
      <c r="BQ61" s="478"/>
      <c r="BR61" s="479"/>
      <c r="BS61" s="3"/>
      <c r="BT61" s="14"/>
      <c r="BU61" s="14"/>
      <c r="BV61" s="14"/>
      <c r="BW61" s="14"/>
      <c r="BX61" s="3"/>
      <c r="BY61" s="223"/>
      <c r="BZ61" s="3"/>
      <c r="CA61" s="499">
        <v>21.1</v>
      </c>
      <c r="CB61" s="409" t="s">
        <v>829</v>
      </c>
      <c r="CC61" s="580"/>
      <c r="CD61" s="406"/>
      <c r="CE61" s="3"/>
      <c r="CF61" s="3"/>
      <c r="CG61" s="223"/>
      <c r="CH61" s="223"/>
      <c r="CI61" s="223" t="s">
        <v>76</v>
      </c>
      <c r="CJ61" s="223" t="s">
        <v>76</v>
      </c>
      <c r="CK61" s="223"/>
      <c r="CL61" s="3"/>
      <c r="CM61" s="223"/>
      <c r="CN61" s="223"/>
      <c r="CO61" s="223"/>
      <c r="CP61" s="223"/>
      <c r="CQ61" s="3"/>
      <c r="CR61" s="14"/>
      <c r="CS61" s="3"/>
      <c r="CT61" s="3"/>
      <c r="CU61" s="3"/>
      <c r="CV61" s="3"/>
      <c r="CW61" s="14"/>
      <c r="CX61" s="14"/>
      <c r="CY61" s="223"/>
      <c r="CZ61" s="223"/>
      <c r="DA61" s="223"/>
      <c r="DB61" s="223"/>
      <c r="DC61" s="223"/>
      <c r="DD61" s="223"/>
      <c r="DE61" s="223"/>
      <c r="DF61" s="3"/>
      <c r="DG61" s="3"/>
      <c r="DH61" s="3"/>
      <c r="DI61" s="3"/>
      <c r="DJ61" s="3"/>
      <c r="DK61" s="223"/>
      <c r="DL61" s="223"/>
      <c r="DM61" s="223"/>
      <c r="DN61" s="223"/>
      <c r="DO61" s="223"/>
      <c r="DP61" s="223"/>
      <c r="DQ61" s="223"/>
    </row>
    <row r="62" ht="14.25" customHeight="1">
      <c r="A62" s="3"/>
      <c r="B62" s="476">
        <v>18.0</v>
      </c>
      <c r="C62" s="477" t="s">
        <v>832</v>
      </c>
      <c r="D62" s="478"/>
      <c r="E62" s="479"/>
      <c r="F62" s="3"/>
      <c r="G62" s="476">
        <v>20.0</v>
      </c>
      <c r="H62" s="477" t="s">
        <v>833</v>
      </c>
      <c r="I62" s="478"/>
      <c r="J62" s="479"/>
      <c r="K62" s="3"/>
      <c r="L62" s="449">
        <v>17.0</v>
      </c>
      <c r="M62" s="636" t="s">
        <v>835</v>
      </c>
      <c r="N62" s="452"/>
      <c r="O62" s="456"/>
      <c r="P62" s="760"/>
      <c r="Q62" s="499">
        <v>15.2</v>
      </c>
      <c r="R62" s="643" t="s">
        <v>836</v>
      </c>
      <c r="S62" s="580"/>
      <c r="T62" s="406"/>
      <c r="U62" s="223"/>
      <c r="V62" s="223"/>
      <c r="W62" s="3"/>
      <c r="X62" s="223"/>
      <c r="Y62" s="223"/>
      <c r="Z62" s="223"/>
      <c r="AA62" s="449">
        <v>19.0</v>
      </c>
      <c r="AB62" s="451" t="s">
        <v>838</v>
      </c>
      <c r="AC62" s="452"/>
      <c r="AD62" s="456"/>
      <c r="AE62" s="3"/>
      <c r="AF62" s="223"/>
      <c r="AG62" s="223"/>
      <c r="AH62" s="223"/>
      <c r="AI62" s="223"/>
      <c r="AJ62" s="3"/>
      <c r="AK62" s="476">
        <v>22.0</v>
      </c>
      <c r="AL62" s="477" t="s">
        <v>840</v>
      </c>
      <c r="AM62" s="478"/>
      <c r="AN62" s="479"/>
      <c r="AO62" s="3"/>
      <c r="AP62" s="223"/>
      <c r="AQ62" s="223"/>
      <c r="AR62" s="223"/>
      <c r="AS62" s="223"/>
      <c r="AT62" s="3"/>
      <c r="AU62" s="223"/>
      <c r="AV62" s="223"/>
      <c r="AW62" s="223"/>
      <c r="AX62" s="223"/>
      <c r="AY62" s="3"/>
      <c r="AZ62" s="223"/>
      <c r="BA62" s="223"/>
      <c r="BB62" s="223"/>
      <c r="BC62" s="223"/>
      <c r="BD62" s="3"/>
      <c r="BE62" s="223"/>
      <c r="BF62" s="223"/>
      <c r="BG62" s="223"/>
      <c r="BH62" s="223"/>
      <c r="BI62" s="3"/>
      <c r="BJ62" s="223"/>
      <c r="BK62" s="223"/>
      <c r="BL62" s="223"/>
      <c r="BM62" s="223"/>
      <c r="BN62" s="3"/>
      <c r="BO62" s="484">
        <v>13.0</v>
      </c>
      <c r="BP62" s="485" t="s">
        <v>459</v>
      </c>
      <c r="BQ62" s="452"/>
      <c r="BR62" s="456"/>
      <c r="BS62" s="3"/>
      <c r="BT62" s="14"/>
      <c r="BU62" s="14"/>
      <c r="BV62" s="14"/>
      <c r="BW62" s="14"/>
      <c r="BX62" s="3"/>
      <c r="BY62" s="223"/>
      <c r="BZ62" s="3"/>
      <c r="CA62" s="499">
        <v>22.0</v>
      </c>
      <c r="CB62" s="409" t="s">
        <v>846</v>
      </c>
      <c r="CC62" s="580"/>
      <c r="CD62" s="406"/>
      <c r="CE62" s="3"/>
      <c r="CF62" s="3"/>
      <c r="CG62" s="223"/>
      <c r="CH62" s="223"/>
      <c r="CI62" s="223"/>
      <c r="CJ62" s="223"/>
      <c r="CK62" s="223"/>
      <c r="CL62" s="3"/>
      <c r="CM62" s="223"/>
      <c r="CN62" s="223"/>
      <c r="CO62" s="223"/>
      <c r="CP62" s="223"/>
      <c r="CQ62" s="3"/>
      <c r="CR62" s="14"/>
      <c r="CS62" s="3"/>
      <c r="CT62" s="3"/>
      <c r="CU62" s="3"/>
      <c r="CV62" s="3"/>
      <c r="CW62" s="14"/>
      <c r="CX62" s="14"/>
      <c r="CY62" s="223"/>
      <c r="CZ62" s="223"/>
      <c r="DA62" s="223"/>
      <c r="DB62" s="223"/>
      <c r="DC62" s="223"/>
      <c r="DD62" s="223"/>
      <c r="DE62" s="223"/>
      <c r="DF62" s="3"/>
      <c r="DG62" s="3"/>
      <c r="DH62" s="3"/>
      <c r="DI62" s="3"/>
      <c r="DJ62" s="3"/>
      <c r="DK62" s="223"/>
      <c r="DL62" s="223"/>
      <c r="DM62" s="223"/>
      <c r="DN62" s="223"/>
      <c r="DO62" s="223"/>
      <c r="DP62" s="223"/>
      <c r="DQ62" s="223"/>
    </row>
    <row r="63" ht="14.25" customHeight="1">
      <c r="A63" s="3"/>
      <c r="B63" s="449">
        <v>19.0</v>
      </c>
      <c r="C63" s="451" t="s">
        <v>848</v>
      </c>
      <c r="D63" s="452"/>
      <c r="E63" s="456"/>
      <c r="F63" s="3"/>
      <c r="G63" s="499">
        <v>20.1</v>
      </c>
      <c r="H63" s="409" t="s">
        <v>849</v>
      </c>
      <c r="I63" s="580"/>
      <c r="J63" s="406"/>
      <c r="K63" s="3"/>
      <c r="L63" s="476">
        <v>18.0</v>
      </c>
      <c r="M63" s="477" t="s">
        <v>851</v>
      </c>
      <c r="N63" s="478"/>
      <c r="O63" s="479"/>
      <c r="P63" s="760"/>
      <c r="Q63" s="476">
        <v>16.0</v>
      </c>
      <c r="R63" s="477" t="s">
        <v>853</v>
      </c>
      <c r="S63" s="478"/>
      <c r="T63" s="479"/>
      <c r="U63" s="223"/>
      <c r="V63" s="223"/>
      <c r="W63" s="3"/>
      <c r="X63" s="223"/>
      <c r="Y63" s="223"/>
      <c r="Z63" s="223"/>
      <c r="AA63" s="499">
        <v>19.1</v>
      </c>
      <c r="AB63" s="643" t="s">
        <v>855</v>
      </c>
      <c r="AC63" s="580"/>
      <c r="AD63" s="406"/>
      <c r="AE63" s="3"/>
      <c r="AF63" s="223"/>
      <c r="AG63" s="223"/>
      <c r="AH63" s="223"/>
      <c r="AI63" s="223"/>
      <c r="AJ63" s="3"/>
      <c r="AK63" s="449">
        <v>23.0</v>
      </c>
      <c r="AL63" s="451" t="s">
        <v>857</v>
      </c>
      <c r="AM63" s="452"/>
      <c r="AN63" s="456"/>
      <c r="AO63" s="3"/>
      <c r="AP63" s="223"/>
      <c r="AQ63" s="223"/>
      <c r="AR63" s="223"/>
      <c r="AS63" s="223"/>
      <c r="AT63" s="3"/>
      <c r="AU63" s="223"/>
      <c r="AV63" s="223"/>
      <c r="AW63" s="223"/>
      <c r="AX63" s="223"/>
      <c r="AY63" s="3"/>
      <c r="AZ63" s="223"/>
      <c r="BA63" s="223"/>
      <c r="BB63" s="223"/>
      <c r="BC63" s="223"/>
      <c r="BD63" s="3"/>
      <c r="BE63" s="223"/>
      <c r="BF63" s="223"/>
      <c r="BG63" s="223"/>
      <c r="BH63" s="223"/>
      <c r="BI63" s="3"/>
      <c r="BJ63" s="223"/>
      <c r="BK63" s="223"/>
      <c r="BL63" s="223"/>
      <c r="BM63" s="223"/>
      <c r="BN63" s="3"/>
      <c r="BO63" s="583">
        <v>14.0</v>
      </c>
      <c r="BP63" s="596" t="s">
        <v>505</v>
      </c>
      <c r="BQ63" s="478"/>
      <c r="BR63" s="479"/>
      <c r="BS63" s="3"/>
      <c r="BT63" s="14"/>
      <c r="BU63" s="14"/>
      <c r="BV63" s="14"/>
      <c r="BW63" s="14"/>
      <c r="BX63" s="3"/>
      <c r="BY63" s="223"/>
      <c r="BZ63" s="3"/>
      <c r="CA63" s="449">
        <v>23.0</v>
      </c>
      <c r="CB63" s="451" t="s">
        <v>789</v>
      </c>
      <c r="CC63" s="452"/>
      <c r="CD63" s="456"/>
      <c r="CE63" s="3"/>
      <c r="CF63" s="3"/>
      <c r="CG63" s="223"/>
      <c r="CH63" s="223"/>
      <c r="CI63" s="223"/>
      <c r="CJ63" s="223"/>
      <c r="CK63" s="223"/>
      <c r="CL63" s="3"/>
      <c r="CM63" s="223"/>
      <c r="CN63" s="223"/>
      <c r="CO63" s="223"/>
      <c r="CP63" s="223"/>
      <c r="CQ63" s="3"/>
      <c r="CR63" s="14"/>
      <c r="CS63" s="3"/>
      <c r="CT63" s="3"/>
      <c r="CU63" s="3"/>
      <c r="CV63" s="3"/>
      <c r="CW63" s="14"/>
      <c r="CX63" s="14"/>
      <c r="CY63" s="223"/>
      <c r="CZ63" s="223"/>
      <c r="DA63" s="223"/>
      <c r="DB63" s="223"/>
      <c r="DC63" s="223"/>
      <c r="DD63" s="223"/>
      <c r="DE63" s="223"/>
      <c r="DF63" s="3"/>
      <c r="DG63" s="3"/>
      <c r="DH63" s="3"/>
      <c r="DI63" s="3"/>
      <c r="DJ63" s="3"/>
      <c r="DK63" s="223"/>
      <c r="DL63" s="223"/>
      <c r="DM63" s="223"/>
      <c r="DN63" s="223"/>
      <c r="DO63" s="223"/>
      <c r="DP63" s="223"/>
      <c r="DQ63" s="223"/>
    </row>
    <row r="64" ht="14.25" customHeight="1">
      <c r="A64" s="3"/>
      <c r="B64" s="476">
        <v>20.0</v>
      </c>
      <c r="C64" s="477" t="s">
        <v>864</v>
      </c>
      <c r="D64" s="478"/>
      <c r="E64" s="479"/>
      <c r="F64" s="3"/>
      <c r="G64" s="449">
        <v>21.0</v>
      </c>
      <c r="H64" s="636" t="s">
        <v>865</v>
      </c>
      <c r="I64" s="452"/>
      <c r="J64" s="456"/>
      <c r="K64" s="3"/>
      <c r="L64" s="449">
        <v>19.0</v>
      </c>
      <c r="M64" s="451" t="s">
        <v>867</v>
      </c>
      <c r="N64" s="452"/>
      <c r="O64" s="456"/>
      <c r="P64" s="223"/>
      <c r="Q64" s="449">
        <v>17.0</v>
      </c>
      <c r="R64" s="636" t="s">
        <v>868</v>
      </c>
      <c r="S64" s="452"/>
      <c r="T64" s="456"/>
      <c r="U64" s="223"/>
      <c r="V64" s="223"/>
      <c r="W64" s="223"/>
      <c r="X64" s="3"/>
      <c r="Y64" s="223"/>
      <c r="Z64" s="223"/>
      <c r="AA64" s="499">
        <v>19.2</v>
      </c>
      <c r="AB64" s="643" t="s">
        <v>869</v>
      </c>
      <c r="AC64" s="580"/>
      <c r="AD64" s="406"/>
      <c r="AE64" s="3"/>
      <c r="AF64" s="223"/>
      <c r="AG64" s="223"/>
      <c r="AH64" s="223"/>
      <c r="AI64" s="223"/>
      <c r="AJ64" s="3"/>
      <c r="AK64" s="476">
        <v>24.0</v>
      </c>
      <c r="AL64" s="477" t="s">
        <v>870</v>
      </c>
      <c r="AM64" s="478"/>
      <c r="AN64" s="479"/>
      <c r="AO64" s="3"/>
      <c r="AP64" s="223"/>
      <c r="AQ64" s="223"/>
      <c r="AR64" s="223"/>
      <c r="AS64" s="223"/>
      <c r="AT64" s="3"/>
      <c r="AU64" s="223"/>
      <c r="AV64" s="223"/>
      <c r="AW64" s="223"/>
      <c r="AX64" s="223"/>
      <c r="AY64" s="3"/>
      <c r="AZ64" s="223"/>
      <c r="BA64" s="223"/>
      <c r="BB64" s="223"/>
      <c r="BC64" s="223"/>
      <c r="BD64" s="3"/>
      <c r="BE64" s="223"/>
      <c r="BF64" s="223"/>
      <c r="BG64" s="223"/>
      <c r="BH64" s="223"/>
      <c r="BI64" s="3"/>
      <c r="BJ64" s="223"/>
      <c r="BK64" s="223"/>
      <c r="BL64" s="223"/>
      <c r="BM64" s="223"/>
      <c r="BN64" s="3"/>
      <c r="BO64" s="484">
        <v>15.0</v>
      </c>
      <c r="BP64" s="627" t="s">
        <v>381</v>
      </c>
      <c r="BQ64" s="452"/>
      <c r="BR64" s="456"/>
      <c r="BS64" s="3"/>
      <c r="BT64" s="14"/>
      <c r="BU64" s="14"/>
      <c r="BV64" s="14"/>
      <c r="BW64" s="14"/>
      <c r="BX64" s="3"/>
      <c r="BY64" s="223"/>
      <c r="BZ64" s="3"/>
      <c r="CA64" s="476"/>
      <c r="CB64" s="477"/>
      <c r="CC64" s="478"/>
      <c r="CD64" s="479"/>
      <c r="CE64" s="3"/>
      <c r="CF64" s="3"/>
      <c r="CG64" s="223"/>
      <c r="CH64" s="223"/>
      <c r="CI64" s="223"/>
      <c r="CJ64" s="223"/>
      <c r="CK64" s="223"/>
      <c r="CL64" s="3"/>
      <c r="CM64" s="223"/>
      <c r="CN64" s="223"/>
      <c r="CO64" s="223"/>
      <c r="CP64" s="223"/>
      <c r="CQ64" s="3"/>
      <c r="CR64" s="14"/>
      <c r="CS64" s="14"/>
      <c r="CT64" s="14"/>
      <c r="CU64" s="14"/>
      <c r="CV64" s="14"/>
      <c r="CW64" s="14"/>
      <c r="CX64" s="14"/>
      <c r="CY64" s="223"/>
      <c r="CZ64" s="223"/>
      <c r="DA64" s="223"/>
      <c r="DB64" s="223"/>
      <c r="DC64" s="223"/>
      <c r="DD64" s="223"/>
      <c r="DE64" s="223"/>
      <c r="DF64" s="3"/>
      <c r="DG64" s="3"/>
      <c r="DH64" s="3"/>
      <c r="DI64" s="3"/>
      <c r="DJ64" s="3"/>
      <c r="DK64" s="223"/>
      <c r="DL64" s="223"/>
      <c r="DM64" s="223"/>
      <c r="DN64" s="223"/>
      <c r="DO64" s="223"/>
      <c r="DP64" s="223"/>
      <c r="DQ64" s="223"/>
    </row>
    <row r="65" ht="15.0" customHeight="1">
      <c r="A65" s="3"/>
      <c r="B65" s="449">
        <v>21.0</v>
      </c>
      <c r="C65" s="636" t="s">
        <v>872</v>
      </c>
      <c r="D65" s="452"/>
      <c r="E65" s="456"/>
      <c r="F65" s="3"/>
      <c r="G65" s="476">
        <v>22.0</v>
      </c>
      <c r="H65" s="477" t="s">
        <v>874</v>
      </c>
      <c r="I65" s="478"/>
      <c r="J65" s="479"/>
      <c r="K65" s="3"/>
      <c r="L65" s="476">
        <v>20.0</v>
      </c>
      <c r="M65" s="477" t="s">
        <v>875</v>
      </c>
      <c r="N65" s="478"/>
      <c r="O65" s="479"/>
      <c r="P65" s="223"/>
      <c r="Q65" s="476">
        <v>18.0</v>
      </c>
      <c r="R65" s="477" t="s">
        <v>877</v>
      </c>
      <c r="S65" s="478"/>
      <c r="T65" s="479"/>
      <c r="U65" s="223"/>
      <c r="V65" s="223"/>
      <c r="W65" s="223"/>
      <c r="X65" s="3"/>
      <c r="Y65" s="223"/>
      <c r="Z65" s="223"/>
      <c r="AA65" s="476">
        <v>20.0</v>
      </c>
      <c r="AB65" s="477" t="s">
        <v>879</v>
      </c>
      <c r="AC65" s="478"/>
      <c r="AD65" s="479"/>
      <c r="AE65" s="3"/>
      <c r="AF65" s="223"/>
      <c r="AG65" s="223"/>
      <c r="AH65" s="223"/>
      <c r="AI65" s="223"/>
      <c r="AJ65" s="3"/>
      <c r="AK65" s="449">
        <v>25.0</v>
      </c>
      <c r="AL65" s="451" t="s">
        <v>881</v>
      </c>
      <c r="AM65" s="452"/>
      <c r="AN65" s="456"/>
      <c r="AO65" s="3"/>
      <c r="AP65" s="223"/>
      <c r="AQ65" s="223"/>
      <c r="AR65" s="223"/>
      <c r="AS65" s="223"/>
      <c r="AT65" s="3"/>
      <c r="AU65" s="223"/>
      <c r="AV65" s="223"/>
      <c r="AW65" s="223"/>
      <c r="AX65" s="223"/>
      <c r="AY65" s="3"/>
      <c r="AZ65" s="223"/>
      <c r="BA65" s="223"/>
      <c r="BB65" s="223"/>
      <c r="BC65" s="223"/>
      <c r="BD65" s="3"/>
      <c r="BE65" s="223"/>
      <c r="BF65" s="223"/>
      <c r="BG65" s="223"/>
      <c r="BH65" s="223"/>
      <c r="BI65" s="3"/>
      <c r="BJ65" s="223"/>
      <c r="BK65" s="223"/>
      <c r="BL65" s="223"/>
      <c r="BM65" s="223"/>
      <c r="BN65" s="3"/>
      <c r="BO65" s="583">
        <v>16.0</v>
      </c>
      <c r="BP65" s="596" t="s">
        <v>473</v>
      </c>
      <c r="BQ65" s="478"/>
      <c r="BR65" s="479"/>
      <c r="BS65" s="3"/>
      <c r="BT65" s="14"/>
      <c r="BU65" s="14"/>
      <c r="BV65" s="14"/>
      <c r="BW65" s="14"/>
      <c r="BX65" s="3"/>
      <c r="BY65" s="223"/>
      <c r="BZ65" s="3"/>
      <c r="CA65" s="449"/>
      <c r="CB65" s="636"/>
      <c r="CC65" s="452"/>
      <c r="CD65" s="456"/>
      <c r="CE65" s="3"/>
      <c r="CF65" s="3"/>
      <c r="CG65" s="223"/>
      <c r="CH65" s="223"/>
      <c r="CI65" s="223"/>
      <c r="CJ65" s="223"/>
      <c r="CK65" s="223"/>
      <c r="CL65" s="3"/>
      <c r="CM65" s="223"/>
      <c r="CN65" s="223"/>
      <c r="CO65" s="223"/>
      <c r="CP65" s="223"/>
      <c r="CQ65" s="3"/>
      <c r="CR65" s="14"/>
      <c r="CS65" s="14"/>
      <c r="CT65" s="14"/>
      <c r="CU65" s="14"/>
      <c r="CV65" s="14"/>
      <c r="CW65" s="14"/>
      <c r="CX65" s="14"/>
      <c r="CY65" s="223"/>
      <c r="CZ65" s="223"/>
      <c r="DA65" s="223"/>
      <c r="DB65" s="223"/>
      <c r="DC65" s="223"/>
      <c r="DD65" s="223"/>
      <c r="DE65" s="223"/>
      <c r="DF65" s="3"/>
      <c r="DG65" s="3"/>
      <c r="DH65" s="3"/>
      <c r="DI65" s="3"/>
      <c r="DJ65" s="3"/>
      <c r="DK65" s="223"/>
      <c r="DL65" s="223"/>
      <c r="DM65" s="223"/>
      <c r="DN65" s="223"/>
      <c r="DO65" s="223"/>
      <c r="DP65" s="223"/>
      <c r="DQ65" s="223"/>
    </row>
    <row r="66" ht="15.0" customHeight="1">
      <c r="A66" s="3"/>
      <c r="B66" s="476">
        <v>22.0</v>
      </c>
      <c r="C66" s="477" t="s">
        <v>886</v>
      </c>
      <c r="D66" s="478"/>
      <c r="E66" s="479"/>
      <c r="F66" s="3"/>
      <c r="G66" s="449">
        <v>23.0</v>
      </c>
      <c r="H66" s="451" t="s">
        <v>667</v>
      </c>
      <c r="I66" s="452"/>
      <c r="J66" s="456"/>
      <c r="K66" s="223"/>
      <c r="L66" s="449">
        <v>21.0</v>
      </c>
      <c r="M66" s="636" t="s">
        <v>887</v>
      </c>
      <c r="N66" s="452"/>
      <c r="O66" s="456"/>
      <c r="P66" s="223"/>
      <c r="Q66" s="449">
        <v>19.0</v>
      </c>
      <c r="R66" s="382" t="s">
        <v>888</v>
      </c>
      <c r="S66" s="452"/>
      <c r="T66" s="456"/>
      <c r="U66" s="223"/>
      <c r="V66" s="223"/>
      <c r="W66" s="223"/>
      <c r="X66" s="3"/>
      <c r="Y66" s="223"/>
      <c r="Z66" s="223"/>
      <c r="AA66" s="449">
        <v>21.0</v>
      </c>
      <c r="AB66" s="451" t="s">
        <v>890</v>
      </c>
      <c r="AC66" s="452"/>
      <c r="AD66" s="456"/>
      <c r="AE66" s="3"/>
      <c r="AF66" s="223"/>
      <c r="AG66" s="223"/>
      <c r="AH66" s="223"/>
      <c r="AI66" s="223"/>
      <c r="AJ66" s="3"/>
      <c r="AK66" s="476">
        <v>26.0</v>
      </c>
      <c r="AL66" s="477" t="s">
        <v>893</v>
      </c>
      <c r="AM66" s="478"/>
      <c r="AN66" s="479"/>
      <c r="AO66" s="3"/>
      <c r="AP66" s="223"/>
      <c r="AQ66" s="223"/>
      <c r="AR66" s="223"/>
      <c r="AS66" s="223"/>
      <c r="AT66" s="3"/>
      <c r="AU66" s="223"/>
      <c r="AV66" s="223"/>
      <c r="AW66" s="223"/>
      <c r="AX66" s="223"/>
      <c r="AY66" s="3"/>
      <c r="AZ66" s="223"/>
      <c r="BA66" s="223"/>
      <c r="BB66" s="223"/>
      <c r="BC66" s="223"/>
      <c r="BD66" s="3"/>
      <c r="BE66" s="223"/>
      <c r="BF66" s="223"/>
      <c r="BG66" s="223"/>
      <c r="BH66" s="223"/>
      <c r="BI66" s="3"/>
      <c r="BJ66" s="223"/>
      <c r="BK66" s="223"/>
      <c r="BL66" s="223"/>
      <c r="BM66" s="223"/>
      <c r="BN66" s="3"/>
      <c r="BO66" s="484">
        <v>17.0</v>
      </c>
      <c r="BP66" s="485" t="s">
        <v>531</v>
      </c>
      <c r="BQ66" s="452"/>
      <c r="BR66" s="456"/>
      <c r="BS66" s="3"/>
      <c r="BT66" s="14"/>
      <c r="BU66" s="14"/>
      <c r="BV66" s="14"/>
      <c r="BW66" s="14"/>
      <c r="BX66" s="3"/>
      <c r="BY66" s="223"/>
      <c r="BZ66" s="3"/>
      <c r="CA66" s="223"/>
      <c r="CB66" s="223"/>
      <c r="CC66" s="223"/>
      <c r="CD66" s="223"/>
      <c r="CE66" s="3"/>
      <c r="CF66" s="3"/>
      <c r="CG66" s="223"/>
      <c r="CH66" s="223"/>
      <c r="CI66" s="223"/>
      <c r="CJ66" s="223"/>
      <c r="CK66" s="223"/>
      <c r="CL66" s="3"/>
      <c r="CM66" s="223"/>
      <c r="CN66" s="223"/>
      <c r="CO66" s="223"/>
      <c r="CP66" s="223"/>
      <c r="CQ66" s="3"/>
      <c r="CR66" s="14"/>
      <c r="CS66" s="14"/>
      <c r="CT66" s="14"/>
      <c r="CU66" s="14"/>
      <c r="CV66" s="14"/>
      <c r="CW66" s="14"/>
      <c r="CX66" s="14"/>
      <c r="CY66" s="223"/>
      <c r="CZ66" s="223"/>
      <c r="DA66" s="223"/>
      <c r="DB66" s="223"/>
      <c r="DC66" s="223"/>
      <c r="DD66" s="223"/>
      <c r="DE66" s="223"/>
      <c r="DF66" s="3"/>
      <c r="DG66" s="3"/>
      <c r="DH66" s="3"/>
      <c r="DI66" s="3"/>
      <c r="DJ66" s="3"/>
      <c r="DK66" s="223"/>
      <c r="DL66" s="223"/>
      <c r="DM66" s="223"/>
      <c r="DN66" s="223"/>
      <c r="DO66" s="223"/>
      <c r="DP66" s="223"/>
      <c r="DQ66" s="223"/>
    </row>
    <row r="67" ht="14.25" customHeight="1">
      <c r="A67" s="3"/>
      <c r="B67" s="449">
        <v>23.0</v>
      </c>
      <c r="C67" s="451" t="s">
        <v>895</v>
      </c>
      <c r="D67" s="452"/>
      <c r="E67" s="456"/>
      <c r="F67" s="3"/>
      <c r="G67" s="476">
        <v>24.0</v>
      </c>
      <c r="H67" s="477" t="s">
        <v>896</v>
      </c>
      <c r="I67" s="478"/>
      <c r="J67" s="479"/>
      <c r="K67" s="223"/>
      <c r="L67" s="476">
        <v>22.0</v>
      </c>
      <c r="M67" s="477" t="s">
        <v>897</v>
      </c>
      <c r="N67" s="478"/>
      <c r="O67" s="479"/>
      <c r="P67" s="223"/>
      <c r="Q67" s="476">
        <v>20.0</v>
      </c>
      <c r="R67" s="477" t="s">
        <v>899</v>
      </c>
      <c r="S67" s="478"/>
      <c r="T67" s="479"/>
      <c r="U67" s="223"/>
      <c r="V67" s="223"/>
      <c r="W67" s="223"/>
      <c r="X67" s="3"/>
      <c r="Y67" s="223"/>
      <c r="Z67" s="223"/>
      <c r="AA67" s="476">
        <v>22.0</v>
      </c>
      <c r="AB67" s="477" t="s">
        <v>900</v>
      </c>
      <c r="AC67" s="478"/>
      <c r="AD67" s="479"/>
      <c r="AE67" s="3"/>
      <c r="AF67" s="223"/>
      <c r="AG67" s="223"/>
      <c r="AH67" s="223"/>
      <c r="AI67" s="223"/>
      <c r="AJ67" s="3"/>
      <c r="AK67" s="449">
        <v>27.0</v>
      </c>
      <c r="AL67" s="451" t="s">
        <v>901</v>
      </c>
      <c r="AM67" s="452"/>
      <c r="AN67" s="456"/>
      <c r="AO67" s="3"/>
      <c r="AP67" s="223"/>
      <c r="AQ67" s="223"/>
      <c r="AR67" s="223"/>
      <c r="AS67" s="223"/>
      <c r="AT67" s="3"/>
      <c r="AU67" s="223"/>
      <c r="AV67" s="223"/>
      <c r="AW67" s="223"/>
      <c r="AX67" s="223"/>
      <c r="AY67" s="3"/>
      <c r="AZ67" s="223"/>
      <c r="BA67" s="223"/>
      <c r="BB67" s="223"/>
      <c r="BC67" s="223"/>
      <c r="BD67" s="3"/>
      <c r="BE67" s="223"/>
      <c r="BF67" s="223"/>
      <c r="BG67" s="223"/>
      <c r="BH67" s="223"/>
      <c r="BI67" s="3"/>
      <c r="BJ67" s="223"/>
      <c r="BK67" s="223"/>
      <c r="BL67" s="223"/>
      <c r="BM67" s="223"/>
      <c r="BN67" s="3"/>
      <c r="BO67" s="652">
        <v>17.1</v>
      </c>
      <c r="BP67" s="468" t="s">
        <v>902</v>
      </c>
      <c r="BQ67" s="580"/>
      <c r="BR67" s="406"/>
      <c r="BS67" s="3"/>
      <c r="BT67" s="14"/>
      <c r="BU67" s="14"/>
      <c r="BV67" s="14"/>
      <c r="BW67" s="14"/>
      <c r="BX67" s="3"/>
      <c r="BY67" s="223"/>
      <c r="BZ67" s="3"/>
      <c r="CA67" s="223"/>
      <c r="CB67" s="223"/>
      <c r="CC67" s="223"/>
      <c r="CD67" s="223"/>
      <c r="CE67" s="3"/>
      <c r="CF67" s="3"/>
      <c r="CG67" s="223"/>
      <c r="CH67" s="223"/>
      <c r="CI67" s="223"/>
      <c r="CJ67" s="223"/>
      <c r="CK67" s="223"/>
      <c r="CL67" s="3"/>
      <c r="CM67" s="223"/>
      <c r="CN67" s="223"/>
      <c r="CO67" s="223"/>
      <c r="CP67" s="223"/>
      <c r="CQ67" s="3"/>
      <c r="CR67" s="14"/>
      <c r="CS67" s="14"/>
      <c r="CT67" s="14"/>
      <c r="CU67" s="14"/>
      <c r="CV67" s="14"/>
      <c r="CW67" s="14"/>
      <c r="CX67" s="14"/>
      <c r="CY67" s="223"/>
      <c r="CZ67" s="223"/>
      <c r="DA67" s="223"/>
      <c r="DB67" s="223"/>
      <c r="DC67" s="223"/>
      <c r="DD67" s="223"/>
      <c r="DE67" s="223"/>
      <c r="DF67" s="3"/>
      <c r="DG67" s="3"/>
      <c r="DH67" s="3"/>
      <c r="DI67" s="3"/>
      <c r="DJ67" s="3"/>
      <c r="DK67" s="223"/>
      <c r="DL67" s="223"/>
      <c r="DM67" s="223"/>
      <c r="DN67" s="223"/>
      <c r="DO67" s="223"/>
      <c r="DP67" s="223"/>
      <c r="DQ67" s="223"/>
    </row>
    <row r="68" ht="14.25" customHeight="1">
      <c r="A68" s="3"/>
      <c r="B68" s="476">
        <v>24.0</v>
      </c>
      <c r="C68" s="477" t="s">
        <v>903</v>
      </c>
      <c r="D68" s="478"/>
      <c r="E68" s="479"/>
      <c r="F68" s="3"/>
      <c r="G68" s="449">
        <v>25.0</v>
      </c>
      <c r="H68" s="636" t="s">
        <v>905</v>
      </c>
      <c r="I68" s="452"/>
      <c r="J68" s="456"/>
      <c r="K68" s="223"/>
      <c r="L68" s="499">
        <v>22.1</v>
      </c>
      <c r="M68" s="409" t="s">
        <v>906</v>
      </c>
      <c r="N68" s="580"/>
      <c r="O68" s="406"/>
      <c r="P68" s="223"/>
      <c r="Q68" s="499">
        <v>20.1</v>
      </c>
      <c r="R68" s="643" t="s">
        <v>907</v>
      </c>
      <c r="S68" s="580"/>
      <c r="T68" s="406"/>
      <c r="U68" s="223"/>
      <c r="V68" s="223"/>
      <c r="W68" s="223"/>
      <c r="X68" s="3"/>
      <c r="Y68" s="223"/>
      <c r="Z68" s="223"/>
      <c r="AA68" s="499">
        <v>22.1</v>
      </c>
      <c r="AB68" s="409" t="s">
        <v>908</v>
      </c>
      <c r="AC68" s="580"/>
      <c r="AD68" s="406"/>
      <c r="AE68" s="3"/>
      <c r="AF68" s="223"/>
      <c r="AG68" s="223"/>
      <c r="AH68" s="223"/>
      <c r="AI68" s="223"/>
      <c r="AJ68" s="3"/>
      <c r="AK68" s="476">
        <v>28.0</v>
      </c>
      <c r="AL68" s="477" t="s">
        <v>909</v>
      </c>
      <c r="AM68" s="478"/>
      <c r="AN68" s="479"/>
      <c r="AO68" s="3"/>
      <c r="AP68" s="223"/>
      <c r="AQ68" s="223"/>
      <c r="AR68" s="223"/>
      <c r="AS68" s="223"/>
      <c r="AT68" s="3"/>
      <c r="AU68" s="223"/>
      <c r="AV68" s="223"/>
      <c r="AW68" s="223"/>
      <c r="AX68" s="223"/>
      <c r="AY68" s="3"/>
      <c r="AZ68" s="223"/>
      <c r="BA68" s="223"/>
      <c r="BB68" s="223"/>
      <c r="BC68" s="223"/>
      <c r="BD68" s="3"/>
      <c r="BE68" s="223"/>
      <c r="BF68" s="223"/>
      <c r="BG68" s="223"/>
      <c r="BH68" s="223"/>
      <c r="BI68" s="3"/>
      <c r="BJ68" s="223"/>
      <c r="BK68" s="223"/>
      <c r="BL68" s="223"/>
      <c r="BM68" s="223"/>
      <c r="BN68" s="3"/>
      <c r="BO68" s="652">
        <v>17.2</v>
      </c>
      <c r="BP68" s="468" t="s">
        <v>910</v>
      </c>
      <c r="BQ68" s="580"/>
      <c r="BR68" s="406"/>
      <c r="BS68" s="3"/>
      <c r="BT68" s="14"/>
      <c r="BU68" s="14"/>
      <c r="BV68" s="14"/>
      <c r="BW68" s="14"/>
      <c r="BX68" s="3"/>
      <c r="BY68" s="223"/>
      <c r="BZ68" s="3"/>
      <c r="CA68" s="223"/>
      <c r="CB68" s="223"/>
      <c r="CC68" s="223"/>
      <c r="CD68" s="223"/>
      <c r="CE68" s="3"/>
      <c r="CF68" s="3"/>
      <c r="CG68" s="223"/>
      <c r="CH68" s="223"/>
      <c r="CI68" s="223"/>
      <c r="CJ68" s="223"/>
      <c r="CK68" s="223"/>
      <c r="CL68" s="3"/>
      <c r="CM68" s="223"/>
      <c r="CN68" s="223"/>
      <c r="CO68" s="223"/>
      <c r="CP68" s="223"/>
      <c r="CQ68" s="3"/>
      <c r="CR68" s="14"/>
      <c r="CS68" s="14"/>
      <c r="CT68" s="14"/>
      <c r="CU68" s="14"/>
      <c r="CV68" s="14"/>
      <c r="CW68" s="14"/>
      <c r="CX68" s="14"/>
      <c r="CY68" s="223"/>
      <c r="CZ68" s="223"/>
      <c r="DA68" s="223"/>
      <c r="DB68" s="223"/>
      <c r="DC68" s="223"/>
      <c r="DD68" s="223"/>
      <c r="DE68" s="223"/>
      <c r="DF68" s="3"/>
      <c r="DG68" s="3"/>
      <c r="DH68" s="3"/>
      <c r="DI68" s="3"/>
      <c r="DJ68" s="3"/>
      <c r="DK68" s="223"/>
      <c r="DL68" s="223"/>
      <c r="DM68" s="223"/>
      <c r="DN68" s="223"/>
      <c r="DO68" s="223"/>
      <c r="DP68" s="223"/>
      <c r="DQ68" s="223"/>
    </row>
    <row r="69" ht="14.25" customHeight="1">
      <c r="A69" s="3"/>
      <c r="B69" s="449">
        <v>25.0</v>
      </c>
      <c r="C69" s="636" t="s">
        <v>911</v>
      </c>
      <c r="D69" s="452"/>
      <c r="E69" s="456"/>
      <c r="F69" s="3"/>
      <c r="G69" s="476">
        <v>26.0</v>
      </c>
      <c r="H69" s="477" t="s">
        <v>913</v>
      </c>
      <c r="I69" s="478"/>
      <c r="J69" s="479"/>
      <c r="K69" s="223"/>
      <c r="L69" s="499">
        <v>22.2</v>
      </c>
      <c r="M69" s="409" t="s">
        <v>914</v>
      </c>
      <c r="N69" s="580"/>
      <c r="O69" s="406"/>
      <c r="P69" s="223"/>
      <c r="Q69" s="223"/>
      <c r="R69" s="223"/>
      <c r="S69" s="223"/>
      <c r="T69" s="223"/>
      <c r="U69" s="223"/>
      <c r="V69" s="223"/>
      <c r="W69" s="223"/>
      <c r="X69" s="3"/>
      <c r="Y69" s="223"/>
      <c r="Z69" s="223"/>
      <c r="AA69" s="499">
        <v>22.2</v>
      </c>
      <c r="AB69" s="409" t="s">
        <v>917</v>
      </c>
      <c r="AC69" s="580"/>
      <c r="AD69" s="406"/>
      <c r="AE69" s="3"/>
      <c r="AF69" s="223"/>
      <c r="AG69" s="223"/>
      <c r="AH69" s="223"/>
      <c r="AI69" s="223"/>
      <c r="AJ69" s="3"/>
      <c r="AK69" s="449">
        <v>29.0</v>
      </c>
      <c r="AL69" s="451" t="s">
        <v>909</v>
      </c>
      <c r="AM69" s="452"/>
      <c r="AN69" s="456"/>
      <c r="AO69" s="3"/>
      <c r="AP69" s="223"/>
      <c r="AQ69" s="223"/>
      <c r="AR69" s="223"/>
      <c r="AS69" s="223"/>
      <c r="AT69" s="3"/>
      <c r="AU69" s="223"/>
      <c r="AV69" s="223"/>
      <c r="AW69" s="223"/>
      <c r="AX69" s="223"/>
      <c r="AY69" s="3"/>
      <c r="AZ69" s="223"/>
      <c r="BA69" s="223"/>
      <c r="BB69" s="223"/>
      <c r="BC69" s="223"/>
      <c r="BD69" s="3"/>
      <c r="BE69" s="223"/>
      <c r="BF69" s="223"/>
      <c r="BG69" s="223"/>
      <c r="BH69" s="223"/>
      <c r="BI69" s="3"/>
      <c r="BJ69" s="223"/>
      <c r="BK69" s="223"/>
      <c r="BL69" s="223"/>
      <c r="BM69" s="223"/>
      <c r="BN69" s="3"/>
      <c r="BO69" s="652">
        <v>17.3</v>
      </c>
      <c r="BP69" s="468" t="s">
        <v>918</v>
      </c>
      <c r="BQ69" s="580"/>
      <c r="BR69" s="406"/>
      <c r="BS69" s="3"/>
      <c r="BT69" s="14"/>
      <c r="BU69" s="14"/>
      <c r="BV69" s="14"/>
      <c r="BW69" s="14"/>
      <c r="BX69" s="3"/>
      <c r="BY69" s="223"/>
      <c r="BZ69" s="3"/>
      <c r="CA69" s="223"/>
      <c r="CB69" s="223"/>
      <c r="CC69" s="223"/>
      <c r="CD69" s="223"/>
      <c r="CE69" s="3"/>
      <c r="CF69" s="3"/>
      <c r="CG69" s="223"/>
      <c r="CH69" s="223"/>
      <c r="CI69" s="223"/>
      <c r="CJ69" s="223"/>
      <c r="CK69" s="223"/>
      <c r="CL69" s="3"/>
      <c r="CM69" s="223"/>
      <c r="CN69" s="223"/>
      <c r="CO69" s="223"/>
      <c r="CP69" s="223"/>
      <c r="CQ69" s="3"/>
      <c r="CR69" s="14"/>
      <c r="CS69" s="14"/>
      <c r="CT69" s="14"/>
      <c r="CU69" s="14"/>
      <c r="CV69" s="14"/>
      <c r="CW69" s="14"/>
      <c r="CX69" s="14"/>
      <c r="CY69" s="223"/>
      <c r="CZ69" s="223"/>
      <c r="DA69" s="223"/>
      <c r="DB69" s="223"/>
      <c r="DC69" s="223"/>
      <c r="DD69" s="223"/>
      <c r="DE69" s="223"/>
      <c r="DF69" s="3"/>
      <c r="DG69" s="3"/>
      <c r="DH69" s="3"/>
      <c r="DI69" s="3"/>
      <c r="DJ69" s="3"/>
      <c r="DK69" s="223"/>
      <c r="DL69" s="223"/>
      <c r="DM69" s="223"/>
      <c r="DN69" s="223"/>
      <c r="DO69" s="223"/>
      <c r="DP69" s="223"/>
      <c r="DQ69" s="223"/>
    </row>
    <row r="70" ht="14.25" customHeight="1">
      <c r="A70" s="3"/>
      <c r="B70" s="476">
        <v>26.0</v>
      </c>
      <c r="C70" s="477" t="s">
        <v>920</v>
      </c>
      <c r="D70" s="478"/>
      <c r="E70" s="479"/>
      <c r="F70" s="3"/>
      <c r="G70" s="449">
        <v>27.0</v>
      </c>
      <c r="H70" s="451" t="s">
        <v>921</v>
      </c>
      <c r="I70" s="452"/>
      <c r="J70" s="456"/>
      <c r="K70" s="223"/>
      <c r="L70" s="499">
        <v>22.3</v>
      </c>
      <c r="M70" s="409" t="s">
        <v>922</v>
      </c>
      <c r="N70" s="580"/>
      <c r="O70" s="406"/>
      <c r="P70" s="223"/>
      <c r="Q70" s="3"/>
      <c r="R70" s="223"/>
      <c r="S70" s="223"/>
      <c r="T70" s="223"/>
      <c r="U70" s="223"/>
      <c r="V70" s="223"/>
      <c r="W70" s="223"/>
      <c r="X70" s="3"/>
      <c r="Y70" s="223"/>
      <c r="Z70" s="223"/>
      <c r="AA70" s="449">
        <v>23.0</v>
      </c>
      <c r="AB70" s="451" t="s">
        <v>923</v>
      </c>
      <c r="AC70" s="452"/>
      <c r="AD70" s="456"/>
      <c r="AE70" s="3"/>
      <c r="AF70" s="223"/>
      <c r="AG70" s="223"/>
      <c r="AH70" s="223"/>
      <c r="AI70" s="223"/>
      <c r="AJ70" s="3"/>
      <c r="AK70" s="476">
        <v>30.0</v>
      </c>
      <c r="AL70" s="451" t="s">
        <v>881</v>
      </c>
      <c r="AM70" s="478"/>
      <c r="AN70" s="479"/>
      <c r="AO70" s="3"/>
      <c r="AP70" s="223"/>
      <c r="AQ70" s="223"/>
      <c r="AR70" s="223"/>
      <c r="AS70" s="223"/>
      <c r="AT70" s="3"/>
      <c r="AU70" s="223"/>
      <c r="AV70" s="223"/>
      <c r="AW70" s="223"/>
      <c r="AX70" s="223"/>
      <c r="AY70" s="3"/>
      <c r="AZ70" s="223"/>
      <c r="BA70" s="223"/>
      <c r="BB70" s="223"/>
      <c r="BC70" s="223"/>
      <c r="BD70" s="3"/>
      <c r="BE70" s="223"/>
      <c r="BF70" s="223"/>
      <c r="BG70" s="223"/>
      <c r="BH70" s="223"/>
      <c r="BI70" s="3"/>
      <c r="BJ70" s="223"/>
      <c r="BK70" s="223"/>
      <c r="BL70" s="223"/>
      <c r="BM70" s="223"/>
      <c r="BN70" s="3"/>
      <c r="BO70" s="652">
        <v>17.4</v>
      </c>
      <c r="BP70" s="468" t="s">
        <v>925</v>
      </c>
      <c r="BQ70" s="580"/>
      <c r="BR70" s="406"/>
      <c r="BS70" s="3"/>
      <c r="BT70" s="14"/>
      <c r="BU70" s="14"/>
      <c r="BV70" s="14"/>
      <c r="BW70" s="14"/>
      <c r="BX70" s="3"/>
      <c r="BY70" s="223"/>
      <c r="BZ70" s="3"/>
      <c r="CA70" s="223"/>
      <c r="CB70" s="223"/>
      <c r="CC70" s="223"/>
      <c r="CD70" s="223"/>
      <c r="CE70" s="3"/>
      <c r="CF70" s="3"/>
      <c r="CG70" s="223"/>
      <c r="CH70" s="223"/>
      <c r="CI70" s="223"/>
      <c r="CJ70" s="223"/>
      <c r="CK70" s="223"/>
      <c r="CL70" s="3"/>
      <c r="CM70" s="223"/>
      <c r="CN70" s="223"/>
      <c r="CO70" s="223"/>
      <c r="CP70" s="223"/>
      <c r="CQ70" s="3"/>
      <c r="CR70" s="14"/>
      <c r="CS70" s="14"/>
      <c r="CT70" s="14"/>
      <c r="CU70" s="14"/>
      <c r="CV70" s="14"/>
      <c r="CW70" s="14"/>
      <c r="CX70" s="14"/>
      <c r="CY70" s="223"/>
      <c r="CZ70" s="223"/>
      <c r="DA70" s="223"/>
      <c r="DB70" s="223"/>
      <c r="DC70" s="223"/>
      <c r="DD70" s="223"/>
      <c r="DE70" s="223"/>
      <c r="DF70" s="3"/>
      <c r="DG70" s="3"/>
      <c r="DH70" s="3"/>
      <c r="DI70" s="3"/>
      <c r="DJ70" s="3"/>
      <c r="DK70" s="223"/>
      <c r="DL70" s="223"/>
      <c r="DM70" s="223"/>
      <c r="DN70" s="223"/>
      <c r="DO70" s="223"/>
      <c r="DP70" s="223"/>
      <c r="DQ70" s="223"/>
    </row>
    <row r="71" ht="14.25" customHeight="1">
      <c r="A71" s="3"/>
      <c r="B71" s="449">
        <v>27.0</v>
      </c>
      <c r="C71" s="451" t="s">
        <v>926</v>
      </c>
      <c r="D71" s="452"/>
      <c r="E71" s="456"/>
      <c r="F71" s="3"/>
      <c r="G71" s="476">
        <v>28.0</v>
      </c>
      <c r="H71" s="477" t="s">
        <v>927</v>
      </c>
      <c r="I71" s="478"/>
      <c r="J71" s="479"/>
      <c r="K71" s="223"/>
      <c r="L71" s="499">
        <v>22.4</v>
      </c>
      <c r="M71" s="409" t="s">
        <v>928</v>
      </c>
      <c r="N71" s="580"/>
      <c r="O71" s="406"/>
      <c r="P71" s="223"/>
      <c r="Q71" s="3"/>
      <c r="R71" s="223"/>
      <c r="S71" s="223"/>
      <c r="T71" s="223"/>
      <c r="U71" s="223"/>
      <c r="V71" s="223"/>
      <c r="W71" s="223"/>
      <c r="X71" s="3"/>
      <c r="Y71" s="223"/>
      <c r="Z71" s="223"/>
      <c r="AA71" s="476">
        <v>24.0</v>
      </c>
      <c r="AB71" s="477" t="s">
        <v>929</v>
      </c>
      <c r="AC71" s="478"/>
      <c r="AD71" s="479"/>
      <c r="AE71" s="3"/>
      <c r="AF71" s="223"/>
      <c r="AG71" s="223"/>
      <c r="AH71" s="223"/>
      <c r="AI71" s="223"/>
      <c r="AJ71" s="3"/>
      <c r="AK71" s="223"/>
      <c r="AL71" s="223"/>
      <c r="AM71" s="223"/>
      <c r="AN71" s="223"/>
      <c r="AO71" s="3"/>
      <c r="AP71" s="223"/>
      <c r="AQ71" s="223"/>
      <c r="AR71" s="223"/>
      <c r="AS71" s="223"/>
      <c r="AT71" s="3"/>
      <c r="AU71" s="223"/>
      <c r="AV71" s="223"/>
      <c r="AW71" s="223"/>
      <c r="AX71" s="223"/>
      <c r="AY71" s="3"/>
      <c r="AZ71" s="223"/>
      <c r="BA71" s="223"/>
      <c r="BB71" s="223"/>
      <c r="BC71" s="223"/>
      <c r="BD71" s="3"/>
      <c r="BE71" s="223"/>
      <c r="BF71" s="223"/>
      <c r="BG71" s="223"/>
      <c r="BH71" s="223"/>
      <c r="BI71" s="3"/>
      <c r="BJ71" s="223"/>
      <c r="BK71" s="223"/>
      <c r="BL71" s="223"/>
      <c r="BM71" s="223"/>
      <c r="BN71" s="3"/>
      <c r="BO71" s="484">
        <v>18.0</v>
      </c>
      <c r="BP71" s="596" t="s">
        <v>552</v>
      </c>
      <c r="BQ71" s="452"/>
      <c r="BR71" s="456"/>
      <c r="BS71" s="3"/>
      <c r="BT71" s="14"/>
      <c r="BU71" s="14"/>
      <c r="BV71" s="14"/>
      <c r="BW71" s="14"/>
      <c r="BX71" s="3"/>
      <c r="BY71" s="223"/>
      <c r="BZ71" s="3"/>
      <c r="CA71" s="223"/>
      <c r="CB71" s="223"/>
      <c r="CC71" s="223"/>
      <c r="CD71" s="223"/>
      <c r="CE71" s="3"/>
      <c r="CF71" s="3"/>
      <c r="CG71" s="223"/>
      <c r="CH71" s="223"/>
      <c r="CI71" s="223"/>
      <c r="CJ71" s="223"/>
      <c r="CK71" s="223"/>
      <c r="CL71" s="3"/>
      <c r="CM71" s="223"/>
      <c r="CN71" s="223"/>
      <c r="CO71" s="223"/>
      <c r="CP71" s="223"/>
      <c r="CQ71" s="3"/>
      <c r="CR71" s="3"/>
      <c r="CS71" s="14"/>
      <c r="CT71" s="14"/>
      <c r="CU71" s="14"/>
      <c r="CV71" s="14"/>
      <c r="CW71" s="3"/>
      <c r="CX71" s="3"/>
      <c r="CY71" s="223"/>
      <c r="CZ71" s="223"/>
      <c r="DA71" s="223"/>
      <c r="DB71" s="223"/>
      <c r="DC71" s="223"/>
      <c r="DD71" s="223"/>
      <c r="DE71" s="223"/>
      <c r="DF71" s="3"/>
      <c r="DG71" s="3"/>
      <c r="DH71" s="3"/>
      <c r="DI71" s="3"/>
      <c r="DJ71" s="3"/>
      <c r="DK71" s="223"/>
      <c r="DL71" s="223"/>
      <c r="DM71" s="223"/>
      <c r="DN71" s="223"/>
      <c r="DO71" s="223"/>
      <c r="DP71" s="223"/>
      <c r="DQ71" s="223"/>
    </row>
    <row r="72" ht="14.25" customHeight="1">
      <c r="A72" s="3"/>
      <c r="B72" s="476">
        <v>28.0</v>
      </c>
      <c r="C72" s="477" t="s">
        <v>930</v>
      </c>
      <c r="D72" s="478"/>
      <c r="E72" s="479"/>
      <c r="F72" s="3"/>
      <c r="G72" s="499">
        <v>28.1</v>
      </c>
      <c r="H72" s="409" t="s">
        <v>931</v>
      </c>
      <c r="I72" s="580"/>
      <c r="J72" s="406"/>
      <c r="K72" s="223"/>
      <c r="L72" s="499">
        <v>22.5</v>
      </c>
      <c r="M72" s="409" t="s">
        <v>932</v>
      </c>
      <c r="N72" s="580"/>
      <c r="O72" s="406"/>
      <c r="P72" s="223"/>
      <c r="Q72" s="3"/>
      <c r="R72" s="223"/>
      <c r="S72" s="223"/>
      <c r="T72" s="223"/>
      <c r="U72" s="223"/>
      <c r="V72" s="223"/>
      <c r="W72" s="223"/>
      <c r="X72" s="3"/>
      <c r="Y72" s="223"/>
      <c r="Z72" s="223"/>
      <c r="AA72" s="449">
        <v>25.0</v>
      </c>
      <c r="AB72" s="451" t="s">
        <v>933</v>
      </c>
      <c r="AC72" s="452"/>
      <c r="AD72" s="456"/>
      <c r="AE72" s="3"/>
      <c r="AF72" s="223"/>
      <c r="AG72" s="223"/>
      <c r="AH72" s="223"/>
      <c r="AI72" s="223"/>
      <c r="AJ72" s="3"/>
      <c r="AK72" s="223"/>
      <c r="AL72" s="223"/>
      <c r="AM72" s="223"/>
      <c r="AN72" s="223"/>
      <c r="AO72" s="3"/>
      <c r="AP72" s="223"/>
      <c r="AQ72" s="223"/>
      <c r="AR72" s="223"/>
      <c r="AS72" s="223"/>
      <c r="AT72" s="3"/>
      <c r="AU72" s="223"/>
      <c r="AV72" s="223"/>
      <c r="AW72" s="223"/>
      <c r="AX72" s="223"/>
      <c r="AY72" s="3"/>
      <c r="AZ72" s="223"/>
      <c r="BA72" s="223"/>
      <c r="BB72" s="223"/>
      <c r="BC72" s="223"/>
      <c r="BD72" s="3"/>
      <c r="BE72" s="223"/>
      <c r="BF72" s="223"/>
      <c r="BG72" s="223"/>
      <c r="BH72" s="223"/>
      <c r="BI72" s="3"/>
      <c r="BJ72" s="223"/>
      <c r="BK72" s="223"/>
      <c r="BL72" s="223"/>
      <c r="BM72" s="223"/>
      <c r="BN72" s="3"/>
      <c r="BO72" s="583">
        <v>19.0</v>
      </c>
      <c r="BP72" s="627" t="s">
        <v>609</v>
      </c>
      <c r="BQ72" s="478"/>
      <c r="BR72" s="479"/>
      <c r="BS72" s="3"/>
      <c r="BT72" s="14"/>
      <c r="BU72" s="14"/>
      <c r="BV72" s="14"/>
      <c r="BW72" s="14"/>
      <c r="BX72" s="3"/>
      <c r="BY72" s="223"/>
      <c r="BZ72" s="3"/>
      <c r="CA72" s="223"/>
      <c r="CB72" s="223"/>
      <c r="CC72" s="223"/>
      <c r="CD72" s="223"/>
      <c r="CE72" s="3"/>
      <c r="CF72" s="3"/>
      <c r="CG72" s="223"/>
      <c r="CH72" s="223"/>
      <c r="CI72" s="223"/>
      <c r="CJ72" s="223"/>
      <c r="CK72" s="223"/>
      <c r="CL72" s="3"/>
      <c r="CM72" s="223"/>
      <c r="CN72" s="223"/>
      <c r="CO72" s="223"/>
      <c r="CP72" s="223"/>
      <c r="CQ72" s="3"/>
      <c r="CR72" s="3"/>
      <c r="CS72" s="14"/>
      <c r="CT72" s="14"/>
      <c r="CU72" s="14"/>
      <c r="CV72" s="14"/>
      <c r="CW72" s="3"/>
      <c r="CX72" s="3"/>
      <c r="CY72" s="223"/>
      <c r="CZ72" s="223"/>
      <c r="DA72" s="223"/>
      <c r="DB72" s="223"/>
      <c r="DC72" s="223"/>
      <c r="DD72" s="223"/>
      <c r="DE72" s="223"/>
      <c r="DF72" s="3"/>
      <c r="DG72" s="3"/>
      <c r="DH72" s="3"/>
      <c r="DI72" s="3"/>
      <c r="DJ72" s="3"/>
      <c r="DK72" s="223"/>
      <c r="DL72" s="223"/>
      <c r="DM72" s="223"/>
      <c r="DN72" s="223"/>
      <c r="DO72" s="223"/>
      <c r="DP72" s="223"/>
      <c r="DQ72" s="223"/>
    </row>
    <row r="73" ht="14.25" customHeight="1">
      <c r="A73" s="3"/>
      <c r="B73" s="499">
        <v>28.1</v>
      </c>
      <c r="C73" s="409" t="s">
        <v>934</v>
      </c>
      <c r="D73" s="580"/>
      <c r="E73" s="406"/>
      <c r="F73" s="3"/>
      <c r="G73" s="449">
        <v>29.0</v>
      </c>
      <c r="H73" s="636" t="s">
        <v>936</v>
      </c>
      <c r="I73" s="452"/>
      <c r="J73" s="456"/>
      <c r="K73" s="223"/>
      <c r="L73" s="499">
        <v>22.6</v>
      </c>
      <c r="M73" s="409" t="s">
        <v>937</v>
      </c>
      <c r="N73" s="580"/>
      <c r="O73" s="406"/>
      <c r="P73" s="223"/>
      <c r="Q73" s="3"/>
      <c r="R73" s="223"/>
      <c r="S73" s="223"/>
      <c r="T73" s="223"/>
      <c r="U73" s="223"/>
      <c r="V73" s="223"/>
      <c r="W73" s="223"/>
      <c r="X73" s="3"/>
      <c r="Y73" s="223"/>
      <c r="Z73" s="223"/>
      <c r="AA73" s="476">
        <v>26.0</v>
      </c>
      <c r="AB73" s="477" t="s">
        <v>938</v>
      </c>
      <c r="AC73" s="478"/>
      <c r="AD73" s="479"/>
      <c r="AE73" s="3"/>
      <c r="AF73" s="223"/>
      <c r="AG73" s="223"/>
      <c r="AH73" s="223"/>
      <c r="AI73" s="223"/>
      <c r="AJ73" s="3"/>
      <c r="AK73" s="223"/>
      <c r="AL73" s="223"/>
      <c r="AM73" s="223"/>
      <c r="AN73" s="223"/>
      <c r="AO73" s="3"/>
      <c r="AP73" s="223"/>
      <c r="AQ73" s="223"/>
      <c r="AR73" s="223"/>
      <c r="AS73" s="223"/>
      <c r="AT73" s="3"/>
      <c r="AU73" s="223"/>
      <c r="AV73" s="223"/>
      <c r="AW73" s="223"/>
      <c r="AX73" s="223"/>
      <c r="AY73" s="3"/>
      <c r="AZ73" s="223"/>
      <c r="BA73" s="223"/>
      <c r="BB73" s="223"/>
      <c r="BC73" s="223"/>
      <c r="BD73" s="3"/>
      <c r="BE73" s="223"/>
      <c r="BF73" s="223"/>
      <c r="BG73" s="223"/>
      <c r="BH73" s="223"/>
      <c r="BI73" s="3"/>
      <c r="BJ73" s="223"/>
      <c r="BK73" s="223"/>
      <c r="BL73" s="223"/>
      <c r="BM73" s="223"/>
      <c r="BN73" s="3"/>
      <c r="BO73" s="484">
        <v>20.0</v>
      </c>
      <c r="BP73" s="596" t="s">
        <v>638</v>
      </c>
      <c r="BQ73" s="452"/>
      <c r="BR73" s="456"/>
      <c r="BS73" s="3"/>
      <c r="BT73" s="14"/>
      <c r="BU73" s="14"/>
      <c r="BV73" s="14"/>
      <c r="BW73" s="14"/>
      <c r="BX73" s="3"/>
      <c r="BY73" s="223"/>
      <c r="BZ73" s="3"/>
      <c r="CA73" s="223"/>
      <c r="CB73" s="223"/>
      <c r="CC73" s="223"/>
      <c r="CD73" s="223"/>
      <c r="CE73" s="3"/>
      <c r="CF73" s="3"/>
      <c r="CG73" s="223"/>
      <c r="CH73" s="223"/>
      <c r="CI73" s="223"/>
      <c r="CJ73" s="223"/>
      <c r="CK73" s="223"/>
      <c r="CL73" s="3"/>
      <c r="CM73" s="223"/>
      <c r="CN73" s="223"/>
      <c r="CO73" s="223"/>
      <c r="CP73" s="223"/>
      <c r="CQ73" s="3"/>
      <c r="CR73" s="3"/>
      <c r="CS73" s="14"/>
      <c r="CT73" s="14"/>
      <c r="CU73" s="14"/>
      <c r="CV73" s="14"/>
      <c r="CW73" s="3"/>
      <c r="CX73" s="3"/>
      <c r="CY73" s="223"/>
      <c r="CZ73" s="223"/>
      <c r="DA73" s="223"/>
      <c r="DB73" s="223"/>
      <c r="DC73" s="223"/>
      <c r="DD73" s="223"/>
      <c r="DE73" s="223"/>
      <c r="DF73" s="3"/>
      <c r="DG73" s="3"/>
      <c r="DH73" s="3"/>
      <c r="DI73" s="3"/>
      <c r="DJ73" s="3"/>
      <c r="DK73" s="223"/>
      <c r="DL73" s="223"/>
      <c r="DM73" s="223"/>
      <c r="DN73" s="223"/>
      <c r="DO73" s="223"/>
      <c r="DP73" s="223"/>
      <c r="DQ73" s="223"/>
    </row>
    <row r="74" ht="14.25" customHeight="1">
      <c r="A74" s="3"/>
      <c r="B74" s="499">
        <v>28.1</v>
      </c>
      <c r="C74" s="409" t="s">
        <v>939</v>
      </c>
      <c r="D74" s="580"/>
      <c r="E74" s="406"/>
      <c r="F74" s="3"/>
      <c r="G74" s="476">
        <v>30.0</v>
      </c>
      <c r="H74" s="477" t="s">
        <v>940</v>
      </c>
      <c r="I74" s="478"/>
      <c r="J74" s="479"/>
      <c r="K74" s="223"/>
      <c r="L74" s="449">
        <v>23.0</v>
      </c>
      <c r="M74" s="451" t="s">
        <v>941</v>
      </c>
      <c r="N74" s="452"/>
      <c r="O74" s="456"/>
      <c r="P74" s="223"/>
      <c r="Q74" s="223"/>
      <c r="R74" s="3"/>
      <c r="S74" s="223"/>
      <c r="T74" s="223"/>
      <c r="U74" s="223"/>
      <c r="V74" s="223"/>
      <c r="W74" s="223"/>
      <c r="X74" s="3"/>
      <c r="Y74" s="223"/>
      <c r="Z74" s="223"/>
      <c r="AA74" s="449">
        <v>27.0</v>
      </c>
      <c r="AB74" s="451" t="s">
        <v>943</v>
      </c>
      <c r="AC74" s="452"/>
      <c r="AD74" s="456"/>
      <c r="AE74" s="3"/>
      <c r="AF74" s="223"/>
      <c r="AG74" s="223"/>
      <c r="AH74" s="223"/>
      <c r="AI74" s="223"/>
      <c r="AJ74" s="3"/>
      <c r="AK74" s="3"/>
      <c r="AL74" s="3"/>
      <c r="AM74" s="3"/>
      <c r="AN74" s="3"/>
      <c r="AO74" s="3"/>
      <c r="AP74" s="223"/>
      <c r="AQ74" s="223"/>
      <c r="AR74" s="223"/>
      <c r="AS74" s="223"/>
      <c r="AT74" s="3"/>
      <c r="AU74" s="223"/>
      <c r="AV74" s="223"/>
      <c r="AW74" s="223"/>
      <c r="AX74" s="223"/>
      <c r="AY74" s="3"/>
      <c r="AZ74" s="3"/>
      <c r="BA74" s="3"/>
      <c r="BB74" s="3"/>
      <c r="BC74" s="3"/>
      <c r="BD74" s="3"/>
      <c r="BE74" s="223"/>
      <c r="BF74" s="223"/>
      <c r="BG74" s="223"/>
      <c r="BH74" s="223"/>
      <c r="BI74" s="3"/>
      <c r="BJ74" s="223"/>
      <c r="BK74" s="223"/>
      <c r="BL74" s="223"/>
      <c r="BM74" s="223"/>
      <c r="BN74" s="3"/>
      <c r="BO74" s="652">
        <v>20.1</v>
      </c>
      <c r="BP74" s="468" t="s">
        <v>945</v>
      </c>
      <c r="BQ74" s="580"/>
      <c r="BR74" s="406"/>
      <c r="BS74" s="3"/>
      <c r="BT74" s="14"/>
      <c r="BU74" s="14"/>
      <c r="BV74" s="14"/>
      <c r="BW74" s="14"/>
      <c r="BX74" s="3"/>
      <c r="BY74" s="223"/>
      <c r="BZ74" s="3"/>
      <c r="CA74" s="223"/>
      <c r="CB74" s="223"/>
      <c r="CC74" s="223"/>
      <c r="CD74" s="223"/>
      <c r="CE74" s="3"/>
      <c r="CF74" s="3"/>
      <c r="CG74" s="223"/>
      <c r="CH74" s="223"/>
      <c r="CI74" s="223"/>
      <c r="CJ74" s="223"/>
      <c r="CK74" s="223"/>
      <c r="CL74" s="3"/>
      <c r="CM74" s="223"/>
      <c r="CN74" s="223"/>
      <c r="CO74" s="223"/>
      <c r="CP74" s="223"/>
      <c r="CQ74" s="3"/>
      <c r="CR74" s="3"/>
      <c r="CS74" s="14"/>
      <c r="CT74" s="14"/>
      <c r="CU74" s="14"/>
      <c r="CV74" s="14"/>
      <c r="CW74" s="3"/>
      <c r="CX74" s="3"/>
      <c r="CY74" s="223"/>
      <c r="CZ74" s="223"/>
      <c r="DA74" s="223"/>
      <c r="DB74" s="223"/>
      <c r="DC74" s="223"/>
      <c r="DD74" s="223"/>
      <c r="DE74" s="223"/>
      <c r="DF74" s="3"/>
      <c r="DG74" s="3"/>
      <c r="DH74" s="3"/>
      <c r="DI74" s="3"/>
      <c r="DJ74" s="3"/>
      <c r="DK74" s="223"/>
      <c r="DL74" s="223"/>
      <c r="DM74" s="223"/>
      <c r="DN74" s="223"/>
      <c r="DO74" s="223"/>
      <c r="DP74" s="223"/>
      <c r="DQ74" s="223"/>
    </row>
    <row r="75" ht="14.25" customHeight="1">
      <c r="A75" s="3"/>
      <c r="B75" s="449">
        <v>29.0</v>
      </c>
      <c r="C75" s="636" t="s">
        <v>948</v>
      </c>
      <c r="D75" s="452"/>
      <c r="E75" s="456"/>
      <c r="F75" s="3"/>
      <c r="G75" s="449">
        <v>31.0</v>
      </c>
      <c r="H75" s="451" t="s">
        <v>949</v>
      </c>
      <c r="I75" s="452"/>
      <c r="J75" s="456"/>
      <c r="K75" s="223"/>
      <c r="L75" s="476">
        <v>24.0</v>
      </c>
      <c r="M75" s="477" t="s">
        <v>950</v>
      </c>
      <c r="N75" s="478"/>
      <c r="O75" s="479"/>
      <c r="P75" s="223"/>
      <c r="Q75" s="223"/>
      <c r="R75" s="3"/>
      <c r="S75" s="223"/>
      <c r="T75" s="223"/>
      <c r="U75" s="223"/>
      <c r="V75" s="223"/>
      <c r="W75" s="223"/>
      <c r="X75" s="3"/>
      <c r="Y75" s="223"/>
      <c r="Z75" s="223"/>
      <c r="AA75" s="499">
        <v>27.1</v>
      </c>
      <c r="AB75" s="643" t="s">
        <v>951</v>
      </c>
      <c r="AC75" s="580"/>
      <c r="AD75" s="406"/>
      <c r="AE75" s="3"/>
      <c r="AF75" s="223"/>
      <c r="AG75" s="223"/>
      <c r="AH75" s="223"/>
      <c r="AI75" s="223"/>
      <c r="AJ75" s="3"/>
      <c r="AK75" s="3"/>
      <c r="AL75" s="3"/>
      <c r="AM75" s="3"/>
      <c r="AN75" s="3"/>
      <c r="AO75" s="3"/>
      <c r="AP75" s="223"/>
      <c r="AQ75" s="223"/>
      <c r="AR75" s="223"/>
      <c r="AS75" s="223"/>
      <c r="AT75" s="3"/>
      <c r="AU75" s="223"/>
      <c r="AV75" s="223"/>
      <c r="AW75" s="223"/>
      <c r="AX75" s="223"/>
      <c r="AY75" s="3"/>
      <c r="AZ75" s="3"/>
      <c r="BA75" s="3"/>
      <c r="BB75" s="3"/>
      <c r="BC75" s="3"/>
      <c r="BD75" s="3"/>
      <c r="BE75" s="223"/>
      <c r="BF75" s="223"/>
      <c r="BG75" s="223"/>
      <c r="BH75" s="223"/>
      <c r="BI75" s="3"/>
      <c r="BJ75" s="223"/>
      <c r="BK75" s="223"/>
      <c r="BL75" s="223"/>
      <c r="BM75" s="223"/>
      <c r="BN75" s="3"/>
      <c r="BO75" s="583">
        <v>21.0</v>
      </c>
      <c r="BP75" s="485" t="s">
        <v>677</v>
      </c>
      <c r="BQ75" s="478"/>
      <c r="BR75" s="479"/>
      <c r="BS75" s="3"/>
      <c r="BT75" s="3"/>
      <c r="BU75" s="3"/>
      <c r="BV75" s="3"/>
      <c r="BW75" s="3"/>
      <c r="BX75" s="3"/>
      <c r="BY75" s="223"/>
      <c r="BZ75" s="3"/>
      <c r="CA75" s="223"/>
      <c r="CB75" s="223"/>
      <c r="CC75" s="223"/>
      <c r="CD75" s="223"/>
      <c r="CE75" s="3"/>
      <c r="CF75" s="3"/>
      <c r="CG75" s="223"/>
      <c r="CH75" s="223"/>
      <c r="CI75" s="223"/>
      <c r="CJ75" s="223"/>
      <c r="CK75" s="3"/>
      <c r="CL75" s="3"/>
      <c r="CM75" s="223"/>
      <c r="CN75" s="223"/>
      <c r="CO75" s="223"/>
      <c r="CP75" s="223"/>
      <c r="CQ75" s="3"/>
      <c r="CR75" s="3"/>
      <c r="CS75" s="223"/>
      <c r="CT75" s="223"/>
      <c r="CU75" s="223"/>
      <c r="CV75" s="223"/>
      <c r="CW75" s="3"/>
      <c r="CX75" s="3"/>
      <c r="CY75" s="223"/>
      <c r="CZ75" s="223"/>
      <c r="DA75" s="223"/>
      <c r="DB75" s="223"/>
      <c r="DC75" s="223"/>
      <c r="DD75" s="223"/>
      <c r="DE75" s="223"/>
      <c r="DF75" s="3"/>
      <c r="DG75" s="3"/>
      <c r="DH75" s="3"/>
      <c r="DI75" s="3"/>
      <c r="DJ75" s="3"/>
      <c r="DK75" s="3"/>
      <c r="DL75" s="3"/>
      <c r="DM75" s="3"/>
      <c r="DN75" s="3"/>
      <c r="DO75" s="3"/>
      <c r="DP75" s="3"/>
      <c r="DQ75" s="3"/>
    </row>
    <row r="76" ht="14.25" customHeight="1">
      <c r="A76" s="3"/>
      <c r="B76" s="499">
        <v>29.1</v>
      </c>
      <c r="C76" s="409" t="s">
        <v>955</v>
      </c>
      <c r="D76" s="580"/>
      <c r="E76" s="406"/>
      <c r="F76" s="3"/>
      <c r="G76" s="476"/>
      <c r="H76" s="477"/>
      <c r="I76" s="478"/>
      <c r="J76" s="479"/>
      <c r="K76" s="223"/>
      <c r="L76" s="449">
        <v>25.0</v>
      </c>
      <c r="M76" s="636" t="s">
        <v>956</v>
      </c>
      <c r="N76" s="452"/>
      <c r="O76" s="456"/>
      <c r="P76" s="223"/>
      <c r="Q76" s="223"/>
      <c r="R76" s="3"/>
      <c r="S76" s="223"/>
      <c r="T76" s="223"/>
      <c r="U76" s="223"/>
      <c r="V76" s="223"/>
      <c r="W76" s="223"/>
      <c r="X76" s="3"/>
      <c r="Y76" s="223"/>
      <c r="Z76" s="223"/>
      <c r="AA76" s="476">
        <v>28.0</v>
      </c>
      <c r="AB76" s="477" t="s">
        <v>957</v>
      </c>
      <c r="AC76" s="478"/>
      <c r="AD76" s="479"/>
      <c r="AE76" s="3"/>
      <c r="AF76" s="223"/>
      <c r="AG76" s="223"/>
      <c r="AH76" s="223"/>
      <c r="AI76" s="223"/>
      <c r="AJ76" s="3"/>
      <c r="AK76" s="3"/>
      <c r="AL76" s="3"/>
      <c r="AM76" s="3"/>
      <c r="AN76" s="3"/>
      <c r="AO76" s="3"/>
      <c r="AP76" s="223"/>
      <c r="AQ76" s="223"/>
      <c r="AR76" s="223"/>
      <c r="AS76" s="223"/>
      <c r="AT76" s="3"/>
      <c r="AU76" s="223"/>
      <c r="AV76" s="223"/>
      <c r="AW76" s="223"/>
      <c r="AX76" s="223"/>
      <c r="AY76" s="3"/>
      <c r="AZ76" s="3"/>
      <c r="BA76" s="3"/>
      <c r="BB76" s="3"/>
      <c r="BC76" s="3"/>
      <c r="BD76" s="3"/>
      <c r="BE76" s="3"/>
      <c r="BF76" s="3"/>
      <c r="BG76" s="3"/>
      <c r="BH76" s="3"/>
      <c r="BI76" s="3"/>
      <c r="BJ76" s="223"/>
      <c r="BK76" s="223"/>
      <c r="BL76" s="223"/>
      <c r="BM76" s="223"/>
      <c r="BN76" s="3"/>
      <c r="BO76" s="484">
        <v>22.0</v>
      </c>
      <c r="BP76" s="596" t="s">
        <v>959</v>
      </c>
      <c r="BQ76" s="452"/>
      <c r="BR76" s="456"/>
      <c r="BS76" s="3"/>
      <c r="BT76" s="3"/>
      <c r="BU76" s="3"/>
      <c r="BV76" s="3"/>
      <c r="BW76" s="3"/>
      <c r="BX76" s="3"/>
      <c r="BY76" s="223"/>
      <c r="BZ76" s="3"/>
      <c r="CA76" s="223"/>
      <c r="CB76" s="223"/>
      <c r="CC76" s="223"/>
      <c r="CD76" s="223"/>
      <c r="CE76" s="3"/>
      <c r="CF76" s="3"/>
      <c r="CG76" s="3"/>
      <c r="CH76" s="3"/>
      <c r="CI76" s="3"/>
      <c r="CJ76" s="3"/>
      <c r="CK76" s="3"/>
      <c r="CL76" s="3"/>
      <c r="CM76" s="3"/>
      <c r="CN76" s="3"/>
      <c r="CO76" s="3"/>
      <c r="CP76" s="3"/>
      <c r="CQ76" s="3"/>
      <c r="CR76" s="3"/>
      <c r="CS76" s="223"/>
      <c r="CT76" s="223"/>
      <c r="CU76" s="223"/>
      <c r="CV76" s="223"/>
      <c r="CW76" s="3"/>
      <c r="CX76" s="3"/>
      <c r="CY76" s="223"/>
      <c r="CZ76" s="223"/>
      <c r="DA76" s="223"/>
      <c r="DB76" s="223"/>
      <c r="DC76" s="223"/>
      <c r="DD76" s="223"/>
      <c r="DE76" s="223"/>
      <c r="DF76" s="3"/>
      <c r="DG76" s="3"/>
      <c r="DH76" s="3"/>
      <c r="DI76" s="3"/>
      <c r="DJ76" s="3"/>
      <c r="DK76" s="3"/>
      <c r="DL76" s="3"/>
      <c r="DM76" s="3"/>
      <c r="DN76" s="3"/>
      <c r="DO76" s="3"/>
      <c r="DP76" s="3"/>
      <c r="DQ76" s="3"/>
    </row>
    <row r="77" ht="14.25" customHeight="1">
      <c r="A77" s="3"/>
      <c r="B77" s="476">
        <v>30.0</v>
      </c>
      <c r="C77" s="477" t="s">
        <v>961</v>
      </c>
      <c r="D77" s="478"/>
      <c r="E77" s="479"/>
      <c r="F77" s="3"/>
      <c r="G77" s="449"/>
      <c r="H77" s="636"/>
      <c r="I77" s="452"/>
      <c r="J77" s="456"/>
      <c r="K77" s="223"/>
      <c r="L77" s="499">
        <v>25.1</v>
      </c>
      <c r="M77" s="409" t="s">
        <v>962</v>
      </c>
      <c r="N77" s="580"/>
      <c r="O77" s="406"/>
      <c r="P77" s="223"/>
      <c r="Q77" s="223"/>
      <c r="R77" s="3"/>
      <c r="S77" s="223"/>
      <c r="T77" s="223"/>
      <c r="U77" s="223"/>
      <c r="V77" s="223"/>
      <c r="W77" s="223"/>
      <c r="X77" s="223"/>
      <c r="Y77" s="223"/>
      <c r="Z77" s="223"/>
      <c r="AA77" s="449">
        <v>29.0</v>
      </c>
      <c r="AB77" s="451" t="s">
        <v>964</v>
      </c>
      <c r="AC77" s="452"/>
      <c r="AD77" s="456"/>
      <c r="AE77" s="223"/>
      <c r="AF77" s="223"/>
      <c r="AG77" s="223"/>
      <c r="AH77" s="223"/>
      <c r="AI77" s="223"/>
      <c r="AJ77" s="223"/>
      <c r="AK77" s="223"/>
      <c r="AL77" s="223"/>
      <c r="AM77" s="223"/>
      <c r="AN77" s="3"/>
      <c r="AO77" s="3"/>
      <c r="AP77" s="223"/>
      <c r="AQ77" s="223"/>
      <c r="AR77" s="223"/>
      <c r="AS77" s="223"/>
      <c r="AT77" s="3"/>
      <c r="AU77" s="223"/>
      <c r="AV77" s="223"/>
      <c r="AW77" s="223"/>
      <c r="AX77" s="223"/>
      <c r="AY77" s="223"/>
      <c r="AZ77" s="223"/>
      <c r="BA77" s="223"/>
      <c r="BB77" s="223"/>
      <c r="BC77" s="3"/>
      <c r="BD77" s="3"/>
      <c r="BE77" s="3"/>
      <c r="BF77" s="3"/>
      <c r="BG77" s="3"/>
      <c r="BH77" s="3"/>
      <c r="BI77" s="3"/>
      <c r="BJ77" s="223"/>
      <c r="BK77" s="223"/>
      <c r="BL77" s="223"/>
      <c r="BM77" s="223"/>
      <c r="BN77" s="3"/>
      <c r="BO77" s="583">
        <v>23.0</v>
      </c>
      <c r="BP77" s="627" t="s">
        <v>965</v>
      </c>
      <c r="BQ77" s="478"/>
      <c r="BR77" s="479"/>
      <c r="BS77" s="223"/>
      <c r="BT77" s="223"/>
      <c r="BU77" s="223"/>
      <c r="BV77" s="223"/>
      <c r="BW77" s="3"/>
      <c r="BX77" s="3"/>
      <c r="BY77" s="3"/>
      <c r="BZ77" s="3"/>
      <c r="CA77" s="223"/>
      <c r="CB77" s="223"/>
      <c r="CC77" s="223"/>
      <c r="CD77" s="223"/>
      <c r="CE77" s="223"/>
      <c r="CF77" s="223"/>
      <c r="CG77" s="3"/>
      <c r="CH77" s="3"/>
      <c r="CI77" s="3"/>
      <c r="CJ77" s="3"/>
      <c r="CK77" s="3"/>
      <c r="CL77" s="3"/>
      <c r="CM77" s="3"/>
      <c r="CN77" s="3"/>
      <c r="CO77" s="3"/>
      <c r="CP77" s="3"/>
      <c r="CQ77" s="3"/>
      <c r="CR77" s="3"/>
      <c r="CS77" s="223"/>
      <c r="CT77" s="223"/>
      <c r="CU77" s="223"/>
      <c r="CV77" s="223"/>
      <c r="CW77" s="223"/>
      <c r="CX77" s="223"/>
      <c r="CY77" s="223"/>
      <c r="CZ77" s="223"/>
      <c r="DA77" s="3"/>
      <c r="DB77" s="3"/>
      <c r="DC77" s="223"/>
      <c r="DD77" s="223"/>
      <c r="DE77" s="223"/>
      <c r="DF77" s="223"/>
      <c r="DG77" s="223"/>
      <c r="DH77" s="223"/>
      <c r="DI77" s="223"/>
      <c r="DJ77" s="3"/>
      <c r="DK77" s="3"/>
      <c r="DL77" s="3"/>
      <c r="DM77" s="3"/>
      <c r="DN77" s="3"/>
      <c r="DO77" s="3"/>
      <c r="DP77" s="3"/>
      <c r="DQ77" s="3"/>
    </row>
    <row r="78" ht="14.25" customHeight="1">
      <c r="A78" s="3"/>
      <c r="B78" s="449">
        <v>31.0</v>
      </c>
      <c r="C78" s="451" t="s">
        <v>967</v>
      </c>
      <c r="D78" s="452"/>
      <c r="E78" s="456"/>
      <c r="F78" s="14"/>
      <c r="G78" s="223"/>
      <c r="H78" s="223"/>
      <c r="I78" s="223"/>
      <c r="J78" s="223"/>
      <c r="K78" s="223"/>
      <c r="L78" s="476">
        <v>26.0</v>
      </c>
      <c r="M78" s="477" t="s">
        <v>968</v>
      </c>
      <c r="N78" s="478"/>
      <c r="O78" s="479"/>
      <c r="P78" s="223"/>
      <c r="Q78" s="223"/>
      <c r="R78" s="3"/>
      <c r="S78" s="223"/>
      <c r="T78" s="223"/>
      <c r="U78" s="223"/>
      <c r="V78" s="223"/>
      <c r="W78" s="223"/>
      <c r="X78" s="223"/>
      <c r="Y78" s="223"/>
      <c r="Z78" s="223"/>
      <c r="AA78" s="476">
        <v>30.0</v>
      </c>
      <c r="AB78" s="477" t="s">
        <v>969</v>
      </c>
      <c r="AC78" s="478"/>
      <c r="AD78" s="479"/>
      <c r="AE78" s="223"/>
      <c r="AF78" s="223"/>
      <c r="AG78" s="223"/>
      <c r="AH78" s="223"/>
      <c r="AI78" s="223"/>
      <c r="AJ78" s="223"/>
      <c r="AK78" s="223"/>
      <c r="AL78" s="223"/>
      <c r="AM78" s="223"/>
      <c r="AN78" s="3"/>
      <c r="AO78" s="3"/>
      <c r="AP78" s="14"/>
      <c r="AQ78" s="14"/>
      <c r="AR78" s="14"/>
      <c r="AS78" s="3"/>
      <c r="AT78" s="3"/>
      <c r="AU78" s="223"/>
      <c r="AV78" s="223"/>
      <c r="AW78" s="223"/>
      <c r="AX78" s="223"/>
      <c r="AY78" s="223"/>
      <c r="AZ78" s="223"/>
      <c r="BA78" s="223"/>
      <c r="BB78" s="223"/>
      <c r="BC78" s="3"/>
      <c r="BD78" s="3"/>
      <c r="BE78" s="3"/>
      <c r="BF78" s="3"/>
      <c r="BG78" s="3"/>
      <c r="BH78" s="3"/>
      <c r="BI78" s="3"/>
      <c r="BJ78" s="3"/>
      <c r="BK78" s="3"/>
      <c r="BL78" s="3"/>
      <c r="BM78" s="3"/>
      <c r="BN78" s="3"/>
      <c r="BO78" s="484">
        <v>24.0</v>
      </c>
      <c r="BP78" s="596" t="s">
        <v>970</v>
      </c>
      <c r="BQ78" s="452"/>
      <c r="BR78" s="456"/>
      <c r="BS78" s="223"/>
      <c r="BT78" s="223"/>
      <c r="BU78" s="223"/>
      <c r="BV78" s="223"/>
      <c r="BW78" s="3"/>
      <c r="BX78" s="3"/>
      <c r="BY78" s="3"/>
      <c r="BZ78" s="3"/>
      <c r="CA78" s="223"/>
      <c r="CB78" s="223"/>
      <c r="CC78" s="223"/>
      <c r="CD78" s="223"/>
      <c r="CE78" s="223"/>
      <c r="CF78" s="223"/>
      <c r="CG78" s="223"/>
      <c r="CH78" s="223"/>
      <c r="CI78" s="3"/>
      <c r="CJ78" s="3"/>
      <c r="CK78" s="3"/>
      <c r="CL78" s="3"/>
      <c r="CM78" s="3"/>
      <c r="CN78" s="3"/>
      <c r="CO78" s="3"/>
      <c r="CP78" s="3"/>
      <c r="CQ78" s="3"/>
      <c r="CR78" s="3"/>
      <c r="CS78" s="223"/>
      <c r="CT78" s="223"/>
      <c r="CU78" s="223"/>
      <c r="CV78" s="223"/>
      <c r="CW78" s="223"/>
      <c r="CX78" s="223"/>
      <c r="CY78" s="223"/>
      <c r="CZ78" s="223"/>
      <c r="DA78" s="3"/>
      <c r="DB78" s="3"/>
      <c r="DC78" s="223"/>
      <c r="DD78" s="223"/>
      <c r="DE78" s="223"/>
      <c r="DF78" s="223"/>
      <c r="DG78" s="223"/>
      <c r="DH78" s="223"/>
      <c r="DI78" s="223"/>
      <c r="DJ78" s="3"/>
      <c r="DK78" s="3"/>
      <c r="DL78" s="3"/>
      <c r="DM78" s="3"/>
      <c r="DN78" s="3"/>
      <c r="DO78" s="3"/>
      <c r="DP78" s="3"/>
      <c r="DQ78" s="3"/>
    </row>
    <row r="79" ht="15.0" customHeight="1">
      <c r="A79" s="3"/>
      <c r="B79" s="476">
        <v>0.0</v>
      </c>
      <c r="C79" s="477" t="s">
        <v>973</v>
      </c>
      <c r="D79" s="478"/>
      <c r="E79" s="479"/>
      <c r="F79" s="14"/>
      <c r="G79" s="223"/>
      <c r="H79" s="223"/>
      <c r="I79" s="223"/>
      <c r="J79" s="223"/>
      <c r="K79" s="223"/>
      <c r="L79" s="499">
        <v>26.1</v>
      </c>
      <c r="M79" s="409" t="s">
        <v>975</v>
      </c>
      <c r="N79" s="580"/>
      <c r="O79" s="406"/>
      <c r="P79" s="223"/>
      <c r="Q79" s="223"/>
      <c r="R79" s="3"/>
      <c r="S79" s="223"/>
      <c r="T79" s="223"/>
      <c r="U79" s="223"/>
      <c r="V79" s="223"/>
      <c r="W79" s="223"/>
      <c r="X79" s="223"/>
      <c r="Y79" s="223"/>
      <c r="Z79" s="223"/>
      <c r="AA79" s="449">
        <v>31.0</v>
      </c>
      <c r="AB79" s="451" t="s">
        <v>976</v>
      </c>
      <c r="AC79" s="452"/>
      <c r="AD79" s="456"/>
      <c r="AE79" s="223"/>
      <c r="AF79" s="223"/>
      <c r="AG79" s="223"/>
      <c r="AH79" s="223"/>
      <c r="AI79" s="223"/>
      <c r="AJ79" s="223"/>
      <c r="AK79" s="223"/>
      <c r="AL79" s="223"/>
      <c r="AM79" s="223"/>
      <c r="AN79" s="3"/>
      <c r="AO79" s="3"/>
      <c r="AP79" s="14"/>
      <c r="AQ79" s="14"/>
      <c r="AR79" s="14"/>
      <c r="AS79" s="3"/>
      <c r="AT79" s="3"/>
      <c r="AU79" s="223"/>
      <c r="AV79" s="223"/>
      <c r="AW79" s="223"/>
      <c r="AX79" s="223"/>
      <c r="AY79" s="223"/>
      <c r="AZ79" s="223"/>
      <c r="BA79" s="223"/>
      <c r="BB79" s="223"/>
      <c r="BC79" s="3"/>
      <c r="BD79" s="3"/>
      <c r="BE79" s="3"/>
      <c r="BF79" s="3"/>
      <c r="BG79" s="3"/>
      <c r="BH79" s="3"/>
      <c r="BI79" s="3"/>
      <c r="BJ79" s="3"/>
      <c r="BK79" s="3"/>
      <c r="BL79" s="3"/>
      <c r="BM79" s="3"/>
      <c r="BN79" s="3"/>
      <c r="BO79" s="484">
        <v>25.0</v>
      </c>
      <c r="BP79" s="485" t="s">
        <v>706</v>
      </c>
      <c r="BQ79" s="452"/>
      <c r="BR79" s="456"/>
      <c r="BS79" s="223"/>
      <c r="BT79" s="223"/>
      <c r="BU79" s="223"/>
      <c r="BV79" s="223"/>
      <c r="BW79" s="3"/>
      <c r="BX79" s="3"/>
      <c r="BY79" s="3"/>
      <c r="BZ79" s="3"/>
      <c r="CA79" s="3"/>
      <c r="CB79" s="3"/>
      <c r="CC79" s="3"/>
      <c r="CD79" s="223"/>
      <c r="CE79" s="223"/>
      <c r="CF79" s="223"/>
      <c r="CG79" s="223"/>
      <c r="CH79" s="223"/>
      <c r="CI79" s="3"/>
      <c r="CJ79" s="3"/>
      <c r="CK79" s="3"/>
      <c r="CL79" s="3"/>
      <c r="CM79" s="3"/>
      <c r="CN79" s="3"/>
      <c r="CO79" s="3"/>
      <c r="CP79" s="3"/>
      <c r="CQ79" s="3"/>
      <c r="CR79" s="3"/>
      <c r="CS79" s="223"/>
      <c r="CT79" s="223"/>
      <c r="CU79" s="223"/>
      <c r="CV79" s="223"/>
      <c r="CW79" s="223"/>
      <c r="CX79" s="223"/>
      <c r="CY79" s="223"/>
      <c r="CZ79" s="223"/>
      <c r="DA79" s="223"/>
      <c r="DB79" s="3"/>
      <c r="DC79" s="3"/>
      <c r="DD79" s="3"/>
      <c r="DE79" s="3"/>
      <c r="DF79" s="3"/>
      <c r="DG79" s="3"/>
      <c r="DH79" s="3"/>
      <c r="DI79" s="3"/>
      <c r="DJ79" s="3"/>
      <c r="DK79" s="3"/>
      <c r="DL79" s="3"/>
      <c r="DM79" s="3"/>
      <c r="DN79" s="3"/>
      <c r="DO79" s="3"/>
      <c r="DP79" s="3"/>
      <c r="DQ79" s="3"/>
    </row>
    <row r="80" ht="14.25" customHeight="1">
      <c r="A80" s="3"/>
      <c r="B80" s="499">
        <v>32.1</v>
      </c>
      <c r="C80" s="409" t="s">
        <v>977</v>
      </c>
      <c r="D80" s="580"/>
      <c r="E80" s="406"/>
      <c r="F80" s="14"/>
      <c r="G80" s="223"/>
      <c r="H80" s="223"/>
      <c r="I80" s="223"/>
      <c r="J80" s="223"/>
      <c r="K80" s="223"/>
      <c r="L80" s="449">
        <v>27.0</v>
      </c>
      <c r="M80" s="451" t="s">
        <v>978</v>
      </c>
      <c r="N80" s="452"/>
      <c r="O80" s="456"/>
      <c r="P80" s="223"/>
      <c r="Q80" s="223"/>
      <c r="R80" s="3"/>
      <c r="S80" s="223"/>
      <c r="T80" s="223"/>
      <c r="U80" s="223"/>
      <c r="V80" s="223"/>
      <c r="W80" s="223"/>
      <c r="X80" s="223"/>
      <c r="Y80" s="223"/>
      <c r="Z80" s="223"/>
      <c r="AA80" s="476">
        <v>32.0</v>
      </c>
      <c r="AB80" s="477" t="s">
        <v>980</v>
      </c>
      <c r="AC80" s="478"/>
      <c r="AD80" s="479"/>
      <c r="AE80" s="223"/>
      <c r="AF80" s="223"/>
      <c r="AG80" s="223"/>
      <c r="AH80" s="223"/>
      <c r="AI80" s="223"/>
      <c r="AJ80" s="223"/>
      <c r="AK80" s="223"/>
      <c r="AL80" s="223"/>
      <c r="AM80" s="223"/>
      <c r="AN80" s="3"/>
      <c r="AO80" s="3"/>
      <c r="AP80" s="3"/>
      <c r="AQ80" s="3"/>
      <c r="AR80" s="3"/>
      <c r="AS80" s="3"/>
      <c r="AT80" s="3"/>
      <c r="AU80" s="3"/>
      <c r="AV80" s="3"/>
      <c r="AW80" s="3"/>
      <c r="AX80" s="223"/>
      <c r="AY80" s="223"/>
      <c r="AZ80" s="223"/>
      <c r="BA80" s="223"/>
      <c r="BB80" s="223"/>
      <c r="BC80" s="3"/>
      <c r="BD80" s="3"/>
      <c r="BE80" s="3"/>
      <c r="BF80" s="3"/>
      <c r="BG80" s="3"/>
      <c r="BH80" s="3"/>
      <c r="BI80" s="3"/>
      <c r="BJ80" s="3"/>
      <c r="BK80" s="3"/>
      <c r="BL80" s="3"/>
      <c r="BM80" s="3"/>
      <c r="BN80" s="3"/>
      <c r="BO80" s="583">
        <v>26.0</v>
      </c>
      <c r="BP80" s="596" t="s">
        <v>771</v>
      </c>
      <c r="BQ80" s="478"/>
      <c r="BR80" s="479"/>
      <c r="BS80" s="223"/>
      <c r="BT80" s="223"/>
      <c r="BU80" s="223"/>
      <c r="BV80" s="223"/>
      <c r="BW80" s="3"/>
      <c r="BX80" s="3"/>
      <c r="BY80" s="3"/>
      <c r="BZ80" s="3"/>
      <c r="CA80" s="3"/>
      <c r="CB80" s="3"/>
      <c r="CC80" s="3"/>
      <c r="CD80" s="223"/>
      <c r="CE80" s="223"/>
      <c r="CF80" s="223"/>
      <c r="CG80" s="223"/>
      <c r="CH80" s="223"/>
      <c r="CI80" s="223"/>
      <c r="CJ80" s="3"/>
      <c r="CK80" s="3"/>
      <c r="CL80" s="3"/>
      <c r="CM80" s="3"/>
      <c r="CN80" s="3"/>
      <c r="CO80" s="3"/>
      <c r="CP80" s="3"/>
      <c r="CQ80" s="3"/>
      <c r="CR80" s="3"/>
      <c r="CS80" s="223"/>
      <c r="CT80" s="223"/>
      <c r="CU80" s="223"/>
      <c r="CV80" s="223"/>
      <c r="CW80" s="223"/>
      <c r="CX80" s="223"/>
      <c r="CY80" s="223"/>
      <c r="CZ80" s="223"/>
      <c r="DA80" s="223"/>
      <c r="DB80" s="3"/>
      <c r="DC80" s="3"/>
      <c r="DD80" s="3"/>
      <c r="DE80" s="3"/>
      <c r="DF80" s="3"/>
      <c r="DG80" s="3"/>
      <c r="DH80" s="3"/>
      <c r="DI80" s="3"/>
      <c r="DJ80" s="3"/>
      <c r="DK80" s="3"/>
      <c r="DL80" s="3"/>
      <c r="DM80" s="3"/>
      <c r="DN80" s="3"/>
      <c r="DO80" s="3"/>
      <c r="DP80" s="3"/>
      <c r="DQ80" s="3"/>
    </row>
    <row r="81" ht="14.25" customHeight="1">
      <c r="A81" s="3"/>
      <c r="B81" s="499">
        <v>32.2</v>
      </c>
      <c r="C81" s="409" t="s">
        <v>981</v>
      </c>
      <c r="D81" s="580"/>
      <c r="E81" s="406"/>
      <c r="F81" s="14"/>
      <c r="G81" s="223"/>
      <c r="H81" s="223"/>
      <c r="I81" s="223"/>
      <c r="J81" s="223"/>
      <c r="K81" s="223"/>
      <c r="L81" s="476">
        <v>28.0</v>
      </c>
      <c r="M81" s="477" t="s">
        <v>982</v>
      </c>
      <c r="N81" s="478"/>
      <c r="O81" s="479"/>
      <c r="P81" s="223"/>
      <c r="Q81" s="223"/>
      <c r="R81" s="3"/>
      <c r="S81" s="223"/>
      <c r="T81" s="223"/>
      <c r="U81" s="223"/>
      <c r="V81" s="223"/>
      <c r="W81" s="223"/>
      <c r="X81" s="223"/>
      <c r="Y81" s="223"/>
      <c r="Z81" s="223"/>
      <c r="AA81" s="449">
        <v>33.0</v>
      </c>
      <c r="AB81" s="451" t="s">
        <v>983</v>
      </c>
      <c r="AC81" s="452"/>
      <c r="AD81" s="456"/>
      <c r="AE81" s="223"/>
      <c r="AF81" s="223"/>
      <c r="AG81" s="223"/>
      <c r="AH81" s="223"/>
      <c r="AI81" s="223"/>
      <c r="AJ81" s="223"/>
      <c r="AK81" s="223"/>
      <c r="AL81" s="223"/>
      <c r="AM81" s="223"/>
      <c r="AN81" s="3"/>
      <c r="AO81" s="3"/>
      <c r="AP81" s="3"/>
      <c r="AQ81" s="3"/>
      <c r="AR81" s="3"/>
      <c r="AS81" s="3"/>
      <c r="AT81" s="3"/>
      <c r="AU81" s="3"/>
      <c r="AV81" s="3"/>
      <c r="AW81" s="3"/>
      <c r="AX81" s="223"/>
      <c r="AY81" s="223"/>
      <c r="AZ81" s="223"/>
      <c r="BA81" s="223"/>
      <c r="BB81" s="223"/>
      <c r="BC81" s="3"/>
      <c r="BD81" s="3"/>
      <c r="BE81" s="3"/>
      <c r="BF81" s="3"/>
      <c r="BG81" s="3"/>
      <c r="BH81" s="3"/>
      <c r="BI81" s="3"/>
      <c r="BJ81" s="3"/>
      <c r="BK81" s="3"/>
      <c r="BL81" s="3"/>
      <c r="BM81" s="3"/>
      <c r="BN81" s="3"/>
      <c r="BO81" s="484">
        <v>27.0</v>
      </c>
      <c r="BP81" s="627" t="s">
        <v>816</v>
      </c>
      <c r="BQ81" s="452"/>
      <c r="BR81" s="456"/>
      <c r="BS81" s="223"/>
      <c r="BT81" s="223"/>
      <c r="BU81" s="223"/>
      <c r="BV81" s="223"/>
      <c r="BW81" s="3"/>
      <c r="BX81" s="3"/>
      <c r="BY81" s="3"/>
      <c r="BZ81" s="3"/>
      <c r="CA81" s="3"/>
      <c r="CB81" s="3"/>
      <c r="CC81" s="3"/>
      <c r="CD81" s="223"/>
      <c r="CE81" s="223"/>
      <c r="CF81" s="223"/>
      <c r="CG81" s="223"/>
      <c r="CH81" s="223"/>
      <c r="CI81" s="223"/>
      <c r="CJ81" s="3"/>
      <c r="CK81" s="3"/>
      <c r="CL81" s="3"/>
      <c r="CM81" s="3"/>
      <c r="CN81" s="3"/>
      <c r="CO81" s="3"/>
      <c r="CP81" s="3"/>
      <c r="CQ81" s="3"/>
      <c r="CR81" s="3"/>
      <c r="CS81" s="3"/>
      <c r="CT81" s="3"/>
      <c r="CU81" s="3"/>
      <c r="CV81" s="223"/>
      <c r="CW81" s="223"/>
      <c r="CX81" s="223"/>
      <c r="CY81" s="223"/>
      <c r="CZ81" s="223"/>
      <c r="DA81" s="223"/>
      <c r="DB81" s="3"/>
      <c r="DC81" s="3"/>
      <c r="DD81" s="3"/>
      <c r="DE81" s="3"/>
      <c r="DF81" s="3"/>
      <c r="DG81" s="3"/>
      <c r="DH81" s="3"/>
      <c r="DI81" s="3"/>
      <c r="DJ81" s="3"/>
      <c r="DK81" s="3"/>
      <c r="DL81" s="3"/>
      <c r="DM81" s="3"/>
      <c r="DN81" s="3"/>
      <c r="DO81" s="3"/>
      <c r="DP81" s="3"/>
      <c r="DQ81" s="3"/>
    </row>
    <row r="82" ht="14.25" customHeight="1">
      <c r="A82" s="3"/>
      <c r="B82" s="499">
        <v>32.3</v>
      </c>
      <c r="C82" s="409" t="s">
        <v>986</v>
      </c>
      <c r="D82" s="580"/>
      <c r="E82" s="406"/>
      <c r="F82" s="14"/>
      <c r="G82" s="223"/>
      <c r="H82" s="223"/>
      <c r="I82" s="223"/>
      <c r="J82" s="223"/>
      <c r="K82" s="223"/>
      <c r="L82" s="449">
        <v>29.0</v>
      </c>
      <c r="M82" s="636" t="s">
        <v>988</v>
      </c>
      <c r="N82" s="452"/>
      <c r="O82" s="456"/>
      <c r="P82" s="223"/>
      <c r="Q82" s="223"/>
      <c r="R82" s="3"/>
      <c r="S82" s="223"/>
      <c r="T82" s="223"/>
      <c r="U82" s="223"/>
      <c r="V82" s="223"/>
      <c r="W82" s="223"/>
      <c r="X82" s="223"/>
      <c r="Y82" s="223"/>
      <c r="Z82" s="223"/>
      <c r="AA82" s="449">
        <v>33.1</v>
      </c>
      <c r="AB82" s="451" t="s">
        <v>990</v>
      </c>
      <c r="AC82" s="452"/>
      <c r="AD82" s="456"/>
      <c r="AE82" s="223"/>
      <c r="AF82" s="223"/>
      <c r="AG82" s="223"/>
      <c r="AH82" s="223"/>
      <c r="AI82" s="223"/>
      <c r="AJ82" s="223"/>
      <c r="AK82" s="223"/>
      <c r="AL82" s="223"/>
      <c r="AM82" s="223"/>
      <c r="AN82" s="3"/>
      <c r="AO82" s="3"/>
      <c r="AP82" s="3"/>
      <c r="AQ82" s="3"/>
      <c r="AR82" s="3"/>
      <c r="AS82" s="3"/>
      <c r="AT82" s="3"/>
      <c r="AU82" s="3"/>
      <c r="AV82" s="3"/>
      <c r="AW82" s="3"/>
      <c r="AX82" s="223"/>
      <c r="AY82" s="223"/>
      <c r="AZ82" s="223"/>
      <c r="BA82" s="223"/>
      <c r="BB82" s="223"/>
      <c r="BC82" s="3"/>
      <c r="BD82" s="3"/>
      <c r="BE82" s="3"/>
      <c r="BF82" s="3"/>
      <c r="BG82" s="3"/>
      <c r="BH82" s="3"/>
      <c r="BI82" s="3"/>
      <c r="BJ82" s="3"/>
      <c r="BK82" s="3"/>
      <c r="BL82" s="3"/>
      <c r="BM82" s="3"/>
      <c r="BN82" s="3"/>
      <c r="BO82" s="652">
        <v>27.1</v>
      </c>
      <c r="BP82" s="719" t="s">
        <v>992</v>
      </c>
      <c r="BQ82" s="580"/>
      <c r="BR82" s="406"/>
      <c r="BS82" s="223"/>
      <c r="BT82" s="223"/>
      <c r="BU82" s="223"/>
      <c r="BV82" s="223"/>
      <c r="BW82" s="3"/>
      <c r="BX82" s="3"/>
      <c r="BY82" s="3"/>
      <c r="BZ82" s="3"/>
      <c r="CA82" s="3"/>
      <c r="CB82" s="3"/>
      <c r="CC82" s="3"/>
      <c r="CD82" s="223"/>
      <c r="CE82" s="223"/>
      <c r="CF82" s="223"/>
      <c r="CG82" s="223"/>
      <c r="CH82" s="223"/>
      <c r="CI82" s="223"/>
      <c r="CJ82" s="3"/>
      <c r="CK82" s="3"/>
      <c r="CL82" s="3"/>
      <c r="CM82" s="3"/>
      <c r="CN82" s="3"/>
      <c r="CO82" s="3"/>
      <c r="CP82" s="3"/>
      <c r="CQ82" s="3"/>
      <c r="CR82" s="3"/>
      <c r="CS82" s="3"/>
      <c r="CT82" s="3"/>
      <c r="CU82" s="3"/>
      <c r="CV82" s="223"/>
      <c r="CW82" s="223"/>
      <c r="CX82" s="223"/>
      <c r="CY82" s="223"/>
      <c r="CZ82" s="223"/>
      <c r="DA82" s="223"/>
      <c r="DB82" s="3"/>
      <c r="DC82" s="3"/>
      <c r="DD82" s="3"/>
      <c r="DE82" s="3"/>
      <c r="DF82" s="3"/>
      <c r="DG82" s="3"/>
      <c r="DH82" s="3"/>
      <c r="DI82" s="3"/>
      <c r="DJ82" s="3"/>
      <c r="DK82" s="3"/>
      <c r="DL82" s="3"/>
      <c r="DM82" s="3"/>
      <c r="DN82" s="3"/>
      <c r="DO82" s="3"/>
      <c r="DP82" s="3"/>
      <c r="DQ82" s="3"/>
    </row>
    <row r="83" ht="16.5" customHeight="1">
      <c r="A83" s="3"/>
      <c r="B83" s="449">
        <v>33.0</v>
      </c>
      <c r="C83" s="636" t="s">
        <v>993</v>
      </c>
      <c r="D83" s="452"/>
      <c r="E83" s="456"/>
      <c r="F83" s="14"/>
      <c r="G83" s="14"/>
      <c r="H83" s="14"/>
      <c r="I83" s="223"/>
      <c r="J83" s="223"/>
      <c r="K83" s="223"/>
      <c r="L83" s="476">
        <v>30.0</v>
      </c>
      <c r="M83" s="477" t="s">
        <v>994</v>
      </c>
      <c r="N83" s="478"/>
      <c r="O83" s="479"/>
      <c r="P83" s="223"/>
      <c r="Q83" s="223"/>
      <c r="R83" s="3"/>
      <c r="S83" s="223"/>
      <c r="T83" s="223"/>
      <c r="U83" s="223"/>
      <c r="V83" s="223"/>
      <c r="W83" s="223"/>
      <c r="X83" s="223"/>
      <c r="Y83" s="223"/>
      <c r="Z83" s="223"/>
      <c r="AA83" s="476">
        <v>34.0</v>
      </c>
      <c r="AB83" s="477" t="s">
        <v>996</v>
      </c>
      <c r="AC83" s="478"/>
      <c r="AD83" s="479"/>
      <c r="AE83" s="223"/>
      <c r="AF83" s="223"/>
      <c r="AG83" s="223"/>
      <c r="AH83" s="223"/>
      <c r="AI83" s="223"/>
      <c r="AJ83" s="223"/>
      <c r="AK83" s="223"/>
      <c r="AL83" s="223"/>
      <c r="AM83" s="223"/>
      <c r="AN83" s="3"/>
      <c r="AO83" s="3"/>
      <c r="AP83" s="3"/>
      <c r="AQ83" s="3"/>
      <c r="AR83" s="3"/>
      <c r="AS83" s="3"/>
      <c r="AT83" s="3"/>
      <c r="AU83" s="3"/>
      <c r="AV83" s="3"/>
      <c r="AW83" s="3"/>
      <c r="AX83" s="223"/>
      <c r="AY83" s="223"/>
      <c r="AZ83" s="223"/>
      <c r="BA83" s="223"/>
      <c r="BB83" s="223"/>
      <c r="BC83" s="3"/>
      <c r="BD83" s="3"/>
      <c r="BE83" s="3"/>
      <c r="BF83" s="3"/>
      <c r="BG83" s="3"/>
      <c r="BH83" s="3"/>
      <c r="BI83" s="3"/>
      <c r="BJ83" s="3"/>
      <c r="BK83" s="3"/>
      <c r="BL83" s="3"/>
      <c r="BM83" s="3"/>
      <c r="BN83" s="3"/>
      <c r="BO83" s="583">
        <v>28.0</v>
      </c>
      <c r="BP83" s="596" t="s">
        <v>997</v>
      </c>
      <c r="BQ83" s="478"/>
      <c r="BR83" s="479"/>
      <c r="BS83" s="223"/>
      <c r="BT83" s="223"/>
      <c r="BU83" s="223"/>
      <c r="BV83" s="223"/>
      <c r="BW83" s="3"/>
      <c r="BX83" s="3"/>
      <c r="BY83" s="3"/>
      <c r="BZ83" s="3"/>
      <c r="CA83" s="3"/>
      <c r="CB83" s="3"/>
      <c r="CC83" s="3"/>
      <c r="CD83" s="223"/>
      <c r="CE83" s="223"/>
      <c r="CF83" s="223"/>
      <c r="CG83" s="223"/>
      <c r="CH83" s="223"/>
      <c r="CI83" s="223"/>
      <c r="CJ83" s="3"/>
      <c r="CK83" s="3"/>
      <c r="CL83" s="3"/>
      <c r="CM83" s="3"/>
      <c r="CN83" s="3"/>
      <c r="CO83" s="3"/>
      <c r="CP83" s="3"/>
      <c r="CQ83" s="3"/>
      <c r="CR83" s="3"/>
      <c r="CS83" s="3"/>
      <c r="CT83" s="3"/>
      <c r="CU83" s="3"/>
      <c r="CV83" s="223"/>
      <c r="CW83" s="223"/>
      <c r="CX83" s="223"/>
      <c r="CY83" s="223"/>
      <c r="CZ83" s="223"/>
      <c r="DA83" s="223"/>
      <c r="DB83" s="3"/>
      <c r="DC83" s="3"/>
      <c r="DD83" s="3"/>
      <c r="DE83" s="3"/>
      <c r="DF83" s="3"/>
      <c r="DG83" s="3"/>
      <c r="DH83" s="3"/>
      <c r="DI83" s="3"/>
      <c r="DJ83" s="3"/>
      <c r="DK83" s="3"/>
      <c r="DL83" s="3"/>
      <c r="DM83" s="3"/>
      <c r="DN83" s="3"/>
      <c r="DO83" s="3"/>
      <c r="DP83" s="3"/>
      <c r="DQ83" s="3"/>
    </row>
    <row r="84" ht="16.5" customHeight="1">
      <c r="A84" s="3"/>
      <c r="B84" s="397">
        <v>33.1</v>
      </c>
      <c r="C84" s="472" t="s">
        <v>998</v>
      </c>
      <c r="D84" s="473"/>
      <c r="E84" s="906"/>
      <c r="F84" s="907"/>
      <c r="G84" s="14"/>
      <c r="H84" s="14"/>
      <c r="I84" s="223"/>
      <c r="J84" s="223"/>
      <c r="K84" s="223"/>
      <c r="L84" s="449">
        <v>31.0</v>
      </c>
      <c r="M84" s="636" t="s">
        <v>1001</v>
      </c>
      <c r="N84" s="452"/>
      <c r="O84" s="456"/>
      <c r="P84" s="223"/>
      <c r="Q84" s="223"/>
      <c r="R84" s="3"/>
      <c r="S84" s="223"/>
      <c r="T84" s="223"/>
      <c r="U84" s="223"/>
      <c r="V84" s="223"/>
      <c r="W84" s="223"/>
      <c r="X84" s="223"/>
      <c r="Y84" s="223"/>
      <c r="Z84" s="223"/>
      <c r="AA84" s="449">
        <v>35.0</v>
      </c>
      <c r="AB84" s="451" t="s">
        <v>1002</v>
      </c>
      <c r="AC84" s="452"/>
      <c r="AD84" s="456"/>
      <c r="AE84" s="223"/>
      <c r="AF84" s="223"/>
      <c r="AG84" s="223"/>
      <c r="AH84" s="223"/>
      <c r="AI84" s="223"/>
      <c r="AJ84" s="223"/>
      <c r="AK84" s="223"/>
      <c r="AL84" s="223"/>
      <c r="AM84" s="223"/>
      <c r="AN84" s="3"/>
      <c r="AO84" s="3"/>
      <c r="AP84" s="3"/>
      <c r="AQ84" s="3"/>
      <c r="AR84" s="3"/>
      <c r="AS84" s="3"/>
      <c r="AT84" s="3"/>
      <c r="AU84" s="3"/>
      <c r="AV84" s="3"/>
      <c r="AW84" s="3"/>
      <c r="AX84" s="223"/>
      <c r="AY84" s="223"/>
      <c r="AZ84" s="223"/>
      <c r="BA84" s="223"/>
      <c r="BB84" s="223"/>
      <c r="BC84" s="3"/>
      <c r="BD84" s="3"/>
      <c r="BE84" s="3"/>
      <c r="BF84" s="3"/>
      <c r="BG84" s="3"/>
      <c r="BH84" s="3"/>
      <c r="BI84" s="3"/>
      <c r="BJ84" s="3"/>
      <c r="BK84" s="3"/>
      <c r="BL84" s="3"/>
      <c r="BM84" s="3"/>
      <c r="BN84" s="3"/>
      <c r="BO84" s="652">
        <v>28.1</v>
      </c>
      <c r="BP84" s="468" t="s">
        <v>1003</v>
      </c>
      <c r="BQ84" s="580"/>
      <c r="BR84" s="406"/>
      <c r="BS84" s="223"/>
      <c r="BT84" s="223"/>
      <c r="BU84" s="223"/>
      <c r="BV84" s="223"/>
      <c r="BW84" s="3"/>
      <c r="BX84" s="3"/>
      <c r="BY84" s="3"/>
      <c r="BZ84" s="3"/>
      <c r="CA84" s="3"/>
      <c r="CB84" s="3"/>
      <c r="CC84" s="3"/>
      <c r="CD84" s="223"/>
      <c r="CE84" s="223"/>
      <c r="CF84" s="223"/>
      <c r="CG84" s="223"/>
      <c r="CH84" s="223"/>
      <c r="CI84" s="223"/>
      <c r="CJ84" s="3"/>
      <c r="CK84" s="3"/>
      <c r="CL84" s="3"/>
      <c r="CM84" s="3"/>
      <c r="CN84" s="3"/>
      <c r="CO84" s="3"/>
      <c r="CP84" s="3"/>
      <c r="CQ84" s="3"/>
      <c r="CR84" s="3"/>
      <c r="CS84" s="3"/>
      <c r="CT84" s="3"/>
      <c r="CU84" s="3"/>
      <c r="CV84" s="223"/>
      <c r="CW84" s="223"/>
      <c r="CX84" s="223"/>
      <c r="CY84" s="223"/>
      <c r="CZ84" s="223"/>
      <c r="DA84" s="223"/>
      <c r="DB84" s="3"/>
      <c r="DC84" s="3"/>
      <c r="DD84" s="3"/>
      <c r="DE84" s="3"/>
      <c r="DF84" s="3"/>
      <c r="DG84" s="3"/>
      <c r="DH84" s="3"/>
      <c r="DI84" s="3"/>
      <c r="DJ84" s="3"/>
      <c r="DK84" s="3"/>
      <c r="DL84" s="3"/>
      <c r="DM84" s="3"/>
      <c r="DN84" s="3"/>
      <c r="DO84" s="3"/>
      <c r="DP84" s="3"/>
      <c r="DQ84" s="3"/>
    </row>
    <row r="85" ht="14.25" customHeight="1">
      <c r="A85" s="3"/>
      <c r="B85" s="322">
        <v>34.0</v>
      </c>
      <c r="C85" s="382" t="s">
        <v>1005</v>
      </c>
      <c r="D85" s="384"/>
      <c r="E85" s="389"/>
      <c r="F85" s="907"/>
      <c r="G85" s="14"/>
      <c r="H85" s="14"/>
      <c r="I85" s="223"/>
      <c r="J85" s="223"/>
      <c r="K85" s="223"/>
      <c r="L85" s="476">
        <v>32.0</v>
      </c>
      <c r="M85" s="477" t="s">
        <v>1006</v>
      </c>
      <c r="N85" s="478"/>
      <c r="O85" s="479"/>
      <c r="P85" s="223"/>
      <c r="Q85" s="223"/>
      <c r="R85" s="3"/>
      <c r="S85" s="223"/>
      <c r="T85" s="223"/>
      <c r="U85" s="223"/>
      <c r="V85" s="223"/>
      <c r="W85" s="223"/>
      <c r="X85" s="223"/>
      <c r="Y85" s="3"/>
      <c r="Z85" s="223"/>
      <c r="AA85" s="499">
        <v>35.1</v>
      </c>
      <c r="AB85" s="643" t="s">
        <v>1007</v>
      </c>
      <c r="AC85" s="580"/>
      <c r="AD85" s="406"/>
      <c r="AE85" s="223"/>
      <c r="AF85" s="223"/>
      <c r="AG85" s="223"/>
      <c r="AH85" s="223"/>
      <c r="AI85" s="223"/>
      <c r="AJ85" s="223"/>
      <c r="AK85" s="223"/>
      <c r="AL85" s="223"/>
      <c r="AM85" s="223"/>
      <c r="AN85" s="3"/>
      <c r="AO85" s="3"/>
      <c r="AP85" s="3"/>
      <c r="AQ85" s="3"/>
      <c r="AR85" s="3"/>
      <c r="AS85" s="3"/>
      <c r="AT85" s="3"/>
      <c r="AU85" s="3"/>
      <c r="AV85" s="3"/>
      <c r="AW85" s="3"/>
      <c r="AX85" s="223"/>
      <c r="AY85" s="223"/>
      <c r="AZ85" s="223"/>
      <c r="BA85" s="223"/>
      <c r="BB85" s="223"/>
      <c r="BC85" s="3"/>
      <c r="BD85" s="3"/>
      <c r="BE85" s="3"/>
      <c r="BF85" s="3"/>
      <c r="BG85" s="3"/>
      <c r="BH85" s="3"/>
      <c r="BI85" s="3"/>
      <c r="BJ85" s="3"/>
      <c r="BK85" s="3"/>
      <c r="BL85" s="3"/>
      <c r="BM85" s="3"/>
      <c r="BN85" s="3"/>
      <c r="BO85" s="484">
        <v>29.0</v>
      </c>
      <c r="BP85" s="485" t="s">
        <v>871</v>
      </c>
      <c r="BQ85" s="452"/>
      <c r="BR85" s="456"/>
      <c r="BS85" s="223"/>
      <c r="BT85" s="223"/>
      <c r="BU85" s="223"/>
      <c r="BV85" s="223"/>
      <c r="BW85" s="3"/>
      <c r="BX85" s="3"/>
      <c r="BY85" s="3"/>
      <c r="BZ85" s="3"/>
      <c r="CA85" s="3"/>
      <c r="CB85" s="3"/>
      <c r="CC85" s="3"/>
      <c r="CD85" s="223"/>
      <c r="CE85" s="223"/>
      <c r="CF85" s="223"/>
      <c r="CG85" s="223"/>
      <c r="CH85" s="223"/>
      <c r="CI85" s="223"/>
      <c r="CJ85" s="3"/>
      <c r="CK85" s="3"/>
      <c r="CL85" s="3"/>
      <c r="CM85" s="3"/>
      <c r="CN85" s="3"/>
      <c r="CO85" s="3"/>
      <c r="CP85" s="3"/>
      <c r="CQ85" s="3"/>
      <c r="CR85" s="3"/>
      <c r="CS85" s="3"/>
      <c r="CT85" s="3"/>
      <c r="CU85" s="3"/>
      <c r="CV85" s="223"/>
      <c r="CW85" s="223"/>
      <c r="CX85" s="223"/>
      <c r="CY85" s="223"/>
      <c r="CZ85" s="223"/>
      <c r="DA85" s="223"/>
      <c r="DB85" s="3"/>
      <c r="DC85" s="3"/>
      <c r="DD85" s="3"/>
      <c r="DE85" s="3"/>
      <c r="DF85" s="3"/>
      <c r="DG85" s="3"/>
      <c r="DH85" s="3"/>
      <c r="DI85" s="3"/>
      <c r="DJ85" s="3"/>
      <c r="DK85" s="3"/>
      <c r="DL85" s="3"/>
      <c r="DM85" s="3"/>
      <c r="DN85" s="3"/>
      <c r="DO85" s="3"/>
      <c r="DP85" s="3"/>
      <c r="DQ85" s="3"/>
    </row>
    <row r="86" ht="14.25" customHeight="1">
      <c r="A86" s="3"/>
      <c r="B86" s="476">
        <v>35.0</v>
      </c>
      <c r="C86" s="477" t="s">
        <v>1008</v>
      </c>
      <c r="D86" s="478"/>
      <c r="E86" s="479"/>
      <c r="F86" s="907"/>
      <c r="G86" s="14"/>
      <c r="H86" s="14"/>
      <c r="I86" s="223"/>
      <c r="J86" s="223"/>
      <c r="K86" s="223"/>
      <c r="L86" s="449">
        <v>33.0</v>
      </c>
      <c r="M86" s="636" t="s">
        <v>1009</v>
      </c>
      <c r="N86" s="452"/>
      <c r="O86" s="456"/>
      <c r="P86" s="223"/>
      <c r="Q86" s="223"/>
      <c r="R86" s="3"/>
      <c r="S86" s="223"/>
      <c r="T86" s="223"/>
      <c r="U86" s="223"/>
      <c r="V86" s="223"/>
      <c r="W86" s="223"/>
      <c r="X86" s="223"/>
      <c r="Y86" s="3"/>
      <c r="Z86" s="223"/>
      <c r="AA86" s="476">
        <v>36.0</v>
      </c>
      <c r="AB86" s="477" t="s">
        <v>1010</v>
      </c>
      <c r="AC86" s="478"/>
      <c r="AD86" s="479"/>
      <c r="AE86" s="223"/>
      <c r="AF86" s="223"/>
      <c r="AG86" s="223"/>
      <c r="AH86" s="223"/>
      <c r="AI86" s="223"/>
      <c r="AJ86" s="223"/>
      <c r="AK86" s="223"/>
      <c r="AL86" s="223"/>
      <c r="AM86" s="223"/>
      <c r="AN86" s="3"/>
      <c r="AO86" s="3"/>
      <c r="AP86" s="3"/>
      <c r="AQ86" s="3"/>
      <c r="AR86" s="3"/>
      <c r="AS86" s="3"/>
      <c r="AT86" s="3"/>
      <c r="AU86" s="3"/>
      <c r="AV86" s="3"/>
      <c r="AW86" s="3"/>
      <c r="AX86" s="223"/>
      <c r="AY86" s="223"/>
      <c r="AZ86" s="223"/>
      <c r="BA86" s="223"/>
      <c r="BB86" s="223"/>
      <c r="BC86" s="3"/>
      <c r="BD86" s="3"/>
      <c r="BE86" s="3"/>
      <c r="BF86" s="3"/>
      <c r="BG86" s="3"/>
      <c r="BH86" s="3"/>
      <c r="BI86" s="3"/>
      <c r="BJ86" s="3"/>
      <c r="BK86" s="3"/>
      <c r="BL86" s="3"/>
      <c r="BM86" s="3"/>
      <c r="BN86" s="3"/>
      <c r="BO86" s="583">
        <v>30.0</v>
      </c>
      <c r="BP86" s="596" t="s">
        <v>915</v>
      </c>
      <c r="BQ86" s="478"/>
      <c r="BR86" s="479"/>
      <c r="BS86" s="223"/>
      <c r="BT86" s="223"/>
      <c r="BU86" s="223"/>
      <c r="BV86" s="223"/>
      <c r="BW86" s="3"/>
      <c r="BX86" s="3"/>
      <c r="BY86" s="3"/>
      <c r="BZ86" s="3"/>
      <c r="CA86" s="3"/>
      <c r="CB86" s="3"/>
      <c r="CC86" s="3"/>
      <c r="CD86" s="223"/>
      <c r="CE86" s="223"/>
      <c r="CF86" s="223"/>
      <c r="CG86" s="223"/>
      <c r="CH86" s="223"/>
      <c r="CI86" s="223"/>
      <c r="CJ86" s="3"/>
      <c r="CK86" s="3"/>
      <c r="CL86" s="3"/>
      <c r="CM86" s="3"/>
      <c r="CN86" s="3"/>
      <c r="CO86" s="3"/>
      <c r="CP86" s="3"/>
      <c r="CQ86" s="3"/>
      <c r="CR86" s="3"/>
      <c r="CS86" s="3"/>
      <c r="CT86" s="3"/>
      <c r="CU86" s="3"/>
      <c r="CV86" s="223"/>
      <c r="CW86" s="223"/>
      <c r="CX86" s="223"/>
      <c r="CY86" s="223"/>
      <c r="CZ86" s="223"/>
      <c r="DA86" s="223"/>
      <c r="DB86" s="3"/>
      <c r="DC86" s="3"/>
      <c r="DD86" s="3"/>
      <c r="DE86" s="3"/>
      <c r="DF86" s="3"/>
      <c r="DG86" s="3"/>
      <c r="DH86" s="3"/>
      <c r="DI86" s="3"/>
      <c r="DJ86" s="3"/>
      <c r="DK86" s="3"/>
      <c r="DL86" s="3"/>
      <c r="DM86" s="3"/>
      <c r="DN86" s="3"/>
      <c r="DO86" s="3"/>
      <c r="DP86" s="3"/>
      <c r="DQ86" s="3"/>
    </row>
    <row r="87" ht="14.25" customHeight="1">
      <c r="A87" s="3"/>
      <c r="B87" s="449">
        <v>36.0</v>
      </c>
      <c r="C87" s="451" t="s">
        <v>1011</v>
      </c>
      <c r="D87" s="452"/>
      <c r="E87" s="456"/>
      <c r="F87" s="907"/>
      <c r="G87" s="14"/>
      <c r="H87" s="14"/>
      <c r="I87" s="223"/>
      <c r="J87" s="223"/>
      <c r="K87" s="223"/>
      <c r="L87" s="476">
        <v>34.0</v>
      </c>
      <c r="M87" s="477" t="s">
        <v>1012</v>
      </c>
      <c r="N87" s="478"/>
      <c r="O87" s="479"/>
      <c r="P87" s="223"/>
      <c r="Q87" s="223"/>
      <c r="R87" s="223"/>
      <c r="S87" s="3"/>
      <c r="T87" s="223"/>
      <c r="U87" s="223"/>
      <c r="V87" s="223"/>
      <c r="W87" s="223"/>
      <c r="X87" s="223"/>
      <c r="Y87" s="3"/>
      <c r="Z87" s="3"/>
      <c r="AA87" s="449">
        <v>37.0</v>
      </c>
      <c r="AB87" s="451" t="s">
        <v>1013</v>
      </c>
      <c r="AC87" s="452"/>
      <c r="AD87" s="456"/>
      <c r="AE87" s="223"/>
      <c r="AF87" s="223"/>
      <c r="AG87" s="223"/>
      <c r="AH87" s="223"/>
      <c r="AI87" s="223"/>
      <c r="AJ87" s="223"/>
      <c r="AK87" s="223"/>
      <c r="AL87" s="223"/>
      <c r="AM87" s="223"/>
      <c r="AN87" s="3"/>
      <c r="AO87" s="3"/>
      <c r="AP87" s="3"/>
      <c r="AQ87" s="3"/>
      <c r="AR87" s="3"/>
      <c r="AS87" s="3"/>
      <c r="AT87" s="3"/>
      <c r="AU87" s="3"/>
      <c r="AV87" s="3"/>
      <c r="AW87" s="3"/>
      <c r="AX87" s="223"/>
      <c r="AY87" s="223"/>
      <c r="AZ87" s="223"/>
      <c r="BA87" s="223"/>
      <c r="BB87" s="223"/>
      <c r="BC87" s="3"/>
      <c r="BD87" s="3"/>
      <c r="BE87" s="3"/>
      <c r="BF87" s="3"/>
      <c r="BG87" s="3"/>
      <c r="BH87" s="3"/>
      <c r="BI87" s="3"/>
      <c r="BJ87" s="3"/>
      <c r="BK87" s="3"/>
      <c r="BL87" s="3"/>
      <c r="BM87" s="3"/>
      <c r="BN87" s="3"/>
      <c r="BO87" s="912">
        <v>31.0</v>
      </c>
      <c r="BP87" s="914" t="s">
        <v>1014</v>
      </c>
      <c r="BQ87" s="916"/>
      <c r="BR87" s="917"/>
      <c r="BS87" s="223"/>
      <c r="BT87" s="223"/>
      <c r="BU87" s="223"/>
      <c r="BV87" s="223"/>
      <c r="BW87" s="3"/>
      <c r="BX87" s="3"/>
      <c r="BY87" s="3"/>
      <c r="BZ87" s="3"/>
      <c r="CA87" s="3"/>
      <c r="CB87" s="3"/>
      <c r="CC87" s="3"/>
      <c r="CD87" s="223"/>
      <c r="CE87" s="223"/>
      <c r="CF87" s="223"/>
      <c r="CG87" s="223"/>
      <c r="CH87" s="223"/>
      <c r="CI87" s="223"/>
      <c r="CJ87" s="3"/>
      <c r="CK87" s="3"/>
      <c r="CL87" s="3"/>
      <c r="CM87" s="3"/>
      <c r="CN87" s="3"/>
      <c r="CO87" s="3"/>
      <c r="CP87" s="3"/>
      <c r="CQ87" s="3"/>
      <c r="CR87" s="3"/>
      <c r="CS87" s="3"/>
      <c r="CT87" s="3"/>
      <c r="CU87" s="3"/>
      <c r="CV87" s="223"/>
      <c r="CW87" s="223"/>
      <c r="CX87" s="223"/>
      <c r="CY87" s="223"/>
      <c r="CZ87" s="223"/>
      <c r="DA87" s="223"/>
      <c r="DB87" s="3"/>
      <c r="DC87" s="3"/>
      <c r="DD87" s="3"/>
      <c r="DE87" s="3"/>
      <c r="DF87" s="3"/>
      <c r="DG87" s="3"/>
      <c r="DH87" s="3"/>
      <c r="DI87" s="3"/>
      <c r="DJ87" s="3"/>
      <c r="DK87" s="3"/>
      <c r="DL87" s="3"/>
      <c r="DM87" s="3"/>
      <c r="DN87" s="3"/>
      <c r="DO87" s="3"/>
      <c r="DP87" s="3"/>
      <c r="DQ87" s="3"/>
    </row>
    <row r="88" ht="14.25" customHeight="1">
      <c r="A88" s="3"/>
      <c r="B88" s="476">
        <v>37.0</v>
      </c>
      <c r="C88" s="477" t="s">
        <v>1018</v>
      </c>
      <c r="D88" s="478"/>
      <c r="E88" s="479"/>
      <c r="F88" s="907"/>
      <c r="G88" s="14"/>
      <c r="H88" s="14"/>
      <c r="I88" s="223"/>
      <c r="J88" s="223"/>
      <c r="K88" s="223"/>
      <c r="L88" s="449">
        <v>35.0</v>
      </c>
      <c r="M88" s="636"/>
      <c r="N88" s="452"/>
      <c r="O88" s="456"/>
      <c r="P88" s="223"/>
      <c r="Q88" s="223"/>
      <c r="R88" s="223"/>
      <c r="S88" s="3"/>
      <c r="T88" s="223"/>
      <c r="U88" s="223"/>
      <c r="V88" s="223"/>
      <c r="W88" s="223"/>
      <c r="X88" s="223"/>
      <c r="Y88" s="3"/>
      <c r="Z88" s="3"/>
      <c r="AA88" s="449">
        <v>37.1</v>
      </c>
      <c r="AB88" s="451" t="s">
        <v>1020</v>
      </c>
      <c r="AC88" s="452"/>
      <c r="AD88" s="456"/>
      <c r="AE88" s="223"/>
      <c r="AF88" s="223"/>
      <c r="AG88" s="223"/>
      <c r="AH88" s="223"/>
      <c r="AI88" s="223"/>
      <c r="AJ88" s="223"/>
      <c r="AK88" s="223"/>
      <c r="AL88" s="223"/>
      <c r="AM88" s="223"/>
      <c r="AN88" s="3"/>
      <c r="AO88" s="3"/>
      <c r="AP88" s="3"/>
      <c r="AQ88" s="3"/>
      <c r="AR88" s="3"/>
      <c r="AS88" s="3"/>
      <c r="AT88" s="3"/>
      <c r="AU88" s="3"/>
      <c r="AV88" s="3"/>
      <c r="AW88" s="3"/>
      <c r="AX88" s="223"/>
      <c r="AY88" s="223"/>
      <c r="AZ88" s="223"/>
      <c r="BA88" s="223"/>
      <c r="BB88" s="223"/>
      <c r="BC88" s="3"/>
      <c r="BD88" s="3"/>
      <c r="BE88" s="3"/>
      <c r="BF88" s="3"/>
      <c r="BG88" s="3"/>
      <c r="BH88" s="3"/>
      <c r="BI88" s="3"/>
      <c r="BJ88" s="3"/>
      <c r="BK88" s="3"/>
      <c r="BL88" s="3"/>
      <c r="BM88" s="3"/>
      <c r="BN88" s="3"/>
      <c r="BO88" s="223"/>
      <c r="BP88" s="223"/>
      <c r="BQ88" s="223"/>
      <c r="BR88" s="223"/>
      <c r="BS88" s="223"/>
      <c r="BT88" s="223"/>
      <c r="BU88" s="223"/>
      <c r="BV88" s="223"/>
      <c r="BW88" s="3"/>
      <c r="BX88" s="3"/>
      <c r="BY88" s="3"/>
      <c r="BZ88" s="3"/>
      <c r="CA88" s="3"/>
      <c r="CB88" s="3"/>
      <c r="CC88" s="3"/>
      <c r="CD88" s="223"/>
      <c r="CE88" s="223"/>
      <c r="CF88" s="223"/>
      <c r="CG88" s="223"/>
      <c r="CH88" s="223"/>
      <c r="CI88" s="223"/>
      <c r="CJ88" s="3"/>
      <c r="CK88" s="3"/>
      <c r="CL88" s="3"/>
      <c r="CM88" s="3"/>
      <c r="CN88" s="3"/>
      <c r="CO88" s="3"/>
      <c r="CP88" s="3"/>
      <c r="CQ88" s="3"/>
      <c r="CR88" s="3"/>
      <c r="CS88" s="3"/>
      <c r="CT88" s="3"/>
      <c r="CU88" s="3"/>
      <c r="CV88" s="223"/>
      <c r="CW88" s="223"/>
      <c r="CX88" s="223"/>
      <c r="CY88" s="223"/>
      <c r="CZ88" s="223"/>
      <c r="DA88" s="223"/>
      <c r="DB88" s="3"/>
      <c r="DC88" s="3"/>
      <c r="DD88" s="3"/>
      <c r="DE88" s="3"/>
      <c r="DF88" s="3"/>
      <c r="DG88" s="3"/>
      <c r="DH88" s="3"/>
      <c r="DI88" s="3"/>
      <c r="DJ88" s="3"/>
      <c r="DK88" s="3"/>
      <c r="DL88" s="3"/>
      <c r="DM88" s="3"/>
      <c r="DN88" s="3"/>
      <c r="DO88" s="3"/>
      <c r="DP88" s="3"/>
      <c r="DQ88" s="3"/>
    </row>
    <row r="89" ht="14.25" customHeight="1">
      <c r="A89" s="3"/>
      <c r="B89" s="449">
        <v>38.0</v>
      </c>
      <c r="C89" s="636" t="s">
        <v>1025</v>
      </c>
      <c r="D89" s="452"/>
      <c r="E89" s="456"/>
      <c r="F89" s="907"/>
      <c r="G89" s="3"/>
      <c r="H89" s="223"/>
      <c r="I89" s="223"/>
      <c r="J89" s="223"/>
      <c r="K89" s="223"/>
      <c r="L89" s="476">
        <v>36.0</v>
      </c>
      <c r="M89" s="477"/>
      <c r="N89" s="478"/>
      <c r="O89" s="479"/>
      <c r="P89" s="223"/>
      <c r="Q89" s="223"/>
      <c r="R89" s="223"/>
      <c r="S89" s="3"/>
      <c r="T89" s="223"/>
      <c r="U89" s="223"/>
      <c r="V89" s="223"/>
      <c r="W89" s="223"/>
      <c r="X89" s="223"/>
      <c r="Y89" s="3"/>
      <c r="Z89" s="3"/>
      <c r="AA89" s="499">
        <v>37.2</v>
      </c>
      <c r="AB89" s="643" t="s">
        <v>1032</v>
      </c>
      <c r="AC89" s="580"/>
      <c r="AD89" s="406"/>
      <c r="AE89" s="223"/>
      <c r="AF89" s="223"/>
      <c r="AG89" s="223"/>
      <c r="AH89" s="223"/>
      <c r="AI89" s="223"/>
      <c r="AJ89" s="3"/>
      <c r="AK89" s="223"/>
      <c r="AL89" s="223"/>
      <c r="AM89" s="223"/>
      <c r="AN89" s="3"/>
      <c r="AO89" s="3"/>
      <c r="AP89" s="3"/>
      <c r="AQ89" s="3"/>
      <c r="AR89" s="3"/>
      <c r="AS89" s="3"/>
      <c r="AT89" s="223"/>
      <c r="AU89" s="3"/>
      <c r="AV89" s="3"/>
      <c r="AW89" s="3"/>
      <c r="AX89" s="223"/>
      <c r="AY89" s="3"/>
      <c r="AZ89" s="3"/>
      <c r="BA89" s="3"/>
      <c r="BB89" s="3"/>
      <c r="BC89" s="3"/>
      <c r="BD89" s="3"/>
      <c r="BE89" s="3"/>
      <c r="BF89" s="3"/>
      <c r="BG89" s="3"/>
      <c r="BH89" s="3"/>
      <c r="BI89" s="3"/>
      <c r="BJ89" s="3"/>
      <c r="BK89" s="3"/>
      <c r="BL89" s="3"/>
      <c r="BM89" s="3"/>
      <c r="BN89" s="223"/>
      <c r="BO89" s="223"/>
      <c r="BP89" s="223"/>
      <c r="BQ89" s="223"/>
      <c r="BR89" s="223"/>
      <c r="BS89" s="3"/>
      <c r="BT89" s="3"/>
      <c r="BU89" s="3"/>
      <c r="BV89" s="3"/>
      <c r="BW89" s="3"/>
      <c r="BX89" s="3"/>
      <c r="BY89" s="3"/>
      <c r="BZ89" s="223"/>
      <c r="CA89" s="3"/>
      <c r="CB89" s="3"/>
      <c r="CC89" s="3"/>
      <c r="CD89" s="223"/>
      <c r="CE89" s="3"/>
      <c r="CF89" s="3"/>
      <c r="CG89" s="223"/>
      <c r="CH89" s="223"/>
      <c r="CI89" s="223"/>
      <c r="CJ89" s="3"/>
      <c r="CK89" s="3"/>
      <c r="CL89" s="3"/>
      <c r="CM89" s="3"/>
      <c r="CN89" s="3"/>
      <c r="CO89" s="3"/>
      <c r="CP89" s="3"/>
      <c r="CQ89" s="3"/>
      <c r="CR89" s="223"/>
      <c r="CS89" s="3"/>
      <c r="CT89" s="3"/>
      <c r="CU89" s="3"/>
      <c r="CV89" s="223"/>
      <c r="CW89" s="3"/>
      <c r="CX89" s="3"/>
      <c r="CY89" s="3"/>
      <c r="CZ89" s="3"/>
      <c r="DA89" s="3"/>
      <c r="DB89" s="3"/>
      <c r="DC89" s="3"/>
      <c r="DD89" s="3"/>
      <c r="DE89" s="3"/>
      <c r="DF89" s="3"/>
      <c r="DG89" s="3"/>
      <c r="DH89" s="3"/>
      <c r="DI89" s="3"/>
      <c r="DJ89" s="3"/>
      <c r="DK89" s="3"/>
      <c r="DL89" s="3"/>
      <c r="DM89" s="3"/>
      <c r="DN89" s="3"/>
      <c r="DO89" s="3"/>
      <c r="DP89" s="3"/>
      <c r="DQ89" s="3"/>
    </row>
    <row r="90" ht="14.25" customHeight="1">
      <c r="A90" s="3"/>
      <c r="B90" s="476">
        <v>39.0</v>
      </c>
      <c r="C90" s="477" t="s">
        <v>1039</v>
      </c>
      <c r="D90" s="478"/>
      <c r="E90" s="479"/>
      <c r="F90" s="907"/>
      <c r="G90" s="3"/>
      <c r="H90" s="223"/>
      <c r="I90" s="223"/>
      <c r="J90" s="223"/>
      <c r="K90" s="223"/>
      <c r="L90" s="449">
        <v>37.0</v>
      </c>
      <c r="M90" s="636"/>
      <c r="N90" s="452"/>
      <c r="O90" s="456"/>
      <c r="P90" s="223"/>
      <c r="Q90" s="223"/>
      <c r="R90" s="223"/>
      <c r="S90" s="3"/>
      <c r="T90" s="223"/>
      <c r="U90" s="223"/>
      <c r="V90" s="223"/>
      <c r="W90" s="223"/>
      <c r="X90" s="223"/>
      <c r="Y90" s="3"/>
      <c r="Z90" s="3"/>
      <c r="AA90" s="476">
        <v>38.0</v>
      </c>
      <c r="AB90" s="477" t="s">
        <v>1043</v>
      </c>
      <c r="AC90" s="478"/>
      <c r="AD90" s="479"/>
      <c r="AE90" s="223"/>
      <c r="AF90" s="223"/>
      <c r="AG90" s="223"/>
      <c r="AH90" s="223"/>
      <c r="AI90" s="223"/>
      <c r="AJ90" s="223"/>
      <c r="AK90" s="3"/>
      <c r="AL90" s="3"/>
      <c r="AM90" s="3"/>
      <c r="AN90" s="3"/>
      <c r="AO90" s="3"/>
      <c r="AP90" s="3"/>
      <c r="AQ90" s="3"/>
      <c r="AR90" s="3"/>
      <c r="AS90" s="3"/>
      <c r="AT90" s="3"/>
      <c r="AU90" s="3"/>
      <c r="AV90" s="3"/>
      <c r="AW90" s="3"/>
      <c r="AX90" s="223"/>
      <c r="AY90" s="223"/>
      <c r="AZ90" s="223"/>
      <c r="BA90" s="223"/>
      <c r="BB90" s="223"/>
      <c r="BC90" s="3"/>
      <c r="BD90" s="3"/>
      <c r="BE90" s="3"/>
      <c r="BF90" s="3"/>
      <c r="BG90" s="3"/>
      <c r="BH90" s="3"/>
      <c r="BI90" s="3"/>
      <c r="BJ90" s="3"/>
      <c r="BK90" s="3"/>
      <c r="BL90" s="3"/>
      <c r="BM90" s="3"/>
      <c r="BN90" s="3"/>
      <c r="BO90" s="223"/>
      <c r="BP90" s="223"/>
      <c r="BQ90" s="223"/>
      <c r="BR90" s="223"/>
      <c r="BS90" s="223"/>
      <c r="BT90" s="223"/>
      <c r="BU90" s="223"/>
      <c r="BV90" s="223"/>
      <c r="BW90" s="3"/>
      <c r="BX90" s="3"/>
      <c r="BY90" s="3"/>
      <c r="BZ90" s="3"/>
      <c r="CA90" s="223"/>
      <c r="CB90" s="223"/>
      <c r="CC90" s="223"/>
      <c r="CD90" s="223"/>
      <c r="CE90" s="223"/>
      <c r="CF90" s="223"/>
      <c r="CG90" s="3"/>
      <c r="CH90" s="3"/>
      <c r="CI90" s="3"/>
      <c r="CJ90" s="3"/>
      <c r="CK90" s="3"/>
      <c r="CL90" s="3"/>
      <c r="CM90" s="3"/>
      <c r="CN90" s="3"/>
      <c r="CO90" s="3"/>
      <c r="CP90" s="3"/>
      <c r="CQ90" s="3"/>
      <c r="CR90" s="3"/>
      <c r="CS90" s="3"/>
      <c r="CT90" s="3"/>
      <c r="CU90" s="3"/>
      <c r="CV90" s="223"/>
      <c r="CW90" s="223"/>
      <c r="CX90" s="223"/>
      <c r="CY90" s="223"/>
      <c r="CZ90" s="223"/>
      <c r="DA90" s="223"/>
      <c r="DB90" s="3"/>
      <c r="DC90" s="3"/>
      <c r="DD90" s="3"/>
      <c r="DE90" s="3"/>
      <c r="DF90" s="3"/>
      <c r="DG90" s="3"/>
      <c r="DH90" s="3"/>
      <c r="DI90" s="3"/>
      <c r="DJ90" s="3"/>
      <c r="DK90" s="3"/>
      <c r="DL90" s="3"/>
      <c r="DM90" s="3"/>
      <c r="DN90" s="3"/>
      <c r="DO90" s="3"/>
      <c r="DP90" s="3"/>
      <c r="DQ90" s="3"/>
    </row>
    <row r="91" ht="14.25" customHeight="1">
      <c r="A91" s="3"/>
      <c r="B91" s="499">
        <v>39.1</v>
      </c>
      <c r="C91" s="409" t="s">
        <v>1048</v>
      </c>
      <c r="D91" s="580"/>
      <c r="E91" s="406"/>
      <c r="F91" s="907"/>
      <c r="G91" s="3"/>
      <c r="H91" s="223"/>
      <c r="I91" s="223"/>
      <c r="J91" s="223"/>
      <c r="K91" s="223"/>
      <c r="L91" s="476">
        <v>38.0</v>
      </c>
      <c r="M91" s="477"/>
      <c r="N91" s="478"/>
      <c r="O91" s="479"/>
      <c r="P91" s="223"/>
      <c r="Q91" s="223"/>
      <c r="R91" s="223"/>
      <c r="S91" s="3"/>
      <c r="T91" s="223"/>
      <c r="U91" s="223"/>
      <c r="V91" s="223"/>
      <c r="W91" s="223"/>
      <c r="X91" s="223"/>
      <c r="Y91" s="3"/>
      <c r="Z91" s="3"/>
      <c r="AA91" s="449">
        <v>39.0</v>
      </c>
      <c r="AB91" s="451" t="s">
        <v>1051</v>
      </c>
      <c r="AC91" s="452"/>
      <c r="AD91" s="456"/>
      <c r="AE91" s="223"/>
      <c r="AF91" s="223"/>
      <c r="AG91" s="223"/>
      <c r="AH91" s="223"/>
      <c r="AI91" s="223"/>
      <c r="AJ91" s="223"/>
      <c r="AK91" s="223"/>
      <c r="AL91" s="223"/>
      <c r="AM91" s="223"/>
      <c r="AN91" s="3"/>
      <c r="AO91" s="3"/>
      <c r="AP91" s="3"/>
      <c r="AQ91" s="3"/>
      <c r="AR91" s="3"/>
      <c r="AS91" s="3"/>
      <c r="AT91" s="3"/>
      <c r="AU91" s="3"/>
      <c r="AV91" s="3"/>
      <c r="AW91" s="3"/>
      <c r="AX91" s="223"/>
      <c r="AY91" s="223"/>
      <c r="AZ91" s="223"/>
      <c r="BA91" s="223"/>
      <c r="BB91" s="223"/>
      <c r="BC91" s="3"/>
      <c r="BD91" s="3"/>
      <c r="BE91" s="3"/>
      <c r="BF91" s="3"/>
      <c r="BG91" s="3"/>
      <c r="BH91" s="3"/>
      <c r="BI91" s="3"/>
      <c r="BJ91" s="3"/>
      <c r="BK91" s="3"/>
      <c r="BL91" s="3"/>
      <c r="BM91" s="3"/>
      <c r="BN91" s="3"/>
      <c r="BO91" s="223"/>
      <c r="BP91" s="223"/>
      <c r="BQ91" s="223"/>
      <c r="BR91" s="223"/>
      <c r="BS91" s="223"/>
      <c r="BT91" s="223"/>
      <c r="BU91" s="223"/>
      <c r="BV91" s="223"/>
      <c r="BW91" s="3"/>
      <c r="BX91" s="3"/>
      <c r="BY91" s="3"/>
      <c r="BZ91" s="3"/>
      <c r="CA91" s="3"/>
      <c r="CB91" s="3"/>
      <c r="CC91" s="3"/>
      <c r="CD91" s="223"/>
      <c r="CE91" s="223"/>
      <c r="CF91" s="223"/>
      <c r="CG91" s="223"/>
      <c r="CH91" s="223"/>
      <c r="CI91" s="223"/>
      <c r="CJ91" s="3"/>
      <c r="CK91" s="3"/>
      <c r="CL91" s="3"/>
      <c r="CM91" s="3"/>
      <c r="CN91" s="3"/>
      <c r="CO91" s="3"/>
      <c r="CP91" s="3"/>
      <c r="CQ91" s="3"/>
      <c r="CR91" s="3"/>
      <c r="CS91" s="3"/>
      <c r="CT91" s="3"/>
      <c r="CU91" s="3"/>
      <c r="CV91" s="223"/>
      <c r="CW91" s="223"/>
      <c r="CX91" s="223"/>
      <c r="CY91" s="223"/>
      <c r="CZ91" s="223"/>
      <c r="DA91" s="223"/>
      <c r="DB91" s="3"/>
      <c r="DC91" s="3"/>
      <c r="DD91" s="3"/>
      <c r="DE91" s="3"/>
      <c r="DF91" s="3"/>
      <c r="DG91" s="3"/>
      <c r="DH91" s="3"/>
      <c r="DI91" s="3"/>
      <c r="DJ91" s="3"/>
      <c r="DK91" s="3"/>
      <c r="DL91" s="3"/>
      <c r="DM91" s="3"/>
      <c r="DN91" s="3"/>
      <c r="DO91" s="3"/>
      <c r="DP91" s="3"/>
      <c r="DQ91" s="3"/>
    </row>
    <row r="92" ht="14.25" customHeight="1">
      <c r="A92" s="3"/>
      <c r="B92" s="449">
        <v>40.0</v>
      </c>
      <c r="C92" s="451" t="s">
        <v>1053</v>
      </c>
      <c r="D92" s="452"/>
      <c r="E92" s="456"/>
      <c r="F92" s="907"/>
      <c r="G92" s="3"/>
      <c r="H92" s="223"/>
      <c r="I92" s="223"/>
      <c r="J92" s="223"/>
      <c r="K92" s="223"/>
      <c r="L92" s="449">
        <v>39.0</v>
      </c>
      <c r="M92" s="636"/>
      <c r="N92" s="452"/>
      <c r="O92" s="456"/>
      <c r="P92" s="223"/>
      <c r="Q92" s="223"/>
      <c r="R92" s="223"/>
      <c r="S92" s="3"/>
      <c r="T92" s="223"/>
      <c r="U92" s="223"/>
      <c r="V92" s="223"/>
      <c r="W92" s="223"/>
      <c r="X92" s="223"/>
      <c r="Y92" s="3"/>
      <c r="Z92" s="3"/>
      <c r="AA92" s="499">
        <v>39.1</v>
      </c>
      <c r="AB92" s="643" t="s">
        <v>1059</v>
      </c>
      <c r="AC92" s="580"/>
      <c r="AD92" s="406"/>
      <c r="AE92" s="223"/>
      <c r="AF92" s="223"/>
      <c r="AG92" s="223"/>
      <c r="AH92" s="223"/>
      <c r="AI92" s="3"/>
      <c r="AJ92" s="223"/>
      <c r="AK92" s="223"/>
      <c r="AL92" s="223"/>
      <c r="AM92" s="223"/>
      <c r="AN92" s="3"/>
      <c r="AO92" s="3"/>
      <c r="AP92" s="3"/>
      <c r="AQ92" s="3"/>
      <c r="AR92" s="3"/>
      <c r="AS92" s="3"/>
      <c r="AT92" s="3"/>
      <c r="AU92" s="3"/>
      <c r="AV92" s="3"/>
      <c r="AW92" s="3"/>
      <c r="AX92" s="223"/>
      <c r="AY92" s="223"/>
      <c r="AZ92" s="223"/>
      <c r="BA92" s="223"/>
      <c r="BB92" s="223"/>
      <c r="BC92" s="3"/>
      <c r="BD92" s="3"/>
      <c r="BE92" s="3"/>
      <c r="BF92" s="3"/>
      <c r="BG92" s="3"/>
      <c r="BH92" s="3"/>
      <c r="BI92" s="3"/>
      <c r="BJ92" s="3"/>
      <c r="BK92" s="3"/>
      <c r="BL92" s="3"/>
      <c r="BM92" s="3"/>
      <c r="BN92" s="3"/>
      <c r="BO92" s="223"/>
      <c r="BP92" s="223"/>
      <c r="BQ92" s="223"/>
      <c r="BR92" s="223"/>
      <c r="BS92" s="223"/>
      <c r="BT92" s="223"/>
      <c r="BU92" s="223"/>
      <c r="BV92" s="223"/>
      <c r="BW92" s="3"/>
      <c r="BX92" s="3"/>
      <c r="BY92" s="3"/>
      <c r="BZ92" s="3"/>
      <c r="CA92" s="3"/>
      <c r="CB92" s="3"/>
      <c r="CC92" s="3"/>
      <c r="CD92" s="223"/>
      <c r="CE92" s="223"/>
      <c r="CF92" s="223"/>
      <c r="CG92" s="223"/>
      <c r="CH92" s="223"/>
      <c r="CI92" s="223"/>
      <c r="CJ92" s="3"/>
      <c r="CK92" s="3"/>
      <c r="CL92" s="3"/>
      <c r="CM92" s="3"/>
      <c r="CN92" s="3"/>
      <c r="CO92" s="3"/>
      <c r="CP92" s="3"/>
      <c r="CQ92" s="3"/>
      <c r="CR92" s="3"/>
      <c r="CS92" s="3"/>
      <c r="CT92" s="3"/>
      <c r="CU92" s="3"/>
      <c r="CV92" s="223"/>
      <c r="CW92" s="223"/>
      <c r="CX92" s="223"/>
      <c r="CY92" s="223"/>
      <c r="CZ92" s="223"/>
      <c r="DA92" s="223"/>
      <c r="DB92" s="3"/>
      <c r="DC92" s="3"/>
      <c r="DD92" s="3"/>
      <c r="DE92" s="3"/>
      <c r="DF92" s="3"/>
      <c r="DG92" s="3"/>
      <c r="DH92" s="3"/>
      <c r="DI92" s="3"/>
      <c r="DJ92" s="3"/>
      <c r="DK92" s="3"/>
      <c r="DL92" s="3"/>
      <c r="DM92" s="3"/>
      <c r="DN92" s="3"/>
      <c r="DO92" s="3"/>
      <c r="DP92" s="3"/>
      <c r="DQ92" s="3"/>
    </row>
    <row r="93" ht="14.25" customHeight="1">
      <c r="A93" s="3"/>
      <c r="B93" s="476">
        <v>41.0</v>
      </c>
      <c r="C93" s="477" t="s">
        <v>1063</v>
      </c>
      <c r="D93" s="478"/>
      <c r="E93" s="479"/>
      <c r="F93" s="907"/>
      <c r="G93" s="3"/>
      <c r="H93" s="223"/>
      <c r="I93" s="223"/>
      <c r="J93" s="223"/>
      <c r="K93" s="223"/>
      <c r="L93" s="476">
        <v>40.0</v>
      </c>
      <c r="M93" s="477"/>
      <c r="N93" s="478"/>
      <c r="O93" s="479"/>
      <c r="P93" s="223"/>
      <c r="Q93" s="223"/>
      <c r="R93" s="223"/>
      <c r="S93" s="3"/>
      <c r="T93" s="223"/>
      <c r="U93" s="223"/>
      <c r="V93" s="223"/>
      <c r="W93" s="223"/>
      <c r="X93" s="223"/>
      <c r="Y93" s="3"/>
      <c r="Z93" s="3"/>
      <c r="AA93" s="476">
        <v>40.0</v>
      </c>
      <c r="AB93" s="477" t="s">
        <v>1066</v>
      </c>
      <c r="AC93" s="478"/>
      <c r="AD93" s="479"/>
      <c r="AE93" s="223"/>
      <c r="AF93" s="223"/>
      <c r="AG93" s="223"/>
      <c r="AH93" s="223"/>
      <c r="AI93" s="223"/>
      <c r="AJ93" s="223"/>
      <c r="AK93" s="223"/>
      <c r="AL93" s="223"/>
      <c r="AM93" s="223"/>
      <c r="AN93" s="3"/>
      <c r="AO93" s="3"/>
      <c r="AP93" s="3"/>
      <c r="AQ93" s="3"/>
      <c r="AR93" s="3"/>
      <c r="AS93" s="3"/>
      <c r="AT93" s="3"/>
      <c r="AU93" s="223"/>
      <c r="AV93" s="223"/>
      <c r="AW93" s="223"/>
      <c r="AX93" s="3"/>
      <c r="AY93" s="223"/>
      <c r="AZ93" s="223"/>
      <c r="BA93" s="223"/>
      <c r="BB93" s="223"/>
      <c r="BC93" s="3"/>
      <c r="BD93" s="3"/>
      <c r="BE93" s="3"/>
      <c r="BF93" s="3"/>
      <c r="BG93" s="3"/>
      <c r="BH93" s="3"/>
      <c r="BI93" s="3"/>
      <c r="BJ93" s="3"/>
      <c r="BK93" s="3"/>
      <c r="BL93" s="3"/>
      <c r="BM93" s="3"/>
      <c r="BN93" s="3"/>
      <c r="BO93" s="3"/>
      <c r="BP93" s="3"/>
      <c r="BQ93" s="3"/>
      <c r="BR93" s="223"/>
      <c r="BS93" s="223"/>
      <c r="BT93" s="223"/>
      <c r="BU93" s="223"/>
      <c r="BV93" s="223"/>
      <c r="BW93" s="3"/>
      <c r="BX93" s="3"/>
      <c r="BY93" s="3"/>
      <c r="BZ93" s="3"/>
      <c r="CA93" s="3"/>
      <c r="CB93" s="3"/>
      <c r="CC93" s="3"/>
      <c r="CD93" s="223"/>
      <c r="CE93" s="223"/>
      <c r="CF93" s="223"/>
      <c r="CG93" s="223"/>
      <c r="CH93" s="223"/>
      <c r="CI93" s="223"/>
      <c r="CJ93" s="3"/>
      <c r="CK93" s="3"/>
      <c r="CL93" s="3"/>
      <c r="CM93" s="3"/>
      <c r="CN93" s="3"/>
      <c r="CO93" s="3"/>
      <c r="CP93" s="3"/>
      <c r="CQ93" s="3"/>
      <c r="CR93" s="3"/>
      <c r="CS93" s="223"/>
      <c r="CT93" s="223"/>
      <c r="CU93" s="223"/>
      <c r="CV93" s="223"/>
      <c r="CW93" s="223"/>
      <c r="CX93" s="223"/>
      <c r="CY93" s="223"/>
      <c r="CZ93" s="223"/>
      <c r="DA93" s="223"/>
      <c r="DB93" s="3"/>
      <c r="DC93" s="3"/>
      <c r="DD93" s="3"/>
      <c r="DE93" s="3"/>
      <c r="DF93" s="3"/>
      <c r="DG93" s="3"/>
      <c r="DH93" s="3"/>
      <c r="DI93" s="3"/>
      <c r="DJ93" s="3"/>
      <c r="DK93" s="3"/>
      <c r="DL93" s="3"/>
      <c r="DM93" s="3"/>
      <c r="DN93" s="3"/>
      <c r="DO93" s="3"/>
      <c r="DP93" s="3"/>
      <c r="DQ93" s="3"/>
    </row>
    <row r="94" ht="14.25" customHeight="1">
      <c r="A94" s="2"/>
      <c r="B94" s="449">
        <v>42.0</v>
      </c>
      <c r="C94" s="636" t="s">
        <v>1076</v>
      </c>
      <c r="D94" s="452"/>
      <c r="E94" s="456"/>
      <c r="F94" s="907"/>
      <c r="G94" s="3"/>
      <c r="H94" s="223"/>
      <c r="I94" s="223"/>
      <c r="J94" s="223"/>
      <c r="K94" s="2"/>
      <c r="L94" s="14"/>
      <c r="M94" s="14"/>
      <c r="N94" s="223"/>
      <c r="O94" s="223"/>
      <c r="P94" s="2"/>
      <c r="Q94" s="223"/>
      <c r="R94" s="223"/>
      <c r="S94" s="3"/>
      <c r="T94" s="223"/>
      <c r="U94" s="2"/>
      <c r="V94" s="2"/>
      <c r="W94" s="2"/>
      <c r="X94" s="2"/>
      <c r="Y94" s="2"/>
      <c r="Z94" s="2"/>
      <c r="AA94" s="449">
        <v>41.0</v>
      </c>
      <c r="AB94" s="451" t="s">
        <v>1078</v>
      </c>
      <c r="AC94" s="452"/>
      <c r="AD94" s="456"/>
      <c r="AE94" s="2"/>
      <c r="AF94" s="223"/>
      <c r="AG94" s="223"/>
      <c r="AH94" s="223"/>
      <c r="AI94" s="223"/>
      <c r="AJ94" s="2"/>
      <c r="AK94" s="223"/>
      <c r="AL94" s="223"/>
      <c r="AM94" s="223"/>
      <c r="AN94" s="3"/>
      <c r="AO94" s="2"/>
      <c r="AP94" s="3"/>
      <c r="AQ94" s="3"/>
      <c r="AR94" s="3"/>
      <c r="AS94" s="3"/>
      <c r="AT94" s="2"/>
      <c r="AU94" s="3"/>
      <c r="AV94" s="3"/>
      <c r="AW94" s="3"/>
      <c r="AX94" s="223"/>
      <c r="AY94" s="2"/>
      <c r="AZ94" s="2"/>
      <c r="BA94" s="2"/>
      <c r="BB94" s="2"/>
      <c r="BC94" s="2"/>
      <c r="BD94" s="2"/>
      <c r="BE94" s="2"/>
      <c r="BF94" s="2"/>
      <c r="BG94" s="2"/>
      <c r="BH94" s="2"/>
      <c r="BI94" s="2"/>
      <c r="BJ94" s="3"/>
      <c r="BK94" s="3"/>
      <c r="BL94" s="3"/>
      <c r="BM94" s="3"/>
      <c r="BN94" s="2"/>
      <c r="BO94" s="3"/>
      <c r="BP94" s="3"/>
      <c r="BQ94" s="3"/>
      <c r="BR94" s="223"/>
      <c r="BS94" s="2"/>
      <c r="BT94" s="2"/>
      <c r="BU94" s="2"/>
      <c r="BV94" s="2"/>
      <c r="BW94" s="2"/>
      <c r="BX94" s="2"/>
      <c r="BY94" s="2"/>
      <c r="BZ94" s="2"/>
      <c r="CA94" s="3"/>
      <c r="CB94" s="3"/>
      <c r="CC94" s="3"/>
      <c r="CD94" s="223"/>
      <c r="CE94" s="2"/>
      <c r="CF94" s="2"/>
      <c r="CG94" s="223"/>
      <c r="CH94" s="223"/>
      <c r="CI94" s="223"/>
      <c r="CJ94" s="3"/>
      <c r="CK94" s="2"/>
      <c r="CL94" s="2"/>
      <c r="CM94" s="3"/>
      <c r="CN94" s="3"/>
      <c r="CO94" s="3"/>
      <c r="CP94" s="3"/>
      <c r="CQ94" s="2"/>
      <c r="CR94" s="2"/>
      <c r="CS94" s="3"/>
      <c r="CT94" s="3"/>
      <c r="CU94" s="3"/>
      <c r="CV94" s="223"/>
      <c r="CW94" s="2"/>
      <c r="CX94" s="2"/>
      <c r="CY94" s="2"/>
      <c r="CZ94" s="2"/>
      <c r="DA94" s="2"/>
      <c r="DB94" s="2"/>
      <c r="DC94" s="2"/>
      <c r="DD94" s="2"/>
      <c r="DE94" s="2"/>
      <c r="DF94" s="2"/>
      <c r="DG94" s="2"/>
      <c r="DH94" s="2"/>
      <c r="DI94" s="2"/>
      <c r="DJ94" s="2"/>
      <c r="DK94" s="2"/>
      <c r="DL94" s="2"/>
      <c r="DM94" s="2"/>
      <c r="DN94" s="2"/>
      <c r="DO94" s="2"/>
      <c r="DP94" s="2"/>
      <c r="DQ94" s="2"/>
    </row>
    <row r="95" ht="14.25" customHeight="1">
      <c r="A95" s="2"/>
      <c r="B95" s="476">
        <v>43.0</v>
      </c>
      <c r="C95" s="477" t="s">
        <v>1082</v>
      </c>
      <c r="D95" s="478"/>
      <c r="E95" s="479"/>
      <c r="F95" s="907"/>
      <c r="G95" s="3"/>
      <c r="H95" s="223"/>
      <c r="I95" s="223"/>
      <c r="J95" s="223"/>
      <c r="K95" s="2"/>
      <c r="L95" s="14"/>
      <c r="M95" s="14"/>
      <c r="N95" s="223"/>
      <c r="O95" s="223"/>
      <c r="P95" s="2"/>
      <c r="Q95" s="223"/>
      <c r="R95" s="223"/>
      <c r="S95" s="3"/>
      <c r="T95" s="223"/>
      <c r="U95" s="2"/>
      <c r="V95" s="2"/>
      <c r="W95" s="2"/>
      <c r="X95" s="2"/>
      <c r="Y95" s="2"/>
      <c r="Z95" s="2"/>
      <c r="AA95" s="476">
        <v>42.0</v>
      </c>
      <c r="AB95" s="477" t="s">
        <v>1083</v>
      </c>
      <c r="AC95" s="478"/>
      <c r="AD95" s="479"/>
      <c r="AE95" s="2"/>
      <c r="AF95" s="223"/>
      <c r="AG95" s="223"/>
      <c r="AH95" s="223"/>
      <c r="AI95" s="223"/>
      <c r="AJ95" s="2"/>
      <c r="AK95" s="2"/>
      <c r="AL95" s="2"/>
      <c r="AM95" s="2"/>
      <c r="AN95" s="2"/>
      <c r="AO95" s="2"/>
      <c r="AP95" s="3"/>
      <c r="AQ95" s="3"/>
      <c r="AR95" s="3"/>
      <c r="AS95" s="3"/>
      <c r="AT95" s="2"/>
      <c r="AU95" s="3"/>
      <c r="AV95" s="3"/>
      <c r="AW95" s="3"/>
      <c r="AX95" s="223"/>
      <c r="AY95" s="2"/>
      <c r="AZ95" s="2"/>
      <c r="BA95" s="2"/>
      <c r="BB95" s="2"/>
      <c r="BC95" s="2"/>
      <c r="BD95" s="2"/>
      <c r="BE95" s="2"/>
      <c r="BF95" s="2"/>
      <c r="BG95" s="2"/>
      <c r="BH95" s="2"/>
      <c r="BI95" s="2"/>
      <c r="BJ95" s="3"/>
      <c r="BK95" s="3"/>
      <c r="BL95" s="3"/>
      <c r="BM95" s="3"/>
      <c r="BN95" s="2"/>
      <c r="BO95" s="3"/>
      <c r="BP95" s="3"/>
      <c r="BQ95" s="3"/>
      <c r="BR95" s="223"/>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3"/>
      <c r="CT95" s="3"/>
      <c r="CU95" s="3"/>
      <c r="CV95" s="223"/>
      <c r="CW95" s="2"/>
      <c r="CX95" s="2"/>
      <c r="CY95" s="2"/>
      <c r="CZ95" s="2"/>
      <c r="DA95" s="2"/>
      <c r="DB95" s="2"/>
      <c r="DC95" s="2"/>
      <c r="DD95" s="2"/>
      <c r="DE95" s="2"/>
      <c r="DF95" s="2"/>
      <c r="DG95" s="2"/>
      <c r="DH95" s="2"/>
      <c r="DI95" s="2"/>
      <c r="DJ95" s="2"/>
      <c r="DK95" s="2"/>
      <c r="DL95" s="2"/>
      <c r="DM95" s="2"/>
      <c r="DN95" s="2"/>
      <c r="DO95" s="2"/>
      <c r="DP95" s="2"/>
      <c r="DQ95" s="2"/>
    </row>
    <row r="96" ht="14.25" customHeight="1">
      <c r="A96" s="2"/>
      <c r="B96" s="449">
        <v>44.0</v>
      </c>
      <c r="C96" s="451" t="s">
        <v>1085</v>
      </c>
      <c r="D96" s="452"/>
      <c r="E96" s="456"/>
      <c r="F96" s="907"/>
      <c r="G96" s="3"/>
      <c r="H96" s="223"/>
      <c r="I96" s="223"/>
      <c r="J96" s="223"/>
      <c r="K96" s="2"/>
      <c r="L96" s="14"/>
      <c r="M96" s="14"/>
      <c r="N96" s="223"/>
      <c r="O96" s="223"/>
      <c r="P96" s="2"/>
      <c r="Q96" s="223"/>
      <c r="R96" s="223"/>
      <c r="S96" s="3"/>
      <c r="T96" s="223"/>
      <c r="U96" s="2"/>
      <c r="V96" s="2"/>
      <c r="W96" s="2"/>
      <c r="X96" s="2"/>
      <c r="Y96" s="2"/>
      <c r="Z96" s="2"/>
      <c r="AA96" s="449">
        <v>43.0</v>
      </c>
      <c r="AB96" s="451" t="s">
        <v>1086</v>
      </c>
      <c r="AC96" s="452"/>
      <c r="AD96" s="456"/>
      <c r="AE96" s="2"/>
      <c r="AF96" s="223"/>
      <c r="AG96" s="223"/>
      <c r="AH96" s="223"/>
      <c r="AI96" s="223"/>
      <c r="AJ96" s="2"/>
      <c r="AK96" s="2"/>
      <c r="AL96" s="2"/>
      <c r="AM96" s="2"/>
      <c r="AN96" s="2"/>
      <c r="AO96" s="2"/>
      <c r="AP96" s="3"/>
      <c r="AQ96" s="3"/>
      <c r="AR96" s="3"/>
      <c r="AS96" s="3"/>
      <c r="AT96" s="2"/>
      <c r="AU96" s="3"/>
      <c r="AV96" s="3"/>
      <c r="AW96" s="3"/>
      <c r="AX96" s="223"/>
      <c r="AY96" s="2"/>
      <c r="AZ96" s="2"/>
      <c r="BA96" s="2"/>
      <c r="BB96" s="2"/>
      <c r="BC96" s="2"/>
      <c r="BD96" s="2"/>
      <c r="BE96" s="2"/>
      <c r="BF96" s="2"/>
      <c r="BG96" s="2"/>
      <c r="BH96" s="2"/>
      <c r="BI96" s="2"/>
      <c r="BJ96" s="2"/>
      <c r="BK96" s="2"/>
      <c r="BL96" s="2"/>
      <c r="BM96" s="2"/>
      <c r="BN96" s="2"/>
      <c r="BO96" s="3"/>
      <c r="BP96" s="3"/>
      <c r="BQ96" s="3"/>
      <c r="BR96" s="223"/>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3"/>
      <c r="CT96" s="3"/>
      <c r="CU96" s="3"/>
      <c r="CV96" s="223"/>
      <c r="CW96" s="2"/>
      <c r="CX96" s="2"/>
      <c r="CY96" s="2"/>
      <c r="CZ96" s="2"/>
      <c r="DA96" s="2"/>
      <c r="DB96" s="2"/>
      <c r="DC96" s="2"/>
      <c r="DD96" s="2"/>
      <c r="DE96" s="2"/>
      <c r="DF96" s="2"/>
      <c r="DG96" s="2"/>
      <c r="DH96" s="2"/>
      <c r="DI96" s="2"/>
      <c r="DJ96" s="2"/>
      <c r="DK96" s="2"/>
      <c r="DL96" s="2"/>
      <c r="DM96" s="2"/>
      <c r="DN96" s="2"/>
      <c r="DO96" s="2"/>
      <c r="DP96" s="2"/>
      <c r="DQ96" s="2"/>
    </row>
    <row r="97" ht="14.25" customHeight="1">
      <c r="A97" s="2"/>
      <c r="B97" s="476">
        <v>45.0</v>
      </c>
      <c r="C97" s="477" t="s">
        <v>1090</v>
      </c>
      <c r="D97" s="478"/>
      <c r="E97" s="479"/>
      <c r="F97" s="907"/>
      <c r="G97" s="3"/>
      <c r="H97" s="223"/>
      <c r="I97" s="223"/>
      <c r="J97" s="223"/>
      <c r="K97" s="2"/>
      <c r="L97" s="14"/>
      <c r="M97" s="14"/>
      <c r="N97" s="223"/>
      <c r="O97" s="223"/>
      <c r="P97" s="2"/>
      <c r="Q97" s="223"/>
      <c r="R97" s="223"/>
      <c r="S97" s="3"/>
      <c r="T97" s="223"/>
      <c r="U97" s="2"/>
      <c r="V97" s="2"/>
      <c r="W97" s="2"/>
      <c r="X97" s="2"/>
      <c r="Y97" s="2"/>
      <c r="Z97" s="2"/>
      <c r="AA97" s="476"/>
      <c r="AB97" s="477"/>
      <c r="AC97" s="478"/>
      <c r="AD97" s="479"/>
      <c r="AE97" s="2"/>
      <c r="AF97" s="223"/>
      <c r="AG97" s="223"/>
      <c r="AH97" s="223"/>
      <c r="AI97" s="223"/>
      <c r="AJ97" s="2"/>
      <c r="AK97" s="2"/>
      <c r="AL97" s="2"/>
      <c r="AM97" s="2"/>
      <c r="AN97" s="2"/>
      <c r="AO97" s="2"/>
      <c r="AP97" s="3"/>
      <c r="AQ97" s="3"/>
      <c r="AR97" s="3"/>
      <c r="AS97" s="3"/>
      <c r="AT97" s="2"/>
      <c r="AU97" s="3"/>
      <c r="AV97" s="3"/>
      <c r="AW97" s="3"/>
      <c r="AX97" s="223"/>
      <c r="AY97" s="2"/>
      <c r="AZ97" s="2"/>
      <c r="BA97" s="2"/>
      <c r="BB97" s="2"/>
      <c r="BC97" s="2"/>
      <c r="BD97" s="2"/>
      <c r="BE97" s="2"/>
      <c r="BF97" s="2"/>
      <c r="BG97" s="2"/>
      <c r="BH97" s="2"/>
      <c r="BI97" s="2"/>
      <c r="BJ97" s="2"/>
      <c r="BK97" s="2"/>
      <c r="BL97" s="2"/>
      <c r="BM97" s="2"/>
      <c r="BN97" s="2"/>
      <c r="BO97" s="3"/>
      <c r="BP97" s="3"/>
      <c r="BQ97" s="3"/>
      <c r="BR97" s="223"/>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3"/>
      <c r="CT97" s="3"/>
      <c r="CU97" s="3"/>
      <c r="CV97" s="223"/>
      <c r="CW97" s="2"/>
      <c r="CX97" s="2"/>
      <c r="CY97" s="2"/>
      <c r="CZ97" s="2"/>
      <c r="DA97" s="2"/>
      <c r="DB97" s="2"/>
      <c r="DC97" s="2"/>
      <c r="DD97" s="2"/>
      <c r="DE97" s="2"/>
      <c r="DF97" s="2"/>
      <c r="DG97" s="2"/>
      <c r="DH97" s="2"/>
      <c r="DI97" s="2"/>
      <c r="DJ97" s="2"/>
      <c r="DK97" s="2"/>
      <c r="DL97" s="2"/>
      <c r="DM97" s="2"/>
      <c r="DN97" s="2"/>
      <c r="DO97" s="2"/>
      <c r="DP97" s="2"/>
      <c r="DQ97" s="2"/>
    </row>
    <row r="98" ht="14.25" customHeight="1">
      <c r="A98" s="2"/>
      <c r="B98" s="499">
        <v>45.1</v>
      </c>
      <c r="C98" s="409" t="s">
        <v>1095</v>
      </c>
      <c r="D98" s="580"/>
      <c r="E98" s="406"/>
      <c r="F98" s="907"/>
      <c r="G98" s="3"/>
      <c r="H98" s="223"/>
      <c r="I98" s="223"/>
      <c r="J98" s="223"/>
      <c r="K98" s="2"/>
      <c r="L98" s="3"/>
      <c r="M98" s="223"/>
      <c r="N98" s="223"/>
      <c r="O98" s="223"/>
      <c r="P98" s="2"/>
      <c r="Q98" s="223"/>
      <c r="R98" s="223"/>
      <c r="S98" s="3"/>
      <c r="T98" s="223"/>
      <c r="U98" s="2"/>
      <c r="V98" s="2"/>
      <c r="W98" s="2"/>
      <c r="X98" s="2"/>
      <c r="Y98" s="2"/>
      <c r="Z98" s="2"/>
      <c r="AA98" s="449"/>
      <c r="AB98" s="451"/>
      <c r="AC98" s="452"/>
      <c r="AD98" s="456"/>
      <c r="AE98" s="2"/>
      <c r="AF98" s="223"/>
      <c r="AG98" s="223"/>
      <c r="AH98" s="223"/>
      <c r="AI98" s="223"/>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3"/>
      <c r="BP98" s="3"/>
      <c r="BQ98" s="3"/>
      <c r="BR98" s="223"/>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row>
    <row r="99" ht="14.25" customHeight="1">
      <c r="A99" s="2"/>
      <c r="B99" s="449">
        <v>46.0</v>
      </c>
      <c r="C99" s="636" t="s">
        <v>1099</v>
      </c>
      <c r="D99" s="452"/>
      <c r="E99" s="456"/>
      <c r="F99" s="907"/>
      <c r="G99" s="2"/>
      <c r="H99" s="2"/>
      <c r="I99" s="2"/>
      <c r="J99" s="2"/>
      <c r="K99" s="2"/>
      <c r="L99" s="3"/>
      <c r="M99" s="223"/>
      <c r="N99" s="223"/>
      <c r="O99" s="223"/>
      <c r="P99" s="2"/>
      <c r="Q99" s="223"/>
      <c r="R99" s="223"/>
      <c r="S99" s="3"/>
      <c r="T99" s="223"/>
      <c r="U99" s="2"/>
      <c r="V99" s="2"/>
      <c r="W99" s="2"/>
      <c r="X99" s="2"/>
      <c r="Y99" s="2"/>
      <c r="Z99" s="2"/>
      <c r="AA99" s="476"/>
      <c r="AB99" s="477"/>
      <c r="AC99" s="478"/>
      <c r="AD99" s="479"/>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3"/>
      <c r="BP99" s="3"/>
      <c r="BQ99" s="3"/>
      <c r="BR99" s="223"/>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row>
    <row r="100" ht="14.25" customHeight="1">
      <c r="A100" s="2"/>
      <c r="B100" s="499">
        <v>46.1</v>
      </c>
      <c r="C100" s="409" t="s">
        <v>1103</v>
      </c>
      <c r="D100" s="580"/>
      <c r="E100" s="406"/>
      <c r="F100" s="907"/>
      <c r="G100" s="2"/>
      <c r="H100" s="2"/>
      <c r="I100" s="2"/>
      <c r="J100" s="2"/>
      <c r="K100" s="2"/>
      <c r="L100" s="3"/>
      <c r="M100" s="223"/>
      <c r="N100" s="223"/>
      <c r="O100" s="223"/>
      <c r="P100" s="2"/>
      <c r="Q100" s="223"/>
      <c r="R100" s="223"/>
      <c r="S100" s="3"/>
      <c r="T100" s="223"/>
      <c r="U100" s="2"/>
      <c r="V100" s="2"/>
      <c r="W100" s="2"/>
      <c r="X100" s="2"/>
      <c r="Y100" s="2"/>
      <c r="Z100" s="2"/>
      <c r="AA100" s="449"/>
      <c r="AB100" s="451"/>
      <c r="AC100" s="452"/>
      <c r="AD100" s="456"/>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3"/>
      <c r="BP100" s="3"/>
      <c r="BQ100" s="3"/>
      <c r="BR100" s="223"/>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row>
    <row r="101" ht="14.25" customHeight="1">
      <c r="A101" s="2"/>
      <c r="B101" s="476">
        <v>47.0</v>
      </c>
      <c r="C101" s="477" t="s">
        <v>1105</v>
      </c>
      <c r="D101" s="478"/>
      <c r="E101" s="479"/>
      <c r="F101" s="907"/>
      <c r="G101" s="2"/>
      <c r="H101" s="2"/>
      <c r="I101" s="2"/>
      <c r="J101" s="2"/>
      <c r="K101" s="2"/>
      <c r="L101" s="3"/>
      <c r="M101" s="223"/>
      <c r="N101" s="223"/>
      <c r="O101" s="223"/>
      <c r="P101" s="2"/>
      <c r="Q101" s="223"/>
      <c r="R101" s="223"/>
      <c r="S101" s="3"/>
      <c r="T101" s="223"/>
      <c r="U101" s="2"/>
      <c r="V101" s="2"/>
      <c r="W101" s="2"/>
      <c r="X101" s="2"/>
      <c r="Y101" s="2"/>
      <c r="Z101" s="2"/>
      <c r="AA101" s="476"/>
      <c r="AB101" s="477"/>
      <c r="AC101" s="478"/>
      <c r="AD101" s="479"/>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3"/>
      <c r="BP101" s="3"/>
      <c r="BQ101" s="3"/>
      <c r="BR101" s="223"/>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row>
    <row r="102" ht="14.25" customHeight="1">
      <c r="A102" s="2"/>
      <c r="B102" s="449">
        <v>48.0</v>
      </c>
      <c r="C102" s="451" t="s">
        <v>1106</v>
      </c>
      <c r="D102" s="452"/>
      <c r="E102" s="456"/>
      <c r="F102" s="907"/>
      <c r="G102" s="2"/>
      <c r="H102" s="2"/>
      <c r="I102" s="2"/>
      <c r="J102" s="2"/>
      <c r="K102" s="2"/>
      <c r="L102" s="3"/>
      <c r="M102" s="223"/>
      <c r="N102" s="223"/>
      <c r="O102" s="223"/>
      <c r="P102" s="2"/>
      <c r="Q102" s="2"/>
      <c r="R102" s="2"/>
      <c r="S102" s="2"/>
      <c r="T102" s="2"/>
      <c r="U102" s="2"/>
      <c r="V102" s="2"/>
      <c r="W102" s="2"/>
      <c r="X102" s="2"/>
      <c r="Y102" s="2"/>
      <c r="Z102" s="2"/>
      <c r="AA102" s="449"/>
      <c r="AB102" s="451"/>
      <c r="AC102" s="452"/>
      <c r="AD102" s="456"/>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3"/>
      <c r="BP102" s="3"/>
      <c r="BQ102" s="3"/>
      <c r="BR102" s="223"/>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row>
    <row r="103" ht="14.25" customHeight="1">
      <c r="A103" s="2"/>
      <c r="B103" s="499">
        <v>48.1</v>
      </c>
      <c r="C103" s="643" t="s">
        <v>1109</v>
      </c>
      <c r="D103" s="580"/>
      <c r="E103" s="406"/>
      <c r="F103" s="2"/>
      <c r="G103" s="2"/>
      <c r="H103" s="2"/>
      <c r="I103" s="2"/>
      <c r="J103" s="2"/>
      <c r="K103" s="2"/>
      <c r="L103" s="3"/>
      <c r="M103" s="223"/>
      <c r="N103" s="223"/>
      <c r="O103" s="223"/>
      <c r="P103" s="2"/>
      <c r="Q103" s="2"/>
      <c r="R103" s="2"/>
      <c r="S103" s="2"/>
      <c r="T103" s="2"/>
      <c r="U103" s="2"/>
      <c r="V103" s="2"/>
      <c r="W103" s="2"/>
      <c r="X103" s="2"/>
      <c r="Y103" s="2"/>
      <c r="Z103" s="2"/>
      <c r="AA103" s="476"/>
      <c r="AB103" s="477"/>
      <c r="AC103" s="478"/>
      <c r="AD103" s="479"/>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3"/>
      <c r="BP103" s="3"/>
      <c r="BQ103" s="3"/>
      <c r="BR103" s="223"/>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row>
    <row r="104" ht="15.0" customHeight="1">
      <c r="A104" s="2"/>
      <c r="B104" s="476">
        <v>49.0</v>
      </c>
      <c r="C104" s="477" t="s">
        <v>1110</v>
      </c>
      <c r="D104" s="478"/>
      <c r="E104" s="479"/>
      <c r="F104" s="2"/>
      <c r="G104" s="2"/>
      <c r="H104" s="2"/>
      <c r="I104" s="2"/>
      <c r="J104" s="2"/>
      <c r="K104" s="2"/>
      <c r="L104" s="3"/>
      <c r="M104" s="223"/>
      <c r="N104" s="223"/>
      <c r="O104" s="223"/>
      <c r="P104" s="2"/>
      <c r="Q104" s="2"/>
      <c r="R104" s="2"/>
      <c r="S104" s="2"/>
      <c r="T104" s="2"/>
      <c r="U104" s="2"/>
      <c r="V104" s="2"/>
      <c r="W104" s="2"/>
      <c r="X104" s="2"/>
      <c r="Y104" s="2"/>
      <c r="Z104" s="2"/>
      <c r="AA104" s="3"/>
      <c r="AB104" s="3"/>
      <c r="AC104" s="3"/>
      <c r="AD104" s="223"/>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3"/>
      <c r="BP104" s="3"/>
      <c r="BQ104" s="3"/>
      <c r="BR104" s="223"/>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row>
    <row r="105" ht="14.25" customHeight="1">
      <c r="A105" s="2"/>
      <c r="B105" s="449">
        <v>50.0</v>
      </c>
      <c r="C105" s="636" t="s">
        <v>1115</v>
      </c>
      <c r="D105" s="452"/>
      <c r="E105" s="456"/>
      <c r="F105" s="2"/>
      <c r="G105" s="2"/>
      <c r="H105" s="2"/>
      <c r="I105" s="2"/>
      <c r="J105" s="2"/>
      <c r="K105" s="2"/>
      <c r="L105" s="3"/>
      <c r="M105" s="223"/>
      <c r="N105" s="223"/>
      <c r="O105" s="223"/>
      <c r="P105" s="2"/>
      <c r="Q105" s="2"/>
      <c r="R105" s="2"/>
      <c r="S105" s="2"/>
      <c r="T105" s="2"/>
      <c r="U105" s="2"/>
      <c r="V105" s="2"/>
      <c r="W105" s="2"/>
      <c r="X105" s="2"/>
      <c r="Y105" s="2"/>
      <c r="Z105" s="2"/>
      <c r="AA105" s="3"/>
      <c r="AB105" s="3"/>
      <c r="AC105" s="3"/>
      <c r="AD105" s="223"/>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3"/>
      <c r="BP105" s="3"/>
      <c r="BQ105" s="3"/>
      <c r="BR105" s="223"/>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row>
    <row r="106" ht="14.25" customHeight="1">
      <c r="A106" s="2"/>
      <c r="B106" s="499">
        <v>50.1</v>
      </c>
      <c r="C106" s="409" t="s">
        <v>1119</v>
      </c>
      <c r="D106" s="580"/>
      <c r="E106" s="406"/>
      <c r="F106" s="2"/>
      <c r="G106" s="2"/>
      <c r="H106" s="2"/>
      <c r="I106" s="2"/>
      <c r="J106" s="2"/>
      <c r="K106" s="2"/>
      <c r="L106" s="3"/>
      <c r="M106" s="223"/>
      <c r="N106" s="223"/>
      <c r="O106" s="223"/>
      <c r="P106" s="2"/>
      <c r="Q106" s="2"/>
      <c r="R106" s="2"/>
      <c r="S106" s="2"/>
      <c r="T106" s="2"/>
      <c r="U106" s="2"/>
      <c r="V106" s="2"/>
      <c r="W106" s="2"/>
      <c r="X106" s="2"/>
      <c r="Y106" s="2"/>
      <c r="Z106" s="2"/>
      <c r="AA106" s="3"/>
      <c r="AB106" s="3"/>
      <c r="AC106" s="3"/>
      <c r="AD106" s="223"/>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23"/>
      <c r="BP106" s="223"/>
      <c r="BQ106" s="223"/>
      <c r="BR106" s="3"/>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row>
    <row r="107" ht="14.25" customHeight="1">
      <c r="A107" s="2"/>
      <c r="B107" s="476">
        <v>51.0</v>
      </c>
      <c r="C107" s="477" t="s">
        <v>1120</v>
      </c>
      <c r="D107" s="478"/>
      <c r="E107" s="479"/>
      <c r="F107" s="2"/>
      <c r="G107" s="2"/>
      <c r="H107" s="2"/>
      <c r="I107" s="2"/>
      <c r="J107" s="2"/>
      <c r="K107" s="2"/>
      <c r="L107" s="3"/>
      <c r="M107" s="223"/>
      <c r="N107" s="223"/>
      <c r="O107" s="223"/>
      <c r="P107" s="2"/>
      <c r="Q107" s="2"/>
      <c r="R107" s="2"/>
      <c r="S107" s="2"/>
      <c r="T107" s="2"/>
      <c r="U107" s="2"/>
      <c r="V107" s="2"/>
      <c r="W107" s="2"/>
      <c r="X107" s="2"/>
      <c r="Y107" s="2"/>
      <c r="Z107" s="2"/>
      <c r="AA107" s="3"/>
      <c r="AB107" s="3"/>
      <c r="AC107" s="3"/>
      <c r="AD107" s="223"/>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3"/>
      <c r="BP107" s="3"/>
      <c r="BQ107" s="3"/>
      <c r="BR107" s="223"/>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row>
    <row r="108" ht="14.25" customHeight="1">
      <c r="A108" s="2"/>
      <c r="B108" s="449">
        <v>52.0</v>
      </c>
      <c r="C108" s="451" t="s">
        <v>1123</v>
      </c>
      <c r="D108" s="452"/>
      <c r="E108" s="456"/>
      <c r="F108" s="2"/>
      <c r="G108" s="2"/>
      <c r="H108" s="2"/>
      <c r="I108" s="2"/>
      <c r="J108" s="2"/>
      <c r="K108" s="2"/>
      <c r="L108" s="2"/>
      <c r="M108" s="2"/>
      <c r="N108" s="2"/>
      <c r="O108" s="2"/>
      <c r="P108" s="2"/>
      <c r="Q108" s="2"/>
      <c r="R108" s="2"/>
      <c r="S108" s="2"/>
      <c r="T108" s="2"/>
      <c r="U108" s="2"/>
      <c r="V108" s="2"/>
      <c r="W108" s="2"/>
      <c r="X108" s="2"/>
      <c r="Y108" s="2"/>
      <c r="Z108" s="2"/>
      <c r="AA108" s="2"/>
      <c r="AB108" s="2"/>
      <c r="AC108" s="2"/>
      <c r="AD108" s="3"/>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3"/>
      <c r="BP108" s="3"/>
      <c r="BQ108" s="3"/>
      <c r="BR108" s="223"/>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row>
    <row r="109" ht="14.25" customHeight="1">
      <c r="A109" s="2"/>
      <c r="B109" s="476">
        <v>53.0</v>
      </c>
      <c r="C109" s="477" t="s">
        <v>1126</v>
      </c>
      <c r="D109" s="478"/>
      <c r="E109" s="479"/>
      <c r="F109" s="2"/>
      <c r="G109" s="2"/>
      <c r="H109" s="2"/>
      <c r="I109" s="2"/>
      <c r="J109" s="2"/>
      <c r="K109" s="2"/>
      <c r="L109" s="2"/>
      <c r="M109" s="2"/>
      <c r="N109" s="2"/>
      <c r="O109" s="2"/>
      <c r="P109" s="2"/>
      <c r="Q109" s="2"/>
      <c r="R109" s="2"/>
      <c r="S109" s="2"/>
      <c r="T109" s="2"/>
      <c r="U109" s="2"/>
      <c r="V109" s="2"/>
      <c r="W109" s="2"/>
      <c r="X109" s="2"/>
      <c r="Y109" s="2"/>
      <c r="Z109" s="2"/>
      <c r="AA109" s="2"/>
      <c r="AB109" s="2"/>
      <c r="AC109" s="2"/>
      <c r="AD109" s="3"/>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3"/>
      <c r="BP109" s="3"/>
      <c r="BQ109" s="3"/>
      <c r="BR109" s="223"/>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row>
    <row r="110" ht="14.25" customHeight="1">
      <c r="A110" s="2"/>
      <c r="B110" s="449"/>
      <c r="C110" s="636"/>
      <c r="D110" s="452"/>
      <c r="E110" s="456"/>
      <c r="F110" s="2"/>
      <c r="G110" s="2"/>
      <c r="H110" s="2"/>
      <c r="I110" s="2"/>
      <c r="J110" s="2"/>
      <c r="K110" s="2"/>
      <c r="L110" s="2"/>
      <c r="M110" s="2"/>
      <c r="N110" s="2"/>
      <c r="O110" s="2"/>
      <c r="P110" s="2"/>
      <c r="Q110" s="2"/>
      <c r="R110" s="2"/>
      <c r="S110" s="2"/>
      <c r="T110" s="2"/>
      <c r="U110" s="2"/>
      <c r="V110" s="2"/>
      <c r="W110" s="2"/>
      <c r="X110" s="2"/>
      <c r="Y110" s="2"/>
      <c r="Z110" s="2"/>
      <c r="AA110" s="2"/>
      <c r="AB110" s="2"/>
      <c r="AC110" s="2"/>
      <c r="AD110" s="3"/>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3"/>
      <c r="BP110" s="3"/>
      <c r="BQ110" s="3"/>
      <c r="BR110" s="223"/>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row>
    <row r="111" ht="14.25" customHeight="1">
      <c r="A111" s="2"/>
      <c r="B111" s="907"/>
      <c r="C111" s="907"/>
      <c r="D111" s="907"/>
      <c r="E111" s="907"/>
      <c r="F111" s="2"/>
      <c r="G111" s="2"/>
      <c r="H111" s="2"/>
      <c r="I111" s="2"/>
      <c r="J111" s="2"/>
      <c r="K111" s="2"/>
      <c r="L111" s="2"/>
      <c r="M111" s="2"/>
      <c r="N111" s="2"/>
      <c r="O111" s="2"/>
      <c r="P111" s="2"/>
      <c r="Q111" s="2"/>
      <c r="R111" s="2"/>
      <c r="S111" s="2"/>
      <c r="T111" s="2"/>
      <c r="U111" s="2"/>
      <c r="V111" s="2"/>
      <c r="W111" s="2"/>
      <c r="X111" s="2"/>
      <c r="Y111" s="2"/>
      <c r="Z111" s="2"/>
      <c r="AA111" s="2"/>
      <c r="AB111" s="2"/>
      <c r="AC111" s="2"/>
      <c r="AD111" s="3"/>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row>
    <row r="112" ht="14.25" customHeight="1">
      <c r="A112" s="2"/>
      <c r="B112" s="907"/>
      <c r="C112" s="907"/>
      <c r="D112" s="907"/>
      <c r="E112" s="907"/>
      <c r="F112" s="2"/>
      <c r="G112" s="2"/>
      <c r="H112" s="2"/>
      <c r="I112" s="2"/>
      <c r="J112" s="2"/>
      <c r="K112" s="2"/>
      <c r="L112" s="2"/>
      <c r="M112" s="2"/>
      <c r="N112" s="2"/>
      <c r="O112" s="2"/>
      <c r="P112" s="2"/>
      <c r="Q112" s="2"/>
      <c r="R112" s="2"/>
      <c r="S112" s="2"/>
      <c r="T112" s="2"/>
      <c r="U112" s="2"/>
      <c r="V112" s="2"/>
      <c r="W112" s="2"/>
      <c r="X112" s="2"/>
      <c r="Y112" s="2"/>
      <c r="Z112" s="2"/>
      <c r="AA112" s="2"/>
      <c r="AB112" s="2"/>
      <c r="AC112" s="2"/>
      <c r="AD112" s="3"/>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row>
    <row r="113" ht="14.25" customHeight="1">
      <c r="A113" s="2"/>
      <c r="B113" s="907"/>
      <c r="C113" s="907"/>
      <c r="D113" s="907"/>
      <c r="E113" s="907"/>
      <c r="F113" s="2"/>
      <c r="G113" s="2"/>
      <c r="H113" s="2"/>
      <c r="I113" s="2"/>
      <c r="J113" s="2"/>
      <c r="K113" s="2"/>
      <c r="L113" s="2"/>
      <c r="M113" s="2"/>
      <c r="N113" s="2"/>
      <c r="O113" s="2"/>
      <c r="P113" s="2"/>
      <c r="Q113" s="2"/>
      <c r="R113" s="2"/>
      <c r="S113" s="2"/>
      <c r="T113" s="2"/>
      <c r="U113" s="2"/>
      <c r="V113" s="2"/>
      <c r="W113" s="2"/>
      <c r="X113" s="2"/>
      <c r="Y113" s="2"/>
      <c r="Z113" s="2"/>
      <c r="AA113" s="2"/>
      <c r="AB113" s="2"/>
      <c r="AC113" s="2"/>
      <c r="AD113" s="3"/>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row>
    <row r="114" ht="14.25" customHeight="1">
      <c r="A114" s="2"/>
      <c r="B114" s="907"/>
      <c r="C114" s="907"/>
      <c r="D114" s="907"/>
      <c r="E114" s="907"/>
      <c r="F114" s="2"/>
      <c r="G114" s="2"/>
      <c r="H114" s="2"/>
      <c r="I114" s="2"/>
      <c r="J114" s="2"/>
      <c r="K114" s="2"/>
      <c r="L114" s="2"/>
      <c r="M114" s="2"/>
      <c r="N114" s="2"/>
      <c r="O114" s="2"/>
      <c r="P114" s="2"/>
      <c r="Q114" s="2"/>
      <c r="R114" s="2"/>
      <c r="S114" s="2"/>
      <c r="T114" s="2"/>
      <c r="U114" s="2"/>
      <c r="V114" s="2"/>
      <c r="W114" s="2"/>
      <c r="X114" s="2"/>
      <c r="Y114" s="2"/>
      <c r="Z114" s="2"/>
      <c r="AA114" s="2"/>
      <c r="AB114" s="2"/>
      <c r="AC114" s="2"/>
      <c r="AD114" s="3"/>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row>
    <row r="115" ht="14.25" customHeight="1">
      <c r="A115" s="2"/>
      <c r="B115" s="907"/>
      <c r="C115" s="907"/>
      <c r="D115" s="907"/>
      <c r="E115" s="907"/>
      <c r="F115" s="2"/>
      <c r="G115" s="2"/>
      <c r="H115" s="2"/>
      <c r="I115" s="2"/>
      <c r="J115" s="2"/>
      <c r="K115" s="2"/>
      <c r="L115" s="2"/>
      <c r="M115" s="2"/>
      <c r="N115" s="2"/>
      <c r="O115" s="2"/>
      <c r="P115" s="2"/>
      <c r="Q115" s="2"/>
      <c r="R115" s="2"/>
      <c r="S115" s="2"/>
      <c r="T115" s="2"/>
      <c r="U115" s="2"/>
      <c r="V115" s="2"/>
      <c r="W115" s="2"/>
      <c r="X115" s="2"/>
      <c r="Y115" s="2"/>
      <c r="Z115" s="2"/>
      <c r="AA115" s="2"/>
      <c r="AB115" s="2"/>
      <c r="AC115" s="2"/>
      <c r="AD115" s="3"/>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row>
    <row r="116" ht="14.25" customHeight="1">
      <c r="A116" s="2"/>
      <c r="B116" s="907"/>
      <c r="C116" s="907"/>
      <c r="D116" s="907"/>
      <c r="E116" s="907"/>
      <c r="F116" s="2"/>
      <c r="G116" s="2"/>
      <c r="H116" s="2"/>
      <c r="I116" s="2"/>
      <c r="J116" s="2"/>
      <c r="K116" s="2"/>
      <c r="L116" s="2"/>
      <c r="M116" s="2"/>
      <c r="N116" s="2"/>
      <c r="O116" s="2"/>
      <c r="P116" s="2"/>
      <c r="Q116" s="2"/>
      <c r="R116" s="2"/>
      <c r="S116" s="2"/>
      <c r="T116" s="2"/>
      <c r="U116" s="2"/>
      <c r="V116" s="2"/>
      <c r="W116" s="2"/>
      <c r="X116" s="2"/>
      <c r="Y116" s="2"/>
      <c r="Z116" s="2"/>
      <c r="AA116" s="2"/>
      <c r="AB116" s="2"/>
      <c r="AC116" s="2"/>
      <c r="AD116" s="3"/>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row>
    <row r="117" ht="14.25" customHeight="1">
      <c r="A117" s="2"/>
      <c r="B117" s="907"/>
      <c r="C117" s="907"/>
      <c r="D117" s="907"/>
      <c r="E117" s="907"/>
      <c r="F117" s="2"/>
      <c r="G117" s="2"/>
      <c r="H117" s="2"/>
      <c r="I117" s="2"/>
      <c r="J117" s="2"/>
      <c r="K117" s="2"/>
      <c r="L117" s="2"/>
      <c r="M117" s="2"/>
      <c r="N117" s="2"/>
      <c r="O117" s="2"/>
      <c r="P117" s="2"/>
      <c r="Q117" s="2"/>
      <c r="R117" s="2"/>
      <c r="S117" s="2"/>
      <c r="T117" s="2"/>
      <c r="U117" s="2"/>
      <c r="V117" s="2"/>
      <c r="W117" s="2"/>
      <c r="X117" s="2"/>
      <c r="Y117" s="2"/>
      <c r="Z117" s="2"/>
      <c r="AA117" s="2"/>
      <c r="AB117" s="2"/>
      <c r="AC117" s="2"/>
      <c r="AD117" s="3"/>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row>
    <row r="118" ht="14.25" customHeight="1">
      <c r="A118" s="2"/>
      <c r="B118" s="907"/>
      <c r="C118" s="907"/>
      <c r="D118" s="907"/>
      <c r="E118" s="907"/>
      <c r="F118" s="2"/>
      <c r="G118" s="2"/>
      <c r="H118" s="2"/>
      <c r="I118" s="2"/>
      <c r="J118" s="2"/>
      <c r="K118" s="2"/>
      <c r="L118" s="2"/>
      <c r="M118" s="2"/>
      <c r="N118" s="2"/>
      <c r="O118" s="2"/>
      <c r="P118" s="2"/>
      <c r="Q118" s="2"/>
      <c r="R118" s="2"/>
      <c r="S118" s="2"/>
      <c r="T118" s="2"/>
      <c r="U118" s="2"/>
      <c r="V118" s="2"/>
      <c r="W118" s="2"/>
      <c r="X118" s="2"/>
      <c r="Y118" s="2"/>
      <c r="Z118" s="2"/>
      <c r="AA118" s="2"/>
      <c r="AB118" s="2"/>
      <c r="AC118" s="2"/>
      <c r="AD118" s="3"/>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row>
    <row r="119" ht="14.25" customHeight="1">
      <c r="A119" s="2"/>
      <c r="B119" s="907"/>
      <c r="C119" s="907"/>
      <c r="D119" s="907"/>
      <c r="E119" s="907"/>
      <c r="F119" s="2"/>
      <c r="G119" s="2"/>
      <c r="H119" s="2"/>
      <c r="I119" s="2"/>
      <c r="J119" s="2"/>
      <c r="K119" s="2"/>
      <c r="L119" s="2"/>
      <c r="M119" s="2"/>
      <c r="N119" s="2"/>
      <c r="O119" s="2"/>
      <c r="P119" s="2"/>
      <c r="Q119" s="2"/>
      <c r="R119" s="2"/>
      <c r="S119" s="2"/>
      <c r="T119" s="2"/>
      <c r="U119" s="2"/>
      <c r="V119" s="2"/>
      <c r="W119" s="2"/>
      <c r="X119" s="2"/>
      <c r="Y119" s="2"/>
      <c r="Z119" s="2"/>
      <c r="AA119" s="2"/>
      <c r="AB119" s="2"/>
      <c r="AC119" s="2"/>
      <c r="AD119" s="3"/>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4:J19"/>
    <mergeCell ref="BU38:BV38"/>
  </mergeCells>
  <conditionalFormatting sqref="C3:C21">
    <cfRule type="colorScale" priority="1">
      <colorScale>
        <cfvo type="min"/>
        <cfvo type="percentile" val="50"/>
        <cfvo type="max"/>
        <color rgb="FFF8696B"/>
        <color rgb="FFFCFCFF"/>
        <color rgb="FF63BE7B"/>
      </colorScale>
    </cfRule>
  </conditionalFormatting>
  <conditionalFormatting sqref="D3:D7 D9:D21">
    <cfRule type="colorScale" priority="2">
      <colorScale>
        <cfvo type="min"/>
        <cfvo type="percentile" val="50"/>
        <cfvo type="max"/>
        <color rgb="FFF8696B"/>
        <color rgb="FFFCFCFF"/>
        <color rgb="FF63BE7B"/>
      </colorScale>
    </cfRule>
  </conditionalFormatting>
  <hyperlinks>
    <hyperlink display="Beverages" location="'Recipe Index'!CB38" ref="C3"/>
    <hyperlink display="Breakfast Items" location="'Recipe Index'!BP39" ref="C4"/>
    <hyperlink display="Chutneys" location="'Recipe Index'!AV39" ref="C5"/>
    <hyperlink display="Dal" location="'Recipe Index'!R38" ref="C6"/>
    <hyperlink display="Economical Recipes" location="'Recipe Index'!CE56" ref="C7"/>
    <hyperlink display="Ekadashi" location="'Recipe Index'!AL38" ref="C8"/>
    <hyperlink display="Fried Items / Farsan /Snacks" location="'Recipe Index'!BK39" ref="C9"/>
    <hyperlink display="Jam,pickles" location="'Recipe Index'!CN38" ref="C10"/>
    <hyperlink display="Kadhi / Raita" location="'Recipe Index'!BF38" ref="C11"/>
    <hyperlink display="Khichadi" location="'Recipe Index'!BA38" ref="C12"/>
    <hyperlink display="Masalas" location="'Recipe Index'!CP58" ref="C13"/>
    <hyperlink display="Rice" location="'Recipe Index'!O50" ref="C14"/>
    <hyperlink display="Rotis" location="'Recipe Index'!AD61" ref="C15"/>
    <hyperlink display="Sabji's, Dry " location="'Recipe Index'!H38" ref="C16"/>
    <hyperlink display="Sabji's, Wet" location="'Recipe Index'!C38" ref="C17"/>
    <hyperlink display="Soups/ Salads" location="'Recipe Index'!AQ38" ref="C18"/>
    <hyperlink display="Sweets" location="'Recipe Index'!AB58" ref="C19"/>
    <hyperlink display="Sweets Sustainable" location="'Recipe Index'!AG38" ref="C20"/>
    <hyperlink display="FHC Sabjis" location="'Recipe Index'!CX59" ref="C21"/>
    <hyperlink display="Back" location="'Recipe Index'!A2" ref="D38"/>
    <hyperlink display="Back" location="'Recipe Index'!A2" ref="I38"/>
    <hyperlink display="Back" location="'Recipe Index'!A2" ref="N38"/>
    <hyperlink display="Back" location="'Recipe Index'!A2" ref="S38"/>
    <hyperlink display="Back" location="'Recipe Index'!A2" ref="X38"/>
    <hyperlink display="Back" location="'Recipe Index'!A2" ref="AC38"/>
    <hyperlink display="Back" location="'Recipe Index'!A2" ref="AH38"/>
    <hyperlink display="Back" location="'Recipe Index'!A2" ref="AM38"/>
    <hyperlink display="Back" location="'Recipe Index'!A2" ref="AR38"/>
    <hyperlink display="Back" location="'Recipe Index'!A2" ref="AW38"/>
    <hyperlink display="Back" location="'Recipe Index'!A2" ref="BB38"/>
    <hyperlink display="Back" location="'Recipe Index'!A2" ref="BG38"/>
    <hyperlink display="Back" location="'Recipe Index'!A2" ref="BL38"/>
    <hyperlink display="Back" location="'Recipe Index'!A2" ref="BQ38"/>
    <hyperlink display="Back" location="'Recipe Index'!A2" ref="BW38"/>
    <hyperlink display="Back" location="'Recipe Index'!A2" ref="CC38"/>
    <hyperlink display="Back" location="'Recipe Index'!A2" ref="CI38"/>
    <hyperlink display="Back" location="'Recipe Index'!A2" ref="CO38"/>
    <hyperlink display="Back" location="'Recipe Index'!A2" ref="CU38"/>
    <hyperlink display="Alu Corn cob _VCT Gravy" location="Google_Sheet_Link_275172728" ref="C40"/>
    <hyperlink display="Akka Mung:Dry" location="'Subji, Dry'!A640" ref="H40"/>
    <hyperlink display="Achaari Chole Rice_Prithvi" location="Google_Sheet_Link_1241337384" ref="M40"/>
    <hyperlink display="Andhra Pappu with methi_NSD" location="Dal!B565" ref="R40"/>
    <hyperlink display="Alu Paratha (direct in dough)" location="Google_Sheet_Link_1025534901" ref="W40"/>
    <hyperlink display="Amrakhand 2" location="Google_Sheet_Link_1133702997" ref="AB40"/>
    <hyperlink display="7Cup Burfi_Skkd" location="'Sweets Sustainable'!B190" ref="AG40"/>
    <hyperlink display="Alu Bhopla Gajar Sabji" location="Google_Sheet_Link_1446403830" ref="AL40"/>
    <hyperlink display="Bhopla Carrot Soup" location="Google_Sheet_Link_120179286" ref="AQ40"/>
    <hyperlink display="CGC_ IDLI" location="Google_Sheet_Link_1742499586" ref="AV40"/>
    <hyperlink display="Dwadashi Kichiri" location="Google_Sheet_Link_759248846" ref="BA40"/>
    <hyperlink display="Curd Kadhi" location="Google_Sheet_Link_807960704" ref="BF40"/>
    <hyperlink display="Alu Bonda_prithvi" location="Google_Sheet_Link_63121890" ref="BK40"/>
    <hyperlink display="Alu Patatha_SKKP" location="Breakfast!B1030" ref="BP40"/>
    <hyperlink display="Coconut Varai Halva ( Janmastami )" location="Google_Sheet_Link_726732515" ref="BU40"/>
    <hyperlink display="Aam Ras" location="Google_Sheet_Link_556203385" ref="CB40"/>
    <hyperlink display="Charu Masala_Andhra" location="Masalas!B130" ref="CH40"/>
    <hyperlink display="Papaya Jam" location="Google_Sheet_Link_333849180" ref="CN40"/>
    <hyperlink display="Alu Baingan VCT Gravy" location="'FHC Sabjis'!B429" ref="CT40"/>
    <hyperlink display="Alu Tomato Rice_Prithvi" location="Google_Sheet_Link_1579840759" ref="M41"/>
    <hyperlink display="Chana Dal Aamti" location="Google_Sheet_Link_1077699516" ref="R41"/>
    <hyperlink display="Alu waali Roti 2" location="Google_Sheet_Link_1246121560" ref="W41"/>
    <hyperlink display="Angoori Rasamalai_HG RRP" location="Google_Sheet_Link_1457131900" ref="AB41"/>
    <hyperlink display="Besan  Barfi w/o Khava" location="Google_Sheet_Link_1856571039" ref="AG41"/>
    <hyperlink display="Coconut Varai Halva " location="Google_Sheet_Link_1638905131" ref="AL41"/>
    <hyperlink display="Bhopla Soup" location="Google_Sheet_Link_878279637" ref="AQ41"/>
    <hyperlink display="Coconut Chutney_KKD" location="Google_Sheet_Link_123903698" ref="AV41"/>
    <hyperlink display="Daliya Khicadi" location="Khichadi!A290" ref="BA41"/>
    <hyperlink display="Kadhi  Pakoda" location="Google_Sheet_Link_625754010" ref="BF41"/>
    <hyperlink display="Baingan Bhajjis's" location="Google_Sheet_Link_2030912723" ref="BK41"/>
    <hyperlink display="Dal Dhokli" location="Google_Sheet_Link_416386715" ref="BP41"/>
    <hyperlink display="Daliya Sweet with gud_eco" location="Google_Sheet_Link_163171601" ref="BU41"/>
    <hyperlink display="Amlana" location="Google_Sheet_Link_1324284842" ref="CB41"/>
    <hyperlink display="Garam Masala" location="Google_Sheet_Link_1704796126" ref="CH41"/>
    <hyperlink display="Chhunda" location="Google_Sheet_Link_1662452477" ref="CN41"/>
    <hyperlink display="Chauli Beans with Khas Khas_AjCP" location="'FHC Sabjis'!A1" ref="CT41"/>
    <hyperlink display="Alu Matar Flower Gajar Paneer" location="Google_Sheet_Link_1977419451" ref="C42"/>
    <hyperlink display="Alu Capsicum: Dry" location="Google_Sheet_Link_2120340675" ref="H42"/>
    <hyperlink display="Backup Rice&amp;Dal" location="Rice!A1302" ref="M42"/>
    <hyperlink display="Chilka mung dal Satvik" location="Google_Sheet_Link_1217526196" ref="R42"/>
    <hyperlink display="Atta- Besan Masala Chappati" location="Google_Sheet_Link_1728957832" ref="W42"/>
    <hyperlink display="Atta Cake_Deepka Pr" location="Google_Sheet_Link_870145157" ref="AB42"/>
    <hyperlink display="Bundi_2" location="Google_Sheet_Link_599992626" ref="AG42"/>
    <hyperlink display="Coconut Varai Halva, FFL" location="Google_Sheet_Link_544673314" ref="AL42"/>
    <hyperlink display="Chole Salad" location="Soups!B175" ref="AQ42"/>
    <hyperlink display="Coconut Chutney_Prithvi" location="Google_Sheet_Link_1140696771" ref="AV42"/>
    <hyperlink display="Health Khichadi" location="Google_Sheet_Link_941706255" ref="BA42"/>
    <hyperlink display="Kakdi Raita" location="Google_Sheet_Link_758639800" ref="BF42"/>
    <hyperlink display="Batatta Vada" location="Google_Sheet_Link_85986289" ref="BK42"/>
    <hyperlink display="Bhel_MKD" location="Google_Sheet_Link_824156113" ref="BP42"/>
    <hyperlink display="Meetha Chawal_eco" location="Google_Sheet_Link_155258195" ref="BU42"/>
    <hyperlink display="Chhaachh" location="Google_Sheet_Link_1633042546" ref="CB42"/>
    <hyperlink display="Garam Masala,Bengali " location="Google_Sheet_Link_2136213020" ref="CH42"/>
    <hyperlink display="Lomon Katta meeta achar" location="Jam!B75" ref="CN42"/>
    <hyperlink display="Chole Poriyal" location="'FHC Sabjis'!B395" ref="CT42"/>
    <hyperlink display="Alu Matar Gajar Pattagobhi" location="Google_Sheet_Link_2016542260" ref="C43"/>
    <hyperlink display="Alu Chokha" location="Google_Sheet_Link_1699113322" ref="H43"/>
    <hyperlink display="Bhagara Rice" location="Rice!A1290" ref="M43"/>
    <hyperlink display="Mung Dal Fry" location="Dal!B495" ref="R43"/>
    <hyperlink display="Carrot Parathas" location="Google_Sheet_Link_2092094453" ref="W43"/>
    <hyperlink display="Atta Halva" location="Google_Sheet_Link_1166831419" ref="AB43"/>
    <hyperlink display="Boondi Laddu_NPP" location="'Sweets Sustainable'!B135" ref="AG43"/>
    <hyperlink display="Dry Fruit Custard_Ekadashi" location="Google_Sheet_Link_764633278" ref="AL43"/>
    <hyperlink display="Manchow soup _Simple" location="Google_Sheet_Link_1815681245" ref="AQ43"/>
    <hyperlink display="Coconut Tomato Chutney 2" location="Google_Sheet_Link_2032274466" ref="AV43"/>
    <hyperlink display="Sunday Khichadi" location="Google_Sheet_Link_423697152" ref="BA43"/>
    <hyperlink display="Boondi Raita" location="Google_Sheet_Link_1149643528" ref="BF43"/>
    <hyperlink display="Bundi_Prithvi (Plain)" location="Google_Sheet_Link_704686424" ref="BK43"/>
    <hyperlink display="Daliya Upma" location="Google_Sheet_Link_1180562618" ref="BP43"/>
    <hyperlink display="FFL Rava Halva_Eco" location="Google_Sheet_Link_375015725" ref="BU43"/>
    <hyperlink display="Dhaniya Coffee" location="Google_Sheet_Link_1901935298" ref="CB43"/>
    <hyperlink display="Goda Masala" location="Google_Sheet_Link_834989191" ref="CH43"/>
    <hyperlink display="Mango Pickle_prthvi p" location="Google_Sheet_Link_551679915" ref="CN43"/>
    <hyperlink display="Beans Gajar Poriyal" location="'FHC Sabjis'!B375" ref="CT43"/>
    <hyperlink display="Alu Matar Paneer Palak" location="Google_Sheet_Link_8500983" ref="C44"/>
    <hyperlink display="Alu Churchuri" location="Google_Sheet_Link_1651696319" ref="H44"/>
    <hyperlink display="Biryani_Kolkata" location="Google_Sheet_Link_957738553" ref="M44"/>
    <hyperlink display="Dal Fry " location="Google_Sheet_Link_485318202" ref="R44"/>
    <hyperlink display="Masala Chappati/Puri" location="Google_Sheet_Link_2016131523" ref="W44"/>
    <hyperlink display="Banana Rava Halva" location="Google_Sheet_Link_871051232" ref="AB44"/>
    <hyperlink display="Dry Coconut Balls" location="'Sweets Sustainable'!B170" ref="AG44"/>
    <hyperlink display="Ekadashi Curd Kadhi" location="Google_Sheet_Link_1095004731" ref="AL44"/>
    <hyperlink display="Mung Kakdi Tomato salad " location="Soups!B155" ref="AQ44"/>
    <hyperlink display="Green Chetney_Sample" location="Chutneys!A235" ref="AV44"/>
    <hyperlink display="Millet Bisibilebath_Madhavi mji" location="Khichadi!B100" ref="BA44"/>
    <hyperlink display="Dhahi Aamti" location="Kadhi!B95" ref="BF44"/>
    <hyperlink display="Cabbage Pakoda" location="Google_Sheet_Link_1757255694" ref="BK44"/>
    <hyperlink display="Daliya Pulao" location="Breakfast!B880" ref="BP44"/>
    <hyperlink display="Rava Halva_Quick &amp; eco" location="Google_Sheet_Link_55665100" ref="BU44"/>
    <hyperlink display="Ginger Tea" location="Google_Sheet_Link_560100712" ref="CB44"/>
    <hyperlink display="Melkote Rasam Masala" location="Google_Sheet_Link_1634990810" ref="CH44"/>
    <hyperlink display="Mango Pickle_prthvi p 2" location="Google_Sheet_Link_976309436" ref="CN44"/>
    <hyperlink display="Beetroot Churchuri" location="'FHC Sabjis'!C40" ref="CT44"/>
    <hyperlink display="Alu Matar Phulgobhi Rasawala" location="Google_Sheet_Link_2079630118" ref="C45"/>
    <hyperlink display="Alu Dry with Tomato: S. I. Style " location="Google_Sheet_Link_1539907820" ref="H45"/>
    <hyperlink display="Biryani_RVCK" location="Google_Sheet_Link_739202920" ref="M45"/>
    <hyperlink display="Dalma_New" location="Google_Sheet_Link_1361392373" ref="R45"/>
    <hyperlink display="Basundi_skkd" location="Sweets!B1110" ref="AB45"/>
    <hyperlink display="Gulab Jamun_ with Rava" location="Google_Sheet_Link_1084721549" ref="AG45"/>
    <hyperlink display="Ekadashi Kokam Kadhi" location="Google_Sheet_Link_281925268" ref="AL45"/>
    <hyperlink display="Mayonisee Salad" location="Soups!B135" ref="AQ45"/>
    <hyperlink display="Green Coconut Chutney" location="Google_Sheet_Link_1986574890" ref="AV45"/>
    <hyperlink display="Non Spicy Millet Kichidi 1" location="Khichadi!B145" ref="BA45"/>
    <hyperlink display="Sole Khadi" location="Kadhi!B120" ref="BF45"/>
    <hyperlink display="Cabbage Palak Pakoda_NPP" location="'Fried Items'!B310" ref="BK45"/>
    <hyperlink display="Hare Krishna Bhel: Dry" location="Google_Sheet_Link_1895543201" ref="BP45"/>
    <hyperlink display="Shakkar Pongal_ eco" location="Google_Sheet_Link_1903128903" ref="BU45"/>
    <hyperlink display="Herbal Coffee" location="Google_Sheet_Link_475452859" ref="CB45"/>
    <hyperlink display="Panch Phoran" location="Google_Sheet_Link_2037274216" ref="CH45"/>
    <hyperlink display="Mango Pickle_Balaram's mother" location="Jam!B90" ref="CN45"/>
    <hyperlink display="Alu Mater with Puri_HG SMP" location="null!B1930" ref="C46"/>
    <hyperlink display="Alu Gajar Beans: Dry" location="Google_Sheet_Link_820004717" ref="H46"/>
    <hyperlink display="Cabbage Rice (Indian Chainees Rice)" location="Google_Sheet_Link_360532632" ref="M46"/>
    <hyperlink display="Elissary" location="Google_Sheet_Link_195798200" ref="R46"/>
    <hyperlink display="Beetroot Halva" location="Google_Sheet_Link_1451001613" ref="AB46"/>
    <hyperlink display="Kadi Shkkar &amp; Groundnut" location="Google_Sheet_Link_58178455" ref="AG46"/>
    <hyperlink display="Ekadasi Millet Poha with veg" location="Ekadashi!B610" ref="AL46"/>
    <hyperlink display="Kakdi gajar salad(simple)" location="Soups!A225" ref="AQ46"/>
    <hyperlink display="Green Coconut chetney_ND" location="Chutneys!B175" ref="AV46"/>
    <hyperlink display="Non Spicy Millet Kichidi 2" location="Khichadi!B170" ref="BA46"/>
    <hyperlink display="Chakra Frymes" location="Google_Sheet_Link_1012130459" ref="BK46"/>
    <hyperlink display="Hare Krishna Bhel:wet" location="Google_Sheet_Link_219153782" ref="BP46"/>
    <hyperlink display="Mungdal Payasam_eco" location="Google_Sheet_Link_58096897" ref="BU46"/>
    <hyperlink display="Herbal Tea" location="Google_Sheet_Link_1540232635" ref="CB46"/>
    <hyperlink display="Rasam Powder" location="Masalas!A92" ref="CH46"/>
    <hyperlink display="Barti Karela" location="'FHC Sabjis'!C45" ref="CT46"/>
    <hyperlink display="Alu Matar/Corn" location="Google_Sheet_Link_118830873" ref="C47"/>
    <hyperlink display="Alu Gajar Chauli: Dry" location="Google_Sheet_Link_498151781" ref="H47"/>
    <hyperlink display="Cabbage mater Rice_Biryani Style" location="Rice!B975" ref="M47"/>
    <hyperlink display="Kerala Style Dal" location="Google_Sheet_Link_2104390865" ref="R47"/>
    <hyperlink display="Beetroot Halva eco_skkp" location="Sweets!B1170" ref="AB47"/>
    <hyperlink display="Khaja" location="Google_Sheet_Link_1584619072" ref="AG47"/>
    <hyperlink display="Ekadashi Mix Veg" location="Google_Sheet_Link_80727872" ref="AL47"/>
    <hyperlink display="Sweet Corn Soup" location="Google_Sheet_Link_1122393640" ref="AQ47"/>
    <hyperlink display="Green Coconut chetney_HG VRLP" location="Chutneys!B195" ref="AV47"/>
    <hyperlink display="Non Spicy Millet Kichidi 3" location="Khichadi!B200" ref="BA47"/>
    <hyperlink display="Chenna Dal Wada" location="'Fried Items'!A330" ref="BK47"/>
    <hyperlink display="Idli with Idli Rava" location="Google_Sheet_Link_1632007529" ref="BP47"/>
    <hyperlink display="Jaljeera" location="Google_Sheet_Link_450373365" ref="CB47"/>
    <hyperlink display="Sambhar Masala" location="Google_Sheet_Link_1858412390" ref="CH47"/>
    <hyperlink display="Akka mung dry" location="'FHC Sabjis'!B220" ref="CT47"/>
    <hyperlink display="Alu Padval in VCT gravy" location="Google_Sheet_Link_1524992414" ref="C48"/>
    <hyperlink display="Alu Gavarphali with Shenghdana" location="Google_Sheet_Link_768775803" ref="H48"/>
    <hyperlink display="Carrot Capsicum Corn Rice_SGPP" location="Google_Sheet_Link_1511709334" ref="M48"/>
    <hyperlink display="Mung Dal Fry" location="Dal!B495" ref="R48"/>
    <hyperlink display="Besan Rava Halva" location="Google_Sheet_Link_398586399" ref="AB48"/>
    <hyperlink display="Millet Cookies" location="'Sweets Sustainable'!B210" ref="AG48"/>
    <hyperlink display="Ekadashi Simple Alu Sabji" location="Google_Sheet_Link_338529649" ref="AL48"/>
    <hyperlink display="Tamato Soup RGM" location="Soups!A205" ref="AQ48"/>
    <hyperlink display="Imli Chutney For Chaat (thin)" location="Google_Sheet_Link_2066075149" ref="AV48"/>
    <hyperlink display="Non Spicy Millet Kichidi 4" location="Khichadi!B230" ref="BA48"/>
    <hyperlink display="Corn Flakes " location="Google_Sheet_Link_630642076" ref="BK48"/>
    <hyperlink display="Macroni" location="Google_Sheet_Link_1270995566" ref="BP48"/>
    <hyperlink display="Karbanda Juice" location="Google_Sheet_Link_1644592379" ref="CB48"/>
    <hyperlink display="Pavta sabji" location="'FHC Sabjis'!B245" ref="CT48"/>
    <hyperlink display="Alu Padval_HG PKP" location="null!B1795" ref="C49"/>
    <hyperlink display="Alu Karela " location="Google_Sheet_Link_1590839166" ref="H49"/>
    <hyperlink display="Carrot Palak  Rice" location="Google_Sheet_Link_1084638762" ref="M49"/>
    <hyperlink display="Mung Dal Makhani" location="Google_Sheet_Link_1798745967" ref="R49"/>
    <hyperlink display="Boondi Kheer" location="Google_Sheet_Link_1335445413" ref="AB49"/>
    <hyperlink display="Ravva Laddu" location="Google_Sheet_Link_84295999" ref="AG49"/>
    <hyperlink display="Ekadasi Idli" location="Google_Sheet_Link_1848104190" ref="AL49"/>
    <hyperlink display="Yellow Mung dal salad" location="Soups!A272" ref="AQ49"/>
    <hyperlink display="Khajur Imli Chetney_SGPP" location="Chutneys!B220" ref="AV49"/>
    <hyperlink display="Non Spicy Millet Kichidi 5" location="Khichadi!B260" ref="BA49"/>
    <hyperlink display="Dhokla" location="Google_Sheet_Link_1064111268" ref="BK49"/>
    <hyperlink display="Makkan Dosa_HG VRLP" location="Breakfast!B910" ref="BP49"/>
    <hyperlink display="Keri Panna" location="Google_Sheet_Link_1648338594" ref="CB49"/>
    <hyperlink display="Baingan_sabji" location="'FHC Sabjis'!B290" ref="CT49"/>
    <hyperlink display="Arbi  Patta Sabji 1" location="Google_Sheet_Link_982414146" ref="C50"/>
    <hyperlink display="Alu Methi" location="Google_Sheet_Link_2071532641" ref="H50"/>
    <hyperlink display="Carrot Peas Corn Kismis Rice" location="Google_Sheet_Link_1537662501" ref="M50"/>
    <hyperlink display="Dal Makhani with udad_thin" location="Dal!A580" ref="R50"/>
    <hyperlink display="Butter Halva" location="Google_Sheet_Link_1322078332" ref="AB50"/>
    <hyperlink display="Rava Laddu_NSD" location="'Sweets Sustainable'!H80" ref="AG50"/>
    <hyperlink display="Ekadasi Sambar" location="Google_Sheet_Link_1004993916" ref="AL50"/>
    <hyperlink display="Shenghdana Chutney (Spicy)" location="Google_Sheet_Link_800504285" ref="AV50"/>
    <hyperlink display="farsan_Govinda's" location="Google_Sheet_Link_1487204617" ref="BK50"/>
    <hyperlink display="Malliga Idli_VRLP" location="Breakfast!B1075" ref="BP50"/>
    <hyperlink display="Kokam Juice" location="Google_Sheet_Link_481522920" ref="CB50"/>
    <hyperlink display="Goshaval wet" location="'FHC Sabjis'!B270" ref="CT50"/>
    <hyperlink display="Aviyal" location="Google_Sheet_Link_430169484" ref="C51"/>
    <hyperlink display="Alu Padval: Dry" location="Google_Sheet_Link_1731435860" ref="H51"/>
    <hyperlink display="Carrot Peas Rice" location="Google_Sheet_Link_1450741537" ref="M51"/>
    <hyperlink display="Mung Dal Makhani_eco" location="Google_Sheet_Link_1828684395" ref="R51"/>
    <hyperlink display="Butter Halva with Tooty Fruity" location="Sweets!A1285" ref="AB51"/>
    <hyperlink display="Shakkarpali" location="'Sweets Sustainable'!H90" ref="AG51"/>
    <hyperlink display="Ekdashi Alu Churchuri" location="Google_Sheet_Link_1654254978" ref="AL51"/>
    <hyperlink display="Tomato Chuntey_sgpd" location="Google_Sheet_Link_1345815032" ref="AV51"/>
    <hyperlink display="Mewa Dal Moth" location="Google_Sheet_Link_1922441334" ref="BK51"/>
    <hyperlink display="Masala Dosa with bhaji_VRLP" location="Breakfast!B960" ref="BP51"/>
    <hyperlink display="Lassi" location="Beverages!B168" ref="CB51"/>
    <hyperlink display="Kacha Kela sabji" location="'FHC Sabjis'!B340" ref="CT51"/>
    <hyperlink display="Barti Karela" location="Google_Sheet_Link_2052469008" ref="C52"/>
    <hyperlink display="Alu Papdi: Dry" location="Google_Sheet_Link_139553252" ref="H52"/>
    <hyperlink display="Coconut Rice" location="Google_Sheet_Link_1865852505" ref="M52"/>
    <hyperlink display="Mung Dal Regular" location="Google_Sheet_Link_1178719628" ref="R52"/>
    <hyperlink display="Chana Kheer_Prithvi" location="Google_Sheet_Link_170645384" ref="AB52"/>
    <hyperlink display="Sweet Samosa" location="Google_Sheet_Link_443220013" ref="AG52"/>
    <hyperlink display="Jeera Alu with Senghdana" location="Google_Sheet_Link_1171463214" ref="AL52"/>
    <hyperlink display="Tomato Sauce TD" location="Google_Sheet_Link_193944044" ref="AV52"/>
    <hyperlink display="Murmura Simple" location="Google_Sheet_Link_1855653707" ref="BK52"/>
    <hyperlink display="Masala/Plain Dosa" location="Google_Sheet_Link_29385847" ref="BP52"/>
    <hyperlink display="Lemon Grass Tea" location="Google_Sheet_Link_823716271" ref="CB52"/>
    <hyperlink display="Papaya with chena" location="'FHC Sabjis'!B365" ref="CT52"/>
    <hyperlink display="Beans Gajar Capsicum in Light Gravy" location="Google_Sheet_Link_894275186" ref="C53"/>
    <hyperlink display="Alu Posto ( Alu in Khas Khas Gravy)" location="Google_Sheet_Link_1666871486" ref="H53"/>
    <hyperlink display="Corn Capsicum Rice" location="Google_Sheet_Link_1412001856" ref="M53"/>
    <hyperlink display="Mung Dal Varan" location="Google_Sheet_Link_1350955157" ref="R53"/>
    <hyperlink display="Chocolate Phirni" location="Google_Sheet_Link_408373953" ref="AB53"/>
    <hyperlink display="Til Laddu" location="Google_Sheet_Link_2138246946" ref="AG53"/>
    <hyperlink display="Kakdi Raita (ekadashi)" location="Google_Sheet_Link_770623716" ref="AL53"/>
    <hyperlink display="Tomato Sauce TD" location="Chutneys!B246" ref="AV53"/>
    <hyperlink display="Murmura special" location="Google_Sheet_Link_143564595" ref="BK53"/>
    <hyperlink display="Medu Vada" location="Google_Sheet_Link_987900156" ref="BP53"/>
    <hyperlink display="Lemon Juice" location="Google_Sheet_Link_678927841" ref="CB53"/>
    <hyperlink display="Kaccha Pappaya alu dry" location="'FHC Sabjis'!A440" ref="CT53"/>
    <hyperlink display="Bindi_semi wet" location="null!B1530" ref="C54"/>
    <hyperlink display="Arbi Baingan_RGM" location="'Subji, Dry'!A720" ref="H54"/>
    <hyperlink display="Curd Rice" location="Google_Sheet_Link_907218177" ref="M54"/>
    <hyperlink display="Mung Dal,  With Sabji" location="Google_Sheet_Link_2020632630" ref="R54"/>
    <hyperlink display="Chocolate Rava Halva " location="Google_Sheet_Link_2021938754" ref="AB54"/>
    <hyperlink display="Wet coconut balls" location="'Sweets Sustainable'!B155" ref="AG54"/>
    <hyperlink display="Milk-Fruit Salad_Ekadasi_KKP" location="Google_Sheet_Link_1797149591" ref="AL54"/>
    <hyperlink display="Poha CHUDA" location="Google_Sheet_Link_247171969" ref="BK54"/>
    <hyperlink display="Millet Idli(Jawari flour)" location="Breakfast!B745" ref="BP54"/>
    <hyperlink display="Mango Juice_Thin" location="Beverages!B221" ref="CB54"/>
    <hyperlink display="Chole Paneer Rajma" location="'FHC Sabjis'!B447" ref="CT54"/>
    <hyperlink display="Besan (Pitla)" location="Google_Sheet_Link_71500620" ref="C55"/>
    <hyperlink display="Arbi_Dry" location="Google_Sheet_Link_1741319828" ref="H55"/>
    <hyperlink display="Dry Fruit Rice 2" location="Google_Sheet_Link_1480451772" ref="M55"/>
    <hyperlink display="Rasam  BY Karthik" location="Google_Sheet_Link_1931575688" ref="R55"/>
    <hyperlink display="Coconut Rava Halva" location="Google_Sheet_Link_1633252673" ref="AB55"/>
    <hyperlink display="Milk-Fruit Salad_Ekadasi_Prthvi p" location="Google_Sheet_Link_1347837436" ref="AL55"/>
    <hyperlink display="Sweet Corn Wada" location="'Fried Items'!A350" ref="BK55"/>
    <hyperlink display="Millet Masala dosa_VRLP" location="Breakfast!B925" ref="BP55"/>
    <hyperlink display="Mango Juice_Medium" location="Google_Sheet_Link_72276513" ref="CB55"/>
    <hyperlink display="Besan Panner _DHD" location="Google_Sheet_Link_680845457" ref="C56"/>
    <hyperlink display="Baingan Bharta" location="Google_Sheet_Link_1680072712" ref="H56"/>
    <hyperlink display="Dum Biryani_NPP" location="Rice!B1030" ref="M56"/>
    <hyperlink display="Rasam with Ready made Rasam Powder" location="Google_Sheet_Link_111168225" ref="R56"/>
    <hyperlink display="Corn halwa_skkd" location="Sweets!B1150" ref="AB56"/>
    <hyperlink display="Rajgira Halva" location="Google_Sheet_Link_179441976" ref="AL56"/>
    <hyperlink display="Sweet Corn Wada" location="'Fried Items'!A367" ref="BK56"/>
    <hyperlink display="Millet Poha with Veg_skkd" location="Breakfast!B790" ref="BP56"/>
    <hyperlink display="Musk melon juice" location="Google_Sheet_Link_809082084" ref="CB56"/>
    <hyperlink display="Bhendi with Groundnut Kaju Gravy" location="Google_Sheet_Link_602086189" ref="C57"/>
    <hyperlink display="Batata Bhaji_VRLP" location="'Subji, Dry'!B620" ref="H57"/>
    <hyperlink display="Hydarabad Biryani_Sunday" location="Google_Sheet_Link_747800868" ref="M57"/>
    <hyperlink display="Sambar_Kikp" location="Dal!A610" ref="R57"/>
    <hyperlink display="Curd-Fruit Salad" location="Google_Sheet_Link_2099096486" ref="AB57"/>
    <hyperlink display="Sabudana Khichadi" location="Google_Sheet_Link_1397261399" ref="AL57"/>
    <hyperlink display="Millet Upma with Veg" location="Breakfast!B760" ref="BP57"/>
    <hyperlink display="Pudina Lemon Juice" location="Google_Sheet_Link_1637815383" ref="CB57"/>
    <hyperlink display="Cabbage alu tamato semi wet_MKP" location="null!B1590" ref="C58"/>
    <hyperlink display="Beans Poriyal" location="Google_Sheet_Link_609850239" ref="H58"/>
    <hyperlink display="Hydarabad Biryani_Prithvi" location="Google_Sheet_Link_1924213470" ref="M58"/>
    <hyperlink display="Sambar_Karnataka" location="Dal!A645" ref="R58"/>
    <hyperlink display="Dahi Chida" location="Google_Sheet_Link_867998432" ref="AB58"/>
    <hyperlink display="Shabhudana Kheer" location="Google_Sheet_Link_2096166529" ref="AL58"/>
    <hyperlink display="Millet Uthappam w/o veg" location="Breakfast!B815" ref="BP58"/>
    <hyperlink display="Rajgira Malt" location="Google_Sheet_Link_1960906187" ref="CB58"/>
    <hyperlink display="Capsicum with ground gravy _NSD" location="null!B1960" ref="C59"/>
    <hyperlink display="Bhendi Fry in Kaju Magaj Gravy" location="Google_Sheet_Link_2035407973" ref="H59"/>
    <hyperlink display="Hyd Biryani_Skkp" location="Rice!B1070" ref="M59"/>
    <hyperlink display="Sambar_K_ Rice" location="Google_Sheet_Link_2138440487" ref="R59"/>
    <hyperlink display="Daliya Kheer" location="Google_Sheet_Link_575806469" ref="AB59"/>
    <hyperlink display="Varai Butter Halva" location="Google_Sheet_Link_1972817947" ref="AL59"/>
    <hyperlink display="Saunf Juice" location="Google_Sheet_Link_2131791919" ref="CB59"/>
    <hyperlink display="Capsicum salan_ RAP" location="Google_Sheet_Link_1006332665" ref="C60"/>
    <hyperlink display="Bhopla Dry_prithvi " location="Google_Sheet_Link_1136706789" ref="H60"/>
    <hyperlink display="Kaju Jeera Rice" location="Google_Sheet_Link_1361901515" ref="M60"/>
    <hyperlink display="Sambar_NVCCK" location="Google_Sheet_Link_1618580319" ref="R60"/>
    <hyperlink display="Daliya Sweet with gud" location="Google_Sheet_Link_1562575327" ref="AB60"/>
    <hyperlink display="Varai Carrot Pulao" location="Google_Sheet_Link_1437309024" ref="AL60"/>
    <hyperlink display="Pesarettu (Green Mung Dosa)" location="Google_Sheet_Link_1295254189" ref="BP60"/>
    <hyperlink display="Sweet Ragi, Regular(Thin)" location="Beverages!B294" ref="CB60"/>
    <hyperlink display="Channa sabji_HG SGPP" location="Google_Sheet_Link_600831295" ref="C61"/>
    <hyperlink display="Cabbage Capsicum Alu" location="Google_Sheet_Link_2030827663" ref="H61"/>
    <hyperlink display="Karmabhai Khichidi" location="Rice!B920" ref="M61"/>
    <hyperlink display="Sambar RKB (Medium)" location="Dal!B530" ref="R61"/>
    <hyperlink display="Doodh Chida" location="Google_Sheet_Link_926215438" ref="AB61"/>
    <hyperlink display="Varai Halva FFL" location="Google_Sheet_Link_1183183069" ref="AL61"/>
    <hyperlink display="Poha Bhel" location="Google_Sheet_Link_139793124" ref="BP61"/>
    <hyperlink display="Sweet Ragi, Regular(Thin) with gudu" location="Beverages!B330" ref="CB61"/>
    <hyperlink display="Chole Masala Sabji" location="Google_Sheet_Link_1878099291" ref="C62"/>
    <hyperlink display="Cabbage_ KuNP" location="Google_Sheet_Link_503240713" ref="H62"/>
    <hyperlink display="Jeera Rice (Direct Chaunk)" location="Google_Sheet_Link_2023452470" ref="M62"/>
    <hyperlink display="Sambar_SGPP" location="Dal!A672" ref="R62"/>
    <hyperlink display="Dry Fruit Custard" location="Google_Sheet_Link_1943891088" ref="AB62"/>
    <hyperlink display="Varai Halva For Janmastami" location="Google_Sheet_Link_1182823346" ref="AL62"/>
    <hyperlink display="Poha MH with Alu Matar" location="Google_Sheet_Link_1389430461" ref="BP62"/>
    <hyperlink display="Ugadi Special Juice" location="Beverages!B311" ref="CB62"/>
    <hyperlink display="Chole Paneer_HG RRP" location="Google_Sheet_Link_1879312691" ref="C63"/>
    <hyperlink display="CapsicumBesan Dry _NSD" location="'Subji, Dry'!B645" ref="H63"/>
    <hyperlink display="Kaccha Aam Rice" location="Google_Sheet_Link_1880342629" ref="M63"/>
    <hyperlink display="Sambar_Skkd" location="Google_Sheet_Link_1031289360" ref="R63"/>
    <hyperlink display="Custard with custard powder" location="Sweets!B1210" ref="AB63"/>
    <hyperlink display="Varai Kheer with Carrot" location="Google_Sheet_Link_92888596" ref="AL63"/>
    <hyperlink display="Poha MH with Veg" location="Google_Sheet_Link_1985635288" ref="BP63"/>
    <hyperlink display="Strawberry Juice" location="Beverages!B341" ref="CB63"/>
    <hyperlink display="Chole_New / Chole_New_Thin " location="Google_Sheet_Link_1407938607" ref="C64"/>
    <hyperlink display="Dosa Bhaji : Dry" location="Google_Sheet_Link_1635817509" ref="H64"/>
    <hyperlink display="Lemon Rice" location="Google_Sheet_Link_2078827289" ref="M64"/>
    <hyperlink display="Sambar_with Ready made masala" location="Google_Sheet_Link_1479376650" ref="R64"/>
    <hyperlink display="Fruit Custard with custard powder" location="Sweets!B1185" ref="AB64"/>
    <hyperlink display="Varai Khichadi" location="Google_Sheet_Link_1692609633" ref="AL64"/>
    <hyperlink display="Poha Ujjain with Alu Matar" location="Google_Sheet_Link_1648147766" ref="BP64"/>
    <hyperlink display="Dahi Bhendi" location="Google_Sheet_Link_1609198337" ref="C65"/>
    <hyperlink display="ISKCON Mix Veg Dry" location="Google_Sheet_Link_460849348" ref="H65"/>
    <hyperlink display="Masala Rice with Carrot &amp; Capsicum" location="Google_Sheet_Link_785967445" ref="M65"/>
    <hyperlink display="Tadka Chhilka Dal" location="Google_Sheet_Link_2009396740" ref="R65"/>
    <hyperlink display="FFL Rava Halva" location="Google_Sheet_Link_2004784161" ref="AB65"/>
    <hyperlink display="Varai Khichadi 2" location="Google_Sheet_Link_392070833" ref="AL65"/>
    <hyperlink display="Poha Ujjain with Veg" location="Google_Sheet_Link_139467398" ref="BP65"/>
    <hyperlink display="Dodka (Wet)" location="Google_Sheet_Link_2043667438" ref="C66"/>
    <hyperlink display="Jeera Alu with Senghdana" location="Google_Sheet_Link_411862243" ref="H66"/>
    <hyperlink display="Masala Rice(w/o veg)" location="Google_Sheet_Link_1544421530" ref="M66"/>
    <hyperlink display="Tomato Charu" location="Google_Sheet_Link_875247634" ref="R66"/>
    <hyperlink display="Gajar Halva" location="Google_Sheet_Link_200554940" ref="AB66"/>
    <hyperlink display="Varai Upma" location="Google_Sheet_Link_962196794" ref="AL66"/>
    <hyperlink display="Poha_quick" location="Google_Sheet_Link_2075333249" ref="BP66"/>
    <hyperlink display="Doodhi Chana Dal" location="Google_Sheet_Link_1358531002" ref="C67"/>
    <hyperlink display="Kaccha kela _Green Gravy" location="Google_Sheet_Link_1720451903" ref="H67"/>
    <hyperlink display="Masala Rice(With alu &amp; Baingan)" location="Google_Sheet_Link_243334724" ref="M67"/>
    <hyperlink display="Toor Dal, Regular" location="Google_Sheet_Link_195264390" ref="R67"/>
    <hyperlink display="Gulab Jamun_Prithvi " location="Google_Sheet_Link_1226456003" ref="AB67"/>
    <hyperlink display="Varai Uttappam" location="Google_Sheet_Link_1273131812" ref="AL67"/>
    <hyperlink display="Puri_HG SMDP" location="Breakfast!B1050" ref="BP67"/>
    <hyperlink display="Doodhi Mungdal" location="Google_Sheet_Link_1019753146" ref="C68"/>
    <hyperlink display="Mix Veg : Dry" location="Google_Sheet_Link_519215908" ref="H68"/>
    <hyperlink display="Masala rice_Maha" location="Rice!B940" ref="M68"/>
    <hyperlink display="Totakura Pappu" location="Dal!B470" ref="R68"/>
    <hyperlink display="Jilebi_Nandasuta pr" location="Sweets!B1060" ref="AB68"/>
    <hyperlink display="Shenghdana Aamti_Thick" location="Google_Sheet_Link_1041611665" ref="AL68"/>
    <hyperlink display="Rawa Idli_Kikp" location="Breakfast!B1060" ref="BP68"/>
    <hyperlink display="Doodhi sabji " location="Google_Sheet_Link_628439285" ref="C69"/>
    <hyperlink display="Mix Veg Dry_Prithvi" location="Google_Sheet_Link_1045266211" ref="H69"/>
    <hyperlink display="Millet Biryani" location="Rice!B1165" ref="M69"/>
    <hyperlink display="Kheer Sagar_DHP" location="Sweets!B1010" ref="AB69"/>
    <hyperlink display="Shenghdana Aamti_Thick" location="Google_Sheet_Link_164217958" ref="AL69"/>
    <hyperlink display="Sabhudana Kichidi_SKKP" location="Breakfast!B840" ref="BP69"/>
    <hyperlink display="Doodhi sabji_pakoda " location="Google_Sheet_Link_1957583591" ref="C70"/>
    <hyperlink display="Padval churchuri" location="Google_Sheet_Link_355622677" ref="H70"/>
    <hyperlink display="Millet Coconut Rice" location="Rice!B1135" ref="M70"/>
    <hyperlink display="Kohla halwa_Prithvi" location="Google_Sheet_Link_932499988" ref="AB70"/>
    <hyperlink display="Varai Khichadi 2" location="Ekadashi!F393" ref="AL70"/>
    <hyperlink display="Set Dosa_VRLP" location="Breakfast!B940" ref="BP70"/>
    <hyperlink display="Dosa Bhaji Wet" location="Google_Sheet_Link_1862133620" ref="C71"/>
    <hyperlink display="Papaya Churchuri" location="Google_Sheet_Link_373898590" ref="H71"/>
    <hyperlink display="Millet Curd Rice" location="Rice!B1255" ref="M71"/>
    <hyperlink display="Mango Rava Halva" location="Google_Sheet_Link_2059121182" ref="AB71"/>
    <hyperlink display="Sevai Pulao" location="Breakfast!A385" ref="BP71"/>
    <hyperlink display="Dum Alu_new " location="Google_Sheet_Link_439061651" ref="C72"/>
    <hyperlink display="Samosa Bhaji" location="'Subji, Dry'!B595" ref="H72"/>
    <hyperlink display="Millet Lemon Rice" location="Rice!B1200" ref="M72"/>
    <hyperlink display="Mango Sevai" location="Google_Sheet_Link_1870333956" ref="AB72"/>
    <hyperlink display="Sevai Upma" location="Google_Sheet_Link_795904834" ref="BP72"/>
    <hyperlink display="Flower alu rasa_HG RAP" location="null!B1825" ref="C73"/>
    <hyperlink display="Sepu sabji_HG MMP" location="Google_Sheet_Link_81309121" ref="H73"/>
    <hyperlink display="Maulpau with kela_HG VDP" location="Google_Sheet_Link_397523427" ref="AB73"/>
    <hyperlink display="Sevai_Maggi Style" location="Google_Sheet_Link_1295963151" ref="BP73"/>
    <hyperlink display="Fresh mater semi wet-skkd" location="null!B1690" ref="C74"/>
    <hyperlink display="Tondali Churchuri" location="Google_Sheet_Link_709881660" ref="H74"/>
    <hyperlink display="Mothi Pulao" location="Google_Sheet_Link_1667232863" ref="M74"/>
    <hyperlink display="Meetha Chawal" location="Google_Sheet_Link_289018039" ref="AB74"/>
    <hyperlink display="Strawberry Rava idli_VRLP" location="Breakfast!B1090" ref="BP74"/>
    <hyperlink display="Gobi Matar Paneer" location="Google_Sheet_Link_1908096334" ref="C75"/>
    <hyperlink display="Akkha mung Dry" location="Google_Sheet_Link_523000158" ref="H75"/>
    <hyperlink display="Navratna pualo_Prithvi" location="Google_Sheet_Link_234966071" ref="M75"/>
    <hyperlink display="Millet Mung dal Payasam_Mmji" location="Sweets!B1035" ref="AB75"/>
    <hyperlink display="Susheela_Poshanjit P" location="Google_Sheet_Link_1544665648" ref="BP75"/>
    <hyperlink display="Green Curry" location="null!A1990" ref="C76"/>
    <hyperlink display="Plain Rice" location="Google_Sheet_Link_161094638" ref="M76"/>
    <hyperlink display="Mung Dal Halva" location="Google_Sheet_Link_871894086" ref="AB76"/>
    <hyperlink display="Swadeshi Pasta_Hg.AJCP" location="Google_Sheet_Link_1484334528" ref="BP76"/>
    <hyperlink display="ISKCON Mix Veg: Wet" location="Google_Sheet_Link_1713431275" ref="C77"/>
    <hyperlink display="Peas Pulao" location="Rice!B1110" ref="M77"/>
    <hyperlink display="Mung Dal Halva_Prithvi" location="Google_Sheet_Link_1308285187" ref="AB77"/>
    <hyperlink display="Tomato bath with Rava" location="Google_Sheet_Link_1732505879" ref="BP77"/>
    <hyperlink display="Italian Chole " location="Google_Sheet_Link_886483688" ref="C78"/>
    <hyperlink display="Pulao Rice" location="Google_Sheet_Link_2033521522" ref="M78"/>
    <hyperlink display="Mungdal Payasam" location="Google_Sheet_Link_493035589" ref="AB78"/>
    <hyperlink display="Upma Dry SI Style" location="Google_Sheet_Link_166671137" ref="BP78"/>
    <hyperlink display="Italian Chole_Thin" location="Google_Sheet_Link_278746084" ref="C79"/>
    <hyperlink display="Pulihogira_HG PAP" location="Rice!B1000" ref="M79"/>
    <hyperlink display="Pineapple Butter Halva" location="Google_Sheet_Link_363220903" ref="AB79"/>
    <hyperlink display="Upma W/o Veg" location="Google_Sheet_Link_884710023" ref="BP79"/>
    <hyperlink display="Kacha kela sabji_skkp" location="null!B1510" ref="C80"/>
    <hyperlink display="RVC Special Rice_Prithvi" location="Google_Sheet_Link_1444291921" ref="M80"/>
    <hyperlink display="Rabdi" location="Google_Sheet_Link_699074273" ref="AB80"/>
    <hyperlink display="Upma with Veg" location="Google_Sheet_Link_434634735" ref="BP80"/>
    <hyperlink display="Kohlapuri_skkd" location="null!B1725" ref="C81"/>
    <hyperlink display="Simple Pulao Rice" location="Google_Sheet_Link_718385191" ref="M81"/>
    <hyperlink display="Rabdi_Economical_prithvi" location="Google_Sheet_Link_14773596" ref="AB81"/>
    <hyperlink display="Uttappa w/o veg" location="Google_Sheet_Link_199998712" ref="BP81"/>
    <hyperlink display="Palak Panner Kofta_prithvi" location="null!B1750" ref="C82"/>
    <hyperlink display="Puliogre (Tamarind Rice)" location="Google_Sheet_Link_766943358" ref="M82"/>
    <hyperlink display="Rathalu Kheer" location="Sweets!A1270" ref="AB82"/>
    <hyperlink display="Uttappam w/o veg_VRLP" location="Breakfast!B1010" ref="BP82"/>
    <hyperlink display="Kofta" location="Google_Sheet_Link_1190613773" ref="C83"/>
    <hyperlink display="Sesame (Til) Rice" location="Google_Sheet_Link_1475770433" ref="M83"/>
    <hyperlink display="Rose Phirni" location="Google_Sheet_Link_553890095" ref="AB83"/>
    <hyperlink display="Uttappa with Veg" location="Google_Sheet_Link_749943437" ref="BP83"/>
    <hyperlink display="Kurma_NPP" location="null!B1625" ref="C84"/>
    <hyperlink display="Tomato Rice with Pudina" location="Google_Sheet_Link_1702482203" ref="M84"/>
    <hyperlink display="Sevai Kheer" location="Google_Sheet_Link_1919563601" ref="AB84"/>
    <hyperlink display="Uttappam with Veg_VRLP" location="Breakfast!B995" ref="BP84"/>
    <hyperlink display="Lauki Kofta" location="Google_Sheet_Link_1463359175" ref="C85"/>
    <hyperlink display="Tomato Rice_SGPP" location="Google_Sheet_Link_358458390" ref="M85"/>
    <hyperlink display="Sevai Kheer with gulkand_MCP" location="Sweets!B1085" ref="AB85"/>
    <hyperlink display="Venn Pongal_Thick" location="Google_Sheet_Link_1523101192" ref="BP85"/>
    <hyperlink display="Mahura (Jagannath Puri Mixed Veg Sabji)" location="Google_Sheet_Link_943137587" ref="C86"/>
    <hyperlink display="Yellow Rice Direct Chaunk" location="Google_Sheet_Link_1694914331" ref="M86"/>
    <hyperlink display="Sevai Kheer, Condensed" location="Google_Sheet_Link_1316915142" ref="AB86"/>
    <hyperlink display="Venn Pongal_Thin" location="Google_Sheet_Link_675645006" ref="BP86"/>
    <hyperlink display="Matar Paneer" location="Google_Sheet_Link_39291143" ref="C87"/>
    <hyperlink display="Vegetable Rice" location="Google_Sheet_Link_316528577" ref="M87"/>
    <hyperlink display="Shakkar Pongal" location="Google_Sheet_Link_1714566695" ref="AB87"/>
    <hyperlink display="Wheat Dosa_SKKD" location="Breakfast!B860" ref="BP87"/>
    <hyperlink display="Methi Malai Matar 2" location="Google_Sheet_Link_1540749566" ref="C88"/>
    <hyperlink display="Shakkar Pongal(Jawari)" location="Sweets!B1130" ref="AB88"/>
    <hyperlink display="Misal" location="Google_Sheet_Link_1489313368" ref="C89"/>
    <hyperlink display="Sheetaphal  Rabdi" location="Sweets!B1230" ref="AB89"/>
    <hyperlink display="Mix Veg in CG Gravy" location="Google_Sheet_Link_1019759058" ref="C90"/>
    <hyperlink display="Shrikhand" location="Google_Sheet_Link_1122319592" ref="AB90"/>
    <hyperlink display="Mix veg Jaipuri_Prithvi pr" location="null!B1875" ref="C91"/>
    <hyperlink display="Strawberry Shrikhand" location="Google_Sheet_Link_493918609" ref="AB91"/>
    <hyperlink display="Mix Veg in Special Gravy" location="Google_Sheet_Link_1522457925" ref="C92"/>
    <hyperlink display="Sweet Rice_DHRP" location="Sweets!A1255" ref="AB92"/>
    <hyperlink display="Mix Veg Pahadi_Prithvi" location="Google_Sheet_Link_1772519021" ref="C93"/>
    <hyperlink display="Sweet Rice" location="Google_Sheet_Link_397658070" ref="AB93"/>
    <hyperlink display="Mixed Veg In Kadhi Sauce" location="Google_Sheet_Link_1006496595" ref="C94"/>
    <hyperlink display="Sweet Rice(Kiharan)" location="Google_Sheet_Link_685123931" ref="AB94"/>
    <hyperlink display="Mogar Ki Sabji_sgpp" location="Google_Sheet_Link_1711261347" ref="C95"/>
    <hyperlink display="Sweet Rice, Condensed" location="Google_Sheet_Link_1253886077" ref="AB95"/>
    <hyperlink display="Mungsprouts Sabji" location="Google_Sheet_Link_2097570400" ref="C96"/>
    <hyperlink display="Sweet Rice, Condensed(Kiharan)" location="Google_Sheet_Link_929315404" ref="AB96"/>
    <hyperlink display="Pachadi" location="Google_Sheet_Link_1147525348" ref="C97"/>
    <hyperlink display="Palak Alu Mater_Baba" location="null!B1655" ref="C98"/>
    <hyperlink display="Paneer Makhanwala" location="Google_Sheet_Link_1561978625" ref="C99"/>
    <hyperlink display="Pav Baji(AGP's Recipe)" location="Google_Sheet_Link_147222275" ref="C101"/>
    <hyperlink display="Pav Bhaji Sabji 2" location="Google_Sheet_Link_1126748782" ref="C102"/>
    <hyperlink display="Phanas semi Wet_NSD" location="null!B1560" ref="C103"/>
    <hyperlink display="Principal's Program Subji" location="Google_Sheet_Link_2107064140" ref="C104"/>
    <hyperlink display="Rajma (RGM )" location="Google_Sheet_Link_1229797900" ref="C105"/>
    <hyperlink display="Sindi Sai Subji_Hg.Kamalavati Mtg" location="null!B1910" ref="C106"/>
    <hyperlink display="Suran bopla  wet_RRP" location="Google_Sheet_Link_107056892" ref="C107"/>
    <hyperlink display="Usal  Maharastrian style" location="Google_Sheet_Link_955463989" ref="C108"/>
    <hyperlink display="Usal Maharastrian_modified" location="Google_Sheet_Link_648629787" ref="C109"/>
  </hyperlinks>
  <printOptions/>
  <pageMargins bottom="0.0" footer="0.0" header="0.0" left="0.0" right="0.0" top="0.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15.25"/>
    <col customWidth="1" min="2" max="2" width="14.25"/>
    <col customWidth="1" min="3" max="3" width="9.25"/>
    <col customWidth="1" min="4" max="5" width="9.75"/>
    <col customWidth="1" min="6" max="6" width="3.75"/>
    <col customWidth="1" min="7" max="8" width="19.25"/>
    <col customWidth="1" min="9" max="9" width="11.0"/>
    <col customWidth="1" min="10" max="10" width="19.75"/>
    <col customWidth="1" min="11" max="11" width="17.25"/>
    <col customWidth="1" min="12" max="12" width="15.25"/>
    <col customWidth="1" min="13" max="13" width="32.25"/>
    <col customWidth="1" min="14" max="28" width="14.38"/>
  </cols>
  <sheetData>
    <row r="1" ht="16.5" customHeight="1">
      <c r="A1" s="1"/>
      <c r="B1" s="4" t="s">
        <v>0</v>
      </c>
      <c r="C1" s="5"/>
      <c r="D1" s="5"/>
      <c r="E1" s="5"/>
      <c r="F1" s="6"/>
      <c r="G1" s="7"/>
      <c r="H1" s="7"/>
      <c r="I1" s="1"/>
      <c r="J1" s="1"/>
      <c r="K1" s="1"/>
      <c r="L1" s="1"/>
      <c r="M1" s="1"/>
    </row>
    <row r="2" ht="15.75" customHeight="1">
      <c r="A2" s="1"/>
      <c r="B2" s="8" t="s">
        <v>1</v>
      </c>
      <c r="C2" s="10">
        <v>100.0</v>
      </c>
      <c r="D2" s="13">
        <v>40.0</v>
      </c>
      <c r="E2" s="15"/>
      <c r="F2" s="17" t="s">
        <v>5</v>
      </c>
      <c r="G2" s="20"/>
      <c r="H2" s="20"/>
      <c r="I2" s="1"/>
      <c r="J2" s="1"/>
      <c r="K2" s="1"/>
      <c r="L2" s="1"/>
      <c r="M2" s="1"/>
    </row>
    <row r="3" ht="18.0" customHeight="1">
      <c r="A3" s="1"/>
      <c r="B3" s="22" t="s">
        <v>7</v>
      </c>
      <c r="C3" s="23">
        <v>300.0</v>
      </c>
      <c r="D3" s="27">
        <f t="shared" ref="D3:D10" si="1">(C3*D2)/C2</f>
        <v>120</v>
      </c>
      <c r="E3" s="29"/>
      <c r="F3" s="31" t="s">
        <v>9</v>
      </c>
      <c r="G3" s="7"/>
      <c r="H3" s="7"/>
      <c r="I3" s="1"/>
      <c r="J3" s="1"/>
      <c r="K3" s="1"/>
      <c r="L3" s="1"/>
      <c r="M3" s="1"/>
    </row>
    <row r="4" ht="14.25" customHeight="1">
      <c r="A4" s="1"/>
      <c r="B4" s="22" t="s">
        <v>11</v>
      </c>
      <c r="C4" s="33">
        <v>45.0</v>
      </c>
      <c r="D4" s="27">
        <f t="shared" si="1"/>
        <v>18</v>
      </c>
      <c r="E4" s="29"/>
      <c r="F4" s="36" t="s">
        <v>5</v>
      </c>
      <c r="G4" s="7"/>
      <c r="H4" s="7"/>
      <c r="I4" s="1"/>
      <c r="J4" s="1"/>
      <c r="K4" s="1"/>
      <c r="L4" s="1"/>
      <c r="M4" s="1"/>
    </row>
    <row r="5" ht="14.25" customHeight="1">
      <c r="A5" s="1"/>
      <c r="B5" s="22" t="s">
        <v>13</v>
      </c>
      <c r="C5" s="23">
        <v>20.0</v>
      </c>
      <c r="D5" s="27">
        <f t="shared" si="1"/>
        <v>8</v>
      </c>
      <c r="E5" s="29"/>
      <c r="F5" s="38" t="s">
        <v>14</v>
      </c>
      <c r="G5" s="7"/>
      <c r="H5" s="7"/>
      <c r="I5" s="1"/>
      <c r="J5" s="1"/>
      <c r="K5" s="1"/>
      <c r="L5" s="1"/>
      <c r="M5" s="1"/>
    </row>
    <row r="6" ht="14.25" customHeight="1">
      <c r="A6" s="1"/>
      <c r="B6" s="22" t="s">
        <v>15</v>
      </c>
      <c r="C6" s="23">
        <v>30.0</v>
      </c>
      <c r="D6" s="27">
        <f t="shared" si="1"/>
        <v>12</v>
      </c>
      <c r="E6" s="29"/>
      <c r="F6" s="38" t="s">
        <v>5</v>
      </c>
      <c r="G6" s="7"/>
      <c r="H6" s="7"/>
      <c r="I6" s="1"/>
      <c r="J6" s="1"/>
      <c r="K6" s="1"/>
      <c r="L6" s="1"/>
      <c r="M6" s="1"/>
    </row>
    <row r="7" ht="14.25" customHeight="1">
      <c r="A7" s="1"/>
      <c r="B7" s="22" t="s">
        <v>16</v>
      </c>
      <c r="C7" s="40">
        <v>1.0</v>
      </c>
      <c r="D7" s="27">
        <f t="shared" si="1"/>
        <v>0.4</v>
      </c>
      <c r="E7" s="29"/>
      <c r="F7" s="36" t="s">
        <v>14</v>
      </c>
      <c r="G7" s="7"/>
      <c r="H7" s="7"/>
      <c r="I7" s="1"/>
      <c r="J7" s="1"/>
      <c r="K7" s="1"/>
      <c r="L7" s="1"/>
      <c r="M7" s="1"/>
    </row>
    <row r="8" ht="14.25" customHeight="1">
      <c r="A8" s="1"/>
      <c r="B8" s="41" t="s">
        <v>17</v>
      </c>
      <c r="C8" s="33">
        <v>80.0</v>
      </c>
      <c r="D8" s="27">
        <f t="shared" si="1"/>
        <v>32</v>
      </c>
      <c r="E8" s="29"/>
      <c r="F8" s="36" t="s">
        <v>18</v>
      </c>
      <c r="G8" s="7"/>
      <c r="H8" s="7"/>
      <c r="I8" s="1"/>
      <c r="J8" s="1"/>
      <c r="K8" s="1"/>
      <c r="L8" s="1"/>
      <c r="M8" s="1"/>
    </row>
    <row r="9" ht="14.25" customHeight="1">
      <c r="A9" s="1"/>
      <c r="B9" s="43" t="s">
        <v>21</v>
      </c>
      <c r="C9" s="45">
        <v>10.0</v>
      </c>
      <c r="D9" s="50">
        <f t="shared" si="1"/>
        <v>4</v>
      </c>
      <c r="E9" s="54"/>
      <c r="F9" s="60" t="s">
        <v>18</v>
      </c>
      <c r="G9" s="7"/>
      <c r="H9" s="7"/>
      <c r="I9" s="1"/>
      <c r="J9" s="1"/>
      <c r="K9" s="1"/>
      <c r="L9" s="1"/>
      <c r="M9" s="1"/>
    </row>
    <row r="10" ht="18.75" customHeight="1">
      <c r="A10" s="1"/>
      <c r="B10" s="65" t="s">
        <v>16</v>
      </c>
      <c r="C10" s="69">
        <v>50.0</v>
      </c>
      <c r="D10" s="71">
        <f t="shared" si="1"/>
        <v>20</v>
      </c>
      <c r="E10" s="75"/>
      <c r="F10" s="79" t="s">
        <v>14</v>
      </c>
      <c r="G10" s="7"/>
      <c r="H10" s="7"/>
      <c r="I10" s="1"/>
      <c r="J10" s="1"/>
      <c r="K10" s="1"/>
      <c r="L10" s="1"/>
      <c r="M10" s="1"/>
    </row>
    <row r="11" ht="18.75" customHeight="1">
      <c r="A11" s="1"/>
      <c r="B11" s="83" t="s">
        <v>42</v>
      </c>
      <c r="C11" s="85" t="s">
        <v>47</v>
      </c>
      <c r="D11" s="86"/>
      <c r="E11" s="86"/>
      <c r="F11" s="87"/>
      <c r="G11" s="1"/>
      <c r="H11" s="1"/>
      <c r="I11" s="1"/>
      <c r="J11" s="1"/>
      <c r="K11" s="1"/>
      <c r="L11" s="1"/>
      <c r="M11" s="1"/>
    </row>
    <row r="12" ht="18.75" customHeight="1">
      <c r="A12" s="1"/>
      <c r="B12" s="88" t="s">
        <v>49</v>
      </c>
      <c r="C12" s="89">
        <v>41054.0</v>
      </c>
      <c r="D12" s="86"/>
      <c r="E12" s="86"/>
      <c r="F12" s="87"/>
      <c r="G12" s="1"/>
      <c r="H12" s="1"/>
      <c r="I12" s="1"/>
      <c r="J12" s="1"/>
      <c r="K12" s="1"/>
      <c r="L12" s="1"/>
      <c r="M12" s="1"/>
    </row>
    <row r="13" ht="18.75" customHeight="1">
      <c r="A13" s="1"/>
      <c r="B13" s="90" t="s">
        <v>50</v>
      </c>
      <c r="C13" s="89">
        <v>41054.0</v>
      </c>
      <c r="D13" s="86"/>
      <c r="E13" s="86"/>
      <c r="F13" s="87"/>
      <c r="G13" s="91"/>
      <c r="H13" s="91"/>
      <c r="I13" s="1"/>
      <c r="J13" s="1"/>
      <c r="K13" s="1"/>
      <c r="L13" s="1"/>
      <c r="M13" s="1"/>
    </row>
    <row r="14" ht="18.75" customHeight="1">
      <c r="A14" s="1"/>
      <c r="B14" s="97" t="s">
        <v>51</v>
      </c>
      <c r="C14" s="100"/>
      <c r="D14" s="86"/>
      <c r="E14" s="86"/>
      <c r="F14" s="87"/>
      <c r="G14" s="20"/>
      <c r="H14" s="20"/>
      <c r="I14" s="1"/>
      <c r="J14" s="1"/>
      <c r="K14" s="1"/>
      <c r="L14" s="1"/>
      <c r="M14" s="1"/>
    </row>
    <row r="15" ht="14.25" customHeight="1">
      <c r="A15" s="1"/>
      <c r="B15" s="7" t="s">
        <v>61</v>
      </c>
      <c r="C15" s="86"/>
      <c r="D15" s="86"/>
      <c r="E15" s="86"/>
      <c r="F15" s="87"/>
      <c r="G15" s="20"/>
      <c r="H15" s="20"/>
      <c r="I15" s="1"/>
      <c r="J15" s="1"/>
      <c r="K15" s="1"/>
      <c r="L15" s="1"/>
      <c r="M15" s="1"/>
    </row>
    <row r="16" ht="14.25" customHeight="1">
      <c r="A16" s="1"/>
      <c r="B16" s="7" t="s">
        <v>62</v>
      </c>
      <c r="C16" s="86"/>
      <c r="D16" s="86"/>
      <c r="E16" s="86"/>
      <c r="F16" s="87"/>
      <c r="G16" s="1"/>
      <c r="H16" s="1"/>
      <c r="I16" s="1"/>
      <c r="J16" s="1"/>
      <c r="K16" s="1"/>
      <c r="L16" s="1"/>
      <c r="M16" s="1"/>
    </row>
    <row r="17" ht="14.25" customHeight="1">
      <c r="A17" s="1"/>
      <c r="B17" s="7" t="s">
        <v>64</v>
      </c>
      <c r="C17" s="86"/>
      <c r="D17" s="86"/>
      <c r="E17" s="86"/>
      <c r="F17" s="87"/>
      <c r="G17" s="1"/>
      <c r="H17" s="1"/>
      <c r="I17" s="1"/>
      <c r="J17" s="1"/>
      <c r="K17" s="1"/>
      <c r="L17" s="1"/>
      <c r="M17" s="1"/>
    </row>
    <row r="18" ht="14.25" customHeight="1">
      <c r="A18" s="1"/>
      <c r="B18" s="7" t="s">
        <v>65</v>
      </c>
      <c r="C18" s="86"/>
      <c r="D18" s="86"/>
      <c r="E18" s="86"/>
      <c r="F18" s="87"/>
      <c r="G18" s="1"/>
      <c r="H18" s="1"/>
      <c r="I18" s="1"/>
      <c r="J18" s="1"/>
      <c r="K18" s="1"/>
      <c r="L18" s="1"/>
      <c r="M18" s="1"/>
    </row>
    <row r="19" ht="14.25" customHeight="1">
      <c r="A19" s="1"/>
      <c r="B19" s="7" t="s">
        <v>67</v>
      </c>
      <c r="C19" s="86"/>
      <c r="D19" s="107"/>
      <c r="E19" s="107"/>
      <c r="F19" s="108"/>
      <c r="G19" s="1"/>
      <c r="H19" s="1"/>
      <c r="I19" s="1"/>
      <c r="J19" s="1"/>
      <c r="K19" s="1"/>
      <c r="L19" s="1"/>
      <c r="M19" s="1"/>
    </row>
    <row r="20" ht="14.25" customHeight="1">
      <c r="A20" s="1"/>
      <c r="B20" s="7" t="s">
        <v>68</v>
      </c>
      <c r="C20" s="86"/>
      <c r="D20" s="107"/>
      <c r="E20" s="107"/>
      <c r="F20" s="108"/>
      <c r="G20" s="1"/>
      <c r="H20" s="1"/>
      <c r="I20" s="1"/>
      <c r="J20" s="1"/>
      <c r="K20" s="1"/>
      <c r="L20" s="1"/>
      <c r="M20" s="1"/>
    </row>
    <row r="21" ht="14.25" customHeight="1">
      <c r="A21" s="1"/>
      <c r="B21" s="7" t="s">
        <v>69</v>
      </c>
      <c r="C21" s="86"/>
      <c r="D21" s="107"/>
      <c r="E21" s="107"/>
      <c r="F21" s="108"/>
      <c r="G21" s="1"/>
      <c r="H21" s="1"/>
      <c r="I21" s="1"/>
      <c r="J21" s="1"/>
      <c r="K21" s="1"/>
      <c r="L21" s="1"/>
      <c r="M21" s="1"/>
    </row>
    <row r="22" ht="14.25" customHeight="1">
      <c r="A22" s="1"/>
      <c r="B22" s="7" t="s">
        <v>70</v>
      </c>
      <c r="C22" s="86"/>
      <c r="D22" s="107"/>
      <c r="E22" s="107"/>
      <c r="F22" s="108"/>
      <c r="G22" s="1"/>
      <c r="H22" s="1"/>
      <c r="I22" s="1"/>
      <c r="J22" s="1"/>
      <c r="K22" s="1"/>
      <c r="L22" s="1"/>
      <c r="M22" s="1"/>
    </row>
    <row r="23" ht="14.25" customHeight="1">
      <c r="A23" s="1"/>
      <c r="B23" s="7"/>
      <c r="C23" s="86"/>
      <c r="D23" s="107"/>
      <c r="E23" s="107"/>
      <c r="F23" s="108"/>
      <c r="G23" s="1"/>
      <c r="H23" s="1"/>
      <c r="I23" s="1"/>
      <c r="J23" s="1"/>
      <c r="K23" s="1"/>
      <c r="L23" s="1"/>
      <c r="M23" s="1"/>
    </row>
    <row r="24" ht="16.5" customHeight="1">
      <c r="A24" s="1"/>
      <c r="B24" s="1"/>
      <c r="C24" s="107"/>
      <c r="D24" s="107"/>
      <c r="E24" s="107"/>
      <c r="F24" s="108"/>
      <c r="G24" s="1"/>
      <c r="H24" s="1"/>
      <c r="I24" s="1"/>
      <c r="J24" s="1"/>
      <c r="K24" s="1"/>
      <c r="L24" s="1"/>
      <c r="M24" s="1"/>
    </row>
    <row r="25" ht="15.75" customHeight="1">
      <c r="A25" s="1"/>
      <c r="B25" s="111" t="s">
        <v>71</v>
      </c>
      <c r="C25" s="5"/>
      <c r="D25" s="5"/>
      <c r="E25" s="5"/>
      <c r="F25" s="6"/>
      <c r="G25" s="113" t="s">
        <v>73</v>
      </c>
      <c r="H25" s="117"/>
      <c r="I25" s="1"/>
      <c r="J25" s="1"/>
      <c r="K25" s="1"/>
      <c r="L25" s="1"/>
      <c r="M25" s="1"/>
    </row>
    <row r="26" ht="14.25" customHeight="1">
      <c r="A26" s="1"/>
      <c r="B26" s="51" t="s">
        <v>1</v>
      </c>
      <c r="C26" s="121">
        <v>100.0</v>
      </c>
      <c r="D26" s="121">
        <v>2456.0</v>
      </c>
      <c r="E26" s="124"/>
      <c r="F26" s="125" t="s">
        <v>5</v>
      </c>
      <c r="G26" s="1"/>
      <c r="H26" s="1"/>
      <c r="I26" s="1"/>
      <c r="J26" s="1"/>
      <c r="K26" s="1"/>
      <c r="L26" s="1"/>
      <c r="M26" s="1"/>
    </row>
    <row r="27" ht="14.25" customHeight="1">
      <c r="A27" s="1"/>
      <c r="B27" s="68" t="s">
        <v>77</v>
      </c>
      <c r="C27" s="131">
        <v>1400.0</v>
      </c>
      <c r="D27" s="131">
        <f t="shared" ref="D27:D37" si="2">(C27*D26)/C26</f>
        <v>34384</v>
      </c>
      <c r="E27" s="136"/>
      <c r="F27" s="137" t="s">
        <v>18</v>
      </c>
      <c r="G27" s="140" t="s">
        <v>86</v>
      </c>
      <c r="H27" s="141"/>
      <c r="I27" s="1"/>
      <c r="J27" s="1"/>
      <c r="K27" s="1"/>
      <c r="L27" s="1"/>
      <c r="M27" s="1"/>
    </row>
    <row r="28" ht="14.25" customHeight="1">
      <c r="A28" s="1"/>
      <c r="B28" s="68" t="s">
        <v>87</v>
      </c>
      <c r="C28" s="145">
        <v>500.0</v>
      </c>
      <c r="D28" s="145">
        <f t="shared" si="2"/>
        <v>12280</v>
      </c>
      <c r="E28" s="147"/>
      <c r="F28" s="137" t="s">
        <v>18</v>
      </c>
      <c r="H28" s="141"/>
      <c r="I28" s="1"/>
      <c r="J28" s="1"/>
      <c r="K28" s="1"/>
      <c r="L28" s="1"/>
      <c r="M28" s="1"/>
    </row>
    <row r="29" ht="14.25" customHeight="1">
      <c r="A29" s="1"/>
      <c r="B29" s="149" t="s">
        <v>90</v>
      </c>
      <c r="C29" s="152">
        <v>10.0</v>
      </c>
      <c r="D29" s="152">
        <f t="shared" si="2"/>
        <v>245.6</v>
      </c>
      <c r="E29" s="154"/>
      <c r="F29" s="156" t="s">
        <v>93</v>
      </c>
      <c r="H29" s="141"/>
      <c r="I29" s="1"/>
      <c r="J29" s="1"/>
      <c r="K29" s="1"/>
      <c r="L29" s="1"/>
      <c r="M29" s="1"/>
    </row>
    <row r="30" ht="14.25" customHeight="1">
      <c r="A30" s="1"/>
      <c r="B30" s="93" t="s">
        <v>13</v>
      </c>
      <c r="C30" s="160">
        <v>12.5</v>
      </c>
      <c r="D30" s="160">
        <f t="shared" si="2"/>
        <v>307</v>
      </c>
      <c r="E30" s="162"/>
      <c r="F30" s="165" t="s">
        <v>14</v>
      </c>
      <c r="H30" s="141"/>
      <c r="I30" s="1"/>
      <c r="J30" s="1"/>
      <c r="K30" s="1"/>
      <c r="L30" s="1"/>
      <c r="M30" s="1"/>
    </row>
    <row r="31" ht="14.25" customHeight="1">
      <c r="A31" s="1"/>
      <c r="B31" s="93" t="s">
        <v>100</v>
      </c>
      <c r="C31" s="160">
        <v>100.0</v>
      </c>
      <c r="D31" s="160">
        <f t="shared" si="2"/>
        <v>2456</v>
      </c>
      <c r="E31" s="162"/>
      <c r="F31" s="165" t="s">
        <v>18</v>
      </c>
      <c r="H31" s="141"/>
      <c r="I31" s="1"/>
      <c r="J31" s="1"/>
      <c r="K31" s="1"/>
      <c r="L31" s="1"/>
      <c r="M31" s="1"/>
    </row>
    <row r="32" ht="14.25" customHeight="1">
      <c r="A32" s="1"/>
      <c r="B32" s="93" t="s">
        <v>102</v>
      </c>
      <c r="C32" s="160">
        <v>25.0</v>
      </c>
      <c r="D32" s="160">
        <f t="shared" si="2"/>
        <v>614</v>
      </c>
      <c r="E32" s="162"/>
      <c r="F32" s="165" t="s">
        <v>18</v>
      </c>
      <c r="H32" s="141"/>
      <c r="I32" s="1"/>
      <c r="J32" s="1"/>
      <c r="K32" s="1"/>
      <c r="L32" s="1"/>
      <c r="M32" s="1"/>
    </row>
    <row r="33" ht="14.25" customHeight="1">
      <c r="A33" s="1"/>
      <c r="B33" s="93" t="s">
        <v>104</v>
      </c>
      <c r="C33" s="160">
        <v>250.0</v>
      </c>
      <c r="D33" s="160">
        <f t="shared" si="2"/>
        <v>6140</v>
      </c>
      <c r="E33" s="162"/>
      <c r="F33" s="165" t="s">
        <v>18</v>
      </c>
      <c r="H33" s="141"/>
      <c r="I33" s="1"/>
      <c r="J33" s="1"/>
      <c r="K33" s="1"/>
      <c r="L33" s="1"/>
      <c r="M33" s="1"/>
    </row>
    <row r="34" ht="14.25" customHeight="1">
      <c r="A34" s="1"/>
      <c r="B34" s="93" t="s">
        <v>31</v>
      </c>
      <c r="C34" s="160">
        <v>250.0</v>
      </c>
      <c r="D34" s="160">
        <f t="shared" si="2"/>
        <v>6140</v>
      </c>
      <c r="E34" s="162"/>
      <c r="F34" s="165" t="s">
        <v>18</v>
      </c>
      <c r="H34" s="141"/>
      <c r="I34" s="1"/>
      <c r="J34" s="1"/>
      <c r="K34" s="1"/>
      <c r="L34" s="1"/>
      <c r="M34" s="1"/>
    </row>
    <row r="35" ht="14.25" customHeight="1">
      <c r="A35" s="1"/>
      <c r="B35" s="105" t="s">
        <v>105</v>
      </c>
      <c r="C35" s="167">
        <v>150.0</v>
      </c>
      <c r="D35" s="167">
        <f t="shared" si="2"/>
        <v>3684</v>
      </c>
      <c r="E35" s="170"/>
      <c r="F35" s="172" t="s">
        <v>18</v>
      </c>
      <c r="G35" s="104"/>
      <c r="H35" s="141"/>
      <c r="I35" s="1"/>
      <c r="J35" s="1"/>
      <c r="K35" s="1"/>
      <c r="L35" s="1"/>
      <c r="M35" s="1"/>
    </row>
    <row r="36" ht="14.25" customHeight="1">
      <c r="A36" s="1"/>
      <c r="B36" s="119" t="s">
        <v>59</v>
      </c>
      <c r="C36" s="174">
        <v>55.0</v>
      </c>
      <c r="D36" s="174">
        <f t="shared" si="2"/>
        <v>1350.8</v>
      </c>
      <c r="E36" s="175"/>
      <c r="F36" s="176" t="s">
        <v>5</v>
      </c>
      <c r="G36" s="1"/>
      <c r="H36" s="1"/>
      <c r="I36" s="1"/>
      <c r="J36" s="1"/>
      <c r="K36" s="1"/>
      <c r="L36" s="1"/>
      <c r="M36" s="1"/>
    </row>
    <row r="37" ht="14.25" customHeight="1">
      <c r="A37" s="1"/>
      <c r="B37" s="105" t="s">
        <v>16</v>
      </c>
      <c r="C37" s="167">
        <v>30.0</v>
      </c>
      <c r="D37" s="167">
        <f t="shared" si="2"/>
        <v>736.8</v>
      </c>
      <c r="E37" s="170"/>
      <c r="F37" s="172" t="s">
        <v>14</v>
      </c>
      <c r="G37" s="1"/>
      <c r="H37" s="1"/>
      <c r="I37" s="1"/>
      <c r="J37" s="1"/>
      <c r="K37" s="1"/>
      <c r="L37" s="1"/>
      <c r="M37" s="1"/>
    </row>
    <row r="38" ht="14.25" customHeight="1">
      <c r="A38" s="1"/>
      <c r="B38" s="1"/>
      <c r="C38" s="107"/>
      <c r="D38" s="107"/>
      <c r="E38" s="107"/>
      <c r="F38" s="108"/>
      <c r="G38" s="1"/>
      <c r="H38" s="1"/>
      <c r="I38" s="1"/>
      <c r="J38" s="1"/>
      <c r="K38" s="1"/>
      <c r="L38" s="1"/>
      <c r="M38" s="1"/>
    </row>
    <row r="39" ht="14.25" customHeight="1">
      <c r="A39" s="1"/>
      <c r="B39" s="186" t="s">
        <v>120</v>
      </c>
      <c r="C39" s="187">
        <v>40819.0</v>
      </c>
      <c r="D39" s="107"/>
      <c r="E39" s="107"/>
      <c r="F39" s="108"/>
      <c r="G39" s="1"/>
      <c r="H39" s="1"/>
      <c r="I39" s="1"/>
      <c r="J39" s="1"/>
      <c r="K39" s="1"/>
      <c r="L39" s="1"/>
      <c r="M39" s="1"/>
    </row>
    <row r="40" ht="14.25" customHeight="1">
      <c r="A40" s="1"/>
      <c r="B40" s="90" t="s">
        <v>50</v>
      </c>
      <c r="C40" s="187">
        <v>41354.0</v>
      </c>
      <c r="D40" s="107"/>
      <c r="E40" s="107"/>
      <c r="F40" s="108"/>
      <c r="G40" s="1"/>
      <c r="H40" s="1"/>
      <c r="I40" s="1"/>
      <c r="J40" s="1"/>
      <c r="K40" s="1"/>
      <c r="L40" s="1"/>
      <c r="M40" s="1"/>
    </row>
    <row r="41" ht="14.25" customHeight="1">
      <c r="A41" s="1"/>
      <c r="B41" s="188" t="s">
        <v>42</v>
      </c>
      <c r="C41" s="85" t="s">
        <v>47</v>
      </c>
      <c r="D41" s="107"/>
      <c r="E41" s="107"/>
      <c r="F41" s="108"/>
      <c r="G41" s="1"/>
      <c r="H41" s="1"/>
      <c r="I41" s="1"/>
      <c r="J41" s="1"/>
      <c r="K41" s="1"/>
      <c r="L41" s="1"/>
      <c r="M41" s="1"/>
    </row>
    <row r="42" ht="16.5" customHeight="1">
      <c r="A42" s="1"/>
      <c r="B42" s="1"/>
      <c r="C42" s="107"/>
      <c r="D42" s="107"/>
      <c r="E42" s="107"/>
      <c r="F42" s="108"/>
      <c r="G42" s="1"/>
      <c r="H42" s="1"/>
      <c r="I42" s="1"/>
      <c r="J42" s="1"/>
      <c r="K42" s="1"/>
      <c r="L42" s="1"/>
      <c r="M42" s="1"/>
    </row>
    <row r="43" ht="14.25" customHeight="1">
      <c r="A43" s="1"/>
      <c r="B43" s="189" t="s">
        <v>121</v>
      </c>
      <c r="C43" s="18"/>
      <c r="D43" s="18"/>
      <c r="E43" s="18"/>
      <c r="F43" s="19"/>
      <c r="G43" s="1"/>
      <c r="H43" s="1"/>
      <c r="I43" s="1"/>
      <c r="J43" s="1"/>
      <c r="K43" s="1"/>
      <c r="L43" s="1"/>
      <c r="M43" s="1"/>
    </row>
    <row r="44" ht="14.25" customHeight="1">
      <c r="A44" s="1"/>
      <c r="B44" s="51" t="s">
        <v>1</v>
      </c>
      <c r="C44" s="190">
        <v>100.0</v>
      </c>
      <c r="D44" s="191">
        <v>20.0</v>
      </c>
      <c r="E44" s="192"/>
      <c r="F44" s="125" t="s">
        <v>5</v>
      </c>
      <c r="G44" s="1"/>
      <c r="H44" s="1"/>
      <c r="I44" s="1"/>
      <c r="J44" s="1"/>
      <c r="K44" s="1"/>
      <c r="L44" s="1"/>
      <c r="M44" s="1"/>
    </row>
    <row r="45" ht="14.25" customHeight="1">
      <c r="A45" s="193"/>
      <c r="B45" s="68" t="s">
        <v>122</v>
      </c>
      <c r="C45" s="145">
        <v>20.0</v>
      </c>
      <c r="D45" s="145">
        <f t="shared" ref="D45:D48" si="3">(C45*D44)/C44</f>
        <v>4</v>
      </c>
      <c r="E45" s="147"/>
      <c r="F45" s="137" t="s">
        <v>5</v>
      </c>
      <c r="G45" s="194" t="s">
        <v>123</v>
      </c>
      <c r="H45" s="141"/>
      <c r="I45" s="1"/>
      <c r="J45" s="1"/>
      <c r="K45" s="1"/>
      <c r="L45" s="1"/>
      <c r="M45" s="1"/>
    </row>
    <row r="46" ht="14.25" customHeight="1">
      <c r="A46" s="193"/>
      <c r="B46" s="93" t="s">
        <v>31</v>
      </c>
      <c r="C46" s="195">
        <v>500.0</v>
      </c>
      <c r="D46" s="195">
        <f t="shared" si="3"/>
        <v>100</v>
      </c>
      <c r="E46" s="196"/>
      <c r="F46" s="165" t="s">
        <v>18</v>
      </c>
      <c r="G46" s="63"/>
      <c r="H46" s="141"/>
      <c r="I46" s="1"/>
      <c r="J46" s="1"/>
      <c r="K46" s="1"/>
      <c r="L46" s="1"/>
      <c r="M46" s="1"/>
    </row>
    <row r="47" ht="14.25" customHeight="1">
      <c r="A47" s="193"/>
      <c r="B47" s="93" t="s">
        <v>124</v>
      </c>
      <c r="C47" s="195">
        <v>250.0</v>
      </c>
      <c r="D47" s="195">
        <f t="shared" si="3"/>
        <v>50</v>
      </c>
      <c r="E47" s="196"/>
      <c r="F47" s="165" t="s">
        <v>18</v>
      </c>
      <c r="G47" s="63"/>
      <c r="H47" s="141"/>
      <c r="I47" s="1"/>
      <c r="J47" s="1"/>
      <c r="K47" s="1"/>
      <c r="L47" s="1"/>
      <c r="M47" s="1"/>
    </row>
    <row r="48" ht="14.25" customHeight="1">
      <c r="A48" s="193"/>
      <c r="B48" s="105" t="s">
        <v>13</v>
      </c>
      <c r="C48" s="200">
        <v>1.8</v>
      </c>
      <c r="D48" s="200">
        <f t="shared" si="3"/>
        <v>0.36</v>
      </c>
      <c r="E48" s="202"/>
      <c r="F48" s="172" t="s">
        <v>14</v>
      </c>
      <c r="G48" s="102"/>
      <c r="H48" s="141"/>
      <c r="I48" s="1"/>
      <c r="J48" s="1"/>
      <c r="K48" s="1"/>
      <c r="L48" s="1"/>
      <c r="M48" s="1"/>
    </row>
    <row r="49" ht="14.25" customHeight="1">
      <c r="A49" s="1"/>
      <c r="B49" s="188" t="s">
        <v>42</v>
      </c>
      <c r="C49" s="85" t="s">
        <v>47</v>
      </c>
      <c r="D49" s="107"/>
      <c r="E49" s="107"/>
      <c r="F49" s="108"/>
      <c r="G49" s="1"/>
      <c r="H49" s="1"/>
      <c r="I49" s="1"/>
      <c r="J49" s="1"/>
      <c r="K49" s="1"/>
      <c r="L49" s="1"/>
      <c r="M49" s="1"/>
    </row>
    <row r="50" ht="14.25" customHeight="1">
      <c r="A50" s="1"/>
      <c r="B50" s="1"/>
      <c r="C50" s="107"/>
      <c r="D50" s="107"/>
      <c r="E50" s="107"/>
      <c r="F50" s="108"/>
      <c r="G50" s="1"/>
      <c r="H50" s="1"/>
      <c r="I50" s="1"/>
      <c r="J50" s="1"/>
      <c r="K50" s="1"/>
      <c r="L50" s="1"/>
      <c r="M50" s="1"/>
    </row>
    <row r="51" ht="14.25" customHeight="1">
      <c r="A51" s="1"/>
      <c r="B51" s="90" t="s">
        <v>49</v>
      </c>
      <c r="C51" s="89">
        <v>40972.0</v>
      </c>
      <c r="D51" s="107"/>
      <c r="E51" s="107"/>
      <c r="F51" s="108"/>
      <c r="G51" s="1"/>
      <c r="H51" s="1"/>
      <c r="I51" s="1"/>
      <c r="J51" s="1"/>
      <c r="K51" s="1"/>
      <c r="L51" s="1"/>
      <c r="M51" s="1"/>
    </row>
    <row r="52" ht="14.25" customHeight="1">
      <c r="A52" s="1"/>
      <c r="B52" s="90" t="s">
        <v>50</v>
      </c>
      <c r="C52" s="89">
        <v>41389.0</v>
      </c>
      <c r="D52" s="107"/>
      <c r="E52" s="107"/>
      <c r="F52" s="108"/>
      <c r="G52" s="1"/>
      <c r="H52" s="1"/>
      <c r="I52" s="1"/>
      <c r="J52" s="1"/>
      <c r="K52" s="1"/>
      <c r="L52" s="1"/>
      <c r="M52" s="1"/>
    </row>
    <row r="53" ht="14.25" customHeight="1">
      <c r="A53" s="1"/>
      <c r="B53" s="1"/>
      <c r="C53" s="107"/>
      <c r="D53" s="107"/>
      <c r="E53" s="107"/>
      <c r="F53" s="108"/>
      <c r="G53" s="1"/>
      <c r="H53" s="1"/>
      <c r="I53" s="1"/>
      <c r="J53" s="1"/>
      <c r="K53" s="1"/>
      <c r="L53" s="1"/>
      <c r="M53" s="1"/>
    </row>
    <row r="54" ht="15.0" customHeight="1">
      <c r="A54" s="1"/>
      <c r="B54" s="1"/>
      <c r="C54" s="107"/>
      <c r="D54" s="107"/>
      <c r="E54" s="107"/>
      <c r="F54" s="108"/>
      <c r="G54" s="1"/>
      <c r="H54" s="1"/>
      <c r="I54" s="1"/>
      <c r="J54" s="1"/>
      <c r="K54" s="1"/>
      <c r="L54" s="1"/>
      <c r="M54" s="1"/>
    </row>
    <row r="55" ht="14.25" customHeight="1">
      <c r="A55" s="1"/>
      <c r="B55" s="209" t="s">
        <v>127</v>
      </c>
      <c r="C55" s="18"/>
      <c r="D55" s="18"/>
      <c r="E55" s="18"/>
      <c r="F55" s="19"/>
      <c r="G55" s="44" t="s">
        <v>128</v>
      </c>
      <c r="H55" s="141"/>
      <c r="I55" s="1"/>
      <c r="J55" s="1"/>
      <c r="K55" s="1"/>
      <c r="L55" s="1"/>
      <c r="M55" s="1"/>
    </row>
    <row r="56" ht="14.25" customHeight="1">
      <c r="A56" s="1" t="s">
        <v>76</v>
      </c>
      <c r="B56" s="51" t="s">
        <v>1</v>
      </c>
      <c r="C56" s="190">
        <v>100.0</v>
      </c>
      <c r="D56" s="191">
        <v>10.0</v>
      </c>
      <c r="E56" s="213"/>
      <c r="F56" s="125" t="s">
        <v>5</v>
      </c>
      <c r="G56" s="47"/>
      <c r="H56" s="141"/>
      <c r="I56" s="1"/>
      <c r="J56" s="1"/>
      <c r="K56" s="1"/>
      <c r="L56" s="1"/>
      <c r="M56" s="1"/>
    </row>
    <row r="57" ht="14.25" customHeight="1">
      <c r="A57" s="1"/>
      <c r="B57" s="51" t="s">
        <v>15</v>
      </c>
      <c r="C57" s="190">
        <v>75.0</v>
      </c>
      <c r="D57" s="218">
        <f t="shared" ref="D57:D61" si="4">(C57*D56)/C56</f>
        <v>7.5</v>
      </c>
      <c r="E57" s="219"/>
      <c r="F57" s="125" t="s">
        <v>5</v>
      </c>
      <c r="G57" s="47"/>
      <c r="H57" s="141"/>
      <c r="I57" s="1"/>
      <c r="J57" s="1"/>
      <c r="K57" s="1"/>
      <c r="L57" s="1"/>
      <c r="M57" s="1"/>
    </row>
    <row r="58" ht="14.25" customHeight="1">
      <c r="A58" s="1"/>
      <c r="B58" s="68" t="s">
        <v>130</v>
      </c>
      <c r="C58" s="145">
        <v>2500.0</v>
      </c>
      <c r="D58" s="221">
        <f t="shared" si="4"/>
        <v>250</v>
      </c>
      <c r="E58" s="222"/>
      <c r="F58" s="137" t="s">
        <v>18</v>
      </c>
      <c r="G58" s="47"/>
      <c r="H58" s="141"/>
      <c r="I58" s="1"/>
      <c r="J58" s="1"/>
      <c r="K58" s="1"/>
      <c r="L58" s="1"/>
      <c r="M58" s="1"/>
    </row>
    <row r="59" ht="14.25" customHeight="1">
      <c r="A59" s="1"/>
      <c r="B59" s="93" t="s">
        <v>132</v>
      </c>
      <c r="C59" s="195">
        <v>0.15</v>
      </c>
      <c r="D59" s="27">
        <f t="shared" si="4"/>
        <v>0.015</v>
      </c>
      <c r="E59" s="29"/>
      <c r="F59" s="165" t="s">
        <v>5</v>
      </c>
      <c r="G59" s="47"/>
      <c r="H59" s="141"/>
      <c r="I59" s="1"/>
      <c r="J59" s="1"/>
      <c r="K59" s="1"/>
      <c r="L59" s="1"/>
      <c r="M59" s="1"/>
    </row>
    <row r="60" ht="14.25" customHeight="1">
      <c r="A60" s="1"/>
      <c r="B60" s="225" t="s">
        <v>133</v>
      </c>
      <c r="C60" s="226">
        <v>13.5</v>
      </c>
      <c r="D60" s="227">
        <f t="shared" si="4"/>
        <v>1.35</v>
      </c>
      <c r="E60" s="228"/>
      <c r="F60" s="229" t="s">
        <v>14</v>
      </c>
      <c r="G60" s="47"/>
      <c r="H60" s="141"/>
      <c r="I60" s="1"/>
      <c r="J60" s="1"/>
      <c r="K60" s="1"/>
      <c r="L60" s="1"/>
      <c r="M60" s="1"/>
    </row>
    <row r="61" ht="14.25" customHeight="1">
      <c r="A61" s="1"/>
      <c r="B61" s="231" t="s">
        <v>136</v>
      </c>
      <c r="C61" s="232">
        <v>15.0</v>
      </c>
      <c r="D61" s="233">
        <f t="shared" si="4"/>
        <v>1.5</v>
      </c>
      <c r="E61" s="234"/>
      <c r="F61" s="235" t="s">
        <v>14</v>
      </c>
      <c r="G61" s="47"/>
      <c r="H61" s="141"/>
      <c r="I61" s="1"/>
      <c r="J61" s="1"/>
      <c r="K61" s="1"/>
      <c r="L61" s="1"/>
      <c r="M61" s="1"/>
    </row>
    <row r="62" ht="14.25" customHeight="1">
      <c r="A62" s="1"/>
      <c r="B62" s="93" t="s">
        <v>59</v>
      </c>
      <c r="C62" s="195">
        <v>14.0</v>
      </c>
      <c r="D62" s="27">
        <f t="shared" ref="D62:D64" si="5">(C62*D60)/C60</f>
        <v>1.4</v>
      </c>
      <c r="E62" s="29"/>
      <c r="F62" s="165" t="s">
        <v>5</v>
      </c>
      <c r="G62" s="47"/>
      <c r="H62" s="141"/>
      <c r="I62" s="1"/>
      <c r="J62" s="1"/>
      <c r="K62" s="1"/>
      <c r="L62" s="1"/>
      <c r="M62" s="1"/>
    </row>
    <row r="63" ht="14.25" customHeight="1">
      <c r="A63" s="1"/>
      <c r="B63" s="93" t="s">
        <v>138</v>
      </c>
      <c r="C63" s="195">
        <v>10.0</v>
      </c>
      <c r="D63" s="27">
        <f t="shared" si="5"/>
        <v>1</v>
      </c>
      <c r="E63" s="29"/>
      <c r="F63" s="165" t="s">
        <v>5</v>
      </c>
      <c r="G63" s="47"/>
      <c r="H63" s="141"/>
      <c r="I63" s="1"/>
      <c r="J63" s="1"/>
      <c r="K63" s="1"/>
      <c r="L63" s="1"/>
      <c r="M63" s="1"/>
    </row>
    <row r="64" ht="14.25" customHeight="1">
      <c r="A64" s="1"/>
      <c r="B64" s="105" t="s">
        <v>139</v>
      </c>
      <c r="C64" s="200">
        <v>50.0</v>
      </c>
      <c r="D64" s="236">
        <f t="shared" si="5"/>
        <v>5</v>
      </c>
      <c r="E64" s="237"/>
      <c r="F64" s="172" t="s">
        <v>82</v>
      </c>
      <c r="G64" s="76"/>
      <c r="H64" s="141"/>
      <c r="I64" s="1"/>
      <c r="J64" s="1"/>
      <c r="K64" s="1"/>
      <c r="L64" s="1"/>
      <c r="M64" s="1"/>
    </row>
    <row r="65" ht="15.0" customHeight="1">
      <c r="A65" s="1"/>
      <c r="B65" s="119" t="s">
        <v>140</v>
      </c>
      <c r="C65" s="238">
        <v>1.0</v>
      </c>
      <c r="D65" s="244">
        <f>(C65*D62)/C62</f>
        <v>0.1</v>
      </c>
      <c r="E65" s="246"/>
      <c r="F65" s="176" t="s">
        <v>14</v>
      </c>
      <c r="G65" s="44" t="s">
        <v>146</v>
      </c>
      <c r="H65" s="141"/>
      <c r="I65" s="1"/>
      <c r="J65" s="1"/>
      <c r="K65" s="1"/>
      <c r="L65" s="1"/>
      <c r="M65" s="1"/>
    </row>
    <row r="66" ht="15.0" customHeight="1">
      <c r="A66" s="1"/>
      <c r="B66" s="93" t="s">
        <v>147</v>
      </c>
      <c r="C66" s="195">
        <v>0.2</v>
      </c>
      <c r="D66" s="27">
        <f t="shared" ref="D66:D67" si="6">(C66*D65)/C65</f>
        <v>0.02</v>
      </c>
      <c r="E66" s="29"/>
      <c r="F66" s="165" t="s">
        <v>5</v>
      </c>
      <c r="G66" s="47"/>
      <c r="H66" s="141"/>
      <c r="I66" s="1"/>
      <c r="J66" s="1"/>
      <c r="K66" s="1"/>
      <c r="L66" s="1"/>
      <c r="M66" s="1"/>
    </row>
    <row r="67" ht="15.75" customHeight="1">
      <c r="A67" s="1"/>
      <c r="B67" s="105" t="s">
        <v>15</v>
      </c>
      <c r="C67" s="200">
        <v>15.0</v>
      </c>
      <c r="D67" s="236">
        <f t="shared" si="6"/>
        <v>1.5</v>
      </c>
      <c r="E67" s="237"/>
      <c r="F67" s="172" t="s">
        <v>5</v>
      </c>
      <c r="G67" s="76"/>
      <c r="H67" s="141"/>
      <c r="I67" s="1"/>
      <c r="J67" s="1"/>
      <c r="K67" s="1"/>
      <c r="L67" s="1"/>
      <c r="M67" s="1"/>
    </row>
    <row r="68" ht="14.25" customHeight="1">
      <c r="A68" s="1"/>
      <c r="B68" s="188" t="s">
        <v>42</v>
      </c>
      <c r="C68" s="258" t="s">
        <v>47</v>
      </c>
      <c r="D68" s="107"/>
      <c r="E68" s="107"/>
      <c r="F68" s="108"/>
      <c r="G68" s="1"/>
      <c r="H68" s="1"/>
      <c r="I68" s="1"/>
      <c r="J68" s="1"/>
      <c r="K68" s="1"/>
      <c r="L68" s="1"/>
      <c r="M68" s="1"/>
    </row>
    <row r="69" ht="14.25" customHeight="1">
      <c r="A69" s="1"/>
      <c r="B69" s="90" t="s">
        <v>49</v>
      </c>
      <c r="C69" s="260">
        <v>42925.0</v>
      </c>
      <c r="D69" s="107"/>
      <c r="E69" s="107"/>
      <c r="F69" s="108"/>
      <c r="G69" s="1"/>
      <c r="H69" s="1"/>
      <c r="I69" s="1"/>
      <c r="J69" s="1"/>
      <c r="K69" s="1"/>
      <c r="L69" s="1"/>
      <c r="M69" s="1"/>
    </row>
    <row r="70" ht="14.25" customHeight="1">
      <c r="A70" s="1"/>
      <c r="B70" s="90" t="s">
        <v>50</v>
      </c>
      <c r="C70" s="260">
        <v>42925.0</v>
      </c>
      <c r="D70" s="107"/>
      <c r="E70" s="107"/>
      <c r="F70" s="108"/>
      <c r="G70" s="1"/>
      <c r="H70" s="1"/>
      <c r="I70" s="1"/>
      <c r="J70" s="1"/>
      <c r="K70" s="1"/>
      <c r="L70" s="1"/>
      <c r="M70" s="1"/>
    </row>
    <row r="71" ht="14.25" customHeight="1">
      <c r="A71" s="1"/>
      <c r="B71" s="1"/>
      <c r="C71" s="107"/>
      <c r="D71" s="107"/>
      <c r="E71" s="107"/>
      <c r="F71" s="108"/>
      <c r="G71" s="1"/>
      <c r="H71" s="1"/>
      <c r="I71" s="1"/>
      <c r="J71" s="1"/>
      <c r="K71" s="1"/>
      <c r="L71" s="1"/>
      <c r="M71" s="1"/>
    </row>
    <row r="72" ht="14.25" customHeight="1">
      <c r="A72" s="1"/>
      <c r="B72" s="1"/>
      <c r="C72" s="107"/>
      <c r="D72" s="107"/>
      <c r="E72" s="107"/>
      <c r="F72" s="108"/>
      <c r="G72" s="1"/>
      <c r="H72" s="1"/>
      <c r="I72" s="1"/>
      <c r="J72" s="1"/>
      <c r="K72" s="1"/>
      <c r="L72" s="1"/>
      <c r="M72" s="1"/>
    </row>
    <row r="73" ht="14.25" customHeight="1">
      <c r="A73" s="1"/>
      <c r="B73" s="266" t="s">
        <v>158</v>
      </c>
      <c r="C73" s="5"/>
      <c r="D73" s="5"/>
      <c r="E73" s="5"/>
      <c r="F73" s="6"/>
      <c r="G73" s="269" t="s">
        <v>161</v>
      </c>
      <c r="H73" s="270"/>
      <c r="I73" s="1"/>
      <c r="J73" s="1"/>
      <c r="K73" s="1"/>
      <c r="L73" s="1"/>
      <c r="M73" s="1"/>
    </row>
    <row r="74" ht="14.25" customHeight="1">
      <c r="A74" s="1"/>
      <c r="B74" s="173" t="s">
        <v>1</v>
      </c>
      <c r="C74" s="275">
        <v>100.0</v>
      </c>
      <c r="D74" s="276">
        <v>15.0</v>
      </c>
      <c r="E74" s="277"/>
      <c r="F74" s="278" t="s">
        <v>5</v>
      </c>
      <c r="G74" s="47"/>
      <c r="H74" s="270"/>
      <c r="I74" s="1"/>
      <c r="J74" s="1"/>
      <c r="K74" s="1"/>
      <c r="L74" s="1"/>
      <c r="M74" s="1"/>
    </row>
    <row r="75" ht="14.25" customHeight="1">
      <c r="A75" s="1"/>
      <c r="B75" s="68" t="s">
        <v>164</v>
      </c>
      <c r="C75" s="145">
        <v>100.0</v>
      </c>
      <c r="D75" s="145">
        <f t="shared" ref="D75:D83" si="7">(C75*D74)/C74</f>
        <v>15</v>
      </c>
      <c r="E75" s="147"/>
      <c r="F75" s="137" t="s">
        <v>5</v>
      </c>
      <c r="G75" s="47"/>
      <c r="H75" s="270"/>
      <c r="I75" s="1"/>
      <c r="J75" s="1"/>
      <c r="K75" s="1"/>
      <c r="L75" s="1"/>
      <c r="M75" s="1"/>
    </row>
    <row r="76" ht="14.25" customHeight="1">
      <c r="A76" s="1"/>
      <c r="B76" s="93" t="s">
        <v>92</v>
      </c>
      <c r="C76" s="195">
        <v>2500.0</v>
      </c>
      <c r="D76" s="195">
        <f t="shared" si="7"/>
        <v>375</v>
      </c>
      <c r="E76" s="196"/>
      <c r="F76" s="165" t="s">
        <v>82</v>
      </c>
      <c r="G76" s="47"/>
      <c r="H76" s="270"/>
      <c r="I76" s="1"/>
      <c r="J76" s="1"/>
      <c r="K76" s="1"/>
      <c r="L76" s="1"/>
      <c r="M76" s="1"/>
    </row>
    <row r="77" ht="14.25" customHeight="1">
      <c r="A77" s="1"/>
      <c r="B77" s="138" t="s">
        <v>165</v>
      </c>
      <c r="C77" s="279">
        <v>16.0</v>
      </c>
      <c r="D77" s="195">
        <f t="shared" si="7"/>
        <v>2.4</v>
      </c>
      <c r="E77" s="280"/>
      <c r="F77" s="281" t="s">
        <v>14</v>
      </c>
      <c r="G77" s="76"/>
      <c r="H77" s="270"/>
      <c r="I77" s="1"/>
      <c r="J77" s="1"/>
      <c r="K77" s="1"/>
      <c r="L77" s="1"/>
      <c r="M77" s="1"/>
    </row>
    <row r="78" ht="14.25" customHeight="1">
      <c r="A78" s="7"/>
      <c r="B78" s="68" t="s">
        <v>166</v>
      </c>
      <c r="C78" s="145">
        <v>25.0</v>
      </c>
      <c r="D78" s="195">
        <f t="shared" si="7"/>
        <v>3.75</v>
      </c>
      <c r="E78" s="282"/>
      <c r="F78" s="137" t="s">
        <v>18</v>
      </c>
      <c r="G78" s="283"/>
      <c r="H78" s="284"/>
      <c r="I78" s="1"/>
      <c r="J78" s="1"/>
      <c r="K78" s="1"/>
      <c r="L78" s="1"/>
      <c r="M78" s="1"/>
    </row>
    <row r="79" ht="14.25" customHeight="1">
      <c r="A79" s="7"/>
      <c r="B79" s="119" t="s">
        <v>31</v>
      </c>
      <c r="C79" s="238">
        <v>50.0</v>
      </c>
      <c r="D79" s="238">
        <f t="shared" si="7"/>
        <v>7.5</v>
      </c>
      <c r="E79" s="282"/>
      <c r="F79" s="176" t="s">
        <v>18</v>
      </c>
      <c r="G79" s="286"/>
      <c r="H79" s="284"/>
      <c r="I79" s="1"/>
      <c r="J79" s="1"/>
      <c r="K79" s="1"/>
      <c r="L79" s="1"/>
      <c r="M79" s="1"/>
    </row>
    <row r="80" ht="14.25" customHeight="1">
      <c r="A80" s="7"/>
      <c r="B80" s="289" t="s">
        <v>167</v>
      </c>
      <c r="C80" s="293">
        <v>0.5</v>
      </c>
      <c r="D80" s="293">
        <f t="shared" si="7"/>
        <v>0.075</v>
      </c>
      <c r="E80" s="296"/>
      <c r="F80" s="298" t="s">
        <v>5</v>
      </c>
      <c r="G80" s="300" t="s">
        <v>169</v>
      </c>
      <c r="H80" s="107"/>
      <c r="I80" s="1"/>
      <c r="J80" s="1"/>
      <c r="K80" s="1"/>
      <c r="L80" s="1"/>
      <c r="M80" s="1"/>
    </row>
    <row r="81" ht="15.0" customHeight="1">
      <c r="A81" s="7"/>
      <c r="B81" s="304" t="s">
        <v>167</v>
      </c>
      <c r="C81" s="307">
        <v>0.1</v>
      </c>
      <c r="D81" s="307">
        <f t="shared" si="7"/>
        <v>0.015</v>
      </c>
      <c r="E81" s="309"/>
      <c r="F81" s="313" t="s">
        <v>5</v>
      </c>
      <c r="G81" s="300" t="s">
        <v>172</v>
      </c>
      <c r="H81" s="107"/>
      <c r="I81" s="1"/>
      <c r="J81" s="1"/>
      <c r="K81" s="1"/>
      <c r="L81" s="1"/>
      <c r="M81" s="1"/>
    </row>
    <row r="82" ht="14.25" customHeight="1">
      <c r="A82" s="7"/>
      <c r="B82" s="68" t="s">
        <v>87</v>
      </c>
      <c r="C82" s="145">
        <v>250.0</v>
      </c>
      <c r="D82" s="145">
        <f t="shared" si="7"/>
        <v>37.5</v>
      </c>
      <c r="E82" s="147"/>
      <c r="F82" s="137" t="s">
        <v>18</v>
      </c>
      <c r="G82" s="319"/>
      <c r="H82" s="107"/>
      <c r="I82" s="1"/>
      <c r="J82" s="1"/>
      <c r="K82" s="1"/>
      <c r="L82" s="1"/>
      <c r="M82" s="1"/>
    </row>
    <row r="83" ht="22.5" customHeight="1">
      <c r="A83" s="7"/>
      <c r="B83" s="149" t="s">
        <v>90</v>
      </c>
      <c r="C83" s="152">
        <v>5.0</v>
      </c>
      <c r="D83" s="152">
        <f t="shared" si="7"/>
        <v>0.75</v>
      </c>
      <c r="E83" s="154"/>
      <c r="F83" s="156" t="s">
        <v>93</v>
      </c>
      <c r="G83" s="323" t="s">
        <v>176</v>
      </c>
      <c r="H83" s="107"/>
      <c r="I83" s="1"/>
      <c r="J83" s="1"/>
      <c r="K83" s="1"/>
      <c r="L83" s="1"/>
      <c r="M83" s="1"/>
    </row>
    <row r="84" ht="14.25" customHeight="1">
      <c r="A84" s="7"/>
      <c r="B84" s="327" t="s">
        <v>180</v>
      </c>
      <c r="C84" s="5"/>
      <c r="D84" s="6"/>
      <c r="E84" s="336"/>
      <c r="F84" s="108"/>
      <c r="G84" s="1"/>
      <c r="H84" s="1"/>
      <c r="I84" s="1"/>
      <c r="J84" s="1"/>
      <c r="K84" s="1"/>
      <c r="L84" s="1"/>
      <c r="M84" s="1"/>
    </row>
    <row r="85" ht="14.25" customHeight="1">
      <c r="A85" s="7"/>
      <c r="B85" s="102"/>
      <c r="C85" s="104"/>
      <c r="D85" s="106"/>
      <c r="E85" s="336"/>
      <c r="F85" s="108"/>
      <c r="G85" s="1"/>
      <c r="H85" s="1"/>
      <c r="I85" s="1"/>
      <c r="J85" s="1"/>
      <c r="K85" s="1"/>
      <c r="L85" s="1"/>
      <c r="M85" s="1"/>
    </row>
    <row r="86" ht="15.0" customHeight="1">
      <c r="A86" s="1"/>
      <c r="B86" s="203" t="s">
        <v>49</v>
      </c>
      <c r="C86" s="340">
        <v>41579.0</v>
      </c>
      <c r="D86" s="107"/>
      <c r="E86" s="107"/>
      <c r="F86" s="108"/>
      <c r="G86" s="1"/>
      <c r="H86" s="1"/>
      <c r="I86" s="1"/>
      <c r="J86" s="1"/>
      <c r="K86" s="1"/>
      <c r="L86" s="1"/>
      <c r="M86" s="1"/>
    </row>
    <row r="87" ht="14.25" customHeight="1">
      <c r="A87" s="1"/>
      <c r="B87" s="342" t="s">
        <v>50</v>
      </c>
      <c r="C87" s="340">
        <v>41705.0</v>
      </c>
      <c r="D87" s="107"/>
      <c r="E87" s="107"/>
      <c r="F87" s="108"/>
      <c r="G87" s="1"/>
      <c r="H87" s="1"/>
      <c r="I87" s="1"/>
      <c r="J87" s="1"/>
      <c r="K87" s="1"/>
      <c r="L87" s="1"/>
      <c r="M87" s="1"/>
    </row>
    <row r="88" ht="20.25" customHeight="1">
      <c r="A88" s="1"/>
      <c r="B88" s="83" t="s">
        <v>42</v>
      </c>
      <c r="C88" s="85" t="s">
        <v>47</v>
      </c>
      <c r="D88" s="107"/>
      <c r="E88" s="107"/>
      <c r="F88" s="108"/>
      <c r="G88" s="1"/>
      <c r="H88" s="1"/>
      <c r="I88" s="1"/>
      <c r="J88" s="1"/>
      <c r="K88" s="1"/>
      <c r="L88" s="1"/>
      <c r="M88" s="1"/>
    </row>
    <row r="89" ht="14.25" customHeight="1">
      <c r="A89" s="1"/>
      <c r="B89" s="189" t="s">
        <v>188</v>
      </c>
      <c r="C89" s="18"/>
      <c r="D89" s="18"/>
      <c r="E89" s="18"/>
      <c r="F89" s="19"/>
      <c r="G89" s="1"/>
      <c r="H89" s="1"/>
      <c r="I89" s="1"/>
      <c r="J89" s="1"/>
      <c r="K89" s="1"/>
      <c r="L89" s="1"/>
      <c r="M89" s="1"/>
    </row>
    <row r="90" ht="14.25" customHeight="1">
      <c r="A90" s="1"/>
      <c r="B90" s="68" t="s">
        <v>1</v>
      </c>
      <c r="C90" s="145">
        <v>100.0</v>
      </c>
      <c r="D90" s="145">
        <v>60.0</v>
      </c>
      <c r="E90" s="147"/>
      <c r="F90" s="137" t="s">
        <v>190</v>
      </c>
      <c r="G90" s="1"/>
      <c r="H90" s="1"/>
      <c r="I90" s="1"/>
      <c r="J90" s="1"/>
      <c r="K90" s="1"/>
      <c r="L90" s="1"/>
      <c r="M90" s="1"/>
    </row>
    <row r="91" ht="14.25" customHeight="1">
      <c r="A91" s="1"/>
      <c r="B91" s="349" t="s">
        <v>15</v>
      </c>
      <c r="C91" s="351">
        <v>90.0</v>
      </c>
      <c r="D91" s="50">
        <f t="shared" ref="D91:D94" si="8">(C91*D90)/C90</f>
        <v>54</v>
      </c>
      <c r="E91" s="54"/>
      <c r="F91" s="353" t="s">
        <v>5</v>
      </c>
      <c r="G91" s="1"/>
      <c r="H91" s="1"/>
      <c r="I91" s="1"/>
      <c r="J91" s="1"/>
      <c r="K91" s="1"/>
      <c r="L91" s="1"/>
      <c r="M91" s="1"/>
    </row>
    <row r="92" ht="14.25" customHeight="1">
      <c r="A92" s="1"/>
      <c r="B92" s="333" t="s">
        <v>194</v>
      </c>
      <c r="C92" s="131">
        <v>750.0</v>
      </c>
      <c r="D92" s="221">
        <f t="shared" si="8"/>
        <v>450</v>
      </c>
      <c r="E92" s="222"/>
      <c r="F92" s="17" t="s">
        <v>18</v>
      </c>
      <c r="G92" s="269" t="s">
        <v>195</v>
      </c>
      <c r="H92" s="270"/>
      <c r="I92" s="1"/>
      <c r="J92" s="1"/>
      <c r="K92" s="1"/>
      <c r="L92" s="1"/>
      <c r="M92" s="1"/>
    </row>
    <row r="93" ht="14.25" customHeight="1">
      <c r="A93" s="1"/>
      <c r="B93" s="358" t="s">
        <v>59</v>
      </c>
      <c r="C93" s="167">
        <v>15.0</v>
      </c>
      <c r="D93" s="236">
        <f t="shared" si="8"/>
        <v>9</v>
      </c>
      <c r="E93" s="237"/>
      <c r="F93" s="362" t="s">
        <v>5</v>
      </c>
      <c r="G93" s="76"/>
      <c r="H93" s="270"/>
      <c r="I93" s="1"/>
      <c r="J93" s="1"/>
      <c r="K93" s="1"/>
      <c r="L93" s="1"/>
      <c r="M93" s="1"/>
    </row>
    <row r="94" ht="14.25" customHeight="1">
      <c r="A94" s="1"/>
      <c r="B94" s="365" t="s">
        <v>13</v>
      </c>
      <c r="C94" s="368">
        <v>12.5</v>
      </c>
      <c r="D94" s="370">
        <f t="shared" si="8"/>
        <v>7.5</v>
      </c>
      <c r="E94" s="371"/>
      <c r="F94" s="372" t="s">
        <v>14</v>
      </c>
      <c r="G94" s="373" t="s">
        <v>204</v>
      </c>
      <c r="H94" s="1"/>
      <c r="I94" s="1"/>
      <c r="J94" s="1"/>
      <c r="K94" s="1"/>
      <c r="L94" s="1"/>
      <c r="M94" s="1"/>
    </row>
    <row r="95" ht="14.25" customHeight="1">
      <c r="A95" s="7"/>
      <c r="B95" s="375" t="s">
        <v>49</v>
      </c>
      <c r="C95" s="376">
        <v>41225.0</v>
      </c>
      <c r="D95" s="107"/>
      <c r="E95" s="107"/>
      <c r="F95" s="108"/>
      <c r="G95" s="1"/>
      <c r="H95" s="1"/>
      <c r="I95" s="1"/>
      <c r="J95" s="1"/>
      <c r="K95" s="1"/>
      <c r="L95" s="1"/>
      <c r="M95" s="1"/>
    </row>
    <row r="96" ht="14.25" customHeight="1">
      <c r="A96" s="7"/>
      <c r="B96" s="381" t="s">
        <v>50</v>
      </c>
      <c r="C96" s="376">
        <v>41354.0</v>
      </c>
      <c r="D96" s="107"/>
      <c r="E96" s="107"/>
      <c r="F96" s="108"/>
      <c r="G96" s="1"/>
      <c r="H96" s="1"/>
      <c r="I96" s="1"/>
      <c r="J96" s="1"/>
      <c r="K96" s="1"/>
      <c r="L96" s="1"/>
      <c r="M96" s="1"/>
    </row>
    <row r="97" ht="14.25" customHeight="1">
      <c r="A97" s="7"/>
      <c r="B97" s="83" t="s">
        <v>42</v>
      </c>
      <c r="C97" s="85" t="s">
        <v>47</v>
      </c>
      <c r="D97" s="107"/>
      <c r="E97" s="107"/>
      <c r="F97" s="108"/>
      <c r="G97" s="1"/>
      <c r="H97" s="1"/>
      <c r="I97" s="1"/>
      <c r="J97" s="1"/>
      <c r="K97" s="1"/>
      <c r="L97" s="1"/>
      <c r="M97" s="1"/>
    </row>
    <row r="98" ht="14.25" customHeight="1">
      <c r="A98" s="1"/>
      <c r="B98" s="1"/>
      <c r="C98" s="107"/>
      <c r="D98" s="107"/>
      <c r="E98" s="107"/>
      <c r="F98" s="108"/>
      <c r="G98" s="1"/>
      <c r="H98" s="1"/>
      <c r="I98" s="1"/>
      <c r="J98" s="1"/>
      <c r="K98" s="1"/>
      <c r="L98" s="1"/>
      <c r="M98" s="1"/>
    </row>
    <row r="99" ht="14.25" customHeight="1">
      <c r="A99" s="1"/>
      <c r="B99" s="1"/>
      <c r="C99" s="107"/>
      <c r="D99" s="107"/>
      <c r="E99" s="107"/>
      <c r="F99" s="108"/>
      <c r="G99" s="1"/>
      <c r="H99" s="1"/>
      <c r="I99" s="1"/>
      <c r="J99" s="1"/>
      <c r="K99" s="1"/>
      <c r="L99" s="1"/>
      <c r="M99" s="1"/>
    </row>
    <row r="100" ht="14.25" customHeight="1">
      <c r="A100" s="1"/>
      <c r="B100" s="386" t="s">
        <v>214</v>
      </c>
      <c r="C100" s="5"/>
      <c r="D100" s="5"/>
      <c r="E100" s="5"/>
      <c r="F100" s="6"/>
      <c r="G100" s="1"/>
      <c r="H100" s="1"/>
      <c r="I100" s="1"/>
      <c r="J100" s="1"/>
      <c r="K100" s="1"/>
      <c r="L100" s="1"/>
      <c r="M100" s="1"/>
    </row>
    <row r="101" ht="14.25" customHeight="1">
      <c r="A101" s="1"/>
      <c r="B101" s="68" t="s">
        <v>1</v>
      </c>
      <c r="C101" s="145">
        <v>100.0</v>
      </c>
      <c r="D101" s="145">
        <v>220.0</v>
      </c>
      <c r="E101" s="147"/>
      <c r="F101" s="137" t="s">
        <v>5</v>
      </c>
      <c r="G101" s="20"/>
      <c r="H101" s="20"/>
      <c r="I101" s="1"/>
      <c r="J101" s="1"/>
      <c r="K101" s="1"/>
      <c r="L101" s="1"/>
      <c r="M101" s="1"/>
    </row>
    <row r="102" ht="14.25" customHeight="1">
      <c r="A102" s="1"/>
      <c r="B102" s="349" t="s">
        <v>15</v>
      </c>
      <c r="C102" s="351">
        <v>90.0</v>
      </c>
      <c r="D102" s="50">
        <f t="shared" ref="D102:D103" si="9">(C102*D101)/C101</f>
        <v>198</v>
      </c>
      <c r="E102" s="54"/>
      <c r="F102" s="353" t="s">
        <v>5</v>
      </c>
      <c r="G102" s="20"/>
      <c r="H102" s="20"/>
      <c r="I102" s="1"/>
      <c r="J102" s="1"/>
      <c r="K102" s="1"/>
      <c r="L102" s="1"/>
      <c r="M102" s="1"/>
    </row>
    <row r="103" ht="14.25" customHeight="1">
      <c r="A103" s="1"/>
      <c r="B103" s="333" t="s">
        <v>157</v>
      </c>
      <c r="C103" s="131">
        <v>15.0</v>
      </c>
      <c r="D103" s="221">
        <f t="shared" si="9"/>
        <v>33</v>
      </c>
      <c r="E103" s="222"/>
      <c r="F103" s="17" t="s">
        <v>5</v>
      </c>
      <c r="G103" s="44" t="s">
        <v>195</v>
      </c>
      <c r="H103" s="141"/>
      <c r="I103" s="1"/>
      <c r="J103" s="1"/>
      <c r="K103" s="1"/>
      <c r="L103" s="1"/>
      <c r="M103" s="1"/>
    </row>
    <row r="104" ht="14.25" customHeight="1">
      <c r="A104" s="1"/>
      <c r="B104" s="341" t="s">
        <v>219</v>
      </c>
      <c r="C104" s="160">
        <v>750.0</v>
      </c>
      <c r="D104" s="27">
        <f t="shared" ref="D104:D105" si="10">(C104*D105)/C105</f>
        <v>1650</v>
      </c>
      <c r="E104" s="29"/>
      <c r="F104" s="38" t="s">
        <v>18</v>
      </c>
      <c r="G104" s="47"/>
      <c r="H104" s="141"/>
      <c r="I104" s="1"/>
      <c r="J104" s="1"/>
      <c r="K104" s="1"/>
      <c r="L104" s="1"/>
      <c r="M104" s="1"/>
    </row>
    <row r="105" ht="14.25" customHeight="1">
      <c r="A105" s="1"/>
      <c r="B105" s="358" t="s">
        <v>17</v>
      </c>
      <c r="C105" s="167">
        <v>50.0</v>
      </c>
      <c r="D105" s="236">
        <f t="shared" si="10"/>
        <v>110</v>
      </c>
      <c r="E105" s="237"/>
      <c r="F105" s="362" t="s">
        <v>18</v>
      </c>
      <c r="G105" s="76"/>
      <c r="H105" s="141"/>
      <c r="I105" s="1"/>
      <c r="J105" s="1"/>
      <c r="K105" s="1"/>
      <c r="L105" s="1"/>
      <c r="M105" s="1"/>
    </row>
    <row r="106" ht="14.25" customHeight="1">
      <c r="A106" s="1"/>
      <c r="B106" s="365" t="s">
        <v>13</v>
      </c>
      <c r="C106" s="368">
        <v>12.5</v>
      </c>
      <c r="D106" s="370">
        <f>(C106*D103)/C103</f>
        <v>27.5</v>
      </c>
      <c r="E106" s="371"/>
      <c r="F106" s="372" t="s">
        <v>14</v>
      </c>
      <c r="G106" s="300" t="s">
        <v>204</v>
      </c>
      <c r="H106" s="107"/>
      <c r="I106" s="1"/>
      <c r="J106" s="1"/>
      <c r="K106" s="1"/>
      <c r="L106" s="1"/>
      <c r="M106" s="1"/>
    </row>
    <row r="107" ht="14.25" customHeight="1">
      <c r="A107" s="1"/>
      <c r="B107" s="396"/>
      <c r="C107" s="86"/>
      <c r="D107" s="107"/>
      <c r="E107" s="107"/>
      <c r="F107" s="108"/>
      <c r="G107" s="1"/>
      <c r="H107" s="1"/>
      <c r="I107" s="1"/>
      <c r="J107" s="1"/>
      <c r="K107" s="1"/>
      <c r="L107" s="1"/>
      <c r="M107" s="1"/>
    </row>
    <row r="108" ht="14.25" customHeight="1">
      <c r="A108" s="1"/>
      <c r="B108" s="375" t="s">
        <v>49</v>
      </c>
      <c r="C108" s="376">
        <v>41225.0</v>
      </c>
      <c r="D108" s="403"/>
      <c r="E108" s="403"/>
      <c r="F108" s="407"/>
      <c r="G108" s="1"/>
      <c r="H108" s="1"/>
      <c r="I108" s="1"/>
      <c r="J108" s="1"/>
      <c r="K108" s="1"/>
      <c r="L108" s="1"/>
      <c r="M108" s="1"/>
    </row>
    <row r="109" ht="14.25" customHeight="1">
      <c r="A109" s="1"/>
      <c r="B109" s="381" t="s">
        <v>50</v>
      </c>
      <c r="C109" s="376">
        <v>41354.0</v>
      </c>
      <c r="D109" s="100"/>
      <c r="E109" s="100"/>
      <c r="F109" s="87"/>
      <c r="G109" s="1"/>
      <c r="H109" s="1"/>
      <c r="I109" s="1"/>
      <c r="J109" s="1"/>
      <c r="K109" s="1"/>
      <c r="L109" s="1"/>
      <c r="M109" s="1"/>
    </row>
    <row r="110" ht="14.25" customHeight="1">
      <c r="A110" s="1"/>
      <c r="B110" s="1"/>
      <c r="C110" s="107"/>
      <c r="D110" s="100"/>
      <c r="E110" s="100"/>
      <c r="F110" s="87"/>
      <c r="G110" s="1"/>
      <c r="H110" s="1"/>
      <c r="I110" s="1"/>
      <c r="J110" s="1"/>
      <c r="K110" s="1"/>
      <c r="L110" s="1"/>
      <c r="M110" s="1"/>
    </row>
    <row r="111" ht="16.5" customHeight="1">
      <c r="A111" s="1"/>
      <c r="B111" s="83" t="s">
        <v>42</v>
      </c>
      <c r="C111" s="85" t="s">
        <v>47</v>
      </c>
      <c r="D111" s="100"/>
      <c r="E111" s="100"/>
      <c r="F111" s="87"/>
      <c r="G111" s="1"/>
      <c r="H111" s="1"/>
      <c r="I111" s="1"/>
      <c r="J111" s="1"/>
      <c r="K111" s="1"/>
      <c r="L111" s="1"/>
      <c r="M111" s="1"/>
    </row>
    <row r="112" ht="14.25" customHeight="1">
      <c r="A112" s="1"/>
      <c r="B112" s="1"/>
      <c r="C112" s="107"/>
      <c r="D112" s="107"/>
      <c r="E112" s="107"/>
      <c r="F112" s="108"/>
      <c r="G112" s="1"/>
      <c r="H112" s="1"/>
      <c r="I112" s="1"/>
      <c r="J112" s="1"/>
      <c r="K112" s="1"/>
      <c r="L112" s="1"/>
      <c r="M112" s="1"/>
    </row>
    <row r="113" ht="14.25" customHeight="1">
      <c r="A113" s="1"/>
      <c r="B113" s="209" t="s">
        <v>233</v>
      </c>
      <c r="C113" s="18"/>
      <c r="D113" s="18"/>
      <c r="E113" s="18"/>
      <c r="F113" s="19"/>
      <c r="G113" s="1"/>
      <c r="H113" s="1"/>
      <c r="I113" s="1"/>
      <c r="J113" s="1"/>
      <c r="K113" s="1"/>
      <c r="L113" s="1"/>
      <c r="M113" s="1"/>
    </row>
    <row r="114" ht="14.25" customHeight="1">
      <c r="A114" s="1"/>
      <c r="B114" s="51" t="s">
        <v>1</v>
      </c>
      <c r="C114" s="190">
        <v>100.0</v>
      </c>
      <c r="D114" s="191">
        <v>15.0</v>
      </c>
      <c r="E114" s="213"/>
      <c r="F114" s="125" t="s">
        <v>5</v>
      </c>
      <c r="G114" s="1"/>
      <c r="H114" s="1"/>
      <c r="I114" s="1"/>
      <c r="J114" s="1"/>
      <c r="K114" s="1"/>
      <c r="L114" s="1"/>
      <c r="M114" s="1"/>
    </row>
    <row r="115" ht="14.25" customHeight="1">
      <c r="A115" s="1"/>
      <c r="B115" s="68" t="s">
        <v>59</v>
      </c>
      <c r="C115" s="145">
        <v>92.0</v>
      </c>
      <c r="D115" s="221">
        <f t="shared" ref="D115:D123" si="11">(C115*D114)/C114</f>
        <v>13.8</v>
      </c>
      <c r="E115" s="222"/>
      <c r="F115" s="137" t="s">
        <v>5</v>
      </c>
      <c r="G115" s="44" t="s">
        <v>235</v>
      </c>
      <c r="H115" s="141"/>
      <c r="I115" s="1"/>
      <c r="J115" s="1"/>
      <c r="K115" s="1"/>
      <c r="L115" s="1"/>
      <c r="M115" s="1"/>
    </row>
    <row r="116" ht="14.25" customHeight="1">
      <c r="A116" s="1"/>
      <c r="B116" s="93" t="s">
        <v>13</v>
      </c>
      <c r="C116" s="195">
        <v>9.0</v>
      </c>
      <c r="D116" s="27">
        <f t="shared" si="11"/>
        <v>1.35</v>
      </c>
      <c r="E116" s="29"/>
      <c r="F116" s="165" t="s">
        <v>14</v>
      </c>
      <c r="G116" s="47"/>
      <c r="H116" s="141"/>
      <c r="I116" s="1"/>
      <c r="J116" s="1"/>
      <c r="K116" s="1"/>
      <c r="L116" s="1"/>
      <c r="M116" s="1"/>
    </row>
    <row r="117" ht="14.25" customHeight="1">
      <c r="A117" s="1"/>
      <c r="B117" s="93" t="s">
        <v>31</v>
      </c>
      <c r="C117" s="195">
        <v>200.0</v>
      </c>
      <c r="D117" s="27">
        <f t="shared" si="11"/>
        <v>30</v>
      </c>
      <c r="E117" s="29"/>
      <c r="F117" s="165" t="s">
        <v>18</v>
      </c>
      <c r="G117" s="47"/>
      <c r="H117" s="141"/>
      <c r="I117" s="1"/>
      <c r="J117" s="1"/>
      <c r="K117" s="1"/>
      <c r="L117" s="1"/>
      <c r="M117" s="1"/>
    </row>
    <row r="118" ht="14.25" customHeight="1">
      <c r="A118" s="1"/>
      <c r="B118" s="93" t="s">
        <v>124</v>
      </c>
      <c r="C118" s="195">
        <v>400.0</v>
      </c>
      <c r="D118" s="27">
        <f t="shared" si="11"/>
        <v>60</v>
      </c>
      <c r="E118" s="29"/>
      <c r="F118" s="165" t="s">
        <v>18</v>
      </c>
      <c r="G118" s="47"/>
      <c r="H118" s="141"/>
      <c r="I118" s="1"/>
      <c r="J118" s="1"/>
      <c r="K118" s="1"/>
      <c r="L118" s="1"/>
      <c r="M118" s="1"/>
    </row>
    <row r="119" ht="14.25" customHeight="1">
      <c r="A119" s="1"/>
      <c r="B119" s="138" t="s">
        <v>237</v>
      </c>
      <c r="C119" s="279">
        <v>1000.0</v>
      </c>
      <c r="D119" s="50">
        <f t="shared" si="11"/>
        <v>150</v>
      </c>
      <c r="E119" s="54"/>
      <c r="F119" s="281" t="s">
        <v>18</v>
      </c>
      <c r="G119" s="76"/>
      <c r="H119" s="141"/>
      <c r="I119" s="1"/>
      <c r="J119" s="1"/>
      <c r="K119" s="1"/>
      <c r="L119" s="1"/>
      <c r="M119" s="1"/>
    </row>
    <row r="120" ht="14.25" customHeight="1">
      <c r="A120" s="1"/>
      <c r="B120" s="68" t="s">
        <v>87</v>
      </c>
      <c r="C120" s="145">
        <v>750.0</v>
      </c>
      <c r="D120" s="145">
        <f t="shared" si="11"/>
        <v>112.5</v>
      </c>
      <c r="E120" s="147"/>
      <c r="F120" s="137" t="s">
        <v>18</v>
      </c>
      <c r="G120" s="44" t="s">
        <v>239</v>
      </c>
      <c r="H120" s="141"/>
      <c r="I120" s="1"/>
      <c r="J120" s="1"/>
      <c r="K120" s="1"/>
      <c r="L120" s="1"/>
      <c r="M120" s="1"/>
    </row>
    <row r="121" ht="14.25" customHeight="1">
      <c r="A121" s="1"/>
      <c r="B121" s="417" t="s">
        <v>90</v>
      </c>
      <c r="C121" s="418">
        <v>15.0</v>
      </c>
      <c r="D121" s="418">
        <f t="shared" si="11"/>
        <v>2.25</v>
      </c>
      <c r="E121" s="419"/>
      <c r="F121" s="420" t="s">
        <v>93</v>
      </c>
      <c r="G121" s="47"/>
      <c r="H121" s="141"/>
      <c r="I121" s="1"/>
      <c r="J121" s="1"/>
      <c r="K121" s="1"/>
      <c r="L121" s="1"/>
      <c r="M121" s="1"/>
    </row>
    <row r="122" ht="14.25" customHeight="1">
      <c r="A122" s="1"/>
      <c r="B122" s="421" t="s">
        <v>241</v>
      </c>
      <c r="C122" s="422">
        <v>800.0</v>
      </c>
      <c r="D122" s="423">
        <f t="shared" si="11"/>
        <v>120</v>
      </c>
      <c r="E122" s="424"/>
      <c r="F122" s="425" t="s">
        <v>18</v>
      </c>
      <c r="G122" s="76"/>
      <c r="H122" s="141"/>
      <c r="I122" s="1"/>
      <c r="J122" s="1"/>
      <c r="K122" s="1"/>
      <c r="L122" s="1"/>
      <c r="M122" s="1"/>
    </row>
    <row r="123" ht="14.25" customHeight="1">
      <c r="A123" s="1"/>
      <c r="B123" s="149" t="s">
        <v>16</v>
      </c>
      <c r="C123" s="152">
        <v>0.0</v>
      </c>
      <c r="D123" s="370">
        <f t="shared" si="11"/>
        <v>0</v>
      </c>
      <c r="E123" s="371"/>
      <c r="F123" s="156" t="s">
        <v>14</v>
      </c>
      <c r="G123" s="426"/>
      <c r="H123" s="427"/>
      <c r="I123" s="1"/>
      <c r="J123" s="1"/>
      <c r="K123" s="1"/>
      <c r="L123" s="1"/>
      <c r="M123" s="1"/>
    </row>
    <row r="124" ht="14.25" customHeight="1">
      <c r="A124" s="1"/>
      <c r="B124" s="83" t="s">
        <v>42</v>
      </c>
      <c r="C124" s="258" t="s">
        <v>47</v>
      </c>
      <c r="D124" s="107"/>
      <c r="E124" s="107"/>
      <c r="F124" s="108"/>
      <c r="G124" s="1"/>
      <c r="H124" s="1"/>
      <c r="I124" s="1"/>
      <c r="J124" s="1"/>
      <c r="K124" s="1"/>
      <c r="L124" s="1"/>
      <c r="M124" s="1"/>
    </row>
    <row r="125" ht="14.25" customHeight="1">
      <c r="A125" s="1"/>
      <c r="B125" s="90" t="s">
        <v>49</v>
      </c>
      <c r="C125" s="260">
        <v>41769.0</v>
      </c>
      <c r="D125" s="107"/>
      <c r="E125" s="107"/>
      <c r="F125" s="108"/>
      <c r="G125" s="1"/>
      <c r="H125" s="1"/>
      <c r="I125" s="1"/>
      <c r="J125" s="1"/>
      <c r="K125" s="1"/>
      <c r="L125" s="1"/>
      <c r="M125" s="1"/>
    </row>
    <row r="126" ht="14.25" customHeight="1">
      <c r="A126" s="1"/>
      <c r="B126" s="90" t="s">
        <v>50</v>
      </c>
      <c r="C126" s="260">
        <v>42099.0</v>
      </c>
      <c r="D126" s="107"/>
      <c r="E126" s="107"/>
      <c r="F126" s="108"/>
      <c r="G126" s="1"/>
      <c r="H126" s="1"/>
      <c r="I126" s="1"/>
      <c r="J126" s="1"/>
      <c r="K126" s="1"/>
      <c r="L126" s="1"/>
      <c r="M126" s="1"/>
    </row>
    <row r="127" ht="14.25" customHeight="1">
      <c r="A127" s="1"/>
      <c r="B127" s="1"/>
      <c r="C127" s="107"/>
      <c r="D127" s="107"/>
      <c r="E127" s="107"/>
      <c r="F127" s="108"/>
      <c r="G127" s="1"/>
      <c r="H127" s="1"/>
      <c r="I127" s="1"/>
      <c r="J127" s="1"/>
      <c r="K127" s="1"/>
      <c r="L127" s="1"/>
      <c r="M127" s="1"/>
    </row>
    <row r="128" ht="14.25" customHeight="1">
      <c r="A128" s="1"/>
      <c r="B128" s="209" t="s">
        <v>242</v>
      </c>
      <c r="C128" s="18"/>
      <c r="D128" s="18"/>
      <c r="E128" s="18"/>
      <c r="F128" s="19"/>
      <c r="G128" s="429"/>
      <c r="H128" s="429"/>
      <c r="I128" s="1"/>
      <c r="J128" s="1"/>
      <c r="K128" s="1"/>
      <c r="L128" s="1"/>
      <c r="M128" s="1"/>
    </row>
    <row r="129" ht="14.25" customHeight="1">
      <c r="A129" s="1"/>
      <c r="B129" s="173" t="s">
        <v>1</v>
      </c>
      <c r="C129" s="275">
        <v>100.0</v>
      </c>
      <c r="D129" s="275">
        <v>100.0</v>
      </c>
      <c r="E129" s="433"/>
      <c r="F129" s="278" t="s">
        <v>5</v>
      </c>
      <c r="G129" s="429"/>
      <c r="H129" s="429"/>
      <c r="I129" s="1"/>
      <c r="J129" s="1"/>
      <c r="K129" s="1"/>
      <c r="L129" s="1"/>
      <c r="M129" s="1"/>
    </row>
    <row r="130" ht="14.25" customHeight="1">
      <c r="A130" s="1"/>
      <c r="B130" s="68" t="s">
        <v>243</v>
      </c>
      <c r="C130" s="145">
        <v>85.0</v>
      </c>
      <c r="D130" s="145">
        <f t="shared" ref="D130:D133" si="12">(C130*D129)/C129</f>
        <v>85</v>
      </c>
      <c r="E130" s="147"/>
      <c r="F130" s="137" t="s">
        <v>5</v>
      </c>
      <c r="G130" s="44" t="s">
        <v>247</v>
      </c>
      <c r="H130" s="141"/>
      <c r="I130" s="1"/>
      <c r="J130" s="1"/>
      <c r="K130" s="1"/>
      <c r="L130" s="1"/>
      <c r="M130" s="1"/>
    </row>
    <row r="131" ht="14.25" customHeight="1">
      <c r="A131" s="1"/>
      <c r="B131" s="93" t="s">
        <v>242</v>
      </c>
      <c r="C131" s="195">
        <v>14.0</v>
      </c>
      <c r="D131" s="195">
        <f t="shared" si="12"/>
        <v>14</v>
      </c>
      <c r="E131" s="196"/>
      <c r="F131" s="165" t="s">
        <v>5</v>
      </c>
      <c r="G131" s="47"/>
      <c r="H131" s="141"/>
      <c r="I131" s="1"/>
      <c r="J131" s="1"/>
      <c r="K131" s="1"/>
      <c r="L131" s="1"/>
      <c r="M131" s="1"/>
    </row>
    <row r="132" ht="14.25" customHeight="1">
      <c r="A132" s="1"/>
      <c r="B132" s="93" t="s">
        <v>13</v>
      </c>
      <c r="C132" s="195">
        <v>2.5</v>
      </c>
      <c r="D132" s="195">
        <f t="shared" si="12"/>
        <v>2.5</v>
      </c>
      <c r="E132" s="196"/>
      <c r="F132" s="165" t="s">
        <v>14</v>
      </c>
      <c r="G132" s="47"/>
      <c r="H132" s="141"/>
      <c r="I132" s="1"/>
      <c r="J132" s="1"/>
      <c r="K132" s="1"/>
      <c r="L132" s="1"/>
      <c r="M132" s="1"/>
    </row>
    <row r="133" ht="14.25" customHeight="1">
      <c r="A133" s="1"/>
      <c r="B133" s="105" t="s">
        <v>31</v>
      </c>
      <c r="C133" s="200">
        <v>520.0</v>
      </c>
      <c r="D133" s="200">
        <f t="shared" si="12"/>
        <v>520</v>
      </c>
      <c r="E133" s="202"/>
      <c r="F133" s="172" t="s">
        <v>18</v>
      </c>
      <c r="G133" s="76"/>
      <c r="H133" s="141"/>
      <c r="I133" s="1"/>
      <c r="J133" s="1"/>
      <c r="K133" s="1"/>
      <c r="L133" s="1"/>
      <c r="M133" s="1"/>
    </row>
    <row r="134" ht="14.25" customHeight="1">
      <c r="A134" s="1"/>
      <c r="B134" s="83" t="s">
        <v>42</v>
      </c>
      <c r="C134" s="85" t="s">
        <v>47</v>
      </c>
      <c r="D134" s="107"/>
      <c r="E134" s="107"/>
      <c r="F134" s="108"/>
      <c r="G134" s="1"/>
      <c r="H134" s="1"/>
      <c r="I134" s="1"/>
      <c r="J134" s="1"/>
      <c r="K134" s="1"/>
      <c r="L134" s="1"/>
      <c r="M134" s="1"/>
    </row>
    <row r="135" ht="14.25" customHeight="1">
      <c r="A135" s="1"/>
      <c r="B135" s="186" t="s">
        <v>49</v>
      </c>
      <c r="C135" s="187">
        <v>42160.0</v>
      </c>
      <c r="D135" s="107"/>
      <c r="E135" s="107"/>
      <c r="F135" s="108"/>
      <c r="G135" s="1"/>
      <c r="H135" s="1"/>
      <c r="I135" s="1"/>
      <c r="J135" s="1"/>
      <c r="K135" s="1"/>
      <c r="L135" s="1"/>
      <c r="M135" s="1"/>
    </row>
    <row r="136" ht="14.25" customHeight="1">
      <c r="A136" s="1"/>
      <c r="B136" s="90" t="s">
        <v>50</v>
      </c>
      <c r="C136" s="187">
        <v>43226.0</v>
      </c>
      <c r="D136" s="107"/>
      <c r="E136" s="107"/>
      <c r="F136" s="108"/>
      <c r="G136" s="1"/>
      <c r="H136" s="1"/>
      <c r="I136" s="1"/>
      <c r="J136" s="1"/>
      <c r="K136" s="1"/>
      <c r="L136" s="1"/>
      <c r="M136" s="1"/>
    </row>
    <row r="137" ht="14.25" customHeight="1">
      <c r="A137" s="1"/>
      <c r="B137" s="1"/>
      <c r="C137" s="107"/>
      <c r="D137" s="107"/>
      <c r="E137" s="107"/>
      <c r="F137" s="108"/>
      <c r="G137" s="1"/>
      <c r="H137" s="1"/>
      <c r="I137" s="1"/>
      <c r="J137" s="1"/>
      <c r="K137" s="1"/>
      <c r="L137" s="1"/>
      <c r="M137" s="1"/>
    </row>
    <row r="138" ht="14.25" customHeight="1">
      <c r="A138" s="1"/>
      <c r="B138" s="189" t="s">
        <v>249</v>
      </c>
      <c r="C138" s="18"/>
      <c r="D138" s="18"/>
      <c r="E138" s="18"/>
      <c r="F138" s="19"/>
      <c r="G138" s="1"/>
      <c r="H138" s="1"/>
      <c r="I138" s="1"/>
      <c r="J138" s="1"/>
      <c r="K138" s="1"/>
      <c r="L138" s="1"/>
      <c r="M138" s="1"/>
    </row>
    <row r="139" ht="14.25" customHeight="1">
      <c r="A139" s="1"/>
      <c r="B139" s="324" t="s">
        <v>1</v>
      </c>
      <c r="C139" s="444">
        <v>100.0</v>
      </c>
      <c r="D139" s="445">
        <v>5.0</v>
      </c>
      <c r="E139" s="446"/>
      <c r="F139" s="447" t="s">
        <v>5</v>
      </c>
      <c r="G139" s="1"/>
      <c r="H139" s="1"/>
      <c r="I139" s="1"/>
      <c r="J139" s="1"/>
      <c r="K139" s="1"/>
      <c r="L139" s="1"/>
      <c r="M139" s="1"/>
    </row>
    <row r="140" ht="14.25" customHeight="1">
      <c r="A140" s="1"/>
      <c r="B140" s="333" t="s">
        <v>250</v>
      </c>
      <c r="C140" s="13">
        <v>5.0</v>
      </c>
      <c r="D140" s="221">
        <f t="shared" ref="D140:D146" si="13">(C140*D139)/C139</f>
        <v>0.25</v>
      </c>
      <c r="E140" s="222"/>
      <c r="F140" s="448" t="s">
        <v>14</v>
      </c>
      <c r="G140" s="44" t="s">
        <v>251</v>
      </c>
      <c r="H140" s="141"/>
      <c r="I140" s="1"/>
      <c r="J140" s="1"/>
      <c r="K140" s="1"/>
      <c r="L140" s="1"/>
      <c r="M140" s="1"/>
    </row>
    <row r="141" ht="14.25" customHeight="1">
      <c r="A141" s="1"/>
      <c r="B141" s="68" t="s">
        <v>87</v>
      </c>
      <c r="C141" s="145">
        <v>500.0</v>
      </c>
      <c r="D141" s="145">
        <f t="shared" si="13"/>
        <v>25</v>
      </c>
      <c r="E141" s="147"/>
      <c r="F141" s="137" t="s">
        <v>18</v>
      </c>
      <c r="G141" s="47"/>
      <c r="H141" s="141"/>
      <c r="I141" s="1"/>
      <c r="J141" s="1"/>
      <c r="K141" s="1"/>
      <c r="L141" s="1"/>
      <c r="M141" s="1"/>
    </row>
    <row r="142" ht="14.25" customHeight="1">
      <c r="A142" s="1"/>
      <c r="B142" s="417" t="s">
        <v>90</v>
      </c>
      <c r="C142" s="418">
        <v>10.0</v>
      </c>
      <c r="D142" s="418">
        <f t="shared" si="13"/>
        <v>0.5</v>
      </c>
      <c r="E142" s="419"/>
      <c r="F142" s="420" t="s">
        <v>93</v>
      </c>
      <c r="G142" s="76"/>
      <c r="H142" s="141"/>
      <c r="I142" s="1"/>
      <c r="J142" s="1"/>
      <c r="K142" s="1"/>
      <c r="L142" s="1"/>
      <c r="M142" s="1"/>
    </row>
    <row r="143" ht="14.25" customHeight="1">
      <c r="A143" s="1"/>
      <c r="B143" s="68" t="s">
        <v>252</v>
      </c>
      <c r="C143" s="13">
        <v>100.0</v>
      </c>
      <c r="D143" s="221">
        <f t="shared" si="13"/>
        <v>5</v>
      </c>
      <c r="E143" s="222"/>
      <c r="F143" s="448" t="s">
        <v>18</v>
      </c>
      <c r="G143" s="44" t="s">
        <v>253</v>
      </c>
      <c r="H143" s="141"/>
      <c r="I143" s="1"/>
      <c r="J143" s="1"/>
      <c r="K143" s="1"/>
      <c r="L143" s="1"/>
      <c r="M143" s="1"/>
    </row>
    <row r="144" ht="14.25" customHeight="1">
      <c r="A144" s="1"/>
      <c r="B144" s="93" t="s">
        <v>254</v>
      </c>
      <c r="C144" s="33">
        <v>150.0</v>
      </c>
      <c r="D144" s="27">
        <f t="shared" si="13"/>
        <v>7.5</v>
      </c>
      <c r="E144" s="29"/>
      <c r="F144" s="36" t="s">
        <v>18</v>
      </c>
      <c r="G144" s="47"/>
      <c r="H144" s="141"/>
      <c r="I144" s="1"/>
      <c r="J144" s="1"/>
      <c r="K144" s="1"/>
      <c r="L144" s="1"/>
      <c r="M144" s="1"/>
    </row>
    <row r="145" ht="14.25" customHeight="1">
      <c r="A145" s="1"/>
      <c r="B145" s="93" t="s">
        <v>104</v>
      </c>
      <c r="C145" s="33">
        <v>250.0</v>
      </c>
      <c r="D145" s="27">
        <f t="shared" si="13"/>
        <v>12.5</v>
      </c>
      <c r="E145" s="29"/>
      <c r="F145" s="36" t="s">
        <v>18</v>
      </c>
      <c r="G145" s="47"/>
      <c r="H145" s="141"/>
      <c r="I145" s="1"/>
      <c r="J145" s="1"/>
      <c r="K145" s="1"/>
      <c r="L145" s="1"/>
      <c r="M145" s="1"/>
    </row>
    <row r="146" ht="14.25" customHeight="1">
      <c r="A146" s="1"/>
      <c r="B146" s="93" t="s">
        <v>31</v>
      </c>
      <c r="C146" s="33">
        <v>250.0</v>
      </c>
      <c r="D146" s="27">
        <f t="shared" si="13"/>
        <v>12.5</v>
      </c>
      <c r="E146" s="29"/>
      <c r="F146" s="36" t="s">
        <v>18</v>
      </c>
      <c r="G146" s="47"/>
      <c r="H146" s="141"/>
      <c r="I146" s="1"/>
      <c r="J146" s="1"/>
      <c r="K146" s="1"/>
      <c r="L146" s="1"/>
      <c r="M146" s="1"/>
    </row>
    <row r="147" ht="14.25" customHeight="1">
      <c r="A147" s="1"/>
      <c r="B147" s="358" t="s">
        <v>13</v>
      </c>
      <c r="C147" s="454">
        <v>12.5</v>
      </c>
      <c r="D147" s="236">
        <f>(C147*D140)/C140</f>
        <v>0.625</v>
      </c>
      <c r="E147" s="237"/>
      <c r="F147" s="457" t="s">
        <v>14</v>
      </c>
      <c r="G147" s="76"/>
      <c r="H147" s="141"/>
      <c r="I147" s="1"/>
      <c r="J147" s="1"/>
      <c r="K147" s="1"/>
      <c r="L147" s="1"/>
      <c r="M147" s="1"/>
    </row>
    <row r="148" ht="14.25" customHeight="1">
      <c r="A148" s="1"/>
      <c r="B148" s="365" t="s">
        <v>258</v>
      </c>
      <c r="C148" s="461">
        <v>80.0</v>
      </c>
      <c r="D148" s="461">
        <f>(C148*D142)/C142</f>
        <v>4</v>
      </c>
      <c r="E148" s="464"/>
      <c r="F148" s="466" t="s">
        <v>5</v>
      </c>
      <c r="G148" s="1"/>
      <c r="H148" s="1"/>
      <c r="I148" s="1"/>
      <c r="J148" s="1"/>
      <c r="K148" s="1"/>
      <c r="L148" s="1"/>
      <c r="M148" s="1"/>
    </row>
    <row r="149" ht="14.25" customHeight="1">
      <c r="A149" s="1"/>
      <c r="B149" s="88" t="s">
        <v>49</v>
      </c>
      <c r="C149" s="89">
        <v>40971.0</v>
      </c>
      <c r="D149" s="107"/>
      <c r="E149" s="107"/>
      <c r="F149" s="108"/>
      <c r="G149" s="1"/>
      <c r="H149" s="1"/>
      <c r="I149" s="1"/>
      <c r="J149" s="1"/>
      <c r="K149" s="1"/>
      <c r="L149" s="1"/>
      <c r="M149" s="1"/>
    </row>
    <row r="150" ht="14.25" customHeight="1">
      <c r="A150" s="1"/>
      <c r="B150" s="90" t="s">
        <v>50</v>
      </c>
      <c r="C150" s="89">
        <v>41402.0</v>
      </c>
      <c r="D150" s="107"/>
      <c r="E150" s="107"/>
      <c r="F150" s="108"/>
      <c r="G150" s="1"/>
      <c r="H150" s="1"/>
      <c r="I150" s="1"/>
      <c r="J150" s="1"/>
      <c r="K150" s="1"/>
      <c r="L150" s="1"/>
      <c r="M150" s="1"/>
    </row>
    <row r="151" ht="14.25" customHeight="1">
      <c r="A151" s="1"/>
      <c r="B151" s="83" t="s">
        <v>42</v>
      </c>
      <c r="C151" s="85" t="s">
        <v>47</v>
      </c>
      <c r="D151" s="107"/>
      <c r="E151" s="107"/>
      <c r="F151" s="108"/>
      <c r="G151" s="1"/>
      <c r="H151" s="1"/>
      <c r="I151" s="1"/>
      <c r="J151" s="1"/>
      <c r="K151" s="1"/>
      <c r="L151" s="1"/>
      <c r="M151" s="1"/>
    </row>
    <row r="152" ht="14.25" customHeight="1">
      <c r="A152" s="1"/>
      <c r="B152" s="1"/>
      <c r="C152" s="107"/>
      <c r="D152" s="107"/>
      <c r="E152" s="107"/>
      <c r="F152" s="108"/>
      <c r="G152" s="1"/>
      <c r="H152" s="1"/>
      <c r="I152" s="1"/>
      <c r="J152" s="1"/>
      <c r="K152" s="1"/>
      <c r="L152" s="1"/>
      <c r="M152" s="1"/>
    </row>
    <row r="153" ht="15.75" customHeight="1">
      <c r="A153" s="1"/>
      <c r="B153" s="209" t="s">
        <v>81</v>
      </c>
      <c r="C153" s="18"/>
      <c r="D153" s="18"/>
      <c r="E153" s="18"/>
      <c r="F153" s="19"/>
      <c r="G153" s="481"/>
      <c r="H153" s="429"/>
      <c r="I153" s="1"/>
      <c r="J153" s="1"/>
      <c r="K153" s="1"/>
      <c r="L153" s="1"/>
      <c r="M153" s="1"/>
    </row>
    <row r="154" ht="19.5" customHeight="1">
      <c r="A154" s="1"/>
      <c r="B154" s="173" t="s">
        <v>1</v>
      </c>
      <c r="C154" s="275">
        <v>100.0</v>
      </c>
      <c r="D154" s="276">
        <v>14.0</v>
      </c>
      <c r="E154" s="277"/>
      <c r="F154" s="278" t="s">
        <v>5</v>
      </c>
      <c r="G154" s="102"/>
      <c r="H154" s="429"/>
      <c r="I154" s="1"/>
      <c r="J154" s="1"/>
      <c r="K154" s="1"/>
      <c r="L154" s="1"/>
      <c r="M154" s="1"/>
    </row>
    <row r="155" ht="14.25" customHeight="1">
      <c r="A155" s="1"/>
      <c r="B155" s="68" t="s">
        <v>243</v>
      </c>
      <c r="C155" s="145">
        <v>90.0</v>
      </c>
      <c r="D155" s="145">
        <f t="shared" ref="D155:D160" si="14">(C155*D154)/C154</f>
        <v>12.6</v>
      </c>
      <c r="E155" s="147"/>
      <c r="F155" s="137" t="s">
        <v>5</v>
      </c>
      <c r="G155" s="44" t="s">
        <v>247</v>
      </c>
      <c r="H155" s="141"/>
      <c r="I155" s="1"/>
      <c r="J155" s="1"/>
      <c r="K155" s="1"/>
      <c r="L155" s="1"/>
      <c r="M155" s="1"/>
    </row>
    <row r="156" ht="14.25" customHeight="1">
      <c r="A156" s="1"/>
      <c r="B156" s="93" t="s">
        <v>81</v>
      </c>
      <c r="C156" s="195">
        <v>1800.0</v>
      </c>
      <c r="D156" s="195">
        <f t="shared" si="14"/>
        <v>252</v>
      </c>
      <c r="E156" s="196"/>
      <c r="F156" s="165" t="s">
        <v>82</v>
      </c>
      <c r="G156" s="47"/>
      <c r="H156" s="141"/>
      <c r="I156" s="1"/>
      <c r="J156" s="1"/>
      <c r="K156" s="1"/>
      <c r="L156" s="1"/>
      <c r="M156" s="1"/>
    </row>
    <row r="157" ht="14.25" customHeight="1">
      <c r="A157" s="1"/>
      <c r="B157" s="93" t="s">
        <v>13</v>
      </c>
      <c r="C157" s="195">
        <v>12.5</v>
      </c>
      <c r="D157" s="195">
        <f t="shared" si="14"/>
        <v>1.75</v>
      </c>
      <c r="E157" s="196"/>
      <c r="F157" s="165" t="s">
        <v>14</v>
      </c>
      <c r="G157" s="47"/>
      <c r="H157" s="141"/>
      <c r="I157" s="1"/>
      <c r="J157" s="1"/>
      <c r="K157" s="1"/>
      <c r="L157" s="1"/>
      <c r="M157" s="1"/>
    </row>
    <row r="158" ht="14.25" customHeight="1">
      <c r="A158" s="1"/>
      <c r="B158" s="93" t="s">
        <v>31</v>
      </c>
      <c r="C158" s="195">
        <v>200.0</v>
      </c>
      <c r="D158" s="195">
        <f t="shared" si="14"/>
        <v>28</v>
      </c>
      <c r="E158" s="196"/>
      <c r="F158" s="165" t="s">
        <v>18</v>
      </c>
      <c r="G158" s="47"/>
      <c r="H158" s="141"/>
      <c r="I158" s="1"/>
      <c r="J158" s="1"/>
      <c r="K158" s="1"/>
      <c r="L158" s="1"/>
      <c r="M158" s="1"/>
    </row>
    <row r="159" ht="14.25" customHeight="1">
      <c r="A159" s="1"/>
      <c r="B159" s="138" t="s">
        <v>124</v>
      </c>
      <c r="C159" s="279">
        <v>100.0</v>
      </c>
      <c r="D159" s="279">
        <f t="shared" si="14"/>
        <v>14</v>
      </c>
      <c r="E159" s="280"/>
      <c r="F159" s="281" t="s">
        <v>18</v>
      </c>
      <c r="G159" s="76"/>
      <c r="H159" s="141"/>
      <c r="I159" s="1"/>
      <c r="J159" s="1"/>
      <c r="K159" s="1"/>
      <c r="L159" s="1"/>
      <c r="M159" s="1"/>
    </row>
    <row r="160" ht="14.25" customHeight="1">
      <c r="A160" s="1"/>
      <c r="B160" s="486" t="s">
        <v>286</v>
      </c>
      <c r="C160" s="487">
        <v>150.0</v>
      </c>
      <c r="D160" s="487">
        <f t="shared" si="14"/>
        <v>21</v>
      </c>
      <c r="E160" s="488"/>
      <c r="F160" s="490" t="s">
        <v>18</v>
      </c>
      <c r="G160" s="493"/>
      <c r="H160" s="495"/>
      <c r="I160" s="1"/>
      <c r="J160" s="1"/>
      <c r="K160" s="1"/>
      <c r="L160" s="1"/>
      <c r="M160" s="1"/>
    </row>
    <row r="161" ht="14.25" customHeight="1">
      <c r="A161" s="1"/>
      <c r="B161" s="1"/>
      <c r="C161" s="107"/>
      <c r="D161" s="107"/>
      <c r="E161" s="107"/>
      <c r="F161" s="108"/>
      <c r="G161" s="1"/>
      <c r="H161" s="1"/>
      <c r="I161" s="497" t="s">
        <v>298</v>
      </c>
      <c r="J161" s="1"/>
      <c r="K161" s="1"/>
      <c r="L161" s="1"/>
      <c r="M161" s="1"/>
    </row>
    <row r="162" ht="14.25" customHeight="1">
      <c r="A162" s="1"/>
      <c r="B162" s="83" t="s">
        <v>42</v>
      </c>
      <c r="C162" s="85" t="s">
        <v>47</v>
      </c>
      <c r="D162" s="107"/>
      <c r="E162" s="107"/>
      <c r="F162" s="108"/>
      <c r="G162" s="1"/>
      <c r="H162" s="1"/>
      <c r="I162" s="1"/>
      <c r="J162" s="1"/>
      <c r="K162" s="1"/>
      <c r="L162" s="1"/>
      <c r="M162" s="1"/>
    </row>
    <row r="163" ht="14.25" customHeight="1">
      <c r="A163" s="1"/>
      <c r="B163" s="1"/>
      <c r="C163" s="107"/>
      <c r="D163" s="107"/>
      <c r="E163" s="107"/>
      <c r="F163" s="108"/>
      <c r="G163" s="1"/>
      <c r="H163" s="1"/>
      <c r="I163" s="1"/>
      <c r="J163" s="1"/>
      <c r="K163" s="1"/>
      <c r="L163" s="1"/>
      <c r="M163" s="1"/>
    </row>
    <row r="164" ht="14.25" customHeight="1">
      <c r="A164" s="1"/>
      <c r="B164" s="1"/>
      <c r="C164" s="107"/>
      <c r="D164" s="107"/>
      <c r="E164" s="107"/>
      <c r="F164" s="108"/>
      <c r="G164" s="1"/>
      <c r="H164" s="1"/>
      <c r="I164" s="1"/>
      <c r="J164" s="1"/>
      <c r="K164" s="1"/>
      <c r="L164" s="1"/>
      <c r="M164" s="1"/>
    </row>
    <row r="165" ht="14.25" customHeight="1">
      <c r="A165" s="1"/>
      <c r="B165" s="186" t="s">
        <v>49</v>
      </c>
      <c r="C165" s="187">
        <v>40822.0</v>
      </c>
      <c r="D165" s="107"/>
      <c r="E165" s="107"/>
      <c r="F165" s="108"/>
      <c r="G165" s="1"/>
      <c r="H165" s="1"/>
      <c r="I165" s="1"/>
      <c r="J165" s="1"/>
      <c r="K165" s="1"/>
      <c r="L165" s="1"/>
      <c r="M165" s="1"/>
    </row>
    <row r="166" ht="14.25" customHeight="1">
      <c r="A166" s="1"/>
      <c r="B166" s="90" t="s">
        <v>50</v>
      </c>
      <c r="C166" s="187">
        <v>41018.0</v>
      </c>
      <c r="D166" s="107"/>
      <c r="E166" s="107"/>
      <c r="F166" s="108"/>
      <c r="G166" s="1"/>
      <c r="H166" s="1"/>
      <c r="I166" s="1"/>
      <c r="J166" s="1"/>
      <c r="K166" s="1"/>
      <c r="L166" s="1"/>
      <c r="M166" s="1"/>
    </row>
    <row r="167" ht="14.25" customHeight="1">
      <c r="A167" s="1"/>
      <c r="B167" s="1"/>
      <c r="C167" s="107"/>
      <c r="D167" s="107"/>
      <c r="E167" s="107"/>
      <c r="F167" s="108"/>
      <c r="G167" s="1"/>
      <c r="H167" s="1"/>
      <c r="I167" s="1"/>
      <c r="J167" s="1"/>
      <c r="K167" s="1"/>
      <c r="L167" s="1"/>
      <c r="M167" s="1"/>
    </row>
    <row r="168" ht="14.25" customHeight="1">
      <c r="A168" s="1"/>
      <c r="B168" s="505" t="s">
        <v>308</v>
      </c>
      <c r="C168" s="18"/>
      <c r="D168" s="18"/>
      <c r="E168" s="18"/>
      <c r="F168" s="19"/>
      <c r="G168" s="7"/>
      <c r="H168" s="7"/>
      <c r="I168" s="1"/>
      <c r="J168" s="1"/>
      <c r="K168" s="1"/>
      <c r="L168" s="1"/>
      <c r="M168" s="1"/>
    </row>
    <row r="169" ht="14.25" customHeight="1">
      <c r="A169" s="1"/>
      <c r="B169" s="506" t="s">
        <v>1</v>
      </c>
      <c r="C169" s="507">
        <v>100.0</v>
      </c>
      <c r="D169" s="507">
        <v>15.0</v>
      </c>
      <c r="E169" s="582"/>
      <c r="F169" s="79" t="s">
        <v>5</v>
      </c>
      <c r="G169" s="588"/>
      <c r="H169" s="588"/>
      <c r="I169" s="1"/>
      <c r="J169" s="1"/>
      <c r="K169" s="1"/>
      <c r="L169" s="1"/>
      <c r="M169" s="1"/>
    </row>
    <row r="170" ht="14.25" customHeight="1">
      <c r="A170" s="1"/>
      <c r="B170" s="591" t="s">
        <v>394</v>
      </c>
      <c r="C170" s="174">
        <v>125.0</v>
      </c>
      <c r="D170" s="174">
        <f t="shared" ref="D170:D176" si="15">(C170*D169)/C169</f>
        <v>18.75</v>
      </c>
      <c r="E170" s="175"/>
      <c r="F170" s="593" t="s">
        <v>5</v>
      </c>
      <c r="G170" s="7"/>
      <c r="H170" s="7"/>
      <c r="I170" s="1"/>
      <c r="J170" s="1"/>
      <c r="K170" s="1"/>
      <c r="L170" s="1"/>
      <c r="M170" s="1"/>
    </row>
    <row r="171" ht="14.25" customHeight="1">
      <c r="A171" s="1"/>
      <c r="B171" s="350" t="s">
        <v>401</v>
      </c>
      <c r="C171" s="160">
        <v>100.0</v>
      </c>
      <c r="D171" s="160">
        <f t="shared" si="15"/>
        <v>15</v>
      </c>
      <c r="E171" s="162"/>
      <c r="F171" s="36" t="s">
        <v>190</v>
      </c>
      <c r="G171" s="7"/>
      <c r="H171" s="7"/>
      <c r="I171" s="1"/>
      <c r="J171" s="1"/>
      <c r="K171" s="1"/>
      <c r="L171" s="1"/>
      <c r="M171" s="1"/>
    </row>
    <row r="172" ht="14.25" customHeight="1">
      <c r="A172" s="1"/>
      <c r="B172" s="606" t="s">
        <v>402</v>
      </c>
      <c r="C172" s="167">
        <v>15.0</v>
      </c>
      <c r="D172" s="167">
        <f t="shared" si="15"/>
        <v>2.25</v>
      </c>
      <c r="E172" s="170"/>
      <c r="F172" s="457" t="s">
        <v>14</v>
      </c>
      <c r="G172" s="7"/>
      <c r="H172" s="7"/>
      <c r="I172" s="1"/>
      <c r="J172" s="1"/>
      <c r="K172" s="1"/>
      <c r="L172" s="1"/>
      <c r="M172" s="1"/>
    </row>
    <row r="173" ht="14.25" customHeight="1">
      <c r="A173" s="1"/>
      <c r="B173" s="609" t="s">
        <v>17</v>
      </c>
      <c r="C173" s="611">
        <v>100.0</v>
      </c>
      <c r="D173" s="611">
        <f t="shared" si="15"/>
        <v>15</v>
      </c>
      <c r="E173" s="612"/>
      <c r="F173" s="613" t="s">
        <v>18</v>
      </c>
      <c r="G173" s="7"/>
      <c r="H173" s="7"/>
      <c r="I173" s="614"/>
      <c r="J173" s="615"/>
      <c r="K173" s="615"/>
      <c r="L173" s="1"/>
      <c r="M173" s="1"/>
    </row>
    <row r="174" ht="14.25" customHeight="1">
      <c r="A174" s="1"/>
      <c r="B174" s="616" t="s">
        <v>422</v>
      </c>
      <c r="C174" s="619">
        <v>1500.0</v>
      </c>
      <c r="D174" s="619">
        <f t="shared" si="15"/>
        <v>225</v>
      </c>
      <c r="E174" s="621"/>
      <c r="F174" s="622" t="s">
        <v>82</v>
      </c>
      <c r="G174" s="7"/>
      <c r="H174" s="7"/>
      <c r="I174" s="623"/>
      <c r="J174" s="615"/>
      <c r="K174" s="615"/>
      <c r="L174" s="1"/>
      <c r="M174" s="1"/>
    </row>
    <row r="175" ht="15.75" customHeight="1">
      <c r="A175" s="1"/>
      <c r="B175" s="345" t="s">
        <v>430</v>
      </c>
      <c r="C175" s="131">
        <v>1000.0</v>
      </c>
      <c r="D175" s="131">
        <f t="shared" si="15"/>
        <v>150</v>
      </c>
      <c r="E175" s="136"/>
      <c r="F175" s="448" t="s">
        <v>18</v>
      </c>
      <c r="G175" s="629" t="s">
        <v>431</v>
      </c>
      <c r="H175" s="630"/>
      <c r="I175" s="631"/>
      <c r="J175" s="615"/>
      <c r="K175" s="615"/>
      <c r="L175" s="1"/>
      <c r="M175" s="1"/>
    </row>
    <row r="176" ht="14.25" customHeight="1">
      <c r="A176" s="1"/>
      <c r="B176" s="606" t="s">
        <v>439</v>
      </c>
      <c r="C176" s="167">
        <v>500.0</v>
      </c>
      <c r="D176" s="167">
        <f t="shared" si="15"/>
        <v>75</v>
      </c>
      <c r="E176" s="170"/>
      <c r="F176" s="457" t="s">
        <v>18</v>
      </c>
      <c r="G176" s="76"/>
      <c r="H176" s="630"/>
      <c r="I176" s="637"/>
      <c r="J176" s="615"/>
      <c r="K176" s="615"/>
      <c r="L176" s="1"/>
      <c r="M176" s="1"/>
    </row>
    <row r="177" ht="16.5" customHeight="1">
      <c r="A177" s="1"/>
      <c r="B177" s="1"/>
      <c r="C177" s="107"/>
      <c r="D177" s="107"/>
      <c r="E177" s="107"/>
      <c r="F177" s="108"/>
      <c r="G177" s="1"/>
      <c r="H177" s="1"/>
      <c r="I177" s="637"/>
      <c r="J177" s="615"/>
      <c r="K177" s="615"/>
      <c r="L177" s="1"/>
      <c r="M177" s="1"/>
    </row>
    <row r="178" ht="14.25" customHeight="1">
      <c r="A178" s="1"/>
      <c r="B178" s="88" t="s">
        <v>49</v>
      </c>
      <c r="C178" s="89">
        <v>41054.0</v>
      </c>
      <c r="D178" s="86"/>
      <c r="E178" s="86"/>
      <c r="F178" s="87"/>
      <c r="G178" s="1"/>
      <c r="H178" s="1"/>
      <c r="I178" s="637"/>
      <c r="J178" s="615"/>
      <c r="K178" s="615"/>
      <c r="L178" s="1"/>
      <c r="M178" s="1"/>
    </row>
    <row r="179" ht="14.25" customHeight="1">
      <c r="A179" s="1"/>
      <c r="B179" s="90" t="s">
        <v>50</v>
      </c>
      <c r="C179" s="89">
        <v>41354.0</v>
      </c>
      <c r="D179" s="639"/>
      <c r="E179" s="639"/>
      <c r="F179" s="87"/>
      <c r="G179" s="1"/>
      <c r="H179" s="1"/>
      <c r="I179" s="637"/>
      <c r="J179" s="615"/>
      <c r="K179" s="615"/>
      <c r="L179" s="1"/>
      <c r="M179" s="1"/>
    </row>
    <row r="180" ht="14.25" customHeight="1">
      <c r="A180" s="1"/>
      <c r="B180" s="83" t="s">
        <v>42</v>
      </c>
      <c r="C180" s="85" t="s">
        <v>47</v>
      </c>
      <c r="D180" s="100"/>
      <c r="E180" s="100"/>
      <c r="F180" s="87"/>
      <c r="G180" s="1"/>
      <c r="H180" s="1"/>
      <c r="I180" s="637"/>
      <c r="J180" s="615"/>
      <c r="K180" s="615"/>
      <c r="L180" s="1"/>
      <c r="M180" s="1"/>
    </row>
    <row r="181" ht="14.25" customHeight="1">
      <c r="A181" s="1"/>
      <c r="B181" s="1"/>
      <c r="C181" s="107"/>
      <c r="D181" s="107"/>
      <c r="E181" s="107"/>
      <c r="F181" s="108"/>
      <c r="G181" s="1"/>
      <c r="H181" s="1"/>
      <c r="I181" s="1"/>
      <c r="J181" s="1"/>
      <c r="K181" s="1"/>
      <c r="L181" s="1"/>
      <c r="M181" s="1"/>
    </row>
    <row r="182" ht="14.25" customHeight="1">
      <c r="A182" s="1"/>
      <c r="B182" s="647" t="s">
        <v>453</v>
      </c>
      <c r="C182" s="18"/>
      <c r="D182" s="18"/>
      <c r="E182" s="18"/>
      <c r="F182" s="19"/>
      <c r="G182" s="653" t="s">
        <v>455</v>
      </c>
      <c r="H182" s="654"/>
      <c r="I182" s="1"/>
      <c r="J182" s="1"/>
      <c r="K182" s="1"/>
      <c r="L182" s="1"/>
      <c r="M182" s="1"/>
    </row>
    <row r="183" ht="14.25" customHeight="1">
      <c r="A183" s="1"/>
      <c r="B183" s="51" t="s">
        <v>1</v>
      </c>
      <c r="C183" s="190">
        <v>100.0</v>
      </c>
      <c r="D183" s="190">
        <v>10.0</v>
      </c>
      <c r="E183" s="192"/>
      <c r="F183" s="125" t="s">
        <v>5</v>
      </c>
      <c r="G183" s="47"/>
      <c r="H183" s="654"/>
      <c r="I183" s="1"/>
      <c r="J183" s="1"/>
      <c r="K183" s="1"/>
      <c r="L183" s="1"/>
      <c r="M183" s="1"/>
    </row>
    <row r="184" ht="15.0" customHeight="1">
      <c r="A184" s="1"/>
      <c r="B184" s="68" t="s">
        <v>469</v>
      </c>
      <c r="C184" s="145">
        <v>100.0</v>
      </c>
      <c r="D184" s="145">
        <f t="shared" ref="D184:D186" si="16">(C184*D183)/C183</f>
        <v>10</v>
      </c>
      <c r="E184" s="147"/>
      <c r="F184" s="137" t="s">
        <v>5</v>
      </c>
      <c r="G184" s="47"/>
      <c r="H184" s="654"/>
      <c r="I184" s="1"/>
      <c r="J184" s="1"/>
      <c r="K184" s="1"/>
      <c r="L184" s="1"/>
      <c r="M184" s="1"/>
    </row>
    <row r="185" ht="14.25" customHeight="1">
      <c r="A185" s="1"/>
      <c r="B185" s="93" t="s">
        <v>474</v>
      </c>
      <c r="C185" s="195">
        <v>6.0</v>
      </c>
      <c r="D185" s="195">
        <f t="shared" si="16"/>
        <v>0.6</v>
      </c>
      <c r="E185" s="196"/>
      <c r="F185" s="165" t="s">
        <v>14</v>
      </c>
      <c r="G185" s="47"/>
      <c r="H185" s="654"/>
      <c r="I185" s="1"/>
      <c r="J185" s="1"/>
      <c r="K185" s="1"/>
      <c r="L185" s="1"/>
      <c r="M185" s="1"/>
    </row>
    <row r="186" ht="14.25" customHeight="1">
      <c r="A186" s="1"/>
      <c r="B186" s="119" t="s">
        <v>92</v>
      </c>
      <c r="C186" s="195">
        <v>600.0</v>
      </c>
      <c r="D186" s="195">
        <f t="shared" si="16"/>
        <v>60</v>
      </c>
      <c r="E186" s="196"/>
      <c r="F186" s="165" t="s">
        <v>18</v>
      </c>
      <c r="G186" s="47"/>
      <c r="H186" s="654"/>
      <c r="I186" s="1"/>
      <c r="J186" s="1"/>
      <c r="K186" s="1"/>
      <c r="L186" s="1"/>
      <c r="M186" s="1"/>
    </row>
    <row r="187" ht="19.5" customHeight="1">
      <c r="A187" s="1"/>
      <c r="B187" s="105" t="s">
        <v>402</v>
      </c>
      <c r="C187" s="152">
        <v>14.0</v>
      </c>
      <c r="D187" s="152">
        <f>(C187*D188)/C188</f>
        <v>1.4</v>
      </c>
      <c r="E187" s="154"/>
      <c r="F187" s="156" t="s">
        <v>14</v>
      </c>
      <c r="G187" s="47"/>
      <c r="H187" s="654"/>
      <c r="I187" s="1"/>
      <c r="J187" s="1"/>
      <c r="K187" s="1"/>
      <c r="L187" s="1"/>
      <c r="M187" s="1"/>
    </row>
    <row r="188" ht="19.5" customHeight="1">
      <c r="A188" s="1"/>
      <c r="B188" s="149" t="s">
        <v>167</v>
      </c>
      <c r="C188" s="152">
        <v>1.2</v>
      </c>
      <c r="D188" s="152">
        <f>(C188*D186)/C186</f>
        <v>0.12</v>
      </c>
      <c r="E188" s="154"/>
      <c r="F188" s="156" t="s">
        <v>5</v>
      </c>
      <c r="G188" s="76"/>
      <c r="H188" s="654"/>
      <c r="I188" s="1"/>
      <c r="J188" s="1"/>
      <c r="K188" s="1"/>
      <c r="L188" s="1"/>
      <c r="M188" s="1"/>
    </row>
    <row r="189" ht="14.25" customHeight="1">
      <c r="A189" s="1"/>
      <c r="B189" s="1"/>
      <c r="C189" s="107"/>
      <c r="D189" s="107"/>
      <c r="E189" s="107"/>
      <c r="F189" s="108"/>
      <c r="G189" s="1"/>
      <c r="H189" s="1"/>
      <c r="I189" s="1"/>
      <c r="J189" s="1"/>
      <c r="K189" s="1"/>
      <c r="L189" s="1"/>
      <c r="M189" s="1"/>
    </row>
    <row r="190" ht="14.25" customHeight="1">
      <c r="A190" s="1"/>
      <c r="B190" s="203" t="s">
        <v>49</v>
      </c>
      <c r="C190" s="340">
        <v>41445.0</v>
      </c>
      <c r="D190" s="107"/>
      <c r="E190" s="107"/>
      <c r="F190" s="108"/>
      <c r="G190" s="1"/>
      <c r="H190" s="1"/>
      <c r="I190" s="1"/>
      <c r="J190" s="1"/>
      <c r="K190" s="1"/>
      <c r="L190" s="1"/>
      <c r="M190" s="1"/>
    </row>
    <row r="191" ht="14.25" customHeight="1">
      <c r="A191" s="1"/>
      <c r="B191" s="342" t="s">
        <v>50</v>
      </c>
      <c r="C191" s="340">
        <v>41471.0</v>
      </c>
      <c r="D191" s="107"/>
      <c r="E191" s="107"/>
      <c r="F191" s="108"/>
      <c r="G191" s="1"/>
      <c r="H191" s="1"/>
      <c r="I191" s="1"/>
      <c r="J191" s="1"/>
      <c r="K191" s="1"/>
      <c r="L191" s="1"/>
      <c r="M191" s="1"/>
    </row>
    <row r="192" ht="14.25" customHeight="1">
      <c r="A192" s="1"/>
      <c r="B192" s="83" t="s">
        <v>42</v>
      </c>
      <c r="C192" s="258" t="s">
        <v>47</v>
      </c>
      <c r="D192" s="107"/>
      <c r="E192" s="107"/>
      <c r="F192" s="108"/>
      <c r="G192" s="1"/>
      <c r="H192" s="1"/>
      <c r="I192" s="1"/>
      <c r="J192" s="1"/>
      <c r="K192" s="1"/>
      <c r="L192" s="1"/>
      <c r="M192" s="1"/>
    </row>
    <row r="193" ht="15.0" customHeight="1">
      <c r="A193" s="1"/>
      <c r="B193" s="1"/>
      <c r="C193" s="107"/>
      <c r="D193" s="107"/>
      <c r="E193" s="107"/>
      <c r="F193" s="108"/>
      <c r="G193" s="1"/>
      <c r="H193" s="1"/>
      <c r="I193" s="1"/>
      <c r="J193" s="1"/>
      <c r="K193" s="1"/>
      <c r="L193" s="1"/>
      <c r="M193" s="1"/>
    </row>
    <row r="194" ht="15.0" customHeight="1">
      <c r="A194" s="1"/>
      <c r="B194" s="209" t="s">
        <v>167</v>
      </c>
      <c r="C194" s="18"/>
      <c r="D194" s="18"/>
      <c r="E194" s="18"/>
      <c r="F194" s="19"/>
      <c r="G194" s="1"/>
      <c r="H194" s="1"/>
      <c r="I194" s="1"/>
      <c r="J194" s="1"/>
      <c r="K194" s="1"/>
      <c r="L194" s="1"/>
      <c r="M194" s="1"/>
    </row>
    <row r="195" ht="15.0" customHeight="1">
      <c r="A195" s="1"/>
      <c r="B195" s="68" t="s">
        <v>1</v>
      </c>
      <c r="C195" s="145">
        <v>100.0</v>
      </c>
      <c r="D195" s="658">
        <v>20.0</v>
      </c>
      <c r="E195" s="147"/>
      <c r="F195" s="137" t="s">
        <v>5</v>
      </c>
      <c r="G195" s="1"/>
      <c r="H195" s="1"/>
      <c r="I195" s="1"/>
      <c r="J195" s="1"/>
      <c r="K195" s="1"/>
      <c r="L195" s="1"/>
      <c r="M195" s="1"/>
    </row>
    <row r="196" ht="15.0" customHeight="1">
      <c r="A196" s="1"/>
      <c r="B196" s="93" t="s">
        <v>13</v>
      </c>
      <c r="C196" s="195">
        <v>12.5</v>
      </c>
      <c r="D196" s="27">
        <f t="shared" ref="D196:D199" si="17">(C196*D195)/C195</f>
        <v>2.5</v>
      </c>
      <c r="E196" s="29"/>
      <c r="F196" s="165" t="s">
        <v>14</v>
      </c>
      <c r="G196" s="1"/>
      <c r="H196" s="1"/>
      <c r="I196" s="1"/>
      <c r="J196" s="1"/>
      <c r="K196" s="1"/>
      <c r="L196" s="1"/>
      <c r="M196" s="1"/>
    </row>
    <row r="197" ht="15.0" customHeight="1">
      <c r="A197" s="1"/>
      <c r="B197" s="68" t="s">
        <v>31</v>
      </c>
      <c r="C197" s="145">
        <v>320.0</v>
      </c>
      <c r="D197" s="221">
        <f t="shared" si="17"/>
        <v>64</v>
      </c>
      <c r="E197" s="222"/>
      <c r="F197" s="137" t="s">
        <v>18</v>
      </c>
      <c r="G197" s="1"/>
      <c r="H197" s="1"/>
      <c r="I197" s="1"/>
      <c r="J197" s="1"/>
      <c r="K197" s="1"/>
      <c r="L197" s="1"/>
      <c r="M197" s="1"/>
    </row>
    <row r="198" ht="15.0" customHeight="1">
      <c r="A198" s="1"/>
      <c r="B198" s="93" t="s">
        <v>124</v>
      </c>
      <c r="C198" s="195">
        <v>160.0</v>
      </c>
      <c r="D198" s="27">
        <f t="shared" si="17"/>
        <v>32</v>
      </c>
      <c r="E198" s="29"/>
      <c r="F198" s="165" t="s">
        <v>18</v>
      </c>
      <c r="G198" s="1"/>
      <c r="H198" s="1"/>
      <c r="I198" s="1"/>
      <c r="J198" s="1"/>
      <c r="K198" s="1"/>
      <c r="L198" s="1"/>
      <c r="M198" s="1"/>
    </row>
    <row r="199" ht="15.0" customHeight="1">
      <c r="A199" s="1"/>
      <c r="B199" s="105" t="s">
        <v>167</v>
      </c>
      <c r="C199" s="200">
        <v>2.0</v>
      </c>
      <c r="D199" s="236">
        <f t="shared" si="17"/>
        <v>0.4</v>
      </c>
      <c r="E199" s="237"/>
      <c r="F199" s="172" t="s">
        <v>5</v>
      </c>
      <c r="G199" s="1"/>
      <c r="H199" s="1"/>
      <c r="I199" s="1"/>
      <c r="J199" s="1"/>
      <c r="K199" s="1"/>
      <c r="L199" s="1"/>
      <c r="M199" s="1"/>
    </row>
    <row r="200" ht="15.0" customHeight="1">
      <c r="A200" s="1"/>
      <c r="B200" s="83" t="s">
        <v>42</v>
      </c>
      <c r="C200" s="85" t="s">
        <v>47</v>
      </c>
      <c r="D200" s="107"/>
      <c r="E200" s="107"/>
      <c r="F200" s="108"/>
      <c r="G200" s="1"/>
      <c r="H200" s="1"/>
      <c r="I200" s="1"/>
      <c r="J200" s="1"/>
      <c r="K200" s="1"/>
      <c r="L200" s="1"/>
      <c r="M200" s="1"/>
    </row>
    <row r="201" ht="15.0" customHeight="1">
      <c r="A201" s="1"/>
      <c r="B201" s="186" t="s">
        <v>502</v>
      </c>
      <c r="C201" s="187">
        <v>40822.0</v>
      </c>
      <c r="D201" s="107"/>
      <c r="E201" s="107"/>
      <c r="F201" s="108"/>
      <c r="G201" s="1"/>
      <c r="H201" s="1"/>
      <c r="I201" s="1"/>
      <c r="J201" s="1"/>
      <c r="K201" s="1"/>
      <c r="L201" s="1"/>
      <c r="M201" s="1"/>
    </row>
    <row r="202" ht="15.0" customHeight="1">
      <c r="A202" s="1"/>
      <c r="B202" s="90" t="s">
        <v>50</v>
      </c>
      <c r="C202" s="187">
        <v>41798.0</v>
      </c>
      <c r="D202" s="107"/>
      <c r="E202" s="107"/>
      <c r="F202" s="108"/>
      <c r="G202" s="1"/>
      <c r="H202" s="1"/>
      <c r="I202" s="1"/>
      <c r="J202" s="1"/>
      <c r="K202" s="1"/>
      <c r="L202" s="1"/>
      <c r="M202" s="1"/>
    </row>
    <row r="203" ht="15.0" customHeight="1">
      <c r="A203" s="1"/>
      <c r="B203" s="1"/>
      <c r="C203" s="107"/>
      <c r="D203" s="107"/>
      <c r="E203" s="107"/>
      <c r="F203" s="108"/>
      <c r="G203" s="1"/>
      <c r="H203" s="1"/>
      <c r="I203" s="1"/>
      <c r="J203" s="1"/>
      <c r="K203" s="1"/>
      <c r="L203" s="1"/>
      <c r="M203" s="1"/>
    </row>
    <row r="204" ht="15.0" customHeight="1">
      <c r="A204" s="1"/>
      <c r="B204" s="661" t="s">
        <v>504</v>
      </c>
      <c r="C204" s="18"/>
      <c r="D204" s="18"/>
      <c r="E204" s="18"/>
      <c r="F204" s="19"/>
      <c r="G204" s="1"/>
      <c r="H204" s="1"/>
      <c r="I204" s="1"/>
      <c r="J204" s="1"/>
      <c r="K204" s="1"/>
      <c r="L204" s="1"/>
      <c r="M204" s="1"/>
    </row>
    <row r="205" ht="15.0" customHeight="1">
      <c r="A205" s="1"/>
      <c r="B205" s="1"/>
      <c r="C205" s="107"/>
      <c r="D205" s="107"/>
      <c r="E205" s="107"/>
      <c r="F205" s="108"/>
      <c r="G205" s="1"/>
      <c r="H205" s="1"/>
      <c r="I205" s="1"/>
      <c r="J205" s="1"/>
      <c r="K205" s="1"/>
      <c r="L205" s="1"/>
      <c r="M205" s="1"/>
    </row>
    <row r="206" ht="15.0" customHeight="1">
      <c r="A206" s="1"/>
      <c r="B206" s="209" t="s">
        <v>507</v>
      </c>
      <c r="C206" s="18"/>
      <c r="D206" s="18"/>
      <c r="E206" s="18"/>
      <c r="F206" s="19"/>
      <c r="G206" s="1"/>
      <c r="H206" s="1"/>
      <c r="I206" s="1"/>
      <c r="J206" s="1"/>
      <c r="K206" s="1"/>
      <c r="L206" s="1"/>
      <c r="M206" s="1"/>
    </row>
    <row r="207" ht="15.0" customHeight="1">
      <c r="A207" s="1"/>
      <c r="B207" s="68" t="s">
        <v>1</v>
      </c>
      <c r="C207" s="145">
        <v>100.0</v>
      </c>
      <c r="D207" s="658">
        <v>25.0</v>
      </c>
      <c r="E207" s="662"/>
      <c r="F207" s="137" t="s">
        <v>5</v>
      </c>
      <c r="G207" s="1"/>
      <c r="H207" s="1"/>
      <c r="I207" s="1"/>
      <c r="J207" s="1"/>
      <c r="K207" s="1"/>
      <c r="L207" s="1"/>
      <c r="M207" s="1"/>
    </row>
    <row r="208" ht="15.0" customHeight="1">
      <c r="A208" s="1"/>
      <c r="B208" s="93" t="s">
        <v>13</v>
      </c>
      <c r="C208" s="195">
        <v>12.5</v>
      </c>
      <c r="D208" s="27">
        <f t="shared" ref="D208:D213" si="18">(C208*D207)/C207</f>
        <v>3.125</v>
      </c>
      <c r="E208" s="29"/>
      <c r="F208" s="165" t="s">
        <v>14</v>
      </c>
      <c r="G208" s="1"/>
      <c r="H208" s="1"/>
      <c r="I208" s="1"/>
      <c r="J208" s="1"/>
      <c r="K208" s="1"/>
      <c r="L208" s="1"/>
      <c r="M208" s="1"/>
    </row>
    <row r="209" ht="14.25" customHeight="1">
      <c r="A209" s="1"/>
      <c r="B209" s="68" t="s">
        <v>31</v>
      </c>
      <c r="C209" s="145">
        <v>320.0</v>
      </c>
      <c r="D209" s="221">
        <f t="shared" si="18"/>
        <v>80</v>
      </c>
      <c r="E209" s="222"/>
      <c r="F209" s="137" t="s">
        <v>18</v>
      </c>
      <c r="G209" s="1"/>
      <c r="H209" s="1"/>
      <c r="I209" s="1"/>
      <c r="J209" s="1"/>
      <c r="K209" s="1"/>
      <c r="L209" s="1"/>
      <c r="M209" s="1"/>
    </row>
    <row r="210" ht="14.25" customHeight="1">
      <c r="A210" s="1"/>
      <c r="B210" s="93" t="s">
        <v>124</v>
      </c>
      <c r="C210" s="195">
        <v>160.0</v>
      </c>
      <c r="D210" s="27">
        <f t="shared" si="18"/>
        <v>40</v>
      </c>
      <c r="E210" s="29"/>
      <c r="F210" s="165" t="s">
        <v>18</v>
      </c>
      <c r="G210" s="1"/>
      <c r="H210" s="1"/>
      <c r="I210" s="1"/>
      <c r="J210" s="1"/>
      <c r="K210" s="1"/>
      <c r="L210" s="1"/>
      <c r="M210" s="1"/>
    </row>
    <row r="211" ht="14.25" customHeight="1">
      <c r="A211" s="1"/>
      <c r="B211" s="105" t="s">
        <v>167</v>
      </c>
      <c r="C211" s="200">
        <v>2.0</v>
      </c>
      <c r="D211" s="236">
        <f t="shared" si="18"/>
        <v>0.5</v>
      </c>
      <c r="E211" s="237"/>
      <c r="F211" s="172" t="s">
        <v>5</v>
      </c>
      <c r="G211" s="1"/>
      <c r="H211" s="1"/>
      <c r="I211" s="1"/>
      <c r="J211" s="1"/>
      <c r="K211" s="1"/>
      <c r="L211" s="1"/>
      <c r="M211" s="1"/>
    </row>
    <row r="212" ht="14.25" customHeight="1">
      <c r="A212" s="1"/>
      <c r="B212" s="68" t="s">
        <v>87</v>
      </c>
      <c r="C212" s="145">
        <v>500.0</v>
      </c>
      <c r="D212" s="145">
        <f t="shared" si="18"/>
        <v>125</v>
      </c>
      <c r="E212" s="147"/>
      <c r="F212" s="137" t="s">
        <v>18</v>
      </c>
      <c r="G212" s="1"/>
      <c r="H212" s="1"/>
      <c r="I212" s="1"/>
      <c r="J212" s="1"/>
      <c r="K212" s="1"/>
      <c r="L212" s="1"/>
      <c r="M212" s="1"/>
    </row>
    <row r="213" ht="14.25" customHeight="1">
      <c r="A213" s="1"/>
      <c r="B213" s="149" t="s">
        <v>90</v>
      </c>
      <c r="C213" s="152">
        <v>10.0</v>
      </c>
      <c r="D213" s="152">
        <f t="shared" si="18"/>
        <v>2.5</v>
      </c>
      <c r="E213" s="154"/>
      <c r="F213" s="156" t="s">
        <v>93</v>
      </c>
      <c r="G213" s="1"/>
      <c r="H213" s="1"/>
      <c r="I213" s="1"/>
      <c r="J213" s="1"/>
      <c r="K213" s="1"/>
      <c r="L213" s="1"/>
      <c r="M213" s="1"/>
    </row>
    <row r="214" ht="14.25" customHeight="1">
      <c r="A214" s="1"/>
      <c r="B214" s="1"/>
      <c r="C214" s="107"/>
      <c r="D214" s="107"/>
      <c r="E214" s="107"/>
      <c r="F214" s="108"/>
      <c r="G214" s="1"/>
      <c r="H214" s="1"/>
      <c r="I214" s="1"/>
      <c r="J214" s="1"/>
      <c r="K214" s="1"/>
      <c r="L214" s="1"/>
      <c r="M214" s="1"/>
    </row>
    <row r="215" ht="14.25" customHeight="1">
      <c r="A215" s="1"/>
      <c r="B215" s="83" t="s">
        <v>42</v>
      </c>
      <c r="C215" s="85" t="s">
        <v>47</v>
      </c>
      <c r="D215" s="107"/>
      <c r="E215" s="107"/>
      <c r="F215" s="108"/>
      <c r="G215" s="1"/>
      <c r="H215" s="1"/>
      <c r="I215" s="1"/>
      <c r="J215" s="1"/>
      <c r="K215" s="1"/>
      <c r="L215" s="1"/>
      <c r="M215" s="1"/>
    </row>
    <row r="216" ht="14.25" customHeight="1">
      <c r="A216" s="1"/>
      <c r="B216" s="186" t="s">
        <v>502</v>
      </c>
      <c r="C216" s="187">
        <v>40822.0</v>
      </c>
      <c r="D216" s="107"/>
      <c r="E216" s="107"/>
      <c r="F216" s="108"/>
      <c r="G216" s="1"/>
      <c r="H216" s="1"/>
      <c r="I216" s="1"/>
      <c r="J216" s="1"/>
      <c r="K216" s="1"/>
      <c r="L216" s="1"/>
      <c r="M216" s="1"/>
    </row>
    <row r="217" ht="14.25" customHeight="1">
      <c r="A217" s="1"/>
      <c r="B217" s="90" t="s">
        <v>50</v>
      </c>
      <c r="C217" s="187">
        <v>41798.0</v>
      </c>
      <c r="D217" s="107"/>
      <c r="E217" s="107"/>
      <c r="F217" s="108"/>
      <c r="G217" s="1"/>
      <c r="H217" s="1"/>
      <c r="I217" s="1"/>
      <c r="J217" s="1"/>
      <c r="K217" s="1"/>
      <c r="L217" s="1"/>
      <c r="M217" s="1"/>
    </row>
    <row r="218" ht="14.25" customHeight="1">
      <c r="A218" s="1"/>
      <c r="B218" s="1"/>
      <c r="C218" s="107"/>
      <c r="D218" s="107"/>
      <c r="E218" s="107"/>
      <c r="F218" s="108"/>
      <c r="G218" s="1"/>
      <c r="H218" s="1"/>
      <c r="I218" s="1"/>
      <c r="J218" s="1"/>
      <c r="K218" s="1"/>
      <c r="L218" s="1"/>
      <c r="M218" s="1"/>
    </row>
    <row r="219" ht="14.25" customHeight="1">
      <c r="A219" s="1"/>
      <c r="B219" s="661" t="s">
        <v>504</v>
      </c>
      <c r="C219" s="18"/>
      <c r="D219" s="18"/>
      <c r="E219" s="18"/>
      <c r="F219" s="19"/>
      <c r="G219" s="1"/>
      <c r="H219" s="1"/>
      <c r="I219" s="1"/>
      <c r="J219" s="1"/>
      <c r="K219" s="1"/>
      <c r="L219" s="1"/>
      <c r="M219" s="1"/>
    </row>
    <row r="220" ht="14.25" customHeight="1">
      <c r="A220" s="1"/>
      <c r="B220" s="1"/>
      <c r="C220" s="107"/>
      <c r="D220" s="107"/>
      <c r="E220" s="107"/>
      <c r="F220" s="108"/>
      <c r="G220" s="1"/>
      <c r="H220" s="1"/>
      <c r="I220" s="1"/>
      <c r="J220" s="1"/>
      <c r="K220" s="1"/>
      <c r="L220" s="1"/>
      <c r="M220" s="1"/>
    </row>
    <row r="221" ht="14.25" customHeight="1">
      <c r="A221" s="1"/>
      <c r="B221" s="680" t="s">
        <v>534</v>
      </c>
      <c r="C221" s="18"/>
      <c r="D221" s="18"/>
      <c r="E221" s="18"/>
      <c r="F221" s="19"/>
      <c r="G221" s="7"/>
      <c r="H221" s="7"/>
      <c r="I221" s="1"/>
      <c r="J221" s="1"/>
      <c r="K221" s="1"/>
      <c r="L221" s="1"/>
      <c r="M221" s="1"/>
    </row>
    <row r="222" ht="15.0" customHeight="1">
      <c r="A222" s="1"/>
      <c r="B222" s="8" t="s">
        <v>1</v>
      </c>
      <c r="C222" s="10">
        <v>100.0</v>
      </c>
      <c r="D222" s="13">
        <v>25.0</v>
      </c>
      <c r="E222" s="15"/>
      <c r="F222" s="17" t="s">
        <v>5</v>
      </c>
      <c r="G222" s="682" t="s">
        <v>535</v>
      </c>
      <c r="H222" s="5"/>
      <c r="I222" s="5"/>
      <c r="J222" s="6"/>
      <c r="K222" s="1"/>
      <c r="L222" s="1"/>
      <c r="M222" s="1"/>
    </row>
    <row r="223" ht="14.25" customHeight="1">
      <c r="A223" s="1"/>
      <c r="B223" s="22" t="s">
        <v>537</v>
      </c>
      <c r="C223" s="23">
        <v>65.0</v>
      </c>
      <c r="D223" s="27">
        <f t="shared" ref="D223:D234" si="19">(C223*D222)/C222</f>
        <v>16.25</v>
      </c>
      <c r="E223" s="29"/>
      <c r="F223" s="31" t="s">
        <v>9</v>
      </c>
      <c r="G223" s="63"/>
      <c r="J223" s="66"/>
      <c r="K223" s="1"/>
      <c r="L223" s="1"/>
      <c r="M223" s="1"/>
    </row>
    <row r="224" ht="14.25" customHeight="1">
      <c r="A224" s="1"/>
      <c r="B224" s="22" t="s">
        <v>11</v>
      </c>
      <c r="C224" s="33">
        <v>10.0</v>
      </c>
      <c r="D224" s="27">
        <f t="shared" si="19"/>
        <v>2.5</v>
      </c>
      <c r="E224" s="29"/>
      <c r="F224" s="36" t="s">
        <v>5</v>
      </c>
      <c r="G224" s="63"/>
      <c r="J224" s="66"/>
      <c r="K224" s="1"/>
      <c r="L224" s="1"/>
      <c r="M224" s="1"/>
    </row>
    <row r="225" ht="14.25" customHeight="1">
      <c r="A225" s="1"/>
      <c r="B225" s="22" t="s">
        <v>13</v>
      </c>
      <c r="C225" s="23">
        <v>15.0</v>
      </c>
      <c r="D225" s="27">
        <f t="shared" si="19"/>
        <v>3.75</v>
      </c>
      <c r="E225" s="29"/>
      <c r="F225" s="38" t="s">
        <v>14</v>
      </c>
      <c r="G225" s="63"/>
      <c r="J225" s="66"/>
      <c r="K225" s="1"/>
      <c r="L225" s="1"/>
      <c r="M225" s="1"/>
    </row>
    <row r="226" ht="14.25" customHeight="1">
      <c r="A226" s="1"/>
      <c r="B226" s="687" t="s">
        <v>541</v>
      </c>
      <c r="C226" s="688">
        <v>5.0</v>
      </c>
      <c r="D226" s="689">
        <f t="shared" si="19"/>
        <v>1.25</v>
      </c>
      <c r="E226" s="690"/>
      <c r="F226" s="691" t="s">
        <v>14</v>
      </c>
      <c r="G226" s="63"/>
      <c r="J226" s="66"/>
      <c r="K226" s="1"/>
      <c r="L226" s="1"/>
      <c r="M226" s="1"/>
    </row>
    <row r="227" ht="14.25" customHeight="1">
      <c r="A227" s="1"/>
      <c r="B227" s="687" t="s">
        <v>243</v>
      </c>
      <c r="C227" s="688">
        <v>5.0</v>
      </c>
      <c r="D227" s="689">
        <f t="shared" si="19"/>
        <v>1.25</v>
      </c>
      <c r="E227" s="690"/>
      <c r="F227" s="691" t="s">
        <v>5</v>
      </c>
      <c r="G227" s="63"/>
      <c r="J227" s="66"/>
      <c r="K227" s="1"/>
      <c r="L227" s="1"/>
      <c r="M227" s="1"/>
    </row>
    <row r="228" ht="14.25" customHeight="1">
      <c r="A228" s="1"/>
      <c r="B228" s="694" t="s">
        <v>549</v>
      </c>
      <c r="C228" s="695">
        <v>25.0</v>
      </c>
      <c r="D228" s="689">
        <f t="shared" si="19"/>
        <v>6.25</v>
      </c>
      <c r="E228" s="690"/>
      <c r="F228" s="696" t="s">
        <v>5</v>
      </c>
      <c r="G228" s="63"/>
      <c r="J228" s="66"/>
      <c r="K228" s="1"/>
      <c r="L228" s="1"/>
      <c r="M228" s="1"/>
    </row>
    <row r="229" ht="14.25" customHeight="1">
      <c r="A229" s="1"/>
      <c r="B229" s="697" t="s">
        <v>243</v>
      </c>
      <c r="C229" s="698">
        <v>40.0</v>
      </c>
      <c r="D229" s="699">
        <f t="shared" si="19"/>
        <v>10</v>
      </c>
      <c r="E229" s="700"/>
      <c r="F229" s="701" t="s">
        <v>5</v>
      </c>
      <c r="G229" s="63"/>
      <c r="J229" s="66"/>
      <c r="K229" s="1"/>
      <c r="L229" s="1"/>
      <c r="M229" s="1"/>
    </row>
    <row r="230" ht="14.25" customHeight="1">
      <c r="A230" s="1"/>
      <c r="B230" s="697" t="s">
        <v>31</v>
      </c>
      <c r="C230" s="698">
        <v>200.0</v>
      </c>
      <c r="D230" s="699">
        <f t="shared" si="19"/>
        <v>50</v>
      </c>
      <c r="E230" s="700"/>
      <c r="F230" s="701" t="s">
        <v>18</v>
      </c>
      <c r="G230" s="63"/>
      <c r="J230" s="66"/>
      <c r="K230" s="1"/>
      <c r="L230" s="1"/>
      <c r="M230" s="1"/>
    </row>
    <row r="231" ht="14.25" customHeight="1">
      <c r="A231" s="1"/>
      <c r="B231" s="702" t="s">
        <v>563</v>
      </c>
      <c r="C231" s="703">
        <v>25.0</v>
      </c>
      <c r="D231" s="704">
        <f t="shared" si="19"/>
        <v>6.25</v>
      </c>
      <c r="E231" s="705"/>
      <c r="F231" s="706" t="s">
        <v>18</v>
      </c>
      <c r="G231" s="63"/>
      <c r="J231" s="66"/>
      <c r="K231" s="1"/>
      <c r="L231" s="1"/>
      <c r="M231" s="1"/>
    </row>
    <row r="232" ht="14.25" customHeight="1">
      <c r="A232" s="1"/>
      <c r="B232" s="707" t="s">
        <v>16</v>
      </c>
      <c r="C232" s="10">
        <v>20.0</v>
      </c>
      <c r="D232" s="221">
        <f t="shared" si="19"/>
        <v>5</v>
      </c>
      <c r="E232" s="222"/>
      <c r="F232" s="448" t="s">
        <v>14</v>
      </c>
      <c r="G232" s="63"/>
      <c r="J232" s="66"/>
      <c r="K232" s="1"/>
      <c r="L232" s="1"/>
      <c r="M232" s="1"/>
    </row>
    <row r="233" ht="14.25" customHeight="1">
      <c r="A233" s="1"/>
      <c r="B233" s="43" t="s">
        <v>569</v>
      </c>
      <c r="C233" s="45">
        <v>10.0</v>
      </c>
      <c r="D233" s="27">
        <f t="shared" si="19"/>
        <v>2.5</v>
      </c>
      <c r="E233" s="54"/>
      <c r="F233" s="60" t="s">
        <v>82</v>
      </c>
      <c r="G233" s="63"/>
      <c r="J233" s="66"/>
      <c r="K233" s="1"/>
      <c r="L233" s="1"/>
      <c r="M233" s="1"/>
    </row>
    <row r="234" ht="14.25" customHeight="1">
      <c r="A234" s="1"/>
      <c r="B234" s="708" t="s">
        <v>572</v>
      </c>
      <c r="C234" s="709">
        <v>70.0</v>
      </c>
      <c r="D234" s="236">
        <f t="shared" si="19"/>
        <v>17.5</v>
      </c>
      <c r="E234" s="237"/>
      <c r="F234" s="457" t="s">
        <v>82</v>
      </c>
      <c r="G234" s="102"/>
      <c r="H234" s="104"/>
      <c r="I234" s="104"/>
      <c r="J234" s="106"/>
      <c r="K234" s="1"/>
      <c r="L234" s="1"/>
      <c r="M234" s="1"/>
    </row>
    <row r="235" ht="14.25" customHeight="1">
      <c r="A235" s="1"/>
      <c r="B235" s="83" t="s">
        <v>42</v>
      </c>
      <c r="C235" s="85" t="s">
        <v>47</v>
      </c>
      <c r="D235" s="86"/>
      <c r="E235" s="86"/>
      <c r="F235" s="87"/>
      <c r="G235" s="1"/>
      <c r="H235" s="1"/>
      <c r="I235" s="1"/>
      <c r="J235" s="1"/>
      <c r="K235" s="1"/>
      <c r="L235" s="1"/>
      <c r="M235" s="1"/>
    </row>
    <row r="236" ht="14.25" customHeight="1">
      <c r="A236" s="1"/>
      <c r="B236" s="88" t="s">
        <v>49</v>
      </c>
      <c r="C236" s="89">
        <v>41189.0</v>
      </c>
      <c r="D236" s="86"/>
      <c r="E236" s="86"/>
      <c r="F236" s="87"/>
      <c r="G236" s="1"/>
      <c r="H236" s="1"/>
      <c r="I236" s="1"/>
      <c r="J236" s="1"/>
      <c r="K236" s="1"/>
      <c r="L236" s="1"/>
      <c r="M236" s="1"/>
    </row>
    <row r="237" ht="14.25" customHeight="1">
      <c r="A237" s="1"/>
      <c r="B237" s="90" t="s">
        <v>50</v>
      </c>
      <c r="C237" s="89">
        <v>41776.0</v>
      </c>
      <c r="D237" s="86"/>
      <c r="E237" s="86"/>
      <c r="F237" s="87"/>
      <c r="G237" s="1"/>
      <c r="H237" s="1"/>
      <c r="I237" s="1"/>
      <c r="J237" s="1"/>
      <c r="K237" s="1"/>
      <c r="L237" s="1"/>
      <c r="M237" s="1"/>
    </row>
    <row r="238" ht="14.25" customHeight="1">
      <c r="A238" s="1"/>
      <c r="B238" s="1"/>
      <c r="C238" s="107"/>
      <c r="D238" s="107"/>
      <c r="E238" s="107"/>
      <c r="F238" s="108"/>
      <c r="G238" s="1"/>
      <c r="H238" s="1"/>
      <c r="I238" s="1"/>
      <c r="J238" s="1"/>
      <c r="K238" s="1"/>
      <c r="L238" s="1"/>
      <c r="M238" s="1"/>
    </row>
    <row r="239" ht="14.25" customHeight="1">
      <c r="A239" s="1"/>
      <c r="B239" s="680" t="s">
        <v>578</v>
      </c>
      <c r="C239" s="18"/>
      <c r="D239" s="18"/>
      <c r="E239" s="18"/>
      <c r="F239" s="19"/>
      <c r="G239" s="7"/>
      <c r="H239" s="7"/>
      <c r="I239" s="1"/>
      <c r="J239" s="1"/>
      <c r="K239" s="1"/>
      <c r="L239" s="1"/>
      <c r="M239" s="1"/>
    </row>
    <row r="240" ht="14.25" customHeight="1">
      <c r="A240" s="1"/>
      <c r="B240" s="8" t="s">
        <v>1</v>
      </c>
      <c r="C240" s="10">
        <v>100.0</v>
      </c>
      <c r="D240" s="10">
        <v>45.0</v>
      </c>
      <c r="E240" s="710"/>
      <c r="F240" s="17" t="s">
        <v>5</v>
      </c>
      <c r="G240" s="711" t="s">
        <v>581</v>
      </c>
      <c r="H240" s="427"/>
      <c r="I240" s="1"/>
      <c r="J240" s="1"/>
      <c r="K240" s="1"/>
      <c r="L240" s="1"/>
      <c r="M240" s="1"/>
    </row>
    <row r="241" ht="14.25" customHeight="1">
      <c r="A241" s="1"/>
      <c r="B241" s="22" t="s">
        <v>537</v>
      </c>
      <c r="C241" s="23">
        <v>130.0</v>
      </c>
      <c r="D241" s="712">
        <f t="shared" ref="D241:D251" si="20">(C241*D240)/C240</f>
        <v>58.5</v>
      </c>
      <c r="E241" s="713"/>
      <c r="F241" s="31" t="s">
        <v>9</v>
      </c>
      <c r="G241" s="47"/>
      <c r="H241" s="427"/>
      <c r="I241" s="1"/>
      <c r="J241" s="1"/>
      <c r="K241" s="1"/>
      <c r="L241" s="1"/>
      <c r="M241" s="1"/>
    </row>
    <row r="242" ht="14.25" customHeight="1">
      <c r="A242" s="1"/>
      <c r="B242" s="22" t="s">
        <v>11</v>
      </c>
      <c r="C242" s="23">
        <v>20.0</v>
      </c>
      <c r="D242" s="712">
        <f t="shared" si="20"/>
        <v>9</v>
      </c>
      <c r="E242" s="713"/>
      <c r="F242" s="36" t="s">
        <v>5</v>
      </c>
      <c r="G242" s="47"/>
      <c r="H242" s="427"/>
      <c r="I242" s="1"/>
      <c r="J242" s="1"/>
      <c r="K242" s="1"/>
      <c r="L242" s="1"/>
      <c r="M242" s="1"/>
    </row>
    <row r="243" ht="14.25" customHeight="1">
      <c r="A243" s="1"/>
      <c r="B243" s="22" t="s">
        <v>13</v>
      </c>
      <c r="C243" s="23">
        <v>15.0</v>
      </c>
      <c r="D243" s="712">
        <f t="shared" si="20"/>
        <v>6.75</v>
      </c>
      <c r="E243" s="713"/>
      <c r="F243" s="38" t="s">
        <v>14</v>
      </c>
      <c r="G243" s="47"/>
      <c r="H243" s="427"/>
      <c r="I243" s="1"/>
      <c r="J243" s="1"/>
      <c r="K243" s="1"/>
      <c r="L243" s="1"/>
      <c r="M243" s="1"/>
    </row>
    <row r="244" ht="14.25" customHeight="1">
      <c r="A244" s="1"/>
      <c r="B244" s="687" t="s">
        <v>541</v>
      </c>
      <c r="C244" s="688">
        <v>5.0</v>
      </c>
      <c r="D244" s="714">
        <f t="shared" si="20"/>
        <v>2.25</v>
      </c>
      <c r="E244" s="715"/>
      <c r="F244" s="691" t="s">
        <v>14</v>
      </c>
      <c r="G244" s="47"/>
      <c r="H244" s="427"/>
      <c r="I244" s="1"/>
      <c r="J244" s="1"/>
      <c r="K244" s="1"/>
      <c r="L244" s="1"/>
      <c r="M244" s="1"/>
    </row>
    <row r="245" ht="14.25" customHeight="1">
      <c r="A245" s="1"/>
      <c r="B245" s="687" t="s">
        <v>243</v>
      </c>
      <c r="C245" s="688">
        <v>5.0</v>
      </c>
      <c r="D245" s="714">
        <f t="shared" si="20"/>
        <v>2.25</v>
      </c>
      <c r="E245" s="715"/>
      <c r="F245" s="691" t="s">
        <v>5</v>
      </c>
      <c r="G245" s="47"/>
      <c r="H245" s="427"/>
      <c r="I245" s="1"/>
      <c r="J245" s="1"/>
      <c r="K245" s="1"/>
      <c r="L245" s="1"/>
      <c r="M245" s="1"/>
    </row>
    <row r="246" ht="14.25" customHeight="1">
      <c r="A246" s="1"/>
      <c r="B246" s="694" t="s">
        <v>549</v>
      </c>
      <c r="C246" s="688">
        <v>25.0</v>
      </c>
      <c r="D246" s="714">
        <f t="shared" si="20"/>
        <v>11.25</v>
      </c>
      <c r="E246" s="715"/>
      <c r="F246" s="696" t="s">
        <v>5</v>
      </c>
      <c r="G246" s="47"/>
      <c r="H246" s="427"/>
      <c r="I246" s="1"/>
      <c r="J246" s="1"/>
      <c r="K246" s="1"/>
      <c r="L246" s="1"/>
      <c r="M246" s="1"/>
    </row>
    <row r="247" ht="15.0" customHeight="1">
      <c r="A247" s="1"/>
      <c r="B247" s="697" t="s">
        <v>243</v>
      </c>
      <c r="C247" s="698">
        <v>40.0</v>
      </c>
      <c r="D247" s="716">
        <f t="shared" si="20"/>
        <v>18</v>
      </c>
      <c r="E247" s="717"/>
      <c r="F247" s="701" t="s">
        <v>5</v>
      </c>
      <c r="G247" s="47"/>
      <c r="H247" s="427"/>
      <c r="I247" s="1"/>
      <c r="J247" s="1"/>
      <c r="K247" s="1"/>
      <c r="L247" s="1"/>
      <c r="M247" s="1"/>
    </row>
    <row r="248" ht="14.25" customHeight="1">
      <c r="A248" s="1"/>
      <c r="B248" s="697" t="s">
        <v>31</v>
      </c>
      <c r="C248" s="698">
        <v>200.0</v>
      </c>
      <c r="D248" s="716">
        <f t="shared" si="20"/>
        <v>90</v>
      </c>
      <c r="E248" s="717"/>
      <c r="F248" s="701" t="s">
        <v>18</v>
      </c>
      <c r="G248" s="47"/>
      <c r="H248" s="427"/>
      <c r="I248" s="1"/>
      <c r="J248" s="1"/>
      <c r="K248" s="1"/>
      <c r="L248" s="1"/>
      <c r="M248" s="1"/>
    </row>
    <row r="249" ht="14.25" customHeight="1">
      <c r="A249" s="1"/>
      <c r="B249" s="702" t="s">
        <v>563</v>
      </c>
      <c r="C249" s="718">
        <v>25.0</v>
      </c>
      <c r="D249" s="720">
        <f t="shared" si="20"/>
        <v>11.25</v>
      </c>
      <c r="E249" s="721"/>
      <c r="F249" s="706" t="s">
        <v>18</v>
      </c>
      <c r="G249" s="47"/>
      <c r="H249" s="427"/>
      <c r="I249" s="1"/>
      <c r="J249" s="1"/>
      <c r="K249" s="1"/>
      <c r="L249" s="1"/>
      <c r="M249" s="1"/>
    </row>
    <row r="250" ht="14.25" customHeight="1">
      <c r="A250" s="1"/>
      <c r="B250" s="707" t="s">
        <v>16</v>
      </c>
      <c r="C250" s="10">
        <v>20.0</v>
      </c>
      <c r="D250" s="722">
        <f t="shared" si="20"/>
        <v>9</v>
      </c>
      <c r="E250" s="723"/>
      <c r="F250" s="448" t="s">
        <v>14</v>
      </c>
      <c r="G250" s="47"/>
      <c r="H250" s="427"/>
      <c r="I250" s="1"/>
      <c r="J250" s="1"/>
      <c r="K250" s="1"/>
      <c r="L250" s="1"/>
      <c r="M250" s="1"/>
    </row>
    <row r="251" ht="14.25" customHeight="1">
      <c r="A251" s="1"/>
      <c r="B251" s="708" t="s">
        <v>572</v>
      </c>
      <c r="C251" s="709">
        <v>50.0</v>
      </c>
      <c r="D251" s="724">
        <f t="shared" si="20"/>
        <v>22.5</v>
      </c>
      <c r="E251" s="725"/>
      <c r="F251" s="457" t="s">
        <v>82</v>
      </c>
      <c r="G251" s="47"/>
      <c r="H251" s="427"/>
      <c r="I251" s="1"/>
      <c r="J251" s="1"/>
      <c r="K251" s="1"/>
      <c r="L251" s="1"/>
      <c r="M251" s="1"/>
    </row>
    <row r="252" ht="14.25" customHeight="1">
      <c r="A252" s="1"/>
      <c r="B252" s="1"/>
      <c r="C252" s="726"/>
      <c r="D252" s="727"/>
      <c r="E252" s="727"/>
      <c r="F252" s="87"/>
      <c r="G252" s="1"/>
      <c r="H252" s="1"/>
      <c r="I252" s="1"/>
      <c r="J252" s="1"/>
      <c r="K252" s="1"/>
      <c r="L252" s="1"/>
      <c r="M252" s="1"/>
    </row>
    <row r="253" ht="14.25" customHeight="1">
      <c r="A253" s="1"/>
      <c r="B253" s="83" t="s">
        <v>42</v>
      </c>
      <c r="C253" s="85" t="s">
        <v>47</v>
      </c>
      <c r="D253" s="727"/>
      <c r="E253" s="727"/>
      <c r="F253" s="87"/>
      <c r="G253" s="1"/>
      <c r="H253" s="1"/>
      <c r="I253" s="1"/>
      <c r="J253" s="1"/>
      <c r="K253" s="1"/>
      <c r="L253" s="1"/>
      <c r="M253" s="1"/>
    </row>
    <row r="254" ht="14.25" customHeight="1">
      <c r="A254" s="1"/>
      <c r="B254" s="88" t="s">
        <v>49</v>
      </c>
      <c r="C254" s="729">
        <v>41189.0</v>
      </c>
      <c r="D254" s="727"/>
      <c r="E254" s="727"/>
      <c r="F254" s="87"/>
      <c r="G254" s="1"/>
      <c r="H254" s="1"/>
      <c r="I254" s="1"/>
      <c r="J254" s="1"/>
      <c r="K254" s="1"/>
      <c r="L254" s="1"/>
      <c r="M254" s="1"/>
    </row>
    <row r="255" ht="14.25" customHeight="1">
      <c r="A255" s="1"/>
      <c r="B255" s="90" t="s">
        <v>50</v>
      </c>
      <c r="C255" s="729">
        <v>41776.0</v>
      </c>
      <c r="D255" s="727"/>
      <c r="E255" s="727"/>
      <c r="F255" s="87"/>
      <c r="G255" s="1"/>
      <c r="H255" s="1"/>
      <c r="I255" s="1"/>
      <c r="J255" s="1"/>
      <c r="K255" s="1"/>
      <c r="L255" s="1"/>
      <c r="M255" s="1"/>
    </row>
    <row r="256" ht="14.25" customHeight="1">
      <c r="A256" s="1"/>
      <c r="B256" s="1"/>
      <c r="C256" s="107"/>
      <c r="D256" s="107"/>
      <c r="E256" s="107"/>
      <c r="F256" s="108"/>
      <c r="G256" s="1"/>
      <c r="H256" s="1"/>
      <c r="I256" s="1"/>
      <c r="J256" s="1"/>
      <c r="K256" s="1"/>
      <c r="L256" s="1"/>
      <c r="M256" s="1"/>
    </row>
    <row r="257" ht="14.25" customHeight="1">
      <c r="A257" s="1"/>
      <c r="B257" s="209" t="s">
        <v>611</v>
      </c>
      <c r="C257" s="18"/>
      <c r="D257" s="18"/>
      <c r="E257" s="18"/>
      <c r="F257" s="19"/>
      <c r="G257" s="1"/>
      <c r="H257" s="1"/>
      <c r="I257" s="1"/>
      <c r="J257" s="1"/>
      <c r="K257" s="1"/>
      <c r="L257" s="1"/>
      <c r="M257" s="1"/>
    </row>
    <row r="258" ht="14.25" customHeight="1">
      <c r="A258" s="1"/>
      <c r="B258" s="51" t="s">
        <v>1</v>
      </c>
      <c r="C258" s="190">
        <v>800.0</v>
      </c>
      <c r="D258" s="190">
        <v>60.0</v>
      </c>
      <c r="E258" s="192"/>
      <c r="F258" s="125" t="s">
        <v>5</v>
      </c>
      <c r="G258" s="44" t="s">
        <v>612</v>
      </c>
      <c r="H258" s="141"/>
      <c r="I258" s="1"/>
      <c r="J258" s="1"/>
      <c r="K258" s="1"/>
      <c r="L258" s="1"/>
      <c r="M258" s="1"/>
    </row>
    <row r="259" ht="14.25" customHeight="1">
      <c r="A259" s="1"/>
      <c r="B259" s="68" t="s">
        <v>615</v>
      </c>
      <c r="C259" s="145">
        <v>720.0</v>
      </c>
      <c r="D259" s="221">
        <f t="shared" ref="D259:D262" si="21">(C259*D258)/C258</f>
        <v>54</v>
      </c>
      <c r="E259" s="222"/>
      <c r="F259" s="137" t="s">
        <v>14</v>
      </c>
      <c r="G259" s="47"/>
      <c r="H259" s="141"/>
      <c r="I259" s="1"/>
      <c r="J259" s="1"/>
      <c r="K259" s="1"/>
      <c r="L259" s="1"/>
      <c r="M259" s="1"/>
    </row>
    <row r="260" ht="14.25" customHeight="1">
      <c r="A260" s="1"/>
      <c r="B260" s="93" t="s">
        <v>620</v>
      </c>
      <c r="C260" s="195">
        <v>475.0</v>
      </c>
      <c r="D260" s="27">
        <f t="shared" si="21"/>
        <v>35.625</v>
      </c>
      <c r="E260" s="29"/>
      <c r="F260" s="165" t="s">
        <v>14</v>
      </c>
      <c r="G260" s="47"/>
      <c r="H260" s="141"/>
      <c r="I260" s="1"/>
      <c r="J260" s="1"/>
      <c r="K260" s="1"/>
      <c r="L260" s="1"/>
      <c r="M260" s="1"/>
    </row>
    <row r="261" ht="16.5" customHeight="1">
      <c r="A261" s="1"/>
      <c r="B261" s="93" t="s">
        <v>13</v>
      </c>
      <c r="C261" s="195">
        <v>50.0</v>
      </c>
      <c r="D261" s="27">
        <f t="shared" si="21"/>
        <v>3.75</v>
      </c>
      <c r="E261" s="29"/>
      <c r="F261" s="165" t="s">
        <v>14</v>
      </c>
      <c r="G261" s="47"/>
      <c r="H261" s="141"/>
      <c r="I261" s="1"/>
      <c r="J261" s="1"/>
      <c r="K261" s="1"/>
      <c r="L261" s="1"/>
      <c r="M261" s="1"/>
    </row>
    <row r="262" ht="14.25" customHeight="1">
      <c r="A262" s="193"/>
      <c r="B262" s="149" t="s">
        <v>16</v>
      </c>
      <c r="C262" s="152">
        <v>50.0</v>
      </c>
      <c r="D262" s="370">
        <f t="shared" si="21"/>
        <v>3.75</v>
      </c>
      <c r="E262" s="371"/>
      <c r="F262" s="156" t="s">
        <v>14</v>
      </c>
      <c r="G262" s="76"/>
      <c r="H262" s="141"/>
      <c r="I262" s="1"/>
      <c r="J262" s="1"/>
      <c r="K262" s="1"/>
      <c r="L262" s="1"/>
      <c r="M262" s="1"/>
    </row>
    <row r="263" ht="14.25" customHeight="1">
      <c r="A263" s="1"/>
      <c r="B263" s="1"/>
      <c r="C263" s="107"/>
      <c r="D263" s="107"/>
      <c r="E263" s="107"/>
      <c r="F263" s="108"/>
      <c r="G263" s="1"/>
      <c r="H263" s="1"/>
      <c r="I263" s="1"/>
      <c r="J263" s="1"/>
      <c r="K263" s="1"/>
      <c r="L263" s="1"/>
      <c r="M263" s="1"/>
    </row>
    <row r="264" ht="14.25" customHeight="1">
      <c r="A264" s="1"/>
      <c r="B264" s="83" t="s">
        <v>42</v>
      </c>
      <c r="C264" s="258" t="s">
        <v>47</v>
      </c>
      <c r="D264" s="107"/>
      <c r="E264" s="107"/>
      <c r="F264" s="108"/>
      <c r="G264" s="1"/>
      <c r="H264" s="1"/>
      <c r="I264" s="1"/>
      <c r="J264" s="1"/>
      <c r="K264" s="1"/>
      <c r="L264" s="1"/>
      <c r="M264" s="1"/>
    </row>
    <row r="265" ht="21.75" customHeight="1">
      <c r="A265" s="1"/>
      <c r="B265" s="90" t="s">
        <v>49</v>
      </c>
      <c r="C265" s="260">
        <v>42519.0</v>
      </c>
      <c r="D265" s="107"/>
      <c r="E265" s="107"/>
      <c r="F265" s="108"/>
      <c r="G265" s="1"/>
      <c r="H265" s="1"/>
      <c r="I265" s="1"/>
      <c r="J265" s="1"/>
      <c r="K265" s="1"/>
      <c r="L265" s="1"/>
      <c r="M265" s="1"/>
    </row>
    <row r="266" ht="21.75" customHeight="1">
      <c r="A266" s="1"/>
      <c r="B266" s="90" t="s">
        <v>50</v>
      </c>
      <c r="C266" s="260"/>
      <c r="D266" s="107"/>
      <c r="E266" s="107"/>
      <c r="F266" s="108"/>
      <c r="G266" s="1"/>
      <c r="H266" s="1"/>
      <c r="I266" s="1"/>
      <c r="J266" s="1"/>
      <c r="K266" s="1"/>
      <c r="L266" s="1"/>
      <c r="M266" s="1"/>
    </row>
    <row r="267" ht="14.25" customHeight="1">
      <c r="A267" s="1"/>
      <c r="B267" s="1"/>
      <c r="C267" s="107"/>
      <c r="D267" s="107"/>
      <c r="E267" s="107"/>
      <c r="F267" s="108"/>
      <c r="G267" s="1"/>
      <c r="H267" s="1"/>
      <c r="I267" s="1"/>
      <c r="J267" s="1"/>
      <c r="K267" s="1"/>
      <c r="L267" s="1"/>
      <c r="M267" s="1"/>
    </row>
    <row r="268" ht="14.25" customHeight="1">
      <c r="A268" s="1"/>
      <c r="B268" s="511" t="s">
        <v>623</v>
      </c>
      <c r="C268" s="18"/>
      <c r="D268" s="18"/>
      <c r="E268" s="18"/>
      <c r="F268" s="19"/>
      <c r="G268" s="1"/>
      <c r="H268" s="1"/>
      <c r="I268" s="1"/>
      <c r="J268" s="1"/>
      <c r="K268" s="1"/>
      <c r="L268" s="1"/>
      <c r="M268" s="1"/>
    </row>
    <row r="269" ht="14.25" customHeight="1">
      <c r="A269" s="1"/>
      <c r="B269" s="732" t="s">
        <v>1</v>
      </c>
      <c r="C269" s="221">
        <v>100.0</v>
      </c>
      <c r="D269" s="145">
        <v>34.0</v>
      </c>
      <c r="E269" s="147"/>
      <c r="F269" s="733" t="s">
        <v>5</v>
      </c>
      <c r="G269" s="44" t="s">
        <v>625</v>
      </c>
      <c r="H269" s="141"/>
      <c r="I269" s="1"/>
      <c r="J269" s="1"/>
      <c r="K269" s="1"/>
      <c r="L269" s="1"/>
      <c r="M269" s="1"/>
    </row>
    <row r="270" ht="14.25" customHeight="1">
      <c r="A270" s="1"/>
      <c r="B270" s="734" t="s">
        <v>626</v>
      </c>
      <c r="C270" s="739">
        <f t="shared" ref="C270:D270" si="22">IF( C269&lt;50, (1+(50-C269)/500)*0.0575*C269, 0.0575*C269)</f>
        <v>5.75</v>
      </c>
      <c r="D270" s="739">
        <f t="shared" si="22"/>
        <v>2.01756</v>
      </c>
      <c r="E270" s="742"/>
      <c r="F270" s="744" t="s">
        <v>14</v>
      </c>
      <c r="G270" s="47"/>
      <c r="H270" s="141"/>
      <c r="I270" s="1"/>
      <c r="J270" s="1"/>
      <c r="K270" s="1"/>
      <c r="L270" s="1"/>
      <c r="M270" s="1"/>
    </row>
    <row r="271" ht="14.25" customHeight="1">
      <c r="A271" s="1"/>
      <c r="B271" s="93" t="s">
        <v>632</v>
      </c>
      <c r="C271" s="195">
        <v>2.0</v>
      </c>
      <c r="D271" s="27">
        <f t="shared" ref="D271:D275" si="23">(C271*D270)/C270</f>
        <v>0.70176</v>
      </c>
      <c r="E271" s="29"/>
      <c r="F271" s="165" t="s">
        <v>5</v>
      </c>
      <c r="G271" s="47"/>
      <c r="H271" s="141"/>
      <c r="I271" s="1"/>
      <c r="J271" s="1"/>
      <c r="K271" s="1"/>
      <c r="L271" s="1"/>
      <c r="M271" s="1"/>
    </row>
    <row r="272" ht="14.25" customHeight="1">
      <c r="A272" s="1"/>
      <c r="B272" s="105" t="s">
        <v>635</v>
      </c>
      <c r="C272" s="200">
        <v>100.0</v>
      </c>
      <c r="D272" s="200">
        <f t="shared" si="23"/>
        <v>35.088</v>
      </c>
      <c r="E272" s="202"/>
      <c r="F272" s="172" t="s">
        <v>18</v>
      </c>
      <c r="G272" s="47"/>
      <c r="H272" s="141"/>
      <c r="I272" s="1"/>
      <c r="J272" s="1"/>
      <c r="K272" s="1"/>
      <c r="L272" s="1"/>
      <c r="M272" s="1"/>
    </row>
    <row r="273" ht="14.25" customHeight="1">
      <c r="A273" s="1"/>
      <c r="B273" s="745" t="s">
        <v>636</v>
      </c>
      <c r="C273" s="746">
        <v>14.5</v>
      </c>
      <c r="D273" s="746">
        <f t="shared" si="23"/>
        <v>5.08776</v>
      </c>
      <c r="E273" s="747"/>
      <c r="F273" s="748" t="s">
        <v>14</v>
      </c>
      <c r="G273" s="47"/>
      <c r="H273" s="141"/>
      <c r="I273" s="1"/>
      <c r="J273" s="1"/>
      <c r="K273" s="1"/>
      <c r="L273" s="1"/>
      <c r="M273" s="1"/>
    </row>
    <row r="274" ht="14.25" customHeight="1">
      <c r="A274" s="1"/>
      <c r="B274" s="93" t="s">
        <v>59</v>
      </c>
      <c r="C274" s="195">
        <v>100.0</v>
      </c>
      <c r="D274" s="27">
        <f t="shared" si="23"/>
        <v>35.088</v>
      </c>
      <c r="E274" s="29"/>
      <c r="F274" s="165" t="s">
        <v>5</v>
      </c>
      <c r="G274" s="47"/>
      <c r="H274" s="141"/>
      <c r="I274" s="1"/>
      <c r="J274" s="1"/>
      <c r="K274" s="1"/>
      <c r="L274" s="1"/>
      <c r="M274" s="1"/>
    </row>
    <row r="275" ht="14.25" customHeight="1">
      <c r="A275" s="1"/>
      <c r="B275" s="105" t="s">
        <v>17</v>
      </c>
      <c r="C275" s="200">
        <v>150.0</v>
      </c>
      <c r="D275" s="236">
        <f t="shared" si="23"/>
        <v>52.632</v>
      </c>
      <c r="E275" s="237"/>
      <c r="F275" s="172" t="s">
        <v>18</v>
      </c>
      <c r="G275" s="76"/>
      <c r="H275" s="141"/>
      <c r="I275" s="1"/>
      <c r="J275" s="1"/>
      <c r="K275" s="1"/>
      <c r="L275" s="1"/>
      <c r="M275" s="1"/>
    </row>
    <row r="276" ht="15.75" customHeight="1">
      <c r="A276" s="1"/>
      <c r="B276" s="203" t="s">
        <v>49</v>
      </c>
      <c r="C276" s="340">
        <v>41579.0</v>
      </c>
      <c r="D276" s="107"/>
      <c r="E276" s="107"/>
      <c r="F276" s="108"/>
      <c r="G276" s="339" t="s">
        <v>647</v>
      </c>
      <c r="H276" s="750"/>
      <c r="I276" s="1"/>
      <c r="J276" s="1"/>
      <c r="K276" s="1"/>
      <c r="L276" s="1"/>
      <c r="M276" s="1"/>
    </row>
    <row r="277" ht="14.25" customHeight="1">
      <c r="A277" s="1"/>
      <c r="B277" s="342" t="s">
        <v>50</v>
      </c>
      <c r="C277" s="340">
        <v>41497.0</v>
      </c>
      <c r="D277" s="107"/>
      <c r="E277" s="107"/>
      <c r="F277" s="108"/>
      <c r="G277" s="47"/>
      <c r="H277" s="750"/>
      <c r="I277" s="1"/>
      <c r="J277" s="1"/>
      <c r="K277" s="1"/>
      <c r="L277" s="1"/>
      <c r="M277" s="1"/>
    </row>
    <row r="278" ht="14.25" customHeight="1">
      <c r="A278" s="1"/>
      <c r="B278" s="756" t="s">
        <v>654</v>
      </c>
      <c r="C278" s="5"/>
      <c r="D278" s="6"/>
      <c r="E278" s="759"/>
      <c r="F278" s="108"/>
      <c r="G278" s="47"/>
      <c r="H278" s="750"/>
      <c r="I278" s="1"/>
      <c r="J278" s="1"/>
      <c r="K278" s="1"/>
      <c r="L278" s="1"/>
      <c r="M278" s="1"/>
    </row>
    <row r="279" ht="14.25" customHeight="1">
      <c r="A279" s="1"/>
      <c r="B279" s="102"/>
      <c r="C279" s="104"/>
      <c r="D279" s="106"/>
      <c r="E279" s="759"/>
      <c r="F279" s="108"/>
      <c r="G279" s="76"/>
      <c r="H279" s="750"/>
      <c r="I279" s="1"/>
      <c r="J279" s="1"/>
      <c r="K279" s="1"/>
      <c r="L279" s="1"/>
      <c r="M279" s="1"/>
    </row>
    <row r="280" ht="14.25" customHeight="1">
      <c r="A280" s="1"/>
      <c r="B280" s="83" t="s">
        <v>42</v>
      </c>
      <c r="C280" s="85" t="s">
        <v>47</v>
      </c>
      <c r="D280" s="107"/>
      <c r="E280" s="107"/>
      <c r="F280" s="108"/>
      <c r="G280" s="1"/>
      <c r="H280" s="1"/>
      <c r="I280" s="1"/>
      <c r="J280" s="1"/>
      <c r="K280" s="1"/>
      <c r="L280" s="1"/>
      <c r="M280" s="1"/>
    </row>
    <row r="281" ht="14.25" customHeight="1">
      <c r="A281" s="1"/>
      <c r="B281" s="1"/>
      <c r="C281" s="107"/>
      <c r="D281" s="107"/>
      <c r="E281" s="107"/>
      <c r="F281" s="108"/>
      <c r="G281" s="1"/>
      <c r="H281" s="1"/>
      <c r="I281" s="1"/>
      <c r="J281" s="1"/>
      <c r="K281" s="1"/>
      <c r="L281" s="1"/>
      <c r="M281" s="1"/>
    </row>
    <row r="282" ht="14.25" customHeight="1">
      <c r="A282" s="1"/>
      <c r="B282" s="189" t="s">
        <v>668</v>
      </c>
      <c r="C282" s="18"/>
      <c r="D282" s="18"/>
      <c r="E282" s="18"/>
      <c r="F282" s="19"/>
      <c r="G282" s="763"/>
      <c r="H282" s="1"/>
      <c r="I282" s="1"/>
      <c r="J282" s="1"/>
      <c r="K282" s="1"/>
      <c r="L282" s="1"/>
      <c r="M282" s="1"/>
    </row>
    <row r="283" ht="14.25" customHeight="1">
      <c r="A283" s="1"/>
      <c r="B283" s="68" t="s">
        <v>1</v>
      </c>
      <c r="C283" s="145">
        <v>100.0</v>
      </c>
      <c r="D283" s="145">
        <v>60.0</v>
      </c>
      <c r="E283" s="147"/>
      <c r="F283" s="137" t="s">
        <v>5</v>
      </c>
      <c r="G283" s="763"/>
      <c r="H283" s="1"/>
      <c r="I283" s="1"/>
      <c r="J283" s="1"/>
      <c r="K283" s="1"/>
      <c r="L283" s="1"/>
      <c r="M283" s="1"/>
    </row>
    <row r="284" ht="14.25" customHeight="1">
      <c r="A284" s="1"/>
      <c r="B284" s="93" t="s">
        <v>671</v>
      </c>
      <c r="C284" s="195">
        <v>1500.0</v>
      </c>
      <c r="D284" s="195">
        <f t="shared" ref="D284:D289" si="24">(D283*C284)/C283</f>
        <v>900</v>
      </c>
      <c r="E284" s="196"/>
      <c r="F284" s="165" t="s">
        <v>18</v>
      </c>
      <c r="G284" s="763"/>
      <c r="H284" s="1"/>
      <c r="I284" s="1"/>
      <c r="J284" s="1"/>
      <c r="K284" s="1"/>
      <c r="L284" s="1"/>
      <c r="M284" s="1"/>
    </row>
    <row r="285" ht="14.25" customHeight="1">
      <c r="A285" s="1"/>
      <c r="B285" s="93" t="s">
        <v>59</v>
      </c>
      <c r="C285" s="195">
        <v>60.0</v>
      </c>
      <c r="D285" s="195">
        <f t="shared" si="24"/>
        <v>36</v>
      </c>
      <c r="E285" s="196"/>
      <c r="F285" s="165" t="s">
        <v>5</v>
      </c>
      <c r="G285" s="562"/>
      <c r="H285" s="1"/>
      <c r="I285" s="1"/>
      <c r="J285" s="1"/>
      <c r="K285" s="1"/>
      <c r="L285" s="1"/>
      <c r="M285" s="1"/>
    </row>
    <row r="286" ht="14.25" customHeight="1">
      <c r="A286" s="1"/>
      <c r="B286" s="93" t="s">
        <v>167</v>
      </c>
      <c r="C286" s="195">
        <v>0.25</v>
      </c>
      <c r="D286" s="195">
        <f t="shared" si="24"/>
        <v>0.15</v>
      </c>
      <c r="E286" s="196"/>
      <c r="F286" s="165" t="s">
        <v>5</v>
      </c>
      <c r="G286" s="562"/>
      <c r="H286" s="1"/>
      <c r="I286" s="1"/>
      <c r="J286" s="1"/>
      <c r="K286" s="1"/>
      <c r="L286" s="1"/>
      <c r="M286" s="1" t="str">
        <f>Beverages!$J$286</f>
        <v/>
      </c>
    </row>
    <row r="287" ht="15.75" customHeight="1">
      <c r="A287" s="1"/>
      <c r="B287" s="93" t="s">
        <v>13</v>
      </c>
      <c r="C287" s="195">
        <v>11.5</v>
      </c>
      <c r="D287" s="195">
        <f t="shared" si="24"/>
        <v>6.9</v>
      </c>
      <c r="E287" s="196"/>
      <c r="F287" s="165" t="s">
        <v>14</v>
      </c>
      <c r="G287" s="562"/>
      <c r="H287" s="1"/>
      <c r="I287" s="1"/>
      <c r="J287" s="1"/>
      <c r="K287" s="1"/>
      <c r="L287" s="1"/>
      <c r="M287" s="1"/>
    </row>
    <row r="288" ht="14.25" customHeight="1">
      <c r="A288" s="1"/>
      <c r="B288" s="93" t="s">
        <v>31</v>
      </c>
      <c r="C288" s="195">
        <v>125.0</v>
      </c>
      <c r="D288" s="195">
        <f t="shared" si="24"/>
        <v>75</v>
      </c>
      <c r="E288" s="196"/>
      <c r="F288" s="165" t="s">
        <v>18</v>
      </c>
      <c r="G288" s="1"/>
      <c r="H288" s="1"/>
      <c r="I288" s="1"/>
      <c r="J288" s="1"/>
      <c r="K288" s="1"/>
      <c r="L288" s="1"/>
      <c r="M288" s="1"/>
    </row>
    <row r="289" ht="14.25" customHeight="1">
      <c r="A289" s="1"/>
      <c r="B289" s="105" t="s">
        <v>124</v>
      </c>
      <c r="C289" s="200">
        <v>100.0</v>
      </c>
      <c r="D289" s="200">
        <f t="shared" si="24"/>
        <v>60</v>
      </c>
      <c r="E289" s="202"/>
      <c r="F289" s="172" t="s">
        <v>18</v>
      </c>
      <c r="G289" s="1"/>
      <c r="H289" s="1"/>
      <c r="I289" s="1"/>
      <c r="J289" s="1"/>
      <c r="K289" s="1"/>
      <c r="L289" s="1"/>
      <c r="M289" s="1"/>
    </row>
    <row r="290" ht="14.25" customHeight="1">
      <c r="A290" s="1"/>
      <c r="B290" s="88" t="s">
        <v>49</v>
      </c>
      <c r="C290" s="89">
        <v>40971.0</v>
      </c>
      <c r="D290" s="107"/>
      <c r="E290" s="107"/>
      <c r="F290" s="108"/>
      <c r="G290" s="1"/>
      <c r="H290" s="1"/>
      <c r="I290" s="1"/>
      <c r="J290" s="1"/>
      <c r="K290" s="1"/>
      <c r="L290" s="1"/>
      <c r="M290" s="1"/>
    </row>
    <row r="291" ht="14.25" customHeight="1">
      <c r="A291" s="1"/>
      <c r="B291" s="90" t="s">
        <v>50</v>
      </c>
      <c r="C291" s="89">
        <v>41379.0</v>
      </c>
      <c r="D291" s="107"/>
      <c r="E291" s="107"/>
      <c r="F291" s="108"/>
      <c r="G291" s="1"/>
      <c r="H291" s="1"/>
      <c r="I291" s="1"/>
      <c r="J291" s="1"/>
      <c r="K291" s="1"/>
      <c r="L291" s="1"/>
      <c r="M291" s="1"/>
    </row>
    <row r="292" ht="14.25" customHeight="1">
      <c r="A292" s="1"/>
      <c r="B292" s="83" t="s">
        <v>42</v>
      </c>
      <c r="C292" s="85" t="s">
        <v>47</v>
      </c>
      <c r="D292" s="107"/>
      <c r="E292" s="107"/>
      <c r="F292" s="108"/>
      <c r="G292" s="1"/>
      <c r="H292" s="1"/>
      <c r="I292" s="1"/>
      <c r="J292" s="1"/>
      <c r="K292" s="1"/>
      <c r="L292" s="1"/>
      <c r="M292" s="1"/>
    </row>
    <row r="293" ht="14.25" customHeight="1">
      <c r="A293" s="1"/>
      <c r="B293" s="1"/>
      <c r="C293" s="107"/>
      <c r="D293" s="107"/>
      <c r="E293" s="107"/>
      <c r="F293" s="108"/>
      <c r="G293" s="1"/>
      <c r="H293" s="1"/>
      <c r="I293" s="1"/>
      <c r="J293" s="1"/>
      <c r="K293" s="1"/>
      <c r="L293" s="1"/>
      <c r="M293" s="1"/>
    </row>
    <row r="294" ht="14.25" customHeight="1">
      <c r="A294" s="1"/>
      <c r="B294" s="16" t="s">
        <v>679</v>
      </c>
      <c r="C294" s="18"/>
      <c r="D294" s="18"/>
      <c r="E294" s="18"/>
      <c r="F294" s="19"/>
      <c r="G294" s="1"/>
      <c r="H294" s="1"/>
      <c r="I294" s="1"/>
      <c r="J294" s="1"/>
      <c r="K294" s="1"/>
      <c r="L294" s="1"/>
      <c r="M294" s="1"/>
    </row>
    <row r="295" ht="15.0" customHeight="1">
      <c r="A295" s="1"/>
      <c r="B295" s="732" t="s">
        <v>1</v>
      </c>
      <c r="C295" s="221">
        <v>100.0</v>
      </c>
      <c r="D295" s="768">
        <v>1.0</v>
      </c>
      <c r="E295" s="771"/>
      <c r="F295" s="733" t="s">
        <v>5</v>
      </c>
      <c r="G295" s="44" t="s">
        <v>697</v>
      </c>
      <c r="H295" s="141"/>
      <c r="I295" s="1"/>
      <c r="J295" s="1"/>
      <c r="K295" s="1"/>
      <c r="L295" s="1"/>
      <c r="M295" s="1"/>
    </row>
    <row r="296" ht="14.25" customHeight="1">
      <c r="A296" s="1"/>
      <c r="B296" s="177" t="s">
        <v>699</v>
      </c>
      <c r="C296" s="712">
        <v>7.0</v>
      </c>
      <c r="D296" s="712">
        <f>IF( D295&lt;50, (1+(50-D295)/500)*0.07*D295, 0.08*D295)</f>
        <v>0.07686</v>
      </c>
      <c r="E296" s="713"/>
      <c r="F296" s="774" t="s">
        <v>14</v>
      </c>
      <c r="G296" s="47"/>
      <c r="H296" s="141"/>
      <c r="I296" s="1"/>
      <c r="J296" s="1"/>
      <c r="K296" s="1"/>
      <c r="L296" s="1"/>
      <c r="M296" s="1"/>
    </row>
    <row r="297" ht="14.25" customHeight="1">
      <c r="A297" s="1"/>
      <c r="B297" s="93" t="s">
        <v>632</v>
      </c>
      <c r="C297" s="195">
        <v>2.0</v>
      </c>
      <c r="D297" s="195">
        <f>(C297*D295)/C295</f>
        <v>0.02</v>
      </c>
      <c r="E297" s="196"/>
      <c r="F297" s="165" t="s">
        <v>5</v>
      </c>
      <c r="G297" s="47"/>
      <c r="H297" s="141"/>
      <c r="I297" s="1"/>
      <c r="J297" s="1"/>
      <c r="K297" s="1"/>
      <c r="L297" s="1"/>
      <c r="M297" s="1"/>
    </row>
    <row r="298" ht="14.25" customHeight="1">
      <c r="A298" s="1"/>
      <c r="B298" s="93" t="s">
        <v>258</v>
      </c>
      <c r="C298" s="195">
        <v>100.0</v>
      </c>
      <c r="D298" s="195">
        <f t="shared" ref="D298:D300" si="25">(C298*D297)/C297</f>
        <v>1</v>
      </c>
      <c r="E298" s="196"/>
      <c r="F298" s="165" t="s">
        <v>5</v>
      </c>
      <c r="G298" s="47"/>
      <c r="H298" s="141"/>
      <c r="I298" s="1"/>
      <c r="J298" s="1"/>
      <c r="K298" s="1"/>
      <c r="L298" s="1"/>
      <c r="M298" s="1"/>
    </row>
    <row r="299" ht="14.25" customHeight="1">
      <c r="A299" s="1"/>
      <c r="B299" s="105" t="s">
        <v>713</v>
      </c>
      <c r="C299" s="200">
        <v>100.0</v>
      </c>
      <c r="D299" s="200">
        <f t="shared" si="25"/>
        <v>1</v>
      </c>
      <c r="E299" s="202"/>
      <c r="F299" s="172" t="s">
        <v>18</v>
      </c>
      <c r="G299" s="47"/>
      <c r="H299" s="141"/>
      <c r="I299" s="1"/>
      <c r="J299" s="1"/>
      <c r="K299" s="1"/>
      <c r="L299" s="1"/>
      <c r="M299" s="1"/>
    </row>
    <row r="300" ht="14.25" customHeight="1">
      <c r="A300" s="1"/>
      <c r="B300" s="458" t="s">
        <v>636</v>
      </c>
      <c r="C300" s="71">
        <v>11.3</v>
      </c>
      <c r="D300" s="780">
        <f t="shared" si="25"/>
        <v>0.113</v>
      </c>
      <c r="E300" s="781"/>
      <c r="F300" s="782" t="s">
        <v>14</v>
      </c>
      <c r="G300" s="76"/>
      <c r="H300" s="141"/>
      <c r="I300" s="1"/>
      <c r="J300" s="1"/>
      <c r="K300" s="1"/>
      <c r="L300" s="1"/>
      <c r="M300" s="1"/>
    </row>
    <row r="301" ht="14.25" customHeight="1">
      <c r="A301" s="1"/>
      <c r="B301" s="83" t="s">
        <v>42</v>
      </c>
      <c r="C301" s="85" t="s">
        <v>47</v>
      </c>
      <c r="D301" s="107"/>
      <c r="E301" s="107"/>
      <c r="F301" s="108"/>
      <c r="G301" s="1"/>
      <c r="H301" s="1"/>
      <c r="I301" s="1"/>
      <c r="J301" s="1"/>
      <c r="K301" s="1"/>
      <c r="L301" s="1"/>
      <c r="M301" s="1"/>
    </row>
    <row r="302" ht="14.25" customHeight="1">
      <c r="A302" s="1"/>
      <c r="B302" s="1"/>
      <c r="C302" s="107"/>
      <c r="D302" s="107"/>
      <c r="E302" s="107"/>
      <c r="F302" s="108"/>
      <c r="G302" s="1"/>
      <c r="H302" s="1"/>
      <c r="I302" s="1"/>
      <c r="J302" s="1"/>
      <c r="K302" s="1"/>
      <c r="L302" s="1"/>
      <c r="M302" s="1"/>
    </row>
    <row r="303" ht="14.25" customHeight="1">
      <c r="A303" s="1"/>
      <c r="B303" s="203" t="s">
        <v>49</v>
      </c>
      <c r="C303" s="340">
        <v>40848.0</v>
      </c>
      <c r="D303" s="107"/>
      <c r="E303" s="107"/>
      <c r="F303" s="108"/>
      <c r="G303" s="1"/>
      <c r="H303" s="1"/>
      <c r="I303" s="1"/>
      <c r="J303" s="1"/>
      <c r="K303" s="1"/>
      <c r="L303" s="1"/>
      <c r="M303" s="1"/>
    </row>
    <row r="304" ht="14.25" customHeight="1">
      <c r="A304" s="1"/>
      <c r="B304" s="342" t="s">
        <v>50</v>
      </c>
      <c r="C304" s="340">
        <v>42901.0</v>
      </c>
      <c r="D304" s="107"/>
      <c r="E304" s="107"/>
      <c r="F304" s="108"/>
      <c r="G304" s="1"/>
      <c r="H304" s="1"/>
      <c r="I304" s="1"/>
      <c r="J304" s="1"/>
      <c r="K304" s="1"/>
      <c r="L304" s="1"/>
      <c r="M304" s="1"/>
    </row>
    <row r="305" ht="15.0" customHeight="1">
      <c r="A305" s="1"/>
      <c r="B305" s="1"/>
      <c r="C305" s="107"/>
      <c r="D305" s="107"/>
      <c r="E305" s="107"/>
      <c r="F305" s="108"/>
      <c r="G305" s="1"/>
      <c r="H305" s="1"/>
      <c r="I305" s="1"/>
      <c r="J305" s="1"/>
      <c r="K305" s="1"/>
      <c r="L305" s="1"/>
      <c r="M305" s="1"/>
    </row>
    <row r="306" ht="14.25" customHeight="1">
      <c r="A306" s="1"/>
      <c r="B306" s="756" t="s">
        <v>654</v>
      </c>
      <c r="C306" s="5"/>
      <c r="D306" s="6"/>
      <c r="E306" s="759"/>
      <c r="F306" s="108"/>
      <c r="G306" s="1"/>
      <c r="H306" s="1"/>
      <c r="I306" s="1"/>
      <c r="J306" s="1"/>
      <c r="K306" s="1"/>
      <c r="L306" s="1"/>
      <c r="M306" s="1"/>
    </row>
    <row r="307" ht="14.25" customHeight="1">
      <c r="A307" s="1"/>
      <c r="B307" s="102"/>
      <c r="C307" s="104"/>
      <c r="D307" s="106"/>
      <c r="E307" s="759"/>
      <c r="F307" s="108"/>
      <c r="G307" s="1"/>
      <c r="H307" s="1"/>
      <c r="I307" s="1"/>
      <c r="J307" s="1"/>
      <c r="K307" s="1"/>
      <c r="L307" s="1"/>
      <c r="M307" s="1"/>
    </row>
    <row r="308" ht="14.25" customHeight="1">
      <c r="A308" s="1"/>
      <c r="B308" s="1"/>
      <c r="C308" s="107"/>
      <c r="D308" s="107"/>
      <c r="E308" s="107"/>
      <c r="F308" s="108"/>
      <c r="G308" s="1"/>
      <c r="H308" s="1"/>
      <c r="I308" s="1"/>
      <c r="J308" s="1"/>
      <c r="K308" s="1"/>
      <c r="L308" s="1"/>
      <c r="M308" s="1"/>
    </row>
    <row r="309" ht="14.25" customHeight="1">
      <c r="A309" s="1"/>
      <c r="B309" s="1"/>
      <c r="C309" s="107"/>
      <c r="D309" s="107"/>
      <c r="E309" s="107"/>
      <c r="F309" s="108"/>
      <c r="G309" s="1"/>
      <c r="H309" s="1"/>
      <c r="I309" s="1"/>
      <c r="J309" s="1"/>
      <c r="K309" s="1"/>
      <c r="L309" s="1"/>
      <c r="M309" s="1"/>
    </row>
    <row r="310" ht="15.75" customHeight="1">
      <c r="A310" s="1"/>
      <c r="B310" s="1"/>
      <c r="C310" s="107"/>
      <c r="D310" s="107"/>
      <c r="E310" s="107"/>
      <c r="F310" s="108"/>
      <c r="G310" s="1"/>
      <c r="H310" s="1"/>
      <c r="I310" s="1"/>
      <c r="J310" s="1"/>
      <c r="K310" s="1"/>
      <c r="L310" s="1"/>
      <c r="M310" s="1"/>
    </row>
    <row r="311" ht="15.75" customHeight="1">
      <c r="A311" s="1"/>
      <c r="B311" s="577" t="s">
        <v>728</v>
      </c>
      <c r="C311" s="18"/>
      <c r="D311" s="18"/>
      <c r="E311" s="18"/>
      <c r="F311" s="19"/>
      <c r="G311" s="1"/>
      <c r="H311" s="1"/>
      <c r="I311" s="1"/>
      <c r="J311" s="1"/>
      <c r="K311" s="1"/>
      <c r="L311" s="1"/>
      <c r="M311" s="1"/>
    </row>
    <row r="312" ht="15.75" customHeight="1">
      <c r="A312" s="1"/>
      <c r="B312" s="68" t="s">
        <v>1</v>
      </c>
      <c r="C312" s="145">
        <v>3.0</v>
      </c>
      <c r="D312" s="145">
        <v>30.0</v>
      </c>
      <c r="E312" s="147"/>
      <c r="F312" s="137" t="s">
        <v>5</v>
      </c>
      <c r="G312" s="610" t="s">
        <v>730</v>
      </c>
      <c r="H312" s="787"/>
      <c r="I312" s="1"/>
      <c r="J312" s="1"/>
      <c r="K312" s="1"/>
      <c r="L312" s="1"/>
      <c r="M312" s="1"/>
    </row>
    <row r="313" ht="15.75" customHeight="1">
      <c r="A313" s="1"/>
      <c r="B313" s="93" t="s">
        <v>59</v>
      </c>
      <c r="C313" s="195">
        <v>3.0</v>
      </c>
      <c r="D313" s="195">
        <f t="shared" ref="D313:D314" si="26">(C313*D312)/C312</f>
        <v>30</v>
      </c>
      <c r="E313" s="196"/>
      <c r="F313" s="165" t="s">
        <v>5</v>
      </c>
      <c r="G313" s="47"/>
      <c r="H313" s="787"/>
      <c r="I313" s="1"/>
      <c r="J313" s="1"/>
      <c r="K313" s="1"/>
      <c r="L313" s="1"/>
      <c r="M313" s="1"/>
    </row>
    <row r="314" ht="15.75" customHeight="1">
      <c r="A314" s="1"/>
      <c r="B314" s="93" t="s">
        <v>733</v>
      </c>
      <c r="C314" s="195">
        <v>0.35</v>
      </c>
      <c r="D314" s="195">
        <f t="shared" si="26"/>
        <v>3.5</v>
      </c>
      <c r="E314" s="196"/>
      <c r="F314" s="165" t="s">
        <v>366</v>
      </c>
      <c r="G314" s="47"/>
      <c r="H314" s="787"/>
      <c r="I314" s="1"/>
      <c r="J314" s="1"/>
      <c r="K314" s="1"/>
      <c r="L314" s="1"/>
      <c r="M314" s="1"/>
    </row>
    <row r="315" ht="14.25" customHeight="1">
      <c r="A315" s="1"/>
      <c r="B315" s="93" t="s">
        <v>734</v>
      </c>
      <c r="C315" s="195">
        <v>0.15</v>
      </c>
      <c r="D315" s="195">
        <f t="shared" ref="D315:D317" si="27">(C315*D313)/C313</f>
        <v>1.5</v>
      </c>
      <c r="E315" s="196"/>
      <c r="F315" s="165" t="s">
        <v>366</v>
      </c>
      <c r="G315" s="47"/>
      <c r="H315" s="787"/>
      <c r="I315" s="1"/>
      <c r="J315" s="1"/>
      <c r="K315" s="1"/>
      <c r="L315" s="1"/>
      <c r="M315" s="1"/>
    </row>
    <row r="316" ht="14.25" customHeight="1">
      <c r="A316" s="1"/>
      <c r="B316" s="262" t="s">
        <v>735</v>
      </c>
      <c r="C316" s="791">
        <v>0.5</v>
      </c>
      <c r="D316" s="195">
        <f t="shared" si="27"/>
        <v>5</v>
      </c>
      <c r="E316" s="280"/>
      <c r="F316" s="793" t="s">
        <v>741</v>
      </c>
      <c r="G316" s="47"/>
      <c r="H316" s="787"/>
      <c r="I316" s="1"/>
      <c r="J316" s="1"/>
      <c r="K316" s="1"/>
      <c r="L316" s="1"/>
      <c r="M316" s="1"/>
    </row>
    <row r="317" ht="14.25" customHeight="1">
      <c r="A317" s="1"/>
      <c r="B317" s="93" t="s">
        <v>744</v>
      </c>
      <c r="C317" s="195">
        <v>0.2</v>
      </c>
      <c r="D317" s="195">
        <f t="shared" si="27"/>
        <v>2</v>
      </c>
      <c r="E317" s="196"/>
      <c r="F317" s="165" t="s">
        <v>366</v>
      </c>
      <c r="G317" s="47"/>
      <c r="H317" s="787"/>
      <c r="I317" s="1"/>
      <c r="J317" s="1"/>
      <c r="K317" s="1"/>
      <c r="L317" s="1"/>
      <c r="M317" s="1"/>
    </row>
    <row r="318" ht="14.25" customHeight="1">
      <c r="A318" s="1"/>
      <c r="B318" s="93" t="s">
        <v>746</v>
      </c>
      <c r="C318" s="195">
        <v>0.1</v>
      </c>
      <c r="D318" s="195">
        <f t="shared" ref="D318:D320" si="28">(C318*D315)/C315</f>
        <v>1</v>
      </c>
      <c r="E318" s="196"/>
      <c r="F318" s="165" t="s">
        <v>366</v>
      </c>
      <c r="G318" s="47"/>
      <c r="H318" s="787"/>
      <c r="I318" s="1"/>
      <c r="J318" s="1"/>
      <c r="K318" s="1"/>
      <c r="L318" s="1"/>
      <c r="M318" s="1"/>
    </row>
    <row r="319" ht="14.25" customHeight="1">
      <c r="A319" s="1"/>
      <c r="B319" s="93" t="s">
        <v>749</v>
      </c>
      <c r="C319" s="195">
        <v>0.1</v>
      </c>
      <c r="D319" s="195">
        <f t="shared" si="28"/>
        <v>1</v>
      </c>
      <c r="E319" s="196"/>
      <c r="F319" s="165" t="s">
        <v>366</v>
      </c>
      <c r="G319" s="47"/>
      <c r="H319" s="787"/>
      <c r="I319" s="1"/>
      <c r="J319" s="1"/>
      <c r="K319" s="1"/>
      <c r="L319" s="1"/>
      <c r="M319" s="1"/>
    </row>
    <row r="320" ht="14.25" customHeight="1">
      <c r="A320" s="1"/>
      <c r="B320" s="93" t="s">
        <v>750</v>
      </c>
      <c r="C320" s="195">
        <v>0.15</v>
      </c>
      <c r="D320" s="195">
        <f t="shared" si="28"/>
        <v>1.5</v>
      </c>
      <c r="E320" s="196"/>
      <c r="F320" s="165" t="s">
        <v>5</v>
      </c>
      <c r="G320" s="47"/>
      <c r="H320" s="787"/>
      <c r="I320" s="1"/>
      <c r="J320" s="1"/>
      <c r="K320" s="1"/>
      <c r="L320" s="1"/>
      <c r="M320" s="1"/>
    </row>
    <row r="321" ht="14.25" customHeight="1">
      <c r="A321" s="1"/>
      <c r="B321" s="105" t="s">
        <v>252</v>
      </c>
      <c r="C321" s="200">
        <v>15.0</v>
      </c>
      <c r="D321" s="200">
        <f>(C321*D320)/C320</f>
        <v>150</v>
      </c>
      <c r="E321" s="202"/>
      <c r="F321" s="172" t="s">
        <v>18</v>
      </c>
      <c r="G321" s="76"/>
      <c r="H321" s="787"/>
      <c r="I321" s="1"/>
      <c r="J321" s="1"/>
      <c r="K321" s="1"/>
      <c r="L321" s="1"/>
      <c r="M321" s="1"/>
    </row>
    <row r="322" ht="14.25" customHeight="1">
      <c r="A322" s="1"/>
      <c r="B322" s="795" t="s">
        <v>120</v>
      </c>
      <c r="C322" s="796">
        <v>43554.0</v>
      </c>
      <c r="D322" s="107"/>
      <c r="E322" s="107"/>
      <c r="F322" s="108"/>
      <c r="G322" s="1"/>
      <c r="H322" s="1"/>
      <c r="I322" s="1"/>
      <c r="J322" s="1"/>
      <c r="K322" s="1"/>
      <c r="L322" s="1"/>
      <c r="M322" s="1"/>
    </row>
    <row r="323" ht="14.25" customHeight="1">
      <c r="A323" s="1"/>
      <c r="B323" s="795" t="s">
        <v>50</v>
      </c>
      <c r="C323" s="796"/>
      <c r="D323" s="107"/>
      <c r="E323" s="107"/>
      <c r="F323" s="108"/>
      <c r="G323" s="1"/>
      <c r="H323" s="1"/>
      <c r="I323" s="1"/>
      <c r="J323" s="1"/>
      <c r="K323" s="1"/>
      <c r="L323" s="1"/>
      <c r="M323" s="1"/>
    </row>
    <row r="324" ht="14.25" customHeight="1">
      <c r="A324" s="1"/>
      <c r="B324" s="83" t="s">
        <v>42</v>
      </c>
      <c r="C324" s="107"/>
      <c r="D324" s="107"/>
      <c r="E324" s="107"/>
      <c r="F324" s="108"/>
      <c r="G324" s="1"/>
      <c r="H324" s="1"/>
      <c r="I324" s="1"/>
      <c r="J324" s="1"/>
      <c r="K324" s="1"/>
      <c r="L324" s="1"/>
      <c r="M324" s="1"/>
    </row>
    <row r="325" ht="14.25" customHeight="1">
      <c r="A325" s="1"/>
      <c r="B325" s="1"/>
      <c r="C325" s="107"/>
      <c r="D325" s="107"/>
      <c r="E325" s="107"/>
      <c r="F325" s="108"/>
      <c r="G325" s="1"/>
      <c r="H325" s="1"/>
      <c r="I325" s="1"/>
      <c r="J325" s="1"/>
      <c r="K325" s="1"/>
      <c r="L325" s="1"/>
      <c r="M325" s="1"/>
    </row>
    <row r="326" ht="14.25" customHeight="1">
      <c r="A326" s="1"/>
      <c r="B326" s="1"/>
      <c r="C326" s="107"/>
      <c r="D326" s="107"/>
      <c r="E326" s="107"/>
      <c r="F326" s="108"/>
      <c r="G326" s="1"/>
      <c r="H326" s="1"/>
      <c r="I326" s="1"/>
      <c r="J326" s="1"/>
      <c r="K326" s="1"/>
      <c r="L326" s="1"/>
      <c r="M326" s="1"/>
    </row>
    <row r="327" ht="14.25" customHeight="1">
      <c r="A327" s="1"/>
      <c r="B327" s="1"/>
      <c r="C327" s="107"/>
      <c r="D327" s="107"/>
      <c r="E327" s="107"/>
      <c r="F327" s="108"/>
      <c r="G327" s="1"/>
      <c r="H327" s="1"/>
      <c r="I327" s="1"/>
      <c r="J327" s="1"/>
      <c r="K327" s="1"/>
      <c r="L327" s="1"/>
      <c r="M327" s="1"/>
    </row>
    <row r="328" ht="14.25" customHeight="1">
      <c r="A328" s="1"/>
      <c r="B328" s="1"/>
      <c r="C328" s="107"/>
      <c r="D328" s="107"/>
      <c r="E328" s="107"/>
      <c r="F328" s="108"/>
      <c r="G328" s="1"/>
      <c r="H328" s="1"/>
      <c r="I328" s="1"/>
      <c r="J328" s="1"/>
      <c r="K328" s="1"/>
      <c r="L328" s="1"/>
      <c r="M328" s="1"/>
    </row>
    <row r="329" ht="15.0" customHeight="1">
      <c r="A329" s="1"/>
      <c r="B329" s="16" t="s">
        <v>760</v>
      </c>
      <c r="C329" s="18"/>
      <c r="D329" s="18"/>
      <c r="E329" s="18"/>
      <c r="F329" s="19"/>
      <c r="G329" s="1"/>
      <c r="H329" s="1"/>
      <c r="I329" s="1"/>
      <c r="J329" s="16" t="s">
        <v>761</v>
      </c>
      <c r="K329" s="18"/>
      <c r="L329" s="18"/>
      <c r="M329" s="19"/>
    </row>
    <row r="330" ht="14.25" customHeight="1">
      <c r="A330" s="1"/>
      <c r="B330" s="732" t="s">
        <v>1</v>
      </c>
      <c r="C330" s="221">
        <v>100.0</v>
      </c>
      <c r="D330" s="221">
        <v>14.0</v>
      </c>
      <c r="E330" s="222"/>
      <c r="F330" s="733" t="s">
        <v>5</v>
      </c>
      <c r="G330" s="1"/>
      <c r="H330" s="1"/>
      <c r="I330" s="1"/>
      <c r="J330" s="732" t="s">
        <v>1</v>
      </c>
      <c r="K330" s="221">
        <v>100.0</v>
      </c>
      <c r="L330" s="285">
        <v>2.0</v>
      </c>
      <c r="M330" s="733" t="s">
        <v>5</v>
      </c>
    </row>
    <row r="331" ht="14.25" customHeight="1">
      <c r="A331" s="1"/>
      <c r="B331" s="177" t="s">
        <v>699</v>
      </c>
      <c r="C331" s="712">
        <v>7.0</v>
      </c>
      <c r="D331" s="712">
        <f>IF( D330&lt;50, (1+(50-D330)/500)*0.07*D330, 0.08*D330)</f>
        <v>1.05056</v>
      </c>
      <c r="E331" s="713"/>
      <c r="F331" s="774" t="s">
        <v>14</v>
      </c>
      <c r="G331" s="1"/>
      <c r="H331" s="1"/>
      <c r="I331" s="1"/>
      <c r="J331" s="177" t="s">
        <v>764</v>
      </c>
      <c r="K331" s="712">
        <v>8.0</v>
      </c>
      <c r="L331" s="500">
        <f>IF( L330&lt;50, (1+(50-L330)/500)*0.07*L330, 0.08*L330)</f>
        <v>0.15344</v>
      </c>
      <c r="M331" s="204" t="s">
        <v>14</v>
      </c>
    </row>
    <row r="332" ht="14.25" customHeight="1">
      <c r="A332" s="1"/>
      <c r="B332" s="93" t="s">
        <v>632</v>
      </c>
      <c r="C332" s="195">
        <v>2.0</v>
      </c>
      <c r="D332" s="195">
        <f>(C332*D330)/C330</f>
        <v>0.28</v>
      </c>
      <c r="E332" s="196"/>
      <c r="F332" s="165" t="s">
        <v>5</v>
      </c>
      <c r="G332" s="1"/>
      <c r="H332" s="1"/>
      <c r="I332" s="1"/>
      <c r="J332" s="93" t="s">
        <v>632</v>
      </c>
      <c r="K332" s="195">
        <v>2000.0</v>
      </c>
      <c r="L332" s="247">
        <f>(K332*L330)/K330</f>
        <v>40</v>
      </c>
      <c r="M332" s="249" t="s">
        <v>82</v>
      </c>
    </row>
    <row r="333" ht="14.25" customHeight="1">
      <c r="A333" s="1"/>
      <c r="B333" s="93" t="s">
        <v>258</v>
      </c>
      <c r="C333" s="195">
        <v>100.0</v>
      </c>
      <c r="D333" s="195">
        <f t="shared" ref="D333:D334" si="29">(C333*D332)/C332</f>
        <v>14</v>
      </c>
      <c r="E333" s="196"/>
      <c r="F333" s="165" t="s">
        <v>5</v>
      </c>
      <c r="G333" s="1"/>
      <c r="H333" s="1"/>
      <c r="I333" s="1"/>
      <c r="J333" s="93" t="s">
        <v>258</v>
      </c>
      <c r="K333" s="195">
        <v>100.0</v>
      </c>
      <c r="L333" s="247">
        <f t="shared" ref="L333:L334" si="30">(K333*L332)/K332</f>
        <v>2</v>
      </c>
      <c r="M333" s="249" t="s">
        <v>5</v>
      </c>
    </row>
    <row r="334" ht="14.25" customHeight="1">
      <c r="A334" s="1"/>
      <c r="B334" s="458" t="s">
        <v>80</v>
      </c>
      <c r="C334" s="71">
        <v>12.5</v>
      </c>
      <c r="D334" s="780">
        <f t="shared" si="29"/>
        <v>1.75</v>
      </c>
      <c r="E334" s="781"/>
      <c r="F334" s="782" t="s">
        <v>14</v>
      </c>
      <c r="G334" s="1"/>
      <c r="H334" s="1"/>
      <c r="I334" s="1"/>
      <c r="J334" s="93" t="s">
        <v>113</v>
      </c>
      <c r="K334" s="195">
        <v>200.0</v>
      </c>
      <c r="L334" s="247">
        <f t="shared" si="30"/>
        <v>4</v>
      </c>
      <c r="M334" s="249" t="s">
        <v>18</v>
      </c>
    </row>
    <row r="335" ht="14.25" customHeight="1">
      <c r="A335" s="1"/>
      <c r="B335" s="305" t="s">
        <v>120</v>
      </c>
      <c r="C335" s="804"/>
      <c r="D335" s="804">
        <v>43409.0</v>
      </c>
      <c r="E335" s="807"/>
      <c r="F335" s="108"/>
      <c r="G335" s="1"/>
      <c r="H335" s="1"/>
      <c r="I335" s="1"/>
      <c r="J335" s="93" t="s">
        <v>777</v>
      </c>
      <c r="K335" s="195">
        <v>200.0</v>
      </c>
      <c r="L335" s="247">
        <f>(K335*L333)/K333</f>
        <v>4</v>
      </c>
      <c r="M335" s="249" t="s">
        <v>18</v>
      </c>
    </row>
    <row r="336" ht="14.25" customHeight="1">
      <c r="A336" s="1"/>
      <c r="B336" s="305" t="s">
        <v>50</v>
      </c>
      <c r="C336" s="804"/>
      <c r="D336" s="804">
        <v>43528.0</v>
      </c>
      <c r="E336" s="807"/>
      <c r="F336" s="108"/>
      <c r="G336" s="1"/>
      <c r="H336" s="1"/>
      <c r="I336" s="1"/>
      <c r="J336" s="325" t="s">
        <v>636</v>
      </c>
      <c r="K336" s="370">
        <v>8.0</v>
      </c>
      <c r="L336" s="809">
        <f>(K336*L333)/K333</f>
        <v>0.16</v>
      </c>
      <c r="M336" s="338" t="s">
        <v>366</v>
      </c>
    </row>
    <row r="337" ht="14.25" customHeight="1">
      <c r="A337" s="1"/>
      <c r="B337" s="1"/>
      <c r="C337" s="107"/>
      <c r="D337" s="107"/>
      <c r="E337" s="107"/>
      <c r="F337" s="108"/>
      <c r="G337" s="1"/>
      <c r="H337" s="1"/>
      <c r="I337" s="1"/>
      <c r="J337" s="811" t="s">
        <v>49</v>
      </c>
      <c r="K337" s="812">
        <v>43476.0</v>
      </c>
      <c r="L337" s="1"/>
      <c r="M337" s="1"/>
    </row>
    <row r="338" ht="14.25" customHeight="1">
      <c r="A338" s="1"/>
      <c r="B338" s="1"/>
      <c r="C338" s="107"/>
      <c r="D338" s="107"/>
      <c r="E338" s="107"/>
      <c r="F338" s="108"/>
      <c r="G338" s="1"/>
      <c r="H338" s="1"/>
      <c r="I338" s="1"/>
      <c r="J338" s="302" t="s">
        <v>50</v>
      </c>
      <c r="K338" s="260">
        <v>43500.0</v>
      </c>
      <c r="L338" s="1"/>
      <c r="M338" s="1"/>
    </row>
    <row r="339" ht="14.25" customHeight="1">
      <c r="A339" s="1"/>
      <c r="B339" s="1"/>
      <c r="C339" s="107"/>
      <c r="D339" s="107"/>
      <c r="E339" s="107"/>
      <c r="F339" s="108"/>
      <c r="G339" s="1"/>
      <c r="H339" s="1"/>
      <c r="I339" s="1"/>
      <c r="J339" s="1"/>
      <c r="K339" s="107"/>
      <c r="L339" s="1"/>
      <c r="M339" s="1"/>
    </row>
    <row r="340" ht="14.25" customHeight="1">
      <c r="A340" s="1"/>
      <c r="B340" s="1"/>
      <c r="C340" s="107"/>
      <c r="D340" s="107"/>
      <c r="E340" s="107"/>
      <c r="F340" s="108"/>
      <c r="G340" s="1"/>
      <c r="H340" s="1"/>
      <c r="I340" s="1"/>
      <c r="J340" s="1"/>
      <c r="K340" s="1"/>
      <c r="L340" s="1"/>
      <c r="M340" s="1"/>
    </row>
    <row r="341" ht="16.5" customHeight="1">
      <c r="A341" s="1"/>
      <c r="B341" s="4" t="s">
        <v>789</v>
      </c>
      <c r="C341" s="5"/>
      <c r="D341" s="5"/>
      <c r="E341" s="5"/>
      <c r="F341" s="6"/>
      <c r="G341" s="815" t="s">
        <v>791</v>
      </c>
      <c r="H341" s="816"/>
      <c r="I341" s="818" t="s">
        <v>42</v>
      </c>
      <c r="J341" s="85" t="s">
        <v>47</v>
      </c>
      <c r="K341" s="1"/>
      <c r="L341" s="1"/>
      <c r="M341" s="1"/>
    </row>
    <row r="342" ht="14.25" customHeight="1">
      <c r="A342" s="1"/>
      <c r="B342" s="820" t="s">
        <v>1</v>
      </c>
      <c r="C342" s="821">
        <v>2.2</v>
      </c>
      <c r="D342" s="821">
        <v>5.0</v>
      </c>
      <c r="E342" s="822"/>
      <c r="F342" s="823" t="s">
        <v>5</v>
      </c>
      <c r="G342" s="47"/>
      <c r="H342" s="824"/>
      <c r="I342" s="825" t="s">
        <v>800</v>
      </c>
      <c r="J342" s="829" t="s">
        <v>802</v>
      </c>
      <c r="K342" s="1"/>
      <c r="L342" s="1"/>
      <c r="M342" s="1"/>
    </row>
    <row r="343" ht="14.25" customHeight="1">
      <c r="A343" s="1"/>
      <c r="B343" s="707" t="s">
        <v>808</v>
      </c>
      <c r="C343" s="10">
        <v>0.94</v>
      </c>
      <c r="D343" s="10">
        <f t="shared" ref="D343:D349" si="31">(C343*D342)/C342</f>
        <v>2.136363636</v>
      </c>
      <c r="E343" s="710"/>
      <c r="F343" s="832" t="s">
        <v>366</v>
      </c>
      <c r="G343" s="47"/>
      <c r="H343" s="834"/>
      <c r="I343" s="836"/>
      <c r="J343" s="838">
        <f t="shared" ref="J343:J344" si="32">(D343*I343)</f>
        <v>0</v>
      </c>
      <c r="K343" s="1"/>
      <c r="L343" s="1"/>
      <c r="M343" s="1"/>
    </row>
    <row r="344" ht="14.25" customHeight="1">
      <c r="A344" s="1"/>
      <c r="B344" s="22" t="s">
        <v>13</v>
      </c>
      <c r="C344" s="23">
        <v>0.5</v>
      </c>
      <c r="D344" s="23">
        <f t="shared" si="31"/>
        <v>1.136363636</v>
      </c>
      <c r="E344" s="840"/>
      <c r="F344" s="38" t="s">
        <v>14</v>
      </c>
      <c r="G344" s="47"/>
      <c r="H344" s="824"/>
      <c r="I344" s="841"/>
      <c r="J344" s="843">
        <f t="shared" si="32"/>
        <v>0</v>
      </c>
      <c r="K344" s="1"/>
      <c r="L344" s="1"/>
      <c r="M344" s="1"/>
    </row>
    <row r="345" ht="14.25" customHeight="1">
      <c r="A345" s="1"/>
      <c r="B345" s="22" t="s">
        <v>59</v>
      </c>
      <c r="C345" s="23">
        <v>1.0</v>
      </c>
      <c r="D345" s="23">
        <f t="shared" si="31"/>
        <v>2.272727273</v>
      </c>
      <c r="E345" s="840"/>
      <c r="F345" s="38" t="s">
        <v>5</v>
      </c>
      <c r="G345" s="47"/>
      <c r="H345" s="824"/>
      <c r="I345" s="841"/>
      <c r="J345" s="843">
        <f t="shared" ref="J345:J349" si="33">(D346*I345)</f>
        <v>0</v>
      </c>
      <c r="K345" s="1"/>
      <c r="L345" s="1"/>
      <c r="M345" s="1"/>
    </row>
    <row r="346" ht="14.25" customHeight="1">
      <c r="A346" s="1"/>
      <c r="B346" s="22" t="s">
        <v>31</v>
      </c>
      <c r="C346" s="23">
        <v>0.0</v>
      </c>
      <c r="D346" s="23">
        <f t="shared" si="31"/>
        <v>0</v>
      </c>
      <c r="E346" s="840"/>
      <c r="F346" s="38" t="s">
        <v>18</v>
      </c>
      <c r="G346" s="47"/>
      <c r="H346" s="824"/>
      <c r="I346" s="841"/>
      <c r="J346" s="843" t="str">
        <f t="shared" si="33"/>
        <v>#DIV/0!</v>
      </c>
      <c r="K346" s="1"/>
      <c r="L346" s="1"/>
      <c r="M346" s="1"/>
    </row>
    <row r="347" ht="14.25" customHeight="1">
      <c r="A347" s="1"/>
      <c r="B347" s="22" t="s">
        <v>834</v>
      </c>
      <c r="C347" s="23">
        <v>0.0</v>
      </c>
      <c r="D347" s="23" t="str">
        <f t="shared" si="31"/>
        <v>#DIV/0!</v>
      </c>
      <c r="E347" s="840"/>
      <c r="F347" s="38" t="s">
        <v>18</v>
      </c>
      <c r="G347" s="47"/>
      <c r="H347" s="824"/>
      <c r="I347" s="841"/>
      <c r="J347" s="843" t="str">
        <f t="shared" si="33"/>
        <v>#DIV/0!</v>
      </c>
      <c r="K347" s="1"/>
      <c r="L347" s="1"/>
      <c r="M347" s="1"/>
    </row>
    <row r="348" ht="14.25" customHeight="1">
      <c r="A348" s="1"/>
      <c r="B348" s="22" t="s">
        <v>563</v>
      </c>
      <c r="C348" s="23">
        <v>0.0</v>
      </c>
      <c r="D348" s="23" t="str">
        <f t="shared" si="31"/>
        <v>#DIV/0!</v>
      </c>
      <c r="E348" s="840"/>
      <c r="F348" s="38" t="s">
        <v>18</v>
      </c>
      <c r="G348" s="47"/>
      <c r="H348" s="824"/>
      <c r="I348" s="841"/>
      <c r="J348" s="843" t="str">
        <f t="shared" si="33"/>
        <v>#DIV/0!</v>
      </c>
      <c r="K348" s="1"/>
      <c r="L348" s="1"/>
      <c r="M348" s="1"/>
    </row>
    <row r="349" ht="14.25" customHeight="1">
      <c r="A349" s="1"/>
      <c r="B349" s="708" t="s">
        <v>16</v>
      </c>
      <c r="C349" s="709">
        <v>0.0</v>
      </c>
      <c r="D349" s="23" t="str">
        <f t="shared" si="31"/>
        <v>#DIV/0!</v>
      </c>
      <c r="E349" s="846"/>
      <c r="F349" s="457" t="s">
        <v>366</v>
      </c>
      <c r="G349" s="76"/>
      <c r="H349" s="824"/>
      <c r="I349" s="841"/>
      <c r="J349" s="843">
        <f t="shared" si="33"/>
        <v>0</v>
      </c>
      <c r="K349" s="1"/>
      <c r="L349" s="1"/>
      <c r="M349" s="1"/>
    </row>
    <row r="350" ht="17.25" customHeight="1">
      <c r="A350" s="1"/>
      <c r="B350" s="1"/>
      <c r="C350" s="107"/>
      <c r="D350" s="86"/>
      <c r="E350" s="86"/>
      <c r="F350" s="87"/>
      <c r="G350" s="847" t="s">
        <v>842</v>
      </c>
      <c r="H350" s="848"/>
      <c r="I350" s="849"/>
      <c r="J350" s="850" t="str">
        <f>SUM(J343:J348)</f>
        <v>#DIV/0!</v>
      </c>
      <c r="K350" s="1"/>
      <c r="L350" s="1"/>
      <c r="M350" s="1"/>
    </row>
    <row r="351" ht="14.25" customHeight="1">
      <c r="A351" s="1"/>
      <c r="B351" s="1"/>
      <c r="C351" s="107"/>
      <c r="D351" s="86"/>
      <c r="E351" s="86"/>
      <c r="F351" s="87"/>
      <c r="G351" s="851" t="s">
        <v>845</v>
      </c>
      <c r="H351" s="852"/>
      <c r="I351" s="853">
        <v>40.0</v>
      </c>
      <c r="J351" s="855" t="str">
        <f>I351/100*J350</f>
        <v>#DIV/0!</v>
      </c>
      <c r="K351" s="1"/>
      <c r="L351" s="1"/>
      <c r="M351" s="1"/>
    </row>
    <row r="352" ht="14.25" customHeight="1">
      <c r="A352" s="1"/>
      <c r="B352" s="1"/>
      <c r="C352" s="107"/>
      <c r="D352" s="86"/>
      <c r="E352" s="86"/>
      <c r="F352" s="87"/>
      <c r="G352" s="856" t="s">
        <v>852</v>
      </c>
      <c r="H352" s="857"/>
      <c r="I352" s="858"/>
      <c r="J352" s="859" t="str">
        <f>SUM(J350:J351)</f>
        <v>#DIV/0!</v>
      </c>
      <c r="K352" s="1"/>
      <c r="L352" s="1"/>
      <c r="M352" s="1"/>
    </row>
    <row r="353" ht="14.25" customHeight="1">
      <c r="A353" s="1"/>
      <c r="B353" s="88" t="s">
        <v>49</v>
      </c>
      <c r="C353" s="89">
        <v>41689.0</v>
      </c>
      <c r="D353" s="86"/>
      <c r="E353" s="86"/>
      <c r="F353" s="87"/>
      <c r="G353" s="861" t="s">
        <v>860</v>
      </c>
      <c r="H353" s="862"/>
      <c r="I353" s="863"/>
      <c r="J353" s="864" t="str">
        <f>J352/D342</f>
        <v>#DIV/0!</v>
      </c>
      <c r="K353" s="1"/>
      <c r="L353" s="1"/>
      <c r="M353" s="1"/>
    </row>
    <row r="354" ht="14.25" customHeight="1">
      <c r="A354" s="1"/>
      <c r="B354" s="90" t="s">
        <v>50</v>
      </c>
      <c r="C354" s="89">
        <v>41698.0</v>
      </c>
      <c r="D354" s="86"/>
      <c r="E354" s="86"/>
      <c r="F354" s="87"/>
      <c r="G354" s="866" t="s">
        <v>866</v>
      </c>
      <c r="H354" s="867"/>
      <c r="I354" s="868"/>
      <c r="J354" s="871">
        <v>0.2</v>
      </c>
      <c r="K354" s="1"/>
      <c r="L354" s="1"/>
      <c r="M354" s="1"/>
    </row>
    <row r="355" ht="14.25" customHeight="1">
      <c r="A355" s="1"/>
      <c r="B355" s="7"/>
      <c r="C355" s="86"/>
      <c r="D355" s="86"/>
      <c r="E355" s="86"/>
      <c r="F355" s="87"/>
      <c r="G355" s="872" t="s">
        <v>880</v>
      </c>
      <c r="H355" s="874"/>
      <c r="I355" s="875"/>
      <c r="J355" s="876" t="str">
        <f>J354*J353</f>
        <v>#DIV/0!</v>
      </c>
      <c r="K355" s="1"/>
      <c r="L355" s="1"/>
      <c r="M355" s="1"/>
    </row>
    <row r="356" ht="15.0" customHeight="1">
      <c r="A356" s="1"/>
      <c r="B356" s="7"/>
      <c r="C356" s="86"/>
      <c r="D356" s="86"/>
      <c r="E356" s="86"/>
      <c r="F356" s="87"/>
      <c r="G356" s="877" t="s">
        <v>891</v>
      </c>
      <c r="H356" s="878"/>
      <c r="I356" s="879"/>
      <c r="J356" s="882">
        <f>D342/J354</f>
        <v>25</v>
      </c>
      <c r="K356" s="1"/>
      <c r="L356" s="1"/>
      <c r="M356" s="1"/>
    </row>
    <row r="357" ht="14.25" customHeight="1">
      <c r="A357" s="1"/>
      <c r="B357" s="1"/>
      <c r="C357" s="107"/>
      <c r="D357" s="107"/>
      <c r="E357" s="107"/>
      <c r="F357" s="108"/>
      <c r="G357" s="1"/>
      <c r="H357" s="1"/>
      <c r="I357" s="1"/>
      <c r="J357" s="1"/>
      <c r="K357" s="1"/>
      <c r="L357" s="1"/>
      <c r="M357" s="1"/>
    </row>
    <row r="358" ht="14.25" customHeight="1">
      <c r="A358" s="1"/>
      <c r="B358" s="1"/>
      <c r="C358" s="107"/>
      <c r="D358" s="107"/>
      <c r="E358" s="107"/>
      <c r="F358" s="108"/>
      <c r="G358" s="1"/>
      <c r="H358" s="1"/>
      <c r="I358" s="1"/>
      <c r="J358" s="1"/>
      <c r="K358" s="1"/>
      <c r="L358" s="1"/>
      <c r="M358" s="1"/>
    </row>
    <row r="359" ht="14.25" customHeight="1">
      <c r="A359" s="1"/>
      <c r="B359" s="1"/>
      <c r="C359" s="107"/>
      <c r="D359" s="107"/>
      <c r="E359" s="107"/>
      <c r="F359" s="108"/>
      <c r="G359" s="1"/>
      <c r="H359" s="1"/>
      <c r="I359" s="1"/>
      <c r="J359" s="1"/>
      <c r="K359" s="1"/>
      <c r="L359" s="1"/>
      <c r="M359" s="1"/>
    </row>
    <row r="360" ht="14.25" customHeight="1">
      <c r="A360" s="1"/>
      <c r="B360" s="1"/>
      <c r="C360" s="107"/>
      <c r="D360" s="107"/>
      <c r="E360" s="107"/>
      <c r="F360" s="108"/>
      <c r="G360" s="1"/>
      <c r="H360" s="1"/>
      <c r="I360" s="1"/>
      <c r="J360" s="1"/>
      <c r="K360" s="1"/>
      <c r="L360" s="1"/>
      <c r="M360" s="1"/>
    </row>
    <row r="361" ht="14.25" customHeight="1">
      <c r="A361" s="1"/>
      <c r="B361" s="1"/>
      <c r="C361" s="107"/>
      <c r="D361" s="107"/>
      <c r="E361" s="107"/>
      <c r="F361" s="108"/>
      <c r="G361" s="1"/>
      <c r="H361" s="1"/>
      <c r="I361" s="1"/>
      <c r="J361" s="1"/>
      <c r="K361" s="1"/>
      <c r="L361" s="1"/>
      <c r="M361" s="1"/>
    </row>
    <row r="362" ht="14.25" customHeight="1">
      <c r="A362" s="1"/>
      <c r="B362" s="1"/>
      <c r="C362" s="107"/>
      <c r="D362" s="107"/>
      <c r="E362" s="107"/>
      <c r="F362" s="108"/>
      <c r="G362" s="1"/>
      <c r="H362" s="1"/>
      <c r="I362" s="1"/>
      <c r="J362" s="1"/>
      <c r="K362" s="1"/>
      <c r="L362" s="1"/>
      <c r="M362" s="1"/>
    </row>
    <row r="363" ht="14.25" customHeight="1">
      <c r="A363" s="1"/>
      <c r="B363" s="1"/>
      <c r="C363" s="107"/>
      <c r="D363" s="107"/>
      <c r="E363" s="107"/>
      <c r="F363" s="108"/>
      <c r="G363" s="1"/>
      <c r="H363" s="1"/>
      <c r="I363" s="1"/>
      <c r="J363" s="1"/>
      <c r="K363" s="1"/>
      <c r="L363" s="1"/>
      <c r="M363" s="1"/>
    </row>
    <row r="364" ht="14.25" customHeight="1">
      <c r="A364" s="1"/>
      <c r="B364" s="1"/>
      <c r="C364" s="107"/>
      <c r="D364" s="107"/>
      <c r="E364" s="107"/>
      <c r="F364" s="108"/>
      <c r="G364" s="1"/>
      <c r="H364" s="1"/>
      <c r="I364" s="1"/>
      <c r="J364" s="1"/>
      <c r="K364" s="1"/>
      <c r="L364" s="1"/>
      <c r="M364" s="1"/>
    </row>
    <row r="365" ht="14.25" customHeight="1">
      <c r="A365" s="1"/>
      <c r="B365" s="1"/>
      <c r="C365" s="107"/>
      <c r="D365" s="107"/>
      <c r="E365" s="107"/>
      <c r="F365" s="108"/>
      <c r="G365" s="1"/>
      <c r="H365" s="1"/>
      <c r="I365" s="1"/>
      <c r="J365" s="1"/>
      <c r="K365" s="1"/>
      <c r="L365" s="1"/>
      <c r="M365" s="1"/>
    </row>
    <row r="366" ht="14.25" customHeight="1">
      <c r="A366" s="1"/>
      <c r="B366" s="1"/>
      <c r="C366" s="107"/>
      <c r="D366" s="107"/>
      <c r="E366" s="107"/>
      <c r="F366" s="108"/>
      <c r="G366" s="1"/>
      <c r="H366" s="1"/>
      <c r="I366" s="1"/>
      <c r="J366" s="1"/>
      <c r="K366" s="1"/>
      <c r="L366" s="1"/>
      <c r="M366" s="1"/>
    </row>
    <row r="367" ht="14.25" customHeight="1">
      <c r="A367" s="1"/>
      <c r="B367" s="1"/>
      <c r="C367" s="107"/>
      <c r="D367" s="107"/>
      <c r="E367" s="107"/>
      <c r="F367" s="108"/>
      <c r="G367" s="1"/>
      <c r="H367" s="1"/>
      <c r="I367" s="1"/>
      <c r="J367" s="1"/>
      <c r="K367" s="1"/>
      <c r="L367" s="1"/>
      <c r="M367" s="1"/>
    </row>
    <row r="368" ht="14.25" customHeight="1">
      <c r="A368" s="1"/>
      <c r="B368" s="1"/>
      <c r="C368" s="107"/>
      <c r="D368" s="107"/>
      <c r="E368" s="107"/>
      <c r="F368" s="108"/>
      <c r="G368" s="1"/>
      <c r="H368" s="1"/>
      <c r="I368" s="1"/>
      <c r="J368" s="1"/>
      <c r="K368" s="1"/>
      <c r="L368" s="1"/>
      <c r="M368" s="1"/>
    </row>
    <row r="369" ht="14.25" customHeight="1">
      <c r="A369" s="1"/>
      <c r="B369" s="1"/>
      <c r="C369" s="107"/>
      <c r="D369" s="107"/>
      <c r="E369" s="107"/>
      <c r="F369" s="108"/>
      <c r="G369" s="1"/>
      <c r="H369" s="1"/>
      <c r="I369" s="1"/>
      <c r="J369" s="1"/>
      <c r="K369" s="1"/>
      <c r="L369" s="1"/>
      <c r="M369" s="1"/>
    </row>
    <row r="370" ht="14.25" customHeight="1">
      <c r="A370" s="1"/>
      <c r="B370" s="1"/>
      <c r="C370" s="107"/>
      <c r="D370" s="107"/>
      <c r="E370" s="107"/>
      <c r="F370" s="108"/>
      <c r="G370" s="1"/>
      <c r="H370" s="1"/>
      <c r="I370" s="1"/>
      <c r="J370" s="1"/>
      <c r="K370" s="1"/>
      <c r="L370" s="1"/>
      <c r="M370" s="1"/>
    </row>
    <row r="371" ht="15.0" customHeight="1">
      <c r="A371" s="1"/>
      <c r="B371" s="1"/>
      <c r="C371" s="107"/>
      <c r="D371" s="107"/>
      <c r="E371" s="107"/>
      <c r="F371" s="108"/>
      <c r="G371" s="1"/>
      <c r="H371" s="1"/>
      <c r="I371" s="1"/>
      <c r="J371" s="1"/>
      <c r="K371" s="1"/>
      <c r="L371" s="1"/>
      <c r="M371" s="1"/>
    </row>
    <row r="372" ht="14.25" customHeight="1">
      <c r="A372" s="1"/>
      <c r="B372" s="1"/>
      <c r="C372" s="107"/>
      <c r="D372" s="107"/>
      <c r="E372" s="107"/>
      <c r="F372" s="108"/>
      <c r="G372" s="1"/>
      <c r="H372" s="1"/>
      <c r="I372" s="1"/>
      <c r="J372" s="1"/>
      <c r="K372" s="1"/>
      <c r="L372" s="1"/>
      <c r="M372" s="1"/>
    </row>
    <row r="373" ht="14.25" customHeight="1">
      <c r="A373" s="1"/>
      <c r="B373" s="1"/>
      <c r="C373" s="107"/>
      <c r="D373" s="107"/>
      <c r="E373" s="107"/>
      <c r="F373" s="108"/>
      <c r="G373" s="1"/>
      <c r="H373" s="1"/>
      <c r="I373" s="1"/>
      <c r="J373" s="1"/>
      <c r="K373" s="1"/>
      <c r="L373" s="1"/>
      <c r="M373" s="1"/>
    </row>
    <row r="374" ht="14.25" customHeight="1">
      <c r="A374" s="1"/>
      <c r="B374" s="1"/>
      <c r="C374" s="107"/>
      <c r="D374" s="107"/>
      <c r="E374" s="107"/>
      <c r="F374" s="108"/>
      <c r="G374" s="1"/>
      <c r="H374" s="1"/>
      <c r="I374" s="1"/>
      <c r="J374" s="1"/>
      <c r="K374" s="1"/>
      <c r="L374" s="1"/>
      <c r="M374" s="1"/>
    </row>
    <row r="375" ht="14.25" customHeight="1">
      <c r="A375" s="1"/>
      <c r="B375" s="1"/>
      <c r="C375" s="107"/>
      <c r="D375" s="107"/>
      <c r="E375" s="107"/>
      <c r="F375" s="108"/>
      <c r="G375" s="1"/>
      <c r="H375" s="1"/>
      <c r="I375" s="1"/>
      <c r="J375" s="1"/>
      <c r="K375" s="1"/>
      <c r="L375" s="1"/>
      <c r="M375" s="1"/>
    </row>
    <row r="376" ht="14.25" customHeight="1">
      <c r="A376" s="1"/>
      <c r="B376" s="1"/>
      <c r="C376" s="107"/>
      <c r="D376" s="107"/>
      <c r="E376" s="107"/>
      <c r="F376" s="108"/>
      <c r="G376" s="1"/>
      <c r="H376" s="1"/>
      <c r="I376" s="1"/>
      <c r="J376" s="1"/>
      <c r="K376" s="1"/>
      <c r="L376" s="1"/>
      <c r="M376" s="1"/>
    </row>
    <row r="377" ht="14.25" customHeight="1">
      <c r="A377" s="1"/>
      <c r="B377" s="1"/>
      <c r="C377" s="107"/>
      <c r="D377" s="107"/>
      <c r="E377" s="107"/>
      <c r="F377" s="108"/>
      <c r="G377" s="1"/>
      <c r="H377" s="1"/>
      <c r="I377" s="1"/>
      <c r="J377" s="1"/>
      <c r="K377" s="1"/>
      <c r="L377" s="1"/>
      <c r="M377" s="1"/>
    </row>
    <row r="378" ht="14.25" customHeight="1">
      <c r="A378" s="1"/>
      <c r="B378" s="1"/>
      <c r="C378" s="107"/>
      <c r="D378" s="107"/>
      <c r="E378" s="107"/>
      <c r="F378" s="108"/>
      <c r="G378" s="1"/>
      <c r="H378" s="1"/>
      <c r="I378" s="1"/>
      <c r="J378" s="1"/>
      <c r="K378" s="1"/>
      <c r="L378" s="1"/>
      <c r="M378" s="1"/>
    </row>
    <row r="379" ht="15.0" customHeight="1">
      <c r="A379" s="1"/>
      <c r="B379" s="1"/>
      <c r="C379" s="107"/>
      <c r="D379" s="107"/>
      <c r="E379" s="107"/>
      <c r="F379" s="108"/>
      <c r="G379" s="1"/>
      <c r="H379" s="1"/>
      <c r="I379" s="1"/>
      <c r="J379" s="1"/>
      <c r="K379" s="1"/>
      <c r="L379" s="1"/>
      <c r="M379" s="1"/>
    </row>
    <row r="380" ht="14.25" customHeight="1">
      <c r="A380" s="1"/>
      <c r="B380" s="1"/>
      <c r="C380" s="107"/>
      <c r="D380" s="107"/>
      <c r="E380" s="107"/>
      <c r="F380" s="108"/>
      <c r="G380" s="1"/>
      <c r="H380" s="1"/>
      <c r="I380" s="1"/>
      <c r="J380" s="1"/>
      <c r="K380" s="1"/>
      <c r="L380" s="1"/>
      <c r="M380" s="1"/>
    </row>
    <row r="381" ht="14.25" customHeight="1">
      <c r="A381" s="1"/>
      <c r="B381" s="1"/>
      <c r="C381" s="107"/>
      <c r="D381" s="107"/>
      <c r="E381" s="107"/>
      <c r="F381" s="108"/>
      <c r="G381" s="1"/>
      <c r="H381" s="1"/>
      <c r="I381" s="1"/>
      <c r="J381" s="1"/>
      <c r="K381" s="1"/>
      <c r="L381" s="1"/>
      <c r="M381" s="1"/>
    </row>
    <row r="382" ht="14.25" customHeight="1">
      <c r="A382" s="1"/>
      <c r="B382" s="1"/>
      <c r="C382" s="107"/>
      <c r="D382" s="107"/>
      <c r="E382" s="107"/>
      <c r="F382" s="108"/>
      <c r="G382" s="1"/>
      <c r="H382" s="1"/>
      <c r="I382" s="1"/>
      <c r="J382" s="1"/>
      <c r="K382" s="1"/>
      <c r="L382" s="1"/>
      <c r="M382" s="1"/>
    </row>
    <row r="383" ht="14.25" customHeight="1">
      <c r="A383" s="1"/>
      <c r="B383" s="1"/>
      <c r="C383" s="107"/>
      <c r="D383" s="107"/>
      <c r="E383" s="107"/>
      <c r="F383" s="108"/>
      <c r="G383" s="1"/>
      <c r="H383" s="1"/>
      <c r="I383" s="1"/>
      <c r="J383" s="1"/>
      <c r="K383" s="1"/>
      <c r="L383" s="1"/>
      <c r="M383" s="1"/>
    </row>
    <row r="384" ht="14.25" customHeight="1">
      <c r="A384" s="1"/>
      <c r="B384" s="1"/>
      <c r="C384" s="107"/>
      <c r="D384" s="107"/>
      <c r="E384" s="107"/>
      <c r="F384" s="108"/>
      <c r="G384" s="1"/>
      <c r="H384" s="1"/>
      <c r="I384" s="1"/>
      <c r="J384" s="1"/>
      <c r="K384" s="1"/>
      <c r="L384" s="1"/>
      <c r="M384" s="1"/>
    </row>
    <row r="385" ht="14.25" customHeight="1">
      <c r="A385" s="1"/>
      <c r="B385" s="1"/>
      <c r="C385" s="107"/>
      <c r="D385" s="107"/>
      <c r="E385" s="107"/>
      <c r="F385" s="108"/>
      <c r="G385" s="1"/>
      <c r="H385" s="1"/>
      <c r="I385" s="1"/>
      <c r="J385" s="1"/>
      <c r="K385" s="1"/>
      <c r="L385" s="1"/>
      <c r="M385" s="1"/>
    </row>
    <row r="386" ht="14.25" customHeight="1">
      <c r="A386" s="1"/>
      <c r="B386" s="1"/>
      <c r="C386" s="107"/>
      <c r="D386" s="107"/>
      <c r="E386" s="107"/>
      <c r="F386" s="108"/>
      <c r="G386" s="1"/>
      <c r="H386" s="1"/>
      <c r="I386" s="1"/>
      <c r="J386" s="1"/>
      <c r="K386" s="1"/>
      <c r="L386" s="1"/>
      <c r="M386" s="1"/>
    </row>
    <row r="387" ht="14.25" customHeight="1">
      <c r="A387" s="1"/>
      <c r="B387" s="1"/>
      <c r="C387" s="107"/>
      <c r="D387" s="107"/>
      <c r="E387" s="107"/>
      <c r="F387" s="108"/>
      <c r="G387" s="1"/>
      <c r="H387" s="1"/>
      <c r="I387" s="1"/>
      <c r="J387" s="1"/>
      <c r="K387" s="1"/>
      <c r="L387" s="1"/>
      <c r="M387" s="1"/>
    </row>
    <row r="388" ht="14.25" customHeight="1">
      <c r="A388" s="1"/>
      <c r="B388" s="1"/>
      <c r="C388" s="107"/>
      <c r="D388" s="107"/>
      <c r="E388" s="107"/>
      <c r="F388" s="108"/>
      <c r="G388" s="1"/>
      <c r="H388" s="1"/>
      <c r="I388" s="1"/>
      <c r="J388" s="1"/>
      <c r="K388" s="1"/>
      <c r="L388" s="1"/>
      <c r="M388" s="1"/>
    </row>
    <row r="389" ht="14.25" customHeight="1">
      <c r="A389" s="1"/>
      <c r="B389" s="1"/>
      <c r="C389" s="107"/>
      <c r="D389" s="107"/>
      <c r="E389" s="107"/>
      <c r="F389" s="108"/>
      <c r="G389" s="1"/>
      <c r="H389" s="1"/>
      <c r="I389" s="1"/>
      <c r="J389" s="1"/>
      <c r="K389" s="1"/>
      <c r="L389" s="1"/>
      <c r="M389" s="1"/>
    </row>
    <row r="390" ht="14.25" customHeight="1">
      <c r="A390" s="1"/>
      <c r="B390" s="1"/>
      <c r="C390" s="107"/>
      <c r="D390" s="107"/>
      <c r="E390" s="107"/>
      <c r="F390" s="108"/>
      <c r="G390" s="1"/>
      <c r="H390" s="1"/>
      <c r="I390" s="1"/>
      <c r="J390" s="1"/>
      <c r="K390" s="1"/>
      <c r="L390" s="1"/>
      <c r="M390" s="1"/>
    </row>
    <row r="391" ht="14.25" customHeight="1">
      <c r="A391" s="1"/>
      <c r="B391" s="1"/>
      <c r="C391" s="107"/>
      <c r="D391" s="107"/>
      <c r="E391" s="107"/>
      <c r="F391" s="108"/>
      <c r="G391" s="1"/>
      <c r="H391" s="1"/>
      <c r="I391" s="1"/>
      <c r="J391" s="1"/>
      <c r="K391" s="1"/>
      <c r="L391" s="1"/>
      <c r="M391" s="1"/>
    </row>
    <row r="392" ht="14.25" customHeight="1">
      <c r="A392" s="1"/>
      <c r="B392" s="1"/>
      <c r="C392" s="107"/>
      <c r="D392" s="107"/>
      <c r="E392" s="107"/>
      <c r="F392" s="108"/>
      <c r="G392" s="1"/>
      <c r="H392" s="1"/>
      <c r="I392" s="1"/>
      <c r="J392" s="1"/>
      <c r="K392" s="1"/>
      <c r="L392" s="1"/>
      <c r="M392" s="1"/>
    </row>
    <row r="393" ht="14.25" customHeight="1">
      <c r="A393" s="1"/>
      <c r="B393" s="1"/>
      <c r="C393" s="107"/>
      <c r="D393" s="107"/>
      <c r="E393" s="107"/>
      <c r="F393" s="108"/>
      <c r="G393" s="1"/>
      <c r="H393" s="1"/>
      <c r="I393" s="1"/>
      <c r="J393" s="1"/>
      <c r="K393" s="1"/>
      <c r="L393" s="1"/>
      <c r="M393" s="1"/>
    </row>
    <row r="394" ht="14.25" customHeight="1">
      <c r="A394" s="1"/>
      <c r="B394" s="1"/>
      <c r="C394" s="107"/>
      <c r="D394" s="107"/>
      <c r="E394" s="107"/>
      <c r="F394" s="108"/>
      <c r="G394" s="1"/>
      <c r="H394" s="1"/>
      <c r="I394" s="1"/>
      <c r="J394" s="1"/>
      <c r="K394" s="1"/>
      <c r="L394" s="1"/>
      <c r="M394" s="1"/>
    </row>
    <row r="395" ht="14.25" customHeight="1">
      <c r="A395" s="1"/>
      <c r="B395" s="1"/>
      <c r="C395" s="107"/>
      <c r="D395" s="107"/>
      <c r="E395" s="107"/>
      <c r="F395" s="108"/>
      <c r="G395" s="1"/>
      <c r="H395" s="1"/>
      <c r="I395" s="1"/>
      <c r="J395" s="1"/>
      <c r="K395" s="1"/>
      <c r="L395" s="1"/>
      <c r="M395" s="1"/>
    </row>
    <row r="396" ht="14.25" customHeight="1">
      <c r="A396" s="1"/>
      <c r="B396" s="1"/>
      <c r="C396" s="107"/>
      <c r="D396" s="107"/>
      <c r="E396" s="107"/>
      <c r="F396" s="108"/>
      <c r="G396" s="1"/>
      <c r="H396" s="1"/>
      <c r="I396" s="1"/>
      <c r="J396" s="1"/>
      <c r="K396" s="1"/>
      <c r="L396" s="1"/>
      <c r="M396" s="1"/>
    </row>
    <row r="397" ht="14.25" customHeight="1">
      <c r="A397" s="1"/>
      <c r="B397" s="1"/>
      <c r="C397" s="107"/>
      <c r="D397" s="107"/>
      <c r="E397" s="107"/>
      <c r="F397" s="108"/>
      <c r="G397" s="1"/>
      <c r="H397" s="1"/>
      <c r="I397" s="1"/>
      <c r="J397" s="1"/>
      <c r="K397" s="1"/>
      <c r="L397" s="1"/>
      <c r="M397" s="1"/>
    </row>
    <row r="398" ht="14.25" customHeight="1">
      <c r="A398" s="1"/>
      <c r="B398" s="1"/>
      <c r="C398" s="107"/>
      <c r="D398" s="107"/>
      <c r="E398" s="107"/>
      <c r="F398" s="108"/>
      <c r="G398" s="1"/>
      <c r="H398" s="1"/>
      <c r="I398" s="1"/>
      <c r="J398" s="1"/>
      <c r="K398" s="1"/>
      <c r="L398" s="1"/>
      <c r="M398" s="1"/>
    </row>
    <row r="399" ht="14.25" customHeight="1">
      <c r="A399" s="1"/>
      <c r="B399" s="1"/>
      <c r="C399" s="107"/>
      <c r="D399" s="107"/>
      <c r="E399" s="107"/>
      <c r="F399" s="108"/>
      <c r="G399" s="1"/>
      <c r="H399" s="1"/>
      <c r="I399" s="1"/>
      <c r="J399" s="1"/>
      <c r="K399" s="1"/>
      <c r="L399" s="1"/>
      <c r="M399" s="1"/>
    </row>
    <row r="400" ht="14.25" customHeight="1">
      <c r="A400" s="1"/>
      <c r="B400" s="1"/>
      <c r="C400" s="107"/>
      <c r="D400" s="107"/>
      <c r="E400" s="107"/>
      <c r="F400" s="108"/>
      <c r="G400" s="1"/>
      <c r="H400" s="1"/>
      <c r="I400" s="1"/>
      <c r="J400" s="1"/>
      <c r="K400" s="1"/>
      <c r="L400" s="1"/>
      <c r="M400" s="1"/>
    </row>
    <row r="401" ht="14.25" customHeight="1">
      <c r="A401" s="1"/>
      <c r="B401" s="1"/>
      <c r="C401" s="107"/>
      <c r="D401" s="107"/>
      <c r="E401" s="107"/>
      <c r="F401" s="108"/>
      <c r="G401" s="1"/>
      <c r="H401" s="1"/>
      <c r="I401" s="1"/>
      <c r="J401" s="1"/>
      <c r="K401" s="1"/>
      <c r="L401" s="1"/>
      <c r="M401" s="1"/>
    </row>
    <row r="402" ht="14.25" customHeight="1">
      <c r="A402" s="1"/>
      <c r="B402" s="1"/>
      <c r="C402" s="107"/>
      <c r="D402" s="107"/>
      <c r="E402" s="107"/>
      <c r="F402" s="108"/>
      <c r="G402" s="1"/>
      <c r="H402" s="1"/>
      <c r="I402" s="1"/>
      <c r="J402" s="1"/>
      <c r="K402" s="1"/>
      <c r="L402" s="1"/>
      <c r="M402" s="1"/>
    </row>
    <row r="403" ht="14.25" customHeight="1">
      <c r="A403" s="1"/>
      <c r="B403" s="1"/>
      <c r="C403" s="107"/>
      <c r="D403" s="107"/>
      <c r="E403" s="107"/>
      <c r="F403" s="108"/>
      <c r="G403" s="1"/>
      <c r="H403" s="1"/>
      <c r="I403" s="1"/>
      <c r="J403" s="1"/>
      <c r="K403" s="1"/>
      <c r="L403" s="1"/>
      <c r="M403" s="1"/>
    </row>
    <row r="404" ht="14.25" customHeight="1">
      <c r="A404" s="1"/>
      <c r="B404" s="1"/>
      <c r="C404" s="107"/>
      <c r="D404" s="107"/>
      <c r="E404" s="107"/>
      <c r="F404" s="108"/>
      <c r="G404" s="1"/>
      <c r="H404" s="1"/>
      <c r="I404" s="1"/>
      <c r="J404" s="1"/>
      <c r="K404" s="1"/>
      <c r="L404" s="1"/>
      <c r="M404" s="1"/>
    </row>
    <row r="405" ht="14.25" customHeight="1">
      <c r="A405" s="1"/>
      <c r="B405" s="1"/>
      <c r="C405" s="107"/>
      <c r="D405" s="107"/>
      <c r="E405" s="107"/>
      <c r="F405" s="108"/>
      <c r="G405" s="1"/>
      <c r="H405" s="1"/>
      <c r="I405" s="1"/>
      <c r="J405" s="1"/>
      <c r="K405" s="1"/>
      <c r="L405" s="1"/>
      <c r="M405" s="1"/>
    </row>
    <row r="406" ht="14.25" customHeight="1">
      <c r="A406" s="1"/>
      <c r="B406" s="1"/>
      <c r="C406" s="107"/>
      <c r="D406" s="107"/>
      <c r="E406" s="107"/>
      <c r="F406" s="108"/>
      <c r="G406" s="1"/>
      <c r="H406" s="1"/>
      <c r="I406" s="1"/>
      <c r="J406" s="1"/>
      <c r="K406" s="1"/>
      <c r="L406" s="1"/>
      <c r="M406" s="1"/>
    </row>
    <row r="407" ht="14.25" customHeight="1">
      <c r="A407" s="1"/>
      <c r="B407" s="1"/>
      <c r="C407" s="107"/>
      <c r="D407" s="107"/>
      <c r="E407" s="107"/>
      <c r="F407" s="108"/>
      <c r="G407" s="1"/>
      <c r="H407" s="1"/>
      <c r="I407" s="1"/>
      <c r="J407" s="1"/>
      <c r="K407" s="1"/>
      <c r="L407" s="1"/>
      <c r="M407" s="1"/>
    </row>
    <row r="408" ht="14.25" customHeight="1">
      <c r="A408" s="1"/>
      <c r="B408" s="1"/>
      <c r="C408" s="107"/>
      <c r="D408" s="107"/>
      <c r="E408" s="107"/>
      <c r="F408" s="108"/>
      <c r="G408" s="1"/>
      <c r="H408" s="1"/>
      <c r="I408" s="1"/>
      <c r="J408" s="1"/>
      <c r="K408" s="1"/>
      <c r="L408" s="1"/>
      <c r="M408" s="1"/>
    </row>
    <row r="409" ht="14.25" customHeight="1">
      <c r="A409" s="1"/>
      <c r="B409" s="1"/>
      <c r="C409" s="107"/>
      <c r="D409" s="107"/>
      <c r="E409" s="107"/>
      <c r="F409" s="108"/>
      <c r="G409" s="1"/>
      <c r="H409" s="1"/>
      <c r="I409" s="1"/>
      <c r="J409" s="1"/>
      <c r="K409" s="1"/>
      <c r="L409" s="1"/>
      <c r="M409" s="1"/>
    </row>
    <row r="410" ht="14.25" customHeight="1">
      <c r="A410" s="1"/>
      <c r="B410" s="1"/>
      <c r="C410" s="107"/>
      <c r="D410" s="107"/>
      <c r="E410" s="107"/>
      <c r="F410" s="108"/>
      <c r="G410" s="1"/>
      <c r="H410" s="1"/>
      <c r="I410" s="1"/>
      <c r="J410" s="1"/>
      <c r="K410" s="1"/>
      <c r="L410" s="1"/>
      <c r="M410" s="1"/>
    </row>
    <row r="411" ht="14.25" customHeight="1">
      <c r="A411" s="1"/>
      <c r="B411" s="1"/>
      <c r="C411" s="107"/>
      <c r="D411" s="107"/>
      <c r="E411" s="107"/>
      <c r="F411" s="108"/>
      <c r="G411" s="1"/>
      <c r="H411" s="1"/>
      <c r="I411" s="1"/>
      <c r="J411" s="1"/>
      <c r="K411" s="1"/>
      <c r="L411" s="1"/>
      <c r="M411" s="1"/>
    </row>
    <row r="412" ht="14.25" customHeight="1">
      <c r="A412" s="1"/>
      <c r="B412" s="1"/>
      <c r="C412" s="107"/>
      <c r="D412" s="107"/>
      <c r="E412" s="107"/>
      <c r="F412" s="108"/>
      <c r="G412" s="1"/>
      <c r="H412" s="1"/>
      <c r="I412" s="1"/>
      <c r="J412" s="1"/>
      <c r="K412" s="1"/>
      <c r="L412" s="1"/>
      <c r="M412" s="1"/>
    </row>
    <row r="413" ht="14.25" customHeight="1">
      <c r="A413" s="1"/>
      <c r="B413" s="1"/>
      <c r="C413" s="107"/>
      <c r="D413" s="107"/>
      <c r="E413" s="107"/>
      <c r="F413" s="108"/>
      <c r="G413" s="1"/>
      <c r="H413" s="1"/>
      <c r="I413" s="1"/>
      <c r="J413" s="1"/>
      <c r="K413" s="1"/>
      <c r="L413" s="1"/>
      <c r="M413" s="1"/>
    </row>
    <row r="414" ht="14.25" customHeight="1">
      <c r="A414" s="1"/>
      <c r="B414" s="1"/>
      <c r="C414" s="107"/>
      <c r="D414" s="107"/>
      <c r="E414" s="107"/>
      <c r="F414" s="108"/>
      <c r="G414" s="1"/>
      <c r="H414" s="1"/>
      <c r="I414" s="1"/>
      <c r="J414" s="1"/>
      <c r="K414" s="1"/>
      <c r="L414" s="1"/>
      <c r="M414" s="1"/>
    </row>
    <row r="415" ht="14.25" customHeight="1">
      <c r="A415" s="1"/>
      <c r="B415" s="1"/>
      <c r="C415" s="107"/>
      <c r="D415" s="107"/>
      <c r="E415" s="107"/>
      <c r="F415" s="108"/>
      <c r="G415" s="1"/>
      <c r="H415" s="1"/>
      <c r="I415" s="1"/>
      <c r="J415" s="1"/>
      <c r="K415" s="1"/>
      <c r="L415" s="1"/>
      <c r="M415" s="1"/>
    </row>
    <row r="416" ht="14.25" customHeight="1">
      <c r="A416" s="1"/>
      <c r="B416" s="1"/>
      <c r="C416" s="107"/>
      <c r="D416" s="107"/>
      <c r="E416" s="107"/>
      <c r="F416" s="108"/>
      <c r="G416" s="1"/>
      <c r="H416" s="1"/>
      <c r="I416" s="1"/>
      <c r="J416" s="1"/>
      <c r="K416" s="1"/>
      <c r="L416" s="1"/>
      <c r="M416" s="1"/>
    </row>
    <row r="417" ht="14.25" customHeight="1">
      <c r="A417" s="1"/>
      <c r="B417" s="1"/>
      <c r="C417" s="107"/>
      <c r="D417" s="107"/>
      <c r="E417" s="107"/>
      <c r="F417" s="108"/>
      <c r="G417" s="1"/>
      <c r="H417" s="1"/>
      <c r="I417" s="1"/>
      <c r="J417" s="1"/>
      <c r="K417" s="1"/>
      <c r="L417" s="1"/>
      <c r="M417" s="1"/>
    </row>
    <row r="418" ht="14.25" customHeight="1">
      <c r="A418" s="1"/>
      <c r="B418" s="1"/>
      <c r="C418" s="107"/>
      <c r="D418" s="107"/>
      <c r="E418" s="107"/>
      <c r="F418" s="108"/>
      <c r="G418" s="1"/>
      <c r="H418" s="1"/>
      <c r="I418" s="1"/>
      <c r="J418" s="1"/>
      <c r="K418" s="1"/>
      <c r="L418" s="1"/>
      <c r="M418" s="1"/>
    </row>
    <row r="419" ht="14.25" customHeight="1">
      <c r="A419" s="1"/>
      <c r="B419" s="1"/>
      <c r="C419" s="107"/>
      <c r="D419" s="107"/>
      <c r="E419" s="107"/>
      <c r="F419" s="108"/>
      <c r="G419" s="1"/>
      <c r="H419" s="1"/>
      <c r="I419" s="1"/>
      <c r="J419" s="1"/>
      <c r="K419" s="1"/>
      <c r="L419" s="1"/>
      <c r="M419" s="1"/>
    </row>
    <row r="420" ht="15.0" customHeight="1">
      <c r="A420" s="1"/>
      <c r="B420" s="1"/>
      <c r="C420" s="107"/>
      <c r="D420" s="107"/>
      <c r="E420" s="107"/>
      <c r="F420" s="108"/>
      <c r="G420" s="1"/>
      <c r="H420" s="1"/>
      <c r="I420" s="1"/>
      <c r="J420" s="1"/>
      <c r="K420" s="1"/>
      <c r="L420" s="1"/>
      <c r="M420" s="1"/>
    </row>
    <row r="421" ht="14.25" customHeight="1">
      <c r="A421" s="1"/>
      <c r="B421" s="1"/>
      <c r="C421" s="107"/>
      <c r="D421" s="107"/>
      <c r="E421" s="107"/>
      <c r="F421" s="108"/>
      <c r="G421" s="1"/>
      <c r="H421" s="1"/>
      <c r="I421" s="1"/>
      <c r="J421" s="1"/>
      <c r="K421" s="1"/>
      <c r="L421" s="1"/>
      <c r="M421" s="1"/>
    </row>
    <row r="422" ht="14.25" customHeight="1">
      <c r="A422" s="1"/>
      <c r="B422" s="1"/>
      <c r="C422" s="107"/>
      <c r="D422" s="107"/>
      <c r="E422" s="107"/>
      <c r="F422" s="108"/>
      <c r="G422" s="1"/>
      <c r="H422" s="1"/>
      <c r="I422" s="1"/>
      <c r="J422" s="1"/>
      <c r="K422" s="1"/>
      <c r="L422" s="1"/>
      <c r="M422" s="1"/>
    </row>
    <row r="423" ht="14.25" customHeight="1">
      <c r="A423" s="1"/>
      <c r="B423" s="1"/>
      <c r="C423" s="107"/>
      <c r="D423" s="107"/>
      <c r="E423" s="107"/>
      <c r="F423" s="108"/>
      <c r="G423" s="1"/>
      <c r="H423" s="1"/>
      <c r="I423" s="1"/>
      <c r="J423" s="1"/>
      <c r="K423" s="1"/>
      <c r="L423" s="1"/>
      <c r="M423" s="1"/>
    </row>
    <row r="424" ht="14.25" customHeight="1">
      <c r="A424" s="1"/>
      <c r="B424" s="1"/>
      <c r="C424" s="107"/>
      <c r="D424" s="107"/>
      <c r="E424" s="107"/>
      <c r="F424" s="108"/>
      <c r="G424" s="1"/>
      <c r="H424" s="1"/>
      <c r="I424" s="1"/>
      <c r="J424" s="1"/>
      <c r="K424" s="1"/>
      <c r="L424" s="1"/>
      <c r="M424" s="1"/>
    </row>
    <row r="425" ht="14.25" customHeight="1">
      <c r="A425" s="1"/>
      <c r="B425" s="1"/>
      <c r="C425" s="107"/>
      <c r="D425" s="107"/>
      <c r="E425" s="107"/>
      <c r="F425" s="108"/>
      <c r="G425" s="1"/>
      <c r="H425" s="1"/>
      <c r="I425" s="1"/>
      <c r="J425" s="1"/>
      <c r="K425" s="1"/>
      <c r="L425" s="1"/>
      <c r="M425" s="1"/>
    </row>
    <row r="426" ht="15.75" customHeight="1">
      <c r="A426" s="1"/>
      <c r="B426" s="1"/>
      <c r="C426" s="107"/>
      <c r="D426" s="107"/>
      <c r="E426" s="107"/>
      <c r="F426" s="108"/>
      <c r="G426" s="1"/>
      <c r="H426" s="1"/>
      <c r="I426" s="1"/>
      <c r="J426" s="1"/>
      <c r="K426" s="1"/>
      <c r="L426" s="1"/>
      <c r="M426" s="1"/>
    </row>
    <row r="427" ht="14.25" customHeight="1">
      <c r="A427" s="1"/>
      <c r="B427" s="1"/>
      <c r="C427" s="107"/>
      <c r="D427" s="107"/>
      <c r="E427" s="107"/>
      <c r="F427" s="108"/>
      <c r="G427" s="1"/>
      <c r="H427" s="1"/>
      <c r="I427" s="1"/>
      <c r="J427" s="1"/>
      <c r="K427" s="1"/>
      <c r="L427" s="1"/>
      <c r="M427" s="1"/>
    </row>
    <row r="428" ht="14.25" customHeight="1">
      <c r="A428" s="1"/>
      <c r="B428" s="1"/>
      <c r="C428" s="107"/>
      <c r="D428" s="107"/>
      <c r="E428" s="107"/>
      <c r="F428" s="108"/>
      <c r="G428" s="1"/>
      <c r="H428" s="1"/>
      <c r="I428" s="1"/>
      <c r="J428" s="1"/>
      <c r="K428" s="1"/>
      <c r="L428" s="1"/>
      <c r="M428" s="1"/>
    </row>
    <row r="429" ht="14.25" customHeight="1">
      <c r="A429" s="1"/>
      <c r="B429" s="1"/>
      <c r="C429" s="107"/>
      <c r="D429" s="107"/>
      <c r="E429" s="107"/>
      <c r="F429" s="108"/>
      <c r="G429" s="1"/>
      <c r="H429" s="1"/>
      <c r="I429" s="1"/>
      <c r="J429" s="1"/>
      <c r="K429" s="1"/>
      <c r="L429" s="1"/>
      <c r="M429" s="1"/>
    </row>
    <row r="430" ht="14.25" customHeight="1">
      <c r="A430" s="1"/>
      <c r="B430" s="1"/>
      <c r="C430" s="107"/>
      <c r="D430" s="107"/>
      <c r="E430" s="107"/>
      <c r="F430" s="108"/>
      <c r="G430" s="1"/>
      <c r="H430" s="1"/>
      <c r="I430" s="1"/>
      <c r="J430" s="1"/>
      <c r="K430" s="1"/>
      <c r="L430" s="1"/>
      <c r="M430" s="1"/>
    </row>
    <row r="431" ht="14.25" customHeight="1">
      <c r="A431" s="1"/>
      <c r="B431" s="1"/>
      <c r="C431" s="107"/>
      <c r="D431" s="107"/>
      <c r="E431" s="107"/>
      <c r="F431" s="108"/>
      <c r="G431" s="1"/>
      <c r="H431" s="1"/>
      <c r="I431" s="1"/>
      <c r="J431" s="1"/>
      <c r="K431" s="1"/>
      <c r="L431" s="1"/>
      <c r="M431" s="1"/>
    </row>
    <row r="432" ht="14.25" customHeight="1">
      <c r="A432" s="1"/>
      <c r="B432" s="1"/>
      <c r="C432" s="107"/>
      <c r="D432" s="107"/>
      <c r="E432" s="107"/>
      <c r="F432" s="108"/>
      <c r="G432" s="1"/>
      <c r="H432" s="1"/>
      <c r="I432" s="1"/>
      <c r="J432" s="1"/>
      <c r="K432" s="1"/>
      <c r="L432" s="1"/>
      <c r="M432" s="1"/>
    </row>
    <row r="433" ht="14.25" customHeight="1">
      <c r="A433" s="1"/>
      <c r="B433" s="1"/>
      <c r="C433" s="107"/>
      <c r="D433" s="107"/>
      <c r="E433" s="107"/>
      <c r="F433" s="108"/>
      <c r="G433" s="1"/>
      <c r="H433" s="1"/>
      <c r="I433" s="1"/>
      <c r="J433" s="1"/>
      <c r="K433" s="1"/>
      <c r="L433" s="1"/>
      <c r="M433" s="1"/>
    </row>
    <row r="434" ht="14.25" customHeight="1">
      <c r="A434" s="1"/>
      <c r="B434" s="1"/>
      <c r="C434" s="107"/>
      <c r="D434" s="107"/>
      <c r="E434" s="107"/>
      <c r="F434" s="108"/>
      <c r="G434" s="1"/>
      <c r="H434" s="1"/>
      <c r="I434" s="1"/>
      <c r="J434" s="1"/>
      <c r="K434" s="1"/>
      <c r="L434" s="1"/>
      <c r="M434" s="1"/>
    </row>
    <row r="435" ht="14.25" customHeight="1">
      <c r="A435" s="1"/>
      <c r="B435" s="1"/>
      <c r="C435" s="107"/>
      <c r="D435" s="107"/>
      <c r="E435" s="107"/>
      <c r="F435" s="108"/>
      <c r="G435" s="1"/>
      <c r="H435" s="1"/>
      <c r="I435" s="1"/>
      <c r="J435" s="1"/>
      <c r="K435" s="1"/>
      <c r="L435" s="1"/>
      <c r="M435" s="1"/>
    </row>
    <row r="436" ht="14.25" customHeight="1">
      <c r="A436" s="1"/>
      <c r="B436" s="1"/>
      <c r="C436" s="107"/>
      <c r="D436" s="107"/>
      <c r="E436" s="107"/>
      <c r="F436" s="108"/>
      <c r="G436" s="1"/>
      <c r="H436" s="1"/>
      <c r="I436" s="1"/>
      <c r="J436" s="1"/>
      <c r="K436" s="1"/>
      <c r="L436" s="1"/>
      <c r="M436" s="1"/>
    </row>
    <row r="437" ht="14.25" customHeight="1">
      <c r="A437" s="1"/>
      <c r="B437" s="1"/>
      <c r="C437" s="107"/>
      <c r="D437" s="107"/>
      <c r="E437" s="107"/>
      <c r="F437" s="108"/>
      <c r="G437" s="1"/>
      <c r="H437" s="1"/>
      <c r="I437" s="1"/>
      <c r="J437" s="1"/>
      <c r="K437" s="1"/>
      <c r="L437" s="1"/>
      <c r="M437" s="1"/>
    </row>
    <row r="438" ht="14.25" customHeight="1">
      <c r="A438" s="1"/>
      <c r="B438" s="1"/>
      <c r="C438" s="107"/>
      <c r="D438" s="107"/>
      <c r="E438" s="107"/>
      <c r="F438" s="108"/>
      <c r="G438" s="1"/>
      <c r="H438" s="1"/>
      <c r="I438" s="1"/>
      <c r="J438" s="1"/>
      <c r="K438" s="1"/>
      <c r="L438" s="1"/>
      <c r="M438" s="1"/>
    </row>
    <row r="439" ht="14.25" customHeight="1">
      <c r="A439" s="1"/>
      <c r="B439" s="1"/>
      <c r="C439" s="107"/>
      <c r="D439" s="107"/>
      <c r="E439" s="107"/>
      <c r="F439" s="108"/>
      <c r="G439" s="1"/>
      <c r="H439" s="1"/>
      <c r="I439" s="1"/>
      <c r="J439" s="1"/>
      <c r="K439" s="1"/>
      <c r="L439" s="1"/>
      <c r="M439" s="1"/>
    </row>
    <row r="440" ht="14.25" customHeight="1">
      <c r="A440" s="1"/>
      <c r="B440" s="1"/>
      <c r="C440" s="107"/>
      <c r="D440" s="107"/>
      <c r="E440" s="107"/>
      <c r="F440" s="108"/>
      <c r="G440" s="1"/>
      <c r="H440" s="1"/>
      <c r="I440" s="1"/>
      <c r="J440" s="1"/>
      <c r="K440" s="1"/>
      <c r="L440" s="1"/>
      <c r="M440" s="1"/>
    </row>
    <row r="441" ht="14.25" customHeight="1">
      <c r="A441" s="1"/>
      <c r="B441" s="1"/>
      <c r="C441" s="107"/>
      <c r="D441" s="107"/>
      <c r="E441" s="107"/>
      <c r="F441" s="108"/>
      <c r="G441" s="1"/>
      <c r="H441" s="1"/>
      <c r="I441" s="1"/>
      <c r="J441" s="1"/>
      <c r="K441" s="1"/>
      <c r="L441" s="1"/>
      <c r="M441" s="1"/>
    </row>
    <row r="442" ht="14.25" customHeight="1">
      <c r="A442" s="1"/>
      <c r="B442" s="1"/>
      <c r="C442" s="107"/>
      <c r="D442" s="107"/>
      <c r="E442" s="107"/>
      <c r="F442" s="108"/>
      <c r="G442" s="1"/>
      <c r="H442" s="1"/>
      <c r="I442" s="1"/>
      <c r="J442" s="1"/>
      <c r="K442" s="1"/>
      <c r="L442" s="1"/>
      <c r="M442" s="1"/>
    </row>
    <row r="443" ht="14.25" customHeight="1">
      <c r="A443" s="1"/>
      <c r="B443" s="1"/>
      <c r="C443" s="107"/>
      <c r="D443" s="107"/>
      <c r="E443" s="107"/>
      <c r="F443" s="108"/>
      <c r="G443" s="1"/>
      <c r="H443" s="1"/>
      <c r="I443" s="1"/>
      <c r="J443" s="1"/>
      <c r="K443" s="1"/>
      <c r="L443" s="1"/>
      <c r="M443" s="1"/>
    </row>
    <row r="444" ht="14.25" customHeight="1">
      <c r="A444" s="1"/>
      <c r="B444" s="1"/>
      <c r="C444" s="107"/>
      <c r="D444" s="107"/>
      <c r="E444" s="107"/>
      <c r="F444" s="108"/>
      <c r="G444" s="1"/>
      <c r="H444" s="1"/>
      <c r="I444" s="1"/>
      <c r="J444" s="1"/>
      <c r="K444" s="1"/>
      <c r="L444" s="1"/>
      <c r="M444" s="1"/>
    </row>
    <row r="445" ht="14.25" customHeight="1">
      <c r="A445" s="1"/>
      <c r="B445" s="1"/>
      <c r="C445" s="107"/>
      <c r="D445" s="107"/>
      <c r="E445" s="107"/>
      <c r="F445" s="108"/>
      <c r="G445" s="1"/>
      <c r="H445" s="1"/>
      <c r="I445" s="1"/>
      <c r="J445" s="1"/>
      <c r="K445" s="1"/>
      <c r="L445" s="1"/>
      <c r="M445" s="1"/>
    </row>
    <row r="446" ht="14.25" customHeight="1">
      <c r="A446" s="1"/>
      <c r="B446" s="1"/>
      <c r="C446" s="107"/>
      <c r="D446" s="107"/>
      <c r="E446" s="107"/>
      <c r="F446" s="108"/>
      <c r="G446" s="1"/>
      <c r="H446" s="1"/>
      <c r="I446" s="1"/>
      <c r="J446" s="1"/>
      <c r="K446" s="1"/>
      <c r="L446" s="1"/>
      <c r="M446" s="1"/>
    </row>
    <row r="447" ht="14.25" customHeight="1">
      <c r="A447" s="1"/>
      <c r="B447" s="1"/>
      <c r="C447" s="107"/>
      <c r="D447" s="107"/>
      <c r="E447" s="107"/>
      <c r="F447" s="108"/>
      <c r="G447" s="1"/>
      <c r="H447" s="1"/>
      <c r="I447" s="1"/>
      <c r="J447" s="1"/>
      <c r="K447" s="1"/>
      <c r="L447" s="1"/>
      <c r="M447" s="1"/>
    </row>
    <row r="448" ht="14.25" customHeight="1">
      <c r="A448" s="1"/>
      <c r="B448" s="1"/>
      <c r="C448" s="107"/>
      <c r="D448" s="107"/>
      <c r="E448" s="107"/>
      <c r="F448" s="108"/>
      <c r="G448" s="1"/>
      <c r="H448" s="1"/>
      <c r="I448" s="1"/>
      <c r="J448" s="1"/>
      <c r="K448" s="1"/>
      <c r="L448" s="1"/>
      <c r="M448" s="1"/>
    </row>
    <row r="449" ht="14.25" customHeight="1">
      <c r="A449" s="1"/>
      <c r="B449" s="1"/>
      <c r="C449" s="107"/>
      <c r="D449" s="107"/>
      <c r="E449" s="107"/>
      <c r="F449" s="108"/>
      <c r="G449" s="1"/>
      <c r="H449" s="1"/>
      <c r="I449" s="1"/>
      <c r="J449" s="1"/>
      <c r="K449" s="1"/>
      <c r="L449" s="1"/>
      <c r="M449" s="1"/>
    </row>
    <row r="450" ht="15.0" customHeight="1">
      <c r="A450" s="1"/>
      <c r="B450" s="1"/>
      <c r="C450" s="107"/>
      <c r="D450" s="107"/>
      <c r="E450" s="107"/>
      <c r="F450" s="108"/>
      <c r="G450" s="1"/>
      <c r="H450" s="1"/>
      <c r="I450" s="1"/>
      <c r="J450" s="1"/>
      <c r="K450" s="1"/>
      <c r="L450" s="1"/>
      <c r="M450" s="1"/>
    </row>
    <row r="451" ht="14.25" customHeight="1">
      <c r="A451" s="1"/>
      <c r="B451" s="1"/>
      <c r="C451" s="107"/>
      <c r="D451" s="107"/>
      <c r="E451" s="107"/>
      <c r="F451" s="108"/>
      <c r="G451" s="1"/>
      <c r="H451" s="1"/>
      <c r="I451" s="1"/>
      <c r="J451" s="1"/>
      <c r="K451" s="1"/>
      <c r="L451" s="1"/>
      <c r="M451" s="1"/>
    </row>
    <row r="452" ht="14.25" customHeight="1">
      <c r="A452" s="1"/>
      <c r="B452" s="1"/>
      <c r="C452" s="107"/>
      <c r="D452" s="107"/>
      <c r="E452" s="107"/>
      <c r="F452" s="108"/>
      <c r="G452" s="1"/>
      <c r="H452" s="1"/>
      <c r="I452" s="1"/>
      <c r="J452" s="1"/>
      <c r="K452" s="1"/>
      <c r="L452" s="1"/>
      <c r="M452" s="1"/>
    </row>
    <row r="453" ht="14.25" customHeight="1">
      <c r="A453" s="1"/>
      <c r="B453" s="1"/>
      <c r="C453" s="107"/>
      <c r="D453" s="107"/>
      <c r="E453" s="107"/>
      <c r="F453" s="108"/>
      <c r="G453" s="1"/>
      <c r="H453" s="1"/>
      <c r="I453" s="1"/>
      <c r="J453" s="1"/>
      <c r="K453" s="1"/>
      <c r="L453" s="1"/>
      <c r="M453" s="1"/>
    </row>
    <row r="454" ht="14.25" customHeight="1">
      <c r="A454" s="1"/>
      <c r="B454" s="1"/>
      <c r="C454" s="107"/>
      <c r="D454" s="107"/>
      <c r="E454" s="107"/>
      <c r="F454" s="108"/>
      <c r="G454" s="1"/>
      <c r="H454" s="1"/>
      <c r="I454" s="1"/>
      <c r="J454" s="1"/>
      <c r="K454" s="1"/>
      <c r="L454" s="1"/>
      <c r="M454" s="1"/>
    </row>
    <row r="455" ht="14.25" customHeight="1">
      <c r="A455" s="1"/>
      <c r="B455" s="1"/>
      <c r="C455" s="107"/>
      <c r="D455" s="107"/>
      <c r="E455" s="107"/>
      <c r="F455" s="108"/>
      <c r="G455" s="1"/>
      <c r="H455" s="1"/>
      <c r="I455" s="1"/>
      <c r="J455" s="1"/>
      <c r="K455" s="1"/>
      <c r="L455" s="1"/>
      <c r="M455" s="1"/>
    </row>
    <row r="456" ht="15.0" customHeight="1">
      <c r="A456" s="1"/>
      <c r="B456" s="1"/>
      <c r="C456" s="107"/>
      <c r="D456" s="107"/>
      <c r="E456" s="107"/>
      <c r="F456" s="108"/>
      <c r="G456" s="1"/>
      <c r="H456" s="1"/>
      <c r="I456" s="1"/>
      <c r="J456" s="1"/>
      <c r="K456" s="1"/>
      <c r="L456" s="1"/>
      <c r="M456" s="1"/>
    </row>
    <row r="457" ht="14.25" customHeight="1">
      <c r="A457" s="1"/>
      <c r="B457" s="1"/>
      <c r="C457" s="107"/>
      <c r="D457" s="107"/>
      <c r="E457" s="107"/>
      <c r="F457" s="108"/>
      <c r="G457" s="1"/>
      <c r="H457" s="1"/>
      <c r="I457" s="1"/>
      <c r="J457" s="1"/>
      <c r="K457" s="1"/>
      <c r="L457" s="1"/>
      <c r="M457" s="1"/>
    </row>
    <row r="458" ht="14.25" customHeight="1">
      <c r="A458" s="1"/>
      <c r="B458" s="1"/>
      <c r="C458" s="107"/>
      <c r="D458" s="107"/>
      <c r="E458" s="107"/>
      <c r="F458" s="108"/>
      <c r="G458" s="1"/>
      <c r="H458" s="1"/>
      <c r="I458" s="1"/>
      <c r="J458" s="1"/>
      <c r="K458" s="1"/>
      <c r="L458" s="1"/>
      <c r="M458" s="1"/>
    </row>
    <row r="459" ht="14.25" customHeight="1">
      <c r="A459" s="1"/>
      <c r="B459" s="1"/>
      <c r="C459" s="107"/>
      <c r="D459" s="107"/>
      <c r="E459" s="107"/>
      <c r="F459" s="108"/>
      <c r="G459" s="1"/>
      <c r="H459" s="1"/>
      <c r="I459" s="1"/>
      <c r="J459" s="1"/>
      <c r="K459" s="1"/>
      <c r="L459" s="1"/>
      <c r="M459" s="1"/>
    </row>
    <row r="460" ht="14.25" customHeight="1">
      <c r="A460" s="1"/>
      <c r="B460" s="1"/>
      <c r="C460" s="107"/>
      <c r="D460" s="107"/>
      <c r="E460" s="107"/>
      <c r="F460" s="108"/>
      <c r="G460" s="1"/>
      <c r="H460" s="1"/>
      <c r="I460" s="1"/>
      <c r="J460" s="1"/>
      <c r="K460" s="1"/>
      <c r="L460" s="1"/>
      <c r="M460" s="1"/>
    </row>
    <row r="461" ht="14.25" customHeight="1">
      <c r="A461" s="1"/>
      <c r="B461" s="1"/>
      <c r="C461" s="107"/>
      <c r="D461" s="107"/>
      <c r="E461" s="107"/>
      <c r="F461" s="108"/>
      <c r="G461" s="1"/>
      <c r="H461" s="1"/>
      <c r="I461" s="1"/>
      <c r="J461" s="1"/>
      <c r="K461" s="1"/>
      <c r="L461" s="1"/>
      <c r="M461" s="1"/>
    </row>
    <row r="462" ht="14.25" customHeight="1">
      <c r="A462" s="1"/>
      <c r="B462" s="1"/>
      <c r="C462" s="107"/>
      <c r="D462" s="107"/>
      <c r="E462" s="107"/>
      <c r="F462" s="108"/>
      <c r="G462" s="1"/>
      <c r="H462" s="1"/>
      <c r="I462" s="1"/>
      <c r="J462" s="1"/>
      <c r="K462" s="1"/>
      <c r="L462" s="1"/>
      <c r="M462" s="1"/>
    </row>
    <row r="463" ht="14.25" customHeight="1">
      <c r="A463" s="1"/>
      <c r="B463" s="1"/>
      <c r="C463" s="107"/>
      <c r="D463" s="107"/>
      <c r="E463" s="107"/>
      <c r="F463" s="108"/>
      <c r="G463" s="1"/>
      <c r="H463" s="1"/>
      <c r="I463" s="1"/>
      <c r="J463" s="1"/>
      <c r="K463" s="1"/>
      <c r="L463" s="1"/>
      <c r="M463" s="1"/>
    </row>
    <row r="464" ht="14.25" customHeight="1">
      <c r="A464" s="1"/>
      <c r="B464" s="1"/>
      <c r="C464" s="107"/>
      <c r="D464" s="107"/>
      <c r="E464" s="107"/>
      <c r="F464" s="108"/>
      <c r="G464" s="1"/>
      <c r="H464" s="1"/>
      <c r="I464" s="1"/>
      <c r="J464" s="1"/>
      <c r="K464" s="1"/>
      <c r="L464" s="1"/>
      <c r="M464" s="1"/>
    </row>
    <row r="465" ht="14.25" customHeight="1">
      <c r="A465" s="1"/>
      <c r="B465" s="1"/>
      <c r="C465" s="107"/>
      <c r="D465" s="107"/>
      <c r="E465" s="107"/>
      <c r="F465" s="108"/>
      <c r="G465" s="1"/>
      <c r="H465" s="1"/>
      <c r="I465" s="1"/>
      <c r="J465" s="1"/>
      <c r="K465" s="1"/>
      <c r="L465" s="1"/>
      <c r="M465" s="1"/>
    </row>
    <row r="466" ht="14.25" customHeight="1">
      <c r="A466" s="1"/>
      <c r="B466" s="1"/>
      <c r="C466" s="107"/>
      <c r="D466" s="107"/>
      <c r="E466" s="107"/>
      <c r="F466" s="108"/>
      <c r="G466" s="1"/>
      <c r="H466" s="1"/>
      <c r="I466" s="1"/>
      <c r="J466" s="1"/>
      <c r="K466" s="1"/>
      <c r="L466" s="1"/>
      <c r="M466" s="1"/>
    </row>
    <row r="467" ht="14.25" customHeight="1">
      <c r="A467" s="1"/>
      <c r="B467" s="1"/>
      <c r="C467" s="107"/>
      <c r="D467" s="107"/>
      <c r="E467" s="107"/>
      <c r="F467" s="108"/>
      <c r="G467" s="1"/>
      <c r="H467" s="1"/>
      <c r="I467" s="1"/>
      <c r="J467" s="1"/>
      <c r="K467" s="1"/>
      <c r="L467" s="1"/>
      <c r="M467" s="1"/>
    </row>
    <row r="468" ht="14.25" customHeight="1">
      <c r="A468" s="1"/>
      <c r="B468" s="1"/>
      <c r="C468" s="107"/>
      <c r="D468" s="107"/>
      <c r="E468" s="107"/>
      <c r="F468" s="108"/>
      <c r="G468" s="1"/>
      <c r="H468" s="1"/>
      <c r="I468" s="1"/>
      <c r="J468" s="1"/>
      <c r="K468" s="1"/>
      <c r="L468" s="1"/>
      <c r="M468" s="1"/>
    </row>
    <row r="469" ht="14.25" customHeight="1">
      <c r="A469" s="1"/>
      <c r="B469" s="1"/>
      <c r="C469" s="107"/>
      <c r="D469" s="107"/>
      <c r="E469" s="107"/>
      <c r="F469" s="108"/>
      <c r="G469" s="1"/>
      <c r="H469" s="1"/>
      <c r="I469" s="1"/>
      <c r="J469" s="1"/>
      <c r="K469" s="1"/>
      <c r="L469" s="1"/>
      <c r="M469" s="1"/>
    </row>
    <row r="470" ht="14.25" customHeight="1">
      <c r="A470" s="1"/>
      <c r="B470" s="1"/>
      <c r="C470" s="107"/>
      <c r="D470" s="107"/>
      <c r="E470" s="107"/>
      <c r="F470" s="108"/>
      <c r="G470" s="1"/>
      <c r="H470" s="1"/>
      <c r="I470" s="1"/>
      <c r="J470" s="1"/>
      <c r="K470" s="1"/>
      <c r="L470" s="1"/>
      <c r="M470" s="1"/>
    </row>
    <row r="471" ht="14.25" customHeight="1">
      <c r="A471" s="1"/>
      <c r="B471" s="1"/>
      <c r="C471" s="107"/>
      <c r="D471" s="107"/>
      <c r="E471" s="107"/>
      <c r="F471" s="108"/>
      <c r="G471" s="1"/>
      <c r="H471" s="1"/>
      <c r="I471" s="1"/>
      <c r="J471" s="1"/>
      <c r="K471" s="1"/>
      <c r="L471" s="1"/>
      <c r="M471" s="1"/>
    </row>
    <row r="472" ht="14.25" customHeight="1">
      <c r="A472" s="1"/>
      <c r="B472" s="1"/>
      <c r="C472" s="107"/>
      <c r="D472" s="107"/>
      <c r="E472" s="107"/>
      <c r="F472" s="108"/>
      <c r="G472" s="1"/>
      <c r="H472" s="1"/>
      <c r="I472" s="1"/>
      <c r="J472" s="1"/>
      <c r="K472" s="1"/>
      <c r="L472" s="1"/>
      <c r="M472" s="1"/>
    </row>
    <row r="473" ht="14.25" customHeight="1">
      <c r="A473" s="1"/>
      <c r="B473" s="1"/>
      <c r="C473" s="107"/>
      <c r="D473" s="107"/>
      <c r="E473" s="107"/>
      <c r="F473" s="108"/>
      <c r="G473" s="1"/>
      <c r="H473" s="1"/>
      <c r="I473" s="1"/>
      <c r="J473" s="1"/>
      <c r="K473" s="1"/>
      <c r="L473" s="1"/>
      <c r="M473" s="1"/>
    </row>
    <row r="474" ht="14.25" customHeight="1">
      <c r="A474" s="1"/>
      <c r="B474" s="1"/>
      <c r="C474" s="107"/>
      <c r="D474" s="107"/>
      <c r="E474" s="107"/>
      <c r="F474" s="108"/>
      <c r="G474" s="1"/>
      <c r="H474" s="1"/>
      <c r="I474" s="1"/>
      <c r="J474" s="1"/>
      <c r="K474" s="1"/>
      <c r="L474" s="1"/>
      <c r="M474" s="1"/>
    </row>
    <row r="475" ht="14.25" customHeight="1">
      <c r="A475" s="1"/>
      <c r="B475" s="1"/>
      <c r="C475" s="107"/>
      <c r="D475" s="107"/>
      <c r="E475" s="107"/>
      <c r="F475" s="108"/>
      <c r="G475" s="1"/>
      <c r="H475" s="1"/>
      <c r="I475" s="1"/>
      <c r="J475" s="1"/>
      <c r="K475" s="1"/>
      <c r="L475" s="1"/>
      <c r="M475" s="1"/>
    </row>
    <row r="476" ht="14.25" customHeight="1">
      <c r="A476" s="1"/>
      <c r="B476" s="1"/>
      <c r="C476" s="107"/>
      <c r="D476" s="107"/>
      <c r="E476" s="107"/>
      <c r="F476" s="108"/>
      <c r="G476" s="1"/>
      <c r="H476" s="1"/>
      <c r="I476" s="1"/>
      <c r="J476" s="1"/>
      <c r="K476" s="1"/>
      <c r="L476" s="1"/>
      <c r="M476" s="1"/>
    </row>
    <row r="477" ht="14.25" customHeight="1">
      <c r="A477" s="1"/>
      <c r="B477" s="1"/>
      <c r="C477" s="107"/>
      <c r="D477" s="107"/>
      <c r="E477" s="107"/>
      <c r="F477" s="108"/>
      <c r="G477" s="1"/>
      <c r="H477" s="1"/>
      <c r="I477" s="1"/>
      <c r="J477" s="1"/>
      <c r="K477" s="1"/>
      <c r="L477" s="1"/>
      <c r="M477" s="1"/>
    </row>
    <row r="478" ht="14.25" customHeight="1">
      <c r="A478" s="1"/>
      <c r="B478" s="1"/>
      <c r="C478" s="107"/>
      <c r="D478" s="107"/>
      <c r="E478" s="107"/>
      <c r="F478" s="108"/>
      <c r="G478" s="1"/>
      <c r="H478" s="1"/>
      <c r="I478" s="1"/>
      <c r="J478" s="1"/>
      <c r="K478" s="1"/>
      <c r="L478" s="1"/>
      <c r="M478" s="1"/>
    </row>
    <row r="479" ht="18.0" customHeight="1">
      <c r="A479" s="1"/>
      <c r="B479" s="1"/>
      <c r="C479" s="107"/>
      <c r="D479" s="107"/>
      <c r="E479" s="107"/>
      <c r="F479" s="108"/>
      <c r="G479" s="1"/>
      <c r="H479" s="1"/>
      <c r="I479" s="1"/>
      <c r="J479" s="1"/>
      <c r="K479" s="1"/>
      <c r="L479" s="1"/>
      <c r="M479" s="1"/>
    </row>
    <row r="480" ht="18.0" customHeight="1">
      <c r="A480" s="1"/>
      <c r="B480" s="1"/>
      <c r="C480" s="107"/>
      <c r="D480" s="107"/>
      <c r="E480" s="107"/>
      <c r="F480" s="108"/>
      <c r="G480" s="1"/>
      <c r="H480" s="1"/>
      <c r="I480" s="1"/>
      <c r="J480" s="1"/>
      <c r="K480" s="1"/>
      <c r="L480" s="1"/>
      <c r="M480" s="1"/>
    </row>
    <row r="481" ht="18.0" customHeight="1">
      <c r="A481" s="1"/>
      <c r="B481" s="1"/>
      <c r="C481" s="107"/>
      <c r="D481" s="107"/>
      <c r="E481" s="107"/>
      <c r="F481" s="108"/>
      <c r="G481" s="1"/>
      <c r="H481" s="1"/>
      <c r="I481" s="1"/>
      <c r="J481" s="1"/>
      <c r="K481" s="1"/>
      <c r="L481" s="1"/>
      <c r="M481" s="1"/>
    </row>
    <row r="482" ht="18.0" customHeight="1">
      <c r="A482" s="1"/>
      <c r="B482" s="1"/>
      <c r="C482" s="107"/>
      <c r="D482" s="107"/>
      <c r="E482" s="107"/>
      <c r="F482" s="108"/>
      <c r="G482" s="1"/>
      <c r="H482" s="1"/>
      <c r="I482" s="1"/>
      <c r="J482" s="1"/>
      <c r="K482" s="1"/>
      <c r="L482" s="1"/>
      <c r="M482" s="1"/>
    </row>
    <row r="483" ht="18.0" customHeight="1">
      <c r="A483" s="1"/>
      <c r="B483" s="1"/>
      <c r="C483" s="107"/>
      <c r="D483" s="107"/>
      <c r="E483" s="107"/>
      <c r="F483" s="108"/>
      <c r="G483" s="1"/>
      <c r="H483" s="1"/>
      <c r="I483" s="1"/>
      <c r="J483" s="1"/>
      <c r="K483" s="1"/>
      <c r="L483" s="1"/>
      <c r="M483" s="1"/>
    </row>
    <row r="484" ht="18.0" customHeight="1">
      <c r="A484" s="1"/>
      <c r="B484" s="1"/>
      <c r="C484" s="107"/>
      <c r="D484" s="107"/>
      <c r="E484" s="107"/>
      <c r="F484" s="108"/>
      <c r="G484" s="1"/>
      <c r="H484" s="1"/>
      <c r="I484" s="1"/>
      <c r="J484" s="1"/>
      <c r="K484" s="1"/>
      <c r="L484" s="1"/>
      <c r="M484" s="1"/>
    </row>
    <row r="485" ht="14.25" customHeight="1">
      <c r="A485" s="1"/>
      <c r="B485" s="1"/>
      <c r="C485" s="107"/>
      <c r="D485" s="107"/>
      <c r="E485" s="107"/>
      <c r="F485" s="108"/>
      <c r="G485" s="1"/>
      <c r="H485" s="1"/>
      <c r="I485" s="1"/>
      <c r="J485" s="1"/>
      <c r="K485" s="1"/>
      <c r="L485" s="1"/>
      <c r="M485" s="1"/>
    </row>
    <row r="486" ht="14.25" customHeight="1">
      <c r="A486" s="1"/>
      <c r="B486" s="1"/>
      <c r="C486" s="107"/>
      <c r="D486" s="107"/>
      <c r="E486" s="107"/>
      <c r="F486" s="108"/>
      <c r="G486" s="1"/>
      <c r="H486" s="1"/>
      <c r="I486" s="1"/>
      <c r="J486" s="1"/>
      <c r="K486" s="1"/>
      <c r="L486" s="1"/>
      <c r="M486" s="1"/>
    </row>
    <row r="487" ht="14.25" customHeight="1">
      <c r="A487" s="1"/>
      <c r="B487" s="1"/>
      <c r="C487" s="107"/>
      <c r="D487" s="107"/>
      <c r="E487" s="107"/>
      <c r="F487" s="108"/>
      <c r="G487" s="1"/>
      <c r="H487" s="1"/>
      <c r="I487" s="1"/>
      <c r="J487" s="1"/>
      <c r="K487" s="1"/>
      <c r="L487" s="1"/>
      <c r="M487" s="1"/>
    </row>
    <row r="488" ht="14.25" customHeight="1">
      <c r="A488" s="1"/>
      <c r="B488" s="1"/>
      <c r="C488" s="107"/>
      <c r="D488" s="107"/>
      <c r="E488" s="107"/>
      <c r="F488" s="108"/>
      <c r="G488" s="1"/>
      <c r="H488" s="1"/>
      <c r="I488" s="1"/>
      <c r="J488" s="1"/>
      <c r="K488" s="1"/>
      <c r="L488" s="1"/>
      <c r="M488" s="1"/>
    </row>
    <row r="489" ht="14.25" customHeight="1">
      <c r="A489" s="1"/>
      <c r="B489" s="1"/>
      <c r="C489" s="107"/>
      <c r="D489" s="107"/>
      <c r="E489" s="107"/>
      <c r="F489" s="108"/>
      <c r="G489" s="1"/>
      <c r="H489" s="1"/>
      <c r="I489" s="1"/>
      <c r="J489" s="1"/>
      <c r="K489" s="1"/>
      <c r="L489" s="1"/>
      <c r="M489" s="1"/>
    </row>
    <row r="490" ht="14.25" customHeight="1">
      <c r="A490" s="1"/>
      <c r="B490" s="1"/>
      <c r="C490" s="107"/>
      <c r="D490" s="107"/>
      <c r="E490" s="107"/>
      <c r="F490" s="108"/>
      <c r="G490" s="1"/>
      <c r="H490" s="1"/>
      <c r="I490" s="1"/>
      <c r="J490" s="1"/>
      <c r="K490" s="1"/>
      <c r="L490" s="1"/>
      <c r="M490" s="1"/>
    </row>
    <row r="491" ht="14.25" customHeight="1">
      <c r="A491" s="1"/>
      <c r="B491" s="1"/>
      <c r="C491" s="107"/>
      <c r="D491" s="107"/>
      <c r="E491" s="107"/>
      <c r="F491" s="108"/>
      <c r="G491" s="1"/>
      <c r="H491" s="1"/>
      <c r="I491" s="1"/>
      <c r="J491" s="1"/>
      <c r="K491" s="1"/>
      <c r="L491" s="1"/>
      <c r="M491" s="1"/>
    </row>
    <row r="492" ht="14.25" customHeight="1">
      <c r="A492" s="1"/>
      <c r="B492" s="1"/>
      <c r="C492" s="107"/>
      <c r="D492" s="107"/>
      <c r="E492" s="107"/>
      <c r="F492" s="108"/>
      <c r="G492" s="1"/>
      <c r="H492" s="1"/>
      <c r="I492" s="1"/>
      <c r="J492" s="1"/>
      <c r="K492" s="1"/>
      <c r="L492" s="1"/>
      <c r="M492" s="1"/>
    </row>
    <row r="493" ht="14.25" customHeight="1">
      <c r="A493" s="1"/>
      <c r="B493" s="1"/>
      <c r="C493" s="107"/>
      <c r="D493" s="107"/>
      <c r="E493" s="107"/>
      <c r="F493" s="108"/>
      <c r="G493" s="1"/>
      <c r="H493" s="1"/>
      <c r="I493" s="1"/>
      <c r="J493" s="1"/>
      <c r="K493" s="1"/>
      <c r="L493" s="1"/>
      <c r="M493" s="1"/>
    </row>
    <row r="494" ht="14.25" customHeight="1">
      <c r="A494" s="1"/>
      <c r="B494" s="1"/>
      <c r="C494" s="107"/>
      <c r="D494" s="107"/>
      <c r="E494" s="107"/>
      <c r="F494" s="108"/>
      <c r="G494" s="1"/>
      <c r="H494" s="1"/>
      <c r="I494" s="1"/>
      <c r="J494" s="1"/>
      <c r="K494" s="1"/>
      <c r="L494" s="1"/>
      <c r="M494" s="1"/>
    </row>
    <row r="495" ht="14.25" customHeight="1">
      <c r="A495" s="1"/>
      <c r="B495" s="1"/>
      <c r="C495" s="107"/>
      <c r="D495" s="107"/>
      <c r="E495" s="107"/>
      <c r="F495" s="108"/>
      <c r="G495" s="1"/>
      <c r="H495" s="1"/>
      <c r="I495" s="1"/>
      <c r="J495" s="1"/>
      <c r="K495" s="1"/>
      <c r="L495" s="1"/>
      <c r="M495" s="1"/>
    </row>
    <row r="496" ht="14.25" customHeight="1">
      <c r="A496" s="1"/>
      <c r="B496" s="1"/>
      <c r="C496" s="107"/>
      <c r="D496" s="107"/>
      <c r="E496" s="107"/>
      <c r="F496" s="108"/>
      <c r="G496" s="1"/>
      <c r="H496" s="1"/>
      <c r="I496" s="1"/>
      <c r="J496" s="1"/>
      <c r="K496" s="1"/>
      <c r="L496" s="1"/>
      <c r="M496" s="1"/>
    </row>
    <row r="497" ht="14.25" customHeight="1">
      <c r="A497" s="1"/>
      <c r="B497" s="1"/>
      <c r="C497" s="107"/>
      <c r="D497" s="107"/>
      <c r="E497" s="107"/>
      <c r="F497" s="108"/>
      <c r="G497" s="1"/>
      <c r="H497" s="1"/>
      <c r="I497" s="1"/>
      <c r="J497" s="1"/>
      <c r="K497" s="1"/>
      <c r="L497" s="1"/>
      <c r="M497" s="1"/>
    </row>
    <row r="498" ht="14.25" customHeight="1">
      <c r="A498" s="1"/>
      <c r="B498" s="1"/>
      <c r="C498" s="107"/>
      <c r="D498" s="107"/>
      <c r="E498" s="107"/>
      <c r="F498" s="108"/>
      <c r="G498" s="1"/>
      <c r="H498" s="1"/>
      <c r="I498" s="1"/>
      <c r="J498" s="1"/>
      <c r="K498" s="1"/>
      <c r="L498" s="1"/>
      <c r="M498" s="1"/>
    </row>
    <row r="499" ht="14.25" customHeight="1">
      <c r="A499" s="1"/>
      <c r="B499" s="1"/>
      <c r="C499" s="107"/>
      <c r="D499" s="107"/>
      <c r="E499" s="107"/>
      <c r="F499" s="108"/>
      <c r="G499" s="1"/>
      <c r="H499" s="1"/>
      <c r="I499" s="1"/>
      <c r="J499" s="1"/>
      <c r="K499" s="1"/>
      <c r="L499" s="1"/>
      <c r="M499" s="1"/>
    </row>
    <row r="500" ht="16.5" customHeight="1">
      <c r="A500" s="1"/>
      <c r="B500" s="1"/>
      <c r="C500" s="107"/>
      <c r="D500" s="107"/>
      <c r="E500" s="107"/>
      <c r="F500" s="108"/>
      <c r="G500" s="1"/>
      <c r="H500" s="1"/>
      <c r="I500" s="1"/>
      <c r="J500" s="1"/>
      <c r="K500" s="1"/>
      <c r="L500" s="1"/>
      <c r="M500" s="1"/>
    </row>
    <row r="501" ht="14.25" customHeight="1">
      <c r="A501" s="1"/>
      <c r="B501" s="1"/>
      <c r="C501" s="107"/>
      <c r="D501" s="107"/>
      <c r="E501" s="107"/>
      <c r="F501" s="108"/>
      <c r="G501" s="1"/>
      <c r="H501" s="1"/>
      <c r="I501" s="1"/>
      <c r="J501" s="1"/>
      <c r="K501" s="1"/>
      <c r="L501" s="1"/>
      <c r="M501" s="1"/>
    </row>
    <row r="502" ht="14.25" customHeight="1">
      <c r="A502" s="1"/>
      <c r="B502" s="1"/>
      <c r="C502" s="107"/>
      <c r="D502" s="107"/>
      <c r="E502" s="107"/>
      <c r="F502" s="108"/>
      <c r="G502" s="1"/>
      <c r="H502" s="1"/>
      <c r="I502" s="1"/>
      <c r="J502" s="1"/>
      <c r="K502" s="1"/>
      <c r="L502" s="1"/>
      <c r="M502" s="1"/>
    </row>
    <row r="503" ht="14.25" customHeight="1">
      <c r="A503" s="1"/>
      <c r="B503" s="1"/>
      <c r="C503" s="107"/>
      <c r="D503" s="107"/>
      <c r="E503" s="107"/>
      <c r="F503" s="108"/>
      <c r="G503" s="1"/>
      <c r="H503" s="1"/>
      <c r="I503" s="1"/>
      <c r="J503" s="1"/>
      <c r="K503" s="1"/>
      <c r="L503" s="1"/>
      <c r="M503" s="1"/>
    </row>
    <row r="504" ht="14.25" customHeight="1">
      <c r="A504" s="1"/>
      <c r="B504" s="1"/>
      <c r="C504" s="107"/>
      <c r="D504" s="107"/>
      <c r="E504" s="107"/>
      <c r="F504" s="108"/>
      <c r="G504" s="1"/>
      <c r="H504" s="1"/>
      <c r="I504" s="1"/>
      <c r="J504" s="1"/>
      <c r="K504" s="1"/>
      <c r="L504" s="1"/>
      <c r="M504" s="1"/>
    </row>
    <row r="505" ht="14.25" customHeight="1">
      <c r="A505" s="1"/>
      <c r="B505" s="1"/>
      <c r="C505" s="107"/>
      <c r="D505" s="107"/>
      <c r="E505" s="107"/>
      <c r="F505" s="108"/>
      <c r="G505" s="1"/>
      <c r="H505" s="1"/>
      <c r="I505" s="1"/>
      <c r="J505" s="1"/>
      <c r="K505" s="1"/>
      <c r="L505" s="1"/>
      <c r="M505" s="1"/>
    </row>
    <row r="506" ht="14.25" customHeight="1">
      <c r="A506" s="1"/>
      <c r="B506" s="1"/>
      <c r="C506" s="107"/>
      <c r="D506" s="107"/>
      <c r="E506" s="107"/>
      <c r="F506" s="108"/>
      <c r="G506" s="1"/>
      <c r="H506" s="1"/>
      <c r="I506" s="1"/>
      <c r="J506" s="1"/>
      <c r="K506" s="1"/>
      <c r="L506" s="1"/>
      <c r="M506" s="1"/>
    </row>
    <row r="507" ht="14.25" customHeight="1">
      <c r="A507" s="1"/>
      <c r="B507" s="1"/>
      <c r="C507" s="107"/>
      <c r="D507" s="107"/>
      <c r="E507" s="107"/>
      <c r="F507" s="108"/>
      <c r="G507" s="1"/>
      <c r="H507" s="1"/>
      <c r="I507" s="1"/>
      <c r="J507" s="1"/>
      <c r="K507" s="1"/>
      <c r="L507" s="1"/>
      <c r="M507" s="1"/>
    </row>
    <row r="508" ht="14.25" customHeight="1">
      <c r="A508" s="1"/>
      <c r="B508" s="1"/>
      <c r="C508" s="107"/>
      <c r="D508" s="107"/>
      <c r="E508" s="107"/>
      <c r="F508" s="108"/>
      <c r="G508" s="1"/>
      <c r="H508" s="1"/>
      <c r="I508" s="1"/>
      <c r="J508" s="1"/>
      <c r="K508" s="1"/>
      <c r="L508" s="1"/>
      <c r="M508" s="1"/>
    </row>
    <row r="509" ht="14.25" customHeight="1">
      <c r="A509" s="1"/>
      <c r="B509" s="1"/>
      <c r="C509" s="107"/>
      <c r="D509" s="107"/>
      <c r="E509" s="107"/>
      <c r="F509" s="108"/>
      <c r="G509" s="1"/>
      <c r="H509" s="1"/>
      <c r="I509" s="1"/>
      <c r="J509" s="1"/>
      <c r="K509" s="1"/>
      <c r="L509" s="1"/>
      <c r="M509" s="1"/>
    </row>
    <row r="510" ht="14.25" customHeight="1">
      <c r="A510" s="1"/>
      <c r="B510" s="1"/>
      <c r="C510" s="107"/>
      <c r="D510" s="107"/>
      <c r="E510" s="107"/>
      <c r="F510" s="108"/>
      <c r="G510" s="1"/>
      <c r="H510" s="1"/>
      <c r="I510" s="1"/>
      <c r="J510" s="1"/>
      <c r="K510" s="1"/>
      <c r="L510" s="1"/>
      <c r="M510" s="1"/>
    </row>
    <row r="511" ht="14.25" customHeight="1">
      <c r="A511" s="1"/>
      <c r="B511" s="1"/>
      <c r="C511" s="107"/>
      <c r="D511" s="107"/>
      <c r="E511" s="107"/>
      <c r="F511" s="108"/>
      <c r="G511" s="1"/>
      <c r="H511" s="1"/>
      <c r="I511" s="1"/>
      <c r="J511" s="1"/>
      <c r="K511" s="1"/>
      <c r="L511" s="1"/>
      <c r="M511" s="1"/>
    </row>
    <row r="512" ht="14.25" customHeight="1">
      <c r="A512" s="1"/>
      <c r="B512" s="1"/>
      <c r="C512" s="107"/>
      <c r="D512" s="107"/>
      <c r="E512" s="107"/>
      <c r="F512" s="108"/>
      <c r="G512" s="1"/>
      <c r="H512" s="1"/>
      <c r="I512" s="1"/>
      <c r="J512" s="1"/>
      <c r="K512" s="1"/>
      <c r="L512" s="1"/>
      <c r="M512" s="1"/>
    </row>
    <row r="513" ht="14.25" customHeight="1">
      <c r="A513" s="1"/>
      <c r="B513" s="1"/>
      <c r="C513" s="107"/>
      <c r="D513" s="107"/>
      <c r="E513" s="107"/>
      <c r="F513" s="108"/>
      <c r="G513" s="1"/>
      <c r="H513" s="1"/>
      <c r="I513" s="1"/>
      <c r="J513" s="1"/>
      <c r="K513" s="1"/>
      <c r="L513" s="1"/>
      <c r="M513" s="1"/>
    </row>
    <row r="514" ht="14.25" customHeight="1">
      <c r="A514" s="1"/>
      <c r="B514" s="1"/>
      <c r="C514" s="107"/>
      <c r="D514" s="107"/>
      <c r="E514" s="107"/>
      <c r="F514" s="108"/>
      <c r="G514" s="1"/>
      <c r="H514" s="1"/>
      <c r="I514" s="1"/>
      <c r="J514" s="1"/>
      <c r="K514" s="1"/>
      <c r="L514" s="1"/>
      <c r="M514" s="1"/>
    </row>
    <row r="515" ht="14.25" customHeight="1">
      <c r="A515" s="1"/>
      <c r="B515" s="1"/>
      <c r="C515" s="107"/>
      <c r="D515" s="107"/>
      <c r="E515" s="107"/>
      <c r="F515" s="108"/>
      <c r="G515" s="1"/>
      <c r="H515" s="1"/>
      <c r="I515" s="1"/>
      <c r="J515" s="1"/>
      <c r="K515" s="1"/>
      <c r="L515" s="1"/>
      <c r="M515" s="1"/>
    </row>
    <row r="516" ht="14.25" customHeight="1">
      <c r="A516" s="1"/>
      <c r="B516" s="1"/>
      <c r="C516" s="107"/>
      <c r="D516" s="107"/>
      <c r="E516" s="107"/>
      <c r="F516" s="108"/>
      <c r="G516" s="1"/>
      <c r="H516" s="1"/>
      <c r="I516" s="1"/>
      <c r="J516" s="1"/>
      <c r="K516" s="1"/>
      <c r="L516" s="1"/>
      <c r="M516" s="1"/>
    </row>
    <row r="517" ht="14.25" customHeight="1">
      <c r="A517" s="1"/>
      <c r="B517" s="1"/>
      <c r="C517" s="107"/>
      <c r="D517" s="107"/>
      <c r="E517" s="107"/>
      <c r="F517" s="108"/>
      <c r="G517" s="1"/>
      <c r="H517" s="1"/>
      <c r="I517" s="1"/>
      <c r="J517" s="1"/>
      <c r="K517" s="1"/>
      <c r="L517" s="1"/>
      <c r="M517" s="1"/>
    </row>
    <row r="518" ht="14.25" customHeight="1">
      <c r="A518" s="1"/>
      <c r="B518" s="1"/>
      <c r="C518" s="107"/>
      <c r="D518" s="107"/>
      <c r="E518" s="107"/>
      <c r="F518" s="108"/>
      <c r="G518" s="1"/>
      <c r="H518" s="1"/>
      <c r="I518" s="1"/>
      <c r="J518" s="1"/>
      <c r="K518" s="1"/>
      <c r="L518" s="1"/>
      <c r="M518" s="1"/>
    </row>
    <row r="519" ht="14.25" customHeight="1">
      <c r="A519" s="1"/>
      <c r="B519" s="1"/>
      <c r="C519" s="107"/>
      <c r="D519" s="107"/>
      <c r="E519" s="107"/>
      <c r="F519" s="108"/>
      <c r="G519" s="1"/>
      <c r="H519" s="1"/>
      <c r="I519" s="1"/>
      <c r="J519" s="1"/>
      <c r="K519" s="1"/>
      <c r="L519" s="1"/>
      <c r="M519" s="1"/>
    </row>
    <row r="520" ht="14.25" customHeight="1">
      <c r="A520" s="1"/>
      <c r="B520" s="1"/>
      <c r="C520" s="107"/>
      <c r="D520" s="107"/>
      <c r="E520" s="107"/>
      <c r="F520" s="108"/>
      <c r="G520" s="1"/>
      <c r="H520" s="1"/>
      <c r="I520" s="1"/>
      <c r="J520" s="1"/>
      <c r="K520" s="1"/>
      <c r="L520" s="1"/>
      <c r="M520" s="1"/>
    </row>
    <row r="521" ht="14.25" customHeight="1">
      <c r="A521" s="1"/>
      <c r="B521" s="1"/>
      <c r="C521" s="107"/>
      <c r="D521" s="107"/>
      <c r="E521" s="107"/>
      <c r="F521" s="108"/>
      <c r="G521" s="1"/>
      <c r="H521" s="1"/>
      <c r="I521" s="1"/>
      <c r="J521" s="1"/>
      <c r="K521" s="1"/>
      <c r="L521" s="1"/>
      <c r="M521" s="1"/>
    </row>
    <row r="522" ht="14.25" customHeight="1">
      <c r="A522" s="1"/>
      <c r="B522" s="1"/>
      <c r="C522" s="107"/>
      <c r="D522" s="107"/>
      <c r="E522" s="107"/>
      <c r="F522" s="108"/>
      <c r="G522" s="1"/>
      <c r="H522" s="1"/>
      <c r="I522" s="1"/>
      <c r="J522" s="1"/>
      <c r="K522" s="1"/>
      <c r="L522" s="1"/>
      <c r="M522" s="1"/>
    </row>
    <row r="523" ht="14.25" customHeight="1">
      <c r="A523" s="1"/>
      <c r="B523" s="1"/>
      <c r="C523" s="107"/>
      <c r="D523" s="107"/>
      <c r="E523" s="107"/>
      <c r="F523" s="108"/>
      <c r="G523" s="1"/>
      <c r="H523" s="1"/>
      <c r="I523" s="1"/>
      <c r="J523" s="1"/>
      <c r="K523" s="1"/>
      <c r="L523" s="1"/>
      <c r="M523" s="1"/>
    </row>
    <row r="524" ht="14.25" customHeight="1">
      <c r="A524" s="1"/>
      <c r="B524" s="1"/>
      <c r="C524" s="107"/>
      <c r="D524" s="107"/>
      <c r="E524" s="107"/>
      <c r="F524" s="108"/>
      <c r="G524" s="1"/>
      <c r="H524" s="1"/>
      <c r="I524" s="1"/>
      <c r="J524" s="1"/>
      <c r="K524" s="1"/>
      <c r="L524" s="1"/>
      <c r="M524" s="1"/>
    </row>
    <row r="525" ht="14.25" customHeight="1">
      <c r="A525" s="1"/>
      <c r="B525" s="1"/>
      <c r="C525" s="107"/>
      <c r="D525" s="107"/>
      <c r="E525" s="107"/>
      <c r="F525" s="108"/>
      <c r="G525" s="1"/>
      <c r="H525" s="1"/>
      <c r="I525" s="1"/>
      <c r="J525" s="1"/>
      <c r="K525" s="1"/>
      <c r="L525" s="1"/>
      <c r="M525" s="1"/>
    </row>
    <row r="526" ht="14.25" customHeight="1">
      <c r="A526" s="1"/>
      <c r="B526" s="1"/>
      <c r="C526" s="107"/>
      <c r="D526" s="107"/>
      <c r="E526" s="107"/>
      <c r="F526" s="108"/>
      <c r="G526" s="1"/>
      <c r="H526" s="1"/>
      <c r="I526" s="1"/>
      <c r="J526" s="1"/>
      <c r="K526" s="1"/>
      <c r="L526" s="1"/>
      <c r="M526" s="1"/>
    </row>
    <row r="527" ht="16.5" customHeight="1">
      <c r="A527" s="1"/>
      <c r="B527" s="1"/>
      <c r="C527" s="107"/>
      <c r="D527" s="107"/>
      <c r="E527" s="107"/>
      <c r="F527" s="108"/>
      <c r="G527" s="1"/>
      <c r="H527" s="1"/>
      <c r="I527" s="1"/>
      <c r="J527" s="1"/>
      <c r="K527" s="1"/>
      <c r="L527" s="1"/>
      <c r="M527" s="1"/>
    </row>
    <row r="528" ht="14.25" customHeight="1">
      <c r="A528" s="1"/>
      <c r="B528" s="1"/>
      <c r="C528" s="107"/>
      <c r="D528" s="107"/>
      <c r="E528" s="107"/>
      <c r="F528" s="108"/>
      <c r="G528" s="1"/>
      <c r="H528" s="1"/>
      <c r="I528" s="1"/>
      <c r="J528" s="1"/>
      <c r="K528" s="1"/>
      <c r="L528" s="1"/>
      <c r="M528" s="1"/>
    </row>
    <row r="529" ht="14.25" customHeight="1">
      <c r="A529" s="1"/>
      <c r="B529" s="1"/>
      <c r="C529" s="107"/>
      <c r="D529" s="107"/>
      <c r="E529" s="107"/>
      <c r="F529" s="108"/>
      <c r="G529" s="1"/>
      <c r="H529" s="1"/>
      <c r="I529" s="1"/>
      <c r="J529" s="1"/>
      <c r="K529" s="1"/>
      <c r="L529" s="1"/>
      <c r="M529" s="1"/>
    </row>
    <row r="530" ht="14.25" customHeight="1">
      <c r="A530" s="1"/>
      <c r="B530" s="1"/>
      <c r="C530" s="107"/>
      <c r="D530" s="107"/>
      <c r="E530" s="107"/>
      <c r="F530" s="108"/>
      <c r="G530" s="1"/>
      <c r="H530" s="1"/>
      <c r="I530" s="1"/>
      <c r="J530" s="1"/>
      <c r="K530" s="1"/>
      <c r="L530" s="1"/>
      <c r="M530" s="1"/>
    </row>
    <row r="531" ht="14.25" customHeight="1">
      <c r="A531" s="1"/>
      <c r="B531" s="1"/>
      <c r="C531" s="107"/>
      <c r="D531" s="107"/>
      <c r="E531" s="107"/>
      <c r="F531" s="108"/>
      <c r="G531" s="1"/>
      <c r="H531" s="1"/>
      <c r="I531" s="1"/>
      <c r="J531" s="1"/>
      <c r="K531" s="1"/>
      <c r="L531" s="1"/>
      <c r="M531" s="1"/>
    </row>
    <row r="532" ht="14.25" customHeight="1">
      <c r="A532" s="1"/>
      <c r="B532" s="1"/>
      <c r="C532" s="107"/>
      <c r="D532" s="107"/>
      <c r="E532" s="107"/>
      <c r="F532" s="108"/>
      <c r="G532" s="1"/>
      <c r="H532" s="1"/>
      <c r="I532" s="1"/>
      <c r="J532" s="1"/>
      <c r="K532" s="1"/>
      <c r="L532" s="1"/>
      <c r="M532" s="1"/>
    </row>
    <row r="533" ht="14.25" customHeight="1">
      <c r="A533" s="1"/>
      <c r="B533" s="1"/>
      <c r="C533" s="107"/>
      <c r="D533" s="107"/>
      <c r="E533" s="107"/>
      <c r="F533" s="108"/>
      <c r="G533" s="1"/>
      <c r="H533" s="1"/>
      <c r="I533" s="1"/>
      <c r="J533" s="1"/>
      <c r="K533" s="1"/>
      <c r="L533" s="1"/>
      <c r="M533" s="1"/>
    </row>
    <row r="534" ht="14.25" customHeight="1">
      <c r="A534" s="1"/>
      <c r="B534" s="1"/>
      <c r="C534" s="107"/>
      <c r="D534" s="107"/>
      <c r="E534" s="107"/>
      <c r="F534" s="108"/>
      <c r="G534" s="1"/>
      <c r="H534" s="1"/>
      <c r="I534" s="1"/>
      <c r="J534" s="1"/>
      <c r="K534" s="1"/>
      <c r="L534" s="1"/>
      <c r="M534" s="1"/>
    </row>
    <row r="535" ht="14.25" customHeight="1">
      <c r="A535" s="1"/>
      <c r="B535" s="1"/>
      <c r="C535" s="107"/>
      <c r="D535" s="107"/>
      <c r="E535" s="107"/>
      <c r="F535" s="108"/>
      <c r="G535" s="1"/>
      <c r="H535" s="1"/>
      <c r="I535" s="1"/>
      <c r="J535" s="1"/>
      <c r="K535" s="1"/>
      <c r="L535" s="1"/>
      <c r="M535" s="1"/>
    </row>
    <row r="536" ht="14.25" customHeight="1">
      <c r="A536" s="1"/>
      <c r="B536" s="1"/>
      <c r="C536" s="107"/>
      <c r="D536" s="107"/>
      <c r="E536" s="107"/>
      <c r="F536" s="108"/>
      <c r="G536" s="1"/>
      <c r="H536" s="1"/>
      <c r="I536" s="1"/>
      <c r="J536" s="1"/>
      <c r="K536" s="1"/>
      <c r="L536" s="1"/>
      <c r="M536" s="1"/>
    </row>
    <row r="537" ht="14.25" customHeight="1">
      <c r="A537" s="1"/>
      <c r="B537" s="1"/>
      <c r="C537" s="107"/>
      <c r="D537" s="107"/>
      <c r="E537" s="107"/>
      <c r="F537" s="108"/>
      <c r="G537" s="1"/>
      <c r="H537" s="1"/>
      <c r="I537" s="1"/>
      <c r="J537" s="1"/>
      <c r="K537" s="1"/>
      <c r="L537" s="1"/>
      <c r="M537" s="1"/>
    </row>
    <row r="538" ht="14.25" customHeight="1">
      <c r="A538" s="1"/>
      <c r="B538" s="1"/>
      <c r="C538" s="107"/>
      <c r="D538" s="107"/>
      <c r="E538" s="107"/>
      <c r="F538" s="108"/>
      <c r="G538" s="1"/>
      <c r="H538" s="1"/>
      <c r="I538" s="1"/>
      <c r="J538" s="1"/>
      <c r="K538" s="1"/>
      <c r="L538" s="1"/>
      <c r="M538" s="1"/>
    </row>
    <row r="539" ht="14.25" customHeight="1">
      <c r="A539" s="1"/>
      <c r="B539" s="1"/>
      <c r="C539" s="107"/>
      <c r="D539" s="107"/>
      <c r="E539" s="107"/>
      <c r="F539" s="108"/>
      <c r="G539" s="1"/>
      <c r="H539" s="1"/>
      <c r="I539" s="1"/>
      <c r="J539" s="1"/>
      <c r="K539" s="1"/>
      <c r="L539" s="1"/>
      <c r="M539" s="1"/>
    </row>
    <row r="540" ht="14.25" customHeight="1">
      <c r="A540" s="1"/>
      <c r="B540" s="1"/>
      <c r="C540" s="107"/>
      <c r="D540" s="107"/>
      <c r="E540" s="107"/>
      <c r="F540" s="108"/>
      <c r="G540" s="1"/>
      <c r="H540" s="1"/>
      <c r="I540" s="1"/>
      <c r="J540" s="1"/>
      <c r="K540" s="1"/>
      <c r="L540" s="1"/>
      <c r="M540" s="1"/>
    </row>
    <row r="541" ht="14.25" customHeight="1">
      <c r="A541" s="1"/>
      <c r="B541" s="1"/>
      <c r="C541" s="107"/>
      <c r="D541" s="107"/>
      <c r="E541" s="107"/>
      <c r="F541" s="108"/>
      <c r="G541" s="1"/>
      <c r="H541" s="1"/>
      <c r="I541" s="1"/>
      <c r="J541" s="1"/>
      <c r="K541" s="1"/>
      <c r="L541" s="1"/>
      <c r="M541" s="1"/>
    </row>
    <row r="542" ht="14.25" customHeight="1">
      <c r="A542" s="1"/>
      <c r="B542" s="1"/>
      <c r="C542" s="107"/>
      <c r="D542" s="107"/>
      <c r="E542" s="107"/>
      <c r="F542" s="108"/>
      <c r="G542" s="1"/>
      <c r="H542" s="1"/>
      <c r="I542" s="1"/>
      <c r="J542" s="1"/>
      <c r="K542" s="1"/>
      <c r="L542" s="1"/>
      <c r="M542" s="1"/>
    </row>
    <row r="543" ht="14.25" customHeight="1">
      <c r="A543" s="1"/>
      <c r="B543" s="1"/>
      <c r="C543" s="107"/>
      <c r="D543" s="107"/>
      <c r="E543" s="107"/>
      <c r="F543" s="108"/>
      <c r="G543" s="1"/>
      <c r="H543" s="1"/>
      <c r="I543" s="1"/>
      <c r="J543" s="1"/>
      <c r="K543" s="1"/>
      <c r="L543" s="1"/>
      <c r="M543" s="1"/>
    </row>
    <row r="544" ht="14.25" customHeight="1">
      <c r="A544" s="1"/>
      <c r="B544" s="1"/>
      <c r="C544" s="107"/>
      <c r="D544" s="107"/>
      <c r="E544" s="107"/>
      <c r="F544" s="108"/>
      <c r="G544" s="1"/>
      <c r="H544" s="1"/>
      <c r="I544" s="1"/>
      <c r="J544" s="1"/>
      <c r="K544" s="1"/>
      <c r="L544" s="1"/>
      <c r="M544" s="1"/>
    </row>
    <row r="545" ht="14.25" customHeight="1">
      <c r="A545" s="1"/>
      <c r="B545" s="1"/>
      <c r="C545" s="107"/>
      <c r="D545" s="107"/>
      <c r="E545" s="107"/>
      <c r="F545" s="108"/>
      <c r="G545" s="1"/>
      <c r="H545" s="1"/>
      <c r="I545" s="1"/>
      <c r="J545" s="1"/>
      <c r="K545" s="1"/>
      <c r="L545" s="1"/>
      <c r="M545" s="1"/>
    </row>
    <row r="546" ht="14.25" customHeight="1">
      <c r="A546" s="1"/>
      <c r="B546" s="1"/>
      <c r="C546" s="107"/>
      <c r="D546" s="107"/>
      <c r="E546" s="107"/>
      <c r="F546" s="108"/>
      <c r="G546" s="1"/>
      <c r="H546" s="1"/>
      <c r="I546" s="1"/>
      <c r="J546" s="1"/>
      <c r="K546" s="1"/>
      <c r="L546" s="1"/>
      <c r="M546" s="1"/>
    </row>
    <row r="547" ht="14.25" customHeight="1">
      <c r="A547" s="1"/>
      <c r="B547" s="1"/>
      <c r="C547" s="107"/>
      <c r="D547" s="107"/>
      <c r="E547" s="107"/>
      <c r="F547" s="108"/>
      <c r="G547" s="1"/>
      <c r="H547" s="1"/>
      <c r="I547" s="1"/>
      <c r="J547" s="1"/>
      <c r="K547" s="1"/>
      <c r="L547" s="1"/>
      <c r="M547" s="1"/>
    </row>
    <row r="548" ht="14.25" customHeight="1">
      <c r="A548" s="1"/>
      <c r="B548" s="1"/>
      <c r="C548" s="107"/>
      <c r="D548" s="107"/>
      <c r="E548" s="107"/>
      <c r="F548" s="108"/>
      <c r="G548" s="1"/>
      <c r="H548" s="1"/>
      <c r="I548" s="1"/>
      <c r="J548" s="1"/>
      <c r="K548" s="1"/>
      <c r="L548" s="1"/>
      <c r="M548" s="1"/>
    </row>
    <row r="549" ht="14.25" customHeight="1">
      <c r="A549" s="1"/>
      <c r="B549" s="1"/>
      <c r="C549" s="107"/>
      <c r="D549" s="107"/>
      <c r="E549" s="107"/>
      <c r="F549" s="108"/>
      <c r="G549" s="1"/>
      <c r="H549" s="1"/>
      <c r="I549" s="1"/>
      <c r="J549" s="1"/>
      <c r="K549" s="1"/>
      <c r="L549" s="1"/>
      <c r="M549" s="1"/>
    </row>
    <row r="550" ht="14.25" customHeight="1">
      <c r="A550" s="1"/>
      <c r="B550" s="1"/>
      <c r="C550" s="107"/>
      <c r="D550" s="107"/>
      <c r="E550" s="107"/>
      <c r="F550" s="108"/>
      <c r="G550" s="1"/>
      <c r="H550" s="1"/>
      <c r="I550" s="1"/>
      <c r="J550" s="1"/>
      <c r="K550" s="1"/>
      <c r="L550" s="1"/>
      <c r="M550" s="1"/>
    </row>
    <row r="551" ht="14.25" customHeight="1">
      <c r="A551" s="1"/>
      <c r="B551" s="1"/>
      <c r="C551" s="107"/>
      <c r="D551" s="107"/>
      <c r="E551" s="107"/>
      <c r="F551" s="108"/>
      <c r="G551" s="1"/>
      <c r="H551" s="1"/>
      <c r="I551" s="1"/>
      <c r="J551" s="1"/>
      <c r="K551" s="1"/>
      <c r="L551" s="1"/>
      <c r="M551" s="1"/>
    </row>
    <row r="552" ht="14.25" customHeight="1">
      <c r="A552" s="1"/>
      <c r="B552" s="1"/>
      <c r="C552" s="107"/>
      <c r="D552" s="107"/>
      <c r="E552" s="107"/>
      <c r="F552" s="108"/>
      <c r="G552" s="1"/>
      <c r="H552" s="1"/>
      <c r="I552" s="1"/>
      <c r="J552" s="1"/>
      <c r="K552" s="1"/>
      <c r="L552" s="1"/>
      <c r="M552" s="1"/>
    </row>
    <row r="553" ht="14.25" customHeight="1">
      <c r="A553" s="1"/>
      <c r="B553" s="1"/>
      <c r="C553" s="107"/>
      <c r="D553" s="107"/>
      <c r="E553" s="107"/>
      <c r="F553" s="108"/>
      <c r="G553" s="1"/>
      <c r="H553" s="1"/>
      <c r="I553" s="1"/>
      <c r="J553" s="1"/>
      <c r="K553" s="1"/>
      <c r="L553" s="1"/>
      <c r="M553" s="1"/>
    </row>
    <row r="554" ht="14.25" customHeight="1">
      <c r="A554" s="1"/>
      <c r="B554" s="1"/>
      <c r="C554" s="107"/>
      <c r="D554" s="107"/>
      <c r="E554" s="107"/>
      <c r="F554" s="108"/>
      <c r="G554" s="1"/>
      <c r="H554" s="1"/>
      <c r="I554" s="1"/>
      <c r="J554" s="1"/>
      <c r="K554" s="1"/>
      <c r="L554" s="1"/>
      <c r="M554" s="1"/>
    </row>
    <row r="555" ht="14.25" customHeight="1">
      <c r="A555" s="1"/>
      <c r="B555" s="1"/>
      <c r="C555" s="107"/>
      <c r="D555" s="107"/>
      <c r="E555" s="107"/>
      <c r="F555" s="108"/>
      <c r="G555" s="1"/>
      <c r="H555" s="1"/>
      <c r="I555" s="1"/>
      <c r="J555" s="1"/>
      <c r="K555" s="1"/>
      <c r="L555" s="1"/>
      <c r="M555" s="1"/>
    </row>
    <row r="556" ht="15.0" customHeight="1">
      <c r="A556" s="1"/>
      <c r="B556" s="1"/>
      <c r="C556" s="107"/>
      <c r="D556" s="107"/>
      <c r="E556" s="107"/>
      <c r="F556" s="108"/>
      <c r="G556" s="1"/>
      <c r="H556" s="1"/>
      <c r="I556" s="1"/>
      <c r="J556" s="1"/>
      <c r="K556" s="1"/>
      <c r="L556" s="1"/>
      <c r="M556" s="1"/>
    </row>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G312:G321"/>
    <mergeCell ref="G341:G349"/>
    <mergeCell ref="B268:F268"/>
    <mergeCell ref="B278:D279"/>
    <mergeCell ref="B282:F282"/>
    <mergeCell ref="B294:F294"/>
    <mergeCell ref="G295:G300"/>
    <mergeCell ref="B306:D307"/>
    <mergeCell ref="B341:F341"/>
    <mergeCell ref="B1:F1"/>
    <mergeCell ref="B25:F25"/>
    <mergeCell ref="G27:G35"/>
    <mergeCell ref="B43:F43"/>
    <mergeCell ref="G45:G48"/>
    <mergeCell ref="B55:F55"/>
    <mergeCell ref="G55:G64"/>
    <mergeCell ref="G65:G67"/>
    <mergeCell ref="B73:F73"/>
    <mergeCell ref="G73:G77"/>
    <mergeCell ref="B84:D85"/>
    <mergeCell ref="B89:F89"/>
    <mergeCell ref="G92:G93"/>
    <mergeCell ref="B100:F100"/>
    <mergeCell ref="G103:G105"/>
    <mergeCell ref="B113:F113"/>
    <mergeCell ref="G115:G119"/>
    <mergeCell ref="G120:G122"/>
    <mergeCell ref="B128:F128"/>
    <mergeCell ref="G130:G133"/>
    <mergeCell ref="B138:F138"/>
    <mergeCell ref="G175:G176"/>
    <mergeCell ref="G182:G188"/>
    <mergeCell ref="G222:J234"/>
    <mergeCell ref="G240:G251"/>
    <mergeCell ref="G258:G262"/>
    <mergeCell ref="G269:G275"/>
    <mergeCell ref="G276:G279"/>
    <mergeCell ref="G140:G142"/>
    <mergeCell ref="G143:G147"/>
    <mergeCell ref="B153:F153"/>
    <mergeCell ref="G153:G154"/>
    <mergeCell ref="G155:G159"/>
    <mergeCell ref="B168:F168"/>
    <mergeCell ref="B182:F182"/>
    <mergeCell ref="B194:F194"/>
    <mergeCell ref="B204:F204"/>
    <mergeCell ref="B206:F206"/>
    <mergeCell ref="B219:F219"/>
    <mergeCell ref="B221:F221"/>
    <mergeCell ref="B239:F239"/>
    <mergeCell ref="B257:F257"/>
    <mergeCell ref="B311:F311"/>
    <mergeCell ref="B329:F329"/>
    <mergeCell ref="J329:M329"/>
  </mergeCells>
  <hyperlinks>
    <hyperlink display="Back" location="'Recipe Index'!CI61" ref="B11"/>
    <hyperlink display="HOME" location="'Recipe Index'!A2" ref="C11"/>
    <hyperlink display="Back" location="'Recipe Index'!CI61" ref="B41"/>
    <hyperlink display="HOME" location="'Recipe Index'!A2" ref="C41"/>
    <hyperlink display="Back" location="'Recipe Index'!CI61" ref="B49"/>
    <hyperlink display="HOME" location="'Recipe Index'!A2" ref="C49"/>
    <hyperlink display="Back" location="'Recipe Index'!CI61" ref="B68"/>
    <hyperlink display="HOME" location="'Recipe Index'!A2" ref="C68"/>
    <hyperlink display="Back" location="'Recipe Index'!CI61" ref="B88"/>
    <hyperlink display="HOME" location="'Recipe Index'!A2" ref="C88"/>
    <hyperlink display="Back" location="'Recipe Index'!CI61" ref="B97"/>
    <hyperlink display="HOME" location="'Recipe Index'!A2" ref="C97"/>
    <hyperlink display="Back" location="'Recipe Index'!CI61" ref="B111"/>
    <hyperlink display="HOME" location="'Recipe Index'!A2" ref="C111"/>
    <hyperlink display="Back" location="'Recipe Index'!CI61" ref="B124"/>
    <hyperlink display="HOME" location="'Recipe Index'!A2" ref="C124"/>
    <hyperlink display="Back" location="'Recipe Index'!CI61" ref="B134"/>
    <hyperlink display="HOME" location="'Recipe Index'!A2" ref="C134"/>
    <hyperlink display="Back" location="'Recipe Index'!CI61" ref="B151"/>
    <hyperlink display="HOME" location="'Recipe Index'!A2" ref="C151"/>
    <hyperlink display="Back" location="'Recipe Index'!CI61" ref="B162"/>
    <hyperlink display="HOME" location="'Recipe Index'!A2" ref="C162"/>
    <hyperlink display="Back" location="'Recipe Index'!CI61" ref="B180"/>
    <hyperlink display="HOME" location="'Recipe Index'!A2" ref="C180"/>
    <hyperlink display="Back" location="'Recipe Index'!CI61" ref="B192"/>
    <hyperlink display="HOME" location="'Recipe Index'!A2" ref="C192"/>
    <hyperlink display="Back" location="'Recipe Index'!CI61" ref="B200"/>
    <hyperlink display="HOME" location="'Recipe Index'!A2" ref="C200"/>
    <hyperlink display="Back" location="'Recipe Index'!CI61" ref="B215"/>
    <hyperlink display="HOME" location="'Recipe Index'!A2" ref="C215"/>
    <hyperlink display="Back" location="'Recipe Index'!CI61" ref="B235"/>
    <hyperlink display="HOME" location="'Recipe Index'!A2" ref="C235"/>
    <hyperlink display="Back" location="'Recipe Index'!CI61" ref="B253"/>
    <hyperlink display="HOME" location="'Recipe Index'!A2" ref="C253"/>
    <hyperlink display="Back" location="'Recipe Index'!CI61" ref="B264"/>
    <hyperlink display="HOME" location="'Recipe Index'!A2" ref="C264"/>
    <hyperlink display="Back" location="'Recipe Index'!CRI61" ref="B280"/>
    <hyperlink display="HOME" location="'Recipe Index'!A2" ref="C280"/>
    <hyperlink display="Back" location="'Recipe Index'!CI61" ref="B292"/>
    <hyperlink display="HOME" location="'Recipe Index'!A2" ref="C292"/>
    <hyperlink display="Back" location="'Recipe Index'!CI61" ref="B301"/>
    <hyperlink display="HOME" location="'Recipe Index'!A2" ref="C301"/>
    <hyperlink display="Back" location="'Recipe Index'!CI61" ref="B324"/>
    <hyperlink display="Back" location="'Recipe Index'!EA64" ref="I341"/>
    <hyperlink display="HOME" location="'Recipe Index'!A2" ref="J341"/>
  </hyperlink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7.38"/>
    <col customWidth="1" min="2" max="2" width="25.63"/>
    <col customWidth="1" min="3" max="3" width="10.25"/>
    <col customWidth="1" min="4" max="4" width="12.0"/>
    <col customWidth="1" min="5" max="5" width="5.25"/>
    <col customWidth="1" min="6" max="6" width="30.25"/>
    <col customWidth="1" min="7" max="7" width="29.63"/>
    <col customWidth="1" hidden="1" min="8" max="8" width="19.38"/>
    <col customWidth="1" min="9" max="9" width="10.25"/>
    <col customWidth="1" min="10" max="10" width="12.0"/>
    <col customWidth="1" min="11" max="11" width="27.38"/>
    <col customWidth="1" min="12" max="12" width="23.25"/>
    <col customWidth="1" min="13" max="13" width="11.75"/>
    <col customWidth="1" min="14" max="14" width="12.0"/>
    <col customWidth="1" min="15" max="26" width="14.38"/>
  </cols>
  <sheetData>
    <row r="1" ht="15.75" customHeight="1">
      <c r="A1" s="1"/>
      <c r="B1" s="46" t="s">
        <v>19</v>
      </c>
      <c r="C1" s="18"/>
      <c r="D1" s="18"/>
      <c r="E1" s="19"/>
      <c r="F1" s="48" t="s">
        <v>22</v>
      </c>
      <c r="G1" s="49"/>
      <c r="H1" s="49"/>
      <c r="I1" s="49"/>
      <c r="J1" s="49"/>
      <c r="K1" s="49"/>
      <c r="L1" s="49"/>
      <c r="M1" s="49"/>
      <c r="N1" s="49"/>
    </row>
    <row r="2" ht="15.75" customHeight="1">
      <c r="A2" s="1"/>
      <c r="B2" s="51" t="s">
        <v>1</v>
      </c>
      <c r="C2" s="53">
        <v>100.0</v>
      </c>
      <c r="D2" s="56">
        <v>35.0</v>
      </c>
      <c r="E2" s="59" t="s">
        <v>5</v>
      </c>
      <c r="F2" s="61"/>
      <c r="G2" s="49"/>
      <c r="H2" s="49"/>
      <c r="I2" s="49"/>
      <c r="J2" s="49"/>
      <c r="K2" s="49"/>
      <c r="L2" s="49"/>
      <c r="M2" s="49"/>
      <c r="N2" s="49"/>
    </row>
    <row r="3" ht="15.75" customHeight="1">
      <c r="A3" s="64" t="s">
        <v>29</v>
      </c>
      <c r="B3" s="68" t="s">
        <v>30</v>
      </c>
      <c r="C3" s="73">
        <v>8.0</v>
      </c>
      <c r="D3" s="78">
        <f t="shared" ref="D3:D16" si="1">(C3*D2)/C2</f>
        <v>2.8</v>
      </c>
      <c r="E3" s="81" t="s">
        <v>14</v>
      </c>
      <c r="F3" s="92" t="s">
        <v>45</v>
      </c>
      <c r="G3" s="49"/>
      <c r="H3" s="49"/>
      <c r="I3" s="49"/>
      <c r="J3" s="49"/>
      <c r="K3" s="49"/>
      <c r="L3" s="49"/>
      <c r="M3" s="49"/>
      <c r="N3" s="49"/>
    </row>
    <row r="4" ht="15.75" customHeight="1">
      <c r="A4" s="47"/>
      <c r="B4" s="93" t="s">
        <v>52</v>
      </c>
      <c r="C4" s="94">
        <v>100.0</v>
      </c>
      <c r="D4" s="78">
        <f t="shared" si="1"/>
        <v>35</v>
      </c>
      <c r="E4" s="95" t="s">
        <v>18</v>
      </c>
      <c r="F4" s="98"/>
      <c r="G4" s="49"/>
      <c r="H4" s="49"/>
      <c r="I4" s="49"/>
      <c r="J4" s="49"/>
      <c r="K4" s="49"/>
      <c r="L4" s="49"/>
      <c r="M4" s="49"/>
      <c r="N4" s="49"/>
    </row>
    <row r="5" ht="15.75" customHeight="1">
      <c r="A5" s="47"/>
      <c r="B5" s="93" t="s">
        <v>31</v>
      </c>
      <c r="C5" s="94">
        <v>700.0</v>
      </c>
      <c r="D5" s="78">
        <f t="shared" si="1"/>
        <v>245</v>
      </c>
      <c r="E5" s="95" t="s">
        <v>18</v>
      </c>
      <c r="F5" s="98"/>
      <c r="G5" s="49"/>
      <c r="H5" s="49"/>
      <c r="I5" s="49"/>
      <c r="J5" s="49"/>
      <c r="K5" s="49"/>
      <c r="L5" s="49"/>
      <c r="M5" s="49"/>
      <c r="N5" s="49"/>
    </row>
    <row r="6" ht="15.75" customHeight="1">
      <c r="A6" s="47"/>
      <c r="B6" s="93" t="s">
        <v>59</v>
      </c>
      <c r="C6" s="94">
        <v>25.0</v>
      </c>
      <c r="D6" s="78">
        <f t="shared" si="1"/>
        <v>8.75</v>
      </c>
      <c r="E6" s="95" t="s">
        <v>5</v>
      </c>
      <c r="F6" s="98"/>
      <c r="G6" s="49"/>
      <c r="H6" s="49"/>
      <c r="I6" s="49"/>
      <c r="J6" s="49"/>
      <c r="K6" s="49"/>
      <c r="L6" s="49"/>
      <c r="M6" s="49"/>
      <c r="N6" s="49"/>
    </row>
    <row r="7" ht="15.75" customHeight="1">
      <c r="A7" s="47"/>
      <c r="B7" s="93" t="s">
        <v>60</v>
      </c>
      <c r="C7" s="94">
        <v>1.0</v>
      </c>
      <c r="D7" s="78">
        <f t="shared" si="1"/>
        <v>0.35</v>
      </c>
      <c r="E7" s="95" t="s">
        <v>14</v>
      </c>
      <c r="F7" s="98"/>
      <c r="G7" s="49"/>
      <c r="H7" s="49"/>
      <c r="I7" s="49"/>
      <c r="J7" s="49"/>
      <c r="K7" s="49"/>
      <c r="L7" s="49"/>
      <c r="M7" s="49"/>
      <c r="N7" s="49"/>
    </row>
    <row r="8" ht="15.75" customHeight="1">
      <c r="A8" s="47"/>
      <c r="B8" s="93" t="s">
        <v>63</v>
      </c>
      <c r="C8" s="94">
        <v>75.0</v>
      </c>
      <c r="D8" s="78">
        <f t="shared" si="1"/>
        <v>26.25</v>
      </c>
      <c r="E8" s="95" t="s">
        <v>18</v>
      </c>
      <c r="F8" s="98"/>
      <c r="G8" s="49"/>
      <c r="H8" s="49"/>
      <c r="I8" s="49"/>
      <c r="J8" s="49"/>
      <c r="K8" s="49"/>
      <c r="L8" s="49"/>
      <c r="M8" s="49"/>
      <c r="N8" s="49"/>
    </row>
    <row r="9" ht="15.75" customHeight="1">
      <c r="A9" s="47"/>
      <c r="B9" s="105" t="s">
        <v>66</v>
      </c>
      <c r="C9" s="110">
        <v>20.0</v>
      </c>
      <c r="D9" s="56">
        <f t="shared" si="1"/>
        <v>7</v>
      </c>
      <c r="E9" s="114" t="s">
        <v>18</v>
      </c>
      <c r="F9" s="115"/>
      <c r="G9" s="49"/>
      <c r="H9" s="49"/>
      <c r="I9" s="49"/>
      <c r="J9" s="49"/>
      <c r="K9" s="49"/>
      <c r="L9" s="49"/>
      <c r="M9" s="49"/>
      <c r="N9" s="49"/>
    </row>
    <row r="10" ht="15.75" customHeight="1">
      <c r="A10" s="47"/>
      <c r="B10" s="119" t="s">
        <v>75</v>
      </c>
      <c r="C10" s="122">
        <v>400.0</v>
      </c>
      <c r="D10" s="129">
        <f t="shared" si="1"/>
        <v>140</v>
      </c>
      <c r="E10" s="132" t="s">
        <v>18</v>
      </c>
      <c r="F10" s="92" t="s">
        <v>78</v>
      </c>
      <c r="G10" s="49"/>
      <c r="H10" s="49"/>
      <c r="I10" s="49"/>
      <c r="J10" s="49"/>
      <c r="K10" s="49"/>
      <c r="L10" s="49"/>
      <c r="M10" s="49"/>
      <c r="N10" s="49"/>
    </row>
    <row r="11" ht="15.75" customHeight="1">
      <c r="A11" s="47"/>
      <c r="B11" s="93" t="s">
        <v>79</v>
      </c>
      <c r="C11" s="94">
        <v>2.0</v>
      </c>
      <c r="D11" s="78">
        <f t="shared" si="1"/>
        <v>0.7</v>
      </c>
      <c r="E11" s="95" t="s">
        <v>14</v>
      </c>
      <c r="F11" s="98"/>
      <c r="G11" s="49"/>
      <c r="H11" s="49"/>
      <c r="I11" s="49"/>
      <c r="J11" s="49"/>
      <c r="K11" s="49"/>
      <c r="L11" s="49"/>
      <c r="M11" s="49"/>
      <c r="N11" s="49"/>
    </row>
    <row r="12" ht="15.75" customHeight="1">
      <c r="A12" s="47"/>
      <c r="B12" s="93" t="s">
        <v>80</v>
      </c>
      <c r="C12" s="94">
        <v>3.0</v>
      </c>
      <c r="D12" s="78">
        <f t="shared" si="1"/>
        <v>1.05</v>
      </c>
      <c r="E12" s="95" t="s">
        <v>14</v>
      </c>
      <c r="F12" s="98"/>
      <c r="G12" s="49"/>
      <c r="H12" s="49"/>
      <c r="I12" s="49"/>
      <c r="J12" s="49"/>
      <c r="K12" s="49"/>
      <c r="L12" s="49"/>
      <c r="M12" s="49"/>
      <c r="N12" s="49"/>
    </row>
    <row r="13" ht="15.75" customHeight="1">
      <c r="A13" s="47"/>
      <c r="B13" s="93" t="s">
        <v>81</v>
      </c>
      <c r="C13" s="94">
        <v>650.0</v>
      </c>
      <c r="D13" s="78">
        <f t="shared" si="1"/>
        <v>227.5</v>
      </c>
      <c r="E13" s="95" t="s">
        <v>82</v>
      </c>
      <c r="F13" s="98"/>
      <c r="G13" s="49"/>
      <c r="H13" s="49"/>
      <c r="I13" s="49"/>
      <c r="J13" s="49"/>
      <c r="K13" s="49"/>
      <c r="L13" s="49"/>
      <c r="M13" s="49"/>
      <c r="N13" s="49"/>
    </row>
    <row r="14" ht="15.75" customHeight="1">
      <c r="A14" s="47"/>
      <c r="B14" s="93" t="s">
        <v>83</v>
      </c>
      <c r="C14" s="94">
        <v>150.0</v>
      </c>
      <c r="D14" s="78">
        <f t="shared" si="1"/>
        <v>52.5</v>
      </c>
      <c r="E14" s="95" t="s">
        <v>18</v>
      </c>
      <c r="F14" s="98"/>
      <c r="G14" s="49"/>
      <c r="H14" s="49"/>
      <c r="I14" s="49"/>
      <c r="J14" s="49"/>
      <c r="K14" s="49"/>
      <c r="L14" s="49"/>
      <c r="M14" s="49"/>
      <c r="N14" s="49"/>
    </row>
    <row r="15" ht="15.75" customHeight="1">
      <c r="A15" s="47"/>
      <c r="B15" s="93" t="s">
        <v>84</v>
      </c>
      <c r="C15" s="94">
        <v>150.0</v>
      </c>
      <c r="D15" s="78">
        <f t="shared" si="1"/>
        <v>52.5</v>
      </c>
      <c r="E15" s="95" t="s">
        <v>18</v>
      </c>
      <c r="F15" s="98"/>
      <c r="G15" s="49"/>
      <c r="H15" s="49"/>
      <c r="I15" s="49"/>
      <c r="J15" s="49"/>
      <c r="K15" s="49"/>
      <c r="L15" s="49"/>
      <c r="M15" s="49"/>
      <c r="N15" s="49"/>
    </row>
    <row r="16" ht="15.75" customHeight="1">
      <c r="A16" s="47"/>
      <c r="B16" s="138" t="s">
        <v>59</v>
      </c>
      <c r="C16" s="143">
        <v>75.0</v>
      </c>
      <c r="D16" s="146">
        <f t="shared" si="1"/>
        <v>26.25</v>
      </c>
      <c r="E16" s="151" t="s">
        <v>5</v>
      </c>
      <c r="F16" s="115"/>
      <c r="G16" s="49"/>
      <c r="H16" s="49"/>
      <c r="I16" s="49"/>
      <c r="J16" s="49"/>
      <c r="K16" s="49"/>
      <c r="L16" s="49"/>
      <c r="M16" s="49"/>
      <c r="N16" s="49"/>
    </row>
    <row r="17" ht="15.75" customHeight="1">
      <c r="A17" s="47"/>
      <c r="B17" s="68" t="s">
        <v>91</v>
      </c>
      <c r="C17" s="73">
        <v>1.0</v>
      </c>
      <c r="D17" s="155">
        <f>(C17*D23)/C23</f>
        <v>0.35</v>
      </c>
      <c r="E17" s="81" t="s">
        <v>5</v>
      </c>
      <c r="F17" s="92" t="s">
        <v>94</v>
      </c>
      <c r="G17" s="49"/>
      <c r="H17" s="49"/>
      <c r="I17" s="49"/>
      <c r="J17" s="49"/>
      <c r="K17" s="49"/>
      <c r="L17" s="49"/>
      <c r="M17" s="49"/>
      <c r="N17" s="49"/>
    </row>
    <row r="18" ht="15.75" customHeight="1">
      <c r="A18" s="47"/>
      <c r="B18" s="93" t="s">
        <v>95</v>
      </c>
      <c r="C18" s="94">
        <v>25.0</v>
      </c>
      <c r="D18" s="78">
        <f>(C18*D19)/C19</f>
        <v>8.75</v>
      </c>
      <c r="E18" s="95" t="s">
        <v>18</v>
      </c>
      <c r="F18" s="98"/>
      <c r="G18" s="49"/>
      <c r="H18" s="49"/>
      <c r="I18" s="49"/>
      <c r="J18" s="49"/>
      <c r="K18" s="49"/>
      <c r="L18" s="49"/>
      <c r="M18" s="49"/>
      <c r="N18" s="49"/>
    </row>
    <row r="19" ht="15.75" customHeight="1">
      <c r="A19" s="47"/>
      <c r="B19" s="93" t="s">
        <v>96</v>
      </c>
      <c r="C19" s="94">
        <v>10.0</v>
      </c>
      <c r="D19" s="78">
        <f>(C19*D22)/C22</f>
        <v>3.5</v>
      </c>
      <c r="E19" s="95" t="s">
        <v>18</v>
      </c>
      <c r="F19" s="98"/>
      <c r="G19" s="49"/>
      <c r="H19" s="49"/>
      <c r="I19" s="49"/>
      <c r="J19" s="49"/>
      <c r="K19" s="49"/>
      <c r="L19" s="49"/>
      <c r="M19" s="49"/>
      <c r="N19" s="49"/>
    </row>
    <row r="20" ht="15.75" customHeight="1">
      <c r="A20" s="47"/>
      <c r="B20" s="93" t="s">
        <v>97</v>
      </c>
      <c r="C20" s="94">
        <v>75.0</v>
      </c>
      <c r="D20" s="78">
        <f>(C20*D16)/C16</f>
        <v>26.25</v>
      </c>
      <c r="E20" s="95" t="s">
        <v>18</v>
      </c>
      <c r="F20" s="98"/>
      <c r="G20" s="49"/>
      <c r="H20" s="49"/>
      <c r="I20" s="49"/>
      <c r="J20" s="49"/>
      <c r="K20" s="49"/>
      <c r="L20" s="49"/>
      <c r="M20" s="49"/>
      <c r="N20" s="49"/>
    </row>
    <row r="21" ht="15.75" customHeight="1">
      <c r="A21" s="47"/>
      <c r="B21" s="93" t="s">
        <v>98</v>
      </c>
      <c r="C21" s="94">
        <v>50.0</v>
      </c>
      <c r="D21" s="78">
        <f t="shared" ref="D21:D22" si="2">(C21*D20)/C20</f>
        <v>17.5</v>
      </c>
      <c r="E21" s="95" t="s">
        <v>18</v>
      </c>
      <c r="F21" s="98"/>
      <c r="G21" s="49"/>
      <c r="H21" s="49"/>
      <c r="I21" s="49"/>
      <c r="J21" s="49"/>
      <c r="K21" s="49"/>
      <c r="L21" s="49"/>
      <c r="M21" s="49"/>
      <c r="N21" s="49"/>
    </row>
    <row r="22" ht="15.75" customHeight="1">
      <c r="A22" s="47"/>
      <c r="B22" s="93" t="s">
        <v>101</v>
      </c>
      <c r="C22" s="94">
        <v>1.0</v>
      </c>
      <c r="D22" s="78">
        <f t="shared" si="2"/>
        <v>0.35</v>
      </c>
      <c r="E22" s="95" t="s">
        <v>5</v>
      </c>
      <c r="F22" s="98"/>
      <c r="G22" s="49"/>
      <c r="H22" s="49"/>
      <c r="I22" s="49"/>
      <c r="J22" s="49"/>
      <c r="K22" s="49"/>
      <c r="L22" s="49"/>
      <c r="M22" s="49"/>
      <c r="N22" s="49"/>
    </row>
    <row r="23" ht="15.75" customHeight="1">
      <c r="A23" s="47"/>
      <c r="B23" s="138" t="s">
        <v>103</v>
      </c>
      <c r="C23" s="143">
        <v>50.0</v>
      </c>
      <c r="D23" s="146">
        <f t="shared" ref="D23:D30" si="3">(C23*D18)/C18</f>
        <v>17.5</v>
      </c>
      <c r="E23" s="151" t="s">
        <v>18</v>
      </c>
      <c r="F23" s="115"/>
      <c r="G23" s="49"/>
      <c r="H23" s="49"/>
      <c r="I23" s="49"/>
      <c r="J23" s="49"/>
      <c r="K23" s="49"/>
      <c r="L23" s="49"/>
      <c r="M23" s="49"/>
      <c r="N23" s="49"/>
    </row>
    <row r="24" ht="15.75" customHeight="1">
      <c r="A24" s="168" t="s">
        <v>106</v>
      </c>
      <c r="B24" s="68" t="s">
        <v>109</v>
      </c>
      <c r="C24" s="73">
        <v>11.0</v>
      </c>
      <c r="D24" s="155">
        <f t="shared" si="3"/>
        <v>3.85</v>
      </c>
      <c r="E24" s="81" t="s">
        <v>14</v>
      </c>
      <c r="F24" s="92" t="s">
        <v>110</v>
      </c>
      <c r="G24" s="49"/>
      <c r="H24" s="49"/>
      <c r="I24" s="49"/>
      <c r="J24" s="49"/>
      <c r="K24" s="49"/>
      <c r="L24" s="49"/>
      <c r="M24" s="49"/>
      <c r="N24" s="49"/>
    </row>
    <row r="25" ht="15.75" customHeight="1">
      <c r="A25" s="47"/>
      <c r="B25" s="93" t="s">
        <v>52</v>
      </c>
      <c r="C25" s="94">
        <v>125.0</v>
      </c>
      <c r="D25" s="78">
        <f t="shared" si="3"/>
        <v>43.75</v>
      </c>
      <c r="E25" s="95" t="s">
        <v>18</v>
      </c>
      <c r="F25" s="98"/>
      <c r="G25" s="49"/>
      <c r="H25" s="49"/>
      <c r="I25" s="49"/>
      <c r="J25" s="49"/>
      <c r="K25" s="49"/>
      <c r="L25" s="49"/>
      <c r="M25" s="49"/>
      <c r="N25" s="49"/>
    </row>
    <row r="26" ht="15.75" customHeight="1">
      <c r="A26" s="47"/>
      <c r="B26" s="93" t="s">
        <v>112</v>
      </c>
      <c r="C26" s="94">
        <v>100.0</v>
      </c>
      <c r="D26" s="78">
        <f t="shared" si="3"/>
        <v>35</v>
      </c>
      <c r="E26" s="95" t="s">
        <v>18</v>
      </c>
      <c r="F26" s="98"/>
      <c r="G26" s="49"/>
      <c r="H26" s="49"/>
      <c r="I26" s="49"/>
      <c r="J26" s="49"/>
      <c r="K26" s="49"/>
      <c r="L26" s="49"/>
      <c r="M26" s="49"/>
      <c r="N26" s="49"/>
    </row>
    <row r="27" ht="15.75" customHeight="1">
      <c r="A27" s="47"/>
      <c r="B27" s="93" t="s">
        <v>103</v>
      </c>
      <c r="C27" s="94">
        <v>50.0</v>
      </c>
      <c r="D27" s="78">
        <f t="shared" si="3"/>
        <v>17.5</v>
      </c>
      <c r="E27" s="95" t="s">
        <v>18</v>
      </c>
      <c r="F27" s="98"/>
      <c r="G27" s="49"/>
      <c r="H27" s="49"/>
      <c r="I27" s="49"/>
      <c r="J27" s="49"/>
      <c r="K27" s="49"/>
      <c r="L27" s="49"/>
      <c r="M27" s="49"/>
      <c r="N27" s="49"/>
    </row>
    <row r="28" ht="18.0" customHeight="1">
      <c r="A28" s="47"/>
      <c r="B28" s="93" t="s">
        <v>91</v>
      </c>
      <c r="C28" s="94">
        <v>1.5</v>
      </c>
      <c r="D28" s="78">
        <f t="shared" si="3"/>
        <v>0.525</v>
      </c>
      <c r="E28" s="95" t="s">
        <v>5</v>
      </c>
      <c r="F28" s="98"/>
      <c r="G28" s="49"/>
      <c r="H28" s="49"/>
      <c r="I28" s="49"/>
      <c r="J28" s="49"/>
      <c r="K28" s="49"/>
      <c r="L28" s="49"/>
      <c r="M28" s="49"/>
      <c r="N28" s="49"/>
    </row>
    <row r="29" ht="18.0" customHeight="1">
      <c r="A29" s="47"/>
      <c r="B29" s="93" t="s">
        <v>113</v>
      </c>
      <c r="C29" s="94">
        <v>75.0</v>
      </c>
      <c r="D29" s="78">
        <f t="shared" si="3"/>
        <v>26.25</v>
      </c>
      <c r="E29" s="95" t="s">
        <v>18</v>
      </c>
      <c r="F29" s="98"/>
      <c r="G29" s="49"/>
      <c r="H29" s="49"/>
      <c r="I29" s="49"/>
      <c r="J29" s="49"/>
      <c r="K29" s="49"/>
      <c r="L29" s="49"/>
      <c r="M29" s="49"/>
      <c r="N29" s="49"/>
    </row>
    <row r="30" ht="18.0" customHeight="1">
      <c r="A30" s="76"/>
      <c r="B30" s="93" t="s">
        <v>31</v>
      </c>
      <c r="C30" s="94">
        <v>300.0</v>
      </c>
      <c r="D30" s="78">
        <f t="shared" si="3"/>
        <v>105</v>
      </c>
      <c r="E30" s="95" t="s">
        <v>18</v>
      </c>
      <c r="F30" s="115"/>
      <c r="G30" s="49"/>
      <c r="H30" s="49"/>
      <c r="I30" s="49"/>
      <c r="J30" s="49"/>
      <c r="K30" s="49"/>
      <c r="L30" s="49"/>
      <c r="M30" s="49"/>
      <c r="N30" s="49"/>
    </row>
    <row r="31" ht="18.0" customHeight="1">
      <c r="A31" s="1"/>
      <c r="B31" s="173" t="s">
        <v>114</v>
      </c>
      <c r="C31" s="178">
        <v>3.0</v>
      </c>
      <c r="D31" s="179">
        <f t="shared" ref="D31:D32" si="4">(C31*D27)/C27</f>
        <v>1.05</v>
      </c>
      <c r="E31" s="180" t="s">
        <v>5</v>
      </c>
      <c r="F31" s="61" t="s">
        <v>115</v>
      </c>
      <c r="G31" s="49"/>
      <c r="H31" s="181"/>
      <c r="I31" s="49"/>
      <c r="J31" s="49"/>
      <c r="K31" s="49"/>
      <c r="L31" s="49"/>
      <c r="M31" s="49"/>
      <c r="N31" s="49"/>
    </row>
    <row r="32" ht="18.0" customHeight="1">
      <c r="A32" s="1"/>
      <c r="B32" s="173" t="s">
        <v>116</v>
      </c>
      <c r="C32" s="178">
        <v>100.0</v>
      </c>
      <c r="D32" s="179">
        <f t="shared" si="4"/>
        <v>35</v>
      </c>
      <c r="E32" s="180" t="s">
        <v>117</v>
      </c>
      <c r="F32" s="61" t="s">
        <v>118</v>
      </c>
      <c r="G32" s="49"/>
      <c r="H32" s="49"/>
      <c r="I32" s="49"/>
      <c r="J32" s="49"/>
      <c r="K32" s="49"/>
      <c r="L32" s="49"/>
      <c r="M32" s="49"/>
      <c r="N32" s="49"/>
    </row>
    <row r="33" ht="18.0" customHeight="1">
      <c r="A33" s="1"/>
      <c r="B33" s="182" t="s">
        <v>119</v>
      </c>
      <c r="C33" s="183" t="s">
        <v>47</v>
      </c>
      <c r="D33" s="184"/>
      <c r="E33" s="1"/>
      <c r="F33" s="49"/>
      <c r="G33" s="49"/>
      <c r="H33" s="49"/>
      <c r="I33" s="49"/>
      <c r="J33" s="49"/>
      <c r="K33" s="49"/>
      <c r="L33" s="49"/>
      <c r="M33" s="49"/>
      <c r="N33" s="49"/>
    </row>
    <row r="34" ht="18.0" customHeight="1">
      <c r="A34" s="1"/>
      <c r="B34" s="185" t="s">
        <v>49</v>
      </c>
      <c r="C34" s="199">
        <v>40807.0</v>
      </c>
      <c r="D34" s="184"/>
      <c r="E34" s="1"/>
      <c r="F34" s="49"/>
      <c r="G34" s="49"/>
      <c r="H34" s="49"/>
      <c r="I34" s="49"/>
      <c r="J34" s="49"/>
      <c r="K34" s="49"/>
      <c r="L34" s="49"/>
      <c r="M34" s="49"/>
      <c r="N34" s="49"/>
    </row>
    <row r="35" ht="18.0" customHeight="1">
      <c r="A35" s="1"/>
      <c r="B35" s="203" t="s">
        <v>50</v>
      </c>
      <c r="C35" s="205">
        <v>41758.0</v>
      </c>
      <c r="D35" s="184"/>
      <c r="E35" s="1"/>
      <c r="F35" s="49"/>
      <c r="G35" s="49"/>
      <c r="H35" s="49"/>
      <c r="I35" s="49"/>
      <c r="J35" s="49"/>
      <c r="K35" s="49"/>
      <c r="L35" s="49"/>
      <c r="M35" s="49"/>
      <c r="N35" s="49"/>
    </row>
    <row r="36" ht="15.0" customHeight="1">
      <c r="A36" s="193"/>
      <c r="B36" s="206" t="s">
        <v>125</v>
      </c>
      <c r="C36" s="5"/>
      <c r="D36" s="5"/>
      <c r="E36" s="6"/>
      <c r="F36" s="207"/>
      <c r="G36" s="49"/>
      <c r="H36" s="49"/>
      <c r="I36" s="49"/>
      <c r="J36" s="49"/>
      <c r="K36" s="49"/>
      <c r="L36" s="49"/>
      <c r="M36" s="49"/>
      <c r="N36" s="49"/>
    </row>
    <row r="37" ht="15.75" customHeight="1">
      <c r="A37" s="193"/>
      <c r="B37" s="68" t="s">
        <v>1</v>
      </c>
      <c r="C37" s="210">
        <v>50.0</v>
      </c>
      <c r="D37" s="155">
        <v>22.0</v>
      </c>
      <c r="E37" s="216" t="s">
        <v>5</v>
      </c>
      <c r="F37" s="207"/>
      <c r="G37" s="49"/>
      <c r="H37" s="49"/>
      <c r="I37" s="49"/>
      <c r="J37" s="49"/>
      <c r="K37" s="49"/>
      <c r="L37" s="49"/>
      <c r="M37" s="49"/>
      <c r="N37" s="49"/>
    </row>
    <row r="38" ht="15.0" customHeight="1">
      <c r="A38" s="193"/>
      <c r="B38" s="138" t="s">
        <v>129</v>
      </c>
      <c r="C38" s="239">
        <v>10.0</v>
      </c>
      <c r="D38" s="146">
        <f t="shared" ref="D38:D56" si="5">(C38*D37)/C37</f>
        <v>4.4</v>
      </c>
      <c r="E38" s="242" t="s">
        <v>14</v>
      </c>
      <c r="F38" s="207"/>
      <c r="G38" s="49"/>
      <c r="H38" s="49"/>
      <c r="I38" s="49"/>
      <c r="J38" s="49"/>
      <c r="K38" s="49"/>
      <c r="L38" s="49"/>
      <c r="M38" s="49"/>
      <c r="N38" s="49"/>
    </row>
    <row r="39" ht="15.0" customHeight="1">
      <c r="A39" s="1"/>
      <c r="B39" s="68" t="s">
        <v>91</v>
      </c>
      <c r="C39" s="210">
        <v>1.5</v>
      </c>
      <c r="D39" s="155">
        <f t="shared" si="5"/>
        <v>0.66</v>
      </c>
      <c r="E39" s="216" t="s">
        <v>5</v>
      </c>
      <c r="F39" s="44" t="s">
        <v>143</v>
      </c>
      <c r="G39" s="49"/>
      <c r="H39" s="49"/>
      <c r="I39" s="49"/>
      <c r="J39" s="49"/>
      <c r="K39" s="49"/>
      <c r="L39" s="49"/>
      <c r="M39" s="49"/>
      <c r="N39" s="49"/>
    </row>
    <row r="40" ht="15.0" customHeight="1">
      <c r="A40" s="1"/>
      <c r="B40" s="93" t="s">
        <v>97</v>
      </c>
      <c r="C40" s="247">
        <v>80.0</v>
      </c>
      <c r="D40" s="78">
        <f t="shared" si="5"/>
        <v>35.2</v>
      </c>
      <c r="E40" s="249" t="s">
        <v>18</v>
      </c>
      <c r="F40" s="47"/>
      <c r="G40" s="49"/>
      <c r="H40" s="49"/>
      <c r="I40" s="49"/>
      <c r="J40" s="49"/>
      <c r="K40" s="49"/>
      <c r="L40" s="49"/>
      <c r="M40" s="49"/>
      <c r="N40" s="49"/>
    </row>
    <row r="41" ht="15.0" customHeight="1">
      <c r="A41" s="1"/>
      <c r="B41" s="138" t="s">
        <v>84</v>
      </c>
      <c r="C41" s="239">
        <v>250.0</v>
      </c>
      <c r="D41" s="146">
        <f t="shared" si="5"/>
        <v>110</v>
      </c>
      <c r="E41" s="242" t="s">
        <v>18</v>
      </c>
      <c r="F41" s="47"/>
      <c r="G41" s="49"/>
      <c r="H41" s="49"/>
      <c r="I41" s="49"/>
      <c r="J41" s="49"/>
      <c r="K41" s="49"/>
      <c r="L41" s="49"/>
      <c r="M41" s="49"/>
      <c r="N41" s="49"/>
    </row>
    <row r="42" ht="15.0" customHeight="1">
      <c r="A42" s="1"/>
      <c r="B42" s="93" t="s">
        <v>148</v>
      </c>
      <c r="C42" s="247">
        <v>200.0</v>
      </c>
      <c r="D42" s="78">
        <f t="shared" si="5"/>
        <v>88</v>
      </c>
      <c r="E42" s="249" t="s">
        <v>18</v>
      </c>
      <c r="F42" s="47"/>
      <c r="G42" s="49"/>
      <c r="H42" s="49"/>
      <c r="I42" s="49"/>
      <c r="J42" s="49"/>
      <c r="K42" s="49"/>
      <c r="L42" s="49"/>
      <c r="M42" s="49"/>
      <c r="N42" s="49"/>
    </row>
    <row r="43" ht="15.0" customHeight="1">
      <c r="A43" s="1"/>
      <c r="B43" s="93" t="s">
        <v>103</v>
      </c>
      <c r="C43" s="247">
        <v>50.0</v>
      </c>
      <c r="D43" s="78">
        <f t="shared" si="5"/>
        <v>22</v>
      </c>
      <c r="E43" s="249" t="s">
        <v>18</v>
      </c>
      <c r="F43" s="47"/>
      <c r="G43" s="49"/>
      <c r="H43" s="49"/>
      <c r="I43" s="49"/>
      <c r="J43" s="49"/>
      <c r="K43" s="49"/>
      <c r="L43" s="49"/>
      <c r="M43" s="49"/>
      <c r="N43" s="49"/>
    </row>
    <row r="44" ht="15.0" customHeight="1">
      <c r="A44" s="1"/>
      <c r="B44" s="93" t="s">
        <v>101</v>
      </c>
      <c r="C44" s="247">
        <v>1.0</v>
      </c>
      <c r="D44" s="78">
        <f t="shared" si="5"/>
        <v>0.44</v>
      </c>
      <c r="E44" s="249" t="s">
        <v>5</v>
      </c>
      <c r="F44" s="47"/>
      <c r="G44" s="49"/>
      <c r="H44" s="49"/>
      <c r="I44" s="49"/>
      <c r="J44" s="49"/>
      <c r="K44" s="49"/>
      <c r="L44" s="49"/>
      <c r="M44" s="49"/>
      <c r="N44" s="49"/>
    </row>
    <row r="45" ht="15.75" customHeight="1">
      <c r="A45" s="1"/>
      <c r="B45" s="93" t="s">
        <v>52</v>
      </c>
      <c r="C45" s="247">
        <v>40.0</v>
      </c>
      <c r="D45" s="78">
        <f t="shared" si="5"/>
        <v>17.6</v>
      </c>
      <c r="E45" s="249" t="s">
        <v>18</v>
      </c>
      <c r="F45" s="76"/>
      <c r="G45" s="49"/>
      <c r="H45" s="49"/>
      <c r="I45" s="49"/>
      <c r="J45" s="49"/>
      <c r="K45" s="49"/>
      <c r="L45" s="49"/>
      <c r="M45" s="49"/>
      <c r="N45" s="49"/>
    </row>
    <row r="46" ht="15.75" customHeight="1">
      <c r="A46" s="1"/>
      <c r="B46" s="68" t="s">
        <v>150</v>
      </c>
      <c r="C46" s="210">
        <v>1.5</v>
      </c>
      <c r="D46" s="155">
        <f t="shared" si="5"/>
        <v>0.66</v>
      </c>
      <c r="E46" s="216" t="s">
        <v>14</v>
      </c>
      <c r="F46" s="44" t="s">
        <v>151</v>
      </c>
      <c r="G46" s="49"/>
      <c r="H46" s="49"/>
      <c r="I46" s="49"/>
      <c r="J46" s="49"/>
      <c r="K46" s="49"/>
      <c r="L46" s="49"/>
      <c r="M46" s="49"/>
      <c r="N46" s="49"/>
    </row>
    <row r="47" ht="15.0" customHeight="1">
      <c r="A47" s="1"/>
      <c r="B47" s="93" t="s">
        <v>152</v>
      </c>
      <c r="C47" s="247">
        <v>1.5</v>
      </c>
      <c r="D47" s="78">
        <f t="shared" si="5"/>
        <v>0.66</v>
      </c>
      <c r="E47" s="249" t="s">
        <v>14</v>
      </c>
      <c r="F47" s="47"/>
      <c r="G47" s="49"/>
      <c r="H47" s="49"/>
      <c r="I47" s="49"/>
      <c r="J47" s="49"/>
      <c r="K47" s="49"/>
      <c r="L47" s="49"/>
      <c r="M47" s="49"/>
      <c r="N47" s="49"/>
    </row>
    <row r="48" ht="15.0" customHeight="1">
      <c r="A48" s="1"/>
      <c r="B48" s="93" t="s">
        <v>153</v>
      </c>
      <c r="C48" s="247">
        <v>1.5</v>
      </c>
      <c r="D48" s="78">
        <f t="shared" si="5"/>
        <v>0.66</v>
      </c>
      <c r="E48" s="249" t="s">
        <v>14</v>
      </c>
      <c r="F48" s="47"/>
      <c r="G48" s="49"/>
      <c r="H48" s="49"/>
      <c r="I48" s="49"/>
      <c r="J48" s="49"/>
      <c r="K48" s="49"/>
      <c r="L48" s="49"/>
      <c r="M48" s="49"/>
      <c r="N48" s="49"/>
    </row>
    <row r="49" ht="15.0" customHeight="1">
      <c r="A49" s="1"/>
      <c r="B49" s="93" t="s">
        <v>154</v>
      </c>
      <c r="C49" s="247">
        <v>1.5</v>
      </c>
      <c r="D49" s="78">
        <f t="shared" si="5"/>
        <v>0.66</v>
      </c>
      <c r="E49" s="249" t="s">
        <v>14</v>
      </c>
      <c r="F49" s="47"/>
      <c r="G49" s="49"/>
      <c r="H49" s="49"/>
      <c r="I49" s="49"/>
      <c r="J49" s="49"/>
      <c r="K49" s="49"/>
      <c r="L49" s="49"/>
      <c r="M49" s="49"/>
      <c r="N49" s="49"/>
    </row>
    <row r="50" ht="15.0" customHeight="1">
      <c r="A50" s="1"/>
      <c r="B50" s="138" t="s">
        <v>155</v>
      </c>
      <c r="C50" s="239">
        <v>1.5</v>
      </c>
      <c r="D50" s="146">
        <f t="shared" si="5"/>
        <v>0.66</v>
      </c>
      <c r="E50" s="242" t="s">
        <v>14</v>
      </c>
      <c r="F50" s="76"/>
      <c r="G50" s="49"/>
      <c r="H50" s="49"/>
      <c r="I50" s="49"/>
      <c r="J50" s="49"/>
      <c r="K50" s="49"/>
      <c r="L50" s="49"/>
      <c r="M50" s="49"/>
      <c r="N50" s="49"/>
    </row>
    <row r="51" ht="15.0" customHeight="1">
      <c r="A51" s="1"/>
      <c r="B51" s="68" t="s">
        <v>31</v>
      </c>
      <c r="C51" s="210">
        <v>70.0</v>
      </c>
      <c r="D51" s="155">
        <f t="shared" si="5"/>
        <v>30.8</v>
      </c>
      <c r="E51" s="216" t="s">
        <v>156</v>
      </c>
      <c r="F51" s="144"/>
      <c r="G51" s="49"/>
      <c r="H51" s="49"/>
      <c r="I51" s="49"/>
      <c r="J51" s="49"/>
      <c r="K51" s="49"/>
      <c r="L51" s="49"/>
      <c r="M51" s="49"/>
      <c r="N51" s="49"/>
    </row>
    <row r="52" ht="15.75" customHeight="1">
      <c r="A52" s="1"/>
      <c r="B52" s="93" t="s">
        <v>157</v>
      </c>
      <c r="C52" s="247">
        <v>32.0</v>
      </c>
      <c r="D52" s="78">
        <f t="shared" si="5"/>
        <v>14.08</v>
      </c>
      <c r="E52" s="249" t="s">
        <v>5</v>
      </c>
      <c r="F52" s="264" t="s">
        <v>159</v>
      </c>
      <c r="G52" s="49"/>
      <c r="H52" s="49"/>
      <c r="I52" s="49"/>
      <c r="J52" s="49"/>
      <c r="K52" s="49"/>
      <c r="L52" s="49"/>
      <c r="M52" s="49"/>
      <c r="N52" s="49"/>
    </row>
    <row r="53" ht="15.75" customHeight="1">
      <c r="A53" s="1"/>
      <c r="B53" s="93" t="s">
        <v>31</v>
      </c>
      <c r="C53" s="247">
        <v>630.0</v>
      </c>
      <c r="D53" s="78">
        <f t="shared" si="5"/>
        <v>277.2</v>
      </c>
      <c r="E53" s="249" t="s">
        <v>18</v>
      </c>
      <c r="F53" s="66"/>
      <c r="G53" s="49"/>
      <c r="H53" s="49"/>
      <c r="I53" s="49"/>
      <c r="J53" s="49"/>
      <c r="K53" s="49"/>
      <c r="L53" s="49"/>
      <c r="M53" s="49"/>
      <c r="N53" s="49"/>
    </row>
    <row r="54" ht="15.75" customHeight="1">
      <c r="A54" s="1"/>
      <c r="B54" s="93" t="s">
        <v>160</v>
      </c>
      <c r="C54" s="247">
        <v>180.0</v>
      </c>
      <c r="D54" s="78">
        <f t="shared" si="5"/>
        <v>79.2</v>
      </c>
      <c r="E54" s="249" t="s">
        <v>18</v>
      </c>
      <c r="F54" s="66"/>
      <c r="G54" s="49"/>
      <c r="H54" s="49"/>
      <c r="I54" s="49"/>
      <c r="J54" s="49"/>
      <c r="K54" s="49"/>
      <c r="L54" s="49"/>
      <c r="M54" s="49"/>
      <c r="N54" s="49"/>
    </row>
    <row r="55" ht="15.0" customHeight="1">
      <c r="A55" s="1"/>
      <c r="B55" s="93" t="s">
        <v>13</v>
      </c>
      <c r="C55" s="247">
        <v>0.6</v>
      </c>
      <c r="D55" s="78">
        <f t="shared" si="5"/>
        <v>0.264</v>
      </c>
      <c r="E55" s="249" t="s">
        <v>14</v>
      </c>
      <c r="F55" s="66"/>
      <c r="G55" s="49"/>
      <c r="H55" s="49"/>
      <c r="I55" s="49"/>
      <c r="J55" s="49"/>
      <c r="K55" s="49"/>
      <c r="L55" s="49"/>
      <c r="M55" s="49"/>
      <c r="N55" s="49"/>
    </row>
    <row r="56" ht="15.0" customHeight="1">
      <c r="A56" s="1"/>
      <c r="B56" s="149" t="s">
        <v>114</v>
      </c>
      <c r="C56" s="272">
        <v>2.0</v>
      </c>
      <c r="D56" s="274">
        <f t="shared" si="5"/>
        <v>0.88</v>
      </c>
      <c r="E56" s="288" t="s">
        <v>5</v>
      </c>
      <c r="F56" s="106"/>
      <c r="G56" s="49"/>
      <c r="H56" s="49"/>
      <c r="I56" s="49"/>
      <c r="J56" s="49"/>
      <c r="K56" s="49"/>
      <c r="L56" s="49"/>
      <c r="M56" s="49"/>
      <c r="N56" s="49"/>
    </row>
    <row r="57" ht="15.0" customHeight="1">
      <c r="A57" s="1"/>
      <c r="B57" s="294" t="s">
        <v>168</v>
      </c>
      <c r="C57" s="5"/>
      <c r="D57" s="6"/>
      <c r="E57" s="1"/>
      <c r="F57" s="49"/>
      <c r="G57" s="49"/>
      <c r="H57" s="49"/>
      <c r="I57" s="49"/>
      <c r="J57" s="49"/>
      <c r="K57" s="49"/>
      <c r="L57" s="49"/>
      <c r="M57" s="49"/>
      <c r="N57" s="49"/>
    </row>
    <row r="58" ht="14.25" customHeight="1">
      <c r="A58" s="1"/>
      <c r="B58" s="102"/>
      <c r="C58" s="104"/>
      <c r="D58" s="106"/>
      <c r="E58" s="1"/>
      <c r="F58" s="49"/>
      <c r="G58" s="49"/>
      <c r="H58" s="49"/>
      <c r="I58" s="49"/>
      <c r="J58" s="49"/>
      <c r="K58" s="49"/>
      <c r="L58" s="49"/>
      <c r="M58" s="49"/>
      <c r="N58" s="49"/>
    </row>
    <row r="59" ht="15.0" customHeight="1">
      <c r="A59" s="1"/>
      <c r="B59" s="299" t="s">
        <v>119</v>
      </c>
      <c r="C59" s="258" t="s">
        <v>47</v>
      </c>
      <c r="D59" s="184"/>
      <c r="E59" s="1"/>
      <c r="F59" s="49"/>
      <c r="G59" s="49"/>
      <c r="H59" s="49"/>
      <c r="I59" s="49"/>
      <c r="J59" s="49"/>
      <c r="K59" s="49"/>
      <c r="L59" s="49"/>
      <c r="M59" s="49"/>
      <c r="N59" s="49"/>
    </row>
    <row r="60" ht="15.0" customHeight="1">
      <c r="A60" s="1"/>
      <c r="B60" s="302" t="s">
        <v>49</v>
      </c>
      <c r="C60" s="303">
        <v>40787.0</v>
      </c>
      <c r="D60" s="184"/>
      <c r="E60" s="1"/>
      <c r="F60" s="49"/>
      <c r="G60" s="49"/>
      <c r="H60" s="49"/>
      <c r="I60" s="49"/>
      <c r="J60" s="49"/>
      <c r="K60" s="49"/>
      <c r="L60" s="49"/>
      <c r="M60" s="49"/>
      <c r="N60" s="49"/>
    </row>
    <row r="61" ht="15.0" customHeight="1">
      <c r="A61" s="1"/>
      <c r="B61" s="305" t="s">
        <v>50</v>
      </c>
      <c r="C61" s="308">
        <v>42502.0</v>
      </c>
      <c r="D61" s="184"/>
      <c r="E61" s="1"/>
      <c r="F61" s="49"/>
      <c r="G61" s="49"/>
      <c r="H61" s="49"/>
      <c r="I61" s="49"/>
      <c r="J61" s="49"/>
      <c r="K61" s="49"/>
      <c r="L61" s="49"/>
      <c r="M61" s="49"/>
      <c r="N61" s="49"/>
    </row>
    <row r="62" ht="15.0" customHeight="1">
      <c r="A62" s="1"/>
      <c r="B62" s="310"/>
      <c r="C62" s="315"/>
      <c r="D62" s="184"/>
      <c r="E62" s="1"/>
      <c r="F62" s="49"/>
      <c r="G62" s="49"/>
      <c r="H62" s="49"/>
      <c r="I62" s="49"/>
      <c r="J62" s="49"/>
      <c r="K62" s="49"/>
      <c r="L62" s="49"/>
      <c r="M62" s="49"/>
      <c r="N62" s="49"/>
    </row>
    <row r="63" ht="15.0" customHeight="1">
      <c r="A63" s="1"/>
      <c r="B63" s="320" t="s">
        <v>174</v>
      </c>
      <c r="C63" s="5"/>
      <c r="D63" s="5"/>
      <c r="E63" s="6"/>
      <c r="F63" s="1"/>
      <c r="G63" s="49"/>
      <c r="H63" s="49"/>
      <c r="I63" s="49"/>
      <c r="J63" s="49"/>
      <c r="K63" s="49"/>
      <c r="L63" s="49"/>
      <c r="M63" s="49"/>
      <c r="N63" s="49"/>
    </row>
    <row r="64" ht="15.0" customHeight="1">
      <c r="A64" s="1"/>
      <c r="B64" s="324" t="s">
        <v>1</v>
      </c>
      <c r="C64" s="326">
        <v>100.0</v>
      </c>
      <c r="D64" s="326">
        <v>30.0</v>
      </c>
      <c r="E64" s="329" t="s">
        <v>5</v>
      </c>
      <c r="F64" s="269" t="s">
        <v>182</v>
      </c>
      <c r="G64" s="49"/>
      <c r="H64" s="49"/>
      <c r="I64" s="49"/>
      <c r="J64" s="49"/>
      <c r="K64" s="49"/>
      <c r="L64" s="49"/>
      <c r="M64" s="49"/>
      <c r="N64" s="49"/>
    </row>
    <row r="65" ht="15.0" customHeight="1">
      <c r="A65" s="1"/>
      <c r="B65" s="330" t="s">
        <v>183</v>
      </c>
      <c r="C65" s="331">
        <v>20.0</v>
      </c>
      <c r="D65" s="331">
        <f t="shared" ref="D65:D93" si="6">(C65*D64)/C64</f>
        <v>6</v>
      </c>
      <c r="E65" s="332" t="s">
        <v>14</v>
      </c>
      <c r="F65" s="76"/>
      <c r="G65" s="49"/>
      <c r="H65" s="49"/>
      <c r="I65" s="49"/>
      <c r="J65" s="49"/>
      <c r="K65" s="49"/>
      <c r="L65" s="49"/>
      <c r="M65" s="49"/>
      <c r="N65" s="49"/>
    </row>
    <row r="66" ht="15.75" customHeight="1">
      <c r="A66" s="1"/>
      <c r="B66" s="333" t="s">
        <v>184</v>
      </c>
      <c r="C66" s="334">
        <v>1.0</v>
      </c>
      <c r="D66" s="334">
        <f t="shared" si="6"/>
        <v>0.3</v>
      </c>
      <c r="E66" s="335" t="s">
        <v>5</v>
      </c>
      <c r="F66" s="339" t="s">
        <v>185</v>
      </c>
      <c r="G66" s="49"/>
      <c r="H66" s="49"/>
      <c r="I66" s="49"/>
      <c r="J66" s="49"/>
      <c r="K66" s="49"/>
      <c r="L66" s="49"/>
      <c r="M66" s="49"/>
      <c r="N66" s="49"/>
    </row>
    <row r="67" ht="15.75" customHeight="1">
      <c r="A67" s="1"/>
      <c r="B67" s="341" t="s">
        <v>60</v>
      </c>
      <c r="C67" s="344">
        <v>2.0</v>
      </c>
      <c r="D67" s="344">
        <f t="shared" si="6"/>
        <v>0.6</v>
      </c>
      <c r="E67" s="347" t="s">
        <v>14</v>
      </c>
      <c r="F67" s="47"/>
      <c r="G67" s="49"/>
      <c r="H67" s="49"/>
      <c r="I67" s="49"/>
      <c r="J67" s="49"/>
      <c r="K67" s="49"/>
      <c r="L67" s="49"/>
      <c r="M67" s="49"/>
      <c r="N67" s="49"/>
    </row>
    <row r="68" ht="15.75" customHeight="1">
      <c r="A68" s="1"/>
      <c r="B68" s="341" t="s">
        <v>97</v>
      </c>
      <c r="C68" s="344">
        <v>150.0</v>
      </c>
      <c r="D68" s="344">
        <f t="shared" si="6"/>
        <v>45</v>
      </c>
      <c r="E68" s="347" t="s">
        <v>18</v>
      </c>
      <c r="F68" s="47"/>
      <c r="G68" s="49"/>
      <c r="H68" s="49"/>
      <c r="I68" s="49"/>
      <c r="J68" s="49"/>
      <c r="K68" s="49"/>
      <c r="L68" s="49"/>
      <c r="M68" s="49"/>
      <c r="N68" s="49"/>
    </row>
    <row r="69" ht="15.75" customHeight="1">
      <c r="A69" s="1"/>
      <c r="B69" s="341" t="s">
        <v>192</v>
      </c>
      <c r="C69" s="344">
        <v>400.0</v>
      </c>
      <c r="D69" s="344">
        <f t="shared" si="6"/>
        <v>120</v>
      </c>
      <c r="E69" s="347" t="s">
        <v>18</v>
      </c>
      <c r="F69" s="47"/>
      <c r="G69" s="49"/>
      <c r="H69" s="49"/>
      <c r="I69" s="49"/>
      <c r="J69" s="49"/>
      <c r="K69" s="49"/>
      <c r="L69" s="49"/>
      <c r="M69" s="49"/>
      <c r="N69" s="49"/>
    </row>
    <row r="70" ht="15.0" customHeight="1">
      <c r="A70" s="1"/>
      <c r="B70" s="341" t="s">
        <v>193</v>
      </c>
      <c r="C70" s="344">
        <v>1.5</v>
      </c>
      <c r="D70" s="344">
        <f t="shared" si="6"/>
        <v>0.45</v>
      </c>
      <c r="E70" s="347" t="s">
        <v>5</v>
      </c>
      <c r="F70" s="47"/>
      <c r="G70" s="49"/>
      <c r="H70" s="49"/>
      <c r="I70" s="49"/>
      <c r="J70" s="49"/>
      <c r="K70" s="49"/>
      <c r="L70" s="49"/>
      <c r="M70" s="49"/>
      <c r="N70" s="49"/>
    </row>
    <row r="71" ht="15.0" customHeight="1">
      <c r="A71" s="1"/>
      <c r="B71" s="341" t="s">
        <v>103</v>
      </c>
      <c r="C71" s="344">
        <v>100.0</v>
      </c>
      <c r="D71" s="344">
        <f t="shared" si="6"/>
        <v>30</v>
      </c>
      <c r="E71" s="347" t="s">
        <v>18</v>
      </c>
      <c r="F71" s="47"/>
      <c r="G71" s="49"/>
      <c r="H71" s="49"/>
      <c r="I71" s="49"/>
      <c r="J71" s="49"/>
      <c r="K71" s="49"/>
      <c r="L71" s="49"/>
      <c r="M71" s="49"/>
      <c r="N71" s="49"/>
    </row>
    <row r="72" ht="15.0" customHeight="1">
      <c r="A72" s="1"/>
      <c r="B72" s="341" t="s">
        <v>52</v>
      </c>
      <c r="C72" s="344">
        <v>100.0</v>
      </c>
      <c r="D72" s="344">
        <f t="shared" si="6"/>
        <v>30</v>
      </c>
      <c r="E72" s="347" t="s">
        <v>18</v>
      </c>
      <c r="F72" s="47"/>
      <c r="G72" s="49"/>
      <c r="H72" s="49"/>
      <c r="I72" s="49"/>
      <c r="J72" s="49"/>
      <c r="K72" s="49"/>
      <c r="L72" s="49"/>
      <c r="M72" s="49"/>
      <c r="N72" s="49"/>
    </row>
    <row r="73" ht="15.75" customHeight="1">
      <c r="A73" s="1"/>
      <c r="B73" s="330" t="s">
        <v>196</v>
      </c>
      <c r="C73" s="331">
        <v>5.0</v>
      </c>
      <c r="D73" s="331">
        <f t="shared" si="6"/>
        <v>1.5</v>
      </c>
      <c r="E73" s="332" t="s">
        <v>14</v>
      </c>
      <c r="F73" s="76"/>
      <c r="G73" s="49"/>
      <c r="H73" s="49"/>
      <c r="I73" s="49"/>
      <c r="J73" s="49"/>
      <c r="K73" s="49"/>
      <c r="L73" s="49"/>
      <c r="M73" s="49"/>
      <c r="N73" s="49"/>
    </row>
    <row r="74" ht="18.0" customHeight="1">
      <c r="A74" s="1"/>
      <c r="B74" s="357" t="s">
        <v>197</v>
      </c>
      <c r="C74" s="359">
        <v>7.5</v>
      </c>
      <c r="D74" s="359">
        <f t="shared" si="6"/>
        <v>2.25</v>
      </c>
      <c r="E74" s="361" t="s">
        <v>14</v>
      </c>
      <c r="F74" s="339" t="s">
        <v>198</v>
      </c>
      <c r="G74" s="49"/>
      <c r="H74" s="49"/>
      <c r="I74" s="49"/>
      <c r="J74" s="49"/>
      <c r="K74" s="49"/>
      <c r="L74" s="49"/>
      <c r="M74" s="49"/>
      <c r="N74" s="49"/>
    </row>
    <row r="75" ht="18.0" customHeight="1">
      <c r="A75" s="1"/>
      <c r="B75" s="341" t="s">
        <v>199</v>
      </c>
      <c r="C75" s="344">
        <v>15.0</v>
      </c>
      <c r="D75" s="344">
        <f t="shared" si="6"/>
        <v>4.5</v>
      </c>
      <c r="E75" s="347" t="s">
        <v>14</v>
      </c>
      <c r="F75" s="47"/>
      <c r="G75" s="49"/>
      <c r="H75" s="49"/>
      <c r="I75" s="49"/>
      <c r="J75" s="49"/>
      <c r="K75" s="49"/>
      <c r="L75" s="49"/>
      <c r="M75" s="49"/>
      <c r="N75" s="49"/>
    </row>
    <row r="76" ht="18.0" customHeight="1">
      <c r="A76" s="1"/>
      <c r="B76" s="349" t="s">
        <v>200</v>
      </c>
      <c r="C76" s="364">
        <v>4.0</v>
      </c>
      <c r="D76" s="344">
        <f t="shared" si="6"/>
        <v>1.2</v>
      </c>
      <c r="E76" s="367" t="s">
        <v>14</v>
      </c>
      <c r="F76" s="47"/>
      <c r="G76" s="49"/>
      <c r="H76" s="49"/>
      <c r="I76" s="49"/>
      <c r="J76" s="49"/>
      <c r="K76" s="49"/>
      <c r="L76" s="49"/>
      <c r="M76" s="49"/>
      <c r="N76" s="49"/>
    </row>
    <row r="77" ht="18.0" customHeight="1">
      <c r="A77" s="1"/>
      <c r="B77" s="349" t="s">
        <v>202</v>
      </c>
      <c r="C77" s="364">
        <v>10.0</v>
      </c>
      <c r="D77" s="364">
        <f t="shared" si="6"/>
        <v>3</v>
      </c>
      <c r="E77" s="367" t="s">
        <v>14</v>
      </c>
      <c r="F77" s="76"/>
      <c r="G77" s="49"/>
      <c r="H77" s="49"/>
      <c r="I77" s="49"/>
      <c r="J77" s="49"/>
      <c r="K77" s="49"/>
      <c r="L77" s="49"/>
      <c r="M77" s="49"/>
      <c r="N77" s="49"/>
    </row>
    <row r="78" ht="18.0" customHeight="1">
      <c r="A78" s="1"/>
      <c r="B78" s="333" t="s">
        <v>203</v>
      </c>
      <c r="C78" s="334">
        <v>400.0</v>
      </c>
      <c r="D78" s="334">
        <f t="shared" si="6"/>
        <v>120</v>
      </c>
      <c r="E78" s="335" t="s">
        <v>18</v>
      </c>
      <c r="F78" s="379" t="s">
        <v>205</v>
      </c>
      <c r="G78" s="49"/>
      <c r="H78" s="49"/>
      <c r="I78" s="49"/>
      <c r="J78" s="49"/>
      <c r="K78" s="49"/>
      <c r="L78" s="49"/>
      <c r="M78" s="49"/>
      <c r="N78" s="49"/>
    </row>
    <row r="79" ht="18.0" customHeight="1">
      <c r="A79" s="1"/>
      <c r="B79" s="341" t="s">
        <v>211</v>
      </c>
      <c r="C79" s="344">
        <v>400.0</v>
      </c>
      <c r="D79" s="344">
        <f t="shared" si="6"/>
        <v>120</v>
      </c>
      <c r="E79" s="347" t="s">
        <v>18</v>
      </c>
      <c r="F79" s="66"/>
      <c r="G79" s="49"/>
      <c r="H79" s="49"/>
      <c r="I79" s="49"/>
      <c r="J79" s="49"/>
      <c r="K79" s="49"/>
      <c r="L79" s="49"/>
      <c r="M79" s="49"/>
      <c r="N79" s="49"/>
    </row>
    <row r="80" ht="18.0" customHeight="1">
      <c r="A80" s="1"/>
      <c r="B80" s="341" t="s">
        <v>31</v>
      </c>
      <c r="C80" s="344">
        <v>700.0</v>
      </c>
      <c r="D80" s="344">
        <f t="shared" si="6"/>
        <v>210</v>
      </c>
      <c r="E80" s="347" t="s">
        <v>18</v>
      </c>
      <c r="F80" s="66"/>
      <c r="G80" s="49"/>
      <c r="H80" s="49"/>
      <c r="I80" s="49"/>
      <c r="J80" s="49"/>
      <c r="K80" s="49"/>
      <c r="L80" s="49"/>
      <c r="M80" s="49"/>
      <c r="N80" s="49"/>
    </row>
    <row r="81" ht="18.0" customHeight="1">
      <c r="A81" s="1"/>
      <c r="B81" s="341" t="s">
        <v>124</v>
      </c>
      <c r="C81" s="344">
        <v>300.0</v>
      </c>
      <c r="D81" s="344">
        <f t="shared" si="6"/>
        <v>90</v>
      </c>
      <c r="E81" s="347" t="s">
        <v>18</v>
      </c>
      <c r="F81" s="66"/>
      <c r="G81" s="49"/>
      <c r="H81" s="49"/>
      <c r="I81" s="49"/>
      <c r="J81" s="49"/>
      <c r="K81" s="49"/>
      <c r="L81" s="49"/>
      <c r="M81" s="49"/>
      <c r="N81" s="49"/>
    </row>
    <row r="82" ht="18.0" customHeight="1">
      <c r="A82" s="1"/>
      <c r="B82" s="341" t="s">
        <v>167</v>
      </c>
      <c r="C82" s="344">
        <v>0.5</v>
      </c>
      <c r="D82" s="344">
        <f t="shared" si="6"/>
        <v>0.15</v>
      </c>
      <c r="E82" s="347" t="s">
        <v>5</v>
      </c>
      <c r="F82" s="66"/>
      <c r="G82" s="49"/>
      <c r="H82" s="49"/>
      <c r="I82" s="49"/>
      <c r="J82" s="49"/>
      <c r="K82" s="49"/>
      <c r="L82" s="49"/>
      <c r="M82" s="49"/>
      <c r="N82" s="49"/>
    </row>
    <row r="83" ht="18.0" customHeight="1">
      <c r="A83" s="1"/>
      <c r="B83" s="341" t="s">
        <v>212</v>
      </c>
      <c r="C83" s="344">
        <v>1.0</v>
      </c>
      <c r="D83" s="344">
        <f t="shared" si="6"/>
        <v>0.3</v>
      </c>
      <c r="E83" s="347" t="s">
        <v>5</v>
      </c>
      <c r="F83" s="66"/>
      <c r="G83" s="49"/>
      <c r="H83" s="181"/>
      <c r="I83" s="49"/>
      <c r="J83" s="49"/>
      <c r="K83" s="49"/>
      <c r="L83" s="49"/>
      <c r="M83" s="49"/>
      <c r="N83" s="49"/>
    </row>
    <row r="84" ht="15.75" customHeight="1">
      <c r="A84" s="1"/>
      <c r="B84" s="358" t="s">
        <v>213</v>
      </c>
      <c r="C84" s="385">
        <v>3.0</v>
      </c>
      <c r="D84" s="385">
        <f t="shared" si="6"/>
        <v>0.9</v>
      </c>
      <c r="E84" s="388" t="s">
        <v>5</v>
      </c>
      <c r="F84" s="106"/>
      <c r="G84" s="49"/>
      <c r="H84" s="49"/>
      <c r="I84" s="49"/>
      <c r="J84" s="49"/>
      <c r="K84" s="49"/>
      <c r="L84" s="49"/>
      <c r="M84" s="49"/>
      <c r="N84" s="49"/>
    </row>
    <row r="85" ht="15.75" customHeight="1">
      <c r="A85" s="1"/>
      <c r="B85" s="391" t="s">
        <v>217</v>
      </c>
      <c r="C85" s="393">
        <v>800.0</v>
      </c>
      <c r="D85" s="393">
        <f t="shared" si="6"/>
        <v>240</v>
      </c>
      <c r="E85" s="395" t="s">
        <v>18</v>
      </c>
      <c r="F85" s="379" t="s">
        <v>222</v>
      </c>
      <c r="G85" s="49"/>
      <c r="H85" s="49"/>
      <c r="I85" s="49"/>
      <c r="J85" s="49"/>
      <c r="K85" s="49"/>
      <c r="L85" s="49"/>
      <c r="M85" s="49"/>
      <c r="N85" s="49"/>
    </row>
    <row r="86" ht="16.5" customHeight="1">
      <c r="A86" s="1"/>
      <c r="B86" s="399" t="s">
        <v>80</v>
      </c>
      <c r="C86" s="404">
        <v>3.0</v>
      </c>
      <c r="D86" s="404">
        <f t="shared" si="6"/>
        <v>0.9</v>
      </c>
      <c r="E86" s="408" t="s">
        <v>14</v>
      </c>
      <c r="F86" s="66"/>
      <c r="G86" s="49"/>
      <c r="H86" s="49"/>
      <c r="I86" s="49"/>
      <c r="J86" s="49"/>
      <c r="K86" s="49"/>
      <c r="L86" s="49"/>
      <c r="M86" s="49"/>
      <c r="N86" s="49"/>
    </row>
    <row r="87" ht="15.0" customHeight="1">
      <c r="A87" s="1"/>
      <c r="B87" s="399" t="s">
        <v>59</v>
      </c>
      <c r="C87" s="404">
        <v>2.5</v>
      </c>
      <c r="D87" s="404">
        <f t="shared" si="6"/>
        <v>0.75</v>
      </c>
      <c r="E87" s="408" t="s">
        <v>5</v>
      </c>
      <c r="F87" s="66"/>
      <c r="G87" s="49"/>
      <c r="H87" s="49"/>
      <c r="I87" s="49"/>
      <c r="J87" s="49"/>
      <c r="K87" s="49"/>
      <c r="L87" s="49"/>
      <c r="M87" s="49"/>
      <c r="N87" s="49"/>
    </row>
    <row r="88" ht="16.5" customHeight="1">
      <c r="A88" s="1"/>
      <c r="B88" s="399" t="s">
        <v>31</v>
      </c>
      <c r="C88" s="404">
        <v>75.0</v>
      </c>
      <c r="D88" s="404">
        <f t="shared" si="6"/>
        <v>22.5</v>
      </c>
      <c r="E88" s="408" t="s">
        <v>18</v>
      </c>
      <c r="F88" s="66"/>
      <c r="G88" s="49"/>
      <c r="H88" s="49"/>
      <c r="I88" s="49"/>
      <c r="J88" s="49"/>
      <c r="K88" s="49"/>
      <c r="L88" s="49"/>
      <c r="M88" s="49"/>
      <c r="N88" s="49"/>
    </row>
    <row r="89" ht="16.5" customHeight="1">
      <c r="A89" s="1"/>
      <c r="B89" s="399" t="s">
        <v>124</v>
      </c>
      <c r="C89" s="404">
        <v>25.0</v>
      </c>
      <c r="D89" s="404">
        <f t="shared" si="6"/>
        <v>7.5</v>
      </c>
      <c r="E89" s="408" t="s">
        <v>18</v>
      </c>
      <c r="F89" s="66"/>
      <c r="G89" s="49"/>
      <c r="H89" s="49"/>
      <c r="I89" s="49"/>
      <c r="J89" s="49"/>
      <c r="K89" s="49"/>
      <c r="L89" s="49"/>
      <c r="M89" s="49"/>
      <c r="N89" s="49"/>
    </row>
    <row r="90" ht="16.5" customHeight="1">
      <c r="A90" s="1"/>
      <c r="B90" s="399" t="s">
        <v>112</v>
      </c>
      <c r="C90" s="404">
        <v>25.0</v>
      </c>
      <c r="D90" s="404">
        <f t="shared" si="6"/>
        <v>7.5</v>
      </c>
      <c r="E90" s="408" t="s">
        <v>18</v>
      </c>
      <c r="F90" s="66"/>
      <c r="G90" s="49"/>
      <c r="H90" s="49"/>
      <c r="I90" s="49"/>
      <c r="J90" s="49"/>
      <c r="K90" s="49"/>
      <c r="L90" s="49"/>
      <c r="M90" s="49"/>
      <c r="N90" s="49"/>
    </row>
    <row r="91" ht="15.0" customHeight="1">
      <c r="A91" s="1"/>
      <c r="B91" s="412" t="s">
        <v>234</v>
      </c>
      <c r="C91" s="413">
        <v>25.0</v>
      </c>
      <c r="D91" s="413">
        <f t="shared" si="6"/>
        <v>7.5</v>
      </c>
      <c r="E91" s="414" t="s">
        <v>18</v>
      </c>
      <c r="F91" s="66"/>
      <c r="G91" s="49"/>
      <c r="H91" s="49"/>
      <c r="I91" s="49"/>
      <c r="J91" s="49"/>
      <c r="K91" s="49"/>
      <c r="L91" s="49"/>
      <c r="M91" s="49"/>
      <c r="N91" s="49"/>
    </row>
    <row r="92" ht="15.0" customHeight="1">
      <c r="A92" s="1"/>
      <c r="B92" s="416" t="s">
        <v>240</v>
      </c>
      <c r="C92" s="431">
        <v>10.0</v>
      </c>
      <c r="D92" s="431">
        <f t="shared" si="6"/>
        <v>3</v>
      </c>
      <c r="E92" s="434" t="s">
        <v>5</v>
      </c>
      <c r="F92" s="106"/>
      <c r="G92" s="49"/>
      <c r="H92" s="49"/>
      <c r="I92" s="49"/>
      <c r="J92" s="49"/>
      <c r="K92" s="49"/>
      <c r="L92" s="49"/>
      <c r="M92" s="49"/>
      <c r="N92" s="49"/>
    </row>
    <row r="93" ht="15.0" customHeight="1">
      <c r="A93" s="1"/>
      <c r="B93" s="438" t="s">
        <v>244</v>
      </c>
      <c r="C93" s="440">
        <v>2.0</v>
      </c>
      <c r="D93" s="440">
        <f t="shared" si="6"/>
        <v>0.6</v>
      </c>
      <c r="E93" s="442" t="s">
        <v>14</v>
      </c>
      <c r="F93" s="443" t="s">
        <v>248</v>
      </c>
      <c r="G93" s="49"/>
      <c r="H93" s="49"/>
      <c r="I93" s="49"/>
      <c r="J93" s="49"/>
      <c r="K93" s="49"/>
      <c r="L93" s="49"/>
      <c r="M93" s="49"/>
      <c r="N93" s="49"/>
    </row>
    <row r="94" ht="15.0" customHeight="1">
      <c r="A94" s="1"/>
      <c r="B94" s="299" t="s">
        <v>119</v>
      </c>
      <c r="C94" s="183" t="s">
        <v>47</v>
      </c>
      <c r="D94" s="184"/>
      <c r="E94" s="49"/>
      <c r="F94" s="49"/>
      <c r="G94" s="49"/>
      <c r="H94" s="49"/>
      <c r="I94" s="49"/>
      <c r="J94" s="49"/>
      <c r="K94" s="49"/>
      <c r="L94" s="49"/>
      <c r="M94" s="49"/>
      <c r="N94" s="49"/>
    </row>
    <row r="95" ht="15.0" customHeight="1">
      <c r="A95" s="1"/>
      <c r="B95" s="97"/>
      <c r="C95" s="7"/>
      <c r="D95" s="450"/>
      <c r="E95" s="49"/>
      <c r="F95" s="49"/>
      <c r="G95" s="49"/>
      <c r="H95" s="49"/>
      <c r="I95" s="49"/>
      <c r="J95" s="49"/>
      <c r="K95" s="49"/>
      <c r="L95" s="49"/>
      <c r="M95" s="49"/>
      <c r="N95" s="49"/>
    </row>
    <row r="96" ht="15.0" customHeight="1">
      <c r="A96" s="1"/>
      <c r="B96" s="302" t="s">
        <v>49</v>
      </c>
      <c r="C96" s="303">
        <v>41444.0</v>
      </c>
      <c r="D96" s="453"/>
      <c r="E96" s="49"/>
      <c r="F96" s="49"/>
      <c r="G96" s="49"/>
      <c r="H96" s="49"/>
      <c r="I96" s="49"/>
      <c r="J96" s="49"/>
      <c r="K96" s="49"/>
      <c r="L96" s="49"/>
      <c r="M96" s="49"/>
      <c r="N96" s="49"/>
    </row>
    <row r="97" ht="15.0" customHeight="1">
      <c r="A97" s="1"/>
      <c r="B97" s="302" t="s">
        <v>50</v>
      </c>
      <c r="C97" s="303"/>
      <c r="D97" s="453"/>
      <c r="E97" s="49"/>
      <c r="F97" s="49"/>
      <c r="G97" s="49"/>
      <c r="H97" s="49"/>
      <c r="I97" s="49"/>
      <c r="J97" s="49"/>
      <c r="K97" s="49"/>
      <c r="L97" s="49"/>
      <c r="M97" s="49"/>
      <c r="N97" s="49"/>
    </row>
    <row r="98" ht="15.0" customHeight="1">
      <c r="A98" s="1"/>
      <c r="B98" s="455"/>
      <c r="C98" s="20"/>
      <c r="D98" s="453"/>
      <c r="E98" s="49"/>
      <c r="F98" s="49"/>
      <c r="G98" s="49"/>
      <c r="H98" s="49"/>
      <c r="I98" s="49"/>
      <c r="J98" s="49"/>
      <c r="K98" s="49"/>
      <c r="L98" s="49"/>
      <c r="M98" s="49"/>
      <c r="N98" s="49"/>
    </row>
    <row r="99" ht="15.0" customHeight="1">
      <c r="A99" s="1"/>
      <c r="B99" s="459" t="s">
        <v>256</v>
      </c>
      <c r="C99" s="19"/>
      <c r="D99" s="453"/>
      <c r="E99" s="49"/>
      <c r="F99" s="49"/>
      <c r="G99" s="49"/>
      <c r="H99" s="49"/>
      <c r="I99" s="49"/>
      <c r="J99" s="49"/>
      <c r="K99" s="49"/>
      <c r="L99" s="49"/>
      <c r="M99" s="49"/>
      <c r="N99" s="49"/>
    </row>
    <row r="100" ht="15.0" customHeight="1">
      <c r="A100" s="1"/>
      <c r="B100" s="467"/>
      <c r="C100" s="480"/>
      <c r="D100" s="453"/>
      <c r="E100" s="49"/>
      <c r="F100" s="49"/>
      <c r="G100" s="49"/>
      <c r="H100" s="49"/>
      <c r="I100" s="49"/>
      <c r="J100" s="49"/>
      <c r="K100" s="49"/>
      <c r="L100" s="49"/>
      <c r="M100" s="49"/>
      <c r="N100" s="49"/>
    </row>
    <row r="101" ht="15.0" customHeight="1">
      <c r="A101" s="1"/>
      <c r="B101" s="320" t="s">
        <v>279</v>
      </c>
      <c r="C101" s="5"/>
      <c r="D101" s="5"/>
      <c r="E101" s="6"/>
      <c r="F101" s="269" t="s">
        <v>280</v>
      </c>
      <c r="G101" s="49"/>
      <c r="H101" s="49"/>
      <c r="I101" s="49"/>
      <c r="J101" s="49"/>
      <c r="K101" s="49"/>
      <c r="L101" s="49"/>
      <c r="M101" s="49"/>
      <c r="N101" s="49"/>
    </row>
    <row r="102" ht="15.0" customHeight="1">
      <c r="A102" s="1"/>
      <c r="B102" s="324" t="s">
        <v>1</v>
      </c>
      <c r="C102" s="326">
        <v>100.0</v>
      </c>
      <c r="D102" s="326">
        <v>36.0</v>
      </c>
      <c r="E102" s="329" t="s">
        <v>5</v>
      </c>
      <c r="F102" s="47"/>
      <c r="G102" s="49"/>
      <c r="H102" s="49"/>
      <c r="I102" s="49"/>
      <c r="J102" s="49"/>
      <c r="K102" s="49"/>
      <c r="L102" s="49"/>
      <c r="M102" s="49"/>
      <c r="N102" s="49"/>
    </row>
    <row r="103" ht="15.75" customHeight="1">
      <c r="A103" s="1"/>
      <c r="B103" s="330" t="s">
        <v>183</v>
      </c>
      <c r="C103" s="331">
        <v>15.0</v>
      </c>
      <c r="D103" s="331">
        <f t="shared" ref="D103:D129" si="7">(C103*D102)/C102</f>
        <v>5.4</v>
      </c>
      <c r="E103" s="332" t="s">
        <v>14</v>
      </c>
      <c r="F103" s="76"/>
      <c r="G103" s="49"/>
      <c r="H103" s="49"/>
      <c r="I103" s="49"/>
      <c r="J103" s="49"/>
      <c r="K103" s="49"/>
      <c r="L103" s="49"/>
      <c r="M103" s="49"/>
      <c r="N103" s="49"/>
    </row>
    <row r="104" ht="15.0" customHeight="1">
      <c r="A104" s="1"/>
      <c r="B104" s="333" t="s">
        <v>91</v>
      </c>
      <c r="C104" s="334">
        <v>2.0</v>
      </c>
      <c r="D104" s="334">
        <f t="shared" si="7"/>
        <v>0.72</v>
      </c>
      <c r="E104" s="335" t="s">
        <v>5</v>
      </c>
      <c r="F104" s="339" t="s">
        <v>284</v>
      </c>
      <c r="G104" s="49"/>
      <c r="H104" s="49"/>
      <c r="I104" s="49"/>
      <c r="J104" s="49"/>
      <c r="K104" s="49"/>
      <c r="L104" s="49"/>
      <c r="M104" s="49"/>
      <c r="N104" s="49"/>
    </row>
    <row r="105" ht="15.0" customHeight="1">
      <c r="A105" s="1"/>
      <c r="B105" s="341" t="s">
        <v>60</v>
      </c>
      <c r="C105" s="344">
        <v>2.0</v>
      </c>
      <c r="D105" s="344">
        <f t="shared" si="7"/>
        <v>0.72</v>
      </c>
      <c r="E105" s="347" t="s">
        <v>14</v>
      </c>
      <c r="F105" s="47"/>
      <c r="G105" s="49"/>
      <c r="H105" s="49"/>
      <c r="I105" s="49"/>
      <c r="J105" s="49"/>
      <c r="K105" s="49"/>
      <c r="L105" s="49"/>
      <c r="M105" s="49"/>
      <c r="N105" s="49"/>
    </row>
    <row r="106" ht="15.75" customHeight="1">
      <c r="A106" s="1"/>
      <c r="B106" s="341" t="s">
        <v>97</v>
      </c>
      <c r="C106" s="344">
        <v>150.0</v>
      </c>
      <c r="D106" s="344">
        <f t="shared" si="7"/>
        <v>54</v>
      </c>
      <c r="E106" s="347" t="s">
        <v>18</v>
      </c>
      <c r="F106" s="47"/>
      <c r="G106" s="49"/>
      <c r="H106" s="49"/>
      <c r="I106" s="49"/>
      <c r="J106" s="49"/>
      <c r="K106" s="49"/>
      <c r="L106" s="49"/>
      <c r="M106" s="49"/>
      <c r="N106" s="49"/>
    </row>
    <row r="107" ht="15.0" customHeight="1">
      <c r="A107" s="1"/>
      <c r="B107" s="341" t="s">
        <v>192</v>
      </c>
      <c r="C107" s="344">
        <v>800.0</v>
      </c>
      <c r="D107" s="344">
        <f t="shared" si="7"/>
        <v>288</v>
      </c>
      <c r="E107" s="347" t="s">
        <v>18</v>
      </c>
      <c r="F107" s="47"/>
      <c r="G107" s="49"/>
      <c r="H107" s="49"/>
      <c r="I107" s="49"/>
      <c r="J107" s="49"/>
      <c r="K107" s="49"/>
      <c r="L107" s="49"/>
      <c r="M107" s="49"/>
      <c r="N107" s="49"/>
    </row>
    <row r="108" ht="15.0" customHeight="1">
      <c r="A108" s="1"/>
      <c r="B108" s="341" t="s">
        <v>211</v>
      </c>
      <c r="C108" s="344">
        <v>400.0</v>
      </c>
      <c r="D108" s="344">
        <f t="shared" si="7"/>
        <v>144</v>
      </c>
      <c r="E108" s="347" t="s">
        <v>82</v>
      </c>
      <c r="F108" s="47"/>
      <c r="G108" s="49"/>
      <c r="H108" s="49"/>
      <c r="I108" s="49"/>
      <c r="J108" s="49"/>
      <c r="K108" s="49"/>
      <c r="L108" s="49"/>
      <c r="M108" s="49"/>
      <c r="N108" s="49"/>
    </row>
    <row r="109" ht="15.75" customHeight="1">
      <c r="A109" s="1"/>
      <c r="B109" s="341" t="s">
        <v>208</v>
      </c>
      <c r="C109" s="344">
        <v>100.0</v>
      </c>
      <c r="D109" s="344">
        <f t="shared" si="7"/>
        <v>36</v>
      </c>
      <c r="E109" s="347" t="s">
        <v>18</v>
      </c>
      <c r="F109" s="47"/>
      <c r="G109" s="49"/>
      <c r="H109" s="49"/>
      <c r="I109" s="49"/>
      <c r="J109" s="49"/>
      <c r="K109" s="49"/>
      <c r="L109" s="49"/>
      <c r="M109" s="49"/>
      <c r="N109" s="49"/>
    </row>
    <row r="110" ht="15.0" customHeight="1">
      <c r="A110" s="1"/>
      <c r="B110" s="341" t="s">
        <v>193</v>
      </c>
      <c r="C110" s="344">
        <v>1.5</v>
      </c>
      <c r="D110" s="344">
        <f t="shared" si="7"/>
        <v>0.54</v>
      </c>
      <c r="E110" s="347" t="s">
        <v>5</v>
      </c>
      <c r="F110" s="47"/>
      <c r="G110" s="49"/>
      <c r="H110" s="181"/>
      <c r="I110" s="49"/>
      <c r="J110" s="49"/>
      <c r="K110" s="49"/>
      <c r="L110" s="49"/>
      <c r="M110" s="49"/>
      <c r="N110" s="49"/>
    </row>
    <row r="111" ht="15.75" customHeight="1">
      <c r="A111" s="1"/>
      <c r="B111" s="341" t="s">
        <v>103</v>
      </c>
      <c r="C111" s="344">
        <v>100.0</v>
      </c>
      <c r="D111" s="344">
        <f t="shared" si="7"/>
        <v>36</v>
      </c>
      <c r="E111" s="347" t="s">
        <v>18</v>
      </c>
      <c r="F111" s="47"/>
      <c r="G111" s="49"/>
      <c r="H111" s="49"/>
      <c r="I111" s="49"/>
      <c r="J111" s="49"/>
      <c r="K111" s="49"/>
      <c r="L111" s="49"/>
      <c r="M111" s="49"/>
      <c r="N111" s="49"/>
    </row>
    <row r="112" ht="15.75" customHeight="1">
      <c r="A112" s="1"/>
      <c r="B112" s="341" t="s">
        <v>52</v>
      </c>
      <c r="C112" s="344">
        <v>100.0</v>
      </c>
      <c r="D112" s="344">
        <f t="shared" si="7"/>
        <v>36</v>
      </c>
      <c r="E112" s="347" t="s">
        <v>18</v>
      </c>
      <c r="F112" s="76"/>
      <c r="G112" s="49"/>
      <c r="H112" s="49"/>
      <c r="I112" s="49"/>
      <c r="J112" s="49"/>
      <c r="K112" s="49"/>
      <c r="L112" s="49"/>
      <c r="M112" s="49"/>
      <c r="N112" s="49"/>
    </row>
    <row r="113" ht="15.75" customHeight="1">
      <c r="A113" s="1"/>
      <c r="B113" s="330" t="s">
        <v>196</v>
      </c>
      <c r="C113" s="331">
        <v>5.0</v>
      </c>
      <c r="D113" s="331">
        <f t="shared" si="7"/>
        <v>1.8</v>
      </c>
      <c r="E113" s="332" t="s">
        <v>14</v>
      </c>
      <c r="F113" s="494"/>
      <c r="G113" s="49"/>
      <c r="H113" s="49"/>
      <c r="I113" s="49"/>
      <c r="J113" s="49"/>
      <c r="K113" s="49"/>
      <c r="L113" s="49"/>
      <c r="M113" s="49"/>
      <c r="N113" s="49"/>
    </row>
    <row r="114" ht="15.75" customHeight="1">
      <c r="A114" s="1"/>
      <c r="B114" s="357" t="s">
        <v>197</v>
      </c>
      <c r="C114" s="359">
        <v>7.5</v>
      </c>
      <c r="D114" s="359">
        <f t="shared" si="7"/>
        <v>2.7</v>
      </c>
      <c r="E114" s="361" t="s">
        <v>14</v>
      </c>
      <c r="F114" s="339" t="s">
        <v>297</v>
      </c>
      <c r="G114" s="49"/>
      <c r="H114" s="49"/>
      <c r="I114" s="49"/>
      <c r="J114" s="49"/>
      <c r="K114" s="49"/>
      <c r="L114" s="49"/>
      <c r="M114" s="49"/>
      <c r="N114" s="49"/>
    </row>
    <row r="115" ht="15.75" customHeight="1">
      <c r="A115" s="1"/>
      <c r="B115" s="341" t="s">
        <v>199</v>
      </c>
      <c r="C115" s="344">
        <v>15.0</v>
      </c>
      <c r="D115" s="344">
        <f t="shared" si="7"/>
        <v>5.4</v>
      </c>
      <c r="E115" s="347" t="s">
        <v>14</v>
      </c>
      <c r="F115" s="47"/>
      <c r="G115" s="49"/>
      <c r="H115" s="49"/>
      <c r="I115" s="49"/>
      <c r="J115" s="49"/>
      <c r="K115" s="49"/>
      <c r="L115" s="49"/>
      <c r="M115" s="49"/>
      <c r="N115" s="49"/>
    </row>
    <row r="116" ht="15.75" customHeight="1">
      <c r="A116" s="1"/>
      <c r="B116" s="349" t="s">
        <v>200</v>
      </c>
      <c r="C116" s="364">
        <v>4.0</v>
      </c>
      <c r="D116" s="344">
        <f t="shared" si="7"/>
        <v>1.44</v>
      </c>
      <c r="E116" s="367" t="s">
        <v>14</v>
      </c>
      <c r="F116" s="47"/>
      <c r="G116" s="49"/>
      <c r="H116" s="49"/>
      <c r="I116" s="49"/>
      <c r="J116" s="49"/>
      <c r="K116" s="49"/>
      <c r="L116" s="49"/>
      <c r="M116" s="49"/>
      <c r="N116" s="49"/>
    </row>
    <row r="117" ht="15.75" customHeight="1">
      <c r="A117" s="1"/>
      <c r="B117" s="349" t="s">
        <v>303</v>
      </c>
      <c r="C117" s="364">
        <v>10.0</v>
      </c>
      <c r="D117" s="364">
        <f t="shared" si="7"/>
        <v>3.6</v>
      </c>
      <c r="E117" s="367" t="s">
        <v>14</v>
      </c>
      <c r="F117" s="47"/>
      <c r="G117" s="49"/>
      <c r="H117" s="49"/>
      <c r="I117" s="49"/>
      <c r="J117" s="49"/>
      <c r="K117" s="49"/>
      <c r="L117" s="49"/>
      <c r="M117" s="49"/>
      <c r="N117" s="49"/>
    </row>
    <row r="118" ht="15.0" customHeight="1">
      <c r="A118" s="1"/>
      <c r="B118" s="333" t="s">
        <v>31</v>
      </c>
      <c r="C118" s="334">
        <v>700.0</v>
      </c>
      <c r="D118" s="326">
        <f t="shared" si="7"/>
        <v>252</v>
      </c>
      <c r="E118" s="335" t="s">
        <v>18</v>
      </c>
      <c r="F118" s="339" t="s">
        <v>304</v>
      </c>
      <c r="G118" s="49"/>
      <c r="H118" s="49"/>
      <c r="I118" s="49"/>
      <c r="J118" s="49"/>
      <c r="K118" s="49"/>
      <c r="L118" s="49"/>
      <c r="M118" s="49"/>
      <c r="N118" s="49"/>
    </row>
    <row r="119" ht="15.75" customHeight="1">
      <c r="A119" s="1"/>
      <c r="B119" s="341" t="s">
        <v>124</v>
      </c>
      <c r="C119" s="344">
        <v>250.0</v>
      </c>
      <c r="D119" s="344">
        <f t="shared" si="7"/>
        <v>90</v>
      </c>
      <c r="E119" s="347" t="s">
        <v>18</v>
      </c>
      <c r="F119" s="47"/>
      <c r="G119" s="49"/>
      <c r="H119" s="49"/>
      <c r="I119" s="49"/>
      <c r="J119" s="49"/>
      <c r="K119" s="49"/>
      <c r="L119" s="49"/>
      <c r="M119" s="49"/>
      <c r="N119" s="49"/>
    </row>
    <row r="120" ht="15.0" customHeight="1">
      <c r="A120" s="1"/>
      <c r="B120" s="341" t="s">
        <v>167</v>
      </c>
      <c r="C120" s="344">
        <v>0.4</v>
      </c>
      <c r="D120" s="344">
        <f t="shared" si="7"/>
        <v>0.144</v>
      </c>
      <c r="E120" s="347" t="s">
        <v>5</v>
      </c>
      <c r="F120" s="47"/>
      <c r="G120" s="49"/>
      <c r="H120" s="49"/>
      <c r="I120" s="49"/>
      <c r="J120" s="49"/>
      <c r="K120" s="49"/>
      <c r="L120" s="49"/>
      <c r="M120" s="49"/>
      <c r="N120" s="49"/>
    </row>
    <row r="121" ht="15.75" customHeight="1">
      <c r="A121" s="1"/>
      <c r="B121" s="358" t="s">
        <v>213</v>
      </c>
      <c r="C121" s="385">
        <v>3.0</v>
      </c>
      <c r="D121" s="385">
        <f t="shared" si="7"/>
        <v>1.08</v>
      </c>
      <c r="E121" s="388" t="s">
        <v>5</v>
      </c>
      <c r="F121" s="76"/>
      <c r="G121" s="49"/>
      <c r="H121" s="49"/>
      <c r="I121" s="49"/>
      <c r="J121" s="49"/>
      <c r="K121" s="49"/>
      <c r="L121" s="49"/>
      <c r="M121" s="49"/>
      <c r="N121" s="49"/>
    </row>
    <row r="122" ht="15.75" customHeight="1">
      <c r="A122" s="1"/>
      <c r="B122" s="501" t="s">
        <v>305</v>
      </c>
      <c r="C122" s="502">
        <v>800.0</v>
      </c>
      <c r="D122" s="502">
        <f t="shared" si="7"/>
        <v>288</v>
      </c>
      <c r="E122" s="503" t="s">
        <v>18</v>
      </c>
      <c r="F122" s="504" t="s">
        <v>307</v>
      </c>
      <c r="G122" s="49"/>
      <c r="H122" s="49"/>
      <c r="I122" s="49"/>
      <c r="J122" s="49"/>
      <c r="K122" s="49"/>
      <c r="L122" s="49"/>
      <c r="M122" s="49"/>
      <c r="N122" s="49"/>
    </row>
    <row r="123" ht="15.0" customHeight="1">
      <c r="A123" s="1"/>
      <c r="B123" s="341" t="s">
        <v>80</v>
      </c>
      <c r="C123" s="344">
        <v>2.75</v>
      </c>
      <c r="D123" s="344">
        <f t="shared" si="7"/>
        <v>0.99</v>
      </c>
      <c r="E123" s="347" t="s">
        <v>14</v>
      </c>
      <c r="F123" s="66"/>
      <c r="G123" s="49"/>
      <c r="H123" s="49"/>
      <c r="I123" s="49"/>
      <c r="J123" s="49"/>
      <c r="K123" s="49"/>
      <c r="L123" s="49"/>
      <c r="M123" s="49"/>
      <c r="N123" s="49"/>
    </row>
    <row r="124" ht="15.75" customHeight="1">
      <c r="A124" s="1"/>
      <c r="B124" s="341" t="s">
        <v>59</v>
      </c>
      <c r="C124" s="344">
        <v>2.5</v>
      </c>
      <c r="D124" s="344">
        <f t="shared" si="7"/>
        <v>0.9</v>
      </c>
      <c r="E124" s="347" t="s">
        <v>5</v>
      </c>
      <c r="F124" s="66"/>
      <c r="G124" s="49"/>
      <c r="H124" s="49"/>
      <c r="I124" s="49"/>
      <c r="J124" s="49"/>
      <c r="K124" s="49"/>
      <c r="L124" s="49"/>
      <c r="M124" s="49"/>
      <c r="N124" s="49"/>
    </row>
    <row r="125" ht="15.75" customHeight="1">
      <c r="A125" s="1"/>
      <c r="B125" s="341" t="s">
        <v>31</v>
      </c>
      <c r="C125" s="344">
        <v>75.0</v>
      </c>
      <c r="D125" s="344">
        <f t="shared" si="7"/>
        <v>27</v>
      </c>
      <c r="E125" s="347" t="s">
        <v>18</v>
      </c>
      <c r="F125" s="66"/>
      <c r="G125" s="49"/>
      <c r="H125" s="49"/>
      <c r="I125" s="49"/>
      <c r="J125" s="49"/>
      <c r="K125" s="49"/>
      <c r="L125" s="49"/>
      <c r="M125" s="49"/>
      <c r="N125" s="49"/>
    </row>
    <row r="126" ht="15.75" customHeight="1">
      <c r="A126" s="1"/>
      <c r="B126" s="341" t="s">
        <v>124</v>
      </c>
      <c r="C126" s="344">
        <v>25.0</v>
      </c>
      <c r="D126" s="344">
        <f t="shared" si="7"/>
        <v>9</v>
      </c>
      <c r="E126" s="347" t="s">
        <v>18</v>
      </c>
      <c r="F126" s="66"/>
      <c r="G126" s="49"/>
      <c r="H126" s="49"/>
      <c r="I126" s="49"/>
      <c r="J126" s="49"/>
      <c r="K126" s="49"/>
      <c r="L126" s="49"/>
      <c r="M126" s="49"/>
      <c r="N126" s="49"/>
    </row>
    <row r="127" ht="18.0" customHeight="1">
      <c r="A127" s="1"/>
      <c r="B127" s="341" t="s">
        <v>112</v>
      </c>
      <c r="C127" s="344">
        <v>25.0</v>
      </c>
      <c r="D127" s="344">
        <f t="shared" si="7"/>
        <v>9</v>
      </c>
      <c r="E127" s="347" t="s">
        <v>18</v>
      </c>
      <c r="F127" s="66"/>
      <c r="G127" s="49"/>
      <c r="H127" s="49"/>
      <c r="I127" s="49"/>
      <c r="J127" s="49"/>
      <c r="K127" s="49"/>
      <c r="L127" s="49"/>
      <c r="M127" s="49"/>
      <c r="N127" s="49"/>
    </row>
    <row r="128" ht="18.0" customHeight="1">
      <c r="A128" s="1"/>
      <c r="B128" s="349" t="s">
        <v>234</v>
      </c>
      <c r="C128" s="364">
        <v>25.0</v>
      </c>
      <c r="D128" s="364">
        <f t="shared" si="7"/>
        <v>9</v>
      </c>
      <c r="E128" s="367" t="s">
        <v>18</v>
      </c>
      <c r="F128" s="66"/>
      <c r="G128" s="49"/>
      <c r="H128" s="49"/>
      <c r="I128" s="49"/>
      <c r="J128" s="49"/>
      <c r="K128" s="49"/>
      <c r="L128" s="49"/>
      <c r="M128" s="49"/>
      <c r="N128" s="49"/>
    </row>
    <row r="129" ht="18.0" customHeight="1">
      <c r="A129" s="1"/>
      <c r="B129" s="508" t="s">
        <v>244</v>
      </c>
      <c r="C129" s="509">
        <v>2.0</v>
      </c>
      <c r="D129" s="509">
        <f t="shared" si="7"/>
        <v>0.72</v>
      </c>
      <c r="E129" s="510" t="s">
        <v>14</v>
      </c>
      <c r="F129" s="443" t="s">
        <v>248</v>
      </c>
      <c r="G129" s="49"/>
      <c r="H129" s="49"/>
      <c r="I129" s="49"/>
      <c r="J129" s="49"/>
      <c r="K129" s="49"/>
      <c r="L129" s="49"/>
      <c r="M129" s="49"/>
      <c r="N129" s="49"/>
    </row>
    <row r="130" ht="18.0" customHeight="1">
      <c r="A130" s="1"/>
      <c r="B130" s="299" t="s">
        <v>119</v>
      </c>
      <c r="C130" s="183" t="s">
        <v>47</v>
      </c>
      <c r="D130" s="450"/>
      <c r="E130" s="1"/>
      <c r="F130" s="1"/>
      <c r="G130" s="1"/>
      <c r="H130" s="49"/>
      <c r="I130" s="49"/>
      <c r="J130" s="49"/>
      <c r="K130" s="49"/>
      <c r="L130" s="49"/>
      <c r="M130" s="49"/>
      <c r="N130" s="49"/>
    </row>
    <row r="131" ht="18.0" customHeight="1">
      <c r="A131" s="1"/>
      <c r="B131" s="302" t="s">
        <v>49</v>
      </c>
      <c r="C131" s="303">
        <v>41151.0</v>
      </c>
      <c r="D131" s="453"/>
      <c r="E131" s="1"/>
      <c r="F131" s="1"/>
      <c r="G131" s="1"/>
      <c r="H131" s="49"/>
      <c r="I131" s="49"/>
      <c r="J131" s="49"/>
      <c r="K131" s="49"/>
      <c r="L131" s="49"/>
      <c r="M131" s="49"/>
      <c r="N131" s="49"/>
    </row>
    <row r="132" ht="18.0" customHeight="1">
      <c r="A132" s="1"/>
      <c r="B132" s="302" t="s">
        <v>50</v>
      </c>
      <c r="C132" s="303">
        <v>42052.0</v>
      </c>
      <c r="D132" s="453"/>
      <c r="E132" s="1"/>
      <c r="F132" s="1"/>
      <c r="G132" s="1"/>
      <c r="H132" s="49"/>
      <c r="I132" s="49"/>
      <c r="J132" s="49"/>
      <c r="K132" s="49"/>
      <c r="L132" s="49"/>
      <c r="M132" s="49"/>
      <c r="N132" s="49"/>
    </row>
    <row r="133" ht="18.0" customHeight="1">
      <c r="A133" s="1"/>
      <c r="B133" s="455"/>
      <c r="C133" s="20"/>
      <c r="D133" s="453"/>
      <c r="E133" s="1"/>
      <c r="F133" s="1"/>
      <c r="G133" s="1"/>
      <c r="H133" s="49"/>
      <c r="I133" s="49"/>
      <c r="J133" s="49"/>
      <c r="K133" s="49"/>
      <c r="L133" s="49"/>
      <c r="M133" s="49"/>
      <c r="N133" s="49"/>
    </row>
    <row r="134" ht="18.0" customHeight="1">
      <c r="A134" s="1"/>
      <c r="B134" s="459" t="s">
        <v>256</v>
      </c>
      <c r="C134" s="19"/>
      <c r="D134" s="453"/>
      <c r="E134" s="1"/>
      <c r="F134" s="1"/>
      <c r="G134" s="1"/>
      <c r="H134" s="49"/>
      <c r="I134" s="49"/>
      <c r="J134" s="49"/>
      <c r="K134" s="49"/>
      <c r="L134" s="49"/>
      <c r="M134" s="49"/>
      <c r="N134" s="49"/>
    </row>
    <row r="135" ht="18.0" customHeight="1">
      <c r="A135" s="1"/>
      <c r="B135" s="1"/>
      <c r="C135" s="1"/>
      <c r="D135" s="184"/>
      <c r="E135" s="1"/>
      <c r="F135" s="1"/>
      <c r="G135" s="49"/>
      <c r="H135" s="49"/>
      <c r="I135" s="49"/>
      <c r="J135" s="49"/>
      <c r="K135" s="49"/>
      <c r="L135" s="49"/>
      <c r="M135" s="49"/>
      <c r="N135" s="49"/>
    </row>
    <row r="136" ht="15.75" customHeight="1">
      <c r="A136" s="49"/>
      <c r="B136" s="511" t="s">
        <v>309</v>
      </c>
      <c r="C136" s="18"/>
      <c r="D136" s="18"/>
      <c r="E136" s="19"/>
      <c r="F136" s="207"/>
      <c r="G136" s="49"/>
      <c r="H136" s="49"/>
      <c r="I136" s="49"/>
      <c r="J136" s="49"/>
      <c r="K136" s="49"/>
      <c r="L136" s="49"/>
      <c r="M136" s="49"/>
      <c r="N136" s="49"/>
    </row>
    <row r="137" ht="15.75" customHeight="1">
      <c r="A137" s="49"/>
      <c r="B137" s="512" t="s">
        <v>310</v>
      </c>
      <c r="C137" s="53">
        <v>100.0</v>
      </c>
      <c r="D137" s="513">
        <v>250.0</v>
      </c>
      <c r="E137" s="514" t="s">
        <v>9</v>
      </c>
      <c r="F137" s="515"/>
      <c r="G137" s="49"/>
      <c r="H137" s="49"/>
      <c r="I137" s="49"/>
      <c r="J137" s="49"/>
      <c r="K137" s="49"/>
      <c r="L137" s="49"/>
      <c r="M137" s="49"/>
      <c r="N137" s="49"/>
    </row>
    <row r="138" ht="15.75" customHeight="1">
      <c r="A138" s="49"/>
      <c r="B138" s="68" t="s">
        <v>311</v>
      </c>
      <c r="C138" s="516">
        <v>0.75</v>
      </c>
      <c r="D138" s="516">
        <f t="shared" ref="D138:D142" si="8">(C138*D137)/C137</f>
        <v>1.875</v>
      </c>
      <c r="E138" s="216" t="s">
        <v>14</v>
      </c>
      <c r="F138" s="44" t="s">
        <v>312</v>
      </c>
      <c r="G138" s="49"/>
      <c r="H138" s="49"/>
      <c r="I138" s="49"/>
      <c r="J138" s="49"/>
      <c r="K138" s="49"/>
      <c r="L138" s="49"/>
      <c r="M138" s="49"/>
      <c r="N138" s="49"/>
    </row>
    <row r="139" ht="15.75" customHeight="1">
      <c r="A139" s="49"/>
      <c r="B139" s="105" t="s">
        <v>313</v>
      </c>
      <c r="C139" s="517">
        <v>1.5</v>
      </c>
      <c r="D139" s="517">
        <f t="shared" si="8"/>
        <v>3.75</v>
      </c>
      <c r="E139" s="518" t="s">
        <v>14</v>
      </c>
      <c r="F139" s="76"/>
      <c r="G139" s="49"/>
      <c r="H139" s="49"/>
      <c r="I139" s="49"/>
      <c r="J139" s="49"/>
      <c r="K139" s="49"/>
      <c r="L139" s="49"/>
      <c r="M139" s="49"/>
      <c r="N139" s="49"/>
    </row>
    <row r="140" ht="15.75" customHeight="1">
      <c r="A140" s="49"/>
      <c r="B140" s="119" t="s">
        <v>314</v>
      </c>
      <c r="C140" s="519">
        <v>2.25</v>
      </c>
      <c r="D140" s="519">
        <f t="shared" si="8"/>
        <v>5.625</v>
      </c>
      <c r="E140" s="520" t="s">
        <v>14</v>
      </c>
      <c r="F140" s="207"/>
      <c r="G140" s="49"/>
      <c r="H140" s="49"/>
      <c r="I140" s="49"/>
      <c r="J140" s="49"/>
      <c r="K140" s="49"/>
      <c r="L140" s="49"/>
      <c r="M140" s="49"/>
      <c r="N140" s="49"/>
    </row>
    <row r="141" ht="15.75" customHeight="1">
      <c r="A141" s="49"/>
      <c r="B141" s="93" t="s">
        <v>315</v>
      </c>
      <c r="C141" s="521">
        <v>6.0</v>
      </c>
      <c r="D141" s="521">
        <f t="shared" si="8"/>
        <v>15</v>
      </c>
      <c r="E141" s="249" t="s">
        <v>18</v>
      </c>
      <c r="F141" s="207"/>
      <c r="G141" s="49"/>
      <c r="H141" s="49"/>
      <c r="I141" s="49"/>
      <c r="J141" s="49"/>
      <c r="K141" s="49"/>
      <c r="L141" s="49"/>
      <c r="M141" s="49"/>
      <c r="N141" s="49"/>
    </row>
    <row r="142" ht="15.75" customHeight="1">
      <c r="A142" s="49"/>
      <c r="B142" s="105" t="s">
        <v>31</v>
      </c>
      <c r="C142" s="517">
        <v>77.0</v>
      </c>
      <c r="D142" s="517">
        <f t="shared" si="8"/>
        <v>192.5</v>
      </c>
      <c r="E142" s="518" t="s">
        <v>18</v>
      </c>
      <c r="F142" s="207"/>
      <c r="G142" s="49"/>
      <c r="H142" s="49"/>
      <c r="I142" s="49"/>
      <c r="J142" s="49"/>
      <c r="K142" s="49"/>
      <c r="L142" s="49"/>
      <c r="M142" s="49"/>
      <c r="N142" s="49"/>
    </row>
    <row r="143" ht="15.75" customHeight="1">
      <c r="A143" s="49"/>
      <c r="B143" s="299" t="s">
        <v>119</v>
      </c>
      <c r="C143" s="183" t="s">
        <v>47</v>
      </c>
      <c r="D143" s="184"/>
      <c r="E143" s="49" t="s">
        <v>264</v>
      </c>
      <c r="F143" s="49"/>
      <c r="G143" s="49"/>
      <c r="H143" s="49"/>
      <c r="I143" s="49"/>
      <c r="J143" s="49"/>
      <c r="K143" s="49"/>
      <c r="L143" s="49"/>
      <c r="M143" s="49"/>
      <c r="N143" s="49"/>
    </row>
    <row r="144" ht="15.75" customHeight="1">
      <c r="A144" s="1"/>
      <c r="B144" s="1"/>
      <c r="C144" s="1"/>
      <c r="D144" s="184"/>
      <c r="E144" s="1"/>
      <c r="F144" s="1"/>
      <c r="G144" s="49"/>
      <c r="H144" s="49"/>
      <c r="I144" s="49"/>
      <c r="J144" s="49"/>
      <c r="K144" s="49"/>
      <c r="L144" s="49"/>
      <c r="M144" s="49"/>
      <c r="N144" s="49"/>
    </row>
    <row r="145" ht="15.75" customHeight="1">
      <c r="A145" s="1"/>
      <c r="B145" s="209" t="s">
        <v>316</v>
      </c>
      <c r="C145" s="18"/>
      <c r="D145" s="18"/>
      <c r="E145" s="19"/>
      <c r="F145" s="207"/>
      <c r="G145" s="49"/>
      <c r="H145" s="49"/>
      <c r="I145" s="49"/>
      <c r="J145" s="49"/>
      <c r="K145" s="49"/>
      <c r="L145" s="49"/>
      <c r="M145" s="49"/>
      <c r="N145" s="49"/>
    </row>
    <row r="146" ht="15.75" customHeight="1">
      <c r="A146" s="1"/>
      <c r="B146" s="51" t="s">
        <v>1</v>
      </c>
      <c r="C146" s="53">
        <v>100.0</v>
      </c>
      <c r="D146" s="513">
        <v>80.0</v>
      </c>
      <c r="E146" s="514" t="s">
        <v>5</v>
      </c>
      <c r="F146" s="207"/>
      <c r="G146" s="49"/>
      <c r="H146" s="49"/>
      <c r="I146" s="49"/>
      <c r="J146" s="49"/>
      <c r="K146" s="49"/>
      <c r="L146" s="49"/>
      <c r="M146" s="49"/>
      <c r="N146" s="49"/>
    </row>
    <row r="147" ht="15.75" customHeight="1">
      <c r="A147" s="1"/>
      <c r="B147" s="68" t="s">
        <v>317</v>
      </c>
      <c r="C147" s="210">
        <v>16.0</v>
      </c>
      <c r="D147" s="155">
        <f t="shared" ref="D147:D170" si="9">(C147*D146)/C146</f>
        <v>12.8</v>
      </c>
      <c r="E147" s="216" t="s">
        <v>14</v>
      </c>
      <c r="F147" s="264" t="s">
        <v>318</v>
      </c>
      <c r="G147" s="49"/>
      <c r="H147" s="49"/>
      <c r="I147" s="49"/>
      <c r="J147" s="49"/>
      <c r="K147" s="49"/>
      <c r="L147" s="49"/>
      <c r="M147" s="49"/>
      <c r="N147" s="49"/>
    </row>
    <row r="148" ht="15.75" customHeight="1">
      <c r="A148" s="1"/>
      <c r="B148" s="93" t="s">
        <v>157</v>
      </c>
      <c r="C148" s="247">
        <v>80.0</v>
      </c>
      <c r="D148" s="78">
        <f t="shared" si="9"/>
        <v>64</v>
      </c>
      <c r="E148" s="249" t="s">
        <v>5</v>
      </c>
      <c r="F148" s="66"/>
      <c r="G148" s="49"/>
      <c r="H148" s="49"/>
      <c r="I148" s="49"/>
      <c r="J148" s="49"/>
      <c r="K148" s="49"/>
      <c r="L148" s="49"/>
      <c r="M148" s="49"/>
      <c r="N148" s="49"/>
    </row>
    <row r="149" ht="15.75" customHeight="1">
      <c r="A149" s="1"/>
      <c r="B149" s="93" t="s">
        <v>31</v>
      </c>
      <c r="C149" s="247">
        <v>1200.0</v>
      </c>
      <c r="D149" s="78">
        <f t="shared" si="9"/>
        <v>960</v>
      </c>
      <c r="E149" s="249" t="s">
        <v>18</v>
      </c>
      <c r="F149" s="66"/>
      <c r="G149" s="49"/>
      <c r="H149" s="49"/>
      <c r="I149" s="49"/>
      <c r="J149" s="49"/>
      <c r="K149" s="49"/>
      <c r="L149" s="49"/>
      <c r="M149" s="49"/>
      <c r="N149" s="49"/>
    </row>
    <row r="150" ht="15.75" customHeight="1">
      <c r="A150" s="1"/>
      <c r="B150" s="105" t="s">
        <v>319</v>
      </c>
      <c r="C150" s="522">
        <v>0.4</v>
      </c>
      <c r="D150" s="56">
        <f t="shared" si="9"/>
        <v>0.32</v>
      </c>
      <c r="E150" s="518" t="s">
        <v>5</v>
      </c>
      <c r="F150" s="106"/>
      <c r="G150" s="49"/>
      <c r="H150" s="49"/>
      <c r="I150" s="49"/>
      <c r="J150" s="49"/>
      <c r="K150" s="49"/>
      <c r="L150" s="49"/>
      <c r="M150" s="49"/>
      <c r="N150" s="49"/>
    </row>
    <row r="151" ht="15.75" customHeight="1">
      <c r="A151" s="1"/>
      <c r="B151" s="119" t="s">
        <v>91</v>
      </c>
      <c r="C151" s="523">
        <v>2.0</v>
      </c>
      <c r="D151" s="129">
        <f t="shared" si="9"/>
        <v>1.6</v>
      </c>
      <c r="E151" s="520" t="s">
        <v>5</v>
      </c>
      <c r="F151" s="524" t="s">
        <v>320</v>
      </c>
      <c r="G151" s="49"/>
      <c r="H151" s="49"/>
      <c r="I151" s="49"/>
      <c r="J151" s="49"/>
      <c r="K151" s="49"/>
      <c r="L151" s="49"/>
      <c r="M151" s="49"/>
      <c r="N151" s="49"/>
    </row>
    <row r="152" ht="15.75" customHeight="1">
      <c r="A152" s="1"/>
      <c r="B152" s="350" t="s">
        <v>103</v>
      </c>
      <c r="C152" s="198">
        <v>150.0</v>
      </c>
      <c r="D152" s="201">
        <f t="shared" si="9"/>
        <v>120</v>
      </c>
      <c r="E152" s="352" t="s">
        <v>18</v>
      </c>
      <c r="F152" s="47"/>
      <c r="G152" s="49"/>
      <c r="H152" s="49"/>
      <c r="I152" s="49"/>
      <c r="J152" s="49"/>
      <c r="K152" s="49"/>
      <c r="L152" s="49"/>
      <c r="M152" s="49"/>
      <c r="N152" s="49"/>
    </row>
    <row r="153" ht="15.75" customHeight="1">
      <c r="A153" s="1"/>
      <c r="B153" s="354" t="s">
        <v>252</v>
      </c>
      <c r="C153" s="383">
        <v>50.0</v>
      </c>
      <c r="D153" s="265">
        <f t="shared" si="9"/>
        <v>40</v>
      </c>
      <c r="E153" s="356" t="s">
        <v>18</v>
      </c>
      <c r="F153" s="76"/>
      <c r="G153" s="49"/>
      <c r="H153" s="49"/>
      <c r="I153" s="49"/>
      <c r="J153" s="49"/>
      <c r="K153" s="49"/>
      <c r="L153" s="49"/>
      <c r="M153" s="49"/>
      <c r="N153" s="49"/>
    </row>
    <row r="154" ht="15.75" customHeight="1">
      <c r="A154" s="1"/>
      <c r="B154" s="525" t="s">
        <v>321</v>
      </c>
      <c r="C154" s="314">
        <v>250.0</v>
      </c>
      <c r="D154" s="526">
        <f t="shared" si="9"/>
        <v>200</v>
      </c>
      <c r="E154" s="329" t="s">
        <v>18</v>
      </c>
      <c r="F154" s="524" t="s">
        <v>322</v>
      </c>
      <c r="G154" s="49"/>
      <c r="H154" s="49"/>
      <c r="I154" s="49"/>
      <c r="J154" s="49"/>
      <c r="K154" s="49"/>
      <c r="L154" s="49"/>
      <c r="M154" s="49"/>
      <c r="N154" s="49"/>
    </row>
    <row r="155" ht="15.75" customHeight="1">
      <c r="A155" s="1"/>
      <c r="B155" s="93" t="s">
        <v>39</v>
      </c>
      <c r="C155" s="247">
        <v>250.0</v>
      </c>
      <c r="D155" s="78">
        <f t="shared" si="9"/>
        <v>200</v>
      </c>
      <c r="E155" s="249" t="s">
        <v>18</v>
      </c>
      <c r="F155" s="47"/>
      <c r="G155" s="49"/>
      <c r="H155" s="49"/>
      <c r="I155" s="49"/>
      <c r="J155" s="49"/>
      <c r="K155" s="49"/>
      <c r="L155" s="49"/>
      <c r="M155" s="49"/>
      <c r="N155" s="49"/>
    </row>
    <row r="156" ht="15.75" customHeight="1">
      <c r="A156" s="1"/>
      <c r="B156" s="105" t="s">
        <v>149</v>
      </c>
      <c r="C156" s="522">
        <v>500.0</v>
      </c>
      <c r="D156" s="56">
        <f t="shared" si="9"/>
        <v>400</v>
      </c>
      <c r="E156" s="518" t="s">
        <v>18</v>
      </c>
      <c r="F156" s="76"/>
      <c r="G156" s="49"/>
      <c r="H156" s="49"/>
      <c r="I156" s="49"/>
      <c r="J156" s="49"/>
      <c r="K156" s="49"/>
      <c r="L156" s="49"/>
      <c r="M156" s="49"/>
      <c r="N156" s="49"/>
    </row>
    <row r="157" ht="15.75" customHeight="1">
      <c r="A157" s="1"/>
      <c r="B157" s="68" t="s">
        <v>323</v>
      </c>
      <c r="C157" s="210">
        <v>5.0</v>
      </c>
      <c r="D157" s="155">
        <f t="shared" si="9"/>
        <v>4</v>
      </c>
      <c r="E157" s="216" t="s">
        <v>14</v>
      </c>
      <c r="F157" s="44" t="s">
        <v>324</v>
      </c>
      <c r="G157" s="49"/>
      <c r="H157" s="49"/>
      <c r="I157" s="49"/>
      <c r="J157" s="49"/>
      <c r="K157" s="49"/>
      <c r="L157" s="49"/>
      <c r="M157" s="49"/>
      <c r="N157" s="49"/>
    </row>
    <row r="158" ht="15.75" customHeight="1">
      <c r="A158" s="1"/>
      <c r="B158" s="93" t="s">
        <v>325</v>
      </c>
      <c r="C158" s="247">
        <v>5.0</v>
      </c>
      <c r="D158" s="78">
        <f t="shared" si="9"/>
        <v>4</v>
      </c>
      <c r="E158" s="249" t="s">
        <v>14</v>
      </c>
      <c r="F158" s="47"/>
      <c r="G158" s="49"/>
      <c r="H158" s="49"/>
      <c r="I158" s="49"/>
      <c r="J158" s="49"/>
      <c r="K158" s="49"/>
      <c r="L158" s="49"/>
      <c r="M158" s="49"/>
      <c r="N158" s="49"/>
    </row>
    <row r="159" ht="15.75" customHeight="1">
      <c r="A159" s="1"/>
      <c r="B159" s="93" t="s">
        <v>326</v>
      </c>
      <c r="C159" s="247">
        <v>5.0</v>
      </c>
      <c r="D159" s="78">
        <f t="shared" si="9"/>
        <v>4</v>
      </c>
      <c r="E159" s="249" t="s">
        <v>14</v>
      </c>
      <c r="F159" s="47"/>
      <c r="G159" s="49"/>
      <c r="H159" s="49"/>
      <c r="I159" s="49"/>
      <c r="J159" s="49"/>
      <c r="K159" s="49"/>
      <c r="L159" s="49"/>
      <c r="M159" s="49"/>
      <c r="N159" s="49"/>
    </row>
    <row r="160" ht="15.75" customHeight="1">
      <c r="A160" s="1"/>
      <c r="B160" s="93" t="s">
        <v>327</v>
      </c>
      <c r="C160" s="247">
        <v>5.0</v>
      </c>
      <c r="D160" s="78">
        <f t="shared" si="9"/>
        <v>4</v>
      </c>
      <c r="E160" s="249" t="s">
        <v>14</v>
      </c>
      <c r="F160" s="47"/>
      <c r="G160" s="49"/>
      <c r="H160" s="49"/>
      <c r="I160" s="49"/>
      <c r="J160" s="49"/>
      <c r="K160" s="49"/>
      <c r="L160" s="49"/>
      <c r="M160" s="49"/>
      <c r="N160" s="49"/>
    </row>
    <row r="161" ht="18.0" customHeight="1">
      <c r="A161" s="1"/>
      <c r="B161" s="527" t="s">
        <v>328</v>
      </c>
      <c r="C161" s="528">
        <v>5.0</v>
      </c>
      <c r="D161" s="529">
        <f t="shared" si="9"/>
        <v>4</v>
      </c>
      <c r="E161" s="530" t="s">
        <v>14</v>
      </c>
      <c r="F161" s="47"/>
      <c r="G161" s="49"/>
      <c r="H161" s="49"/>
      <c r="I161" s="49"/>
      <c r="J161" s="49"/>
      <c r="K161" s="49"/>
      <c r="L161" s="49"/>
      <c r="M161" s="49"/>
      <c r="N161" s="49"/>
    </row>
    <row r="162" ht="18.0" customHeight="1">
      <c r="A162" s="1"/>
      <c r="B162" s="531" t="s">
        <v>329</v>
      </c>
      <c r="C162" s="532">
        <v>5.0</v>
      </c>
      <c r="D162" s="533">
        <f t="shared" si="9"/>
        <v>4</v>
      </c>
      <c r="E162" s="534" t="s">
        <v>14</v>
      </c>
      <c r="F162" s="47"/>
      <c r="G162" s="49"/>
      <c r="H162" s="49"/>
      <c r="I162" s="49"/>
      <c r="J162" s="49"/>
      <c r="K162" s="49"/>
      <c r="L162" s="49"/>
      <c r="M162" s="49"/>
      <c r="N162" s="49"/>
    </row>
    <row r="163" ht="18.0" customHeight="1">
      <c r="A163" s="1"/>
      <c r="B163" s="68" t="s">
        <v>330</v>
      </c>
      <c r="C163" s="210">
        <v>40.0</v>
      </c>
      <c r="D163" s="155">
        <f t="shared" si="9"/>
        <v>32</v>
      </c>
      <c r="E163" s="216" t="s">
        <v>14</v>
      </c>
      <c r="F163" s="47"/>
      <c r="G163" s="49"/>
      <c r="H163" s="49"/>
      <c r="I163" s="49"/>
      <c r="J163" s="49"/>
      <c r="K163" s="49"/>
      <c r="L163" s="49"/>
      <c r="M163" s="49"/>
      <c r="N163" s="49"/>
    </row>
    <row r="164" ht="18.0" customHeight="1">
      <c r="A164" s="1"/>
      <c r="B164" s="378" t="s">
        <v>331</v>
      </c>
      <c r="C164" s="522">
        <v>1.0</v>
      </c>
      <c r="D164" s="56">
        <f t="shared" si="9"/>
        <v>0.8</v>
      </c>
      <c r="E164" s="518" t="s">
        <v>14</v>
      </c>
      <c r="F164" s="47"/>
      <c r="G164" s="49"/>
      <c r="H164" s="49"/>
      <c r="I164" s="49"/>
      <c r="J164" s="49"/>
      <c r="K164" s="49"/>
      <c r="L164" s="49"/>
      <c r="M164" s="49"/>
      <c r="N164" s="49"/>
    </row>
    <row r="165" ht="18.0" customHeight="1">
      <c r="A165" s="1"/>
      <c r="B165" s="119" t="s">
        <v>13</v>
      </c>
      <c r="C165" s="523">
        <v>2.5</v>
      </c>
      <c r="D165" s="129">
        <f t="shared" si="9"/>
        <v>2</v>
      </c>
      <c r="E165" s="520" t="s">
        <v>14</v>
      </c>
      <c r="F165" s="47"/>
      <c r="G165" s="49"/>
      <c r="H165" s="49"/>
      <c r="I165" s="49"/>
      <c r="J165" s="49"/>
      <c r="K165" s="49"/>
      <c r="L165" s="49"/>
      <c r="M165" s="49"/>
      <c r="N165" s="49"/>
    </row>
    <row r="166" ht="18.0" customHeight="1">
      <c r="A166" s="1"/>
      <c r="B166" s="93" t="s">
        <v>31</v>
      </c>
      <c r="C166" s="247">
        <v>1000.0</v>
      </c>
      <c r="D166" s="78">
        <f t="shared" si="9"/>
        <v>800</v>
      </c>
      <c r="E166" s="249" t="s">
        <v>18</v>
      </c>
      <c r="F166" s="47"/>
      <c r="G166" s="49"/>
      <c r="H166" s="49"/>
      <c r="I166" s="49"/>
      <c r="J166" s="49"/>
      <c r="K166" s="49"/>
      <c r="L166" s="49"/>
      <c r="M166" s="49"/>
      <c r="N166" s="49"/>
    </row>
    <row r="167" ht="18.0" customHeight="1">
      <c r="A167" s="1"/>
      <c r="B167" s="527" t="s">
        <v>332</v>
      </c>
      <c r="C167" s="528">
        <v>25.0</v>
      </c>
      <c r="D167" s="529">
        <f t="shared" si="9"/>
        <v>20</v>
      </c>
      <c r="E167" s="530" t="s">
        <v>18</v>
      </c>
      <c r="F167" s="47"/>
      <c r="G167" s="49"/>
      <c r="H167" s="49"/>
      <c r="I167" s="49"/>
      <c r="J167" s="49"/>
      <c r="K167" s="49"/>
      <c r="L167" s="49"/>
      <c r="M167" s="49"/>
      <c r="N167" s="49"/>
    </row>
    <row r="168" ht="18.0" customHeight="1">
      <c r="A168" s="1"/>
      <c r="B168" s="527" t="s">
        <v>333</v>
      </c>
      <c r="C168" s="528">
        <v>50.0</v>
      </c>
      <c r="D168" s="529">
        <f t="shared" si="9"/>
        <v>40</v>
      </c>
      <c r="E168" s="530" t="s">
        <v>18</v>
      </c>
      <c r="F168" s="47"/>
      <c r="G168" s="49"/>
      <c r="H168" s="49"/>
      <c r="I168" s="49"/>
      <c r="J168" s="49"/>
      <c r="K168" s="49"/>
      <c r="L168" s="49"/>
      <c r="M168" s="49"/>
      <c r="N168" s="49"/>
    </row>
    <row r="169" ht="18.0" customHeight="1">
      <c r="A169" s="1"/>
      <c r="B169" s="527" t="s">
        <v>334</v>
      </c>
      <c r="C169" s="528">
        <v>1000.0</v>
      </c>
      <c r="D169" s="529">
        <f t="shared" si="9"/>
        <v>800</v>
      </c>
      <c r="E169" s="530" t="s">
        <v>18</v>
      </c>
      <c r="F169" s="47"/>
      <c r="G169" s="49"/>
      <c r="H169" s="181"/>
      <c r="I169" s="49"/>
      <c r="J169" s="49"/>
      <c r="K169" s="49"/>
      <c r="L169" s="49"/>
      <c r="M169" s="49"/>
      <c r="N169" s="49"/>
    </row>
    <row r="170" ht="18.0" customHeight="1">
      <c r="A170" s="1"/>
      <c r="B170" s="535" t="s">
        <v>335</v>
      </c>
      <c r="C170" s="536">
        <v>2.0</v>
      </c>
      <c r="D170" s="537">
        <f t="shared" si="9"/>
        <v>1.6</v>
      </c>
      <c r="E170" s="538" t="s">
        <v>5</v>
      </c>
      <c r="F170" s="76"/>
      <c r="G170" s="49"/>
      <c r="H170" s="49"/>
      <c r="I170" s="49"/>
      <c r="J170" s="49"/>
      <c r="K170" s="49"/>
      <c r="L170" s="49"/>
      <c r="M170" s="49"/>
      <c r="N170" s="49"/>
    </row>
    <row r="171" ht="18.0" customHeight="1">
      <c r="A171" s="1"/>
      <c r="B171" s="299" t="s">
        <v>119</v>
      </c>
      <c r="C171" s="183" t="s">
        <v>47</v>
      </c>
      <c r="D171" s="184"/>
      <c r="E171" s="1"/>
      <c r="F171" s="49"/>
      <c r="G171" s="49"/>
      <c r="H171" s="49"/>
      <c r="I171" s="49"/>
      <c r="J171" s="49"/>
      <c r="K171" s="49"/>
      <c r="L171" s="49"/>
      <c r="M171" s="49"/>
      <c r="N171" s="49"/>
    </row>
    <row r="172" ht="15.75" customHeight="1">
      <c r="A172" s="1"/>
      <c r="B172" s="302" t="s">
        <v>49</v>
      </c>
      <c r="C172" s="303">
        <v>41768.0</v>
      </c>
      <c r="D172" s="184"/>
      <c r="E172" s="1"/>
      <c r="F172" s="49"/>
      <c r="G172" s="49"/>
      <c r="H172" s="49"/>
      <c r="I172" s="49"/>
      <c r="J172" s="49"/>
      <c r="K172" s="49"/>
      <c r="L172" s="49"/>
      <c r="M172" s="49"/>
      <c r="N172" s="49"/>
    </row>
    <row r="173" ht="15.75" customHeight="1">
      <c r="A173" s="1"/>
      <c r="B173" s="302" t="s">
        <v>50</v>
      </c>
      <c r="C173" s="303">
        <v>41796.0</v>
      </c>
      <c r="D173" s="184"/>
      <c r="E173" s="1"/>
      <c r="F173" s="49"/>
      <c r="G173" s="49"/>
      <c r="H173" s="49"/>
      <c r="I173" s="49"/>
      <c r="J173" s="49"/>
      <c r="K173" s="49"/>
      <c r="L173" s="49"/>
      <c r="M173" s="49"/>
      <c r="N173" s="49"/>
    </row>
    <row r="174" ht="15.75" customHeight="1">
      <c r="A174" s="1"/>
      <c r="B174" s="1"/>
      <c r="C174" s="1"/>
      <c r="D174" s="184"/>
      <c r="E174" s="1"/>
      <c r="F174" s="1"/>
      <c r="G174" s="49"/>
      <c r="H174" s="49"/>
      <c r="I174" s="49"/>
      <c r="J174" s="49"/>
      <c r="K174" s="49"/>
      <c r="L174" s="49"/>
      <c r="M174" s="49"/>
      <c r="N174" s="49"/>
    </row>
    <row r="175" ht="15.75" customHeight="1">
      <c r="A175" s="1"/>
      <c r="B175" s="206" t="s">
        <v>336</v>
      </c>
      <c r="C175" s="5"/>
      <c r="D175" s="5"/>
      <c r="E175" s="6"/>
      <c r="F175" s="49"/>
      <c r="G175" s="49"/>
      <c r="H175" s="49"/>
      <c r="I175" s="49"/>
      <c r="J175" s="49"/>
      <c r="K175" s="49"/>
      <c r="L175" s="49"/>
      <c r="M175" s="49"/>
      <c r="N175" s="49"/>
    </row>
    <row r="176" ht="15.75" customHeight="1">
      <c r="A176" s="539" t="s">
        <v>337</v>
      </c>
      <c r="B176" s="51" t="s">
        <v>1</v>
      </c>
      <c r="C176" s="53">
        <v>100.0</v>
      </c>
      <c r="D176" s="540">
        <v>750.0</v>
      </c>
      <c r="E176" s="514" t="s">
        <v>9</v>
      </c>
      <c r="F176" s="207"/>
      <c r="G176" s="49"/>
      <c r="H176" s="49"/>
      <c r="I176" s="49"/>
      <c r="J176" s="49"/>
      <c r="K176" s="49"/>
      <c r="L176" s="49"/>
      <c r="M176" s="49"/>
      <c r="N176" s="49"/>
    </row>
    <row r="177" ht="15.75" customHeight="1">
      <c r="A177" s="47"/>
      <c r="B177" s="68" t="s">
        <v>338</v>
      </c>
      <c r="C177" s="210">
        <v>3.0</v>
      </c>
      <c r="D177" s="155">
        <f t="shared" ref="D177:D184" si="10">(C177*D176)/C176</f>
        <v>22.5</v>
      </c>
      <c r="E177" s="216" t="s">
        <v>14</v>
      </c>
      <c r="F177" s="44" t="s">
        <v>339</v>
      </c>
      <c r="G177" s="49"/>
      <c r="H177" s="181"/>
      <c r="I177" s="49"/>
      <c r="J177" s="49"/>
      <c r="K177" s="49"/>
      <c r="L177" s="49"/>
      <c r="M177" s="49"/>
      <c r="N177" s="49"/>
    </row>
    <row r="178" ht="15.0" customHeight="1">
      <c r="A178" s="47"/>
      <c r="B178" s="93" t="s">
        <v>53</v>
      </c>
      <c r="C178" s="247">
        <v>1.25</v>
      </c>
      <c r="D178" s="78">
        <f t="shared" si="10"/>
        <v>9.375</v>
      </c>
      <c r="E178" s="249" t="s">
        <v>14</v>
      </c>
      <c r="F178" s="47"/>
      <c r="G178" s="49"/>
      <c r="H178" s="49"/>
      <c r="I178" s="49"/>
      <c r="J178" s="49"/>
      <c r="K178" s="49"/>
      <c r="L178" s="49"/>
      <c r="M178" s="49"/>
      <c r="N178" s="49"/>
    </row>
    <row r="179" ht="15.75" customHeight="1">
      <c r="A179" s="47"/>
      <c r="B179" s="93" t="s">
        <v>311</v>
      </c>
      <c r="C179" s="247">
        <v>0.75</v>
      </c>
      <c r="D179" s="78">
        <f t="shared" si="10"/>
        <v>5.625</v>
      </c>
      <c r="E179" s="249" t="s">
        <v>14</v>
      </c>
      <c r="F179" s="47"/>
      <c r="G179" s="49"/>
      <c r="H179" s="49"/>
      <c r="I179" s="49"/>
      <c r="J179" s="49"/>
      <c r="K179" s="49"/>
      <c r="L179" s="49"/>
      <c r="M179" s="49"/>
      <c r="N179" s="49"/>
    </row>
    <row r="180" ht="15.75" customHeight="1">
      <c r="A180" s="47"/>
      <c r="B180" s="93" t="s">
        <v>340</v>
      </c>
      <c r="C180" s="247">
        <v>100.0</v>
      </c>
      <c r="D180" s="78">
        <f t="shared" si="10"/>
        <v>750</v>
      </c>
      <c r="E180" s="249" t="s">
        <v>18</v>
      </c>
      <c r="F180" s="47"/>
      <c r="G180" s="49"/>
      <c r="H180" s="49"/>
      <c r="I180" s="49"/>
      <c r="J180" s="49"/>
      <c r="K180" s="49"/>
      <c r="L180" s="49"/>
      <c r="M180" s="49"/>
      <c r="N180" s="49"/>
    </row>
    <row r="181" ht="15.75" customHeight="1">
      <c r="A181" s="47"/>
      <c r="B181" s="105" t="s">
        <v>63</v>
      </c>
      <c r="C181" s="522">
        <v>25.0</v>
      </c>
      <c r="D181" s="56">
        <f t="shared" si="10"/>
        <v>187.5</v>
      </c>
      <c r="E181" s="518" t="s">
        <v>18</v>
      </c>
      <c r="F181" s="47"/>
      <c r="G181" s="49"/>
      <c r="H181" s="49"/>
      <c r="I181" s="49"/>
      <c r="J181" s="49"/>
      <c r="K181" s="49"/>
      <c r="L181" s="49"/>
      <c r="M181" s="49"/>
      <c r="N181" s="49"/>
    </row>
    <row r="182" ht="15.75" customHeight="1">
      <c r="A182" s="47"/>
      <c r="B182" s="417" t="s">
        <v>31</v>
      </c>
      <c r="C182" s="541">
        <v>200.0</v>
      </c>
      <c r="D182" s="542">
        <f t="shared" si="10"/>
        <v>1500</v>
      </c>
      <c r="E182" s="543" t="s">
        <v>18</v>
      </c>
      <c r="F182" s="47"/>
      <c r="G182" s="49"/>
      <c r="H182" s="49"/>
      <c r="I182" s="49"/>
      <c r="J182" s="49"/>
      <c r="K182" s="49"/>
      <c r="L182" s="49"/>
      <c r="M182" s="49"/>
      <c r="N182" s="49"/>
    </row>
    <row r="183" ht="15.75" customHeight="1">
      <c r="A183" s="76"/>
      <c r="B183" s="105" t="s">
        <v>13</v>
      </c>
      <c r="C183" s="522">
        <v>0.2</v>
      </c>
      <c r="D183" s="56">
        <f t="shared" si="10"/>
        <v>1.5</v>
      </c>
      <c r="E183" s="518" t="s">
        <v>14</v>
      </c>
      <c r="F183" s="47"/>
      <c r="G183" s="49"/>
      <c r="H183" s="49">
        <f>5*150</f>
        <v>750</v>
      </c>
      <c r="I183" s="49"/>
      <c r="J183" s="49"/>
      <c r="K183" s="49"/>
      <c r="L183" s="49"/>
      <c r="M183" s="49"/>
      <c r="N183" s="49"/>
    </row>
    <row r="184" ht="15.75" customHeight="1">
      <c r="A184" s="544" t="s">
        <v>341</v>
      </c>
      <c r="B184" s="173" t="s">
        <v>342</v>
      </c>
      <c r="C184" s="545">
        <v>1.0</v>
      </c>
      <c r="D184" s="546">
        <f t="shared" si="10"/>
        <v>7.5</v>
      </c>
      <c r="E184" s="547" t="s">
        <v>5</v>
      </c>
      <c r="F184" s="76"/>
      <c r="G184" s="49"/>
      <c r="H184" s="49"/>
      <c r="I184" s="49"/>
      <c r="J184" s="49"/>
      <c r="K184" s="49"/>
      <c r="L184" s="49"/>
      <c r="M184" s="49"/>
      <c r="N184" s="49"/>
    </row>
    <row r="185" ht="15.0" customHeight="1">
      <c r="A185" s="47"/>
      <c r="B185" s="51" t="s">
        <v>343</v>
      </c>
      <c r="C185" s="53">
        <v>12.0</v>
      </c>
      <c r="D185" s="548">
        <v>12.0</v>
      </c>
      <c r="E185" s="514" t="s">
        <v>5</v>
      </c>
      <c r="F185" s="194" t="s">
        <v>344</v>
      </c>
      <c r="G185" s="49"/>
      <c r="H185" s="49"/>
      <c r="I185" s="49"/>
      <c r="J185" s="49"/>
      <c r="K185" s="49"/>
      <c r="L185" s="49"/>
      <c r="M185" s="49"/>
      <c r="N185" s="49"/>
    </row>
    <row r="186" ht="15.75" customHeight="1">
      <c r="A186" s="47"/>
      <c r="B186" s="68" t="s">
        <v>91</v>
      </c>
      <c r="C186" s="210">
        <v>0.5</v>
      </c>
      <c r="D186" s="155">
        <f t="shared" ref="D186:D198" si="11">(C186*D185)/C185</f>
        <v>0.5</v>
      </c>
      <c r="E186" s="216" t="s">
        <v>5</v>
      </c>
      <c r="F186" s="63"/>
      <c r="G186" s="49"/>
      <c r="H186" s="49"/>
      <c r="I186" s="49"/>
      <c r="J186" s="49"/>
      <c r="K186" s="49"/>
      <c r="L186" s="49"/>
      <c r="M186" s="49"/>
      <c r="N186" s="49"/>
    </row>
    <row r="187" ht="15.75" customHeight="1">
      <c r="A187" s="47"/>
      <c r="B187" s="93" t="s">
        <v>97</v>
      </c>
      <c r="C187" s="247">
        <v>25.0</v>
      </c>
      <c r="D187" s="78">
        <f t="shared" si="11"/>
        <v>25</v>
      </c>
      <c r="E187" s="249" t="s">
        <v>18</v>
      </c>
      <c r="F187" s="63"/>
      <c r="G187" s="49"/>
      <c r="H187" s="49"/>
      <c r="I187" s="49"/>
      <c r="J187" s="49"/>
      <c r="K187" s="49"/>
      <c r="L187" s="49"/>
      <c r="M187" s="49"/>
      <c r="N187" s="49"/>
    </row>
    <row r="188" ht="15.75" customHeight="1">
      <c r="A188" s="47"/>
      <c r="B188" s="93" t="s">
        <v>345</v>
      </c>
      <c r="C188" s="247">
        <v>0.1</v>
      </c>
      <c r="D188" s="78">
        <f t="shared" si="11"/>
        <v>0.1</v>
      </c>
      <c r="E188" s="249" t="s">
        <v>14</v>
      </c>
      <c r="F188" s="63"/>
      <c r="G188" s="49"/>
      <c r="H188" s="49"/>
      <c r="I188" s="49"/>
      <c r="J188" s="49"/>
      <c r="K188" s="49"/>
      <c r="L188" s="49"/>
      <c r="M188" s="49"/>
      <c r="N188" s="49"/>
    </row>
    <row r="189" ht="15.75" customHeight="1">
      <c r="A189" s="47"/>
      <c r="B189" s="93" t="s">
        <v>311</v>
      </c>
      <c r="C189" s="247">
        <v>0.1</v>
      </c>
      <c r="D189" s="78">
        <f t="shared" si="11"/>
        <v>0.1</v>
      </c>
      <c r="E189" s="249" t="s">
        <v>14</v>
      </c>
      <c r="F189" s="63"/>
      <c r="G189" s="49"/>
      <c r="H189" s="49"/>
      <c r="I189" s="49"/>
      <c r="J189" s="49"/>
      <c r="K189" s="49"/>
      <c r="L189" s="49"/>
      <c r="M189" s="49"/>
      <c r="N189" s="49"/>
    </row>
    <row r="190" ht="15.75" customHeight="1">
      <c r="A190" s="47"/>
      <c r="B190" s="93" t="s">
        <v>346</v>
      </c>
      <c r="C190" s="247">
        <v>100.0</v>
      </c>
      <c r="D190" s="78">
        <f t="shared" si="11"/>
        <v>100</v>
      </c>
      <c r="E190" s="249" t="s">
        <v>18</v>
      </c>
      <c r="F190" s="63"/>
      <c r="G190" s="49"/>
      <c r="H190" s="49"/>
      <c r="I190" s="49"/>
      <c r="J190" s="49"/>
      <c r="K190" s="49"/>
      <c r="L190" s="49"/>
      <c r="M190" s="49"/>
      <c r="N190" s="49"/>
    </row>
    <row r="191" ht="15.0" customHeight="1">
      <c r="A191" s="47"/>
      <c r="B191" s="93" t="s">
        <v>347</v>
      </c>
      <c r="C191" s="247">
        <v>0.5</v>
      </c>
      <c r="D191" s="78">
        <f t="shared" si="11"/>
        <v>0.5</v>
      </c>
      <c r="E191" s="249" t="s">
        <v>14</v>
      </c>
      <c r="F191" s="63"/>
      <c r="G191" s="49"/>
      <c r="H191" s="49"/>
      <c r="I191" s="49"/>
      <c r="J191" s="49"/>
      <c r="K191" s="49"/>
      <c r="L191" s="49"/>
      <c r="M191" s="49"/>
      <c r="N191" s="49"/>
    </row>
    <row r="192" ht="15.75" customHeight="1">
      <c r="A192" s="47"/>
      <c r="B192" s="105" t="s">
        <v>197</v>
      </c>
      <c r="C192" s="522">
        <v>1.5</v>
      </c>
      <c r="D192" s="517">
        <f t="shared" si="11"/>
        <v>1.5</v>
      </c>
      <c r="E192" s="518" t="s">
        <v>14</v>
      </c>
      <c r="F192" s="102"/>
      <c r="G192" s="49"/>
      <c r="H192" s="49"/>
      <c r="I192" s="49"/>
      <c r="J192" s="49"/>
      <c r="K192" s="49"/>
      <c r="L192" s="49"/>
      <c r="M192" s="49"/>
      <c r="N192" s="49"/>
    </row>
    <row r="193" ht="15.75" customHeight="1">
      <c r="A193" s="47"/>
      <c r="B193" s="119" t="s">
        <v>52</v>
      </c>
      <c r="C193" s="523">
        <v>25.0</v>
      </c>
      <c r="D193" s="129">
        <f t="shared" si="11"/>
        <v>25</v>
      </c>
      <c r="E193" s="520" t="s">
        <v>18</v>
      </c>
      <c r="F193" s="194" t="s">
        <v>348</v>
      </c>
      <c r="G193" s="49"/>
      <c r="H193" s="49"/>
      <c r="I193" s="49"/>
      <c r="J193" s="49"/>
      <c r="K193" s="49"/>
      <c r="L193" s="49"/>
      <c r="M193" s="49"/>
      <c r="N193" s="49"/>
    </row>
    <row r="194" ht="15.75" customHeight="1">
      <c r="A194" s="47"/>
      <c r="B194" s="93" t="s">
        <v>31</v>
      </c>
      <c r="C194" s="247">
        <v>160.0</v>
      </c>
      <c r="D194" s="78">
        <f t="shared" si="11"/>
        <v>160</v>
      </c>
      <c r="E194" s="249" t="s">
        <v>18</v>
      </c>
      <c r="F194" s="63"/>
      <c r="G194" s="49"/>
      <c r="H194" s="49"/>
      <c r="I194" s="49"/>
      <c r="J194" s="49"/>
      <c r="K194" s="49"/>
      <c r="L194" s="49"/>
      <c r="M194" s="49"/>
      <c r="N194" s="49"/>
    </row>
    <row r="195" ht="15.75" customHeight="1">
      <c r="A195" s="47"/>
      <c r="B195" s="105" t="s">
        <v>13</v>
      </c>
      <c r="C195" s="522">
        <v>0.16</v>
      </c>
      <c r="D195" s="56">
        <f t="shared" si="11"/>
        <v>0.16</v>
      </c>
      <c r="E195" s="518" t="s">
        <v>14</v>
      </c>
      <c r="F195" s="102"/>
      <c r="G195" s="49"/>
      <c r="H195" s="49"/>
      <c r="I195" s="49"/>
      <c r="J195" s="49"/>
      <c r="K195" s="49"/>
      <c r="L195" s="49"/>
      <c r="M195" s="49"/>
      <c r="N195" s="49"/>
    </row>
    <row r="196" ht="15.75" customHeight="1">
      <c r="A196" s="47"/>
      <c r="B196" s="149" t="s">
        <v>349</v>
      </c>
      <c r="C196" s="272">
        <v>10.0</v>
      </c>
      <c r="D196" s="274">
        <f t="shared" si="11"/>
        <v>10</v>
      </c>
      <c r="E196" s="288" t="s">
        <v>14</v>
      </c>
      <c r="F196" s="549"/>
      <c r="G196" s="49"/>
      <c r="H196" s="49"/>
      <c r="I196" s="49"/>
      <c r="J196" s="49"/>
      <c r="K196" s="49"/>
      <c r="L196" s="49"/>
      <c r="M196" s="49"/>
      <c r="N196" s="49"/>
    </row>
    <row r="197" ht="15.75" customHeight="1">
      <c r="A197" s="76"/>
      <c r="B197" s="119" t="s">
        <v>350</v>
      </c>
      <c r="C197" s="523">
        <v>1.5</v>
      </c>
      <c r="D197" s="129">
        <f t="shared" si="11"/>
        <v>1.5</v>
      </c>
      <c r="E197" s="520" t="s">
        <v>351</v>
      </c>
      <c r="F197" s="194" t="s">
        <v>352</v>
      </c>
      <c r="G197" s="49"/>
      <c r="H197" s="49"/>
      <c r="I197" s="49"/>
      <c r="J197" s="49"/>
      <c r="K197" s="49"/>
      <c r="L197" s="49"/>
      <c r="M197" s="49"/>
      <c r="N197" s="49"/>
    </row>
    <row r="198" ht="15.75" customHeight="1">
      <c r="A198" s="1"/>
      <c r="B198" s="105" t="s">
        <v>335</v>
      </c>
      <c r="C198" s="522">
        <v>0.5</v>
      </c>
      <c r="D198" s="274">
        <f t="shared" si="11"/>
        <v>0.5</v>
      </c>
      <c r="E198" s="518" t="s">
        <v>5</v>
      </c>
      <c r="F198" s="102"/>
      <c r="G198" s="49"/>
      <c r="H198" s="49"/>
      <c r="I198" s="49"/>
      <c r="J198" s="49"/>
      <c r="K198" s="49"/>
      <c r="L198" s="49"/>
      <c r="M198" s="49"/>
      <c r="N198" s="49"/>
    </row>
    <row r="199" ht="15.0" customHeight="1">
      <c r="A199" s="207"/>
      <c r="B199" s="299" t="s">
        <v>119</v>
      </c>
      <c r="C199" s="183" t="s">
        <v>47</v>
      </c>
      <c r="D199" s="184"/>
      <c r="E199" s="49"/>
      <c r="F199" s="49"/>
      <c r="G199" s="49"/>
      <c r="H199" s="49"/>
      <c r="I199" s="49"/>
      <c r="J199" s="49"/>
      <c r="K199" s="49"/>
      <c r="L199" s="49"/>
      <c r="M199" s="49"/>
      <c r="N199" s="49"/>
    </row>
    <row r="200" ht="15.75" customHeight="1">
      <c r="A200" s="1"/>
      <c r="B200" s="550" t="s">
        <v>49</v>
      </c>
      <c r="C200" s="551">
        <v>41436.0</v>
      </c>
      <c r="D200" s="184"/>
      <c r="E200" s="49"/>
      <c r="F200" s="49"/>
      <c r="G200" s="49"/>
      <c r="H200" s="49"/>
      <c r="I200" s="49"/>
      <c r="J200" s="49"/>
      <c r="K200" s="49"/>
      <c r="L200" s="49"/>
      <c r="M200" s="49"/>
      <c r="N200" s="49"/>
    </row>
    <row r="201" ht="15.75" customHeight="1">
      <c r="A201" s="1"/>
      <c r="B201" s="552" t="s">
        <v>50</v>
      </c>
      <c r="C201" s="551">
        <v>41485.0</v>
      </c>
      <c r="D201" s="184"/>
      <c r="E201" s="49"/>
      <c r="F201" s="49"/>
      <c r="G201" s="49"/>
      <c r="H201" s="49"/>
      <c r="I201" s="49"/>
      <c r="J201" s="49"/>
      <c r="K201" s="49"/>
      <c r="L201" s="49"/>
      <c r="M201" s="49"/>
      <c r="N201" s="49"/>
    </row>
    <row r="202" ht="15.75" customHeight="1">
      <c r="A202" s="1"/>
      <c r="B202" s="1"/>
      <c r="C202" s="1"/>
      <c r="D202" s="184"/>
      <c r="E202" s="1"/>
      <c r="F202" s="49"/>
      <c r="G202" s="49"/>
      <c r="H202" s="49"/>
      <c r="I202" s="49"/>
      <c r="J202" s="49"/>
      <c r="K202" s="49"/>
      <c r="L202" s="49"/>
      <c r="M202" s="49"/>
      <c r="N202" s="49"/>
    </row>
    <row r="203" ht="15.75" customHeight="1">
      <c r="A203" s="1"/>
      <c r="B203" s="206" t="s">
        <v>353</v>
      </c>
      <c r="C203" s="5"/>
      <c r="D203" s="5"/>
      <c r="E203" s="6"/>
      <c r="F203" s="49"/>
      <c r="G203" s="49"/>
      <c r="H203" s="49"/>
      <c r="I203" s="49"/>
      <c r="J203" s="49"/>
      <c r="K203" s="49"/>
      <c r="L203" s="49"/>
      <c r="M203" s="49"/>
      <c r="N203" s="49"/>
    </row>
    <row r="204" ht="18.0" customHeight="1">
      <c r="A204" s="1"/>
      <c r="B204" s="553" t="s">
        <v>354</v>
      </c>
      <c r="C204" s="210">
        <v>200.0</v>
      </c>
      <c r="D204" s="155">
        <v>60.0</v>
      </c>
      <c r="E204" s="216" t="s">
        <v>9</v>
      </c>
      <c r="F204" s="207"/>
      <c r="G204" s="49"/>
      <c r="H204" s="49"/>
      <c r="I204" s="49"/>
      <c r="J204" s="49"/>
      <c r="K204" s="49"/>
      <c r="L204" s="49"/>
      <c r="M204" s="49"/>
      <c r="N204" s="49"/>
    </row>
    <row r="205" ht="18.0" customHeight="1">
      <c r="A205" s="1"/>
      <c r="B205" s="554" t="s">
        <v>355</v>
      </c>
      <c r="C205" s="247">
        <v>250.0</v>
      </c>
      <c r="D205" s="519">
        <f>(C205*D204)/C204</f>
        <v>75</v>
      </c>
      <c r="E205" s="249" t="s">
        <v>9</v>
      </c>
      <c r="F205" s="207"/>
      <c r="G205" s="49"/>
      <c r="H205" s="49"/>
      <c r="I205" s="49"/>
      <c r="J205" s="49"/>
      <c r="K205" s="49"/>
      <c r="L205" s="49"/>
      <c r="M205" s="49"/>
      <c r="N205" s="49"/>
    </row>
    <row r="206" ht="18.0" customHeight="1">
      <c r="A206" s="1"/>
      <c r="B206" s="555" t="s">
        <v>356</v>
      </c>
      <c r="C206" s="522">
        <v>300.0</v>
      </c>
      <c r="D206" s="556">
        <v>200.0</v>
      </c>
      <c r="E206" s="518" t="s">
        <v>9</v>
      </c>
      <c r="F206" s="207"/>
      <c r="G206" s="49"/>
      <c r="H206" s="49"/>
      <c r="I206" s="49"/>
      <c r="J206" s="49"/>
      <c r="K206" s="49"/>
      <c r="L206" s="49"/>
      <c r="M206" s="49"/>
      <c r="N206" s="49"/>
    </row>
    <row r="207" ht="18.0" customHeight="1">
      <c r="A207" s="1"/>
      <c r="B207" s="119" t="s">
        <v>357</v>
      </c>
      <c r="C207" s="519">
        <v>5.0</v>
      </c>
      <c r="D207" s="519">
        <f t="shared" ref="D207:D215" si="12">(C207*D206)/C206</f>
        <v>3.333333333</v>
      </c>
      <c r="E207" s="520" t="s">
        <v>14</v>
      </c>
      <c r="F207" s="140" t="s">
        <v>358</v>
      </c>
      <c r="G207" s="49"/>
      <c r="H207" s="49"/>
      <c r="I207" s="49"/>
      <c r="J207" s="49"/>
      <c r="K207" s="49"/>
      <c r="L207" s="49"/>
      <c r="M207" s="49"/>
      <c r="N207" s="49"/>
    </row>
    <row r="208" ht="18.0" customHeight="1">
      <c r="A208" s="1"/>
      <c r="B208" s="93" t="s">
        <v>359</v>
      </c>
      <c r="C208" s="521">
        <v>3.0</v>
      </c>
      <c r="D208" s="521">
        <f t="shared" si="12"/>
        <v>2</v>
      </c>
      <c r="E208" s="249" t="s">
        <v>9</v>
      </c>
      <c r="G208" s="49"/>
      <c r="H208" s="49"/>
      <c r="I208" s="49"/>
      <c r="J208" s="49"/>
      <c r="K208" s="49"/>
      <c r="L208" s="49"/>
      <c r="M208" s="49"/>
      <c r="N208" s="49"/>
    </row>
    <row r="209" ht="18.0" customHeight="1">
      <c r="A209" s="1"/>
      <c r="B209" s="93" t="s">
        <v>360</v>
      </c>
      <c r="C209" s="521">
        <v>200.0</v>
      </c>
      <c r="D209" s="521">
        <f t="shared" si="12"/>
        <v>133.3333333</v>
      </c>
      <c r="E209" s="249" t="s">
        <v>18</v>
      </c>
      <c r="G209" s="49"/>
      <c r="H209" s="49"/>
      <c r="I209" s="49"/>
      <c r="J209" s="49"/>
      <c r="K209" s="49"/>
      <c r="L209" s="49"/>
      <c r="M209" s="49"/>
      <c r="N209" s="49"/>
    </row>
    <row r="210" ht="15.75" customHeight="1">
      <c r="A210" s="1"/>
      <c r="B210" s="93" t="s">
        <v>361</v>
      </c>
      <c r="C210" s="521">
        <v>200.0</v>
      </c>
      <c r="D210" s="521">
        <f t="shared" si="12"/>
        <v>133.3333333</v>
      </c>
      <c r="E210" s="249" t="s">
        <v>18</v>
      </c>
      <c r="G210" s="49"/>
      <c r="H210" s="49"/>
      <c r="I210" s="49"/>
      <c r="J210" s="49"/>
      <c r="K210" s="49"/>
      <c r="L210" s="49"/>
      <c r="M210" s="49"/>
      <c r="N210" s="49"/>
    </row>
    <row r="211" ht="15.75" customHeight="1">
      <c r="A211" s="1"/>
      <c r="B211" s="93" t="s">
        <v>362</v>
      </c>
      <c r="C211" s="521">
        <v>0.5</v>
      </c>
      <c r="D211" s="521">
        <f t="shared" si="12"/>
        <v>0.3333333333</v>
      </c>
      <c r="E211" s="249" t="s">
        <v>5</v>
      </c>
      <c r="G211" s="49"/>
      <c r="H211" s="49"/>
      <c r="I211" s="49"/>
      <c r="J211" s="49"/>
      <c r="K211" s="49"/>
      <c r="L211" s="49"/>
      <c r="M211" s="49"/>
      <c r="N211" s="49"/>
    </row>
    <row r="212" ht="15.75" customHeight="1">
      <c r="A212" s="1"/>
      <c r="B212" s="93" t="s">
        <v>31</v>
      </c>
      <c r="C212" s="521">
        <v>150.0</v>
      </c>
      <c r="D212" s="521">
        <f t="shared" si="12"/>
        <v>100</v>
      </c>
      <c r="E212" s="249" t="s">
        <v>18</v>
      </c>
      <c r="G212" s="49"/>
      <c r="H212" s="49"/>
      <c r="I212" s="49"/>
      <c r="J212" s="49"/>
      <c r="K212" s="49"/>
      <c r="L212" s="49"/>
      <c r="M212" s="49"/>
      <c r="N212" s="49"/>
    </row>
    <row r="213" ht="15.75" customHeight="1">
      <c r="A213" s="1"/>
      <c r="B213" s="93" t="s">
        <v>103</v>
      </c>
      <c r="C213" s="521">
        <v>25.0</v>
      </c>
      <c r="D213" s="521">
        <f t="shared" si="12"/>
        <v>16.66666667</v>
      </c>
      <c r="E213" s="249" t="s">
        <v>18</v>
      </c>
      <c r="G213" s="49"/>
      <c r="H213" s="49"/>
      <c r="I213" s="49"/>
      <c r="J213" s="49"/>
      <c r="K213" s="49"/>
      <c r="L213" s="49"/>
      <c r="M213" s="49"/>
      <c r="N213" s="49"/>
    </row>
    <row r="214" ht="15.75" customHeight="1">
      <c r="A214" s="1"/>
      <c r="B214" s="105" t="s">
        <v>98</v>
      </c>
      <c r="C214" s="522">
        <v>50.0</v>
      </c>
      <c r="D214" s="517">
        <f t="shared" si="12"/>
        <v>33.33333333</v>
      </c>
      <c r="E214" s="518" t="s">
        <v>18</v>
      </c>
      <c r="F214" s="104"/>
      <c r="G214" s="49"/>
      <c r="H214" s="49"/>
      <c r="I214" s="49"/>
      <c r="J214" s="49"/>
      <c r="K214" s="49"/>
      <c r="L214" s="49"/>
      <c r="M214" s="49"/>
      <c r="N214" s="49"/>
    </row>
    <row r="215" ht="15.75" customHeight="1">
      <c r="A215" s="1"/>
      <c r="B215" s="149" t="s">
        <v>91</v>
      </c>
      <c r="C215" s="556">
        <v>2.0</v>
      </c>
      <c r="D215" s="556">
        <f t="shared" si="12"/>
        <v>1.333333333</v>
      </c>
      <c r="E215" s="288" t="s">
        <v>5</v>
      </c>
      <c r="F215" s="207"/>
      <c r="G215" s="49"/>
      <c r="H215" s="49"/>
      <c r="I215" s="49"/>
      <c r="J215" s="49"/>
      <c r="K215" s="49"/>
      <c r="L215" s="49"/>
      <c r="M215" s="49"/>
      <c r="N215" s="49"/>
    </row>
    <row r="216" ht="15.75" customHeight="1">
      <c r="A216" s="1"/>
      <c r="B216" s="550" t="s">
        <v>49</v>
      </c>
      <c r="C216" s="551">
        <v>41030.0</v>
      </c>
      <c r="D216" s="184"/>
      <c r="E216" s="49"/>
      <c r="F216" s="49"/>
      <c r="G216" s="49"/>
      <c r="H216" s="49"/>
      <c r="I216" s="49"/>
      <c r="J216" s="49"/>
      <c r="K216" s="49"/>
      <c r="L216" s="49"/>
      <c r="M216" s="49"/>
      <c r="N216" s="49"/>
    </row>
    <row r="217" ht="15.75" customHeight="1">
      <c r="A217" s="1"/>
      <c r="B217" s="552" t="s">
        <v>50</v>
      </c>
      <c r="C217" s="557">
        <v>41486.0</v>
      </c>
      <c r="D217" s="184"/>
      <c r="E217" s="49"/>
      <c r="F217" s="49"/>
      <c r="G217" s="49"/>
      <c r="H217" s="49"/>
      <c r="I217" s="49"/>
      <c r="J217" s="49"/>
      <c r="K217" s="49"/>
      <c r="L217" s="49"/>
      <c r="M217" s="49"/>
      <c r="N217" s="49"/>
    </row>
    <row r="218" ht="15.75" customHeight="1">
      <c r="A218" s="1"/>
      <c r="B218" s="299" t="s">
        <v>119</v>
      </c>
      <c r="C218" s="183" t="s">
        <v>47</v>
      </c>
      <c r="D218" s="558"/>
      <c r="E218" s="49"/>
      <c r="F218" s="49"/>
      <c r="G218" s="49"/>
      <c r="H218" s="49"/>
      <c r="I218" s="49"/>
      <c r="J218" s="49"/>
      <c r="K218" s="49"/>
      <c r="L218" s="49"/>
      <c r="M218" s="49"/>
      <c r="N218" s="49"/>
    </row>
    <row r="219" ht="15.75" customHeight="1">
      <c r="A219" s="1"/>
      <c r="B219" s="1"/>
      <c r="C219" s="1"/>
      <c r="D219" s="184"/>
      <c r="E219" s="1"/>
      <c r="F219" s="1"/>
      <c r="G219" s="49"/>
      <c r="H219" s="49"/>
      <c r="I219" s="49"/>
      <c r="J219" s="49"/>
      <c r="K219" s="49"/>
      <c r="L219" s="49"/>
      <c r="M219" s="49"/>
      <c r="N219" s="49"/>
    </row>
    <row r="220" ht="15.75" customHeight="1">
      <c r="A220" s="1"/>
      <c r="B220" s="206" t="s">
        <v>363</v>
      </c>
      <c r="C220" s="5"/>
      <c r="D220" s="5"/>
      <c r="E220" s="6"/>
      <c r="F220" s="559" t="s">
        <v>364</v>
      </c>
      <c r="G220" s="49"/>
      <c r="H220" s="49"/>
      <c r="I220" s="49"/>
      <c r="J220" s="49"/>
      <c r="K220" s="49"/>
      <c r="L220" s="49"/>
      <c r="M220" s="49"/>
      <c r="N220" s="49"/>
    </row>
    <row r="221" ht="15.75" customHeight="1">
      <c r="A221" s="1"/>
      <c r="B221" s="51" t="s">
        <v>1</v>
      </c>
      <c r="C221" s="53">
        <v>100.0</v>
      </c>
      <c r="D221" s="513">
        <v>500.0</v>
      </c>
      <c r="E221" s="514" t="s">
        <v>9</v>
      </c>
      <c r="F221" s="207"/>
      <c r="G221" s="49"/>
      <c r="H221" s="49"/>
      <c r="I221" s="49"/>
      <c r="J221" s="49"/>
      <c r="K221" s="49"/>
      <c r="L221" s="49"/>
      <c r="M221" s="49"/>
      <c r="N221" s="49"/>
    </row>
    <row r="222" ht="15.75" customHeight="1">
      <c r="A222" s="1"/>
      <c r="B222" s="68" t="s">
        <v>365</v>
      </c>
      <c r="C222" s="210">
        <v>1.6</v>
      </c>
      <c r="D222" s="155">
        <f t="shared" ref="D222:D228" si="13">(C222*D221)/C221</f>
        <v>8</v>
      </c>
      <c r="E222" s="216" t="s">
        <v>366</v>
      </c>
      <c r="F222" s="44" t="s">
        <v>367</v>
      </c>
      <c r="G222" s="49"/>
      <c r="H222" s="49"/>
      <c r="I222" s="49"/>
      <c r="J222" s="49"/>
      <c r="K222" s="49"/>
      <c r="L222" s="49"/>
      <c r="M222" s="49"/>
      <c r="N222" s="49"/>
    </row>
    <row r="223" ht="15.75" customHeight="1">
      <c r="A223" s="1"/>
      <c r="B223" s="93" t="s">
        <v>368</v>
      </c>
      <c r="C223" s="247">
        <v>0.5</v>
      </c>
      <c r="D223" s="78">
        <f t="shared" si="13"/>
        <v>2.5</v>
      </c>
      <c r="E223" s="249" t="s">
        <v>366</v>
      </c>
      <c r="F223" s="47"/>
      <c r="G223" s="49"/>
      <c r="H223" s="49"/>
      <c r="I223" s="49"/>
      <c r="J223" s="49"/>
      <c r="K223" s="49"/>
      <c r="L223" s="49"/>
      <c r="M223" s="49"/>
      <c r="N223" s="49"/>
    </row>
    <row r="224" ht="15.75" customHeight="1">
      <c r="A224" s="1"/>
      <c r="B224" s="93" t="s">
        <v>369</v>
      </c>
      <c r="C224" s="247">
        <v>80.0</v>
      </c>
      <c r="D224" s="78">
        <f t="shared" si="13"/>
        <v>400</v>
      </c>
      <c r="E224" s="249" t="s">
        <v>18</v>
      </c>
      <c r="F224" s="47"/>
      <c r="G224" s="49"/>
      <c r="H224" s="49"/>
      <c r="I224" s="49"/>
      <c r="J224" s="49"/>
      <c r="K224" s="49"/>
      <c r="L224" s="49"/>
      <c r="M224" s="49"/>
      <c r="N224" s="49"/>
    </row>
    <row r="225" ht="15.75" customHeight="1">
      <c r="A225" s="1"/>
      <c r="B225" s="93" t="s">
        <v>149</v>
      </c>
      <c r="C225" s="247">
        <v>50.00000000000001</v>
      </c>
      <c r="D225" s="78">
        <f t="shared" si="13"/>
        <v>250</v>
      </c>
      <c r="E225" s="249" t="s">
        <v>18</v>
      </c>
      <c r="F225" s="47"/>
      <c r="G225" s="49"/>
      <c r="H225" s="49"/>
      <c r="I225" s="49"/>
      <c r="J225" s="49"/>
      <c r="K225" s="49"/>
      <c r="L225" s="49"/>
      <c r="M225" s="49"/>
      <c r="N225" s="49"/>
    </row>
    <row r="226" ht="15.75" customHeight="1">
      <c r="A226" s="1"/>
      <c r="B226" s="93" t="s">
        <v>98</v>
      </c>
      <c r="C226" s="247">
        <v>12.500000000000002</v>
      </c>
      <c r="D226" s="78">
        <f t="shared" si="13"/>
        <v>62.5</v>
      </c>
      <c r="E226" s="249" t="s">
        <v>18</v>
      </c>
      <c r="F226" s="47"/>
      <c r="G226" s="49"/>
      <c r="H226" s="49"/>
      <c r="I226" s="49"/>
      <c r="J226" s="49"/>
      <c r="K226" s="49"/>
      <c r="L226" s="49"/>
      <c r="M226" s="49"/>
      <c r="N226" s="49"/>
    </row>
    <row r="227" ht="15.75" customHeight="1">
      <c r="A227" s="1"/>
      <c r="B227" s="105" t="s">
        <v>31</v>
      </c>
      <c r="C227" s="522">
        <v>82.50000000000001</v>
      </c>
      <c r="D227" s="56">
        <f t="shared" si="13"/>
        <v>412.5</v>
      </c>
      <c r="E227" s="518" t="s">
        <v>18</v>
      </c>
      <c r="F227" s="47"/>
      <c r="G227" s="49"/>
      <c r="H227" s="49"/>
      <c r="I227" s="49"/>
      <c r="J227" s="49"/>
      <c r="K227" s="49"/>
      <c r="L227" s="49"/>
      <c r="M227" s="49"/>
      <c r="N227" s="49"/>
    </row>
    <row r="228" ht="15.75" customHeight="1">
      <c r="A228" s="1"/>
      <c r="B228" s="173" t="s">
        <v>342</v>
      </c>
      <c r="C228" s="545">
        <v>1.0</v>
      </c>
      <c r="D228" s="179">
        <f t="shared" si="13"/>
        <v>5</v>
      </c>
      <c r="E228" s="547" t="s">
        <v>5</v>
      </c>
      <c r="F228" s="47"/>
      <c r="G228" s="49"/>
      <c r="H228" s="49"/>
      <c r="I228" s="49"/>
      <c r="J228" s="49"/>
      <c r="K228" s="49"/>
      <c r="L228" s="49"/>
      <c r="M228" s="49"/>
      <c r="N228" s="49"/>
    </row>
    <row r="229" ht="18.0" customHeight="1">
      <c r="A229" s="1"/>
      <c r="B229" s="299" t="s">
        <v>119</v>
      </c>
      <c r="C229" s="560" t="s">
        <v>47</v>
      </c>
      <c r="D229" s="561"/>
      <c r="E229" s="49"/>
      <c r="F229" s="49"/>
      <c r="G229" s="49"/>
      <c r="H229" s="49"/>
      <c r="I229" s="49"/>
      <c r="J229" s="49"/>
      <c r="K229" s="49"/>
      <c r="L229" s="49"/>
      <c r="M229" s="49"/>
      <c r="N229" s="49"/>
    </row>
    <row r="230" ht="18.0" customHeight="1">
      <c r="A230" s="1"/>
      <c r="B230" s="327" t="s">
        <v>370</v>
      </c>
      <c r="C230" s="5"/>
      <c r="D230" s="6"/>
      <c r="E230" s="49"/>
      <c r="F230" s="49"/>
      <c r="G230" s="49"/>
      <c r="H230" s="49"/>
      <c r="I230" s="49"/>
      <c r="J230" s="49"/>
      <c r="K230" s="49"/>
      <c r="L230" s="49"/>
      <c r="M230" s="49"/>
      <c r="N230" s="49"/>
    </row>
    <row r="231" ht="18.0" customHeight="1">
      <c r="A231" s="1"/>
      <c r="B231" s="102"/>
      <c r="C231" s="104"/>
      <c r="D231" s="106"/>
      <c r="E231" s="49"/>
      <c r="F231" s="49"/>
      <c r="G231" s="49"/>
      <c r="H231" s="49"/>
      <c r="I231" s="49"/>
      <c r="J231" s="49"/>
      <c r="K231" s="49"/>
      <c r="L231" s="49"/>
      <c r="M231" s="49"/>
      <c r="N231" s="49"/>
    </row>
    <row r="232" ht="18.0" customHeight="1">
      <c r="A232" s="1"/>
      <c r="B232" s="550" t="s">
        <v>49</v>
      </c>
      <c r="C232" s="551">
        <v>42915.0</v>
      </c>
      <c r="D232" s="184"/>
      <c r="E232" s="49"/>
      <c r="F232" s="49"/>
      <c r="G232" s="49"/>
      <c r="H232" s="49"/>
      <c r="I232" s="49"/>
      <c r="J232" s="49"/>
      <c r="K232" s="49"/>
      <c r="L232" s="49"/>
      <c r="M232" s="49"/>
      <c r="N232" s="49"/>
    </row>
    <row r="233" ht="18.0" customHeight="1">
      <c r="A233" s="1"/>
      <c r="B233" s="552" t="s">
        <v>50</v>
      </c>
      <c r="C233" s="551">
        <v>42915.0</v>
      </c>
      <c r="D233" s="184"/>
      <c r="E233" s="49"/>
      <c r="F233" s="49"/>
      <c r="G233" s="49"/>
      <c r="H233" s="49"/>
      <c r="I233" s="49"/>
      <c r="J233" s="49"/>
      <c r="K233" s="49"/>
      <c r="L233" s="49"/>
      <c r="M233" s="49"/>
      <c r="N233" s="49"/>
    </row>
    <row r="234" ht="18.0" customHeight="1">
      <c r="A234" s="1"/>
      <c r="B234" s="1"/>
      <c r="C234" s="1"/>
      <c r="D234" s="184"/>
      <c r="E234" s="1"/>
      <c r="F234" s="1"/>
      <c r="G234" s="49"/>
      <c r="H234" s="49"/>
      <c r="I234" s="49"/>
      <c r="J234" s="49"/>
      <c r="K234" s="49"/>
      <c r="L234" s="49"/>
      <c r="M234" s="49"/>
      <c r="N234" s="49"/>
    </row>
    <row r="235" ht="18.0" customHeight="1">
      <c r="A235" s="1"/>
      <c r="B235" s="320" t="s">
        <v>371</v>
      </c>
      <c r="C235" s="5"/>
      <c r="D235" s="5"/>
      <c r="E235" s="6"/>
      <c r="F235" s="562"/>
      <c r="G235" s="49"/>
      <c r="H235" s="49"/>
      <c r="I235" s="49"/>
      <c r="J235" s="49"/>
      <c r="K235" s="49"/>
      <c r="L235" s="49"/>
      <c r="M235" s="49"/>
      <c r="N235" s="49"/>
    </row>
    <row r="236" ht="18.0" customHeight="1">
      <c r="A236" s="1"/>
      <c r="B236" s="324" t="s">
        <v>1</v>
      </c>
      <c r="C236" s="563">
        <v>100.0</v>
      </c>
      <c r="D236" s="326">
        <v>15.0</v>
      </c>
      <c r="E236" s="329" t="s">
        <v>5</v>
      </c>
      <c r="F236" s="562"/>
      <c r="G236" s="49"/>
      <c r="H236" s="49"/>
      <c r="I236" s="49"/>
      <c r="J236" s="49"/>
      <c r="K236" s="49"/>
      <c r="L236" s="49"/>
      <c r="M236" s="49"/>
      <c r="N236" s="49"/>
    </row>
    <row r="237" ht="18.0" customHeight="1">
      <c r="A237" s="1"/>
      <c r="B237" s="330" t="s">
        <v>372</v>
      </c>
      <c r="C237" s="564">
        <v>25.0</v>
      </c>
      <c r="D237" s="331">
        <f t="shared" ref="D237:D257" si="14">(C237*D236)/C236</f>
        <v>3.75</v>
      </c>
      <c r="E237" s="332" t="s">
        <v>14</v>
      </c>
      <c r="F237" s="565" t="s">
        <v>373</v>
      </c>
      <c r="G237" s="49"/>
      <c r="H237" s="49"/>
      <c r="I237" s="49"/>
      <c r="J237" s="49"/>
      <c r="K237" s="49"/>
      <c r="L237" s="49"/>
      <c r="M237" s="49"/>
      <c r="N237" s="49"/>
    </row>
    <row r="238" ht="18.0" customHeight="1">
      <c r="A238" s="1"/>
      <c r="B238" s="333" t="s">
        <v>91</v>
      </c>
      <c r="C238" s="566">
        <v>2.5</v>
      </c>
      <c r="D238" s="334">
        <f t="shared" si="14"/>
        <v>0.375</v>
      </c>
      <c r="E238" s="335" t="s">
        <v>5</v>
      </c>
      <c r="F238" s="339" t="s">
        <v>374</v>
      </c>
      <c r="G238" s="49"/>
      <c r="H238" s="49"/>
      <c r="I238" s="49"/>
      <c r="J238" s="49"/>
      <c r="K238" s="49"/>
      <c r="L238" s="49"/>
      <c r="M238" s="49"/>
      <c r="N238" s="49"/>
    </row>
    <row r="239" ht="15.75" customHeight="1">
      <c r="A239" s="1"/>
      <c r="B239" s="341" t="s">
        <v>60</v>
      </c>
      <c r="C239" s="567">
        <v>2.5</v>
      </c>
      <c r="D239" s="344">
        <f t="shared" si="14"/>
        <v>0.375</v>
      </c>
      <c r="E239" s="347" t="s">
        <v>14</v>
      </c>
      <c r="F239" s="47"/>
      <c r="G239" s="49"/>
      <c r="H239" s="49"/>
      <c r="I239" s="49"/>
      <c r="J239" s="49"/>
      <c r="K239" s="49"/>
      <c r="L239" s="49"/>
      <c r="M239" s="49"/>
      <c r="N239" s="49"/>
    </row>
    <row r="240" ht="15.75" customHeight="1">
      <c r="A240" s="1"/>
      <c r="B240" s="341" t="s">
        <v>97</v>
      </c>
      <c r="C240" s="567">
        <v>250.0</v>
      </c>
      <c r="D240" s="344">
        <f t="shared" si="14"/>
        <v>37.5</v>
      </c>
      <c r="E240" s="347" t="s">
        <v>18</v>
      </c>
      <c r="F240" s="47"/>
      <c r="G240" s="49"/>
      <c r="H240" s="49"/>
      <c r="I240" s="49"/>
      <c r="J240" s="49"/>
      <c r="K240" s="49"/>
      <c r="L240" s="49"/>
      <c r="M240" s="49"/>
      <c r="N240" s="49"/>
    </row>
    <row r="241" ht="15.75" customHeight="1">
      <c r="A241" s="1"/>
      <c r="B241" s="341" t="s">
        <v>375</v>
      </c>
      <c r="C241" s="567">
        <v>500.0</v>
      </c>
      <c r="D241" s="344">
        <f t="shared" si="14"/>
        <v>75</v>
      </c>
      <c r="E241" s="347" t="s">
        <v>18</v>
      </c>
      <c r="F241" s="47"/>
      <c r="G241" s="49"/>
      <c r="H241" s="49"/>
      <c r="I241" s="49"/>
      <c r="J241" s="49"/>
      <c r="K241" s="49"/>
      <c r="L241" s="49"/>
      <c r="M241" s="49"/>
      <c r="N241" s="49"/>
    </row>
    <row r="242" ht="15.0" customHeight="1">
      <c r="A242" s="1"/>
      <c r="B242" s="341" t="s">
        <v>193</v>
      </c>
      <c r="C242" s="567">
        <v>2.5</v>
      </c>
      <c r="D242" s="567">
        <f t="shared" si="14"/>
        <v>0.375</v>
      </c>
      <c r="E242" s="347" t="s">
        <v>5</v>
      </c>
      <c r="F242" s="47"/>
      <c r="G242" s="49"/>
      <c r="H242" s="49"/>
      <c r="I242" s="49"/>
      <c r="J242" s="49"/>
      <c r="K242" s="49"/>
      <c r="L242" s="49"/>
      <c r="M242" s="49"/>
      <c r="N242" s="49"/>
    </row>
    <row r="243" ht="15.75" customHeight="1">
      <c r="A243" s="1"/>
      <c r="B243" s="341" t="s">
        <v>103</v>
      </c>
      <c r="C243" s="567">
        <v>150.0</v>
      </c>
      <c r="D243" s="567">
        <f t="shared" si="14"/>
        <v>22.5</v>
      </c>
      <c r="E243" s="347" t="s">
        <v>18</v>
      </c>
      <c r="F243" s="47"/>
      <c r="G243" s="49"/>
      <c r="H243" s="49"/>
      <c r="I243" s="49"/>
      <c r="J243" s="49"/>
      <c r="K243" s="49"/>
      <c r="L243" s="49"/>
      <c r="M243" s="49"/>
      <c r="N243" s="49"/>
    </row>
    <row r="244" ht="15.75" customHeight="1">
      <c r="A244" s="1"/>
      <c r="B244" s="349" t="s">
        <v>52</v>
      </c>
      <c r="C244" s="568">
        <v>110.0</v>
      </c>
      <c r="D244" s="568">
        <f t="shared" si="14"/>
        <v>16.5</v>
      </c>
      <c r="E244" s="367" t="s">
        <v>18</v>
      </c>
      <c r="F244" s="76"/>
      <c r="G244" s="49"/>
      <c r="H244" s="49"/>
      <c r="I244" s="49"/>
      <c r="J244" s="49"/>
      <c r="K244" s="49"/>
      <c r="L244" s="49"/>
      <c r="M244" s="49"/>
      <c r="N244" s="49"/>
    </row>
    <row r="245" ht="15.75" customHeight="1">
      <c r="A245" s="1"/>
      <c r="B245" s="333" t="s">
        <v>376</v>
      </c>
      <c r="C245" s="566">
        <v>15.0</v>
      </c>
      <c r="D245" s="566">
        <f t="shared" si="14"/>
        <v>2.25</v>
      </c>
      <c r="E245" s="335" t="s">
        <v>14</v>
      </c>
      <c r="F245" s="44" t="s">
        <v>377</v>
      </c>
      <c r="G245" s="49"/>
      <c r="H245" s="49"/>
      <c r="I245" s="49"/>
      <c r="J245" s="49"/>
      <c r="K245" s="49"/>
      <c r="L245" s="49"/>
      <c r="M245" s="49"/>
      <c r="N245" s="49"/>
    </row>
    <row r="246" ht="15.75" customHeight="1">
      <c r="A246" s="1"/>
      <c r="B246" s="349" t="s">
        <v>52</v>
      </c>
      <c r="C246" s="568">
        <v>75.0</v>
      </c>
      <c r="D246" s="568">
        <f t="shared" si="14"/>
        <v>11.25</v>
      </c>
      <c r="E246" s="367" t="s">
        <v>18</v>
      </c>
      <c r="F246" s="47"/>
      <c r="G246" s="49"/>
      <c r="H246" s="49"/>
      <c r="I246" s="49"/>
      <c r="J246" s="49"/>
      <c r="K246" s="49"/>
      <c r="L246" s="49"/>
      <c r="M246" s="49"/>
      <c r="N246" s="49"/>
    </row>
    <row r="247" ht="15.75" customHeight="1">
      <c r="A247" s="1"/>
      <c r="B247" s="349" t="s">
        <v>31</v>
      </c>
      <c r="C247" s="568">
        <v>300.0</v>
      </c>
      <c r="D247" s="568">
        <f t="shared" si="14"/>
        <v>45</v>
      </c>
      <c r="E247" s="367" t="s">
        <v>18</v>
      </c>
      <c r="F247" s="76"/>
      <c r="G247" s="49"/>
      <c r="H247" s="49"/>
      <c r="I247" s="49"/>
      <c r="J247" s="49"/>
      <c r="K247" s="49"/>
      <c r="L247" s="49"/>
      <c r="M247" s="49"/>
      <c r="N247" s="49"/>
    </row>
    <row r="248" ht="15.75" customHeight="1">
      <c r="A248" s="1"/>
      <c r="B248" s="333" t="s">
        <v>192</v>
      </c>
      <c r="C248" s="566">
        <v>750.0</v>
      </c>
      <c r="D248" s="566">
        <f t="shared" si="14"/>
        <v>112.5</v>
      </c>
      <c r="E248" s="335" t="s">
        <v>18</v>
      </c>
      <c r="F248" s="569" t="s">
        <v>378</v>
      </c>
      <c r="G248" s="49"/>
      <c r="H248" s="49"/>
      <c r="I248" s="49"/>
      <c r="J248" s="49"/>
      <c r="K248" s="49"/>
      <c r="L248" s="49"/>
      <c r="M248" s="49"/>
      <c r="N248" s="49"/>
    </row>
    <row r="249" ht="15.75" customHeight="1">
      <c r="A249" s="1"/>
      <c r="B249" s="341" t="s">
        <v>199</v>
      </c>
      <c r="C249" s="567">
        <v>25.0</v>
      </c>
      <c r="D249" s="567">
        <f t="shared" si="14"/>
        <v>3.75</v>
      </c>
      <c r="E249" s="347" t="s">
        <v>14</v>
      </c>
      <c r="F249" s="570"/>
      <c r="G249" s="49"/>
      <c r="H249" s="49"/>
      <c r="I249" s="49"/>
      <c r="J249" s="49"/>
      <c r="K249" s="49"/>
      <c r="L249" s="49"/>
      <c r="M249" s="49"/>
      <c r="N249" s="49"/>
    </row>
    <row r="250" ht="15.75" customHeight="1">
      <c r="A250" s="1"/>
      <c r="B250" s="341" t="s">
        <v>200</v>
      </c>
      <c r="C250" s="567">
        <v>5.0</v>
      </c>
      <c r="D250" s="567">
        <f t="shared" si="14"/>
        <v>0.75</v>
      </c>
      <c r="E250" s="347" t="s">
        <v>14</v>
      </c>
      <c r="F250" s="570"/>
      <c r="G250" s="49"/>
      <c r="H250" s="49"/>
      <c r="I250" s="49"/>
      <c r="J250" s="49"/>
      <c r="K250" s="49"/>
      <c r="L250" s="49"/>
      <c r="M250" s="49"/>
      <c r="N250" s="49"/>
    </row>
    <row r="251" ht="15.75" customHeight="1">
      <c r="A251" s="1"/>
      <c r="B251" s="341" t="s">
        <v>213</v>
      </c>
      <c r="C251" s="567">
        <v>5.0</v>
      </c>
      <c r="D251" s="567">
        <f t="shared" si="14"/>
        <v>0.75</v>
      </c>
      <c r="E251" s="347" t="s">
        <v>5</v>
      </c>
      <c r="F251" s="570"/>
      <c r="G251" s="49"/>
      <c r="H251" s="49"/>
      <c r="I251" s="49"/>
      <c r="J251" s="49"/>
      <c r="K251" s="49"/>
      <c r="L251" s="49"/>
      <c r="M251" s="49"/>
      <c r="N251" s="49"/>
    </row>
    <row r="252" ht="15.75" customHeight="1">
      <c r="A252" s="1"/>
      <c r="B252" s="341" t="s">
        <v>197</v>
      </c>
      <c r="C252" s="567">
        <v>7.5</v>
      </c>
      <c r="D252" s="567">
        <f t="shared" si="14"/>
        <v>1.125</v>
      </c>
      <c r="E252" s="347" t="s">
        <v>14</v>
      </c>
      <c r="F252" s="570"/>
      <c r="G252" s="49"/>
      <c r="H252" s="49"/>
      <c r="I252" s="49"/>
      <c r="J252" s="49"/>
      <c r="K252" s="49"/>
      <c r="L252" s="49"/>
      <c r="M252" s="49"/>
      <c r="N252" s="49"/>
    </row>
    <row r="253" ht="15.75" customHeight="1">
      <c r="A253" s="1"/>
      <c r="B253" s="341" t="s">
        <v>31</v>
      </c>
      <c r="C253" s="567">
        <v>800.0</v>
      </c>
      <c r="D253" s="364">
        <f t="shared" si="14"/>
        <v>120</v>
      </c>
      <c r="E253" s="347" t="s">
        <v>18</v>
      </c>
      <c r="F253" s="570"/>
      <c r="G253" s="49"/>
      <c r="H253" s="49"/>
      <c r="I253" s="49"/>
      <c r="J253" s="49"/>
      <c r="K253" s="49"/>
      <c r="L253" s="49"/>
      <c r="M253" s="49"/>
      <c r="N253" s="49"/>
    </row>
    <row r="254" ht="15.75" customHeight="1">
      <c r="A254" s="1"/>
      <c r="B254" s="341" t="s">
        <v>124</v>
      </c>
      <c r="C254" s="567">
        <v>400.0</v>
      </c>
      <c r="D254" s="364">
        <f t="shared" si="14"/>
        <v>60</v>
      </c>
      <c r="E254" s="347" t="s">
        <v>18</v>
      </c>
      <c r="F254" s="570"/>
      <c r="G254" s="49"/>
      <c r="H254" s="49"/>
      <c r="I254" s="49"/>
      <c r="J254" s="49"/>
      <c r="K254" s="49"/>
      <c r="L254" s="49"/>
      <c r="M254" s="49"/>
      <c r="N254" s="49"/>
    </row>
    <row r="255" ht="15.75" customHeight="1">
      <c r="A255" s="1"/>
      <c r="B255" s="358" t="s">
        <v>13</v>
      </c>
      <c r="C255" s="571">
        <v>1.5</v>
      </c>
      <c r="D255" s="385">
        <f t="shared" si="14"/>
        <v>0.225</v>
      </c>
      <c r="E255" s="388" t="s">
        <v>14</v>
      </c>
      <c r="F255" s="572"/>
      <c r="G255" s="49"/>
      <c r="H255" s="49"/>
      <c r="I255" s="49"/>
      <c r="J255" s="49"/>
      <c r="K255" s="49"/>
      <c r="L255" s="49"/>
      <c r="M255" s="49"/>
      <c r="N255" s="49"/>
    </row>
    <row r="256" ht="15.75" customHeight="1">
      <c r="A256" s="1"/>
      <c r="B256" s="358" t="s">
        <v>167</v>
      </c>
      <c r="C256" s="571">
        <v>1.25</v>
      </c>
      <c r="D256" s="385">
        <f t="shared" si="14"/>
        <v>0.1875</v>
      </c>
      <c r="E256" s="388" t="s">
        <v>5</v>
      </c>
      <c r="F256" s="494"/>
      <c r="G256" s="49"/>
      <c r="H256" s="49"/>
      <c r="I256" s="49"/>
      <c r="J256" s="49"/>
      <c r="K256" s="49"/>
      <c r="L256" s="49"/>
      <c r="M256" s="49"/>
      <c r="N256" s="49"/>
    </row>
    <row r="257" ht="15.75" customHeight="1">
      <c r="A257" s="1"/>
      <c r="B257" s="438" t="s">
        <v>244</v>
      </c>
      <c r="C257" s="573">
        <v>2.5</v>
      </c>
      <c r="D257" s="440">
        <f t="shared" si="14"/>
        <v>0.375</v>
      </c>
      <c r="E257" s="442" t="s">
        <v>14</v>
      </c>
      <c r="F257" s="574" t="s">
        <v>248</v>
      </c>
      <c r="G257" s="49"/>
      <c r="H257" s="49"/>
      <c r="I257" s="49"/>
      <c r="J257" s="49"/>
      <c r="K257" s="49"/>
      <c r="L257" s="49"/>
      <c r="M257" s="49"/>
      <c r="N257" s="49"/>
    </row>
    <row r="258" ht="15.75" customHeight="1">
      <c r="A258" s="1"/>
      <c r="B258" s="299" t="s">
        <v>119</v>
      </c>
      <c r="C258" s="183" t="s">
        <v>47</v>
      </c>
      <c r="D258" s="450"/>
      <c r="E258" s="575"/>
      <c r="F258" s="1"/>
      <c r="G258" s="1"/>
      <c r="H258" s="49"/>
      <c r="I258" s="49"/>
      <c r="J258" s="49"/>
      <c r="K258" s="49"/>
      <c r="L258" s="49"/>
      <c r="M258" s="49"/>
      <c r="N258" s="49"/>
    </row>
    <row r="259" ht="15.75" customHeight="1">
      <c r="A259" s="1"/>
      <c r="B259" s="302" t="s">
        <v>49</v>
      </c>
      <c r="C259" s="303">
        <v>41484.0</v>
      </c>
      <c r="D259" s="453"/>
      <c r="E259" s="575"/>
      <c r="F259" s="1"/>
      <c r="G259" s="1"/>
      <c r="H259" s="49"/>
      <c r="I259" s="49"/>
      <c r="J259" s="49"/>
      <c r="K259" s="49"/>
      <c r="L259" s="49"/>
      <c r="M259" s="49"/>
      <c r="N259" s="49"/>
    </row>
    <row r="260" ht="15.75" customHeight="1">
      <c r="A260" s="1"/>
      <c r="B260" s="302" t="s">
        <v>50</v>
      </c>
      <c r="C260" s="303">
        <v>42052.0</v>
      </c>
      <c r="D260" s="453"/>
      <c r="E260" s="575"/>
      <c r="F260" s="1"/>
      <c r="G260" s="1"/>
      <c r="H260" s="49"/>
      <c r="I260" s="49"/>
      <c r="J260" s="49"/>
      <c r="K260" s="49"/>
      <c r="L260" s="49"/>
      <c r="M260" s="49"/>
      <c r="N260" s="49"/>
    </row>
    <row r="261" ht="15.75" customHeight="1">
      <c r="A261" s="1"/>
      <c r="B261" s="455"/>
      <c r="C261" s="20"/>
      <c r="D261" s="453"/>
      <c r="E261" s="575"/>
      <c r="F261" s="1"/>
      <c r="G261" s="1"/>
      <c r="H261" s="49"/>
      <c r="I261" s="49"/>
      <c r="J261" s="49"/>
      <c r="K261" s="49"/>
      <c r="L261" s="49"/>
      <c r="M261" s="49"/>
      <c r="N261" s="49"/>
    </row>
    <row r="262" ht="15.75" customHeight="1">
      <c r="A262" s="1"/>
      <c r="B262" s="576" t="s">
        <v>379</v>
      </c>
      <c r="C262" s="5"/>
      <c r="D262" s="5"/>
      <c r="E262" s="6"/>
      <c r="F262" s="1"/>
      <c r="G262" s="1"/>
      <c r="H262" s="49"/>
      <c r="I262" s="49"/>
      <c r="J262" s="49"/>
      <c r="K262" s="49"/>
      <c r="L262" s="49"/>
      <c r="M262" s="49"/>
      <c r="N262" s="49"/>
    </row>
    <row r="263" ht="15.75" customHeight="1">
      <c r="A263" s="1"/>
      <c r="B263" s="102"/>
      <c r="C263" s="104"/>
      <c r="D263" s="104"/>
      <c r="E263" s="106"/>
      <c r="F263" s="1"/>
      <c r="G263" s="1"/>
      <c r="H263" s="49"/>
      <c r="I263" s="49"/>
      <c r="J263" s="49"/>
      <c r="K263" s="49"/>
      <c r="L263" s="49"/>
      <c r="M263" s="49"/>
      <c r="N263" s="49"/>
    </row>
    <row r="264" ht="16.5" customHeight="1">
      <c r="A264" s="1"/>
      <c r="B264" s="1"/>
      <c r="C264" s="1"/>
      <c r="D264" s="184"/>
      <c r="E264" s="1"/>
      <c r="F264" s="49"/>
      <c r="G264" s="49"/>
      <c r="H264" s="49"/>
      <c r="I264" s="49"/>
      <c r="J264" s="49"/>
      <c r="K264" s="49"/>
      <c r="L264" s="49"/>
      <c r="M264" s="49"/>
      <c r="N264" s="49"/>
    </row>
    <row r="265" ht="16.5" customHeight="1">
      <c r="A265" s="1"/>
      <c r="B265" s="577" t="s">
        <v>380</v>
      </c>
      <c r="C265" s="18"/>
      <c r="D265" s="18"/>
      <c r="E265" s="19"/>
      <c r="F265" s="578"/>
      <c r="G265" s="209" t="s">
        <v>381</v>
      </c>
      <c r="H265" s="18"/>
      <c r="I265" s="18"/>
      <c r="J265" s="18"/>
      <c r="K265" s="579" t="s">
        <v>382</v>
      </c>
      <c r="L265" s="19"/>
      <c r="M265" s="49"/>
      <c r="N265" s="49"/>
    </row>
    <row r="266" ht="16.5" customHeight="1">
      <c r="A266" s="1"/>
      <c r="B266" s="51" t="s">
        <v>1</v>
      </c>
      <c r="C266" s="53">
        <v>55.0</v>
      </c>
      <c r="D266" s="513">
        <v>66.0</v>
      </c>
      <c r="E266" s="514" t="s">
        <v>5</v>
      </c>
      <c r="F266" s="44" t="s">
        <v>383</v>
      </c>
      <c r="G266" s="51" t="s">
        <v>1</v>
      </c>
      <c r="H266" s="53">
        <v>70.0</v>
      </c>
      <c r="I266" s="53">
        <v>66.0</v>
      </c>
      <c r="J266" s="125" t="s">
        <v>5</v>
      </c>
      <c r="K266" s="44" t="s">
        <v>383</v>
      </c>
      <c r="L266" s="49"/>
      <c r="M266" s="49"/>
      <c r="N266" s="49"/>
    </row>
    <row r="267" ht="16.5" customHeight="1">
      <c r="A267" s="1"/>
      <c r="B267" s="173" t="s">
        <v>384</v>
      </c>
      <c r="C267" s="545">
        <v>10.0</v>
      </c>
      <c r="D267" s="179">
        <f t="shared" ref="D267:D282" si="15">(C267*D266)/C266</f>
        <v>12</v>
      </c>
      <c r="E267" s="547" t="s">
        <v>14</v>
      </c>
      <c r="F267" s="76"/>
      <c r="G267" s="173" t="s">
        <v>384</v>
      </c>
      <c r="H267" s="545">
        <v>15.0</v>
      </c>
      <c r="I267" s="587">
        <f t="shared" ref="I267:I282" si="16">(H267*I266)/H266</f>
        <v>14.14285714</v>
      </c>
      <c r="J267" s="278" t="s">
        <v>14</v>
      </c>
      <c r="K267" s="76"/>
      <c r="L267" s="49"/>
      <c r="M267" s="49"/>
      <c r="N267" s="49"/>
    </row>
    <row r="268" ht="16.5" customHeight="1">
      <c r="A268" s="1"/>
      <c r="B268" s="119" t="s">
        <v>91</v>
      </c>
      <c r="C268" s="523">
        <v>2.5</v>
      </c>
      <c r="D268" s="129">
        <f t="shared" si="15"/>
        <v>3</v>
      </c>
      <c r="E268" s="520" t="s">
        <v>5</v>
      </c>
      <c r="F268" s="264" t="s">
        <v>393</v>
      </c>
      <c r="G268" s="119" t="s">
        <v>91</v>
      </c>
      <c r="H268" s="523">
        <v>3.75</v>
      </c>
      <c r="I268" s="595">
        <f t="shared" si="16"/>
        <v>3.535714286</v>
      </c>
      <c r="J268" s="176" t="s">
        <v>5</v>
      </c>
      <c r="K268" s="264" t="s">
        <v>393</v>
      </c>
      <c r="L268" s="49"/>
      <c r="M268" s="49"/>
      <c r="N268" s="49"/>
    </row>
    <row r="269" ht="16.5" customHeight="1">
      <c r="A269" s="1"/>
      <c r="B269" s="93" t="s">
        <v>60</v>
      </c>
      <c r="C269" s="247">
        <v>0.75</v>
      </c>
      <c r="D269" s="78">
        <f t="shared" si="15"/>
        <v>0.9</v>
      </c>
      <c r="E269" s="249" t="s">
        <v>14</v>
      </c>
      <c r="F269" s="66"/>
      <c r="G269" s="93" t="s">
        <v>60</v>
      </c>
      <c r="H269" s="247">
        <v>1.125</v>
      </c>
      <c r="I269" s="600">
        <f t="shared" si="16"/>
        <v>1.060714286</v>
      </c>
      <c r="J269" s="165" t="s">
        <v>14</v>
      </c>
      <c r="K269" s="66"/>
      <c r="L269" s="49"/>
      <c r="M269" s="49"/>
      <c r="N269" s="49"/>
    </row>
    <row r="270" ht="16.5" customHeight="1">
      <c r="A270" s="1"/>
      <c r="B270" s="93" t="s">
        <v>97</v>
      </c>
      <c r="C270" s="247">
        <v>125.0</v>
      </c>
      <c r="D270" s="78">
        <f t="shared" si="15"/>
        <v>150</v>
      </c>
      <c r="E270" s="249" t="s">
        <v>18</v>
      </c>
      <c r="F270" s="66"/>
      <c r="G270" s="93" t="s">
        <v>97</v>
      </c>
      <c r="H270" s="247">
        <v>180.0</v>
      </c>
      <c r="I270" s="600">
        <f t="shared" si="16"/>
        <v>169.7142857</v>
      </c>
      <c r="J270" s="165" t="s">
        <v>18</v>
      </c>
      <c r="K270" s="66"/>
      <c r="L270" s="49"/>
      <c r="M270" s="49"/>
      <c r="N270" s="49"/>
    </row>
    <row r="271" ht="16.5" customHeight="1">
      <c r="A271" s="1"/>
      <c r="B271" s="93" t="s">
        <v>83</v>
      </c>
      <c r="C271" s="247">
        <v>500.0</v>
      </c>
      <c r="D271" s="78">
        <f t="shared" si="15"/>
        <v>600</v>
      </c>
      <c r="E271" s="249" t="s">
        <v>18</v>
      </c>
      <c r="F271" s="66"/>
      <c r="G271" s="93" t="s">
        <v>83</v>
      </c>
      <c r="H271" s="247">
        <v>750.0</v>
      </c>
      <c r="I271" s="600">
        <f t="shared" si="16"/>
        <v>707.1428571</v>
      </c>
      <c r="J271" s="165" t="s">
        <v>18</v>
      </c>
      <c r="K271" s="66"/>
      <c r="L271" s="49"/>
      <c r="M271" s="49"/>
      <c r="N271" s="49"/>
    </row>
    <row r="272" ht="16.5" customHeight="1">
      <c r="A272" s="1"/>
      <c r="B272" s="93" t="s">
        <v>101</v>
      </c>
      <c r="C272" s="247">
        <v>0.5</v>
      </c>
      <c r="D272" s="78">
        <f t="shared" si="15"/>
        <v>0.6</v>
      </c>
      <c r="E272" s="249" t="s">
        <v>5</v>
      </c>
      <c r="F272" s="66"/>
      <c r="G272" s="93" t="s">
        <v>101</v>
      </c>
      <c r="H272" s="247">
        <v>0.75</v>
      </c>
      <c r="I272" s="600">
        <f t="shared" si="16"/>
        <v>0.7071428571</v>
      </c>
      <c r="J272" s="165" t="s">
        <v>5</v>
      </c>
      <c r="K272" s="66"/>
      <c r="L272" s="49"/>
      <c r="M272" s="49"/>
      <c r="N272" s="49"/>
    </row>
    <row r="273" ht="16.5" customHeight="1">
      <c r="A273" s="1"/>
      <c r="B273" s="93" t="s">
        <v>103</v>
      </c>
      <c r="C273" s="247">
        <v>75.0</v>
      </c>
      <c r="D273" s="78">
        <f t="shared" si="15"/>
        <v>90</v>
      </c>
      <c r="E273" s="249" t="s">
        <v>18</v>
      </c>
      <c r="F273" s="66"/>
      <c r="G273" s="93" t="s">
        <v>103</v>
      </c>
      <c r="H273" s="247">
        <v>110.0</v>
      </c>
      <c r="I273" s="600">
        <f t="shared" si="16"/>
        <v>103.7142857</v>
      </c>
      <c r="J273" s="165" t="s">
        <v>18</v>
      </c>
      <c r="K273" s="66"/>
      <c r="L273" s="49"/>
      <c r="M273" s="49"/>
      <c r="N273" s="49"/>
    </row>
    <row r="274" ht="16.5" customHeight="1">
      <c r="A274" s="1"/>
      <c r="B274" s="105" t="s">
        <v>52</v>
      </c>
      <c r="C274" s="522">
        <v>80.0</v>
      </c>
      <c r="D274" s="56">
        <f t="shared" si="15"/>
        <v>96</v>
      </c>
      <c r="E274" s="518" t="s">
        <v>18</v>
      </c>
      <c r="F274" s="66"/>
      <c r="G274" s="105" t="s">
        <v>52</v>
      </c>
      <c r="H274" s="522">
        <v>120.0</v>
      </c>
      <c r="I274" s="604">
        <f t="shared" si="16"/>
        <v>113.1428571</v>
      </c>
      <c r="J274" s="172" t="s">
        <v>18</v>
      </c>
      <c r="K274" s="66"/>
      <c r="L274" s="49"/>
      <c r="M274" s="49"/>
      <c r="N274" s="605"/>
    </row>
    <row r="275" ht="16.5" customHeight="1">
      <c r="A275" s="1"/>
      <c r="B275" s="68" t="s">
        <v>31</v>
      </c>
      <c r="C275" s="210">
        <v>550.0</v>
      </c>
      <c r="D275" s="155">
        <f t="shared" si="15"/>
        <v>660</v>
      </c>
      <c r="E275" s="216" t="s">
        <v>18</v>
      </c>
      <c r="F275" s="66"/>
      <c r="G275" s="68" t="s">
        <v>31</v>
      </c>
      <c r="H275" s="210">
        <v>825.0</v>
      </c>
      <c r="I275" s="607">
        <f t="shared" si="16"/>
        <v>777.8571429</v>
      </c>
      <c r="J275" s="137" t="s">
        <v>18</v>
      </c>
      <c r="K275" s="66"/>
      <c r="L275" s="49"/>
      <c r="M275" s="49"/>
      <c r="N275" s="49"/>
    </row>
    <row r="276" ht="16.5" customHeight="1">
      <c r="A276" s="1"/>
      <c r="B276" s="105" t="s">
        <v>13</v>
      </c>
      <c r="C276" s="522">
        <v>0.55</v>
      </c>
      <c r="D276" s="56">
        <f t="shared" si="15"/>
        <v>0.66</v>
      </c>
      <c r="E276" s="518" t="s">
        <v>14</v>
      </c>
      <c r="F276" s="106"/>
      <c r="G276" s="105" t="s">
        <v>13</v>
      </c>
      <c r="H276" s="522">
        <v>0.825</v>
      </c>
      <c r="I276" s="604">
        <f t="shared" si="16"/>
        <v>0.7778571429</v>
      </c>
      <c r="J276" s="172" t="s">
        <v>14</v>
      </c>
      <c r="K276" s="106"/>
      <c r="L276" s="49"/>
      <c r="M276" s="49"/>
      <c r="N276" s="49"/>
    </row>
    <row r="277" ht="16.5" customHeight="1">
      <c r="A277" s="1"/>
      <c r="B277" s="119" t="s">
        <v>167</v>
      </c>
      <c r="C277" s="523">
        <v>0.45</v>
      </c>
      <c r="D277" s="129">
        <f t="shared" si="15"/>
        <v>0.54</v>
      </c>
      <c r="E277" s="520" t="s">
        <v>5</v>
      </c>
      <c r="F277" s="610" t="s">
        <v>415</v>
      </c>
      <c r="G277" s="119" t="s">
        <v>167</v>
      </c>
      <c r="H277" s="523">
        <v>0.42</v>
      </c>
      <c r="I277" s="595">
        <f t="shared" si="16"/>
        <v>0.396</v>
      </c>
      <c r="J277" s="176" t="s">
        <v>5</v>
      </c>
      <c r="K277" s="610" t="s">
        <v>415</v>
      </c>
      <c r="L277" s="49"/>
      <c r="M277" s="49"/>
      <c r="N277" s="49"/>
    </row>
    <row r="278" ht="16.5" customHeight="1">
      <c r="A278" s="1"/>
      <c r="B278" s="105" t="s">
        <v>335</v>
      </c>
      <c r="C278" s="522">
        <v>2.5</v>
      </c>
      <c r="D278" s="56">
        <f t="shared" si="15"/>
        <v>3</v>
      </c>
      <c r="E278" s="518" t="s">
        <v>5</v>
      </c>
      <c r="F278" s="76"/>
      <c r="G278" s="105" t="s">
        <v>335</v>
      </c>
      <c r="H278" s="522">
        <v>3.75</v>
      </c>
      <c r="I278" s="604">
        <f t="shared" si="16"/>
        <v>3.535714286</v>
      </c>
      <c r="J278" s="172" t="s">
        <v>5</v>
      </c>
      <c r="K278" s="76"/>
      <c r="L278" s="49"/>
      <c r="M278" s="49"/>
      <c r="N278" s="49"/>
    </row>
    <row r="279" ht="16.5" customHeight="1">
      <c r="A279" s="1"/>
      <c r="B279" s="68" t="s">
        <v>420</v>
      </c>
      <c r="C279" s="210">
        <v>7.0</v>
      </c>
      <c r="D279" s="155">
        <f t="shared" si="15"/>
        <v>8.4</v>
      </c>
      <c r="E279" s="81" t="s">
        <v>14</v>
      </c>
      <c r="F279" s="610" t="s">
        <v>423</v>
      </c>
      <c r="G279" s="617" t="s">
        <v>420</v>
      </c>
      <c r="H279" s="620">
        <v>10.5</v>
      </c>
      <c r="I279" s="620">
        <f t="shared" si="16"/>
        <v>9.9</v>
      </c>
      <c r="J279" s="628" t="s">
        <v>14</v>
      </c>
      <c r="K279" s="610" t="s">
        <v>436</v>
      </c>
      <c r="L279" s="49"/>
      <c r="M279" s="49"/>
      <c r="N279" s="49"/>
    </row>
    <row r="280" ht="16.5" customHeight="1">
      <c r="A280" s="1"/>
      <c r="B280" s="93" t="s">
        <v>437</v>
      </c>
      <c r="C280" s="247">
        <v>175.0</v>
      </c>
      <c r="D280" s="78">
        <f t="shared" si="15"/>
        <v>210</v>
      </c>
      <c r="E280" s="95" t="s">
        <v>18</v>
      </c>
      <c r="F280" s="47"/>
      <c r="G280" s="93" t="s">
        <v>437</v>
      </c>
      <c r="H280" s="247">
        <v>262.5</v>
      </c>
      <c r="I280" s="247">
        <f t="shared" si="16"/>
        <v>247.5</v>
      </c>
      <c r="J280" s="165" t="s">
        <v>18</v>
      </c>
      <c r="K280" s="47"/>
      <c r="L280" s="49"/>
      <c r="M280" s="49"/>
      <c r="N280" s="49"/>
    </row>
    <row r="281" ht="16.5" customHeight="1">
      <c r="A281" s="1"/>
      <c r="B281" s="93" t="s">
        <v>440</v>
      </c>
      <c r="C281" s="247">
        <v>3.5</v>
      </c>
      <c r="D281" s="78">
        <f t="shared" si="15"/>
        <v>4.2</v>
      </c>
      <c r="E281" s="95" t="s">
        <v>14</v>
      </c>
      <c r="F281" s="47"/>
      <c r="G281" s="93" t="s">
        <v>440</v>
      </c>
      <c r="H281" s="247">
        <v>5.25</v>
      </c>
      <c r="I281" s="247">
        <f t="shared" si="16"/>
        <v>4.95</v>
      </c>
      <c r="J281" s="165" t="s">
        <v>14</v>
      </c>
      <c r="K281" s="47"/>
      <c r="L281" s="49"/>
      <c r="M281" s="49"/>
      <c r="N281" s="49"/>
    </row>
    <row r="282" ht="16.5" customHeight="1">
      <c r="A282" s="1"/>
      <c r="B282" s="105" t="s">
        <v>442</v>
      </c>
      <c r="C282" s="522">
        <v>70.0</v>
      </c>
      <c r="D282" s="56">
        <f t="shared" si="15"/>
        <v>84</v>
      </c>
      <c r="E282" s="114" t="s">
        <v>18</v>
      </c>
      <c r="F282" s="76"/>
      <c r="G282" s="105" t="s">
        <v>442</v>
      </c>
      <c r="H282" s="522">
        <v>105.0</v>
      </c>
      <c r="I282" s="522">
        <f t="shared" si="16"/>
        <v>99</v>
      </c>
      <c r="J282" s="172" t="s">
        <v>18</v>
      </c>
      <c r="K282" s="76"/>
      <c r="L282" s="49"/>
      <c r="M282" s="49"/>
      <c r="N282" s="49"/>
    </row>
    <row r="283" ht="16.5" customHeight="1">
      <c r="A283" s="1"/>
      <c r="B283" s="299" t="s">
        <v>119</v>
      </c>
      <c r="C283" s="183" t="s">
        <v>47</v>
      </c>
      <c r="D283" s="184"/>
      <c r="E283" s="1"/>
      <c r="F283" s="49"/>
      <c r="G283" s="49"/>
      <c r="H283" s="49"/>
      <c r="I283" s="49"/>
      <c r="J283" s="49"/>
      <c r="K283" s="49"/>
      <c r="L283" s="49"/>
      <c r="M283" s="49"/>
      <c r="N283" s="49"/>
    </row>
    <row r="284" ht="16.5" customHeight="1">
      <c r="A284" s="1"/>
      <c r="B284" s="640" t="s">
        <v>49</v>
      </c>
      <c r="C284" s="642">
        <v>40788.0</v>
      </c>
      <c r="D284" s="184"/>
      <c r="E284" s="1"/>
      <c r="F284" s="49"/>
      <c r="G284" s="49"/>
      <c r="H284" s="49"/>
      <c r="I284" s="49"/>
      <c r="J284" s="49"/>
      <c r="K284" s="49"/>
      <c r="L284" s="49"/>
      <c r="M284" s="49"/>
      <c r="N284" s="49"/>
    </row>
    <row r="285" ht="16.5" customHeight="1">
      <c r="A285" s="1"/>
      <c r="B285" s="550" t="s">
        <v>50</v>
      </c>
      <c r="C285" s="551">
        <v>41845.0</v>
      </c>
      <c r="D285" s="184"/>
      <c r="E285" s="1"/>
      <c r="F285" s="49"/>
      <c r="G285" s="49"/>
      <c r="H285" s="49"/>
      <c r="I285" s="49"/>
      <c r="J285" s="49"/>
      <c r="K285" s="49"/>
      <c r="L285" s="49"/>
      <c r="M285" s="49"/>
      <c r="N285" s="49"/>
    </row>
    <row r="286" ht="16.5" customHeight="1">
      <c r="A286" s="1"/>
      <c r="B286" s="1"/>
      <c r="C286" s="1"/>
      <c r="D286" s="184"/>
      <c r="E286" s="1"/>
      <c r="F286" s="1"/>
      <c r="G286" s="49"/>
      <c r="H286" s="49"/>
      <c r="I286" s="49"/>
      <c r="J286" s="49"/>
      <c r="K286" s="49"/>
      <c r="L286" s="49"/>
      <c r="M286" s="49"/>
      <c r="N286" s="49"/>
    </row>
    <row r="287" ht="16.5" customHeight="1">
      <c r="A287" s="1"/>
      <c r="B287" s="209" t="s">
        <v>459</v>
      </c>
      <c r="C287" s="18"/>
      <c r="D287" s="18"/>
      <c r="E287" s="19"/>
      <c r="F287" s="1"/>
      <c r="G287" s="49"/>
      <c r="H287" s="49"/>
      <c r="I287" s="49"/>
      <c r="J287" s="49"/>
      <c r="K287" s="49"/>
      <c r="L287" s="49"/>
      <c r="M287" s="49"/>
      <c r="N287" s="49"/>
    </row>
    <row r="288" ht="16.5" customHeight="1">
      <c r="A288" s="1"/>
      <c r="B288" s="51" t="s">
        <v>1</v>
      </c>
      <c r="C288" s="53">
        <v>50.0</v>
      </c>
      <c r="D288" s="513">
        <v>60.0</v>
      </c>
      <c r="E288" s="514" t="s">
        <v>5</v>
      </c>
      <c r="F288" s="44" t="s">
        <v>463</v>
      </c>
      <c r="G288" s="49"/>
      <c r="H288" s="49"/>
      <c r="I288" s="49"/>
      <c r="J288" s="49"/>
      <c r="K288" s="49"/>
      <c r="L288" s="49"/>
      <c r="M288" s="49"/>
      <c r="N288" s="49"/>
    </row>
    <row r="289" ht="16.5" customHeight="1">
      <c r="A289" s="1"/>
      <c r="B289" s="68" t="s">
        <v>464</v>
      </c>
      <c r="C289" s="210">
        <v>10.0</v>
      </c>
      <c r="D289" s="155">
        <f t="shared" ref="D289:D304" si="17">(C289*D288)/C288</f>
        <v>12</v>
      </c>
      <c r="E289" s="216" t="s">
        <v>14</v>
      </c>
      <c r="F289" s="76"/>
      <c r="G289" s="49"/>
      <c r="H289" s="49"/>
      <c r="I289" s="49"/>
      <c r="J289" s="49"/>
      <c r="K289" s="49"/>
      <c r="L289" s="49"/>
      <c r="M289" s="49"/>
      <c r="N289" s="49"/>
    </row>
    <row r="290" ht="16.5" customHeight="1">
      <c r="A290" s="1"/>
      <c r="B290" s="93" t="s">
        <v>91</v>
      </c>
      <c r="C290" s="247">
        <v>2.5</v>
      </c>
      <c r="D290" s="78">
        <f t="shared" si="17"/>
        <v>3</v>
      </c>
      <c r="E290" s="249" t="s">
        <v>5</v>
      </c>
      <c r="F290" s="264" t="s">
        <v>393</v>
      </c>
      <c r="G290" s="49"/>
      <c r="H290" s="49"/>
      <c r="I290" s="49"/>
      <c r="J290" s="49"/>
      <c r="K290" s="49"/>
      <c r="L290" s="49"/>
      <c r="M290" s="49"/>
      <c r="N290" s="49"/>
    </row>
    <row r="291" ht="16.5" customHeight="1">
      <c r="A291" s="1"/>
      <c r="B291" s="93" t="s">
        <v>60</v>
      </c>
      <c r="C291" s="247">
        <v>0.75</v>
      </c>
      <c r="D291" s="78">
        <f t="shared" si="17"/>
        <v>0.9</v>
      </c>
      <c r="E291" s="249" t="s">
        <v>14</v>
      </c>
      <c r="F291" s="66"/>
      <c r="G291" s="49"/>
      <c r="H291" s="49"/>
      <c r="I291" s="49"/>
      <c r="J291" s="49"/>
      <c r="K291" s="49"/>
      <c r="L291" s="49"/>
      <c r="M291" s="49"/>
      <c r="N291" s="49"/>
    </row>
    <row r="292" ht="16.5" customHeight="1">
      <c r="A292" s="1"/>
      <c r="B292" s="93" t="s">
        <v>97</v>
      </c>
      <c r="C292" s="247">
        <v>125.0</v>
      </c>
      <c r="D292" s="78">
        <f t="shared" si="17"/>
        <v>150</v>
      </c>
      <c r="E292" s="249" t="s">
        <v>18</v>
      </c>
      <c r="F292" s="66"/>
      <c r="G292" s="49"/>
      <c r="H292" s="49"/>
      <c r="I292" s="49"/>
      <c r="J292" s="49"/>
      <c r="K292" s="49"/>
      <c r="L292" s="49"/>
      <c r="M292" s="49"/>
      <c r="N292" s="49"/>
    </row>
    <row r="293" ht="16.5" customHeight="1">
      <c r="A293" s="1"/>
      <c r="B293" s="93" t="s">
        <v>83</v>
      </c>
      <c r="C293" s="247">
        <v>500.0</v>
      </c>
      <c r="D293" s="78">
        <f t="shared" si="17"/>
        <v>600</v>
      </c>
      <c r="E293" s="249" t="s">
        <v>18</v>
      </c>
      <c r="F293" s="66"/>
      <c r="G293" s="49"/>
      <c r="H293" s="49"/>
      <c r="I293" s="49"/>
      <c r="J293" s="49"/>
      <c r="K293" s="49"/>
      <c r="L293" s="49"/>
      <c r="M293" s="49"/>
      <c r="N293" s="49"/>
    </row>
    <row r="294" ht="16.5" customHeight="1">
      <c r="A294" s="1"/>
      <c r="B294" s="93" t="s">
        <v>101</v>
      </c>
      <c r="C294" s="247">
        <v>0.5</v>
      </c>
      <c r="D294" s="78">
        <f t="shared" si="17"/>
        <v>0.6</v>
      </c>
      <c r="E294" s="249" t="s">
        <v>5</v>
      </c>
      <c r="F294" s="66"/>
      <c r="G294" s="49"/>
      <c r="H294" s="49"/>
      <c r="I294" s="49"/>
      <c r="J294" s="49"/>
      <c r="K294" s="49"/>
      <c r="L294" s="49"/>
      <c r="M294" s="49"/>
      <c r="N294" s="49"/>
    </row>
    <row r="295" ht="16.5" customHeight="1">
      <c r="A295" s="1"/>
      <c r="B295" s="93" t="s">
        <v>103</v>
      </c>
      <c r="C295" s="247">
        <v>75.0</v>
      </c>
      <c r="D295" s="78">
        <f t="shared" si="17"/>
        <v>90</v>
      </c>
      <c r="E295" s="249" t="s">
        <v>18</v>
      </c>
      <c r="F295" s="66"/>
      <c r="G295" s="49"/>
      <c r="H295" s="49"/>
      <c r="I295" s="49"/>
      <c r="J295" s="49"/>
      <c r="K295" s="49"/>
      <c r="L295" s="49"/>
      <c r="M295" s="49"/>
      <c r="N295" s="49"/>
    </row>
    <row r="296" ht="16.5" customHeight="1">
      <c r="A296" s="1"/>
      <c r="B296" s="105" t="s">
        <v>52</v>
      </c>
      <c r="C296" s="522">
        <v>80.0</v>
      </c>
      <c r="D296" s="56">
        <f t="shared" si="17"/>
        <v>96</v>
      </c>
      <c r="E296" s="518" t="s">
        <v>18</v>
      </c>
      <c r="F296" s="66"/>
      <c r="G296" s="49"/>
      <c r="H296" s="49"/>
      <c r="I296" s="49"/>
      <c r="J296" s="49"/>
      <c r="K296" s="49"/>
      <c r="L296" s="49"/>
      <c r="M296" s="49"/>
      <c r="N296" s="49"/>
    </row>
    <row r="297" ht="16.5" customHeight="1">
      <c r="A297" s="1"/>
      <c r="B297" s="68" t="s">
        <v>31</v>
      </c>
      <c r="C297" s="210">
        <v>500.0</v>
      </c>
      <c r="D297" s="155">
        <f t="shared" si="17"/>
        <v>600</v>
      </c>
      <c r="E297" s="216" t="s">
        <v>18</v>
      </c>
      <c r="F297" s="66"/>
      <c r="G297" s="49"/>
      <c r="H297" s="49"/>
      <c r="I297" s="49"/>
      <c r="J297" s="49"/>
      <c r="K297" s="49"/>
      <c r="L297" s="49"/>
      <c r="M297" s="49"/>
      <c r="N297" s="49"/>
    </row>
    <row r="298" ht="16.5" customHeight="1">
      <c r="A298" s="1"/>
      <c r="B298" s="105" t="s">
        <v>13</v>
      </c>
      <c r="C298" s="522">
        <v>0.5</v>
      </c>
      <c r="D298" s="56">
        <f t="shared" si="17"/>
        <v>0.6</v>
      </c>
      <c r="E298" s="518" t="s">
        <v>14</v>
      </c>
      <c r="F298" s="106"/>
      <c r="G298" s="49"/>
      <c r="H298" s="49"/>
      <c r="I298" s="49"/>
      <c r="J298" s="49"/>
      <c r="K298" s="49"/>
      <c r="L298" s="49"/>
      <c r="M298" s="49"/>
      <c r="N298" s="49"/>
    </row>
    <row r="299" ht="16.5" customHeight="1">
      <c r="A299" s="1"/>
      <c r="B299" s="119" t="s">
        <v>167</v>
      </c>
      <c r="C299" s="523">
        <v>0.45</v>
      </c>
      <c r="D299" s="129">
        <f t="shared" si="17"/>
        <v>0.54</v>
      </c>
      <c r="E299" s="520" t="s">
        <v>5</v>
      </c>
      <c r="F299" s="655" t="s">
        <v>415</v>
      </c>
      <c r="G299" s="49"/>
      <c r="H299" s="49"/>
      <c r="I299" s="49"/>
      <c r="J299" s="49"/>
      <c r="K299" s="49"/>
      <c r="L299" s="49"/>
      <c r="M299" s="49"/>
      <c r="N299" s="49"/>
    </row>
    <row r="300" ht="16.5" customHeight="1">
      <c r="A300" s="1"/>
      <c r="B300" s="105" t="s">
        <v>335</v>
      </c>
      <c r="C300" s="522">
        <v>2.5</v>
      </c>
      <c r="D300" s="56">
        <f t="shared" si="17"/>
        <v>3</v>
      </c>
      <c r="E300" s="518" t="s">
        <v>5</v>
      </c>
      <c r="F300" s="102"/>
      <c r="G300" s="49"/>
      <c r="H300" s="49"/>
      <c r="I300" s="49"/>
      <c r="J300" s="49"/>
      <c r="K300" s="49"/>
      <c r="L300" s="49"/>
      <c r="M300" s="49"/>
      <c r="N300" s="49"/>
    </row>
    <row r="301" ht="16.5" customHeight="1">
      <c r="A301" s="1"/>
      <c r="B301" s="68" t="s">
        <v>420</v>
      </c>
      <c r="C301" s="210">
        <v>7.0</v>
      </c>
      <c r="D301" s="155">
        <f t="shared" si="17"/>
        <v>8.4</v>
      </c>
      <c r="E301" s="216" t="s">
        <v>14</v>
      </c>
      <c r="F301" s="655" t="s">
        <v>466</v>
      </c>
      <c r="G301" s="49"/>
      <c r="H301" s="49"/>
      <c r="I301" s="49"/>
      <c r="J301" s="49"/>
      <c r="K301" s="49"/>
      <c r="L301" s="49"/>
      <c r="M301" s="49"/>
      <c r="N301" s="49"/>
    </row>
    <row r="302" ht="16.5" customHeight="1">
      <c r="A302" s="1"/>
      <c r="B302" s="93" t="s">
        <v>437</v>
      </c>
      <c r="C302" s="247">
        <v>175.0</v>
      </c>
      <c r="D302" s="78">
        <f t="shared" si="17"/>
        <v>210</v>
      </c>
      <c r="E302" s="249" t="s">
        <v>18</v>
      </c>
      <c r="F302" s="63"/>
      <c r="G302" s="49"/>
      <c r="H302" s="49"/>
      <c r="I302" s="49"/>
      <c r="J302" s="49"/>
      <c r="K302" s="49"/>
      <c r="L302" s="49"/>
      <c r="M302" s="49"/>
      <c r="N302" s="49"/>
    </row>
    <row r="303" ht="16.5" customHeight="1">
      <c r="A303" s="1"/>
      <c r="B303" s="93" t="s">
        <v>440</v>
      </c>
      <c r="C303" s="247">
        <v>3.5</v>
      </c>
      <c r="D303" s="78">
        <f t="shared" si="17"/>
        <v>4.2</v>
      </c>
      <c r="E303" s="249" t="s">
        <v>14</v>
      </c>
      <c r="F303" s="63"/>
      <c r="G303" s="49"/>
      <c r="H303" s="49"/>
      <c r="I303" s="49"/>
      <c r="J303" s="49"/>
      <c r="K303" s="49"/>
      <c r="L303" s="49"/>
      <c r="M303" s="49"/>
      <c r="N303" s="49"/>
    </row>
    <row r="304" ht="16.5" customHeight="1">
      <c r="A304" s="1"/>
      <c r="B304" s="105" t="s">
        <v>442</v>
      </c>
      <c r="C304" s="522">
        <v>70.0</v>
      </c>
      <c r="D304" s="56">
        <f t="shared" si="17"/>
        <v>84</v>
      </c>
      <c r="E304" s="518" t="s">
        <v>18</v>
      </c>
      <c r="F304" s="102"/>
      <c r="G304" s="49"/>
      <c r="H304" s="49"/>
      <c r="I304" s="49"/>
      <c r="J304" s="49"/>
      <c r="K304" s="49"/>
      <c r="L304" s="49"/>
      <c r="M304" s="49"/>
      <c r="N304" s="49"/>
    </row>
    <row r="305" ht="16.5" customHeight="1">
      <c r="A305" s="1"/>
      <c r="B305" s="299" t="s">
        <v>119</v>
      </c>
      <c r="C305" s="183" t="s">
        <v>47</v>
      </c>
      <c r="D305" s="184"/>
      <c r="E305" s="49"/>
      <c r="F305" s="49"/>
      <c r="G305" s="49"/>
      <c r="H305" s="49"/>
      <c r="I305" s="49"/>
      <c r="J305" s="49"/>
      <c r="K305" s="49"/>
      <c r="L305" s="49"/>
      <c r="M305" s="49"/>
      <c r="N305" s="49"/>
    </row>
    <row r="306" ht="16.5" customHeight="1">
      <c r="A306" s="1"/>
      <c r="B306" s="640" t="s">
        <v>49</v>
      </c>
      <c r="C306" s="642">
        <v>40788.0</v>
      </c>
      <c r="D306" s="184"/>
      <c r="E306" s="49"/>
      <c r="F306" s="49"/>
      <c r="G306" s="49"/>
      <c r="H306" s="49"/>
      <c r="I306" s="49"/>
      <c r="J306" s="49"/>
      <c r="K306" s="49"/>
      <c r="L306" s="49"/>
      <c r="M306" s="49"/>
      <c r="N306" s="49"/>
    </row>
    <row r="307" ht="15.75" customHeight="1">
      <c r="A307" s="1"/>
      <c r="B307" s="550" t="s">
        <v>50</v>
      </c>
      <c r="C307" s="551">
        <v>41845.0</v>
      </c>
      <c r="D307" s="184"/>
      <c r="E307" s="49"/>
      <c r="F307" s="49"/>
      <c r="G307" s="49"/>
      <c r="H307" s="49"/>
      <c r="I307" s="49"/>
      <c r="J307" s="49"/>
      <c r="K307" s="49"/>
      <c r="L307" s="49"/>
      <c r="M307" s="49"/>
      <c r="N307" s="49"/>
    </row>
    <row r="308" ht="15.75" customHeight="1">
      <c r="A308" s="1"/>
      <c r="B308" s="1"/>
      <c r="C308" s="1"/>
      <c r="D308" s="184"/>
      <c r="E308" s="1"/>
      <c r="F308" s="1"/>
      <c r="G308" s="49"/>
      <c r="H308" s="49"/>
      <c r="I308" s="49"/>
      <c r="J308" s="49"/>
      <c r="K308" s="49"/>
      <c r="L308" s="49"/>
      <c r="M308" s="49"/>
      <c r="N308" s="49"/>
    </row>
    <row r="309" ht="15.75" customHeight="1">
      <c r="A309" s="1"/>
      <c r="B309" s="209" t="s">
        <v>473</v>
      </c>
      <c r="C309" s="18"/>
      <c r="D309" s="18"/>
      <c r="E309" s="19"/>
      <c r="F309" s="578"/>
      <c r="G309" s="49"/>
      <c r="H309" s="49"/>
      <c r="I309" s="49"/>
      <c r="J309" s="49"/>
      <c r="K309" s="49"/>
      <c r="L309" s="49"/>
      <c r="M309" s="49"/>
      <c r="N309" s="49"/>
    </row>
    <row r="310" ht="15.75" customHeight="1">
      <c r="A310" s="1"/>
      <c r="B310" s="51" t="s">
        <v>1</v>
      </c>
      <c r="C310" s="53">
        <v>55.0</v>
      </c>
      <c r="D310" s="513">
        <v>55.0</v>
      </c>
      <c r="E310" s="514" t="s">
        <v>5</v>
      </c>
      <c r="F310" s="44" t="s">
        <v>383</v>
      </c>
      <c r="G310" s="49"/>
      <c r="H310" s="49"/>
      <c r="I310" s="49"/>
      <c r="J310" s="49"/>
      <c r="K310" s="49"/>
      <c r="L310" s="49"/>
      <c r="M310" s="49"/>
      <c r="N310" s="49"/>
    </row>
    <row r="311" ht="15.75" customHeight="1">
      <c r="A311" s="1"/>
      <c r="B311" s="173" t="s">
        <v>384</v>
      </c>
      <c r="C311" s="545">
        <v>10.0</v>
      </c>
      <c r="D311" s="179">
        <f t="shared" ref="D311:D328" si="18">(C311*D310)/C310</f>
        <v>10</v>
      </c>
      <c r="E311" s="547" t="s">
        <v>14</v>
      </c>
      <c r="F311" s="76"/>
      <c r="G311" s="49"/>
      <c r="H311" s="49"/>
      <c r="I311" s="49"/>
      <c r="J311" s="49"/>
      <c r="K311" s="49"/>
      <c r="L311" s="49"/>
      <c r="M311" s="49"/>
      <c r="N311" s="49"/>
    </row>
    <row r="312" ht="15.75" customHeight="1">
      <c r="A312" s="1"/>
      <c r="B312" s="119" t="s">
        <v>91</v>
      </c>
      <c r="C312" s="247">
        <v>2.5</v>
      </c>
      <c r="D312" s="78">
        <f t="shared" si="18"/>
        <v>2.5</v>
      </c>
      <c r="E312" s="249" t="s">
        <v>5</v>
      </c>
      <c r="F312" s="264" t="s">
        <v>393</v>
      </c>
      <c r="G312" s="49"/>
      <c r="H312" s="49"/>
      <c r="I312" s="49"/>
      <c r="J312" s="49"/>
      <c r="K312" s="49"/>
      <c r="L312" s="49"/>
      <c r="M312" s="49"/>
      <c r="N312" s="49"/>
    </row>
    <row r="313" ht="15.75" customHeight="1">
      <c r="A313" s="1"/>
      <c r="B313" s="93" t="s">
        <v>60</v>
      </c>
      <c r="C313" s="247">
        <v>0.75</v>
      </c>
      <c r="D313" s="78">
        <f t="shared" si="18"/>
        <v>0.75</v>
      </c>
      <c r="E313" s="249" t="s">
        <v>14</v>
      </c>
      <c r="F313" s="66"/>
      <c r="G313" s="49"/>
      <c r="H313" s="49"/>
      <c r="I313" s="49"/>
      <c r="J313" s="49"/>
      <c r="K313" s="49"/>
      <c r="L313" s="49"/>
      <c r="M313" s="49"/>
      <c r="N313" s="49"/>
    </row>
    <row r="314" ht="15.75" customHeight="1">
      <c r="A314" s="1"/>
      <c r="B314" s="93" t="s">
        <v>97</v>
      </c>
      <c r="C314" s="247">
        <v>125.0</v>
      </c>
      <c r="D314" s="78">
        <f t="shared" si="18"/>
        <v>125</v>
      </c>
      <c r="E314" s="249" t="s">
        <v>18</v>
      </c>
      <c r="F314" s="66"/>
      <c r="G314" s="49"/>
      <c r="H314" s="49"/>
      <c r="I314" s="49"/>
      <c r="J314" s="49"/>
      <c r="K314" s="49"/>
      <c r="L314" s="49"/>
      <c r="M314" s="49"/>
      <c r="N314" s="49"/>
    </row>
    <row r="315" ht="15.75" customHeight="1">
      <c r="A315" s="1"/>
      <c r="B315" s="93" t="s">
        <v>83</v>
      </c>
      <c r="C315" s="247">
        <v>500.0</v>
      </c>
      <c r="D315" s="78">
        <f t="shared" si="18"/>
        <v>500</v>
      </c>
      <c r="E315" s="249" t="s">
        <v>18</v>
      </c>
      <c r="F315" s="66"/>
      <c r="G315" s="49"/>
      <c r="H315" s="49"/>
      <c r="I315" s="49"/>
      <c r="J315" s="49"/>
      <c r="K315" s="49"/>
      <c r="L315" s="49"/>
      <c r="M315" s="49"/>
      <c r="N315" s="49"/>
    </row>
    <row r="316" ht="15.75" customHeight="1">
      <c r="A316" s="1"/>
      <c r="B316" s="93" t="s">
        <v>101</v>
      </c>
      <c r="C316" s="247">
        <v>0.5</v>
      </c>
      <c r="D316" s="78">
        <f t="shared" si="18"/>
        <v>0.5</v>
      </c>
      <c r="E316" s="249" t="s">
        <v>5</v>
      </c>
      <c r="F316" s="66"/>
      <c r="G316" s="49"/>
      <c r="H316" s="49"/>
      <c r="I316" s="49"/>
      <c r="J316" s="49"/>
      <c r="K316" s="49"/>
      <c r="L316" s="49"/>
      <c r="M316" s="49"/>
      <c r="N316" s="49"/>
    </row>
    <row r="317" ht="15.75" customHeight="1">
      <c r="A317" s="1"/>
      <c r="B317" s="93" t="s">
        <v>103</v>
      </c>
      <c r="C317" s="247">
        <v>75.0</v>
      </c>
      <c r="D317" s="78">
        <f t="shared" si="18"/>
        <v>75</v>
      </c>
      <c r="E317" s="249" t="s">
        <v>18</v>
      </c>
      <c r="F317" s="66"/>
      <c r="G317" s="49"/>
      <c r="H317" s="49"/>
      <c r="I317" s="49"/>
      <c r="J317" s="49"/>
      <c r="K317" s="49"/>
      <c r="L317" s="49"/>
      <c r="M317" s="49"/>
      <c r="N317" s="49"/>
    </row>
    <row r="318" ht="15.75" customHeight="1">
      <c r="A318" s="1"/>
      <c r="B318" s="105" t="s">
        <v>52</v>
      </c>
      <c r="C318" s="522">
        <v>80.0</v>
      </c>
      <c r="D318" s="56">
        <f t="shared" si="18"/>
        <v>80</v>
      </c>
      <c r="E318" s="518" t="s">
        <v>18</v>
      </c>
      <c r="F318" s="66"/>
      <c r="G318" s="49"/>
      <c r="H318" s="49"/>
      <c r="I318" s="49"/>
      <c r="J318" s="49"/>
      <c r="K318" s="49"/>
      <c r="L318" s="49"/>
      <c r="M318" s="49"/>
      <c r="N318" s="49"/>
    </row>
    <row r="319" ht="15.75" customHeight="1">
      <c r="A319" s="1"/>
      <c r="B319" s="68" t="s">
        <v>31</v>
      </c>
      <c r="C319" s="210">
        <v>550.0</v>
      </c>
      <c r="D319" s="155">
        <f t="shared" si="18"/>
        <v>550</v>
      </c>
      <c r="E319" s="216" t="s">
        <v>18</v>
      </c>
      <c r="F319" s="66"/>
      <c r="G319" s="49"/>
      <c r="H319" s="49"/>
      <c r="I319" s="49"/>
      <c r="J319" s="49"/>
      <c r="K319" s="49"/>
      <c r="L319" s="49"/>
      <c r="M319" s="49"/>
      <c r="N319" s="49"/>
    </row>
    <row r="320" ht="15.75" customHeight="1">
      <c r="A320" s="1"/>
      <c r="B320" s="105" t="s">
        <v>13</v>
      </c>
      <c r="C320" s="522">
        <v>0.55</v>
      </c>
      <c r="D320" s="56">
        <f t="shared" si="18"/>
        <v>0.55</v>
      </c>
      <c r="E320" s="518" t="s">
        <v>14</v>
      </c>
      <c r="F320" s="106"/>
      <c r="G320" s="49"/>
      <c r="H320" s="49"/>
      <c r="I320" s="49"/>
      <c r="J320" s="49"/>
      <c r="K320" s="49"/>
      <c r="L320" s="49"/>
      <c r="M320" s="49"/>
      <c r="N320" s="49"/>
    </row>
    <row r="321" ht="15.75" customHeight="1">
      <c r="A321" s="1"/>
      <c r="B321" s="119" t="s">
        <v>167</v>
      </c>
      <c r="C321" s="523">
        <v>0.45</v>
      </c>
      <c r="D321" s="129">
        <f t="shared" si="18"/>
        <v>0.45</v>
      </c>
      <c r="E321" s="520" t="s">
        <v>5</v>
      </c>
      <c r="F321" s="655" t="s">
        <v>415</v>
      </c>
      <c r="G321" s="49"/>
      <c r="H321" s="49"/>
      <c r="I321" s="49"/>
      <c r="J321" s="49"/>
      <c r="K321" s="49"/>
      <c r="L321" s="49"/>
      <c r="M321" s="49"/>
      <c r="N321" s="49"/>
    </row>
    <row r="322" ht="15.75" customHeight="1">
      <c r="A322" s="1"/>
      <c r="B322" s="105" t="s">
        <v>335</v>
      </c>
      <c r="C322" s="522">
        <v>2.5</v>
      </c>
      <c r="D322" s="56">
        <f t="shared" si="18"/>
        <v>2.5</v>
      </c>
      <c r="E322" s="518" t="s">
        <v>5</v>
      </c>
      <c r="F322" s="102"/>
      <c r="G322" s="49"/>
      <c r="H322" s="49"/>
      <c r="I322" s="49"/>
      <c r="J322" s="49"/>
      <c r="K322" s="49"/>
      <c r="L322" s="49"/>
      <c r="M322" s="49"/>
      <c r="N322" s="49"/>
    </row>
    <row r="323" ht="15.75" customHeight="1">
      <c r="A323" s="1"/>
      <c r="B323" s="119" t="s">
        <v>487</v>
      </c>
      <c r="C323" s="523">
        <v>2.5</v>
      </c>
      <c r="D323" s="129">
        <f t="shared" si="18"/>
        <v>2.5</v>
      </c>
      <c r="E323" s="520" t="s">
        <v>14</v>
      </c>
      <c r="F323" s="140" t="s">
        <v>489</v>
      </c>
      <c r="G323" s="49"/>
      <c r="H323" s="49"/>
      <c r="I323" s="49"/>
      <c r="J323" s="49"/>
      <c r="K323" s="49"/>
      <c r="L323" s="49"/>
      <c r="M323" s="49"/>
      <c r="N323" s="49"/>
    </row>
    <row r="324" ht="15.75" customHeight="1">
      <c r="A324" s="1"/>
      <c r="B324" s="93" t="s">
        <v>490</v>
      </c>
      <c r="C324" s="247">
        <v>2.5</v>
      </c>
      <c r="D324" s="78">
        <f t="shared" si="18"/>
        <v>2.5</v>
      </c>
      <c r="E324" s="249" t="s">
        <v>14</v>
      </c>
      <c r="G324" s="49"/>
      <c r="H324" s="49"/>
      <c r="I324" s="49"/>
      <c r="J324" s="49"/>
      <c r="K324" s="49"/>
      <c r="L324" s="49"/>
      <c r="M324" s="49"/>
      <c r="N324" s="49"/>
    </row>
    <row r="325" ht="15.75" customHeight="1">
      <c r="A325" s="1"/>
      <c r="B325" s="93" t="s">
        <v>327</v>
      </c>
      <c r="C325" s="247">
        <v>2.5</v>
      </c>
      <c r="D325" s="78">
        <f t="shared" si="18"/>
        <v>2.5</v>
      </c>
      <c r="E325" s="249" t="s">
        <v>14</v>
      </c>
      <c r="G325" s="49"/>
      <c r="H325" s="49"/>
      <c r="I325" s="49"/>
      <c r="J325" s="49"/>
      <c r="K325" s="49"/>
      <c r="L325" s="49"/>
      <c r="M325" s="49"/>
      <c r="N325" s="49"/>
    </row>
    <row r="326" ht="15.75" customHeight="1">
      <c r="A326" s="1"/>
      <c r="B326" s="93" t="s">
        <v>329</v>
      </c>
      <c r="C326" s="247">
        <v>2.5</v>
      </c>
      <c r="D326" s="78">
        <f t="shared" si="18"/>
        <v>2.5</v>
      </c>
      <c r="E326" s="249" t="s">
        <v>14</v>
      </c>
      <c r="G326" s="49"/>
      <c r="H326" s="49"/>
      <c r="I326" s="49"/>
      <c r="J326" s="49"/>
      <c r="K326" s="49"/>
      <c r="L326" s="49"/>
      <c r="M326" s="49"/>
      <c r="N326" s="49"/>
    </row>
    <row r="327" ht="15.75" customHeight="1">
      <c r="A327" s="1"/>
      <c r="B327" s="105" t="s">
        <v>493</v>
      </c>
      <c r="C327" s="522">
        <f>SUM(C323:C326)</f>
        <v>10</v>
      </c>
      <c r="D327" s="56">
        <f t="shared" si="18"/>
        <v>10</v>
      </c>
      <c r="E327" s="518" t="s">
        <v>14</v>
      </c>
      <c r="G327" s="49"/>
      <c r="H327" s="49"/>
      <c r="I327" s="49"/>
      <c r="J327" s="49"/>
      <c r="K327" s="49"/>
      <c r="L327" s="49"/>
      <c r="M327" s="49"/>
      <c r="N327" s="49"/>
    </row>
    <row r="328" ht="15.75" customHeight="1">
      <c r="A328" s="1"/>
      <c r="B328" s="149" t="s">
        <v>494</v>
      </c>
      <c r="C328" s="272">
        <f>C327*12</f>
        <v>120</v>
      </c>
      <c r="D328" s="274">
        <f t="shared" si="18"/>
        <v>120</v>
      </c>
      <c r="E328" s="288" t="s">
        <v>18</v>
      </c>
      <c r="F328" s="104"/>
      <c r="G328" s="49"/>
      <c r="H328" s="49"/>
      <c r="I328" s="49"/>
      <c r="J328" s="49"/>
      <c r="K328" s="49"/>
      <c r="L328" s="49"/>
      <c r="M328" s="49"/>
      <c r="N328" s="49"/>
    </row>
    <row r="329" ht="15.75" customHeight="1">
      <c r="A329" s="1"/>
      <c r="B329" s="299" t="s">
        <v>119</v>
      </c>
      <c r="C329" s="183" t="s">
        <v>47</v>
      </c>
      <c r="D329" s="184"/>
      <c r="E329" s="1"/>
      <c r="F329" s="1"/>
      <c r="G329" s="1"/>
      <c r="H329" s="49"/>
      <c r="I329" s="49"/>
      <c r="J329" s="49"/>
      <c r="K329" s="49"/>
      <c r="L329" s="49"/>
      <c r="M329" s="49"/>
      <c r="N329" s="49"/>
    </row>
    <row r="330" ht="15.75" customHeight="1">
      <c r="A330" s="1"/>
      <c r="B330" s="640" t="s">
        <v>49</v>
      </c>
      <c r="C330" s="642">
        <v>40788.0</v>
      </c>
      <c r="D330" s="184"/>
      <c r="E330" s="1"/>
      <c r="F330" s="1"/>
      <c r="G330" s="1"/>
      <c r="H330" s="49"/>
      <c r="I330" s="49"/>
      <c r="J330" s="49"/>
      <c r="K330" s="49"/>
      <c r="L330" s="49"/>
      <c r="M330" s="49"/>
      <c r="N330" s="49"/>
    </row>
    <row r="331" ht="15.75" customHeight="1">
      <c r="A331" s="1"/>
      <c r="B331" s="550" t="s">
        <v>50</v>
      </c>
      <c r="C331" s="551">
        <v>41845.0</v>
      </c>
      <c r="D331" s="184"/>
      <c r="E331" s="1"/>
      <c r="F331" s="1"/>
      <c r="G331" s="1"/>
      <c r="H331" s="49"/>
      <c r="I331" s="49"/>
      <c r="J331" s="49"/>
      <c r="K331" s="49"/>
      <c r="L331" s="49"/>
      <c r="M331" s="49"/>
      <c r="N331" s="49"/>
    </row>
    <row r="332" ht="15.75" customHeight="1">
      <c r="A332" s="1"/>
      <c r="B332" s="1"/>
      <c r="C332" s="1"/>
      <c r="D332" s="184"/>
      <c r="E332" s="1"/>
      <c r="F332" s="49"/>
      <c r="G332" s="49"/>
      <c r="H332" s="49"/>
      <c r="I332" s="49"/>
      <c r="J332" s="49"/>
      <c r="K332" s="49"/>
      <c r="L332" s="49"/>
      <c r="M332" s="49"/>
      <c r="N332" s="49"/>
    </row>
    <row r="333" ht="15.75" customHeight="1">
      <c r="A333" s="1"/>
      <c r="B333" s="209" t="s">
        <v>505</v>
      </c>
      <c r="C333" s="18"/>
      <c r="D333" s="18"/>
      <c r="E333" s="19"/>
      <c r="F333" s="1"/>
      <c r="G333" s="49"/>
      <c r="H333" s="49"/>
      <c r="I333" s="49"/>
      <c r="J333" s="49"/>
      <c r="K333" s="49"/>
      <c r="L333" s="49"/>
      <c r="M333" s="49"/>
      <c r="N333" s="49"/>
    </row>
    <row r="334" ht="15.75" customHeight="1">
      <c r="A334" s="1"/>
      <c r="B334" s="51" t="s">
        <v>1</v>
      </c>
      <c r="C334" s="53">
        <v>50.0</v>
      </c>
      <c r="D334" s="513">
        <v>60.0</v>
      </c>
      <c r="E334" s="514" t="s">
        <v>5</v>
      </c>
      <c r="F334" s="44" t="s">
        <v>463</v>
      </c>
      <c r="G334" s="49"/>
      <c r="H334" s="49"/>
      <c r="I334" s="49"/>
      <c r="J334" s="49"/>
      <c r="K334" s="49"/>
      <c r="L334" s="49"/>
      <c r="M334" s="49"/>
      <c r="N334" s="49"/>
    </row>
    <row r="335" ht="15.75" customHeight="1">
      <c r="A335" s="1"/>
      <c r="B335" s="68" t="s">
        <v>464</v>
      </c>
      <c r="C335" s="210">
        <v>10.0</v>
      </c>
      <c r="D335" s="155">
        <f t="shared" ref="D335:D352" si="19">(C335*D334)/C334</f>
        <v>12</v>
      </c>
      <c r="E335" s="216" t="s">
        <v>14</v>
      </c>
      <c r="F335" s="76"/>
      <c r="G335" s="49"/>
      <c r="H335" s="49"/>
      <c r="I335" s="49"/>
      <c r="J335" s="49"/>
      <c r="K335" s="49"/>
      <c r="L335" s="49"/>
      <c r="M335" s="49"/>
      <c r="N335" s="49"/>
    </row>
    <row r="336" ht="15.75" customHeight="1">
      <c r="A336" s="1"/>
      <c r="B336" s="119" t="s">
        <v>91</v>
      </c>
      <c r="C336" s="247">
        <v>2.5</v>
      </c>
      <c r="D336" s="78">
        <f t="shared" si="19"/>
        <v>3</v>
      </c>
      <c r="E336" s="249" t="s">
        <v>5</v>
      </c>
      <c r="F336" s="264" t="s">
        <v>393</v>
      </c>
      <c r="G336" s="49"/>
      <c r="H336" s="49"/>
      <c r="I336" s="49"/>
      <c r="J336" s="49"/>
      <c r="K336" s="49"/>
      <c r="L336" s="49"/>
      <c r="M336" s="49"/>
      <c r="N336" s="49"/>
    </row>
    <row r="337" ht="15.75" customHeight="1">
      <c r="A337" s="1"/>
      <c r="B337" s="93" t="s">
        <v>60</v>
      </c>
      <c r="C337" s="247">
        <v>0.75</v>
      </c>
      <c r="D337" s="78">
        <f t="shared" si="19"/>
        <v>0.9</v>
      </c>
      <c r="E337" s="249" t="s">
        <v>14</v>
      </c>
      <c r="F337" s="66"/>
      <c r="G337" s="49"/>
      <c r="H337" s="49"/>
      <c r="I337" s="49"/>
      <c r="J337" s="49"/>
      <c r="K337" s="49"/>
      <c r="L337" s="49"/>
      <c r="M337" s="49"/>
      <c r="N337" s="49"/>
    </row>
    <row r="338" ht="15.75" customHeight="1">
      <c r="A338" s="1"/>
      <c r="B338" s="93" t="s">
        <v>97</v>
      </c>
      <c r="C338" s="247">
        <v>125.0</v>
      </c>
      <c r="D338" s="78">
        <f t="shared" si="19"/>
        <v>150</v>
      </c>
      <c r="E338" s="249" t="s">
        <v>18</v>
      </c>
      <c r="F338" s="66"/>
      <c r="G338" s="49"/>
      <c r="H338" s="49"/>
      <c r="I338" s="49"/>
      <c r="J338" s="49"/>
      <c r="K338" s="49"/>
      <c r="L338" s="49"/>
      <c r="M338" s="49"/>
      <c r="N338" s="49"/>
    </row>
    <row r="339" ht="15.75" customHeight="1">
      <c r="A339" s="1"/>
      <c r="B339" s="93" t="s">
        <v>83</v>
      </c>
      <c r="C339" s="247">
        <v>500.0</v>
      </c>
      <c r="D339" s="78">
        <f t="shared" si="19"/>
        <v>600</v>
      </c>
      <c r="E339" s="249" t="s">
        <v>18</v>
      </c>
      <c r="F339" s="66"/>
      <c r="G339" s="49"/>
      <c r="H339" s="49"/>
      <c r="I339" s="49"/>
      <c r="J339" s="49"/>
      <c r="K339" s="49"/>
      <c r="L339" s="49"/>
      <c r="M339" s="49"/>
      <c r="N339" s="49"/>
    </row>
    <row r="340" ht="15.75" customHeight="1">
      <c r="A340" s="1"/>
      <c r="B340" s="93" t="s">
        <v>101</v>
      </c>
      <c r="C340" s="247">
        <v>0.5</v>
      </c>
      <c r="D340" s="78">
        <f t="shared" si="19"/>
        <v>0.6</v>
      </c>
      <c r="E340" s="249" t="s">
        <v>5</v>
      </c>
      <c r="F340" s="66"/>
      <c r="G340" s="49"/>
      <c r="H340" s="49"/>
      <c r="I340" s="49"/>
      <c r="J340" s="49"/>
      <c r="K340" s="49"/>
      <c r="L340" s="49"/>
      <c r="M340" s="49"/>
      <c r="N340" s="49"/>
    </row>
    <row r="341" ht="15.75" customHeight="1">
      <c r="A341" s="1"/>
      <c r="B341" s="93" t="s">
        <v>103</v>
      </c>
      <c r="C341" s="247">
        <v>75.0</v>
      </c>
      <c r="D341" s="78">
        <f t="shared" si="19"/>
        <v>90</v>
      </c>
      <c r="E341" s="249" t="s">
        <v>18</v>
      </c>
      <c r="F341" s="66"/>
      <c r="G341" s="49"/>
      <c r="H341" s="49"/>
      <c r="I341" s="49"/>
      <c r="J341" s="49"/>
      <c r="K341" s="49"/>
      <c r="L341" s="49"/>
      <c r="M341" s="49"/>
      <c r="N341" s="49"/>
    </row>
    <row r="342" ht="15.75" customHeight="1">
      <c r="A342" s="1"/>
      <c r="B342" s="105" t="s">
        <v>52</v>
      </c>
      <c r="C342" s="522">
        <v>80.0</v>
      </c>
      <c r="D342" s="56">
        <f t="shared" si="19"/>
        <v>96</v>
      </c>
      <c r="E342" s="518" t="s">
        <v>18</v>
      </c>
      <c r="F342" s="66"/>
      <c r="G342" s="49"/>
      <c r="H342" s="49"/>
      <c r="I342" s="49"/>
      <c r="J342" s="49"/>
      <c r="K342" s="49"/>
      <c r="L342" s="49"/>
      <c r="M342" s="49"/>
      <c r="N342" s="49"/>
    </row>
    <row r="343" ht="15.75" customHeight="1">
      <c r="A343" s="1"/>
      <c r="B343" s="68" t="s">
        <v>31</v>
      </c>
      <c r="C343" s="210">
        <v>500.0</v>
      </c>
      <c r="D343" s="155">
        <f t="shared" si="19"/>
        <v>600</v>
      </c>
      <c r="E343" s="216" t="s">
        <v>18</v>
      </c>
      <c r="F343" s="66"/>
      <c r="G343" s="49"/>
      <c r="H343" s="49"/>
      <c r="I343" s="49"/>
      <c r="J343" s="49"/>
      <c r="K343" s="49"/>
      <c r="L343" s="49"/>
      <c r="M343" s="49"/>
      <c r="N343" s="49"/>
    </row>
    <row r="344" ht="15.75" customHeight="1">
      <c r="A344" s="1"/>
      <c r="B344" s="105" t="s">
        <v>13</v>
      </c>
      <c r="C344" s="522">
        <v>0.5</v>
      </c>
      <c r="D344" s="56">
        <f t="shared" si="19"/>
        <v>0.6</v>
      </c>
      <c r="E344" s="518" t="s">
        <v>14</v>
      </c>
      <c r="F344" s="106"/>
      <c r="G344" s="49"/>
      <c r="H344" s="49"/>
      <c r="I344" s="49"/>
      <c r="J344" s="49"/>
      <c r="K344" s="49"/>
      <c r="L344" s="49"/>
      <c r="M344" s="49"/>
      <c r="N344" s="49"/>
    </row>
    <row r="345" ht="15.75" customHeight="1">
      <c r="A345" s="1"/>
      <c r="B345" s="119" t="s">
        <v>167</v>
      </c>
      <c r="C345" s="523">
        <v>0.45</v>
      </c>
      <c r="D345" s="129">
        <f t="shared" si="19"/>
        <v>0.54</v>
      </c>
      <c r="E345" s="520" t="s">
        <v>5</v>
      </c>
      <c r="F345" s="655" t="s">
        <v>415</v>
      </c>
      <c r="G345" s="49"/>
      <c r="H345" s="49"/>
      <c r="I345" s="49"/>
      <c r="J345" s="49"/>
      <c r="K345" s="49"/>
      <c r="L345" s="49"/>
      <c r="M345" s="49"/>
      <c r="N345" s="49"/>
    </row>
    <row r="346" ht="15.75" customHeight="1">
      <c r="A346" s="1"/>
      <c r="B346" s="105" t="s">
        <v>335</v>
      </c>
      <c r="C346" s="522">
        <v>2.5</v>
      </c>
      <c r="D346" s="56">
        <f t="shared" si="19"/>
        <v>3</v>
      </c>
      <c r="E346" s="518" t="s">
        <v>5</v>
      </c>
      <c r="F346" s="102"/>
      <c r="G346" s="49"/>
      <c r="H346" s="49"/>
      <c r="I346" s="49"/>
      <c r="J346" s="49"/>
      <c r="K346" s="49"/>
      <c r="L346" s="49"/>
      <c r="M346" s="49"/>
      <c r="N346" s="49"/>
    </row>
    <row r="347" ht="15.75" customHeight="1">
      <c r="A347" s="1"/>
      <c r="B347" s="119" t="s">
        <v>487</v>
      </c>
      <c r="C347" s="523">
        <v>2.5</v>
      </c>
      <c r="D347" s="129">
        <f t="shared" si="19"/>
        <v>3</v>
      </c>
      <c r="E347" s="520" t="s">
        <v>14</v>
      </c>
      <c r="F347" s="140" t="s">
        <v>519</v>
      </c>
      <c r="G347" s="49"/>
      <c r="H347" s="49"/>
      <c r="I347" s="49"/>
      <c r="J347" s="49"/>
      <c r="K347" s="49"/>
      <c r="L347" s="49"/>
      <c r="M347" s="49"/>
      <c r="N347" s="49"/>
    </row>
    <row r="348" ht="15.75" customHeight="1">
      <c r="A348" s="1"/>
      <c r="B348" s="93" t="s">
        <v>490</v>
      </c>
      <c r="C348" s="247">
        <v>2.5</v>
      </c>
      <c r="D348" s="78">
        <f t="shared" si="19"/>
        <v>3</v>
      </c>
      <c r="E348" s="249" t="s">
        <v>14</v>
      </c>
      <c r="G348" s="49"/>
      <c r="H348" s="49"/>
      <c r="I348" s="49"/>
      <c r="J348" s="49"/>
      <c r="K348" s="49"/>
      <c r="L348" s="49"/>
      <c r="M348" s="49"/>
      <c r="N348" s="49"/>
    </row>
    <row r="349" ht="15.75" customHeight="1">
      <c r="A349" s="1"/>
      <c r="B349" s="93" t="s">
        <v>327</v>
      </c>
      <c r="C349" s="247">
        <v>2.5</v>
      </c>
      <c r="D349" s="78">
        <f t="shared" si="19"/>
        <v>3</v>
      </c>
      <c r="E349" s="249" t="s">
        <v>14</v>
      </c>
      <c r="G349" s="49"/>
      <c r="H349" s="49"/>
      <c r="I349" s="49"/>
      <c r="J349" s="49"/>
      <c r="K349" s="49"/>
      <c r="L349" s="49"/>
      <c r="M349" s="49"/>
      <c r="N349" s="49"/>
    </row>
    <row r="350" ht="15.75" customHeight="1">
      <c r="A350" s="1"/>
      <c r="B350" s="93" t="s">
        <v>329</v>
      </c>
      <c r="C350" s="247">
        <v>2.5</v>
      </c>
      <c r="D350" s="78">
        <f t="shared" si="19"/>
        <v>3</v>
      </c>
      <c r="E350" s="249" t="s">
        <v>14</v>
      </c>
      <c r="G350" s="49"/>
      <c r="H350" s="49"/>
      <c r="I350" s="49"/>
      <c r="J350" s="49"/>
      <c r="K350" s="49"/>
      <c r="L350" s="49"/>
      <c r="M350" s="49"/>
      <c r="N350" s="49"/>
    </row>
    <row r="351" ht="15.75" customHeight="1">
      <c r="A351" s="1"/>
      <c r="B351" s="105" t="s">
        <v>493</v>
      </c>
      <c r="C351" s="522">
        <f>SUM(C347:C350)</f>
        <v>10</v>
      </c>
      <c r="D351" s="56">
        <f t="shared" si="19"/>
        <v>12</v>
      </c>
      <c r="E351" s="518" t="s">
        <v>14</v>
      </c>
      <c r="G351" s="49"/>
      <c r="H351" s="49"/>
      <c r="I351" s="49"/>
      <c r="J351" s="49"/>
      <c r="K351" s="49"/>
      <c r="L351" s="49"/>
      <c r="M351" s="49"/>
      <c r="N351" s="49"/>
    </row>
    <row r="352" ht="15.75" customHeight="1">
      <c r="A352" s="1"/>
      <c r="B352" s="149" t="s">
        <v>494</v>
      </c>
      <c r="C352" s="272">
        <f>C351*12</f>
        <v>120</v>
      </c>
      <c r="D352" s="274">
        <f t="shared" si="19"/>
        <v>144</v>
      </c>
      <c r="E352" s="288" t="s">
        <v>18</v>
      </c>
      <c r="F352" s="104"/>
      <c r="G352" s="49"/>
      <c r="H352" s="49"/>
      <c r="I352" s="49"/>
      <c r="J352" s="49"/>
      <c r="K352" s="49"/>
      <c r="L352" s="49"/>
      <c r="M352" s="49"/>
      <c r="N352" s="49"/>
    </row>
    <row r="353" ht="15.75" customHeight="1">
      <c r="A353" s="1"/>
      <c r="B353" s="299" t="s">
        <v>119</v>
      </c>
      <c r="C353" s="183" t="s">
        <v>47</v>
      </c>
      <c r="D353" s="558"/>
      <c r="E353" s="1"/>
      <c r="F353" s="1"/>
      <c r="G353" s="1"/>
      <c r="H353" s="49"/>
      <c r="I353" s="49"/>
      <c r="J353" s="49"/>
      <c r="K353" s="49"/>
      <c r="L353" s="49"/>
      <c r="M353" s="49"/>
      <c r="N353" s="49"/>
    </row>
    <row r="354" ht="15.75" customHeight="1">
      <c r="A354" s="1"/>
      <c r="B354" s="640" t="s">
        <v>49</v>
      </c>
      <c r="C354" s="642">
        <v>40788.0</v>
      </c>
      <c r="D354" s="184"/>
      <c r="E354" s="1"/>
      <c r="F354" s="1"/>
      <c r="G354" s="1"/>
      <c r="H354" s="49"/>
      <c r="I354" s="49"/>
      <c r="J354" s="49"/>
      <c r="K354" s="49"/>
      <c r="L354" s="49"/>
      <c r="M354" s="49"/>
      <c r="N354" s="49"/>
    </row>
    <row r="355" ht="15.75" customHeight="1">
      <c r="A355" s="1"/>
      <c r="B355" s="550" t="s">
        <v>50</v>
      </c>
      <c r="C355" s="551">
        <v>41845.0</v>
      </c>
      <c r="D355" s="184"/>
      <c r="E355" s="1"/>
      <c r="F355" s="1"/>
      <c r="G355" s="1"/>
      <c r="H355" s="49"/>
      <c r="I355" s="49"/>
      <c r="J355" s="49"/>
      <c r="K355" s="49"/>
      <c r="L355" s="49"/>
      <c r="M355" s="49"/>
      <c r="N355" s="49"/>
    </row>
    <row r="356" ht="15.75" customHeight="1">
      <c r="A356" s="1"/>
      <c r="B356" s="670"/>
      <c r="C356" s="671"/>
      <c r="D356" s="672"/>
      <c r="E356" s="673"/>
      <c r="F356" s="207"/>
      <c r="G356" s="49"/>
      <c r="H356" s="49"/>
      <c r="I356" s="49"/>
      <c r="J356" s="49"/>
      <c r="K356" s="49"/>
      <c r="L356" s="49"/>
      <c r="M356" s="49"/>
      <c r="N356" s="49"/>
    </row>
    <row r="357" ht="15.75" customHeight="1">
      <c r="A357" s="1"/>
      <c r="B357" s="674" t="s">
        <v>531</v>
      </c>
      <c r="C357" s="18"/>
      <c r="D357" s="18"/>
      <c r="E357" s="19"/>
      <c r="F357" s="49"/>
      <c r="G357" s="49"/>
      <c r="H357" s="49"/>
      <c r="I357" s="49"/>
      <c r="J357" s="49"/>
      <c r="K357" s="49"/>
      <c r="L357" s="49"/>
      <c r="M357" s="49"/>
      <c r="N357" s="49"/>
    </row>
    <row r="358" ht="15.75" customHeight="1">
      <c r="A358" s="1"/>
      <c r="B358" s="675" t="s">
        <v>1</v>
      </c>
      <c r="C358" s="676">
        <v>40.0</v>
      </c>
      <c r="D358" s="677">
        <v>40.0</v>
      </c>
      <c r="E358" s="678" t="s">
        <v>5</v>
      </c>
      <c r="F358" s="49"/>
      <c r="G358" s="49"/>
      <c r="H358" s="49"/>
      <c r="I358" s="49"/>
      <c r="J358" s="49"/>
      <c r="K358" s="49"/>
      <c r="L358" s="49"/>
      <c r="M358" s="49"/>
      <c r="N358" s="49"/>
    </row>
    <row r="359" ht="18.0" customHeight="1">
      <c r="A359" s="1"/>
      <c r="B359" s="93" t="s">
        <v>464</v>
      </c>
      <c r="C359" s="247">
        <v>10.0</v>
      </c>
      <c r="D359" s="78">
        <f t="shared" ref="D359:D370" si="20">(C359*D358)/C358</f>
        <v>10</v>
      </c>
      <c r="E359" s="249" t="s">
        <v>14</v>
      </c>
      <c r="F359" s="679" t="s">
        <v>533</v>
      </c>
      <c r="G359" s="49"/>
      <c r="H359" s="49"/>
      <c r="I359" s="49"/>
      <c r="J359" s="49"/>
      <c r="K359" s="49"/>
      <c r="L359" s="49"/>
      <c r="M359" s="49"/>
      <c r="N359" s="49"/>
    </row>
    <row r="360" ht="15.75" customHeight="1">
      <c r="A360" s="1"/>
      <c r="B360" s="93" t="s">
        <v>91</v>
      </c>
      <c r="C360" s="247">
        <v>2.0</v>
      </c>
      <c r="D360" s="78">
        <f t="shared" si="20"/>
        <v>2</v>
      </c>
      <c r="E360" s="249" t="s">
        <v>5</v>
      </c>
      <c r="F360" s="1"/>
      <c r="G360" s="49"/>
      <c r="H360" s="49"/>
      <c r="I360" s="49"/>
      <c r="J360" s="49"/>
      <c r="K360" s="49"/>
      <c r="L360" s="49"/>
      <c r="M360" s="49"/>
      <c r="N360" s="49"/>
    </row>
    <row r="361" ht="15.75" customHeight="1">
      <c r="A361" s="1"/>
      <c r="B361" s="93" t="s">
        <v>60</v>
      </c>
      <c r="C361" s="247">
        <v>1.5</v>
      </c>
      <c r="D361" s="78">
        <f t="shared" si="20"/>
        <v>1.5</v>
      </c>
      <c r="E361" s="249" t="s">
        <v>14</v>
      </c>
      <c r="F361" s="1"/>
      <c r="G361" s="49"/>
      <c r="H361" s="49"/>
      <c r="I361" s="49"/>
      <c r="J361" s="49"/>
      <c r="K361" s="49"/>
      <c r="L361" s="49"/>
      <c r="M361" s="49"/>
      <c r="N361" s="49"/>
    </row>
    <row r="362" ht="15.75" customHeight="1">
      <c r="A362" s="1"/>
      <c r="B362" s="93" t="s">
        <v>97</v>
      </c>
      <c r="C362" s="247">
        <v>120.0</v>
      </c>
      <c r="D362" s="78">
        <f t="shared" si="20"/>
        <v>120</v>
      </c>
      <c r="E362" s="249" t="s">
        <v>18</v>
      </c>
      <c r="F362" s="1"/>
      <c r="G362" s="49"/>
      <c r="H362" s="49"/>
      <c r="I362" s="49"/>
      <c r="J362" s="49"/>
      <c r="K362" s="49"/>
      <c r="L362" s="49"/>
      <c r="M362" s="49"/>
      <c r="N362" s="49"/>
    </row>
    <row r="363" ht="15.75" customHeight="1">
      <c r="A363" s="1"/>
      <c r="B363" s="93" t="s">
        <v>83</v>
      </c>
      <c r="C363" s="247">
        <v>250.0</v>
      </c>
      <c r="D363" s="78">
        <f t="shared" si="20"/>
        <v>250</v>
      </c>
      <c r="E363" s="249" t="s">
        <v>18</v>
      </c>
      <c r="F363" s="1"/>
      <c r="G363" s="49"/>
      <c r="H363" s="49"/>
      <c r="I363" s="49"/>
      <c r="J363" s="49"/>
      <c r="K363" s="49"/>
      <c r="L363" s="49"/>
      <c r="M363" s="49"/>
      <c r="N363" s="49"/>
    </row>
    <row r="364" ht="15.75" customHeight="1">
      <c r="A364" s="1"/>
      <c r="B364" s="93" t="s">
        <v>101</v>
      </c>
      <c r="C364" s="247">
        <v>0.5</v>
      </c>
      <c r="D364" s="78">
        <f t="shared" si="20"/>
        <v>0.5</v>
      </c>
      <c r="E364" s="249" t="s">
        <v>5</v>
      </c>
      <c r="F364" s="1"/>
      <c r="G364" s="49"/>
      <c r="H364" s="49"/>
      <c r="I364" s="49"/>
      <c r="J364" s="49"/>
      <c r="K364" s="49"/>
      <c r="L364" s="49"/>
      <c r="M364" s="49"/>
      <c r="N364" s="49"/>
    </row>
    <row r="365" ht="15.75" customHeight="1">
      <c r="A365" s="1"/>
      <c r="B365" s="93" t="s">
        <v>103</v>
      </c>
      <c r="C365" s="247">
        <v>60.0</v>
      </c>
      <c r="D365" s="78">
        <f t="shared" si="20"/>
        <v>60</v>
      </c>
      <c r="E365" s="249" t="s">
        <v>18</v>
      </c>
      <c r="F365" s="1"/>
      <c r="G365" s="49"/>
      <c r="H365" s="49"/>
      <c r="I365" s="49"/>
      <c r="J365" s="49"/>
      <c r="K365" s="49"/>
      <c r="L365" s="49"/>
      <c r="M365" s="49"/>
      <c r="N365" s="49"/>
    </row>
    <row r="366" ht="15.75" customHeight="1">
      <c r="A366" s="1"/>
      <c r="B366" s="93" t="s">
        <v>52</v>
      </c>
      <c r="C366" s="247">
        <v>80.0</v>
      </c>
      <c r="D366" s="78">
        <f t="shared" si="20"/>
        <v>80</v>
      </c>
      <c r="E366" s="249" t="s">
        <v>18</v>
      </c>
      <c r="F366" s="1"/>
      <c r="G366" s="49"/>
      <c r="H366" s="49"/>
      <c r="I366" s="49"/>
      <c r="J366" s="49"/>
      <c r="K366" s="49"/>
      <c r="L366" s="49"/>
      <c r="M366" s="49"/>
      <c r="N366" s="49"/>
    </row>
    <row r="367" ht="15.75" customHeight="1">
      <c r="A367" s="1"/>
      <c r="B367" s="68" t="s">
        <v>31</v>
      </c>
      <c r="C367" s="210">
        <v>500.0</v>
      </c>
      <c r="D367" s="155">
        <f t="shared" si="20"/>
        <v>500</v>
      </c>
      <c r="E367" s="216" t="s">
        <v>18</v>
      </c>
      <c r="F367" s="681" t="s">
        <v>536</v>
      </c>
      <c r="G367" s="49"/>
      <c r="H367" s="49"/>
      <c r="I367" s="49"/>
      <c r="J367" s="49"/>
      <c r="K367" s="49"/>
      <c r="L367" s="49"/>
      <c r="M367" s="49"/>
      <c r="N367" s="49"/>
    </row>
    <row r="368" ht="15.75" customHeight="1">
      <c r="A368" s="1"/>
      <c r="B368" s="105" t="s">
        <v>13</v>
      </c>
      <c r="C368" s="522">
        <v>0.5</v>
      </c>
      <c r="D368" s="56">
        <f t="shared" si="20"/>
        <v>0.5</v>
      </c>
      <c r="E368" s="518" t="s">
        <v>14</v>
      </c>
      <c r="F368" s="102"/>
      <c r="G368" s="49"/>
      <c r="H368" s="49"/>
      <c r="I368" s="49"/>
      <c r="J368" s="49"/>
      <c r="K368" s="49"/>
      <c r="L368" s="49"/>
      <c r="M368" s="49"/>
      <c r="N368" s="49"/>
    </row>
    <row r="369" ht="15.75" customHeight="1">
      <c r="A369" s="1"/>
      <c r="B369" s="138" t="s">
        <v>167</v>
      </c>
      <c r="C369" s="239">
        <v>0.4</v>
      </c>
      <c r="D369" s="78">
        <f t="shared" si="20"/>
        <v>0.4</v>
      </c>
      <c r="E369" s="242" t="s">
        <v>5</v>
      </c>
      <c r="F369" s="655" t="s">
        <v>415</v>
      </c>
      <c r="G369" s="49"/>
      <c r="H369" s="49"/>
      <c r="I369" s="49"/>
      <c r="J369" s="49"/>
      <c r="K369" s="49"/>
      <c r="L369" s="49"/>
      <c r="M369" s="49"/>
      <c r="N369" s="49"/>
    </row>
    <row r="370" ht="15.75" customHeight="1">
      <c r="A370" s="1"/>
      <c r="B370" s="105" t="s">
        <v>335</v>
      </c>
      <c r="C370" s="522">
        <v>2.0</v>
      </c>
      <c r="D370" s="56">
        <f t="shared" si="20"/>
        <v>2</v>
      </c>
      <c r="E370" s="518" t="s">
        <v>5</v>
      </c>
      <c r="F370" s="102"/>
      <c r="G370" s="49"/>
      <c r="H370" s="49"/>
      <c r="I370" s="49"/>
      <c r="J370" s="49"/>
      <c r="K370" s="49"/>
      <c r="L370" s="49"/>
      <c r="M370" s="49"/>
      <c r="N370" s="49"/>
    </row>
    <row r="371" ht="15.75" customHeight="1">
      <c r="A371" s="1"/>
      <c r="B371" s="299" t="s">
        <v>119</v>
      </c>
      <c r="C371" s="183" t="s">
        <v>47</v>
      </c>
      <c r="D371" s="184"/>
      <c r="E371" s="49"/>
      <c r="F371" s="49"/>
      <c r="G371" s="49"/>
      <c r="H371" s="49"/>
      <c r="I371" s="49"/>
      <c r="J371" s="49"/>
      <c r="K371" s="49"/>
      <c r="L371" s="49"/>
      <c r="M371" s="49"/>
      <c r="N371" s="49"/>
    </row>
    <row r="372" ht="3.0" customHeight="1">
      <c r="A372" s="1"/>
      <c r="B372" s="1"/>
      <c r="C372" s="1"/>
      <c r="D372" s="184"/>
      <c r="E372" s="49"/>
      <c r="F372" s="49"/>
      <c r="G372" s="49"/>
      <c r="H372" s="49"/>
      <c r="I372" s="49"/>
      <c r="J372" s="49"/>
      <c r="K372" s="49"/>
      <c r="L372" s="49"/>
      <c r="M372" s="49"/>
      <c r="N372" s="49"/>
    </row>
    <row r="373" ht="15.75" customHeight="1">
      <c r="A373" s="1"/>
      <c r="B373" s="685" t="s">
        <v>49</v>
      </c>
      <c r="C373" s="686">
        <v>41154.0</v>
      </c>
      <c r="D373" s="184"/>
      <c r="E373" s="49"/>
      <c r="F373" s="49"/>
      <c r="G373" s="49"/>
      <c r="H373" s="49"/>
      <c r="I373" s="49"/>
      <c r="J373" s="49"/>
      <c r="K373" s="49"/>
      <c r="L373" s="49"/>
      <c r="M373" s="49"/>
      <c r="N373" s="49"/>
    </row>
    <row r="374" ht="15.75" customHeight="1">
      <c r="A374" s="1"/>
      <c r="B374" s="692" t="s">
        <v>50</v>
      </c>
      <c r="C374" s="693">
        <v>41784.0</v>
      </c>
      <c r="D374" s="184"/>
      <c r="E374" s="49"/>
      <c r="F374" s="49"/>
      <c r="G374" s="49"/>
      <c r="H374" s="49"/>
      <c r="I374" s="49"/>
      <c r="J374" s="49"/>
      <c r="K374" s="49"/>
      <c r="L374" s="49"/>
      <c r="M374" s="49"/>
      <c r="N374" s="49"/>
    </row>
    <row r="375" ht="15.75" customHeight="1">
      <c r="A375" s="1"/>
      <c r="B375" s="209" t="s">
        <v>552</v>
      </c>
      <c r="C375" s="18"/>
      <c r="D375" s="18"/>
      <c r="E375" s="19"/>
      <c r="F375" s="1"/>
      <c r="G375" s="209" t="s">
        <v>552</v>
      </c>
      <c r="H375" s="18"/>
      <c r="I375" s="18"/>
      <c r="J375" s="18"/>
      <c r="K375" s="49" t="s">
        <v>555</v>
      </c>
      <c r="L375" s="49"/>
      <c r="M375" s="49"/>
      <c r="N375" s="49"/>
    </row>
    <row r="376" ht="15.75" customHeight="1">
      <c r="A376" s="1"/>
      <c r="B376" s="51" t="s">
        <v>1</v>
      </c>
      <c r="C376" s="53">
        <v>50.0</v>
      </c>
      <c r="D376" s="513">
        <v>50.0</v>
      </c>
      <c r="E376" s="514" t="s">
        <v>5</v>
      </c>
      <c r="F376" s="207"/>
      <c r="G376" s="51" t="s">
        <v>1</v>
      </c>
      <c r="H376" s="53">
        <v>90.0</v>
      </c>
      <c r="I376" s="513">
        <v>90.0</v>
      </c>
      <c r="J376" s="514" t="s">
        <v>5</v>
      </c>
      <c r="K376" s="49"/>
      <c r="L376" s="49"/>
      <c r="M376" s="49"/>
      <c r="N376" s="49"/>
    </row>
    <row r="377" ht="15.75" customHeight="1">
      <c r="A377" s="1"/>
      <c r="B377" s="68" t="s">
        <v>557</v>
      </c>
      <c r="C377" s="210">
        <v>9.0</v>
      </c>
      <c r="D377" s="155">
        <f t="shared" ref="D377:D385" si="21">(C377*D376)/C376</f>
        <v>9</v>
      </c>
      <c r="E377" s="216" t="s">
        <v>14</v>
      </c>
      <c r="F377" s="44" t="s">
        <v>558</v>
      </c>
      <c r="G377" s="68" t="s">
        <v>560</v>
      </c>
      <c r="H377" s="210">
        <v>16.0</v>
      </c>
      <c r="I377" s="155">
        <f t="shared" ref="I377:I384" si="22">(H377*I376)/H376</f>
        <v>16</v>
      </c>
      <c r="J377" s="216" t="s">
        <v>14</v>
      </c>
      <c r="K377" s="49"/>
      <c r="L377" s="49"/>
      <c r="M377" s="49"/>
      <c r="N377" s="49"/>
    </row>
    <row r="378" ht="15.75" customHeight="1">
      <c r="A378" s="1"/>
      <c r="B378" s="93" t="s">
        <v>562</v>
      </c>
      <c r="C378" s="247">
        <v>40.0</v>
      </c>
      <c r="D378" s="78">
        <f t="shared" si="21"/>
        <v>40</v>
      </c>
      <c r="E378" s="249" t="s">
        <v>5</v>
      </c>
      <c r="F378" s="47"/>
      <c r="G378" s="93" t="s">
        <v>562</v>
      </c>
      <c r="H378" s="247">
        <v>80.0</v>
      </c>
      <c r="I378" s="78">
        <f t="shared" si="22"/>
        <v>80</v>
      </c>
      <c r="J378" s="249" t="s">
        <v>5</v>
      </c>
      <c r="K378" s="49"/>
      <c r="L378" s="49"/>
      <c r="M378" s="49"/>
      <c r="N378" s="49"/>
    </row>
    <row r="379" ht="15.75" customHeight="1">
      <c r="A379" s="1"/>
      <c r="B379" s="93" t="s">
        <v>91</v>
      </c>
      <c r="C379" s="247">
        <v>0.08</v>
      </c>
      <c r="D379" s="78">
        <f t="shared" si="21"/>
        <v>0.08</v>
      </c>
      <c r="E379" s="249" t="s">
        <v>5</v>
      </c>
      <c r="F379" s="47"/>
      <c r="G379" s="93" t="s">
        <v>91</v>
      </c>
      <c r="H379" s="247">
        <v>0.16</v>
      </c>
      <c r="I379" s="78">
        <f t="shared" si="22"/>
        <v>0.16</v>
      </c>
      <c r="J379" s="249" t="s">
        <v>5</v>
      </c>
      <c r="K379" s="49"/>
      <c r="L379" s="49"/>
      <c r="M379" s="49"/>
      <c r="N379" s="49"/>
    </row>
    <row r="380" ht="15.75" customHeight="1">
      <c r="A380" s="1"/>
      <c r="B380" s="93" t="s">
        <v>52</v>
      </c>
      <c r="C380" s="247">
        <v>12.0</v>
      </c>
      <c r="D380" s="78">
        <f t="shared" si="21"/>
        <v>12</v>
      </c>
      <c r="E380" s="249" t="s">
        <v>18</v>
      </c>
      <c r="F380" s="47"/>
      <c r="G380" s="93" t="s">
        <v>52</v>
      </c>
      <c r="H380" s="247">
        <v>24.0</v>
      </c>
      <c r="I380" s="78">
        <f t="shared" si="22"/>
        <v>24</v>
      </c>
      <c r="J380" s="249" t="s">
        <v>18</v>
      </c>
      <c r="K380" s="49"/>
      <c r="L380" s="49"/>
      <c r="M380" s="49"/>
      <c r="N380" s="49"/>
    </row>
    <row r="381" ht="15.75" customHeight="1">
      <c r="A381" s="1"/>
      <c r="B381" s="93" t="s">
        <v>31</v>
      </c>
      <c r="C381" s="247">
        <f>C377*10</f>
        <v>90</v>
      </c>
      <c r="D381" s="78">
        <f t="shared" si="21"/>
        <v>90</v>
      </c>
      <c r="E381" s="249" t="s">
        <v>18</v>
      </c>
      <c r="F381" s="47"/>
      <c r="G381" s="93" t="s">
        <v>31</v>
      </c>
      <c r="H381" s="247">
        <v>160.0</v>
      </c>
      <c r="I381" s="78">
        <f t="shared" si="22"/>
        <v>160</v>
      </c>
      <c r="J381" s="249" t="s">
        <v>18</v>
      </c>
      <c r="K381" s="49"/>
      <c r="L381" s="49"/>
      <c r="M381" s="49"/>
      <c r="N381" s="49"/>
    </row>
    <row r="382" ht="15.75" customHeight="1">
      <c r="A382" s="1"/>
      <c r="B382" s="149" t="s">
        <v>567</v>
      </c>
      <c r="C382" s="272">
        <v>40.0</v>
      </c>
      <c r="D382" s="274">
        <f t="shared" si="21"/>
        <v>40</v>
      </c>
      <c r="E382" s="288" t="s">
        <v>5</v>
      </c>
      <c r="F382" s="76"/>
      <c r="G382" s="149" t="s">
        <v>567</v>
      </c>
      <c r="H382" s="272">
        <v>80.0</v>
      </c>
      <c r="I382" s="274">
        <f t="shared" si="22"/>
        <v>80</v>
      </c>
      <c r="J382" s="288" t="s">
        <v>5</v>
      </c>
      <c r="K382" s="49"/>
      <c r="L382" s="49"/>
      <c r="M382" s="49"/>
      <c r="N382" s="49"/>
    </row>
    <row r="383" ht="15.75" customHeight="1">
      <c r="A383" s="1"/>
      <c r="B383" s="119" t="s">
        <v>570</v>
      </c>
      <c r="C383" s="523">
        <v>1.2</v>
      </c>
      <c r="D383" s="129">
        <f t="shared" si="21"/>
        <v>1.2</v>
      </c>
      <c r="E383" s="520" t="s">
        <v>5</v>
      </c>
      <c r="F383" s="394" t="s">
        <v>94</v>
      </c>
      <c r="G383" s="119" t="s">
        <v>570</v>
      </c>
      <c r="H383" s="523">
        <v>2.4</v>
      </c>
      <c r="I383" s="129">
        <f t="shared" si="22"/>
        <v>2.4</v>
      </c>
      <c r="J383" s="520" t="s">
        <v>5</v>
      </c>
      <c r="K383" s="49"/>
      <c r="L383" s="49"/>
      <c r="M383" s="49"/>
      <c r="N383" s="49"/>
    </row>
    <row r="384" ht="15.75" customHeight="1">
      <c r="A384" s="1"/>
      <c r="B384" s="93" t="s">
        <v>97</v>
      </c>
      <c r="C384" s="247">
        <v>40.0</v>
      </c>
      <c r="D384" s="78">
        <f t="shared" si="21"/>
        <v>40</v>
      </c>
      <c r="E384" s="249" t="s">
        <v>18</v>
      </c>
      <c r="F384" s="47"/>
      <c r="G384" s="119" t="s">
        <v>574</v>
      </c>
      <c r="H384" s="523">
        <v>80.0</v>
      </c>
      <c r="I384" s="129">
        <f t="shared" si="22"/>
        <v>80</v>
      </c>
      <c r="J384" s="520" t="s">
        <v>18</v>
      </c>
      <c r="K384" s="49"/>
      <c r="L384" s="49"/>
      <c r="M384" s="49"/>
      <c r="N384" s="49"/>
    </row>
    <row r="385" ht="15.75" customHeight="1">
      <c r="A385" s="1"/>
      <c r="B385" s="93" t="s">
        <v>576</v>
      </c>
      <c r="C385" s="247">
        <v>80.0</v>
      </c>
      <c r="D385" s="78">
        <f t="shared" si="21"/>
        <v>80</v>
      </c>
      <c r="E385" s="249" t="s">
        <v>18</v>
      </c>
      <c r="F385" s="47"/>
      <c r="G385" s="93" t="s">
        <v>97</v>
      </c>
      <c r="H385" s="247">
        <v>80.0</v>
      </c>
      <c r="I385" s="78">
        <f>(H385*I383)/H383</f>
        <v>80</v>
      </c>
      <c r="J385" s="249" t="s">
        <v>18</v>
      </c>
      <c r="K385" s="49"/>
      <c r="L385" s="49"/>
      <c r="M385" s="49"/>
      <c r="N385" s="49"/>
    </row>
    <row r="386" ht="15.75" customHeight="1">
      <c r="A386" s="1"/>
      <c r="B386" s="138" t="s">
        <v>149</v>
      </c>
      <c r="C386" s="239">
        <v>200.0</v>
      </c>
      <c r="D386" s="146">
        <f>(C386*D389)/C389</f>
        <v>200</v>
      </c>
      <c r="E386" s="242" t="s">
        <v>82</v>
      </c>
      <c r="F386" s="47"/>
      <c r="G386" s="93" t="s">
        <v>576</v>
      </c>
      <c r="H386" s="247">
        <v>160.0</v>
      </c>
      <c r="I386" s="78">
        <f>(H386*I385)/H385</f>
        <v>160</v>
      </c>
      <c r="J386" s="249" t="s">
        <v>18</v>
      </c>
      <c r="K386" s="49"/>
      <c r="L386" s="49"/>
      <c r="M386" s="49"/>
      <c r="N386" s="49"/>
    </row>
    <row r="387" ht="15.75" customHeight="1">
      <c r="A387" s="1"/>
      <c r="B387" s="93" t="s">
        <v>580</v>
      </c>
      <c r="C387" s="247">
        <v>80.0</v>
      </c>
      <c r="D387" s="78">
        <f>(C387*D385)/C385</f>
        <v>80</v>
      </c>
      <c r="E387" s="249" t="s">
        <v>18</v>
      </c>
      <c r="F387" s="47"/>
      <c r="G387" s="138" t="s">
        <v>149</v>
      </c>
      <c r="H387" s="239">
        <v>400.0</v>
      </c>
      <c r="I387" s="146">
        <f>(H387*I390)/H390</f>
        <v>400</v>
      </c>
      <c r="J387" s="242" t="s">
        <v>82</v>
      </c>
      <c r="K387" s="49"/>
      <c r="L387" s="49"/>
      <c r="M387" s="49"/>
      <c r="N387" s="49"/>
    </row>
    <row r="388" ht="15.75" customHeight="1">
      <c r="A388" s="1"/>
      <c r="B388" s="93" t="s">
        <v>101</v>
      </c>
      <c r="C388" s="247">
        <v>0.8</v>
      </c>
      <c r="D388" s="78">
        <f t="shared" ref="D388:D399" si="23">(C388*D387)/C387</f>
        <v>0.8</v>
      </c>
      <c r="E388" s="249" t="s">
        <v>5</v>
      </c>
      <c r="F388" s="47"/>
      <c r="G388" s="93" t="s">
        <v>580</v>
      </c>
      <c r="H388" s="247">
        <v>160.0</v>
      </c>
      <c r="I388" s="78">
        <f>(H388*I386)/H386</f>
        <v>160</v>
      </c>
      <c r="J388" s="249" t="s">
        <v>18</v>
      </c>
      <c r="K388" s="49"/>
      <c r="L388" s="49"/>
      <c r="M388" s="49"/>
      <c r="N388" s="49"/>
    </row>
    <row r="389" ht="15.75" customHeight="1">
      <c r="A389" s="1"/>
      <c r="B389" s="93" t="s">
        <v>103</v>
      </c>
      <c r="C389" s="247">
        <v>20.0</v>
      </c>
      <c r="D389" s="78">
        <f t="shared" si="23"/>
        <v>20</v>
      </c>
      <c r="E389" s="249" t="s">
        <v>18</v>
      </c>
      <c r="F389" s="76"/>
      <c r="G389" s="93" t="s">
        <v>101</v>
      </c>
      <c r="H389" s="247">
        <v>1.6</v>
      </c>
      <c r="I389" s="78">
        <f t="shared" ref="I389:I402" si="24">(H389*I388)/H388</f>
        <v>1.6</v>
      </c>
      <c r="J389" s="249" t="s">
        <v>5</v>
      </c>
      <c r="K389" s="49"/>
      <c r="L389" s="49"/>
      <c r="M389" s="49"/>
      <c r="N389" s="49"/>
    </row>
    <row r="390" ht="15.75" customHeight="1">
      <c r="A390" s="1"/>
      <c r="B390" s="68" t="s">
        <v>589</v>
      </c>
      <c r="C390" s="210">
        <v>2.0</v>
      </c>
      <c r="D390" s="155">
        <f t="shared" si="23"/>
        <v>2</v>
      </c>
      <c r="E390" s="216" t="s">
        <v>14</v>
      </c>
      <c r="F390" s="44" t="s">
        <v>591</v>
      </c>
      <c r="G390" s="93" t="s">
        <v>103</v>
      </c>
      <c r="H390" s="247">
        <v>40.0</v>
      </c>
      <c r="I390" s="78">
        <f t="shared" si="24"/>
        <v>40</v>
      </c>
      <c r="J390" s="249" t="s">
        <v>18</v>
      </c>
      <c r="K390" s="49"/>
      <c r="L390" s="49"/>
      <c r="M390" s="49"/>
      <c r="N390" s="49"/>
    </row>
    <row r="391" ht="15.75" customHeight="1">
      <c r="A391" s="1"/>
      <c r="B391" s="93" t="s">
        <v>593</v>
      </c>
      <c r="C391" s="247">
        <v>2.0</v>
      </c>
      <c r="D391" s="78">
        <f t="shared" si="23"/>
        <v>2</v>
      </c>
      <c r="E391" s="249" t="s">
        <v>14</v>
      </c>
      <c r="F391" s="47"/>
      <c r="G391" s="68" t="s">
        <v>589</v>
      </c>
      <c r="H391" s="210">
        <v>3.2</v>
      </c>
      <c r="I391" s="155">
        <f t="shared" si="24"/>
        <v>3.2</v>
      </c>
      <c r="J391" s="216" t="s">
        <v>14</v>
      </c>
      <c r="K391" s="49"/>
      <c r="L391" s="49"/>
      <c r="M391" s="49"/>
      <c r="N391" s="49"/>
    </row>
    <row r="392" ht="15.75" customHeight="1">
      <c r="A392" s="1"/>
      <c r="B392" s="93" t="s">
        <v>595</v>
      </c>
      <c r="C392" s="247">
        <v>2.0</v>
      </c>
      <c r="D392" s="78">
        <f t="shared" si="23"/>
        <v>2</v>
      </c>
      <c r="E392" s="249" t="s">
        <v>14</v>
      </c>
      <c r="F392" s="47"/>
      <c r="G392" s="93" t="s">
        <v>593</v>
      </c>
      <c r="H392" s="247">
        <v>3.2</v>
      </c>
      <c r="I392" s="78">
        <f t="shared" si="24"/>
        <v>3.2</v>
      </c>
      <c r="J392" s="249" t="s">
        <v>14</v>
      </c>
      <c r="K392" s="49"/>
      <c r="L392" s="49"/>
      <c r="M392" s="49"/>
      <c r="N392" s="49"/>
    </row>
    <row r="393" ht="15.75" customHeight="1">
      <c r="A393" s="1"/>
      <c r="B393" s="93" t="s">
        <v>196</v>
      </c>
      <c r="C393" s="247">
        <v>2.0</v>
      </c>
      <c r="D393" s="78">
        <f t="shared" si="23"/>
        <v>2</v>
      </c>
      <c r="E393" s="249" t="s">
        <v>14</v>
      </c>
      <c r="F393" s="47"/>
      <c r="G393" s="93" t="s">
        <v>595</v>
      </c>
      <c r="H393" s="247">
        <v>3.2</v>
      </c>
      <c r="I393" s="78">
        <f t="shared" si="24"/>
        <v>3.2</v>
      </c>
      <c r="J393" s="249" t="s">
        <v>14</v>
      </c>
      <c r="K393" s="49"/>
      <c r="L393" s="49"/>
      <c r="M393" s="49"/>
      <c r="N393" s="49"/>
    </row>
    <row r="394" ht="15.75" customHeight="1">
      <c r="A394" s="1"/>
      <c r="B394" s="138" t="s">
        <v>598</v>
      </c>
      <c r="C394" s="239">
        <v>2.0</v>
      </c>
      <c r="D394" s="146">
        <f t="shared" si="23"/>
        <v>2</v>
      </c>
      <c r="E394" s="242" t="s">
        <v>14</v>
      </c>
      <c r="F394" s="47"/>
      <c r="G394" s="93" t="s">
        <v>196</v>
      </c>
      <c r="H394" s="247">
        <v>3.2</v>
      </c>
      <c r="I394" s="78">
        <f t="shared" si="24"/>
        <v>3.2</v>
      </c>
      <c r="J394" s="249" t="s">
        <v>14</v>
      </c>
      <c r="K394" s="49"/>
      <c r="L394" s="49"/>
      <c r="M394" s="49"/>
      <c r="N394" s="49"/>
    </row>
    <row r="395" ht="15.75" customHeight="1">
      <c r="A395" s="1"/>
      <c r="B395" s="173" t="s">
        <v>600</v>
      </c>
      <c r="C395" s="545">
        <f>SUM(C390:C394)</f>
        <v>10</v>
      </c>
      <c r="D395" s="179">
        <f t="shared" si="23"/>
        <v>10</v>
      </c>
      <c r="E395" s="547" t="s">
        <v>14</v>
      </c>
      <c r="F395" s="47"/>
      <c r="G395" s="138" t="s">
        <v>598</v>
      </c>
      <c r="H395" s="239">
        <v>3.2</v>
      </c>
      <c r="I395" s="146">
        <f t="shared" si="24"/>
        <v>3.2</v>
      </c>
      <c r="J395" s="242" t="s">
        <v>14</v>
      </c>
      <c r="K395" s="49"/>
      <c r="L395" s="49"/>
      <c r="M395" s="49"/>
      <c r="N395" s="49"/>
    </row>
    <row r="396" ht="15.75" customHeight="1">
      <c r="A396" s="1"/>
      <c r="B396" s="173" t="s">
        <v>601</v>
      </c>
      <c r="C396" s="545">
        <f>D395*10</f>
        <v>100</v>
      </c>
      <c r="D396" s="179">
        <f t="shared" si="23"/>
        <v>100</v>
      </c>
      <c r="E396" s="547" t="s">
        <v>18</v>
      </c>
      <c r="F396" s="76"/>
      <c r="G396" s="173" t="s">
        <v>600</v>
      </c>
      <c r="H396" s="545">
        <f>SUM(H391:H395)</f>
        <v>16</v>
      </c>
      <c r="I396" s="179">
        <f t="shared" si="24"/>
        <v>16</v>
      </c>
      <c r="J396" s="547" t="s">
        <v>14</v>
      </c>
      <c r="K396" s="49"/>
      <c r="L396" s="49"/>
      <c r="M396" s="49"/>
      <c r="N396" s="49"/>
    </row>
    <row r="397" ht="15.75" customHeight="1">
      <c r="A397" s="1"/>
      <c r="B397" s="93" t="s">
        <v>31</v>
      </c>
      <c r="C397" s="247">
        <f>C377*40</f>
        <v>360</v>
      </c>
      <c r="D397" s="78">
        <f t="shared" si="23"/>
        <v>360</v>
      </c>
      <c r="E397" s="249" t="s">
        <v>18</v>
      </c>
      <c r="F397" s="515"/>
      <c r="G397" s="173" t="s">
        <v>601</v>
      </c>
      <c r="H397" s="545">
        <v>160.0</v>
      </c>
      <c r="I397" s="179">
        <f t="shared" si="24"/>
        <v>160</v>
      </c>
      <c r="J397" s="547" t="s">
        <v>18</v>
      </c>
      <c r="K397" s="49"/>
      <c r="L397" s="49"/>
      <c r="M397" s="49"/>
      <c r="N397" s="49"/>
    </row>
    <row r="398" ht="15.75" customHeight="1">
      <c r="A398" s="1"/>
      <c r="B398" s="93" t="s">
        <v>13</v>
      </c>
      <c r="C398" s="247">
        <v>0.4</v>
      </c>
      <c r="D398" s="78">
        <f t="shared" si="23"/>
        <v>0.4</v>
      </c>
      <c r="E398" s="249" t="s">
        <v>14</v>
      </c>
      <c r="F398" s="515"/>
      <c r="G398" s="93" t="s">
        <v>31</v>
      </c>
      <c r="H398" s="247">
        <v>720.0</v>
      </c>
      <c r="I398" s="78">
        <f t="shared" si="24"/>
        <v>720</v>
      </c>
      <c r="J398" s="249" t="s">
        <v>18</v>
      </c>
      <c r="K398" s="49"/>
      <c r="L398" s="49"/>
      <c r="M398" s="49"/>
      <c r="N398" s="49"/>
    </row>
    <row r="399" ht="15.75" customHeight="1">
      <c r="A399" s="1"/>
      <c r="B399" s="138" t="s">
        <v>603</v>
      </c>
      <c r="C399" s="247">
        <f>C377*5</f>
        <v>45</v>
      </c>
      <c r="D399" s="78">
        <f t="shared" si="23"/>
        <v>45</v>
      </c>
      <c r="E399" s="249" t="s">
        <v>18</v>
      </c>
      <c r="F399" s="207"/>
      <c r="G399" s="93" t="s">
        <v>13</v>
      </c>
      <c r="H399" s="247">
        <v>0.8</v>
      </c>
      <c r="I399" s="78">
        <f t="shared" si="24"/>
        <v>0.8</v>
      </c>
      <c r="J399" s="249" t="s">
        <v>14</v>
      </c>
      <c r="K399" s="49"/>
      <c r="L399" s="49"/>
      <c r="M399" s="49"/>
      <c r="N399" s="49"/>
    </row>
    <row r="400" ht="15.75" customHeight="1">
      <c r="A400" s="1"/>
      <c r="B400" s="105" t="s">
        <v>167</v>
      </c>
      <c r="C400" s="522">
        <v>0.2</v>
      </c>
      <c r="D400" s="56">
        <f>(C400*D398)/C398</f>
        <v>0.2</v>
      </c>
      <c r="E400" s="518" t="s">
        <v>5</v>
      </c>
      <c r="F400" s="207"/>
      <c r="G400" s="105" t="s">
        <v>167</v>
      </c>
      <c r="H400" s="522">
        <v>0.4</v>
      </c>
      <c r="I400" s="56">
        <f t="shared" si="24"/>
        <v>0.4</v>
      </c>
      <c r="J400" s="518" t="s">
        <v>5</v>
      </c>
      <c r="K400" s="49"/>
      <c r="L400" s="49"/>
      <c r="M400" s="49"/>
      <c r="N400" s="49"/>
    </row>
    <row r="401" ht="15.75" customHeight="1">
      <c r="A401" s="1"/>
      <c r="B401" s="68" t="s">
        <v>604</v>
      </c>
      <c r="C401" s="210">
        <v>2.0</v>
      </c>
      <c r="D401" s="155">
        <f t="shared" ref="D401:D402" si="25">(C401*D400)/C400</f>
        <v>2</v>
      </c>
      <c r="E401" s="216" t="s">
        <v>9</v>
      </c>
      <c r="F401" s="394" t="s">
        <v>115</v>
      </c>
      <c r="G401" s="68" t="s">
        <v>604</v>
      </c>
      <c r="H401" s="210">
        <v>4.0</v>
      </c>
      <c r="I401" s="155">
        <f t="shared" si="24"/>
        <v>4</v>
      </c>
      <c r="J401" s="216" t="s">
        <v>9</v>
      </c>
      <c r="K401" s="49"/>
      <c r="L401" s="49"/>
      <c r="M401" s="49"/>
      <c r="N401" s="49"/>
    </row>
    <row r="402" ht="15.75" customHeight="1">
      <c r="A402" s="1"/>
      <c r="B402" s="149" t="s">
        <v>114</v>
      </c>
      <c r="C402" s="272">
        <v>1.6</v>
      </c>
      <c r="D402" s="274">
        <f t="shared" si="25"/>
        <v>1.6</v>
      </c>
      <c r="E402" s="288" t="s">
        <v>5</v>
      </c>
      <c r="F402" s="76"/>
      <c r="G402" s="149" t="s">
        <v>114</v>
      </c>
      <c r="H402" s="272">
        <v>3.2</v>
      </c>
      <c r="I402" s="274">
        <f t="shared" si="24"/>
        <v>3.2</v>
      </c>
      <c r="J402" s="288" t="s">
        <v>5</v>
      </c>
      <c r="K402" s="49"/>
      <c r="L402" s="49"/>
      <c r="M402" s="49"/>
      <c r="N402" s="49"/>
    </row>
    <row r="403" ht="15.75" customHeight="1">
      <c r="A403" s="1"/>
      <c r="B403" s="299" t="s">
        <v>119</v>
      </c>
      <c r="C403" s="183" t="s">
        <v>47</v>
      </c>
      <c r="D403" s="184"/>
      <c r="E403" s="1"/>
      <c r="F403" s="49"/>
      <c r="G403" s="49"/>
      <c r="H403" s="49"/>
      <c r="I403" s="49"/>
      <c r="J403" s="49"/>
      <c r="K403" s="49"/>
      <c r="L403" s="49"/>
      <c r="M403" s="49"/>
      <c r="N403" s="49"/>
    </row>
    <row r="404" ht="15.75" customHeight="1">
      <c r="A404" s="1"/>
      <c r="B404" s="302" t="s">
        <v>502</v>
      </c>
      <c r="C404" s="303">
        <v>40796.0</v>
      </c>
      <c r="D404" s="184"/>
      <c r="E404" s="1"/>
      <c r="F404" s="49"/>
      <c r="G404" s="49"/>
      <c r="H404" s="49"/>
      <c r="I404" s="49"/>
      <c r="J404" s="49"/>
      <c r="K404" s="49"/>
      <c r="L404" s="49"/>
      <c r="M404" s="49"/>
      <c r="N404" s="49"/>
    </row>
    <row r="405" ht="15.75" customHeight="1">
      <c r="A405" s="1"/>
      <c r="B405" s="302" t="s">
        <v>50</v>
      </c>
      <c r="C405" s="728">
        <v>42333.0</v>
      </c>
      <c r="D405" s="184"/>
      <c r="E405" s="1"/>
      <c r="F405" s="49"/>
      <c r="G405" s="49"/>
      <c r="H405" s="49"/>
      <c r="I405" s="49"/>
      <c r="J405" s="49"/>
      <c r="K405" s="49"/>
      <c r="L405" s="49"/>
      <c r="M405" s="49"/>
      <c r="N405" s="49"/>
    </row>
    <row r="406" ht="15.75" customHeight="1">
      <c r="A406" s="1"/>
      <c r="B406" s="209" t="s">
        <v>609</v>
      </c>
      <c r="C406" s="730"/>
      <c r="D406" s="730"/>
      <c r="E406" s="731"/>
      <c r="F406" s="207"/>
      <c r="G406" s="49"/>
      <c r="H406" s="49"/>
      <c r="I406" s="49"/>
      <c r="J406" s="49"/>
      <c r="K406" s="207"/>
      <c r="L406" s="49"/>
      <c r="M406" s="49"/>
      <c r="N406" s="49"/>
    </row>
    <row r="407" ht="15.75" customHeight="1">
      <c r="A407" s="1"/>
      <c r="B407" s="173" t="s">
        <v>1</v>
      </c>
      <c r="C407" s="545">
        <v>50.0</v>
      </c>
      <c r="D407" s="179">
        <v>75.0</v>
      </c>
      <c r="E407" s="547" t="s">
        <v>5</v>
      </c>
      <c r="F407" s="207"/>
      <c r="G407" s="49"/>
      <c r="H407" s="49"/>
      <c r="I407" s="49"/>
      <c r="J407" s="49"/>
      <c r="K407" s="207"/>
      <c r="L407" s="49"/>
      <c r="M407" s="49"/>
      <c r="N407" s="49"/>
    </row>
    <row r="408" ht="15.75" customHeight="1">
      <c r="A408" s="1"/>
      <c r="B408" s="119" t="s">
        <v>557</v>
      </c>
      <c r="C408" s="523">
        <v>10.0</v>
      </c>
      <c r="D408" s="129">
        <f t="shared" ref="D408:D414" si="26">(C408*D407)/C407</f>
        <v>15</v>
      </c>
      <c r="E408" s="520" t="s">
        <v>14</v>
      </c>
      <c r="F408" s="44" t="s">
        <v>613</v>
      </c>
      <c r="G408" s="49"/>
      <c r="H408" s="49"/>
      <c r="I408" s="49"/>
      <c r="J408" s="49"/>
      <c r="K408" s="49"/>
      <c r="L408" s="49"/>
      <c r="M408" s="49"/>
      <c r="N408" s="49"/>
    </row>
    <row r="409" ht="15.75" customHeight="1">
      <c r="A409" s="1"/>
      <c r="B409" s="138" t="s">
        <v>616</v>
      </c>
      <c r="C409" s="239">
        <v>0.5</v>
      </c>
      <c r="D409" s="146">
        <f t="shared" si="26"/>
        <v>0.75</v>
      </c>
      <c r="E409" s="242" t="s">
        <v>5</v>
      </c>
      <c r="F409" s="76"/>
      <c r="G409" s="49"/>
      <c r="H409" s="49"/>
      <c r="I409" s="49"/>
      <c r="J409" s="49"/>
      <c r="K409" s="49"/>
      <c r="L409" s="49"/>
      <c r="M409" s="49"/>
      <c r="N409" s="49"/>
    </row>
    <row r="410" ht="15.75" customHeight="1">
      <c r="A410" s="1"/>
      <c r="B410" s="68" t="s">
        <v>570</v>
      </c>
      <c r="C410" s="210">
        <v>1.5</v>
      </c>
      <c r="D410" s="155">
        <f t="shared" si="26"/>
        <v>2.25</v>
      </c>
      <c r="E410" s="216" t="s">
        <v>5</v>
      </c>
      <c r="F410" s="524" t="s">
        <v>618</v>
      </c>
      <c r="G410" s="49"/>
      <c r="H410" s="49"/>
      <c r="I410" s="49"/>
      <c r="J410" s="49"/>
      <c r="K410" s="49"/>
      <c r="L410" s="49"/>
      <c r="M410" s="49"/>
      <c r="N410" s="49"/>
    </row>
    <row r="411" ht="15.75" customHeight="1">
      <c r="A411" s="1"/>
      <c r="B411" s="93" t="s">
        <v>97</v>
      </c>
      <c r="C411" s="247">
        <v>100.0</v>
      </c>
      <c r="D411" s="78">
        <f t="shared" si="26"/>
        <v>150</v>
      </c>
      <c r="E411" s="249" t="s">
        <v>18</v>
      </c>
      <c r="F411" s="47"/>
      <c r="G411" s="49"/>
      <c r="H411" s="49"/>
      <c r="I411" s="49"/>
      <c r="J411" s="49"/>
      <c r="K411" s="49"/>
      <c r="L411" s="49"/>
      <c r="M411" s="49"/>
      <c r="N411" s="49"/>
    </row>
    <row r="412" ht="15.75" customHeight="1">
      <c r="A412" s="1"/>
      <c r="B412" s="93" t="s">
        <v>345</v>
      </c>
      <c r="C412" s="247">
        <v>0.4</v>
      </c>
      <c r="D412" s="78">
        <f t="shared" si="26"/>
        <v>0.6</v>
      </c>
      <c r="E412" s="249" t="s">
        <v>14</v>
      </c>
      <c r="F412" s="47"/>
      <c r="G412" s="49"/>
      <c r="H412" s="49"/>
      <c r="I412" s="49"/>
      <c r="J412" s="49"/>
      <c r="K412" s="49"/>
      <c r="L412" s="49"/>
      <c r="M412" s="49"/>
      <c r="N412" s="49"/>
    </row>
    <row r="413" ht="15.75" customHeight="1">
      <c r="A413" s="1"/>
      <c r="B413" s="93" t="s">
        <v>311</v>
      </c>
      <c r="C413" s="247">
        <v>0.4</v>
      </c>
      <c r="D413" s="78">
        <f t="shared" si="26"/>
        <v>0.6</v>
      </c>
      <c r="E413" s="249" t="s">
        <v>14</v>
      </c>
      <c r="F413" s="47"/>
      <c r="G413" s="49"/>
      <c r="H413" s="49"/>
      <c r="I413" s="49"/>
      <c r="J413" s="49"/>
      <c r="K413" s="49"/>
      <c r="L413" s="49"/>
      <c r="M413" s="49"/>
      <c r="N413" s="49"/>
    </row>
    <row r="414" ht="15.75" customHeight="1">
      <c r="A414" s="1"/>
      <c r="B414" s="93" t="s">
        <v>83</v>
      </c>
      <c r="C414" s="247">
        <v>300.0</v>
      </c>
      <c r="D414" s="78">
        <f t="shared" si="26"/>
        <v>450</v>
      </c>
      <c r="E414" s="249" t="s">
        <v>18</v>
      </c>
      <c r="F414" s="47"/>
      <c r="G414" s="49"/>
      <c r="H414" s="49"/>
      <c r="I414" s="49"/>
      <c r="J414" s="49"/>
      <c r="K414" s="49"/>
      <c r="L414" s="49"/>
      <c r="M414" s="49"/>
      <c r="N414" s="49"/>
    </row>
    <row r="415" ht="15.75" customHeight="1">
      <c r="A415" s="1"/>
      <c r="B415" s="138" t="s">
        <v>84</v>
      </c>
      <c r="C415" s="239">
        <v>500.0</v>
      </c>
      <c r="D415" s="146">
        <f t="shared" ref="D415:D416" si="27">(C415*D416)/C416</f>
        <v>750</v>
      </c>
      <c r="E415" s="242" t="s">
        <v>18</v>
      </c>
      <c r="F415" s="47"/>
      <c r="G415" s="49"/>
      <c r="H415" s="49"/>
      <c r="I415" s="49"/>
      <c r="J415" s="49"/>
      <c r="K415" s="49"/>
      <c r="L415" s="49"/>
      <c r="M415" s="49"/>
      <c r="N415" s="49"/>
    </row>
    <row r="416" ht="15.75" customHeight="1">
      <c r="A416" s="1"/>
      <c r="B416" s="93" t="s">
        <v>103</v>
      </c>
      <c r="C416" s="247">
        <v>50.0</v>
      </c>
      <c r="D416" s="78">
        <f t="shared" si="27"/>
        <v>75</v>
      </c>
      <c r="E416" s="249" t="s">
        <v>18</v>
      </c>
      <c r="F416" s="47"/>
      <c r="G416" s="49"/>
      <c r="H416" s="49"/>
      <c r="I416" s="49"/>
      <c r="J416" s="49"/>
      <c r="K416" s="49"/>
      <c r="L416" s="49"/>
      <c r="M416" s="49"/>
      <c r="N416" s="49"/>
    </row>
    <row r="417" ht="15.75" customHeight="1">
      <c r="A417" s="1"/>
      <c r="B417" s="105" t="s">
        <v>101</v>
      </c>
      <c r="C417" s="522">
        <v>1.0</v>
      </c>
      <c r="D417" s="56">
        <f t="shared" ref="D417:D418" si="28">(C417*D414)/C414</f>
        <v>1.5</v>
      </c>
      <c r="E417" s="518" t="s">
        <v>5</v>
      </c>
      <c r="F417" s="76"/>
      <c r="G417" s="49"/>
      <c r="H417" s="49"/>
      <c r="I417" s="49"/>
      <c r="J417" s="49"/>
      <c r="K417" s="49"/>
      <c r="L417" s="49"/>
      <c r="M417" s="49"/>
      <c r="N417" s="49"/>
    </row>
    <row r="418" ht="15.75" customHeight="1">
      <c r="A418" s="1"/>
      <c r="B418" s="68" t="s">
        <v>323</v>
      </c>
      <c r="C418" s="210">
        <v>2.0</v>
      </c>
      <c r="D418" s="155">
        <f t="shared" si="28"/>
        <v>3</v>
      </c>
      <c r="E418" s="216" t="s">
        <v>14</v>
      </c>
      <c r="F418" s="44" t="s">
        <v>627</v>
      </c>
      <c r="G418" s="49"/>
      <c r="H418" s="49"/>
      <c r="I418" s="49"/>
      <c r="J418" s="49"/>
      <c r="K418" s="49"/>
      <c r="L418" s="49"/>
      <c r="M418" s="49"/>
      <c r="N418" s="49"/>
    </row>
    <row r="419" ht="15.75" customHeight="1">
      <c r="A419" s="1"/>
      <c r="B419" s="93" t="s">
        <v>325</v>
      </c>
      <c r="C419" s="247">
        <v>2.0</v>
      </c>
      <c r="D419" s="78">
        <f t="shared" ref="D419:D428" si="29">(C419*D418)/C418</f>
        <v>3</v>
      </c>
      <c r="E419" s="249" t="s">
        <v>14</v>
      </c>
      <c r="F419" s="47"/>
      <c r="G419" s="49"/>
      <c r="H419" s="49"/>
      <c r="I419" s="49"/>
      <c r="J419" s="49"/>
      <c r="K419" s="49"/>
      <c r="L419" s="49"/>
      <c r="M419" s="49"/>
      <c r="N419" s="49"/>
    </row>
    <row r="420" ht="15.75" customHeight="1">
      <c r="A420" s="1"/>
      <c r="B420" s="93" t="s">
        <v>593</v>
      </c>
      <c r="C420" s="247">
        <v>2.0</v>
      </c>
      <c r="D420" s="78">
        <f t="shared" si="29"/>
        <v>3</v>
      </c>
      <c r="E420" s="249" t="s">
        <v>14</v>
      </c>
      <c r="F420" s="47"/>
      <c r="G420" s="49"/>
      <c r="H420" s="49"/>
      <c r="I420" s="49"/>
      <c r="J420" s="49"/>
      <c r="K420" s="49"/>
      <c r="L420" s="49"/>
      <c r="M420" s="49"/>
      <c r="N420" s="49"/>
    </row>
    <row r="421" ht="15.75" customHeight="1">
      <c r="A421" s="1"/>
      <c r="B421" s="93" t="s">
        <v>628</v>
      </c>
      <c r="C421" s="247">
        <v>2.0</v>
      </c>
      <c r="D421" s="78">
        <f t="shared" si="29"/>
        <v>3</v>
      </c>
      <c r="E421" s="249" t="s">
        <v>14</v>
      </c>
      <c r="F421" s="47"/>
      <c r="G421" s="49"/>
      <c r="H421" s="49"/>
      <c r="I421" s="49"/>
      <c r="J421" s="49"/>
      <c r="K421" s="49"/>
      <c r="L421" s="49"/>
      <c r="M421" s="49"/>
      <c r="N421" s="49"/>
    </row>
    <row r="422" ht="15.75" customHeight="1">
      <c r="A422" s="1"/>
      <c r="B422" s="527" t="s">
        <v>629</v>
      </c>
      <c r="C422" s="740">
        <v>2.0</v>
      </c>
      <c r="D422" s="529">
        <f t="shared" si="29"/>
        <v>3</v>
      </c>
      <c r="E422" s="530" t="s">
        <v>14</v>
      </c>
      <c r="F422" s="47"/>
      <c r="G422" s="49"/>
      <c r="H422" s="49"/>
      <c r="I422" s="49"/>
      <c r="J422" s="49"/>
      <c r="K422" s="49"/>
      <c r="L422" s="49"/>
      <c r="M422" s="49"/>
      <c r="N422" s="49"/>
    </row>
    <row r="423" ht="15.75" customHeight="1">
      <c r="A423" s="1"/>
      <c r="B423" s="173" t="s">
        <v>630</v>
      </c>
      <c r="C423" s="545">
        <v>2.5</v>
      </c>
      <c r="D423" s="179">
        <f t="shared" si="29"/>
        <v>3.75</v>
      </c>
      <c r="E423" s="547" t="s">
        <v>14</v>
      </c>
      <c r="F423" s="76"/>
      <c r="G423" s="49"/>
      <c r="H423" s="49"/>
      <c r="I423" s="49"/>
      <c r="J423" s="49"/>
      <c r="K423" s="49"/>
      <c r="L423" s="49"/>
      <c r="M423" s="49"/>
      <c r="N423" s="49"/>
    </row>
    <row r="424" ht="15.75" customHeight="1">
      <c r="A424" s="1"/>
      <c r="B424" s="119" t="s">
        <v>157</v>
      </c>
      <c r="C424" s="523">
        <v>30.0</v>
      </c>
      <c r="D424" s="129">
        <f t="shared" si="29"/>
        <v>45</v>
      </c>
      <c r="E424" s="520" t="s">
        <v>5</v>
      </c>
      <c r="F424" s="524" t="s">
        <v>631</v>
      </c>
      <c r="G424" s="49"/>
      <c r="H424" s="49"/>
      <c r="I424" s="49"/>
      <c r="J424" s="49"/>
      <c r="K424" s="49"/>
      <c r="L424" s="49"/>
      <c r="M424" s="49"/>
      <c r="N424" s="49"/>
    </row>
    <row r="425" ht="15.75" customHeight="1">
      <c r="A425" s="1"/>
      <c r="B425" s="93" t="s">
        <v>13</v>
      </c>
      <c r="C425" s="247">
        <v>0.5</v>
      </c>
      <c r="D425" s="78">
        <f t="shared" si="29"/>
        <v>0.75</v>
      </c>
      <c r="E425" s="249" t="s">
        <v>14</v>
      </c>
      <c r="F425" s="47"/>
      <c r="G425" s="49"/>
      <c r="H425" s="49"/>
      <c r="I425" s="49"/>
      <c r="J425" s="49"/>
      <c r="K425" s="49"/>
      <c r="L425" s="49"/>
      <c r="M425" s="49"/>
      <c r="N425" s="49"/>
    </row>
    <row r="426" ht="15.75" customHeight="1">
      <c r="A426" s="1"/>
      <c r="B426" s="93" t="s">
        <v>31</v>
      </c>
      <c r="C426" s="247">
        <v>650.0</v>
      </c>
      <c r="D426" s="78">
        <f t="shared" si="29"/>
        <v>975</v>
      </c>
      <c r="E426" s="249" t="s">
        <v>18</v>
      </c>
      <c r="F426" s="47"/>
      <c r="G426" s="49"/>
      <c r="H426" s="49"/>
      <c r="I426" s="49"/>
      <c r="J426" s="49"/>
      <c r="K426" s="49"/>
      <c r="L426" s="49"/>
      <c r="M426" s="49"/>
      <c r="N426" s="49"/>
    </row>
    <row r="427" ht="15.75" customHeight="1">
      <c r="A427" s="1"/>
      <c r="B427" s="93" t="s">
        <v>634</v>
      </c>
      <c r="C427" s="247">
        <v>2.0</v>
      </c>
      <c r="D427" s="78">
        <f t="shared" si="29"/>
        <v>3</v>
      </c>
      <c r="E427" s="249" t="s">
        <v>9</v>
      </c>
      <c r="F427" s="47"/>
      <c r="G427" s="49"/>
      <c r="H427" s="49"/>
      <c r="I427" s="49"/>
      <c r="J427" s="49"/>
      <c r="K427" s="49"/>
      <c r="L427" s="49"/>
      <c r="M427" s="49"/>
      <c r="N427" s="49"/>
    </row>
    <row r="428" ht="15.75" customHeight="1">
      <c r="A428" s="1"/>
      <c r="B428" s="149" t="s">
        <v>335</v>
      </c>
      <c r="C428" s="272">
        <v>2.0</v>
      </c>
      <c r="D428" s="274">
        <f t="shared" si="29"/>
        <v>3</v>
      </c>
      <c r="E428" s="288" t="s">
        <v>5</v>
      </c>
      <c r="F428" s="76"/>
      <c r="G428" s="49"/>
      <c r="H428" s="49"/>
      <c r="I428" s="49"/>
      <c r="J428" s="49"/>
      <c r="K428" s="49"/>
      <c r="L428" s="49"/>
      <c r="M428" s="49"/>
      <c r="N428" s="49"/>
    </row>
    <row r="429" ht="15.75" customHeight="1">
      <c r="A429" s="1"/>
      <c r="B429" s="299" t="s">
        <v>119</v>
      </c>
      <c r="C429" s="183" t="s">
        <v>47</v>
      </c>
      <c r="D429" s="184"/>
      <c r="E429" s="49"/>
      <c r="F429" s="49"/>
      <c r="G429" s="49"/>
      <c r="H429" s="49"/>
      <c r="I429" s="49"/>
      <c r="J429" s="49"/>
      <c r="K429" s="49"/>
      <c r="L429" s="49"/>
      <c r="M429" s="49"/>
      <c r="N429" s="49"/>
    </row>
    <row r="430" ht="15.75" customHeight="1">
      <c r="A430" s="1"/>
      <c r="B430" s="302" t="s">
        <v>49</v>
      </c>
      <c r="C430" s="303">
        <v>40796.0</v>
      </c>
      <c r="D430" s="184"/>
      <c r="E430" s="49"/>
      <c r="F430" s="49"/>
      <c r="G430" s="49"/>
      <c r="H430" s="49"/>
      <c r="I430" s="49"/>
      <c r="J430" s="49"/>
      <c r="K430" s="49"/>
      <c r="L430" s="49"/>
      <c r="M430" s="49"/>
      <c r="N430" s="49"/>
    </row>
    <row r="431" ht="15.75" customHeight="1">
      <c r="A431" s="1"/>
      <c r="B431" s="302" t="s">
        <v>50</v>
      </c>
      <c r="C431" s="303">
        <v>41812.0</v>
      </c>
      <c r="D431" s="184"/>
      <c r="E431" s="49"/>
      <c r="F431" s="49"/>
      <c r="G431" s="49"/>
      <c r="H431" s="49"/>
      <c r="I431" s="49"/>
      <c r="J431" s="49"/>
      <c r="K431" s="49"/>
      <c r="L431" s="49"/>
      <c r="M431" s="49"/>
      <c r="N431" s="49"/>
    </row>
    <row r="432" ht="15.75" customHeight="1">
      <c r="A432" s="1"/>
      <c r="B432" s="1"/>
      <c r="C432" s="1"/>
      <c r="D432" s="184"/>
      <c r="E432" s="1"/>
      <c r="F432" s="1"/>
      <c r="G432" s="49"/>
      <c r="H432" s="49"/>
      <c r="I432" s="49"/>
      <c r="J432" s="49"/>
      <c r="K432" s="49"/>
      <c r="L432" s="49"/>
      <c r="M432" s="49"/>
      <c r="N432" s="49"/>
    </row>
    <row r="433" ht="15.75" customHeight="1">
      <c r="A433" s="1"/>
      <c r="B433" s="209" t="s">
        <v>638</v>
      </c>
      <c r="C433" s="18"/>
      <c r="D433" s="18"/>
      <c r="E433" s="19"/>
      <c r="F433" s="207"/>
      <c r="G433" s="49"/>
      <c r="H433" s="49"/>
      <c r="I433" s="49"/>
      <c r="J433" s="49"/>
      <c r="K433" s="49"/>
      <c r="L433" s="49"/>
      <c r="M433" s="49"/>
      <c r="N433" s="49"/>
    </row>
    <row r="434" ht="15.75" customHeight="1">
      <c r="A434" s="1"/>
      <c r="B434" s="51" t="s">
        <v>1</v>
      </c>
      <c r="C434" s="53">
        <v>90.0</v>
      </c>
      <c r="D434" s="513">
        <v>90.0</v>
      </c>
      <c r="E434" s="514" t="s">
        <v>5</v>
      </c>
      <c r="F434" s="207"/>
      <c r="G434" s="49"/>
      <c r="H434" s="49"/>
      <c r="I434" s="49"/>
      <c r="J434" s="49"/>
      <c r="K434" s="49"/>
      <c r="L434" s="49"/>
      <c r="M434" s="49"/>
      <c r="N434" s="49"/>
    </row>
    <row r="435" ht="15.75" customHeight="1">
      <c r="A435" s="1"/>
      <c r="B435" s="68" t="s">
        <v>557</v>
      </c>
      <c r="C435" s="210">
        <v>10.0</v>
      </c>
      <c r="D435" s="155">
        <f t="shared" ref="D435:D464" si="30">(C435*D434)/C434</f>
        <v>10</v>
      </c>
      <c r="E435" s="216" t="s">
        <v>14</v>
      </c>
      <c r="F435" s="194" t="s">
        <v>613</v>
      </c>
      <c r="G435" s="49"/>
      <c r="H435" s="49"/>
      <c r="I435" s="49"/>
      <c r="J435" s="49"/>
      <c r="K435" s="49"/>
      <c r="L435" s="49"/>
      <c r="M435" s="49"/>
      <c r="N435" s="49"/>
    </row>
    <row r="436" ht="15.75" customHeight="1">
      <c r="A436" s="1"/>
      <c r="B436" s="138" t="s">
        <v>616</v>
      </c>
      <c r="C436" s="239">
        <v>1.0</v>
      </c>
      <c r="D436" s="146">
        <f t="shared" si="30"/>
        <v>1</v>
      </c>
      <c r="E436" s="242" t="s">
        <v>5</v>
      </c>
      <c r="F436" s="102"/>
      <c r="G436" s="49"/>
      <c r="H436" s="49"/>
      <c r="I436" s="49"/>
      <c r="J436" s="49"/>
      <c r="K436" s="49"/>
      <c r="L436" s="49"/>
      <c r="M436" s="49"/>
      <c r="N436" s="49"/>
    </row>
    <row r="437" ht="15.75" customHeight="1">
      <c r="A437" s="1"/>
      <c r="B437" s="68" t="s">
        <v>91</v>
      </c>
      <c r="C437" s="210">
        <v>2.0</v>
      </c>
      <c r="D437" s="155">
        <f t="shared" si="30"/>
        <v>2</v>
      </c>
      <c r="E437" s="216" t="s">
        <v>5</v>
      </c>
      <c r="F437" s="749" t="s">
        <v>642</v>
      </c>
      <c r="G437" s="49"/>
      <c r="H437" s="49"/>
      <c r="I437" s="49"/>
      <c r="J437" s="49"/>
      <c r="K437" s="49"/>
      <c r="L437" s="49"/>
      <c r="M437" s="49"/>
      <c r="N437" s="49"/>
    </row>
    <row r="438" ht="15.75" customHeight="1">
      <c r="A438" s="1"/>
      <c r="B438" s="93" t="s">
        <v>97</v>
      </c>
      <c r="C438" s="247">
        <v>100.0</v>
      </c>
      <c r="D438" s="78">
        <f t="shared" si="30"/>
        <v>100</v>
      </c>
      <c r="E438" s="249" t="s">
        <v>18</v>
      </c>
      <c r="F438" s="63"/>
      <c r="G438" s="49"/>
      <c r="H438" s="49"/>
      <c r="I438" s="49"/>
      <c r="J438" s="49"/>
      <c r="K438" s="49"/>
      <c r="L438" s="49"/>
      <c r="M438" s="49"/>
      <c r="N438" s="49"/>
    </row>
    <row r="439" ht="15.75" customHeight="1">
      <c r="A439" s="1"/>
      <c r="B439" s="93" t="s">
        <v>103</v>
      </c>
      <c r="C439" s="247">
        <v>75.0</v>
      </c>
      <c r="D439" s="78">
        <f t="shared" si="30"/>
        <v>75</v>
      </c>
      <c r="E439" s="249" t="s">
        <v>18</v>
      </c>
      <c r="F439" s="63"/>
      <c r="G439" s="49"/>
      <c r="H439" s="49"/>
      <c r="I439" s="49"/>
      <c r="J439" s="49"/>
      <c r="K439" s="49"/>
      <c r="L439" s="49"/>
      <c r="M439" s="49"/>
      <c r="N439" s="49"/>
    </row>
    <row r="440" ht="15.75" customHeight="1">
      <c r="A440" s="1"/>
      <c r="B440" s="105" t="s">
        <v>101</v>
      </c>
      <c r="C440" s="522">
        <v>1.0</v>
      </c>
      <c r="D440" s="56">
        <f t="shared" si="30"/>
        <v>1</v>
      </c>
      <c r="E440" s="518" t="s">
        <v>5</v>
      </c>
      <c r="F440" s="102"/>
      <c r="G440" s="49"/>
      <c r="H440" s="49"/>
      <c r="I440" s="49"/>
      <c r="J440" s="49"/>
      <c r="K440" s="49"/>
      <c r="L440" s="49"/>
      <c r="M440" s="49"/>
      <c r="N440" s="49"/>
    </row>
    <row r="441" ht="15.75" customHeight="1">
      <c r="A441" s="1"/>
      <c r="B441" s="68" t="s">
        <v>323</v>
      </c>
      <c r="C441" s="210">
        <v>5.0</v>
      </c>
      <c r="D441" s="155">
        <f t="shared" si="30"/>
        <v>5</v>
      </c>
      <c r="E441" s="216" t="s">
        <v>14</v>
      </c>
      <c r="F441" s="194" t="s">
        <v>645</v>
      </c>
      <c r="G441" s="49"/>
      <c r="H441" s="49"/>
      <c r="I441" s="49"/>
      <c r="J441" s="49"/>
      <c r="K441" s="49"/>
      <c r="L441" s="49"/>
      <c r="M441" s="49"/>
      <c r="N441" s="49"/>
    </row>
    <row r="442" ht="15.75" customHeight="1">
      <c r="A442" s="1"/>
      <c r="B442" s="93" t="s">
        <v>325</v>
      </c>
      <c r="C442" s="247">
        <v>5.0</v>
      </c>
      <c r="D442" s="78">
        <f t="shared" si="30"/>
        <v>5</v>
      </c>
      <c r="E442" s="249" t="s">
        <v>14</v>
      </c>
      <c r="F442" s="63"/>
      <c r="G442" s="49"/>
      <c r="H442" s="49"/>
      <c r="I442" s="49"/>
      <c r="J442" s="49"/>
      <c r="K442" s="49"/>
      <c r="L442" s="49"/>
      <c r="M442" s="49"/>
      <c r="N442" s="49"/>
    </row>
    <row r="443" ht="15.75" customHeight="1">
      <c r="A443" s="1"/>
      <c r="B443" s="93" t="s">
        <v>327</v>
      </c>
      <c r="C443" s="247">
        <v>5.0</v>
      </c>
      <c r="D443" s="78">
        <f t="shared" si="30"/>
        <v>5</v>
      </c>
      <c r="E443" s="249" t="s">
        <v>14</v>
      </c>
      <c r="F443" s="63"/>
      <c r="G443" s="49"/>
      <c r="H443" s="49"/>
      <c r="I443" s="49"/>
      <c r="J443" s="49"/>
      <c r="K443" s="49"/>
      <c r="L443" s="49"/>
      <c r="M443" s="49"/>
      <c r="N443" s="49"/>
    </row>
    <row r="444" ht="15.75" customHeight="1">
      <c r="A444" s="1"/>
      <c r="B444" s="527" t="s">
        <v>629</v>
      </c>
      <c r="C444" s="528">
        <v>5.0</v>
      </c>
      <c r="D444" s="529">
        <f t="shared" si="30"/>
        <v>5</v>
      </c>
      <c r="E444" s="530" t="s">
        <v>14</v>
      </c>
      <c r="F444" s="63"/>
      <c r="G444" s="49"/>
      <c r="H444" s="49"/>
      <c r="I444" s="49"/>
      <c r="J444" s="49"/>
      <c r="K444" s="49"/>
      <c r="L444" s="49"/>
      <c r="M444" s="49"/>
      <c r="N444" s="49"/>
    </row>
    <row r="445" ht="15.75" customHeight="1">
      <c r="A445" s="1"/>
      <c r="B445" s="68" t="s">
        <v>330</v>
      </c>
      <c r="C445" s="210">
        <v>5.0</v>
      </c>
      <c r="D445" s="155">
        <f t="shared" si="30"/>
        <v>5</v>
      </c>
      <c r="E445" s="216" t="s">
        <v>14</v>
      </c>
      <c r="F445" s="63"/>
      <c r="G445" s="49"/>
      <c r="H445" s="49"/>
      <c r="I445" s="49"/>
      <c r="J445" s="49"/>
      <c r="K445" s="49"/>
      <c r="L445" s="49"/>
      <c r="M445" s="49"/>
      <c r="N445" s="49"/>
    </row>
    <row r="446" ht="15.75" customHeight="1">
      <c r="A446" s="1"/>
      <c r="B446" s="93" t="s">
        <v>13</v>
      </c>
      <c r="C446" s="247">
        <v>0.75</v>
      </c>
      <c r="D446" s="78">
        <f t="shared" si="30"/>
        <v>0.75</v>
      </c>
      <c r="E446" s="249" t="s">
        <v>14</v>
      </c>
      <c r="F446" s="63"/>
      <c r="G446" s="49"/>
      <c r="H446" s="49"/>
      <c r="I446" s="49"/>
      <c r="J446" s="49"/>
      <c r="K446" s="49"/>
      <c r="L446" s="49"/>
      <c r="M446" s="49"/>
      <c r="N446" s="49"/>
    </row>
    <row r="447" ht="15.75" customHeight="1">
      <c r="A447" s="1"/>
      <c r="B447" s="93" t="s">
        <v>31</v>
      </c>
      <c r="C447" s="247">
        <v>900.0</v>
      </c>
      <c r="D447" s="78">
        <f t="shared" si="30"/>
        <v>900</v>
      </c>
      <c r="E447" s="249" t="s">
        <v>18</v>
      </c>
      <c r="F447" s="63"/>
      <c r="G447" s="49"/>
      <c r="H447" s="49"/>
      <c r="I447" s="49"/>
      <c r="J447" s="49"/>
      <c r="K447" s="49"/>
      <c r="L447" s="49"/>
      <c r="M447" s="49"/>
      <c r="N447" s="49"/>
    </row>
    <row r="448" ht="15.75" customHeight="1">
      <c r="A448" s="1"/>
      <c r="B448" s="138" t="s">
        <v>157</v>
      </c>
      <c r="C448" s="239">
        <v>25.0</v>
      </c>
      <c r="D448" s="146">
        <f t="shared" si="30"/>
        <v>25</v>
      </c>
      <c r="E448" s="242" t="s">
        <v>5</v>
      </c>
      <c r="F448" s="102"/>
      <c r="G448" s="49"/>
      <c r="H448" s="49"/>
      <c r="I448" s="49"/>
      <c r="J448" s="49"/>
      <c r="K448" s="49"/>
      <c r="L448" s="49"/>
      <c r="M448" s="49"/>
      <c r="N448" s="49"/>
    </row>
    <row r="449" ht="15.75" customHeight="1">
      <c r="A449" s="1"/>
      <c r="B449" s="751" t="s">
        <v>649</v>
      </c>
      <c r="C449" s="752">
        <v>35.0</v>
      </c>
      <c r="D449" s="753">
        <f t="shared" si="30"/>
        <v>35</v>
      </c>
      <c r="E449" s="754" t="s">
        <v>5</v>
      </c>
      <c r="F449" s="524" t="s">
        <v>651</v>
      </c>
      <c r="G449" s="49"/>
      <c r="H449" s="49"/>
      <c r="I449" s="49"/>
      <c r="J449" s="49"/>
      <c r="K449" s="49"/>
      <c r="L449" s="49"/>
      <c r="M449" s="49"/>
      <c r="N449" s="49"/>
    </row>
    <row r="450" ht="15.75" customHeight="1">
      <c r="A450" s="1"/>
      <c r="B450" s="68" t="s">
        <v>91</v>
      </c>
      <c r="C450" s="210">
        <v>1.5</v>
      </c>
      <c r="D450" s="155">
        <f t="shared" si="30"/>
        <v>1.5</v>
      </c>
      <c r="E450" s="216" t="s">
        <v>5</v>
      </c>
      <c r="F450" s="47"/>
      <c r="G450" s="49"/>
      <c r="H450" s="49"/>
      <c r="I450" s="49"/>
      <c r="J450" s="49"/>
      <c r="K450" s="49"/>
      <c r="L450" s="49"/>
      <c r="M450" s="49"/>
      <c r="N450" s="49"/>
    </row>
    <row r="451" ht="15.75" customHeight="1">
      <c r="A451" s="1"/>
      <c r="B451" s="119" t="s">
        <v>97</v>
      </c>
      <c r="C451" s="523">
        <v>100.0</v>
      </c>
      <c r="D451" s="129">
        <f t="shared" si="30"/>
        <v>100</v>
      </c>
      <c r="E451" s="520" t="s">
        <v>18</v>
      </c>
      <c r="F451" s="47"/>
      <c r="G451" s="49"/>
      <c r="H451" s="49"/>
      <c r="I451" s="49"/>
      <c r="J451" s="49"/>
      <c r="K451" s="49"/>
      <c r="L451" s="49"/>
      <c r="M451" s="49"/>
      <c r="N451" s="49"/>
    </row>
    <row r="452" ht="15.75" customHeight="1">
      <c r="A452" s="1"/>
      <c r="B452" s="350" t="s">
        <v>103</v>
      </c>
      <c r="C452" s="198">
        <v>75.0</v>
      </c>
      <c r="D452" s="201">
        <f t="shared" si="30"/>
        <v>75</v>
      </c>
      <c r="E452" s="352" t="s">
        <v>18</v>
      </c>
      <c r="F452" s="47"/>
      <c r="G452" s="49"/>
      <c r="H452" s="49"/>
      <c r="I452" s="49"/>
      <c r="J452" s="49"/>
      <c r="K452" s="49"/>
      <c r="L452" s="49"/>
      <c r="M452" s="49"/>
      <c r="N452" s="49"/>
    </row>
    <row r="453" ht="15.75" customHeight="1">
      <c r="A453" s="1"/>
      <c r="B453" s="350" t="s">
        <v>101</v>
      </c>
      <c r="C453" s="198">
        <v>1.0</v>
      </c>
      <c r="D453" s="201">
        <f t="shared" si="30"/>
        <v>1</v>
      </c>
      <c r="E453" s="352" t="s">
        <v>5</v>
      </c>
      <c r="F453" s="76"/>
      <c r="G453" s="49"/>
      <c r="H453" s="49"/>
      <c r="I453" s="49"/>
      <c r="J453" s="49"/>
      <c r="K453" s="49"/>
      <c r="L453" s="49"/>
      <c r="M453" s="49"/>
      <c r="N453" s="49"/>
    </row>
    <row r="454" ht="15.75" customHeight="1">
      <c r="A454" s="1"/>
      <c r="B454" s="525" t="s">
        <v>321</v>
      </c>
      <c r="C454" s="314">
        <v>250.0</v>
      </c>
      <c r="D454" s="526">
        <f t="shared" si="30"/>
        <v>250</v>
      </c>
      <c r="E454" s="329" t="s">
        <v>18</v>
      </c>
      <c r="F454" s="524" t="s">
        <v>653</v>
      </c>
      <c r="G454" s="49"/>
      <c r="H454" s="49"/>
      <c r="I454" s="49"/>
      <c r="J454" s="49"/>
      <c r="K454" s="49"/>
      <c r="L454" s="49"/>
      <c r="M454" s="49"/>
      <c r="N454" s="49"/>
    </row>
    <row r="455" ht="15.75" customHeight="1">
      <c r="A455" s="1"/>
      <c r="B455" s="93" t="s">
        <v>39</v>
      </c>
      <c r="C455" s="247">
        <v>200.0</v>
      </c>
      <c r="D455" s="78">
        <f t="shared" si="30"/>
        <v>200</v>
      </c>
      <c r="E455" s="249" t="s">
        <v>18</v>
      </c>
      <c r="F455" s="47"/>
      <c r="G455" s="49"/>
      <c r="H455" s="49"/>
      <c r="I455" s="49"/>
      <c r="J455" s="49"/>
      <c r="K455" s="49"/>
      <c r="L455" s="49"/>
      <c r="M455" s="49"/>
      <c r="N455" s="49"/>
    </row>
    <row r="456" ht="18.0" customHeight="1">
      <c r="A456" s="1"/>
      <c r="B456" s="105" t="s">
        <v>149</v>
      </c>
      <c r="C456" s="522">
        <v>250.0</v>
      </c>
      <c r="D456" s="56">
        <f t="shared" si="30"/>
        <v>250</v>
      </c>
      <c r="E456" s="518" t="s">
        <v>18</v>
      </c>
      <c r="F456" s="76"/>
      <c r="G456" s="49"/>
      <c r="H456" s="49"/>
      <c r="I456" s="49"/>
      <c r="J456" s="49"/>
      <c r="K456" s="49"/>
      <c r="L456" s="49"/>
      <c r="M456" s="49"/>
      <c r="N456" s="49"/>
    </row>
    <row r="457" ht="18.0" customHeight="1">
      <c r="A457" s="1"/>
      <c r="B457" s="354" t="s">
        <v>655</v>
      </c>
      <c r="C457" s="383">
        <v>200.0</v>
      </c>
      <c r="D457" s="265">
        <f t="shared" si="30"/>
        <v>200</v>
      </c>
      <c r="E457" s="356" t="s">
        <v>18</v>
      </c>
      <c r="F457" s="757" t="s">
        <v>657</v>
      </c>
      <c r="G457" s="49"/>
      <c r="H457" s="49"/>
      <c r="I457" s="49"/>
      <c r="J457" s="49"/>
      <c r="K457" s="49"/>
      <c r="L457" s="49"/>
      <c r="M457" s="49"/>
      <c r="N457" s="49"/>
    </row>
    <row r="458" ht="18.0" customHeight="1">
      <c r="A458" s="1"/>
      <c r="B458" s="68" t="s">
        <v>660</v>
      </c>
      <c r="C458" s="210">
        <v>28.0</v>
      </c>
      <c r="D458" s="164">
        <f t="shared" si="30"/>
        <v>28</v>
      </c>
      <c r="E458" s="216" t="s">
        <v>14</v>
      </c>
      <c r="F458" s="524" t="s">
        <v>662</v>
      </c>
      <c r="G458" s="49"/>
      <c r="H458" s="49"/>
      <c r="I458" s="49"/>
      <c r="J458" s="49"/>
      <c r="K458" s="49"/>
      <c r="L458" s="49"/>
      <c r="M458" s="49"/>
      <c r="N458" s="49"/>
    </row>
    <row r="459" ht="18.0" customHeight="1">
      <c r="A459" s="1"/>
      <c r="B459" s="105" t="s">
        <v>663</v>
      </c>
      <c r="C459" s="522">
        <v>0.4</v>
      </c>
      <c r="D459" s="257">
        <f t="shared" si="30"/>
        <v>0.4</v>
      </c>
      <c r="E459" s="518" t="s">
        <v>14</v>
      </c>
      <c r="F459" s="76"/>
      <c r="G459" s="49"/>
      <c r="H459" s="49"/>
      <c r="I459" s="49"/>
      <c r="J459" s="49"/>
      <c r="K459" s="49"/>
      <c r="L459" s="49"/>
      <c r="M459" s="49"/>
      <c r="N459" s="49"/>
    </row>
    <row r="460" ht="18.0" customHeight="1">
      <c r="A460" s="1"/>
      <c r="B460" s="119" t="s">
        <v>13</v>
      </c>
      <c r="C460" s="523">
        <v>0.75</v>
      </c>
      <c r="D460" s="158">
        <f t="shared" si="30"/>
        <v>0.75</v>
      </c>
      <c r="E460" s="520" t="s">
        <v>14</v>
      </c>
      <c r="F460" s="524" t="s">
        <v>666</v>
      </c>
      <c r="G460" s="49"/>
      <c r="H460" s="49"/>
      <c r="I460" s="49"/>
      <c r="J460" s="49"/>
      <c r="K460" s="49"/>
      <c r="L460" s="49"/>
      <c r="M460" s="49"/>
      <c r="N460" s="49"/>
    </row>
    <row r="461" ht="18.0" customHeight="1">
      <c r="A461" s="1"/>
      <c r="B461" s="93" t="s">
        <v>31</v>
      </c>
      <c r="C461" s="247">
        <v>550.0</v>
      </c>
      <c r="D461" s="201">
        <f t="shared" si="30"/>
        <v>550</v>
      </c>
      <c r="E461" s="249" t="s">
        <v>18</v>
      </c>
      <c r="F461" s="47"/>
      <c r="G461" s="49"/>
      <c r="H461" s="49"/>
      <c r="I461" s="49"/>
      <c r="J461" s="49"/>
      <c r="K461" s="49"/>
      <c r="L461" s="49"/>
      <c r="M461" s="49"/>
      <c r="N461" s="49"/>
    </row>
    <row r="462" ht="18.0" customHeight="1">
      <c r="A462" s="1"/>
      <c r="B462" s="138" t="s">
        <v>469</v>
      </c>
      <c r="C462" s="239">
        <v>10.0</v>
      </c>
      <c r="D462" s="265">
        <f t="shared" si="30"/>
        <v>10</v>
      </c>
      <c r="E462" s="242" t="s">
        <v>5</v>
      </c>
      <c r="F462" s="76"/>
      <c r="G462" s="49"/>
      <c r="H462" s="49"/>
      <c r="I462" s="49"/>
      <c r="J462" s="49"/>
      <c r="K462" s="49"/>
      <c r="L462" s="49"/>
      <c r="M462" s="49"/>
      <c r="N462" s="49"/>
    </row>
    <row r="463" ht="18.0" customHeight="1">
      <c r="A463" s="1"/>
      <c r="B463" s="173" t="s">
        <v>216</v>
      </c>
      <c r="C463" s="545">
        <v>0.5</v>
      </c>
      <c r="D463" s="179">
        <f t="shared" si="30"/>
        <v>0.5</v>
      </c>
      <c r="E463" s="547" t="s">
        <v>14</v>
      </c>
      <c r="F463" s="764" t="s">
        <v>670</v>
      </c>
      <c r="G463" s="49"/>
      <c r="H463" s="49"/>
      <c r="I463" s="49"/>
      <c r="J463" s="49"/>
      <c r="K463" s="49"/>
      <c r="L463" s="49"/>
      <c r="M463" s="49"/>
      <c r="N463" s="49"/>
    </row>
    <row r="464" ht="18.0" customHeight="1">
      <c r="A464" s="1"/>
      <c r="B464" s="173" t="s">
        <v>335</v>
      </c>
      <c r="C464" s="545">
        <v>2.5</v>
      </c>
      <c r="D464" s="179">
        <f t="shared" si="30"/>
        <v>2.5</v>
      </c>
      <c r="E464" s="547" t="s">
        <v>5</v>
      </c>
      <c r="F464" s="765" t="s">
        <v>673</v>
      </c>
      <c r="G464" s="49"/>
      <c r="H464" s="49"/>
      <c r="I464" s="49"/>
      <c r="J464" s="49"/>
      <c r="K464" s="49"/>
      <c r="L464" s="49"/>
      <c r="M464" s="49"/>
      <c r="N464" s="49"/>
    </row>
    <row r="465" ht="18.0" customHeight="1">
      <c r="A465" s="1"/>
      <c r="B465" s="299" t="s">
        <v>119</v>
      </c>
      <c r="C465" s="183" t="s">
        <v>47</v>
      </c>
      <c r="D465" s="184"/>
      <c r="E465" s="49"/>
      <c r="F465" s="49"/>
      <c r="G465" s="49"/>
      <c r="H465" s="49"/>
      <c r="I465" s="49"/>
      <c r="J465" s="49"/>
      <c r="K465" s="49"/>
      <c r="L465" s="49"/>
      <c r="M465" s="49"/>
      <c r="N465" s="49"/>
    </row>
    <row r="466" ht="15.75" customHeight="1">
      <c r="A466" s="1"/>
      <c r="B466" s="302" t="s">
        <v>49</v>
      </c>
      <c r="C466" s="303">
        <v>41817.0</v>
      </c>
      <c r="D466" s="184"/>
      <c r="E466" s="49"/>
      <c r="F466" s="49"/>
      <c r="G466" s="49"/>
      <c r="H466" s="49"/>
      <c r="I466" s="49"/>
      <c r="J466" s="49"/>
      <c r="K466" s="49"/>
      <c r="L466" s="49"/>
      <c r="M466" s="49"/>
      <c r="N466" s="49"/>
    </row>
    <row r="467" ht="15.75" customHeight="1">
      <c r="A467" s="1"/>
      <c r="B467" s="302" t="s">
        <v>50</v>
      </c>
      <c r="C467" s="303"/>
      <c r="D467" s="184"/>
      <c r="E467" s="49"/>
      <c r="F467" s="49"/>
      <c r="G467" s="49"/>
      <c r="H467" s="49"/>
      <c r="I467" s="49"/>
      <c r="J467" s="49"/>
      <c r="K467" s="49"/>
      <c r="L467" s="49"/>
      <c r="M467" s="49"/>
      <c r="N467" s="49"/>
    </row>
    <row r="468" ht="15.75" customHeight="1">
      <c r="A468" s="1"/>
      <c r="B468" s="766" t="s">
        <v>677</v>
      </c>
      <c r="C468" s="18"/>
      <c r="D468" s="18"/>
      <c r="E468" s="19"/>
      <c r="F468" s="1"/>
      <c r="G468" s="49"/>
      <c r="H468" s="49"/>
      <c r="I468" s="49"/>
      <c r="J468" s="49"/>
      <c r="K468" s="49"/>
      <c r="L468" s="49"/>
      <c r="M468" s="49"/>
      <c r="N468" s="49"/>
    </row>
    <row r="469" ht="15.75" customHeight="1">
      <c r="A469" s="1"/>
      <c r="B469" s="173" t="s">
        <v>1</v>
      </c>
      <c r="C469" s="545">
        <v>110.0</v>
      </c>
      <c r="D469" s="179">
        <v>66.0</v>
      </c>
      <c r="E469" s="547" t="s">
        <v>5</v>
      </c>
      <c r="F469" s="1"/>
      <c r="G469" s="49"/>
      <c r="H469" s="49"/>
      <c r="I469" s="49"/>
      <c r="J469" s="49"/>
      <c r="K469" s="49"/>
      <c r="L469" s="49"/>
      <c r="M469" s="49"/>
      <c r="N469" s="49"/>
    </row>
    <row r="470" ht="15.75" customHeight="1">
      <c r="A470" s="1"/>
      <c r="B470" s="119" t="s">
        <v>183</v>
      </c>
      <c r="C470" s="523">
        <v>16.0</v>
      </c>
      <c r="D470" s="129">
        <f>(C470*D469)/C469</f>
        <v>9.6</v>
      </c>
      <c r="E470" s="520" t="s">
        <v>14</v>
      </c>
      <c r="F470" s="1"/>
      <c r="G470" s="49"/>
      <c r="H470" s="49"/>
      <c r="I470" s="49"/>
      <c r="J470" s="49"/>
      <c r="K470" s="49"/>
      <c r="L470" s="49"/>
      <c r="M470" s="49"/>
      <c r="N470" s="49"/>
    </row>
    <row r="471" ht="15.75" customHeight="1">
      <c r="A471" s="1"/>
      <c r="B471" s="93" t="s">
        <v>91</v>
      </c>
      <c r="C471" s="247">
        <v>1.6</v>
      </c>
      <c r="D471" s="78">
        <f>(C471*D473)/C473</f>
        <v>0.96</v>
      </c>
      <c r="E471" s="249" t="s">
        <v>5</v>
      </c>
      <c r="F471" s="1"/>
      <c r="G471" s="49"/>
      <c r="H471" s="49"/>
      <c r="I471" s="49"/>
      <c r="J471" s="49"/>
      <c r="K471" s="49"/>
      <c r="L471" s="49"/>
      <c r="M471" s="49"/>
      <c r="N471" s="49"/>
    </row>
    <row r="472" ht="15.75" customHeight="1">
      <c r="A472" s="1"/>
      <c r="B472" s="93" t="s">
        <v>60</v>
      </c>
      <c r="C472" s="247">
        <v>1.6</v>
      </c>
      <c r="D472" s="78">
        <f>(C472*D470)/C470</f>
        <v>0.96</v>
      </c>
      <c r="E472" s="249" t="s">
        <v>14</v>
      </c>
      <c r="F472" s="1"/>
      <c r="G472" s="49"/>
      <c r="H472" s="49"/>
      <c r="I472" s="49"/>
      <c r="J472" s="49"/>
      <c r="K472" s="49"/>
      <c r="L472" s="49"/>
      <c r="M472" s="49"/>
      <c r="N472" s="49"/>
    </row>
    <row r="473" ht="15.75" customHeight="1">
      <c r="A473" s="1"/>
      <c r="B473" s="93" t="s">
        <v>38</v>
      </c>
      <c r="C473" s="247">
        <v>0.8</v>
      </c>
      <c r="D473" s="78">
        <f t="shared" ref="D473:D485" si="31">(C473*D472)/C472</f>
        <v>0.48</v>
      </c>
      <c r="E473" s="249" t="s">
        <v>14</v>
      </c>
      <c r="F473" s="1"/>
      <c r="G473" s="49"/>
      <c r="H473" s="49"/>
      <c r="I473" s="49"/>
      <c r="J473" s="49"/>
      <c r="K473" s="49"/>
      <c r="L473" s="49"/>
      <c r="M473" s="49"/>
      <c r="N473" s="49"/>
    </row>
    <row r="474" ht="15.75" customHeight="1">
      <c r="A474" s="1"/>
      <c r="B474" s="93" t="s">
        <v>103</v>
      </c>
      <c r="C474" s="247">
        <v>120.0</v>
      </c>
      <c r="D474" s="78">
        <f t="shared" si="31"/>
        <v>72</v>
      </c>
      <c r="E474" s="249" t="s">
        <v>18</v>
      </c>
      <c r="F474" s="1"/>
      <c r="G474" s="49"/>
      <c r="H474" s="49"/>
      <c r="I474" s="49"/>
      <c r="J474" s="49"/>
      <c r="K474" s="49"/>
      <c r="L474" s="49"/>
      <c r="M474" s="49"/>
      <c r="N474" s="49"/>
    </row>
    <row r="475" ht="15.75" customHeight="1">
      <c r="A475" s="1"/>
      <c r="B475" s="93" t="s">
        <v>52</v>
      </c>
      <c r="C475" s="247">
        <v>100.0</v>
      </c>
      <c r="D475" s="78">
        <f t="shared" si="31"/>
        <v>60</v>
      </c>
      <c r="E475" s="249" t="s">
        <v>18</v>
      </c>
      <c r="F475" s="1"/>
      <c r="G475" s="49"/>
      <c r="H475" s="49"/>
      <c r="I475" s="49"/>
      <c r="J475" s="49"/>
      <c r="K475" s="49"/>
      <c r="L475" s="49"/>
      <c r="M475" s="49"/>
      <c r="N475" s="49"/>
    </row>
    <row r="476" ht="15.75" customHeight="1">
      <c r="A476" s="1"/>
      <c r="B476" s="93" t="s">
        <v>97</v>
      </c>
      <c r="C476" s="247">
        <v>100.0</v>
      </c>
      <c r="D476" s="78">
        <f t="shared" si="31"/>
        <v>60</v>
      </c>
      <c r="E476" s="249" t="s">
        <v>18</v>
      </c>
      <c r="F476" s="1"/>
      <c r="G476" s="49"/>
      <c r="H476" s="49"/>
      <c r="I476" s="49"/>
      <c r="J476" s="49"/>
      <c r="K476" s="49"/>
      <c r="L476" s="49"/>
      <c r="M476" s="49"/>
      <c r="N476" s="49"/>
    </row>
    <row r="477" ht="15.75" customHeight="1">
      <c r="A477" s="1"/>
      <c r="B477" s="93" t="s">
        <v>39</v>
      </c>
      <c r="C477" s="247">
        <v>650.0</v>
      </c>
      <c r="D477" s="78">
        <f t="shared" si="31"/>
        <v>390</v>
      </c>
      <c r="E477" s="249" t="s">
        <v>18</v>
      </c>
      <c r="F477" s="1"/>
      <c r="G477" s="49"/>
      <c r="H477" s="49"/>
      <c r="I477" s="49"/>
      <c r="J477" s="49"/>
      <c r="K477" s="49"/>
      <c r="L477" s="49"/>
      <c r="M477" s="49"/>
      <c r="N477" s="49"/>
    </row>
    <row r="478" ht="15.75" customHeight="1">
      <c r="A478" s="1"/>
      <c r="B478" s="93" t="s">
        <v>101</v>
      </c>
      <c r="C478" s="247">
        <v>1.0</v>
      </c>
      <c r="D478" s="78">
        <f t="shared" si="31"/>
        <v>0.6</v>
      </c>
      <c r="E478" s="249" t="s">
        <v>5</v>
      </c>
      <c r="F478" s="1"/>
      <c r="G478" s="49"/>
      <c r="H478" s="49"/>
      <c r="I478" s="49"/>
      <c r="J478" s="49"/>
      <c r="K478" s="49"/>
      <c r="L478" s="49"/>
      <c r="M478" s="49"/>
      <c r="N478" s="49"/>
    </row>
    <row r="479" ht="15.75" customHeight="1">
      <c r="A479" s="1"/>
      <c r="B479" s="138" t="s">
        <v>31</v>
      </c>
      <c r="C479" s="239">
        <v>1000.0</v>
      </c>
      <c r="D479" s="146">
        <f t="shared" si="31"/>
        <v>600</v>
      </c>
      <c r="E479" s="242" t="s">
        <v>18</v>
      </c>
      <c r="F479" s="1"/>
      <c r="G479" s="49"/>
      <c r="H479" s="49"/>
      <c r="I479" s="49"/>
      <c r="J479" s="49"/>
      <c r="K479" s="49"/>
      <c r="L479" s="49"/>
      <c r="M479" s="49"/>
      <c r="N479" s="49"/>
    </row>
    <row r="480" ht="15.75" customHeight="1">
      <c r="A480" s="1"/>
      <c r="B480" s="68" t="s">
        <v>687</v>
      </c>
      <c r="C480" s="210">
        <v>8.0</v>
      </c>
      <c r="D480" s="155">
        <f t="shared" si="31"/>
        <v>4.8</v>
      </c>
      <c r="E480" s="216" t="s">
        <v>14</v>
      </c>
      <c r="F480" s="1"/>
      <c r="G480" s="49"/>
      <c r="H480" s="49"/>
      <c r="I480" s="49"/>
      <c r="J480" s="49"/>
      <c r="K480" s="49"/>
      <c r="L480" s="49"/>
      <c r="M480" s="49"/>
      <c r="N480" s="49"/>
    </row>
    <row r="481" ht="15.75" customHeight="1">
      <c r="A481" s="1"/>
      <c r="B481" s="93" t="s">
        <v>689</v>
      </c>
      <c r="C481" s="247">
        <v>8.0</v>
      </c>
      <c r="D481" s="78">
        <f t="shared" si="31"/>
        <v>4.8</v>
      </c>
      <c r="E481" s="249" t="s">
        <v>14</v>
      </c>
      <c r="F481" s="1"/>
      <c r="G481" s="49"/>
      <c r="H481" s="49"/>
      <c r="I481" s="49"/>
      <c r="J481" s="49"/>
      <c r="K481" s="49"/>
      <c r="L481" s="49"/>
      <c r="M481" s="49"/>
      <c r="N481" s="49"/>
    </row>
    <row r="482" ht="15.75" customHeight="1">
      <c r="A482" s="1"/>
      <c r="B482" s="105" t="s">
        <v>691</v>
      </c>
      <c r="C482" s="522">
        <v>4.0</v>
      </c>
      <c r="D482" s="56">
        <f t="shared" si="31"/>
        <v>2.4</v>
      </c>
      <c r="E482" s="518" t="s">
        <v>14</v>
      </c>
      <c r="F482" s="1"/>
      <c r="G482" s="49"/>
      <c r="H482" s="49"/>
      <c r="I482" s="49"/>
      <c r="J482" s="49"/>
      <c r="K482" s="49"/>
      <c r="L482" s="49"/>
      <c r="M482" s="49"/>
      <c r="N482" s="49"/>
    </row>
    <row r="483" ht="15.75" customHeight="1">
      <c r="A483" s="1"/>
      <c r="B483" s="68" t="s">
        <v>13</v>
      </c>
      <c r="C483" s="210">
        <v>0.6</v>
      </c>
      <c r="D483" s="155">
        <f t="shared" si="31"/>
        <v>0.36</v>
      </c>
      <c r="E483" s="216" t="s">
        <v>14</v>
      </c>
      <c r="F483" s="770" t="s">
        <v>693</v>
      </c>
      <c r="G483" s="49"/>
      <c r="H483" s="49"/>
      <c r="I483" s="49"/>
      <c r="J483" s="49"/>
      <c r="K483" s="49"/>
      <c r="L483" s="49"/>
      <c r="M483" s="49"/>
      <c r="N483" s="49"/>
    </row>
    <row r="484" ht="15.75" customHeight="1">
      <c r="A484" s="1"/>
      <c r="B484" s="105" t="s">
        <v>173</v>
      </c>
      <c r="C484" s="522">
        <v>800.0</v>
      </c>
      <c r="D484" s="56">
        <f t="shared" si="31"/>
        <v>480</v>
      </c>
      <c r="E484" s="518" t="s">
        <v>18</v>
      </c>
      <c r="F484" s="76"/>
      <c r="G484" s="49"/>
      <c r="H484" s="49"/>
      <c r="I484" s="49"/>
      <c r="J484" s="49"/>
      <c r="K484" s="49"/>
      <c r="L484" s="49"/>
      <c r="M484" s="49"/>
      <c r="N484" s="49"/>
    </row>
    <row r="485" ht="15.75" customHeight="1">
      <c r="A485" s="1"/>
      <c r="B485" s="173" t="s">
        <v>114</v>
      </c>
      <c r="C485" s="545">
        <v>2.0</v>
      </c>
      <c r="D485" s="179">
        <f t="shared" si="31"/>
        <v>1.2</v>
      </c>
      <c r="E485" s="547" t="s">
        <v>5</v>
      </c>
      <c r="F485" s="1"/>
      <c r="G485" s="49"/>
      <c r="H485" s="49"/>
      <c r="I485" s="49"/>
      <c r="J485" s="49"/>
      <c r="K485" s="49"/>
      <c r="L485" s="49"/>
      <c r="M485" s="49"/>
      <c r="N485" s="49"/>
    </row>
    <row r="486" ht="15.75" customHeight="1">
      <c r="A486" s="49"/>
      <c r="B486" s="299" t="s">
        <v>119</v>
      </c>
      <c r="C486" s="183" t="s">
        <v>47</v>
      </c>
      <c r="D486" s="558"/>
      <c r="E486" s="49"/>
      <c r="F486" s="49"/>
      <c r="G486" s="49"/>
      <c r="H486" s="49"/>
      <c r="I486" s="49"/>
      <c r="J486" s="49"/>
      <c r="K486" s="49"/>
      <c r="L486" s="49"/>
      <c r="M486" s="49"/>
      <c r="N486" s="49"/>
    </row>
    <row r="487" ht="15.75" customHeight="1">
      <c r="A487" s="49"/>
      <c r="B487" s="49"/>
      <c r="C487" s="49"/>
      <c r="D487" s="558"/>
      <c r="E487" s="49"/>
      <c r="F487" s="49"/>
      <c r="G487" s="49"/>
      <c r="H487" s="49"/>
      <c r="I487" s="49"/>
      <c r="J487" s="49"/>
      <c r="K487" s="49"/>
      <c r="L487" s="49"/>
      <c r="M487" s="49"/>
      <c r="N487" s="49"/>
    </row>
    <row r="488" ht="15.75" customHeight="1">
      <c r="A488" s="1"/>
      <c r="B488" s="1"/>
      <c r="C488" s="1"/>
      <c r="D488" s="184"/>
      <c r="E488" s="1"/>
      <c r="F488" s="1"/>
      <c r="G488" s="49"/>
      <c r="H488" s="49"/>
      <c r="I488" s="49"/>
      <c r="J488" s="49"/>
      <c r="K488" s="49"/>
      <c r="L488" s="49"/>
      <c r="M488" s="49"/>
      <c r="N488" s="49"/>
    </row>
    <row r="489" ht="15.75" customHeight="1">
      <c r="A489" s="1"/>
      <c r="B489" s="206" t="s">
        <v>706</v>
      </c>
      <c r="C489" s="5"/>
      <c r="D489" s="5"/>
      <c r="E489" s="6"/>
      <c r="F489" s="207"/>
      <c r="G489" s="49"/>
      <c r="H489" s="49"/>
      <c r="I489" s="49"/>
      <c r="J489" s="49"/>
      <c r="K489" s="49"/>
      <c r="L489" s="49"/>
      <c r="M489" s="49"/>
      <c r="N489" s="49"/>
    </row>
    <row r="490" ht="15.75" customHeight="1">
      <c r="A490" s="1"/>
      <c r="B490" s="68" t="s">
        <v>1</v>
      </c>
      <c r="C490" s="210">
        <v>120.0</v>
      </c>
      <c r="D490" s="155">
        <v>120.0</v>
      </c>
      <c r="E490" s="216" t="s">
        <v>5</v>
      </c>
      <c r="F490" s="207"/>
      <c r="G490" s="49"/>
      <c r="H490" s="49"/>
      <c r="I490" s="49"/>
      <c r="J490" s="49"/>
      <c r="K490" s="49"/>
      <c r="L490" s="49"/>
      <c r="M490" s="49"/>
      <c r="N490" s="49"/>
    </row>
    <row r="491" ht="15.75" customHeight="1">
      <c r="A491" s="1"/>
      <c r="B491" s="93" t="s">
        <v>710</v>
      </c>
      <c r="C491" s="247">
        <v>25.0</v>
      </c>
      <c r="D491" s="155">
        <f t="shared" ref="D491:D507" si="32">(C491*D490)/C490</f>
        <v>25</v>
      </c>
      <c r="E491" s="249" t="s">
        <v>14</v>
      </c>
      <c r="F491" s="394" t="s">
        <v>711</v>
      </c>
      <c r="G491" s="49"/>
      <c r="H491" s="49"/>
      <c r="I491" s="49"/>
      <c r="J491" s="49"/>
      <c r="K491" s="49"/>
      <c r="L491" s="49"/>
      <c r="M491" s="49"/>
      <c r="N491" s="49"/>
    </row>
    <row r="492" ht="15.75" customHeight="1">
      <c r="A492" s="1"/>
      <c r="B492" s="68" t="s">
        <v>91</v>
      </c>
      <c r="C492" s="210">
        <v>8000.0</v>
      </c>
      <c r="D492" s="155">
        <f t="shared" si="32"/>
        <v>8000</v>
      </c>
      <c r="E492" s="216" t="s">
        <v>82</v>
      </c>
      <c r="F492" s="76"/>
      <c r="G492" s="49"/>
      <c r="H492" s="49"/>
      <c r="I492" s="49"/>
      <c r="J492" s="49"/>
      <c r="K492" s="49"/>
      <c r="L492" s="49"/>
      <c r="M492" s="49"/>
      <c r="N492" s="49"/>
    </row>
    <row r="493" ht="15.75" customHeight="1">
      <c r="A493" s="1"/>
      <c r="B493" s="93" t="s">
        <v>97</v>
      </c>
      <c r="C493" s="247">
        <v>200.0</v>
      </c>
      <c r="D493" s="78">
        <f t="shared" si="32"/>
        <v>200</v>
      </c>
      <c r="E493" s="249" t="s">
        <v>18</v>
      </c>
      <c r="F493" s="779" t="s">
        <v>94</v>
      </c>
      <c r="G493" s="49"/>
      <c r="H493" s="49"/>
      <c r="I493" s="49"/>
      <c r="J493" s="49"/>
      <c r="K493" s="49"/>
      <c r="L493" s="49"/>
      <c r="M493" s="49"/>
      <c r="N493" s="49"/>
    </row>
    <row r="494" ht="15.75" customHeight="1">
      <c r="A494" s="1"/>
      <c r="B494" s="93" t="s">
        <v>716</v>
      </c>
      <c r="C494" s="247">
        <v>500.0</v>
      </c>
      <c r="D494" s="78">
        <f t="shared" si="32"/>
        <v>500</v>
      </c>
      <c r="E494" s="249" t="s">
        <v>18</v>
      </c>
      <c r="F494" s="66"/>
      <c r="G494" s="49"/>
      <c r="H494" s="49"/>
      <c r="I494" s="49"/>
      <c r="J494" s="49"/>
      <c r="K494" s="49"/>
      <c r="L494" s="49"/>
      <c r="M494" s="49"/>
      <c r="N494" s="49"/>
    </row>
    <row r="495" ht="15.75" customHeight="1">
      <c r="A495" s="1"/>
      <c r="B495" s="93" t="s">
        <v>311</v>
      </c>
      <c r="C495" s="247">
        <v>1000.0</v>
      </c>
      <c r="D495" s="78">
        <f t="shared" si="32"/>
        <v>1000</v>
      </c>
      <c r="E495" s="249" t="s">
        <v>18</v>
      </c>
      <c r="F495" s="66"/>
      <c r="G495" s="49"/>
      <c r="H495" s="49"/>
      <c r="I495" s="49"/>
      <c r="J495" s="49"/>
      <c r="K495" s="49"/>
      <c r="L495" s="49"/>
      <c r="M495" s="49"/>
      <c r="N495" s="49"/>
    </row>
    <row r="496" ht="15.75" customHeight="1">
      <c r="A496" s="1"/>
      <c r="B496" s="93" t="s">
        <v>369</v>
      </c>
      <c r="C496" s="247">
        <v>500.0</v>
      </c>
      <c r="D496" s="78">
        <f t="shared" si="32"/>
        <v>500</v>
      </c>
      <c r="E496" s="249" t="s">
        <v>18</v>
      </c>
      <c r="F496" s="66"/>
      <c r="G496" s="49"/>
      <c r="H496" s="49"/>
      <c r="I496" s="49"/>
      <c r="J496" s="49"/>
      <c r="K496" s="49"/>
      <c r="L496" s="49"/>
      <c r="M496" s="49"/>
      <c r="N496" s="49"/>
    </row>
    <row r="497" ht="15.75" customHeight="1">
      <c r="A497" s="1"/>
      <c r="B497" s="93" t="s">
        <v>101</v>
      </c>
      <c r="C497" s="247">
        <v>2.5</v>
      </c>
      <c r="D497" s="78">
        <f t="shared" si="32"/>
        <v>2.5</v>
      </c>
      <c r="E497" s="249" t="s">
        <v>5</v>
      </c>
      <c r="F497" s="66"/>
      <c r="G497" s="49"/>
      <c r="H497" s="49"/>
      <c r="I497" s="49"/>
      <c r="J497" s="49"/>
      <c r="K497" s="49"/>
      <c r="L497" s="49"/>
      <c r="M497" s="49"/>
      <c r="N497" s="49"/>
    </row>
    <row r="498" ht="15.75" customHeight="1">
      <c r="A498" s="1"/>
      <c r="B498" s="93" t="s">
        <v>103</v>
      </c>
      <c r="C498" s="247">
        <v>100.0</v>
      </c>
      <c r="D498" s="78">
        <f t="shared" si="32"/>
        <v>100</v>
      </c>
      <c r="E498" s="249" t="s">
        <v>18</v>
      </c>
      <c r="F498" s="66"/>
      <c r="G498" s="49"/>
      <c r="H498" s="49"/>
      <c r="I498" s="49"/>
      <c r="J498" s="49"/>
      <c r="K498" s="49"/>
      <c r="L498" s="49"/>
      <c r="M498" s="49"/>
      <c r="N498" s="49"/>
    </row>
    <row r="499" ht="15.0" customHeight="1">
      <c r="A499" s="1"/>
      <c r="B499" s="68" t="s">
        <v>719</v>
      </c>
      <c r="C499" s="210">
        <v>5.0</v>
      </c>
      <c r="D499" s="155">
        <f t="shared" si="32"/>
        <v>5</v>
      </c>
      <c r="E499" s="216" t="s">
        <v>366</v>
      </c>
      <c r="F499" s="66"/>
      <c r="G499" s="49"/>
      <c r="H499" s="49"/>
      <c r="I499" s="49"/>
      <c r="J499" s="49"/>
      <c r="K499" s="49"/>
      <c r="L499" s="49"/>
      <c r="M499" s="49"/>
      <c r="N499" s="49"/>
    </row>
    <row r="500" ht="16.5" customHeight="1">
      <c r="A500" s="1"/>
      <c r="B500" s="93" t="s">
        <v>721</v>
      </c>
      <c r="C500" s="247">
        <v>5.0</v>
      </c>
      <c r="D500" s="78">
        <f t="shared" si="32"/>
        <v>5</v>
      </c>
      <c r="E500" s="249" t="s">
        <v>366</v>
      </c>
      <c r="F500" s="264"/>
      <c r="G500" s="49"/>
      <c r="H500" s="49"/>
      <c r="I500" s="49"/>
      <c r="J500" s="49"/>
      <c r="K500" s="49"/>
      <c r="L500" s="49"/>
      <c r="M500" s="49"/>
      <c r="N500" s="49"/>
    </row>
    <row r="501" ht="15.75" customHeight="1">
      <c r="A501" s="1"/>
      <c r="B501" s="119" t="s">
        <v>723</v>
      </c>
      <c r="C501" s="523">
        <v>3.0</v>
      </c>
      <c r="D501" s="78">
        <f t="shared" si="32"/>
        <v>3</v>
      </c>
      <c r="E501" s="249" t="s">
        <v>366</v>
      </c>
      <c r="F501" s="66"/>
      <c r="G501" s="49"/>
      <c r="H501" s="49"/>
      <c r="I501" s="49"/>
      <c r="J501" s="49"/>
      <c r="K501" s="49"/>
      <c r="L501" s="49"/>
      <c r="M501" s="49"/>
      <c r="N501" s="49"/>
    </row>
    <row r="502" ht="15.75" customHeight="1">
      <c r="A502" s="1"/>
      <c r="B502" s="119" t="s">
        <v>31</v>
      </c>
      <c r="C502" s="523">
        <v>1375.0</v>
      </c>
      <c r="D502" s="78">
        <f t="shared" si="32"/>
        <v>1375</v>
      </c>
      <c r="E502" s="520" t="s">
        <v>18</v>
      </c>
      <c r="F502" s="207"/>
      <c r="G502" s="49"/>
      <c r="H502" s="49"/>
      <c r="I502" s="49"/>
      <c r="J502" s="49"/>
      <c r="K502" s="49"/>
      <c r="L502" s="49"/>
      <c r="M502" s="49"/>
      <c r="N502" s="49"/>
    </row>
    <row r="503" ht="15.75" customHeight="1">
      <c r="A503" s="1"/>
      <c r="B503" s="785" t="s">
        <v>52</v>
      </c>
      <c r="C503" s="789">
        <v>150.0</v>
      </c>
      <c r="D503" s="792">
        <f t="shared" si="32"/>
        <v>150</v>
      </c>
      <c r="E503" s="794" t="s">
        <v>18</v>
      </c>
      <c r="F503" s="207"/>
      <c r="G503" s="49"/>
      <c r="H503" s="49"/>
      <c r="I503" s="49"/>
      <c r="J503" s="49"/>
      <c r="K503" s="49"/>
      <c r="L503" s="49"/>
      <c r="M503" s="49"/>
      <c r="N503" s="49"/>
    </row>
    <row r="504" ht="15.0" customHeight="1">
      <c r="A504" s="1"/>
      <c r="B504" s="138" t="s">
        <v>13</v>
      </c>
      <c r="C504" s="239">
        <v>1500.0</v>
      </c>
      <c r="D504" s="146">
        <f t="shared" si="32"/>
        <v>1500</v>
      </c>
      <c r="E504" s="242" t="s">
        <v>18</v>
      </c>
      <c r="F504" s="207"/>
      <c r="G504" s="49"/>
      <c r="H504" s="49"/>
      <c r="I504" s="49"/>
      <c r="J504" s="49"/>
      <c r="K504" s="49"/>
      <c r="L504" s="49"/>
      <c r="M504" s="49"/>
      <c r="N504" s="49"/>
    </row>
    <row r="505" ht="15.0" customHeight="1">
      <c r="A505" s="193"/>
      <c r="B505" s="68" t="s">
        <v>114</v>
      </c>
      <c r="C505" s="210">
        <v>5.0</v>
      </c>
      <c r="D505" s="155">
        <f t="shared" si="32"/>
        <v>5</v>
      </c>
      <c r="E505" s="216" t="s">
        <v>5</v>
      </c>
      <c r="F505" s="610" t="s">
        <v>751</v>
      </c>
      <c r="G505" s="49"/>
      <c r="H505" s="49"/>
      <c r="I505" s="49"/>
      <c r="J505" s="49"/>
      <c r="K505" s="49"/>
      <c r="L505" s="49"/>
      <c r="M505" s="49"/>
      <c r="N505" s="49"/>
    </row>
    <row r="506" ht="15.75" customHeight="1">
      <c r="A506" s="193"/>
      <c r="B506" s="93" t="s">
        <v>754</v>
      </c>
      <c r="C506" s="247">
        <v>5.0</v>
      </c>
      <c r="D506" s="78">
        <f t="shared" si="32"/>
        <v>5</v>
      </c>
      <c r="E506" s="249" t="s">
        <v>9</v>
      </c>
      <c r="F506" s="47"/>
      <c r="G506" s="49"/>
      <c r="H506" s="49"/>
      <c r="I506" s="49"/>
      <c r="J506" s="49"/>
      <c r="K506" s="49"/>
      <c r="L506" s="49"/>
      <c r="M506" s="49"/>
      <c r="N506" s="49"/>
    </row>
    <row r="507" ht="15.75" customHeight="1">
      <c r="A507" s="49"/>
      <c r="B507" s="105" t="s">
        <v>167</v>
      </c>
      <c r="C507" s="522">
        <v>500.0</v>
      </c>
      <c r="D507" s="56">
        <f t="shared" si="32"/>
        <v>500</v>
      </c>
      <c r="E507" s="518" t="s">
        <v>82</v>
      </c>
      <c r="F507" s="49"/>
      <c r="G507" s="49"/>
      <c r="H507" s="49"/>
      <c r="I507" s="49"/>
      <c r="J507" s="49"/>
      <c r="K507" s="49"/>
      <c r="L507" s="49"/>
      <c r="M507" s="49"/>
      <c r="N507" s="49"/>
    </row>
    <row r="508" ht="15.75" customHeight="1">
      <c r="A508" s="1"/>
      <c r="B508" s="797" t="s">
        <v>157</v>
      </c>
      <c r="C508" s="798">
        <f t="shared" ref="C508:D508" si="33">IF(C491&gt;10,C491*3.5,(4-0.05*C491)*C491)</f>
        <v>87.5</v>
      </c>
      <c r="D508" s="800">
        <f t="shared" si="33"/>
        <v>87.5</v>
      </c>
      <c r="E508" s="801" t="s">
        <v>5</v>
      </c>
      <c r="F508" s="802" t="s">
        <v>767</v>
      </c>
      <c r="G508" s="49"/>
      <c r="H508" s="49"/>
      <c r="I508" s="49"/>
      <c r="J508" s="49"/>
      <c r="K508" s="49"/>
      <c r="L508" s="49"/>
      <c r="M508" s="49"/>
      <c r="N508" s="49"/>
    </row>
    <row r="509" ht="15.75" customHeight="1">
      <c r="A509" s="1"/>
      <c r="B509" s="803" t="s">
        <v>768</v>
      </c>
      <c r="C509" s="5"/>
      <c r="D509" s="5"/>
      <c r="E509" s="6"/>
      <c r="F509" s="49"/>
      <c r="G509" s="49"/>
      <c r="H509" s="49"/>
      <c r="I509" s="49"/>
      <c r="J509" s="49"/>
      <c r="K509" s="49"/>
      <c r="L509" s="49"/>
      <c r="M509" s="49"/>
      <c r="N509" s="49"/>
    </row>
    <row r="510" ht="15.75" customHeight="1">
      <c r="A510" s="1"/>
      <c r="B510" s="63"/>
      <c r="E510" s="66"/>
      <c r="F510" s="49"/>
      <c r="G510" s="49"/>
      <c r="H510" s="49"/>
      <c r="I510" s="49"/>
      <c r="J510" s="49"/>
      <c r="K510" s="49"/>
      <c r="L510" s="49"/>
      <c r="M510" s="49"/>
      <c r="N510" s="49"/>
    </row>
    <row r="511" ht="36.0" customHeight="1">
      <c r="A511" s="1"/>
      <c r="B511" s="102"/>
      <c r="C511" s="104"/>
      <c r="D511" s="104"/>
      <c r="E511" s="106"/>
      <c r="F511" s="49"/>
      <c r="G511" s="49"/>
      <c r="H511" s="49"/>
      <c r="I511" s="49"/>
      <c r="J511" s="49"/>
      <c r="K511" s="49"/>
      <c r="L511" s="49"/>
      <c r="M511" s="49"/>
      <c r="N511" s="49"/>
    </row>
    <row r="512" ht="15.75" customHeight="1">
      <c r="A512" s="1"/>
      <c r="B512" s="299" t="s">
        <v>119</v>
      </c>
      <c r="C512" s="183" t="s">
        <v>47</v>
      </c>
      <c r="D512" s="184"/>
      <c r="E512" s="1"/>
      <c r="F512" s="49"/>
      <c r="G512" s="49"/>
      <c r="H512" s="49"/>
      <c r="I512" s="49"/>
      <c r="J512" s="49"/>
      <c r="K512" s="49"/>
      <c r="L512" s="49"/>
      <c r="M512" s="49"/>
      <c r="N512" s="49"/>
    </row>
    <row r="513" ht="15.75" customHeight="1">
      <c r="A513" s="1"/>
      <c r="B513" s="302" t="s">
        <v>49</v>
      </c>
      <c r="C513" s="303">
        <v>40805.0</v>
      </c>
      <c r="D513" s="184"/>
      <c r="E513" s="1"/>
      <c r="F513" s="49"/>
      <c r="G513" s="49"/>
      <c r="H513" s="49"/>
      <c r="I513" s="49"/>
      <c r="J513" s="49"/>
      <c r="K513" s="49"/>
      <c r="L513" s="49"/>
      <c r="M513" s="49"/>
      <c r="N513" s="49"/>
    </row>
    <row r="514" ht="15.75" customHeight="1">
      <c r="A514" s="1"/>
      <c r="B514" s="302" t="s">
        <v>50</v>
      </c>
      <c r="C514" s="303">
        <v>41853.0</v>
      </c>
      <c r="D514" s="184"/>
      <c r="E514" s="1"/>
      <c r="F514" s="49"/>
      <c r="G514" s="49"/>
      <c r="H514" s="49"/>
      <c r="I514" s="49"/>
      <c r="J514" s="49"/>
      <c r="K514" s="49"/>
      <c r="L514" s="49"/>
      <c r="M514" s="49"/>
      <c r="N514" s="49"/>
    </row>
    <row r="515" ht="15.75" customHeight="1">
      <c r="A515" s="1"/>
      <c r="B515" s="49"/>
      <c r="C515" s="49"/>
      <c r="D515" s="184"/>
      <c r="E515" s="1"/>
      <c r="F515" s="49"/>
      <c r="G515" s="49"/>
      <c r="H515" s="49"/>
      <c r="I515" s="49"/>
      <c r="J515" s="49"/>
      <c r="K515" s="49"/>
      <c r="L515" s="49"/>
      <c r="M515" s="49"/>
      <c r="N515" s="49"/>
    </row>
    <row r="516" ht="21.0" customHeight="1">
      <c r="A516" s="1"/>
      <c r="B516" s="511" t="s">
        <v>771</v>
      </c>
      <c r="C516" s="18"/>
      <c r="D516" s="18"/>
      <c r="E516" s="19"/>
      <c r="F516" s="207"/>
      <c r="G516" s="49"/>
      <c r="H516" s="49"/>
      <c r="I516" s="49"/>
      <c r="J516" s="49"/>
      <c r="K516" s="49"/>
      <c r="L516" s="49"/>
      <c r="M516" s="49"/>
      <c r="N516" s="49"/>
    </row>
    <row r="517" ht="14.25" customHeight="1">
      <c r="A517" s="1"/>
      <c r="B517" s="119" t="s">
        <v>1</v>
      </c>
      <c r="C517" s="523">
        <v>110.0</v>
      </c>
      <c r="D517" s="806">
        <v>500.0</v>
      </c>
      <c r="E517" s="520" t="s">
        <v>5</v>
      </c>
      <c r="F517" s="207"/>
      <c r="G517" s="49"/>
      <c r="H517" s="49"/>
      <c r="I517" s="49"/>
      <c r="J517" s="49"/>
      <c r="K517" s="49"/>
      <c r="L517" s="49"/>
      <c r="M517" s="49"/>
      <c r="N517" s="49"/>
    </row>
    <row r="518" ht="15.75" customHeight="1">
      <c r="A518" s="1"/>
      <c r="B518" s="93" t="s">
        <v>776</v>
      </c>
      <c r="C518" s="247">
        <v>20.0</v>
      </c>
      <c r="D518" s="78">
        <f t="shared" ref="D518:D528" si="34">(C518*D517)/C517</f>
        <v>90.90909091</v>
      </c>
      <c r="E518" s="249" t="s">
        <v>14</v>
      </c>
      <c r="F518" s="207"/>
      <c r="G518" s="49"/>
      <c r="H518" s="49"/>
      <c r="I518" s="49"/>
      <c r="J518" s="49"/>
      <c r="K518" s="49"/>
      <c r="L518" s="49"/>
      <c r="M518" s="49"/>
      <c r="N518" s="49"/>
    </row>
    <row r="519" ht="15.75" customHeight="1">
      <c r="A519" s="1"/>
      <c r="B519" s="68" t="s">
        <v>779</v>
      </c>
      <c r="C519" s="210">
        <v>7.0</v>
      </c>
      <c r="D519" s="155">
        <f t="shared" si="34"/>
        <v>31.81818182</v>
      </c>
      <c r="E519" s="216" t="s">
        <v>5</v>
      </c>
      <c r="F519" s="207"/>
      <c r="G519" s="49"/>
      <c r="H519" s="49"/>
      <c r="I519" s="49"/>
      <c r="J519" s="49"/>
      <c r="K519" s="49"/>
      <c r="L519" s="49"/>
      <c r="M519" s="49"/>
      <c r="N519" s="49"/>
    </row>
    <row r="520" ht="19.5" customHeight="1">
      <c r="A520" s="1"/>
      <c r="B520" s="93" t="s">
        <v>97</v>
      </c>
      <c r="C520" s="247">
        <v>200.0</v>
      </c>
      <c r="D520" s="78">
        <f t="shared" si="34"/>
        <v>909.0909091</v>
      </c>
      <c r="E520" s="249" t="s">
        <v>18</v>
      </c>
      <c r="F520" s="394" t="s">
        <v>94</v>
      </c>
      <c r="G520" s="49"/>
      <c r="H520" s="49"/>
      <c r="I520" s="49"/>
      <c r="J520" s="49"/>
      <c r="K520" s="49"/>
      <c r="L520" s="49"/>
      <c r="M520" s="49"/>
      <c r="N520" s="49"/>
    </row>
    <row r="521" ht="15.75" customHeight="1">
      <c r="A521" s="1"/>
      <c r="B521" s="93" t="s">
        <v>369</v>
      </c>
      <c r="C521" s="247">
        <v>400.0</v>
      </c>
      <c r="D521" s="78">
        <f t="shared" si="34"/>
        <v>1818.181818</v>
      </c>
      <c r="E521" s="249" t="s">
        <v>18</v>
      </c>
      <c r="F521" s="47"/>
      <c r="G521" s="49"/>
      <c r="H521" s="49"/>
      <c r="I521" s="49"/>
      <c r="J521" s="49"/>
      <c r="K521" s="49"/>
      <c r="L521" s="49"/>
      <c r="M521" s="49"/>
      <c r="N521" s="49"/>
    </row>
    <row r="522" ht="15.75" customHeight="1">
      <c r="A522" s="1"/>
      <c r="B522" s="93" t="s">
        <v>101</v>
      </c>
      <c r="C522" s="247">
        <v>2.5</v>
      </c>
      <c r="D522" s="78">
        <f t="shared" si="34"/>
        <v>11.36363636</v>
      </c>
      <c r="E522" s="249" t="s">
        <v>5</v>
      </c>
      <c r="F522" s="47"/>
      <c r="G522" s="49"/>
      <c r="H522" s="49"/>
      <c r="I522" s="49"/>
      <c r="J522" s="49"/>
      <c r="K522" s="49"/>
      <c r="L522" s="49"/>
      <c r="M522" s="49"/>
      <c r="N522" s="49"/>
    </row>
    <row r="523" ht="15.0" customHeight="1">
      <c r="A523" s="1"/>
      <c r="B523" s="93" t="s">
        <v>103</v>
      </c>
      <c r="C523" s="247">
        <v>80.0</v>
      </c>
      <c r="D523" s="78">
        <f t="shared" si="34"/>
        <v>363.6363636</v>
      </c>
      <c r="E523" s="249" t="s">
        <v>18</v>
      </c>
      <c r="F523" s="47"/>
      <c r="G523" s="49"/>
      <c r="H523" s="49"/>
      <c r="I523" s="49"/>
      <c r="J523" s="49"/>
      <c r="K523" s="49"/>
      <c r="L523" s="49"/>
      <c r="M523" s="49"/>
      <c r="N523" s="49"/>
    </row>
    <row r="524" ht="15.75" customHeight="1">
      <c r="A524" s="193"/>
      <c r="B524" s="68" t="s">
        <v>781</v>
      </c>
      <c r="C524" s="210">
        <v>5.0</v>
      </c>
      <c r="D524" s="155">
        <f t="shared" si="34"/>
        <v>22.72727273</v>
      </c>
      <c r="E524" s="216" t="s">
        <v>14</v>
      </c>
      <c r="F524" s="76"/>
      <c r="G524" s="49"/>
      <c r="H524" s="49"/>
      <c r="I524" s="49"/>
      <c r="J524" s="49"/>
      <c r="K524" s="49"/>
      <c r="L524" s="49"/>
      <c r="M524" s="49"/>
      <c r="N524" s="49"/>
    </row>
    <row r="525" ht="15.75" customHeight="1">
      <c r="A525" s="193"/>
      <c r="B525" s="93" t="s">
        <v>783</v>
      </c>
      <c r="C525" s="247">
        <v>2.5</v>
      </c>
      <c r="D525" s="78">
        <f t="shared" si="34"/>
        <v>11.36363636</v>
      </c>
      <c r="E525" s="249" t="s">
        <v>14</v>
      </c>
      <c r="F525" s="194" t="s">
        <v>784</v>
      </c>
      <c r="G525" s="49"/>
      <c r="H525" s="49"/>
      <c r="I525" s="49"/>
      <c r="J525" s="49"/>
      <c r="K525" s="49"/>
      <c r="L525" s="49"/>
      <c r="M525" s="49"/>
      <c r="N525" s="49"/>
    </row>
    <row r="526" ht="15.75" customHeight="1">
      <c r="A526" s="193"/>
      <c r="B526" s="93" t="s">
        <v>786</v>
      </c>
      <c r="C526" s="247">
        <v>2.5</v>
      </c>
      <c r="D526" s="78">
        <f t="shared" si="34"/>
        <v>11.36363636</v>
      </c>
      <c r="E526" s="249" t="s">
        <v>14</v>
      </c>
      <c r="F526" s="63"/>
      <c r="G526" s="49"/>
      <c r="H526" s="49"/>
      <c r="I526" s="49"/>
      <c r="J526" s="49"/>
      <c r="K526" s="49"/>
      <c r="L526" s="49"/>
      <c r="M526" s="49"/>
      <c r="N526" s="49"/>
    </row>
    <row r="527" ht="15.75" customHeight="1">
      <c r="A527" s="193"/>
      <c r="B527" s="93" t="s">
        <v>327</v>
      </c>
      <c r="C527" s="247">
        <v>2.5</v>
      </c>
      <c r="D527" s="78">
        <f t="shared" si="34"/>
        <v>11.36363636</v>
      </c>
      <c r="E527" s="249" t="s">
        <v>14</v>
      </c>
      <c r="F527" s="63"/>
      <c r="G527" s="49"/>
      <c r="H527" s="49"/>
      <c r="I527" s="49"/>
      <c r="J527" s="49"/>
      <c r="K527" s="49"/>
      <c r="L527" s="49"/>
      <c r="M527" s="49"/>
      <c r="N527" s="49"/>
    </row>
    <row r="528" ht="15.75" customHeight="1">
      <c r="A528" s="1"/>
      <c r="B528" s="105" t="s">
        <v>154</v>
      </c>
      <c r="C528" s="522">
        <v>5.0</v>
      </c>
      <c r="D528" s="56">
        <f t="shared" si="34"/>
        <v>22.72727273</v>
      </c>
      <c r="E528" s="518" t="s">
        <v>366</v>
      </c>
      <c r="F528" s="63"/>
      <c r="G528" s="49"/>
      <c r="H528" s="49"/>
      <c r="I528" s="49"/>
      <c r="J528" s="49"/>
      <c r="K528" s="49"/>
      <c r="L528" s="49"/>
      <c r="M528" s="49"/>
      <c r="N528" s="49"/>
    </row>
    <row r="529" ht="15.75" customHeight="1">
      <c r="A529" s="1"/>
      <c r="B529" s="119" t="s">
        <v>493</v>
      </c>
      <c r="C529" s="523">
        <f t="shared" ref="C529:D529" si="35">SUM(C524:C528)</f>
        <v>17.5</v>
      </c>
      <c r="D529" s="129">
        <f t="shared" si="35"/>
        <v>79.54545455</v>
      </c>
      <c r="E529" s="520" t="s">
        <v>14</v>
      </c>
      <c r="F529" s="102"/>
      <c r="G529" s="49"/>
      <c r="H529" s="49"/>
      <c r="I529" s="49"/>
      <c r="J529" s="49"/>
      <c r="K529" s="49"/>
      <c r="L529" s="49"/>
      <c r="M529" s="49"/>
      <c r="N529" s="49"/>
    </row>
    <row r="530" ht="15.75" customHeight="1">
      <c r="A530" s="1"/>
      <c r="B530" s="138" t="s">
        <v>494</v>
      </c>
      <c r="C530" s="239">
        <f t="shared" ref="C530:D530" si="36">+C529*12</f>
        <v>210</v>
      </c>
      <c r="D530" s="146">
        <f t="shared" si="36"/>
        <v>954.5454545</v>
      </c>
      <c r="E530" s="242" t="s">
        <v>18</v>
      </c>
      <c r="F530" s="515"/>
      <c r="G530" s="49"/>
      <c r="H530" s="49"/>
      <c r="I530" s="49"/>
      <c r="J530" s="49"/>
      <c r="K530" s="49"/>
      <c r="L530" s="49"/>
      <c r="M530" s="49"/>
      <c r="N530" s="49"/>
    </row>
    <row r="531" ht="15.75" customHeight="1">
      <c r="A531" s="1"/>
      <c r="B531" s="138" t="s">
        <v>795</v>
      </c>
      <c r="C531" s="239">
        <v>5.0</v>
      </c>
      <c r="D531" s="146">
        <f>C531*D529/C529</f>
        <v>22.72727273</v>
      </c>
      <c r="E531" s="242" t="s">
        <v>366</v>
      </c>
      <c r="F531" s="515"/>
      <c r="G531" s="49"/>
      <c r="H531" s="49"/>
      <c r="I531" s="49"/>
      <c r="J531" s="49"/>
      <c r="K531" s="49"/>
      <c r="L531" s="49"/>
      <c r="M531" s="49"/>
      <c r="N531" s="49"/>
    </row>
    <row r="532" ht="15.75" customHeight="1">
      <c r="A532" s="1"/>
      <c r="B532" s="68" t="s">
        <v>31</v>
      </c>
      <c r="C532" s="210">
        <v>1100.0</v>
      </c>
      <c r="D532" s="155">
        <f t="shared" ref="D532:D536" si="37">(C532*D531)/C531</f>
        <v>5000</v>
      </c>
      <c r="E532" s="216" t="s">
        <v>18</v>
      </c>
      <c r="F532" s="515"/>
      <c r="G532" s="49"/>
      <c r="H532" s="49"/>
      <c r="I532" s="49"/>
      <c r="J532" s="49"/>
      <c r="K532" s="49"/>
      <c r="L532" s="49"/>
      <c r="M532" s="49"/>
      <c r="N532" s="49"/>
    </row>
    <row r="533" ht="15.75" customHeight="1">
      <c r="A533" s="1"/>
      <c r="B533" s="105" t="s">
        <v>13</v>
      </c>
      <c r="C533" s="541">
        <v>1200.0</v>
      </c>
      <c r="D533" s="184">
        <f t="shared" si="37"/>
        <v>5454.545455</v>
      </c>
      <c r="E533" s="518" t="s">
        <v>18</v>
      </c>
      <c r="F533" s="515"/>
      <c r="G533" s="49"/>
      <c r="H533" s="49"/>
      <c r="I533" s="49"/>
      <c r="J533" s="49"/>
      <c r="K533" s="49"/>
      <c r="L533" s="49"/>
      <c r="M533" s="49"/>
      <c r="N533" s="49"/>
    </row>
    <row r="534" ht="15.75" customHeight="1">
      <c r="A534" s="1"/>
      <c r="B534" s="68" t="s">
        <v>114</v>
      </c>
      <c r="C534" s="210">
        <v>2.5</v>
      </c>
      <c r="D534" s="155">
        <f t="shared" si="37"/>
        <v>11.36363636</v>
      </c>
      <c r="E534" s="216" t="s">
        <v>5</v>
      </c>
      <c r="F534" s="515"/>
      <c r="G534" s="49"/>
      <c r="H534" s="49"/>
      <c r="I534" s="49"/>
      <c r="J534" s="49"/>
      <c r="K534" s="49"/>
      <c r="L534" s="49"/>
      <c r="M534" s="49"/>
      <c r="N534" s="49"/>
    </row>
    <row r="535" ht="15.75" customHeight="1">
      <c r="A535" s="1"/>
      <c r="B535" s="93" t="s">
        <v>798</v>
      </c>
      <c r="C535" s="247">
        <v>5.0</v>
      </c>
      <c r="D535" s="78">
        <f t="shared" si="37"/>
        <v>22.72727273</v>
      </c>
      <c r="E535" s="249" t="s">
        <v>9</v>
      </c>
      <c r="F535" s="826" t="s">
        <v>801</v>
      </c>
      <c r="G535" s="49"/>
      <c r="H535" s="49"/>
      <c r="I535" s="49"/>
      <c r="J535" s="49"/>
      <c r="K535" s="49"/>
      <c r="L535" s="49"/>
      <c r="M535" s="49"/>
      <c r="N535" s="49"/>
    </row>
    <row r="536" ht="15.75" customHeight="1">
      <c r="A536" s="1"/>
      <c r="B536" s="105" t="s">
        <v>167</v>
      </c>
      <c r="C536" s="522">
        <v>300.0</v>
      </c>
      <c r="D536" s="56">
        <f t="shared" si="37"/>
        <v>1363.636364</v>
      </c>
      <c r="E536" s="518" t="s">
        <v>82</v>
      </c>
      <c r="F536" s="66"/>
      <c r="G536" s="49"/>
      <c r="H536" s="49"/>
      <c r="I536" s="49"/>
      <c r="J536" s="49"/>
      <c r="K536" s="49"/>
      <c r="L536" s="49"/>
      <c r="M536" s="49"/>
      <c r="N536" s="49"/>
    </row>
    <row r="537" ht="15.75" customHeight="1">
      <c r="A537" s="49"/>
      <c r="B537" s="797" t="s">
        <v>157</v>
      </c>
      <c r="C537" s="798">
        <f t="shared" ref="C537:D537" si="38">IF(C518&gt;10,C518*3.5,(4-0.05*C518)*C518)</f>
        <v>70</v>
      </c>
      <c r="D537" s="800">
        <f t="shared" si="38"/>
        <v>318.1818182</v>
      </c>
      <c r="E537" s="801" t="s">
        <v>5</v>
      </c>
      <c r="F537" s="802" t="s">
        <v>767</v>
      </c>
      <c r="G537" s="49"/>
      <c r="H537" s="49"/>
      <c r="I537" s="49"/>
      <c r="J537" s="49"/>
      <c r="K537" s="49"/>
      <c r="L537" s="49"/>
      <c r="M537" s="49"/>
      <c r="N537" s="49"/>
    </row>
    <row r="538" ht="15.75" customHeight="1">
      <c r="A538" s="1"/>
      <c r="B538" s="803" t="s">
        <v>768</v>
      </c>
      <c r="C538" s="5"/>
      <c r="D538" s="5"/>
      <c r="E538" s="6"/>
      <c r="F538" s="831"/>
      <c r="G538" s="49"/>
      <c r="H538" s="49"/>
      <c r="I538" s="49"/>
      <c r="J538" s="49"/>
      <c r="K538" s="49"/>
      <c r="L538" s="49"/>
      <c r="M538" s="49"/>
      <c r="N538" s="49"/>
    </row>
    <row r="539" ht="15.75" customHeight="1">
      <c r="A539" s="1"/>
      <c r="B539" s="63"/>
      <c r="E539" s="66"/>
      <c r="F539" s="312"/>
      <c r="G539" s="49"/>
      <c r="H539" s="49"/>
      <c r="I539" s="49"/>
      <c r="J539" s="49"/>
      <c r="K539" s="49"/>
      <c r="L539" s="49"/>
      <c r="M539" s="49"/>
      <c r="N539" s="49"/>
    </row>
    <row r="540" ht="15.75" customHeight="1">
      <c r="A540" s="1"/>
      <c r="B540" s="102"/>
      <c r="C540" s="104"/>
      <c r="D540" s="104"/>
      <c r="E540" s="106"/>
      <c r="F540" s="312"/>
      <c r="G540" s="49"/>
      <c r="H540" s="49"/>
      <c r="I540" s="49"/>
      <c r="J540" s="49"/>
      <c r="K540" s="49"/>
      <c r="L540" s="49"/>
      <c r="M540" s="49"/>
      <c r="N540" s="49"/>
    </row>
    <row r="541" ht="15.75" customHeight="1">
      <c r="A541" s="1"/>
      <c r="B541" s="299" t="s">
        <v>119</v>
      </c>
      <c r="C541" s="183" t="s">
        <v>47</v>
      </c>
      <c r="D541" s="184"/>
      <c r="E541" s="1"/>
      <c r="F541" s="1"/>
      <c r="G541" s="49"/>
      <c r="H541" s="49"/>
      <c r="I541" s="49"/>
      <c r="J541" s="49"/>
      <c r="K541" s="49"/>
      <c r="L541" s="49"/>
      <c r="M541" s="49"/>
      <c r="N541" s="49"/>
    </row>
    <row r="542" ht="18.0" customHeight="1">
      <c r="A542" s="1"/>
      <c r="B542" s="302" t="s">
        <v>49</v>
      </c>
      <c r="C542" s="303">
        <v>40805.0</v>
      </c>
      <c r="D542" s="184"/>
      <c r="E542" s="1"/>
      <c r="F542" s="1"/>
      <c r="G542" s="49"/>
      <c r="H542" s="49"/>
      <c r="I542" s="49"/>
      <c r="J542" s="49"/>
      <c r="K542" s="49"/>
      <c r="L542" s="49"/>
      <c r="M542" s="49"/>
      <c r="N542" s="49"/>
    </row>
    <row r="543" ht="18.0" customHeight="1">
      <c r="A543" s="1"/>
      <c r="B543" s="302" t="s">
        <v>50</v>
      </c>
      <c r="C543" s="303">
        <v>41787.0</v>
      </c>
      <c r="D543" s="184"/>
      <c r="E543" s="1"/>
      <c r="F543" s="1"/>
      <c r="G543" s="49"/>
      <c r="H543" s="49"/>
      <c r="I543" s="49"/>
      <c r="J543" s="49"/>
      <c r="K543" s="49"/>
      <c r="L543" s="49"/>
      <c r="M543" s="49"/>
      <c r="N543" s="49"/>
    </row>
    <row r="544" ht="18.0" customHeight="1">
      <c r="A544" s="1"/>
      <c r="B544" s="1"/>
      <c r="C544" s="1"/>
      <c r="D544" s="184"/>
      <c r="E544" s="1"/>
      <c r="F544" s="1"/>
      <c r="G544" s="49"/>
      <c r="H544" s="49"/>
      <c r="I544" s="49"/>
      <c r="J544" s="49"/>
      <c r="K544" s="49"/>
      <c r="L544" s="49"/>
      <c r="M544" s="49"/>
      <c r="N544" s="49"/>
    </row>
    <row r="545" ht="18.0" customHeight="1">
      <c r="A545" s="1"/>
      <c r="B545" s="49"/>
      <c r="C545" s="49"/>
      <c r="D545" s="184"/>
      <c r="E545" s="1"/>
      <c r="F545" s="1"/>
      <c r="G545" s="1"/>
      <c r="H545" s="49"/>
      <c r="I545" s="49"/>
      <c r="J545" s="49"/>
      <c r="K545" s="49"/>
      <c r="L545" s="49"/>
      <c r="M545" s="49"/>
      <c r="N545" s="49"/>
    </row>
    <row r="546" ht="15.75" customHeight="1">
      <c r="A546" s="1"/>
      <c r="B546" s="1"/>
      <c r="C546" s="1"/>
      <c r="D546" s="184"/>
      <c r="E546" s="1"/>
      <c r="F546" s="1"/>
      <c r="G546" s="49"/>
      <c r="H546" s="49"/>
      <c r="I546" s="49"/>
      <c r="J546" s="49"/>
      <c r="K546" s="49"/>
      <c r="L546" s="49"/>
      <c r="M546" s="49"/>
      <c r="N546" s="49"/>
    </row>
    <row r="547" ht="15.75" customHeight="1">
      <c r="A547" s="1"/>
      <c r="B547" s="206" t="s">
        <v>816</v>
      </c>
      <c r="C547" s="5"/>
      <c r="D547" s="5"/>
      <c r="E547" s="6"/>
      <c r="F547" s="1"/>
      <c r="G547" s="49"/>
      <c r="H547" s="49"/>
      <c r="I547" s="49"/>
      <c r="J547" s="49"/>
      <c r="K547" s="49"/>
      <c r="L547" s="49"/>
      <c r="M547" s="49"/>
      <c r="N547" s="49"/>
    </row>
    <row r="548" ht="15.75" customHeight="1">
      <c r="A548" s="1"/>
      <c r="B548" s="51" t="s">
        <v>1</v>
      </c>
      <c r="C548" s="53">
        <v>125.0</v>
      </c>
      <c r="D548" s="540">
        <v>500.0</v>
      </c>
      <c r="E548" s="514" t="s">
        <v>9</v>
      </c>
      <c r="F548" s="207"/>
      <c r="G548" s="49"/>
      <c r="H548" s="49"/>
      <c r="I548" s="49"/>
      <c r="J548" s="49"/>
      <c r="K548" s="49"/>
      <c r="L548" s="49"/>
      <c r="M548" s="49"/>
      <c r="N548" s="49"/>
    </row>
    <row r="549" ht="19.5" customHeight="1">
      <c r="A549" s="1"/>
      <c r="B549" s="68" t="s">
        <v>53</v>
      </c>
      <c r="C549" s="210">
        <v>3.6</v>
      </c>
      <c r="D549" s="516">
        <f t="shared" ref="D549:D555" si="39">(C549*D548)/C548</f>
        <v>14.4</v>
      </c>
      <c r="E549" s="216" t="s">
        <v>14</v>
      </c>
      <c r="F549" s="207"/>
      <c r="G549" s="49"/>
      <c r="H549" s="49"/>
      <c r="I549" s="49"/>
      <c r="J549" s="49"/>
      <c r="K549" s="49"/>
      <c r="L549" s="49"/>
      <c r="M549" s="49"/>
      <c r="N549" s="49"/>
    </row>
    <row r="550" ht="15.0" customHeight="1">
      <c r="A550" s="1"/>
      <c r="B550" s="93" t="s">
        <v>311</v>
      </c>
      <c r="C550" s="247">
        <v>1.0</v>
      </c>
      <c r="D550" s="521">
        <f t="shared" si="39"/>
        <v>4</v>
      </c>
      <c r="E550" s="249" t="s">
        <v>14</v>
      </c>
      <c r="F550" s="264" t="s">
        <v>818</v>
      </c>
      <c r="G550" s="49"/>
      <c r="H550" s="49"/>
      <c r="I550" s="49"/>
      <c r="J550" s="49"/>
      <c r="K550" s="49"/>
      <c r="L550" s="49"/>
      <c r="M550" s="49"/>
      <c r="N550" s="49"/>
    </row>
    <row r="551" ht="15.75" customHeight="1">
      <c r="A551" s="1"/>
      <c r="B551" s="93" t="s">
        <v>819</v>
      </c>
      <c r="C551" s="247">
        <v>0.11</v>
      </c>
      <c r="D551" s="521">
        <f t="shared" si="39"/>
        <v>0.44</v>
      </c>
      <c r="E551" s="249" t="s">
        <v>14</v>
      </c>
      <c r="F551" s="66"/>
      <c r="G551" s="49"/>
      <c r="H551" s="49"/>
      <c r="I551" s="49"/>
      <c r="J551" s="49"/>
      <c r="K551" s="49"/>
      <c r="L551" s="49"/>
      <c r="M551" s="49"/>
      <c r="N551" s="49"/>
    </row>
    <row r="552" ht="15.75" customHeight="1">
      <c r="A552" s="1"/>
      <c r="B552" s="105" t="s">
        <v>63</v>
      </c>
      <c r="C552" s="522">
        <v>0.035</v>
      </c>
      <c r="D552" s="517">
        <f t="shared" si="39"/>
        <v>0.14</v>
      </c>
      <c r="E552" s="518" t="s">
        <v>14</v>
      </c>
      <c r="F552" s="66"/>
      <c r="G552" s="49"/>
      <c r="H552" s="49"/>
      <c r="I552" s="49"/>
      <c r="J552" s="49"/>
      <c r="K552" s="49"/>
      <c r="L552" s="49"/>
      <c r="M552" s="49"/>
      <c r="N552" s="49"/>
    </row>
    <row r="553" ht="15.75" customHeight="1">
      <c r="A553" s="193"/>
      <c r="B553" s="417" t="s">
        <v>31</v>
      </c>
      <c r="C553" s="541">
        <v>185.0</v>
      </c>
      <c r="D553" s="519">
        <f t="shared" si="39"/>
        <v>740</v>
      </c>
      <c r="E553" s="543" t="s">
        <v>18</v>
      </c>
      <c r="F553" s="106"/>
      <c r="G553" s="49"/>
      <c r="H553" s="49"/>
      <c r="I553" s="49"/>
      <c r="J553" s="49"/>
      <c r="K553" s="49"/>
      <c r="L553" s="49"/>
      <c r="M553" s="49"/>
      <c r="N553" s="49"/>
    </row>
    <row r="554" ht="15.0" customHeight="1">
      <c r="A554" s="193"/>
      <c r="B554" s="105" t="s">
        <v>13</v>
      </c>
      <c r="C554" s="522">
        <v>0.11</v>
      </c>
      <c r="D554" s="517">
        <f t="shared" si="39"/>
        <v>0.44</v>
      </c>
      <c r="E554" s="518" t="s">
        <v>14</v>
      </c>
      <c r="F554" s="207"/>
      <c r="G554" s="49"/>
      <c r="H554" s="49"/>
      <c r="I554" s="49"/>
      <c r="J554" s="49"/>
      <c r="K554" s="49"/>
      <c r="L554" s="49"/>
      <c r="M554" s="49"/>
      <c r="N554" s="49"/>
    </row>
    <row r="555" ht="15.0" customHeight="1">
      <c r="A555" s="1"/>
      <c r="B555" s="68" t="s">
        <v>203</v>
      </c>
      <c r="C555" s="210">
        <v>75.0</v>
      </c>
      <c r="D555" s="516">
        <f t="shared" si="39"/>
        <v>300</v>
      </c>
      <c r="E555" s="216" t="s">
        <v>18</v>
      </c>
      <c r="F555" s="207"/>
      <c r="G555" s="49"/>
      <c r="H555" s="49"/>
      <c r="I555" s="49"/>
      <c r="J555" s="49"/>
      <c r="K555" s="49"/>
      <c r="L555" s="49"/>
      <c r="M555" s="49"/>
      <c r="N555" s="49"/>
    </row>
    <row r="556" ht="15.75" customHeight="1">
      <c r="A556" s="1"/>
      <c r="B556" s="93" t="s">
        <v>822</v>
      </c>
      <c r="C556" s="247">
        <v>75.0</v>
      </c>
      <c r="D556" s="521">
        <f>(C556*D557)/C557</f>
        <v>300</v>
      </c>
      <c r="E556" s="249" t="s">
        <v>18</v>
      </c>
      <c r="F556" s="207"/>
      <c r="G556" s="49"/>
      <c r="H556" s="49"/>
      <c r="I556" s="49"/>
      <c r="J556" s="49"/>
      <c r="K556" s="49"/>
      <c r="L556" s="49"/>
      <c r="M556" s="49"/>
      <c r="N556" s="49"/>
    </row>
    <row r="557" ht="15.0" customHeight="1">
      <c r="A557" s="1"/>
      <c r="B557" s="93" t="s">
        <v>213</v>
      </c>
      <c r="C557" s="247">
        <v>0.7</v>
      </c>
      <c r="D557" s="521">
        <f t="shared" ref="D557:D558" si="40">(C557*D555)/C555</f>
        <v>2.8</v>
      </c>
      <c r="E557" s="249" t="s">
        <v>5</v>
      </c>
      <c r="F557" s="207"/>
      <c r="G557" s="49"/>
      <c r="H557" s="49"/>
      <c r="I557" s="49"/>
      <c r="J557" s="49"/>
      <c r="K557" s="49"/>
      <c r="L557" s="49"/>
      <c r="M557" s="49"/>
      <c r="N557" s="49"/>
    </row>
    <row r="558" ht="15.75" customHeight="1">
      <c r="A558" s="1"/>
      <c r="B558" s="138" t="s">
        <v>350</v>
      </c>
      <c r="C558" s="239">
        <v>0.75</v>
      </c>
      <c r="D558" s="842">
        <f t="shared" si="40"/>
        <v>3</v>
      </c>
      <c r="E558" s="242" t="s">
        <v>9</v>
      </c>
      <c r="F558" s="207"/>
      <c r="G558" s="49"/>
      <c r="H558" s="49"/>
      <c r="I558" s="49"/>
      <c r="J558" s="49"/>
      <c r="K558" s="49"/>
      <c r="L558" s="49"/>
      <c r="M558" s="49"/>
      <c r="N558" s="49"/>
    </row>
    <row r="559" ht="15.75" customHeight="1">
      <c r="A559" s="1"/>
      <c r="B559" s="68" t="s">
        <v>197</v>
      </c>
      <c r="C559" s="210">
        <v>1.1</v>
      </c>
      <c r="D559" s="516">
        <f t="shared" ref="D559:D561" si="41">(C559*D558)/C558</f>
        <v>4.4</v>
      </c>
      <c r="E559" s="216" t="s">
        <v>14</v>
      </c>
      <c r="F559" s="207"/>
      <c r="G559" s="49"/>
      <c r="H559" s="49"/>
      <c r="I559" s="49"/>
      <c r="J559" s="49"/>
      <c r="K559" s="49"/>
      <c r="L559" s="49"/>
      <c r="M559" s="49"/>
      <c r="N559" s="49"/>
    </row>
    <row r="560" ht="15.75" customHeight="1">
      <c r="A560" s="1"/>
      <c r="B560" s="149" t="s">
        <v>830</v>
      </c>
      <c r="C560" s="272">
        <v>10.0</v>
      </c>
      <c r="D560" s="556">
        <f t="shared" si="41"/>
        <v>40</v>
      </c>
      <c r="E560" s="288" t="s">
        <v>5</v>
      </c>
      <c r="F560" s="207"/>
      <c r="G560" s="49"/>
      <c r="H560" s="49"/>
      <c r="I560" s="49"/>
      <c r="J560" s="49"/>
      <c r="K560" s="49"/>
      <c r="L560" s="49"/>
      <c r="M560" s="49"/>
      <c r="N560" s="49"/>
    </row>
    <row r="561" ht="15.75" customHeight="1">
      <c r="A561" s="1"/>
      <c r="B561" s="173" t="s">
        <v>342</v>
      </c>
      <c r="C561" s="545">
        <v>0.55</v>
      </c>
      <c r="D561" s="546">
        <f t="shared" si="41"/>
        <v>2.2</v>
      </c>
      <c r="E561" s="547" t="s">
        <v>5</v>
      </c>
      <c r="F561" s="207"/>
      <c r="G561" s="49"/>
      <c r="H561" s="49"/>
      <c r="I561" s="49"/>
      <c r="J561" s="49"/>
      <c r="K561" s="49"/>
      <c r="L561" s="49"/>
      <c r="M561" s="49"/>
      <c r="N561" s="49"/>
    </row>
    <row r="562" ht="15.75" customHeight="1">
      <c r="A562" s="1"/>
      <c r="B562" s="299" t="s">
        <v>119</v>
      </c>
      <c r="C562" s="183" t="s">
        <v>47</v>
      </c>
      <c r="D562" s="184"/>
      <c r="E562" s="1"/>
      <c r="F562" s="207"/>
      <c r="G562" s="49"/>
      <c r="H562" s="49"/>
      <c r="I562" s="49"/>
      <c r="J562" s="49"/>
      <c r="K562" s="49"/>
      <c r="L562" s="49"/>
      <c r="M562" s="49"/>
      <c r="N562" s="49"/>
    </row>
    <row r="563" ht="15.0" customHeight="1">
      <c r="A563" s="1"/>
      <c r="B563" s="550" t="s">
        <v>49</v>
      </c>
      <c r="C563" s="551">
        <v>41436.0</v>
      </c>
      <c r="D563" s="184"/>
      <c r="E563" s="49"/>
      <c r="F563" s="590"/>
      <c r="G563" s="49"/>
      <c r="H563" s="49"/>
      <c r="I563" s="49"/>
      <c r="J563" s="49"/>
      <c r="K563" s="49"/>
      <c r="L563" s="49"/>
      <c r="M563" s="49"/>
      <c r="N563" s="49"/>
    </row>
    <row r="564" ht="15.75" customHeight="1">
      <c r="A564" s="1"/>
      <c r="B564" s="552" t="s">
        <v>50</v>
      </c>
      <c r="C564" s="551">
        <v>42937.0</v>
      </c>
      <c r="D564" s="184"/>
      <c r="E564" s="49"/>
      <c r="F564" s="49"/>
      <c r="G564" s="49"/>
      <c r="H564" s="49"/>
      <c r="I564" s="49"/>
      <c r="J564" s="49"/>
      <c r="K564" s="49"/>
      <c r="L564" s="49"/>
      <c r="M564" s="49"/>
      <c r="N564" s="49"/>
    </row>
    <row r="565" ht="15.75" customHeight="1">
      <c r="A565" s="1"/>
      <c r="B565" s="1"/>
      <c r="C565" s="1"/>
      <c r="D565" s="184"/>
      <c r="E565" s="1"/>
      <c r="F565" s="49"/>
      <c r="G565" s="49"/>
      <c r="H565" s="49"/>
      <c r="I565" s="49"/>
      <c r="J565" s="49"/>
      <c r="K565" s="49"/>
      <c r="L565" s="49"/>
      <c r="M565" s="49"/>
      <c r="N565" s="49"/>
    </row>
    <row r="566" ht="18.0" customHeight="1">
      <c r="A566" s="1"/>
      <c r="B566" s="206" t="s">
        <v>839</v>
      </c>
      <c r="C566" s="5"/>
      <c r="D566" s="5"/>
      <c r="E566" s="6"/>
      <c r="F566" s="207"/>
      <c r="G566" s="49"/>
      <c r="H566" s="49"/>
      <c r="I566" s="49"/>
      <c r="J566" s="49"/>
      <c r="K566" s="49"/>
      <c r="L566" s="49"/>
      <c r="M566" s="49"/>
      <c r="N566" s="49"/>
    </row>
    <row r="567" ht="15.0" customHeight="1">
      <c r="A567" s="1"/>
      <c r="B567" s="51" t="s">
        <v>1</v>
      </c>
      <c r="C567" s="53">
        <v>100.0</v>
      </c>
      <c r="D567" s="540">
        <v>1150.0</v>
      </c>
      <c r="E567" s="514" t="s">
        <v>9</v>
      </c>
      <c r="F567" s="207"/>
      <c r="G567" s="49"/>
      <c r="H567" s="49"/>
      <c r="I567" s="49"/>
      <c r="J567" s="49"/>
      <c r="K567" s="49"/>
      <c r="L567" s="49"/>
      <c r="M567" s="49"/>
      <c r="N567" s="49"/>
    </row>
    <row r="568" ht="18.0" customHeight="1">
      <c r="A568" s="1"/>
      <c r="B568" s="68" t="s">
        <v>338</v>
      </c>
      <c r="C568" s="210">
        <v>2.7</v>
      </c>
      <c r="D568" s="516">
        <f t="shared" ref="D568:D574" si="42">(C568*D567)/C567</f>
        <v>31.05</v>
      </c>
      <c r="E568" s="216" t="s">
        <v>14</v>
      </c>
      <c r="F568" s="207"/>
      <c r="G568" s="49"/>
      <c r="H568" s="49"/>
      <c r="I568" s="49"/>
      <c r="J568" s="49"/>
      <c r="K568" s="49"/>
      <c r="L568" s="49"/>
      <c r="M568" s="49"/>
      <c r="N568" s="49"/>
    </row>
    <row r="569" ht="18.0" customHeight="1">
      <c r="A569" s="1"/>
      <c r="B569" s="93" t="s">
        <v>311</v>
      </c>
      <c r="C569" s="247">
        <v>0.9</v>
      </c>
      <c r="D569" s="521">
        <f t="shared" si="42"/>
        <v>10.35</v>
      </c>
      <c r="E569" s="249" t="s">
        <v>14</v>
      </c>
      <c r="F569" s="264"/>
      <c r="G569" s="49"/>
      <c r="H569" s="49"/>
      <c r="I569" s="49"/>
      <c r="J569" s="49"/>
      <c r="K569" s="49"/>
      <c r="L569" s="49"/>
      <c r="M569" s="49"/>
      <c r="N569" s="49"/>
    </row>
    <row r="570" ht="18.0" customHeight="1">
      <c r="A570" s="1"/>
      <c r="B570" s="93" t="s">
        <v>819</v>
      </c>
      <c r="C570" s="247">
        <v>0.1</v>
      </c>
      <c r="D570" s="521">
        <f t="shared" si="42"/>
        <v>1.15</v>
      </c>
      <c r="E570" s="249" t="s">
        <v>14</v>
      </c>
      <c r="F570" s="66"/>
      <c r="G570" s="49"/>
      <c r="H570" s="49"/>
      <c r="I570" s="49"/>
      <c r="J570" s="49"/>
      <c r="K570" s="49"/>
      <c r="L570" s="49"/>
      <c r="M570" s="49"/>
      <c r="N570" s="49"/>
    </row>
    <row r="571" ht="18.0" customHeight="1">
      <c r="A571" s="1"/>
      <c r="B571" s="105" t="s">
        <v>63</v>
      </c>
      <c r="C571" s="522">
        <v>35.0</v>
      </c>
      <c r="D571" s="517">
        <f t="shared" si="42"/>
        <v>402.5</v>
      </c>
      <c r="E571" s="518" t="s">
        <v>18</v>
      </c>
      <c r="F571" s="66"/>
      <c r="G571" s="49"/>
      <c r="H571" s="49"/>
      <c r="I571" s="49"/>
      <c r="J571" s="49"/>
      <c r="K571" s="49"/>
      <c r="L571" s="49"/>
      <c r="M571" s="49"/>
      <c r="N571" s="49"/>
    </row>
    <row r="572" ht="18.0" customHeight="1">
      <c r="A572" s="193"/>
      <c r="B572" s="417" t="s">
        <v>31</v>
      </c>
      <c r="C572" s="541">
        <v>199.99999999999997</v>
      </c>
      <c r="D572" s="519">
        <f t="shared" si="42"/>
        <v>2300</v>
      </c>
      <c r="E572" s="543" t="s">
        <v>18</v>
      </c>
      <c r="F572" s="106"/>
      <c r="G572" s="49"/>
      <c r="H572" s="49"/>
      <c r="I572" s="49"/>
      <c r="J572" s="49"/>
      <c r="K572" s="49"/>
      <c r="L572" s="49"/>
      <c r="M572" s="49"/>
      <c r="N572" s="49"/>
    </row>
    <row r="573" ht="18.0" customHeight="1">
      <c r="A573" s="193"/>
      <c r="B573" s="105" t="s">
        <v>13</v>
      </c>
      <c r="C573" s="522">
        <v>0.15</v>
      </c>
      <c r="D573" s="517">
        <f t="shared" si="42"/>
        <v>1.725</v>
      </c>
      <c r="E573" s="518" t="s">
        <v>14</v>
      </c>
      <c r="F573" s="207"/>
      <c r="G573" s="49"/>
      <c r="H573" s="49"/>
      <c r="I573" s="49"/>
      <c r="J573" s="49"/>
      <c r="K573" s="49"/>
      <c r="L573" s="49"/>
      <c r="M573" s="49"/>
      <c r="N573" s="49"/>
    </row>
    <row r="574" ht="18.0" customHeight="1">
      <c r="A574" s="193"/>
      <c r="B574" s="68" t="s">
        <v>203</v>
      </c>
      <c r="C574" s="210">
        <v>150.0</v>
      </c>
      <c r="D574" s="516">
        <f t="shared" si="42"/>
        <v>1725</v>
      </c>
      <c r="E574" s="216" t="s">
        <v>18</v>
      </c>
      <c r="F574" s="207"/>
      <c r="G574" s="49"/>
      <c r="H574" s="49"/>
      <c r="I574" s="49"/>
      <c r="J574" s="49"/>
      <c r="K574" s="49"/>
      <c r="L574" s="49"/>
      <c r="M574" s="49"/>
      <c r="N574" s="49"/>
    </row>
    <row r="575" ht="18.0" customHeight="1">
      <c r="A575" s="1"/>
      <c r="B575" s="93" t="s">
        <v>822</v>
      </c>
      <c r="C575" s="247">
        <v>75.0</v>
      </c>
      <c r="D575" s="521">
        <f>(C575*D576)/C576</f>
        <v>862.5</v>
      </c>
      <c r="E575" s="249" t="s">
        <v>18</v>
      </c>
      <c r="F575" s="207"/>
      <c r="G575" s="49"/>
      <c r="H575" s="49"/>
      <c r="I575" s="49"/>
      <c r="J575" s="49"/>
      <c r="K575" s="49"/>
      <c r="L575" s="49"/>
      <c r="M575" s="49"/>
      <c r="N575" s="49"/>
    </row>
    <row r="576" ht="18.0" customHeight="1">
      <c r="A576" s="1"/>
      <c r="B576" s="93" t="s">
        <v>213</v>
      </c>
      <c r="C576" s="247">
        <v>1.0</v>
      </c>
      <c r="D576" s="521">
        <f t="shared" ref="D576:D577" si="43">(C576*D574)/C574</f>
        <v>11.5</v>
      </c>
      <c r="E576" s="249" t="s">
        <v>5</v>
      </c>
      <c r="F576" s="207"/>
      <c r="G576" s="49"/>
      <c r="H576" s="49"/>
      <c r="I576" s="49"/>
      <c r="J576" s="49"/>
      <c r="K576" s="49"/>
      <c r="L576" s="49"/>
      <c r="M576" s="49"/>
      <c r="N576" s="49"/>
    </row>
    <row r="577" ht="18.0" customHeight="1">
      <c r="A577" s="1"/>
      <c r="B577" s="138" t="s">
        <v>350</v>
      </c>
      <c r="C577" s="239">
        <v>250.0</v>
      </c>
      <c r="D577" s="842">
        <f t="shared" si="43"/>
        <v>2875</v>
      </c>
      <c r="E577" s="242" t="s">
        <v>18</v>
      </c>
      <c r="F577" s="207"/>
      <c r="G577" s="49"/>
      <c r="H577" s="49"/>
      <c r="I577" s="49"/>
      <c r="J577" s="49"/>
      <c r="K577" s="49"/>
      <c r="L577" s="49"/>
      <c r="M577" s="49"/>
      <c r="N577" s="49"/>
    </row>
    <row r="578" ht="18.0" customHeight="1">
      <c r="A578" s="1"/>
      <c r="B578" s="138" t="s">
        <v>858</v>
      </c>
      <c r="C578" s="239">
        <v>1.0</v>
      </c>
      <c r="D578" s="842">
        <f t="shared" ref="D578:D584" si="44">(C578*D577)/C577</f>
        <v>11.5</v>
      </c>
      <c r="E578" s="242" t="s">
        <v>9</v>
      </c>
      <c r="F578" s="207"/>
      <c r="G578" s="49"/>
      <c r="H578" s="49"/>
      <c r="I578" s="49"/>
      <c r="J578" s="49"/>
      <c r="K578" s="49"/>
      <c r="L578" s="49"/>
      <c r="M578" s="49"/>
      <c r="N578" s="49"/>
    </row>
    <row r="579" ht="18.0" customHeight="1">
      <c r="A579" s="1"/>
      <c r="B579" s="68" t="s">
        <v>197</v>
      </c>
      <c r="C579" s="210">
        <v>1.25</v>
      </c>
      <c r="D579" s="516">
        <f t="shared" si="44"/>
        <v>14.375</v>
      </c>
      <c r="E579" s="216" t="s">
        <v>14</v>
      </c>
      <c r="F579" s="207"/>
      <c r="G579" s="49"/>
      <c r="H579" s="49"/>
      <c r="I579" s="49"/>
      <c r="J579" s="49"/>
      <c r="K579" s="49"/>
      <c r="L579" s="49"/>
      <c r="M579" s="49"/>
      <c r="N579" s="49"/>
    </row>
    <row r="580" ht="18.0" customHeight="1">
      <c r="A580" s="1"/>
      <c r="B580" s="93" t="s">
        <v>861</v>
      </c>
      <c r="C580" s="247">
        <v>1.0</v>
      </c>
      <c r="D580" s="521">
        <f t="shared" si="44"/>
        <v>11.5</v>
      </c>
      <c r="E580" s="249" t="s">
        <v>14</v>
      </c>
      <c r="F580" s="207"/>
      <c r="G580" s="49"/>
      <c r="H580" s="49"/>
      <c r="I580" s="49"/>
      <c r="J580" s="49"/>
      <c r="K580" s="49"/>
      <c r="L580" s="49"/>
      <c r="M580" s="49"/>
      <c r="N580" s="49"/>
    </row>
    <row r="581" ht="15.0" customHeight="1">
      <c r="A581" s="1"/>
      <c r="B581" s="93" t="s">
        <v>862</v>
      </c>
      <c r="C581" s="247">
        <v>0.25</v>
      </c>
      <c r="D581" s="521">
        <f t="shared" si="44"/>
        <v>2.875</v>
      </c>
      <c r="E581" s="249" t="s">
        <v>14</v>
      </c>
      <c r="F581" s="207"/>
      <c r="G581" s="49"/>
      <c r="H581" s="49"/>
      <c r="I581" s="49"/>
      <c r="J581" s="49"/>
      <c r="K581" s="49"/>
      <c r="L581" s="49"/>
      <c r="M581" s="49"/>
      <c r="N581" s="49"/>
    </row>
    <row r="582" ht="15.75" customHeight="1">
      <c r="A582" s="1"/>
      <c r="B582" s="93" t="s">
        <v>863</v>
      </c>
      <c r="C582" s="247">
        <v>0.5</v>
      </c>
      <c r="D582" s="521">
        <f t="shared" si="44"/>
        <v>5.75</v>
      </c>
      <c r="E582" s="249" t="s">
        <v>14</v>
      </c>
      <c r="F582" s="207"/>
      <c r="G582" s="49"/>
      <c r="H582" s="49"/>
      <c r="I582" s="49"/>
      <c r="J582" s="49"/>
      <c r="K582" s="49"/>
      <c r="L582" s="49"/>
      <c r="M582" s="49"/>
      <c r="N582" s="49"/>
    </row>
    <row r="583" ht="18.0" customHeight="1">
      <c r="A583" s="1"/>
      <c r="B583" s="149" t="s">
        <v>830</v>
      </c>
      <c r="C583" s="272">
        <v>14.999999999999998</v>
      </c>
      <c r="D583" s="556">
        <f t="shared" si="44"/>
        <v>172.5</v>
      </c>
      <c r="E583" s="288" t="s">
        <v>5</v>
      </c>
      <c r="F583" s="207"/>
      <c r="G583" s="49"/>
      <c r="H583" s="49"/>
      <c r="I583" s="49"/>
      <c r="J583" s="49"/>
      <c r="K583" s="49"/>
      <c r="L583" s="49"/>
      <c r="M583" s="49"/>
      <c r="N583" s="49"/>
    </row>
    <row r="584" ht="15.0" customHeight="1">
      <c r="A584" s="1"/>
      <c r="B584" s="173" t="s">
        <v>342</v>
      </c>
      <c r="C584" s="545">
        <v>0.75</v>
      </c>
      <c r="D584" s="546">
        <f t="shared" si="44"/>
        <v>8.625</v>
      </c>
      <c r="E584" s="547" t="s">
        <v>5</v>
      </c>
      <c r="F584" s="207"/>
      <c r="G584" s="49"/>
      <c r="H584" s="49"/>
      <c r="I584" s="49"/>
      <c r="J584" s="49"/>
      <c r="K584" s="49"/>
      <c r="L584" s="49"/>
      <c r="M584" s="49"/>
      <c r="N584" s="49"/>
    </row>
    <row r="585" ht="15.75" customHeight="1">
      <c r="A585" s="1"/>
      <c r="B585" s="299" t="s">
        <v>119</v>
      </c>
      <c r="C585" s="183" t="s">
        <v>47</v>
      </c>
      <c r="D585" s="184"/>
      <c r="E585" s="49"/>
      <c r="F585" s="207"/>
      <c r="G585" s="49"/>
      <c r="H585" s="49"/>
      <c r="I585" s="49"/>
      <c r="J585" s="49"/>
      <c r="K585" s="49"/>
      <c r="L585" s="49"/>
      <c r="M585" s="49"/>
      <c r="N585" s="49"/>
    </row>
    <row r="586" ht="15.75" customHeight="1">
      <c r="A586" s="1"/>
      <c r="B586" s="550" t="s">
        <v>49</v>
      </c>
      <c r="C586" s="551">
        <v>41436.0</v>
      </c>
      <c r="D586" s="184"/>
      <c r="E586" s="49"/>
      <c r="F586" s="49"/>
      <c r="G586" s="49"/>
      <c r="H586" s="49"/>
      <c r="I586" s="49"/>
      <c r="J586" s="49"/>
      <c r="K586" s="49"/>
      <c r="L586" s="49"/>
      <c r="M586" s="49"/>
      <c r="N586" s="49"/>
    </row>
    <row r="587" ht="15.75" customHeight="1">
      <c r="A587" s="1"/>
      <c r="B587" s="552" t="s">
        <v>50</v>
      </c>
      <c r="C587" s="551">
        <v>41803.0</v>
      </c>
      <c r="D587" s="184"/>
      <c r="E587" s="49"/>
      <c r="F587" s="49"/>
      <c r="G587" s="49"/>
      <c r="H587" s="49"/>
      <c r="I587" s="49"/>
      <c r="J587" s="49"/>
      <c r="K587" s="49"/>
      <c r="L587" s="49"/>
      <c r="M587" s="49"/>
      <c r="N587" s="49"/>
    </row>
    <row r="588" ht="18.75" customHeight="1">
      <c r="A588" s="1"/>
      <c r="B588" s="1"/>
      <c r="C588" s="1"/>
      <c r="D588" s="184"/>
      <c r="E588" s="1"/>
      <c r="F588" s="49"/>
      <c r="G588" s="49"/>
      <c r="H588" s="49"/>
      <c r="I588" s="49"/>
      <c r="J588" s="49"/>
      <c r="K588" s="49"/>
      <c r="L588" s="49"/>
      <c r="M588" s="49"/>
      <c r="N588" s="49"/>
    </row>
    <row r="589" ht="15.75" customHeight="1">
      <c r="A589" s="1"/>
      <c r="B589" s="511" t="s">
        <v>871</v>
      </c>
      <c r="C589" s="18"/>
      <c r="D589" s="18"/>
      <c r="E589" s="19"/>
      <c r="F589" s="1"/>
      <c r="G589" s="870"/>
      <c r="H589" s="49"/>
      <c r="I589" s="49"/>
      <c r="J589" s="49"/>
      <c r="K589" s="49"/>
      <c r="L589" s="49"/>
      <c r="M589" s="49"/>
      <c r="N589" s="49"/>
    </row>
    <row r="590" ht="15.75" customHeight="1">
      <c r="A590" s="1"/>
      <c r="B590" s="417" t="s">
        <v>1</v>
      </c>
      <c r="C590" s="541">
        <v>100.0</v>
      </c>
      <c r="D590" s="542">
        <v>10.0</v>
      </c>
      <c r="E590" s="543" t="s">
        <v>5</v>
      </c>
      <c r="F590" s="207"/>
      <c r="G590" s="870"/>
      <c r="H590" s="49"/>
      <c r="I590" s="49"/>
      <c r="J590" s="49"/>
      <c r="K590" s="49"/>
      <c r="L590" s="49"/>
      <c r="M590" s="49"/>
      <c r="N590" s="49"/>
    </row>
    <row r="591" ht="15.75" customHeight="1">
      <c r="A591" s="193"/>
      <c r="B591" s="68" t="s">
        <v>873</v>
      </c>
      <c r="C591" s="73">
        <v>12.0</v>
      </c>
      <c r="D591" s="73">
        <f t="shared" ref="D591:D602" si="45">(C591*D590)/C590</f>
        <v>1.2</v>
      </c>
      <c r="E591" s="216" t="s">
        <v>14</v>
      </c>
      <c r="F591" s="207"/>
      <c r="G591" s="870"/>
      <c r="H591" s="49"/>
      <c r="I591" s="49"/>
      <c r="J591" s="49"/>
      <c r="K591" s="49"/>
      <c r="L591" s="49"/>
      <c r="M591" s="49"/>
      <c r="N591" s="49"/>
    </row>
    <row r="592" ht="15.75" customHeight="1">
      <c r="A592" s="193"/>
      <c r="B592" s="93" t="s">
        <v>876</v>
      </c>
      <c r="C592" s="94">
        <v>8.0</v>
      </c>
      <c r="D592" s="94">
        <f t="shared" si="45"/>
        <v>0.8</v>
      </c>
      <c r="E592" s="249" t="s">
        <v>14</v>
      </c>
      <c r="F592" s="44" t="s">
        <v>878</v>
      </c>
      <c r="G592" s="870"/>
      <c r="H592" s="49"/>
      <c r="I592" s="49"/>
      <c r="J592" s="49"/>
      <c r="K592" s="49"/>
      <c r="L592" s="49"/>
      <c r="M592" s="49"/>
      <c r="N592" s="49"/>
    </row>
    <row r="593" ht="15.75" customHeight="1">
      <c r="A593" s="193"/>
      <c r="B593" s="105" t="s">
        <v>31</v>
      </c>
      <c r="C593" s="110">
        <v>1150.0</v>
      </c>
      <c r="D593" s="110">
        <f t="shared" si="45"/>
        <v>115</v>
      </c>
      <c r="E593" s="518" t="s">
        <v>18</v>
      </c>
      <c r="F593" s="47"/>
      <c r="G593" s="870"/>
      <c r="H593" s="49"/>
      <c r="I593" s="49"/>
      <c r="J593" s="49"/>
      <c r="K593" s="49"/>
      <c r="L593" s="49"/>
      <c r="M593" s="49"/>
      <c r="N593" s="49"/>
    </row>
    <row r="594" ht="15.75" customHeight="1">
      <c r="A594" s="193"/>
      <c r="B594" s="119" t="s">
        <v>882</v>
      </c>
      <c r="C594" s="122">
        <v>80.0</v>
      </c>
      <c r="D594" s="122">
        <f t="shared" si="45"/>
        <v>8</v>
      </c>
      <c r="E594" s="520" t="s">
        <v>5</v>
      </c>
      <c r="F594" s="47"/>
      <c r="G594" s="870"/>
      <c r="H594" s="49"/>
      <c r="I594" s="49"/>
      <c r="J594" s="49"/>
      <c r="K594" s="49"/>
      <c r="L594" s="49"/>
      <c r="M594" s="49"/>
      <c r="N594" s="49"/>
    </row>
    <row r="595" ht="15.75" customHeight="1">
      <c r="A595" s="193"/>
      <c r="B595" s="138" t="s">
        <v>883</v>
      </c>
      <c r="C595" s="143">
        <v>400.0</v>
      </c>
      <c r="D595" s="143">
        <f t="shared" si="45"/>
        <v>40</v>
      </c>
      <c r="E595" s="242" t="s">
        <v>18</v>
      </c>
      <c r="F595" s="47"/>
      <c r="G595" s="870"/>
      <c r="H595" s="49"/>
      <c r="I595" s="49"/>
      <c r="J595" s="49"/>
      <c r="K595" s="49"/>
      <c r="L595" s="49"/>
      <c r="M595" s="49"/>
      <c r="N595" s="49"/>
    </row>
    <row r="596" ht="15.75" customHeight="1">
      <c r="A596" s="193"/>
      <c r="B596" s="68" t="s">
        <v>743</v>
      </c>
      <c r="C596" s="73">
        <v>2.5</v>
      </c>
      <c r="D596" s="73">
        <f t="shared" si="45"/>
        <v>0.25</v>
      </c>
      <c r="E596" s="216" t="s">
        <v>5</v>
      </c>
      <c r="F596" s="76"/>
      <c r="G596" s="870"/>
      <c r="H596" s="49"/>
      <c r="I596" s="49"/>
      <c r="J596" s="49"/>
      <c r="K596" s="49"/>
      <c r="L596" s="49"/>
      <c r="M596" s="49"/>
      <c r="N596" s="49"/>
    </row>
    <row r="597" ht="15.75" customHeight="1">
      <c r="A597" s="193"/>
      <c r="B597" s="93" t="s">
        <v>884</v>
      </c>
      <c r="C597" s="94">
        <v>150.00000000000006</v>
      </c>
      <c r="D597" s="94">
        <f t="shared" si="45"/>
        <v>15</v>
      </c>
      <c r="E597" s="249" t="s">
        <v>18</v>
      </c>
      <c r="F597" s="44" t="s">
        <v>885</v>
      </c>
      <c r="G597" s="49"/>
      <c r="H597" s="49"/>
      <c r="I597" s="49"/>
      <c r="J597" s="49"/>
      <c r="K597" s="49"/>
      <c r="L597" s="49"/>
      <c r="M597" s="49"/>
      <c r="N597" s="49"/>
    </row>
    <row r="598" ht="20.25" customHeight="1">
      <c r="A598" s="1"/>
      <c r="B598" s="93" t="s">
        <v>98</v>
      </c>
      <c r="C598" s="94">
        <v>125.0</v>
      </c>
      <c r="D598" s="94">
        <f t="shared" si="45"/>
        <v>12.5</v>
      </c>
      <c r="E598" s="249" t="s">
        <v>18</v>
      </c>
      <c r="F598" s="47"/>
      <c r="G598" s="49"/>
      <c r="H598" s="49"/>
      <c r="I598" s="49"/>
      <c r="J598" s="49"/>
      <c r="K598" s="49"/>
      <c r="L598" s="49"/>
      <c r="M598" s="49"/>
      <c r="N598" s="49"/>
    </row>
    <row r="599" ht="15.75" customHeight="1">
      <c r="A599" s="1"/>
      <c r="B599" s="93" t="s">
        <v>101</v>
      </c>
      <c r="C599" s="94">
        <v>1.0000000000000002</v>
      </c>
      <c r="D599" s="94">
        <f t="shared" si="45"/>
        <v>0.1</v>
      </c>
      <c r="E599" s="249" t="s">
        <v>5</v>
      </c>
      <c r="F599" s="47"/>
      <c r="G599" s="49"/>
      <c r="H599" s="49"/>
      <c r="I599" s="49"/>
      <c r="J599" s="49"/>
      <c r="K599" s="49"/>
      <c r="L599" s="49"/>
      <c r="M599" s="49"/>
      <c r="N599" s="49"/>
    </row>
    <row r="600" ht="18.0" customHeight="1">
      <c r="A600" s="1"/>
      <c r="B600" s="105" t="s">
        <v>883</v>
      </c>
      <c r="C600" s="110">
        <v>400.0</v>
      </c>
      <c r="D600" s="110">
        <f t="shared" si="45"/>
        <v>40</v>
      </c>
      <c r="E600" s="518" t="s">
        <v>18</v>
      </c>
      <c r="F600" s="47"/>
      <c r="G600" s="49"/>
      <c r="H600" s="49"/>
      <c r="I600" s="49"/>
      <c r="J600" s="49"/>
      <c r="K600" s="49"/>
      <c r="L600" s="49"/>
      <c r="M600" s="49"/>
      <c r="N600" s="49"/>
    </row>
    <row r="601" ht="18.0" customHeight="1">
      <c r="A601" s="1"/>
      <c r="B601" s="93" t="s">
        <v>889</v>
      </c>
      <c r="C601" s="94">
        <v>750.0</v>
      </c>
      <c r="D601" s="94">
        <f t="shared" si="45"/>
        <v>75</v>
      </c>
      <c r="E601" s="249" t="s">
        <v>18</v>
      </c>
      <c r="F601" s="76"/>
      <c r="G601" s="49"/>
      <c r="H601" s="49"/>
      <c r="I601" s="49"/>
      <c r="J601" s="49"/>
      <c r="K601" s="49"/>
      <c r="L601" s="49"/>
      <c r="M601" s="49"/>
      <c r="N601" s="49"/>
    </row>
    <row r="602" ht="18.0" customHeight="1">
      <c r="A602" s="1"/>
      <c r="B602" s="149" t="s">
        <v>892</v>
      </c>
      <c r="C602" s="880">
        <v>1.5000000000000004</v>
      </c>
      <c r="D602" s="880">
        <f t="shared" si="45"/>
        <v>0.15</v>
      </c>
      <c r="E602" s="288" t="s">
        <v>14</v>
      </c>
      <c r="F602" s="44" t="s">
        <v>898</v>
      </c>
      <c r="G602" s="49"/>
      <c r="H602" s="49"/>
      <c r="I602" s="49"/>
      <c r="J602" s="49"/>
      <c r="K602" s="49"/>
      <c r="L602" s="49"/>
      <c r="M602" s="49"/>
      <c r="N602" s="49"/>
    </row>
    <row r="603" ht="18.0" customHeight="1">
      <c r="A603" s="1"/>
      <c r="B603" s="299" t="s">
        <v>119</v>
      </c>
      <c r="C603" s="183" t="s">
        <v>47</v>
      </c>
      <c r="D603" s="184"/>
      <c r="E603" s="1"/>
      <c r="F603" s="76"/>
      <c r="G603" s="49"/>
      <c r="H603" s="49"/>
      <c r="I603" s="49"/>
      <c r="J603" s="49"/>
      <c r="K603" s="49"/>
      <c r="L603" s="49"/>
      <c r="M603" s="49"/>
      <c r="N603" s="49"/>
    </row>
    <row r="604" ht="18.0" customHeight="1">
      <c r="A604" s="1"/>
      <c r="B604" s="185" t="s">
        <v>502</v>
      </c>
      <c r="C604" s="205">
        <v>40877.0</v>
      </c>
      <c r="D604" s="184"/>
      <c r="E604" s="1"/>
      <c r="F604" s="1"/>
      <c r="G604" s="49"/>
      <c r="H604" s="49"/>
      <c r="I604" s="49"/>
      <c r="J604" s="49"/>
      <c r="K604" s="49"/>
      <c r="L604" s="49"/>
      <c r="M604" s="49"/>
      <c r="N604" s="49"/>
    </row>
    <row r="605" ht="18.0" customHeight="1">
      <c r="A605" s="1"/>
      <c r="B605" s="203" t="s">
        <v>50</v>
      </c>
      <c r="C605" s="205">
        <v>41800.0</v>
      </c>
      <c r="D605" s="184"/>
      <c r="E605" s="1"/>
      <c r="F605" s="1"/>
      <c r="G605" s="49"/>
      <c r="H605" s="49"/>
      <c r="I605" s="49"/>
      <c r="J605" s="49"/>
      <c r="K605" s="49"/>
      <c r="L605" s="49"/>
      <c r="M605" s="49"/>
      <c r="N605" s="49"/>
    </row>
    <row r="606" ht="18.0" customHeight="1">
      <c r="A606" s="1"/>
      <c r="B606" s="1"/>
      <c r="C606" s="1"/>
      <c r="D606" s="184"/>
      <c r="E606" s="1"/>
      <c r="F606" s="1"/>
      <c r="G606" s="49"/>
      <c r="H606" s="49"/>
      <c r="I606" s="49"/>
      <c r="J606" s="49"/>
      <c r="K606" s="49"/>
      <c r="L606" s="49"/>
      <c r="M606" s="49"/>
      <c r="N606" s="49"/>
    </row>
    <row r="607" ht="18.0" customHeight="1">
      <c r="A607" s="1"/>
      <c r="B607" s="511" t="s">
        <v>915</v>
      </c>
      <c r="C607" s="18"/>
      <c r="D607" s="18"/>
      <c r="E607" s="19"/>
      <c r="F607" s="207"/>
      <c r="G607" s="49"/>
      <c r="H607" s="49"/>
      <c r="I607" s="49"/>
      <c r="J607" s="49"/>
      <c r="K607" s="49"/>
      <c r="L607" s="49"/>
      <c r="M607" s="49"/>
      <c r="N607" s="49"/>
    </row>
    <row r="608" ht="18.0" customHeight="1">
      <c r="A608" s="1"/>
      <c r="B608" s="417" t="s">
        <v>1</v>
      </c>
      <c r="C608" s="541">
        <v>100.0</v>
      </c>
      <c r="D608" s="886">
        <v>80.0</v>
      </c>
      <c r="E608" s="543" t="s">
        <v>5</v>
      </c>
      <c r="F608" s="49"/>
      <c r="G608" s="49"/>
      <c r="H608" s="49"/>
      <c r="I608" s="49"/>
      <c r="J608" s="49"/>
      <c r="K608" s="49"/>
      <c r="L608" s="49"/>
      <c r="M608" s="49"/>
      <c r="N608" s="49"/>
    </row>
    <row r="609" ht="18.0" customHeight="1">
      <c r="A609" s="1"/>
      <c r="B609" s="68" t="s">
        <v>873</v>
      </c>
      <c r="C609" s="73">
        <v>10.0</v>
      </c>
      <c r="D609" s="73">
        <f t="shared" ref="D609:D620" si="46">(C609*D608)/C608</f>
        <v>8</v>
      </c>
      <c r="E609" s="216" t="s">
        <v>14</v>
      </c>
      <c r="F609" s="207"/>
      <c r="G609" s="49"/>
      <c r="H609" s="49"/>
      <c r="I609" s="49"/>
      <c r="J609" s="49"/>
      <c r="K609" s="49"/>
      <c r="L609" s="49"/>
      <c r="M609" s="49"/>
      <c r="N609" s="49"/>
    </row>
    <row r="610" ht="18.0" customHeight="1">
      <c r="A610" s="1"/>
      <c r="B610" s="93" t="s">
        <v>876</v>
      </c>
      <c r="C610" s="94">
        <v>6.5</v>
      </c>
      <c r="D610" s="94">
        <f t="shared" si="46"/>
        <v>5.2</v>
      </c>
      <c r="E610" s="249" t="s">
        <v>14</v>
      </c>
      <c r="F610" s="44" t="s">
        <v>878</v>
      </c>
      <c r="G610" s="49"/>
      <c r="H610" s="49"/>
      <c r="I610" s="49"/>
      <c r="J610" s="49"/>
      <c r="K610" s="49"/>
      <c r="L610" s="49"/>
      <c r="M610" s="49"/>
      <c r="N610" s="49"/>
    </row>
    <row r="611" ht="18.0" customHeight="1">
      <c r="A611" s="1"/>
      <c r="B611" s="105" t="s">
        <v>31</v>
      </c>
      <c r="C611" s="110">
        <v>1100.0</v>
      </c>
      <c r="D611" s="110">
        <f t="shared" si="46"/>
        <v>880</v>
      </c>
      <c r="E611" s="518" t="s">
        <v>18</v>
      </c>
      <c r="F611" s="47"/>
      <c r="G611" s="49"/>
      <c r="H611" s="49"/>
      <c r="I611" s="49"/>
      <c r="J611" s="49"/>
      <c r="K611" s="49"/>
      <c r="L611" s="49"/>
      <c r="M611" s="49"/>
      <c r="N611" s="49"/>
    </row>
    <row r="612" ht="18.0" customHeight="1">
      <c r="A612" s="1"/>
      <c r="B612" s="119" t="s">
        <v>882</v>
      </c>
      <c r="C612" s="122">
        <v>80.0</v>
      </c>
      <c r="D612" s="122">
        <f t="shared" si="46"/>
        <v>64</v>
      </c>
      <c r="E612" s="520" t="s">
        <v>5</v>
      </c>
      <c r="F612" s="47"/>
      <c r="G612" s="49"/>
      <c r="H612" s="49"/>
      <c r="I612" s="49"/>
      <c r="J612" s="49"/>
      <c r="K612" s="49"/>
      <c r="L612" s="49"/>
      <c r="M612" s="49"/>
      <c r="N612" s="49"/>
    </row>
    <row r="613" ht="18.0" customHeight="1">
      <c r="A613" s="1"/>
      <c r="B613" s="138" t="s">
        <v>883</v>
      </c>
      <c r="C613" s="143">
        <v>400.0</v>
      </c>
      <c r="D613" s="143">
        <f t="shared" si="46"/>
        <v>320</v>
      </c>
      <c r="E613" s="242" t="s">
        <v>18</v>
      </c>
      <c r="F613" s="47"/>
      <c r="G613" s="49"/>
      <c r="H613" s="49"/>
      <c r="I613" s="49"/>
      <c r="J613" s="49"/>
      <c r="K613" s="49"/>
      <c r="L613" s="49"/>
      <c r="M613" s="49"/>
      <c r="N613" s="49"/>
    </row>
    <row r="614" ht="18.0" customHeight="1">
      <c r="A614" s="1"/>
      <c r="B614" s="68" t="s">
        <v>743</v>
      </c>
      <c r="C614" s="73">
        <v>2.5</v>
      </c>
      <c r="D614" s="73">
        <f t="shared" si="46"/>
        <v>2</v>
      </c>
      <c r="E614" s="216" t="s">
        <v>5</v>
      </c>
      <c r="F614" s="76"/>
      <c r="G614" s="49"/>
      <c r="H614" s="49"/>
      <c r="I614" s="49"/>
      <c r="J614" s="49"/>
      <c r="K614" s="49"/>
      <c r="L614" s="49"/>
      <c r="M614" s="49"/>
      <c r="N614" s="49"/>
    </row>
    <row r="615" ht="18.0" customHeight="1">
      <c r="A615" s="1"/>
      <c r="B615" s="93" t="s">
        <v>884</v>
      </c>
      <c r="C615" s="94">
        <v>150.00000000000006</v>
      </c>
      <c r="D615" s="94">
        <f t="shared" si="46"/>
        <v>120</v>
      </c>
      <c r="E615" s="249" t="s">
        <v>18</v>
      </c>
      <c r="F615" s="44" t="s">
        <v>885</v>
      </c>
      <c r="G615" s="49"/>
      <c r="H615" s="49"/>
      <c r="I615" s="49"/>
      <c r="J615" s="49"/>
      <c r="K615" s="49"/>
      <c r="L615" s="49"/>
      <c r="M615" s="49"/>
      <c r="N615" s="49"/>
    </row>
    <row r="616" ht="18.0" customHeight="1">
      <c r="A616" s="1"/>
      <c r="B616" s="93" t="s">
        <v>98</v>
      </c>
      <c r="C616" s="94">
        <v>125.0</v>
      </c>
      <c r="D616" s="94">
        <f t="shared" si="46"/>
        <v>100</v>
      </c>
      <c r="E616" s="249" t="s">
        <v>18</v>
      </c>
      <c r="F616" s="47"/>
      <c r="G616" s="49"/>
      <c r="H616" s="49"/>
      <c r="I616" s="49"/>
      <c r="J616" s="49"/>
      <c r="K616" s="49"/>
      <c r="L616" s="49"/>
      <c r="M616" s="49"/>
      <c r="N616" s="49"/>
    </row>
    <row r="617" ht="18.0" customHeight="1">
      <c r="A617" s="1"/>
      <c r="B617" s="93" t="s">
        <v>101</v>
      </c>
      <c r="C617" s="94">
        <v>1.0000000000000002</v>
      </c>
      <c r="D617" s="94">
        <f t="shared" si="46"/>
        <v>0.8</v>
      </c>
      <c r="E617" s="249" t="s">
        <v>5</v>
      </c>
      <c r="F617" s="47"/>
      <c r="G617" s="49"/>
      <c r="H617" s="49"/>
      <c r="I617" s="49"/>
      <c r="J617" s="49"/>
      <c r="K617" s="49"/>
      <c r="L617" s="49"/>
      <c r="M617" s="49"/>
      <c r="N617" s="49"/>
    </row>
    <row r="618" ht="18.0" customHeight="1">
      <c r="A618" s="1"/>
      <c r="B618" s="105" t="s">
        <v>883</v>
      </c>
      <c r="C618" s="110">
        <v>400.0</v>
      </c>
      <c r="D618" s="110">
        <f t="shared" si="46"/>
        <v>320</v>
      </c>
      <c r="E618" s="518" t="s">
        <v>18</v>
      </c>
      <c r="F618" s="47"/>
      <c r="G618" s="49"/>
      <c r="H618" s="49"/>
      <c r="I618" s="49"/>
      <c r="J618" s="49"/>
      <c r="K618" s="49"/>
      <c r="L618" s="49"/>
      <c r="M618" s="49"/>
      <c r="N618" s="49"/>
    </row>
    <row r="619" ht="18.0" customHeight="1">
      <c r="A619" s="1"/>
      <c r="B619" s="93" t="s">
        <v>889</v>
      </c>
      <c r="C619" s="94">
        <v>750.0</v>
      </c>
      <c r="D619" s="94">
        <f t="shared" si="46"/>
        <v>600</v>
      </c>
      <c r="E619" s="249" t="s">
        <v>18</v>
      </c>
      <c r="F619" s="76"/>
      <c r="G619" s="49"/>
      <c r="H619" s="49"/>
      <c r="I619" s="49"/>
      <c r="J619" s="49"/>
      <c r="K619" s="49"/>
      <c r="L619" s="49"/>
      <c r="M619" s="49"/>
      <c r="N619" s="49"/>
    </row>
    <row r="620" ht="18.0" customHeight="1">
      <c r="A620" s="1"/>
      <c r="B620" s="149" t="s">
        <v>892</v>
      </c>
      <c r="C620" s="880">
        <v>1.5000000000000004</v>
      </c>
      <c r="D620" s="880">
        <f t="shared" si="46"/>
        <v>1.2</v>
      </c>
      <c r="E620" s="288" t="s">
        <v>14</v>
      </c>
      <c r="F620" s="44" t="s">
        <v>898</v>
      </c>
      <c r="G620" s="49"/>
      <c r="H620" s="49"/>
      <c r="I620" s="49"/>
      <c r="J620" s="49"/>
      <c r="K620" s="49"/>
      <c r="L620" s="49"/>
      <c r="M620" s="49"/>
      <c r="N620" s="49"/>
    </row>
    <row r="621" ht="18.0" customHeight="1">
      <c r="A621" s="1"/>
      <c r="B621" s="299" t="s">
        <v>119</v>
      </c>
      <c r="C621" s="893" t="s">
        <v>47</v>
      </c>
      <c r="D621" s="558"/>
      <c r="E621" s="1"/>
      <c r="F621" s="76"/>
      <c r="G621" s="49"/>
      <c r="H621" s="49"/>
      <c r="I621" s="49"/>
      <c r="J621" s="49"/>
      <c r="K621" s="49"/>
      <c r="L621" s="49"/>
      <c r="M621" s="49"/>
      <c r="N621" s="49"/>
    </row>
    <row r="622" ht="18.0" customHeight="1">
      <c r="A622" s="1"/>
      <c r="B622" s="185" t="s">
        <v>502</v>
      </c>
      <c r="C622" s="205">
        <v>40877.0</v>
      </c>
      <c r="D622" s="184"/>
      <c r="E622" s="1"/>
      <c r="F622" s="49"/>
      <c r="G622" s="49"/>
      <c r="H622" s="49"/>
      <c r="I622" s="49"/>
      <c r="J622" s="49"/>
      <c r="K622" s="49"/>
      <c r="L622" s="49"/>
      <c r="M622" s="49"/>
      <c r="N622" s="49"/>
    </row>
    <row r="623" ht="15.75" customHeight="1">
      <c r="A623" s="49"/>
      <c r="B623" s="203" t="s">
        <v>50</v>
      </c>
      <c r="C623" s="205">
        <v>41800.0</v>
      </c>
      <c r="D623" s="184"/>
      <c r="E623" s="1"/>
      <c r="F623" s="49"/>
      <c r="G623" s="49"/>
      <c r="H623" s="49"/>
      <c r="I623" s="49"/>
      <c r="J623" s="49"/>
      <c r="K623" s="49"/>
      <c r="L623" s="49"/>
      <c r="M623" s="49"/>
      <c r="N623" s="49"/>
    </row>
    <row r="624" ht="15.75" customHeight="1">
      <c r="A624" s="49"/>
      <c r="B624" s="1"/>
      <c r="C624" s="1"/>
      <c r="D624" s="184"/>
      <c r="E624" s="1"/>
      <c r="F624" s="49"/>
      <c r="G624" s="49"/>
      <c r="H624" s="49"/>
      <c r="I624" s="49"/>
      <c r="J624" s="49"/>
      <c r="K624" s="49"/>
      <c r="L624" s="49"/>
      <c r="M624" s="49"/>
      <c r="N624" s="49"/>
    </row>
    <row r="625" ht="15.75" customHeight="1">
      <c r="A625" s="1"/>
      <c r="B625" s="511" t="s">
        <v>809</v>
      </c>
      <c r="C625" s="18"/>
      <c r="D625" s="18"/>
      <c r="E625" s="19"/>
      <c r="F625" s="1"/>
      <c r="G625" s="49"/>
      <c r="H625" s="49"/>
      <c r="I625" s="49"/>
      <c r="J625" s="49"/>
      <c r="K625" s="49"/>
      <c r="L625" s="49"/>
      <c r="M625" s="49"/>
      <c r="N625" s="49"/>
    </row>
    <row r="626" ht="15.75" customHeight="1">
      <c r="A626" s="1"/>
      <c r="B626" s="119" t="s">
        <v>1</v>
      </c>
      <c r="C626" s="523">
        <v>100.0</v>
      </c>
      <c r="D626" s="129">
        <v>100.0</v>
      </c>
      <c r="E626" s="520" t="s">
        <v>117</v>
      </c>
      <c r="F626" s="1"/>
      <c r="G626" s="49"/>
      <c r="H626" s="49"/>
      <c r="I626" s="49"/>
      <c r="J626" s="49"/>
      <c r="K626" s="49"/>
      <c r="L626" s="49"/>
      <c r="M626" s="49"/>
      <c r="N626" s="49"/>
    </row>
    <row r="627" ht="15.75" customHeight="1">
      <c r="A627" s="1"/>
      <c r="B627" s="93" t="s">
        <v>942</v>
      </c>
      <c r="C627" s="247">
        <v>0.25</v>
      </c>
      <c r="D627" s="78">
        <f t="shared" ref="D627:D637" si="47">D626/C626*C627</f>
        <v>0.25</v>
      </c>
      <c r="E627" s="249" t="s">
        <v>14</v>
      </c>
      <c r="F627" s="610" t="s">
        <v>946</v>
      </c>
      <c r="G627" s="49"/>
      <c r="H627" s="49"/>
      <c r="I627" s="49"/>
      <c r="J627" s="49"/>
      <c r="K627" s="49"/>
      <c r="L627" s="49"/>
      <c r="M627" s="49"/>
      <c r="N627" s="49"/>
    </row>
    <row r="628" ht="15.75" customHeight="1">
      <c r="A628" s="1"/>
      <c r="B628" s="93" t="s">
        <v>947</v>
      </c>
      <c r="C628" s="247">
        <v>0.25</v>
      </c>
      <c r="D628" s="78">
        <f t="shared" si="47"/>
        <v>0.25</v>
      </c>
      <c r="E628" s="249" t="s">
        <v>14</v>
      </c>
      <c r="F628" s="47"/>
      <c r="G628" s="49"/>
      <c r="H628" s="49"/>
      <c r="I628" s="49"/>
      <c r="J628" s="49"/>
      <c r="K628" s="49"/>
      <c r="L628" s="49"/>
      <c r="M628" s="49"/>
      <c r="N628" s="49"/>
    </row>
    <row r="629" ht="15.75" customHeight="1">
      <c r="A629" s="1"/>
      <c r="B629" s="93" t="s">
        <v>357</v>
      </c>
      <c r="C629" s="247">
        <v>0.25</v>
      </c>
      <c r="D629" s="78">
        <f t="shared" si="47"/>
        <v>0.25</v>
      </c>
      <c r="E629" s="249" t="s">
        <v>14</v>
      </c>
      <c r="F629" s="47"/>
      <c r="G629" s="49"/>
      <c r="H629" s="49"/>
      <c r="I629" s="49"/>
      <c r="J629" s="49"/>
      <c r="K629" s="49"/>
      <c r="L629" s="49"/>
      <c r="M629" s="49"/>
      <c r="N629" s="49"/>
    </row>
    <row r="630" ht="15.75" customHeight="1">
      <c r="A630" s="1"/>
      <c r="B630" s="93" t="s">
        <v>810</v>
      </c>
      <c r="C630" s="247">
        <v>0.25</v>
      </c>
      <c r="D630" s="78">
        <f t="shared" si="47"/>
        <v>0.25</v>
      </c>
      <c r="E630" s="249" t="s">
        <v>14</v>
      </c>
      <c r="F630" s="47"/>
      <c r="G630" s="49"/>
      <c r="H630" s="49"/>
      <c r="I630" s="49"/>
      <c r="J630" s="49"/>
      <c r="K630" s="49"/>
      <c r="L630" s="49"/>
      <c r="M630" s="49"/>
      <c r="N630" s="49"/>
    </row>
    <row r="631" ht="15.75" customHeight="1">
      <c r="A631" s="1"/>
      <c r="B631" s="93" t="s">
        <v>38</v>
      </c>
      <c r="C631" s="247">
        <v>0.25</v>
      </c>
      <c r="D631" s="78">
        <f t="shared" si="47"/>
        <v>0.25</v>
      </c>
      <c r="E631" s="249" t="s">
        <v>14</v>
      </c>
      <c r="F631" s="47"/>
      <c r="G631" s="49"/>
      <c r="H631" s="49"/>
      <c r="I631" s="49"/>
      <c r="J631" s="49"/>
      <c r="K631" s="49"/>
      <c r="L631" s="49"/>
      <c r="M631" s="49"/>
      <c r="N631" s="49"/>
    </row>
    <row r="632" ht="15.75" customHeight="1">
      <c r="A632" s="1"/>
      <c r="B632" s="93" t="s">
        <v>952</v>
      </c>
      <c r="C632" s="247">
        <v>0.25</v>
      </c>
      <c r="D632" s="78">
        <f t="shared" si="47"/>
        <v>0.25</v>
      </c>
      <c r="E632" s="249" t="s">
        <v>14</v>
      </c>
      <c r="F632" s="47"/>
      <c r="G632" s="49"/>
      <c r="H632" s="49"/>
      <c r="I632" s="49"/>
      <c r="J632" s="49"/>
      <c r="K632" s="49"/>
      <c r="L632" s="49"/>
      <c r="M632" s="49"/>
      <c r="N632" s="49"/>
    </row>
    <row r="633" ht="15.75" customHeight="1">
      <c r="A633" s="1"/>
      <c r="B633" s="93" t="s">
        <v>953</v>
      </c>
      <c r="C633" s="247">
        <v>100.0</v>
      </c>
      <c r="D633" s="78">
        <f t="shared" si="47"/>
        <v>100</v>
      </c>
      <c r="E633" s="249" t="s">
        <v>18</v>
      </c>
      <c r="F633" s="47"/>
      <c r="G633" s="49"/>
      <c r="H633" s="49"/>
      <c r="I633" s="49"/>
      <c r="J633" s="49"/>
      <c r="K633" s="49"/>
      <c r="L633" s="49"/>
      <c r="M633" s="49"/>
      <c r="N633" s="49"/>
    </row>
    <row r="634" ht="15.75" customHeight="1">
      <c r="A634" s="1"/>
      <c r="B634" s="93" t="s">
        <v>149</v>
      </c>
      <c r="C634" s="247">
        <v>100.0</v>
      </c>
      <c r="D634" s="78">
        <f t="shared" si="47"/>
        <v>100</v>
      </c>
      <c r="E634" s="249" t="s">
        <v>18</v>
      </c>
      <c r="F634" s="47"/>
      <c r="G634" s="49"/>
      <c r="H634" s="49"/>
      <c r="I634" s="49"/>
      <c r="J634" s="49"/>
      <c r="K634" s="49"/>
      <c r="L634" s="49"/>
      <c r="M634" s="49"/>
      <c r="N634" s="49"/>
    </row>
    <row r="635" ht="15.75" customHeight="1">
      <c r="A635" s="1"/>
      <c r="B635" s="93" t="s">
        <v>31</v>
      </c>
      <c r="C635" s="247">
        <v>370.0</v>
      </c>
      <c r="D635" s="78">
        <f t="shared" si="47"/>
        <v>370</v>
      </c>
      <c r="E635" s="249" t="s">
        <v>18</v>
      </c>
      <c r="F635" s="47"/>
      <c r="G635" s="49"/>
      <c r="H635" s="49"/>
      <c r="I635" s="49"/>
      <c r="J635" s="49"/>
      <c r="K635" s="49"/>
      <c r="L635" s="49"/>
      <c r="M635" s="49"/>
      <c r="N635" s="49"/>
    </row>
    <row r="636" ht="15.75" customHeight="1">
      <c r="A636" s="1"/>
      <c r="B636" s="93" t="s">
        <v>850</v>
      </c>
      <c r="C636" s="247">
        <v>2.5</v>
      </c>
      <c r="D636" s="78">
        <f t="shared" si="47"/>
        <v>2.5</v>
      </c>
      <c r="E636" s="249" t="s">
        <v>14</v>
      </c>
      <c r="F636" s="47"/>
      <c r="G636" s="49"/>
      <c r="H636" s="49"/>
      <c r="I636" s="49"/>
      <c r="J636" s="49"/>
      <c r="K636" s="49"/>
      <c r="L636" s="49"/>
      <c r="M636" s="49"/>
      <c r="N636" s="49"/>
    </row>
    <row r="637" ht="15.75" customHeight="1">
      <c r="A637" s="1"/>
      <c r="B637" s="105" t="s">
        <v>958</v>
      </c>
      <c r="C637" s="522">
        <v>1.5</v>
      </c>
      <c r="D637" s="56">
        <f t="shared" si="47"/>
        <v>1.5</v>
      </c>
      <c r="E637" s="518" t="s">
        <v>960</v>
      </c>
      <c r="F637" s="47"/>
      <c r="G637" s="49"/>
      <c r="H637" s="49"/>
      <c r="I637" s="49"/>
      <c r="J637" s="49"/>
      <c r="K637" s="49"/>
      <c r="L637" s="49"/>
      <c r="M637" s="49"/>
      <c r="N637" s="49"/>
    </row>
    <row r="638" ht="15.75" customHeight="1">
      <c r="A638" s="1"/>
      <c r="B638" s="299" t="s">
        <v>119</v>
      </c>
      <c r="C638" s="183" t="s">
        <v>47</v>
      </c>
      <c r="D638" s="184"/>
      <c r="E638" s="1"/>
      <c r="F638" s="76"/>
      <c r="G638" s="49"/>
      <c r="H638" s="49"/>
      <c r="I638" s="49"/>
      <c r="J638" s="49"/>
      <c r="K638" s="49"/>
      <c r="L638" s="49"/>
      <c r="M638" s="49"/>
      <c r="N638" s="49"/>
    </row>
    <row r="639" ht="15.75" customHeight="1">
      <c r="A639" s="1"/>
      <c r="B639" s="1"/>
      <c r="C639" s="1"/>
      <c r="D639" s="184"/>
      <c r="E639" s="1"/>
      <c r="F639" s="1"/>
      <c r="G639" s="49"/>
      <c r="H639" s="49"/>
      <c r="I639" s="49"/>
      <c r="J639" s="49"/>
      <c r="K639" s="49"/>
      <c r="L639" s="49"/>
      <c r="M639" s="49"/>
      <c r="N639" s="49"/>
    </row>
    <row r="640" ht="15.0" customHeight="1">
      <c r="A640" s="1"/>
      <c r="B640" s="511" t="s">
        <v>965</v>
      </c>
      <c r="C640" s="18"/>
      <c r="D640" s="18"/>
      <c r="E640" s="19"/>
      <c r="F640" s="1"/>
      <c r="G640" s="49"/>
      <c r="H640" s="49"/>
      <c r="I640" s="49"/>
      <c r="J640" s="49"/>
      <c r="K640" s="49"/>
      <c r="L640" s="49"/>
      <c r="M640" s="49"/>
      <c r="N640" s="49"/>
    </row>
    <row r="641" ht="15.0" customHeight="1">
      <c r="A641" s="1"/>
      <c r="B641" s="51" t="s">
        <v>1</v>
      </c>
      <c r="C641" s="53">
        <v>150.0</v>
      </c>
      <c r="D641" s="513">
        <v>30.0</v>
      </c>
      <c r="E641" s="514" t="s">
        <v>5</v>
      </c>
      <c r="F641" s="207"/>
      <c r="G641" s="49"/>
      <c r="H641" s="49"/>
      <c r="I641" s="49"/>
      <c r="J641" s="49"/>
      <c r="K641" s="49"/>
      <c r="L641" s="49"/>
      <c r="M641" s="49"/>
      <c r="N641" s="49"/>
    </row>
    <row r="642" ht="15.0" customHeight="1">
      <c r="A642" s="1"/>
      <c r="B642" s="68" t="s">
        <v>966</v>
      </c>
      <c r="C642" s="210">
        <v>4.0</v>
      </c>
      <c r="D642" s="155">
        <f t="shared" ref="D642:D662" si="48">(C642*D641)/C641</f>
        <v>0.8</v>
      </c>
      <c r="E642" s="81" t="s">
        <v>5</v>
      </c>
      <c r="F642" s="207"/>
      <c r="G642" s="49"/>
      <c r="H642" s="49"/>
      <c r="I642" s="49"/>
      <c r="J642" s="49"/>
      <c r="K642" s="49"/>
      <c r="L642" s="49"/>
      <c r="M642" s="49"/>
      <c r="N642" s="49"/>
    </row>
    <row r="643" ht="15.0" customHeight="1">
      <c r="A643" s="1"/>
      <c r="B643" s="105" t="s">
        <v>140</v>
      </c>
      <c r="C643" s="522">
        <v>25.0</v>
      </c>
      <c r="D643" s="56">
        <f t="shared" si="48"/>
        <v>5</v>
      </c>
      <c r="E643" s="114" t="s">
        <v>14</v>
      </c>
      <c r="F643" s="394"/>
      <c r="G643" s="49"/>
      <c r="H643" s="49"/>
      <c r="I643" s="49"/>
      <c r="J643" s="49"/>
      <c r="K643" s="49"/>
      <c r="L643" s="49"/>
      <c r="M643" s="49"/>
      <c r="N643" s="49"/>
    </row>
    <row r="644" ht="15.0" customHeight="1">
      <c r="A644" s="1"/>
      <c r="B644" s="119" t="s">
        <v>743</v>
      </c>
      <c r="C644" s="523">
        <v>4.0</v>
      </c>
      <c r="D644" s="129">
        <f t="shared" si="48"/>
        <v>0.8</v>
      </c>
      <c r="E644" s="520" t="s">
        <v>5</v>
      </c>
      <c r="F644" s="76"/>
      <c r="G644" s="49"/>
      <c r="H644" s="49"/>
      <c r="I644" s="49"/>
      <c r="J644" s="49"/>
      <c r="K644" s="49"/>
      <c r="L644" s="49"/>
      <c r="M644" s="49"/>
      <c r="N644" s="49"/>
    </row>
    <row r="645" ht="15.75" customHeight="1">
      <c r="A645" s="1"/>
      <c r="B645" s="93" t="s">
        <v>971</v>
      </c>
      <c r="C645" s="247">
        <v>2.0</v>
      </c>
      <c r="D645" s="78">
        <f t="shared" si="48"/>
        <v>0.4</v>
      </c>
      <c r="E645" s="249" t="s">
        <v>14</v>
      </c>
      <c r="F645" s="897" t="s">
        <v>94</v>
      </c>
      <c r="G645" s="49"/>
      <c r="H645" s="49"/>
      <c r="I645" s="49"/>
      <c r="J645" s="49"/>
      <c r="K645" s="49"/>
      <c r="L645" s="49"/>
      <c r="M645" s="49"/>
      <c r="N645" s="49"/>
    </row>
    <row r="646" ht="15.75" customHeight="1">
      <c r="A646" s="49"/>
      <c r="B646" s="93" t="s">
        <v>97</v>
      </c>
      <c r="C646" s="247">
        <v>200.0</v>
      </c>
      <c r="D646" s="78">
        <f t="shared" si="48"/>
        <v>40</v>
      </c>
      <c r="E646" s="249" t="s">
        <v>18</v>
      </c>
      <c r="F646" s="47"/>
      <c r="G646" s="49"/>
      <c r="H646" s="49"/>
      <c r="I646" s="49"/>
      <c r="J646" s="49"/>
      <c r="K646" s="49"/>
      <c r="L646" s="49"/>
      <c r="M646" s="49"/>
      <c r="N646" s="49"/>
    </row>
    <row r="647" ht="15.75" customHeight="1">
      <c r="A647" s="49"/>
      <c r="B647" s="93" t="s">
        <v>98</v>
      </c>
      <c r="C647" s="247">
        <v>200.0</v>
      </c>
      <c r="D647" s="78">
        <f t="shared" si="48"/>
        <v>40</v>
      </c>
      <c r="E647" s="249" t="s">
        <v>18</v>
      </c>
      <c r="F647" s="47"/>
      <c r="G647" s="49"/>
      <c r="H647" s="49"/>
      <c r="I647" s="49"/>
      <c r="J647" s="49"/>
      <c r="K647" s="49"/>
      <c r="L647" s="49"/>
      <c r="M647" s="49"/>
      <c r="N647" s="49"/>
    </row>
    <row r="648" ht="15.75" customHeight="1">
      <c r="A648" s="49"/>
      <c r="B648" s="93" t="s">
        <v>345</v>
      </c>
      <c r="C648" s="247">
        <v>0.25</v>
      </c>
      <c r="D648" s="78">
        <f t="shared" si="48"/>
        <v>0.05</v>
      </c>
      <c r="E648" s="249" t="s">
        <v>14</v>
      </c>
      <c r="F648" s="47"/>
      <c r="G648" s="49"/>
      <c r="H648" s="49"/>
      <c r="I648" s="49"/>
      <c r="J648" s="49"/>
      <c r="K648" s="49"/>
      <c r="L648" s="49"/>
      <c r="M648" s="49"/>
      <c r="N648" s="49"/>
    </row>
    <row r="649" ht="15.75" customHeight="1">
      <c r="A649" s="49"/>
      <c r="B649" s="93" t="s">
        <v>311</v>
      </c>
      <c r="C649" s="247">
        <v>0.5</v>
      </c>
      <c r="D649" s="78">
        <f t="shared" si="48"/>
        <v>0.1</v>
      </c>
      <c r="E649" s="249" t="s">
        <v>14</v>
      </c>
      <c r="F649" s="47"/>
      <c r="G649" s="49"/>
      <c r="H649" s="49"/>
      <c r="I649" s="49"/>
      <c r="J649" s="49"/>
      <c r="K649" s="49"/>
      <c r="L649" s="49"/>
      <c r="M649" s="49"/>
      <c r="N649" s="49"/>
    </row>
    <row r="650" ht="15.75" customHeight="1">
      <c r="A650" s="49"/>
      <c r="B650" s="898" t="s">
        <v>148</v>
      </c>
      <c r="C650" s="247">
        <v>750.0</v>
      </c>
      <c r="D650" s="78">
        <f t="shared" si="48"/>
        <v>150</v>
      </c>
      <c r="E650" s="249" t="s">
        <v>18</v>
      </c>
      <c r="F650" s="47"/>
      <c r="G650" s="49"/>
      <c r="H650" s="49"/>
      <c r="I650" s="49"/>
      <c r="J650" s="49"/>
      <c r="K650" s="49"/>
      <c r="L650" s="49"/>
      <c r="M650" s="49"/>
      <c r="N650" s="49"/>
    </row>
    <row r="651" ht="15.75" customHeight="1">
      <c r="A651" s="49"/>
      <c r="B651" s="898" t="s">
        <v>753</v>
      </c>
      <c r="C651" s="247">
        <v>500.0</v>
      </c>
      <c r="D651" s="78">
        <f t="shared" si="48"/>
        <v>100</v>
      </c>
      <c r="E651" s="249" t="s">
        <v>18</v>
      </c>
      <c r="F651" s="47"/>
      <c r="G651" s="49"/>
      <c r="H651" s="49"/>
      <c r="I651" s="49"/>
      <c r="J651" s="49"/>
      <c r="K651" s="49"/>
      <c r="L651" s="49"/>
      <c r="M651" s="49"/>
      <c r="N651" s="49"/>
    </row>
    <row r="652" ht="20.25" customHeight="1">
      <c r="A652" s="49"/>
      <c r="B652" s="93" t="s">
        <v>101</v>
      </c>
      <c r="C652" s="247">
        <v>2.5</v>
      </c>
      <c r="D652" s="78">
        <f t="shared" si="48"/>
        <v>0.5</v>
      </c>
      <c r="E652" s="249" t="s">
        <v>5</v>
      </c>
      <c r="F652" s="47"/>
      <c r="G652" s="49"/>
      <c r="H652" s="49"/>
      <c r="I652" s="49"/>
      <c r="J652" s="49"/>
      <c r="K652" s="49"/>
      <c r="L652" s="49"/>
      <c r="M652" s="49"/>
      <c r="N652" s="49"/>
    </row>
    <row r="653" ht="20.25" customHeight="1">
      <c r="A653" s="49"/>
      <c r="B653" s="105" t="s">
        <v>103</v>
      </c>
      <c r="C653" s="522">
        <v>200.0</v>
      </c>
      <c r="D653" s="56">
        <f t="shared" si="48"/>
        <v>40</v>
      </c>
      <c r="E653" s="518" t="s">
        <v>18</v>
      </c>
      <c r="F653" s="47"/>
      <c r="G653" s="49"/>
      <c r="H653" s="49"/>
      <c r="I653" s="49"/>
      <c r="J653" s="49"/>
      <c r="K653" s="49"/>
      <c r="L653" s="49"/>
      <c r="M653" s="49"/>
      <c r="N653" s="49"/>
    </row>
    <row r="654" ht="15.75" customHeight="1">
      <c r="A654" s="49"/>
      <c r="B654" s="68" t="s">
        <v>985</v>
      </c>
      <c r="C654" s="210">
        <v>6.0</v>
      </c>
      <c r="D654" s="899">
        <f t="shared" si="48"/>
        <v>1.2</v>
      </c>
      <c r="E654" s="216" t="s">
        <v>14</v>
      </c>
      <c r="F654" s="76"/>
      <c r="G654" s="49"/>
      <c r="H654" s="49"/>
      <c r="I654" s="49"/>
      <c r="J654" s="49"/>
      <c r="K654" s="49"/>
      <c r="L654" s="49"/>
      <c r="M654" s="49"/>
      <c r="N654" s="49"/>
    </row>
    <row r="655" ht="18.0" customHeight="1">
      <c r="A655" s="49"/>
      <c r="B655" s="93" t="s">
        <v>850</v>
      </c>
      <c r="C655" s="247">
        <v>35.0</v>
      </c>
      <c r="D655" s="900">
        <f t="shared" si="48"/>
        <v>7</v>
      </c>
      <c r="E655" s="249" t="s">
        <v>14</v>
      </c>
      <c r="F655" s="30"/>
      <c r="G655" s="49"/>
      <c r="H655" s="49"/>
      <c r="I655" s="49"/>
      <c r="J655" s="49"/>
      <c r="K655" s="49"/>
      <c r="L655" s="49"/>
      <c r="M655" s="49"/>
      <c r="N655" s="49"/>
    </row>
    <row r="656" ht="15.75" customHeight="1">
      <c r="A656" s="49"/>
      <c r="B656" s="119" t="s">
        <v>991</v>
      </c>
      <c r="C656" s="523">
        <v>1.0</v>
      </c>
      <c r="D656" s="900">
        <f t="shared" si="48"/>
        <v>0.2</v>
      </c>
      <c r="E656" s="249" t="s">
        <v>14</v>
      </c>
      <c r="F656" s="30"/>
      <c r="G656" s="49"/>
      <c r="H656" s="49"/>
      <c r="I656" s="49"/>
      <c r="J656" s="49"/>
      <c r="K656" s="49"/>
      <c r="L656" s="49"/>
      <c r="M656" s="49"/>
      <c r="N656" s="49"/>
    </row>
    <row r="657" ht="15.75" customHeight="1">
      <c r="A657" s="49"/>
      <c r="B657" s="119" t="s">
        <v>31</v>
      </c>
      <c r="C657" s="523">
        <v>1550.0</v>
      </c>
      <c r="D657" s="900">
        <f t="shared" si="48"/>
        <v>310</v>
      </c>
      <c r="E657" s="249" t="s">
        <v>18</v>
      </c>
      <c r="F657" s="30"/>
      <c r="G657" s="49"/>
      <c r="H657" s="49"/>
      <c r="I657" s="49"/>
      <c r="J657" s="49"/>
      <c r="K657" s="49"/>
      <c r="L657" s="49"/>
      <c r="M657" s="49"/>
      <c r="N657" s="49"/>
    </row>
    <row r="658" ht="15.75" customHeight="1">
      <c r="A658" s="49"/>
      <c r="B658" s="901" t="s">
        <v>52</v>
      </c>
      <c r="C658" s="902">
        <v>166.0</v>
      </c>
      <c r="D658" s="904">
        <f t="shared" si="48"/>
        <v>33.2</v>
      </c>
      <c r="E658" s="905" t="s">
        <v>18</v>
      </c>
      <c r="F658" s="30"/>
      <c r="G658" s="49"/>
      <c r="H658" s="49"/>
      <c r="I658" s="49"/>
      <c r="J658" s="49"/>
      <c r="K658" s="49"/>
      <c r="L658" s="49"/>
      <c r="M658" s="49"/>
      <c r="N658" s="49"/>
    </row>
    <row r="659" ht="15.75" customHeight="1">
      <c r="A659" s="49"/>
      <c r="B659" s="68" t="s">
        <v>13</v>
      </c>
      <c r="C659" s="210">
        <v>1.5</v>
      </c>
      <c r="D659" s="155">
        <f t="shared" si="48"/>
        <v>0.3</v>
      </c>
      <c r="E659" s="216" t="s">
        <v>14</v>
      </c>
      <c r="F659" s="30"/>
      <c r="G659" s="49"/>
      <c r="H659" s="49"/>
      <c r="I659" s="49"/>
      <c r="J659" s="49"/>
      <c r="K659" s="49"/>
      <c r="L659" s="49"/>
      <c r="M659" s="49"/>
      <c r="N659" s="49"/>
    </row>
    <row r="660" ht="15.75" customHeight="1">
      <c r="A660" s="49"/>
      <c r="B660" s="93" t="s">
        <v>114</v>
      </c>
      <c r="C660" s="247">
        <v>5.0</v>
      </c>
      <c r="D660" s="78">
        <f t="shared" si="48"/>
        <v>1</v>
      </c>
      <c r="E660" s="249" t="s">
        <v>5</v>
      </c>
      <c r="F660" s="30"/>
      <c r="G660" s="49"/>
      <c r="H660" s="49"/>
      <c r="I660" s="49"/>
      <c r="J660" s="49"/>
      <c r="K660" s="49"/>
      <c r="L660" s="49"/>
      <c r="M660" s="49"/>
      <c r="N660" s="49"/>
    </row>
    <row r="661" ht="15.75" customHeight="1">
      <c r="A661" s="49"/>
      <c r="B661" s="105" t="s">
        <v>167</v>
      </c>
      <c r="C661" s="522">
        <v>0.5</v>
      </c>
      <c r="D661" s="56">
        <f t="shared" si="48"/>
        <v>0.1</v>
      </c>
      <c r="E661" s="518" t="s">
        <v>5</v>
      </c>
      <c r="F661" s="30"/>
      <c r="G661" s="49"/>
      <c r="H661" s="49"/>
      <c r="I661" s="49"/>
      <c r="J661" s="49"/>
      <c r="K661" s="49"/>
      <c r="L661" s="49"/>
      <c r="M661" s="49"/>
      <c r="N661" s="49"/>
    </row>
    <row r="662" ht="15.75" customHeight="1">
      <c r="A662" s="49"/>
      <c r="B662" s="908" t="s">
        <v>157</v>
      </c>
      <c r="C662" s="909">
        <v>98.0</v>
      </c>
      <c r="D662" s="910">
        <f t="shared" si="48"/>
        <v>19.6</v>
      </c>
      <c r="E662" s="911" t="s">
        <v>5</v>
      </c>
      <c r="F662" s="30"/>
      <c r="G662" s="49"/>
      <c r="H662" s="49"/>
      <c r="I662" s="49"/>
      <c r="J662" s="49"/>
      <c r="K662" s="49"/>
      <c r="L662" s="49"/>
      <c r="M662" s="49"/>
      <c r="N662" s="49"/>
    </row>
    <row r="663" ht="15.75" customHeight="1">
      <c r="A663" s="49"/>
      <c r="B663" s="90" t="s">
        <v>120</v>
      </c>
      <c r="C663" s="308">
        <v>42763.0</v>
      </c>
      <c r="D663" s="184"/>
      <c r="E663" s="1"/>
      <c r="F663" s="30"/>
      <c r="G663" s="1"/>
      <c r="H663" s="49"/>
      <c r="I663" s="49"/>
      <c r="J663" s="49"/>
      <c r="K663" s="49"/>
      <c r="L663" s="49"/>
      <c r="M663" s="49"/>
      <c r="N663" s="49"/>
    </row>
    <row r="664" ht="15.75" customHeight="1">
      <c r="A664" s="49"/>
      <c r="B664" s="305" t="s">
        <v>50</v>
      </c>
      <c r="C664" s="308"/>
      <c r="D664" s="184"/>
      <c r="E664" s="1"/>
      <c r="F664" s="1"/>
      <c r="G664" s="1"/>
      <c r="H664" s="49"/>
      <c r="I664" s="49"/>
      <c r="J664" s="49"/>
      <c r="K664" s="49"/>
      <c r="L664" s="49"/>
      <c r="M664" s="49"/>
      <c r="N664" s="49"/>
    </row>
    <row r="665" ht="15.75" customHeight="1">
      <c r="A665" s="49"/>
      <c r="B665" s="299" t="s">
        <v>119</v>
      </c>
      <c r="C665" s="183" t="s">
        <v>47</v>
      </c>
      <c r="D665" s="184"/>
      <c r="E665" s="1"/>
      <c r="F665" s="1"/>
      <c r="G665" s="1"/>
      <c r="H665" s="49"/>
      <c r="I665" s="49"/>
      <c r="J665" s="49"/>
      <c r="K665" s="49"/>
      <c r="L665" s="49"/>
      <c r="M665" s="49"/>
      <c r="N665" s="49"/>
    </row>
    <row r="666" ht="15.75" customHeight="1">
      <c r="A666" s="49"/>
      <c r="B666" s="1"/>
      <c r="C666" s="1"/>
      <c r="D666" s="184"/>
      <c r="E666" s="1"/>
      <c r="F666" s="1"/>
      <c r="G666" s="49"/>
      <c r="H666" s="49"/>
      <c r="I666" s="49"/>
      <c r="J666" s="49"/>
      <c r="K666" s="49"/>
      <c r="L666" s="49"/>
      <c r="M666" s="49"/>
      <c r="N666" s="49"/>
    </row>
    <row r="667" ht="15.75" customHeight="1">
      <c r="A667" s="49"/>
      <c r="B667" s="913" t="s">
        <v>959</v>
      </c>
      <c r="C667" s="5"/>
      <c r="D667" s="5"/>
      <c r="E667" s="6"/>
      <c r="F667" s="1"/>
      <c r="G667" s="49"/>
      <c r="H667" s="49"/>
      <c r="I667" s="49"/>
      <c r="J667" s="49"/>
      <c r="K667" s="49"/>
      <c r="L667" s="49"/>
      <c r="M667" s="49"/>
      <c r="N667" s="49"/>
    </row>
    <row r="668" ht="15.75" customHeight="1">
      <c r="A668" s="49"/>
      <c r="B668" s="173" t="s">
        <v>1</v>
      </c>
      <c r="C668" s="545">
        <v>6.0</v>
      </c>
      <c r="D668" s="915">
        <v>14.0</v>
      </c>
      <c r="E668" s="547" t="s">
        <v>5</v>
      </c>
      <c r="F668" s="592"/>
      <c r="G668" s="49"/>
      <c r="H668" s="49"/>
      <c r="I668" s="49"/>
      <c r="J668" s="49"/>
      <c r="K668" s="49"/>
      <c r="L668" s="49"/>
      <c r="M668" s="49"/>
      <c r="N668" s="49"/>
    </row>
    <row r="669" ht="15.75" customHeight="1">
      <c r="A669" s="49"/>
      <c r="B669" s="119" t="s">
        <v>1015</v>
      </c>
      <c r="C669" s="523">
        <v>1.0</v>
      </c>
      <c r="D669" s="129">
        <f t="shared" ref="D669:D690" si="49">(C669*D668)/C668</f>
        <v>2.333333333</v>
      </c>
      <c r="E669" s="520" t="s">
        <v>14</v>
      </c>
      <c r="F669" s="264" t="s">
        <v>318</v>
      </c>
      <c r="G669" s="49"/>
      <c r="H669" s="49"/>
      <c r="I669" s="49"/>
      <c r="J669" s="49"/>
      <c r="K669" s="49"/>
      <c r="L669" s="49"/>
      <c r="M669" s="49"/>
      <c r="N669" s="49"/>
    </row>
    <row r="670" ht="15.75" customHeight="1">
      <c r="A670" s="49"/>
      <c r="B670" s="93" t="s">
        <v>157</v>
      </c>
      <c r="C670" s="247">
        <v>5.0</v>
      </c>
      <c r="D670" s="78">
        <f t="shared" si="49"/>
        <v>11.66666667</v>
      </c>
      <c r="E670" s="249" t="s">
        <v>5</v>
      </c>
      <c r="F670" s="66"/>
      <c r="G670" s="49"/>
      <c r="H670" s="49"/>
      <c r="I670" s="49"/>
      <c r="J670" s="49"/>
      <c r="K670" s="49"/>
      <c r="L670" s="49"/>
      <c r="M670" s="49"/>
      <c r="N670" s="49"/>
    </row>
    <row r="671" ht="15.0" customHeight="1">
      <c r="A671" s="49"/>
      <c r="B671" s="93" t="s">
        <v>31</v>
      </c>
      <c r="C671" s="247">
        <v>75.0</v>
      </c>
      <c r="D671" s="78">
        <f t="shared" si="49"/>
        <v>175</v>
      </c>
      <c r="E671" s="249" t="s">
        <v>18</v>
      </c>
      <c r="F671" s="66"/>
      <c r="G671" s="49"/>
      <c r="H671" s="49"/>
      <c r="I671" s="49"/>
      <c r="J671" s="49"/>
      <c r="K671" s="49"/>
      <c r="L671" s="49"/>
      <c r="M671" s="49"/>
      <c r="N671" s="49"/>
    </row>
    <row r="672" ht="15.75" customHeight="1">
      <c r="A672" s="49"/>
      <c r="B672" s="105" t="s">
        <v>319</v>
      </c>
      <c r="C672" s="522">
        <v>0.025</v>
      </c>
      <c r="D672" s="56">
        <f t="shared" si="49"/>
        <v>0.05833333333</v>
      </c>
      <c r="E672" s="518" t="s">
        <v>5</v>
      </c>
      <c r="F672" s="106"/>
      <c r="G672" s="49"/>
      <c r="H672" s="49"/>
      <c r="I672" s="49"/>
      <c r="J672" s="49"/>
      <c r="K672" s="49"/>
      <c r="L672" s="49"/>
      <c r="M672" s="49"/>
      <c r="N672" s="49"/>
    </row>
    <row r="673" ht="15.75" customHeight="1">
      <c r="A673" s="49"/>
      <c r="B673" s="119" t="s">
        <v>91</v>
      </c>
      <c r="C673" s="523">
        <v>0.24</v>
      </c>
      <c r="D673" s="129">
        <f t="shared" si="49"/>
        <v>0.56</v>
      </c>
      <c r="E673" s="520" t="s">
        <v>5</v>
      </c>
      <c r="F673" s="524" t="s">
        <v>320</v>
      </c>
      <c r="G673" s="49"/>
      <c r="H673" s="49"/>
      <c r="I673" s="49"/>
      <c r="J673" s="49"/>
      <c r="K673" s="49"/>
      <c r="L673" s="49"/>
      <c r="M673" s="49"/>
      <c r="N673" s="49"/>
    </row>
    <row r="674" ht="15.75" customHeight="1">
      <c r="A674" s="49"/>
      <c r="B674" s="350" t="s">
        <v>103</v>
      </c>
      <c r="C674" s="198">
        <v>11.0</v>
      </c>
      <c r="D674" s="201">
        <f t="shared" si="49"/>
        <v>25.66666667</v>
      </c>
      <c r="E674" s="352" t="s">
        <v>18</v>
      </c>
      <c r="F674" s="76"/>
      <c r="G674" s="49"/>
      <c r="H674" s="49"/>
      <c r="I674" s="49"/>
      <c r="J674" s="49"/>
      <c r="K674" s="49"/>
      <c r="L674" s="49"/>
      <c r="M674" s="49"/>
      <c r="N674" s="49"/>
    </row>
    <row r="675" ht="15.0" customHeight="1">
      <c r="A675" s="49"/>
      <c r="B675" s="525" t="s">
        <v>321</v>
      </c>
      <c r="C675" s="314">
        <v>10.0</v>
      </c>
      <c r="D675" s="526">
        <f t="shared" si="49"/>
        <v>23.33333333</v>
      </c>
      <c r="E675" s="329" t="s">
        <v>18</v>
      </c>
      <c r="F675" s="524" t="s">
        <v>322</v>
      </c>
      <c r="G675" s="49"/>
      <c r="H675" s="49"/>
      <c r="I675" s="49"/>
      <c r="J675" s="49"/>
      <c r="K675" s="49"/>
      <c r="L675" s="49"/>
      <c r="M675" s="49"/>
      <c r="N675" s="49"/>
    </row>
    <row r="676" ht="15.0" customHeight="1">
      <c r="A676" s="49"/>
      <c r="B676" s="93" t="s">
        <v>39</v>
      </c>
      <c r="C676" s="247">
        <v>30.0</v>
      </c>
      <c r="D676" s="78">
        <f t="shared" si="49"/>
        <v>70</v>
      </c>
      <c r="E676" s="249" t="s">
        <v>18</v>
      </c>
      <c r="F676" s="47"/>
      <c r="G676" s="49"/>
      <c r="H676" s="49"/>
      <c r="I676" s="49"/>
      <c r="J676" s="49"/>
      <c r="K676" s="49"/>
      <c r="L676" s="49"/>
      <c r="M676" s="49"/>
      <c r="N676" s="49"/>
    </row>
    <row r="677" ht="15.0" customHeight="1">
      <c r="A677" s="49"/>
      <c r="B677" s="105" t="s">
        <v>149</v>
      </c>
      <c r="C677" s="522">
        <v>40.0</v>
      </c>
      <c r="D677" s="56">
        <f t="shared" si="49"/>
        <v>93.33333333</v>
      </c>
      <c r="E677" s="518" t="s">
        <v>18</v>
      </c>
      <c r="F677" s="47"/>
      <c r="G677" s="49"/>
      <c r="H677" s="49"/>
      <c r="I677" s="49"/>
      <c r="J677" s="49"/>
      <c r="K677" s="49"/>
      <c r="L677" s="49"/>
      <c r="M677" s="49"/>
      <c r="N677" s="49"/>
    </row>
    <row r="678" ht="15.0" customHeight="1">
      <c r="A678" s="49"/>
      <c r="B678" s="68" t="s">
        <v>323</v>
      </c>
      <c r="C678" s="210">
        <v>0.3</v>
      </c>
      <c r="D678" s="155">
        <f t="shared" si="49"/>
        <v>0.7</v>
      </c>
      <c r="E678" s="216" t="s">
        <v>14</v>
      </c>
      <c r="F678" s="44" t="s">
        <v>324</v>
      </c>
      <c r="G678" s="49"/>
      <c r="H678" s="49"/>
      <c r="I678" s="49"/>
      <c r="J678" s="49"/>
      <c r="K678" s="49"/>
      <c r="L678" s="49"/>
      <c r="M678" s="49"/>
      <c r="N678" s="49"/>
    </row>
    <row r="679" ht="15.0" customHeight="1">
      <c r="A679" s="49"/>
      <c r="B679" s="93" t="s">
        <v>325</v>
      </c>
      <c r="C679" s="247">
        <v>0.3</v>
      </c>
      <c r="D679" s="78">
        <f t="shared" si="49"/>
        <v>0.7</v>
      </c>
      <c r="E679" s="95" t="s">
        <v>14</v>
      </c>
      <c r="F679" s="47"/>
      <c r="G679" s="49"/>
      <c r="H679" s="49"/>
      <c r="I679" s="49"/>
      <c r="J679" s="49"/>
      <c r="K679" s="49"/>
      <c r="L679" s="49"/>
      <c r="M679" s="49"/>
      <c r="N679" s="49"/>
    </row>
    <row r="680" ht="15.0" customHeight="1">
      <c r="A680" s="49"/>
      <c r="B680" s="93" t="s">
        <v>327</v>
      </c>
      <c r="C680" s="247">
        <v>0.3</v>
      </c>
      <c r="D680" s="78">
        <f t="shared" si="49"/>
        <v>0.7</v>
      </c>
      <c r="E680" s="95" t="s">
        <v>14</v>
      </c>
      <c r="F680" s="47"/>
      <c r="G680" s="49"/>
      <c r="H680" s="49"/>
      <c r="I680" s="49"/>
      <c r="J680" s="49"/>
      <c r="K680" s="49"/>
      <c r="L680" s="49"/>
      <c r="M680" s="49"/>
      <c r="N680" s="49"/>
    </row>
    <row r="681" ht="15.0" customHeight="1">
      <c r="A681" s="49"/>
      <c r="B681" s="138" t="s">
        <v>1023</v>
      </c>
      <c r="C681" s="247">
        <v>0.3</v>
      </c>
      <c r="D681" s="78">
        <f t="shared" si="49"/>
        <v>0.7</v>
      </c>
      <c r="E681" s="95" t="s">
        <v>14</v>
      </c>
      <c r="F681" s="47"/>
      <c r="G681" s="49"/>
      <c r="H681" s="49"/>
      <c r="I681" s="49"/>
      <c r="J681" s="49"/>
      <c r="K681" s="49"/>
      <c r="L681" s="49"/>
      <c r="M681" s="49"/>
      <c r="N681" s="49"/>
    </row>
    <row r="682" ht="15.0" customHeight="1">
      <c r="A682" s="49"/>
      <c r="B682" s="138" t="s">
        <v>1024</v>
      </c>
      <c r="C682" s="247">
        <v>0.3</v>
      </c>
      <c r="D682" s="78">
        <f t="shared" si="49"/>
        <v>0.7</v>
      </c>
      <c r="E682" s="151" t="s">
        <v>14</v>
      </c>
      <c r="F682" s="47"/>
      <c r="G682" s="49"/>
      <c r="H682" s="49"/>
      <c r="I682" s="49"/>
      <c r="J682" s="49"/>
      <c r="K682" s="49"/>
      <c r="L682" s="49"/>
      <c r="M682" s="49"/>
      <c r="N682" s="49"/>
    </row>
    <row r="683" ht="15.0" customHeight="1">
      <c r="A683" s="49"/>
      <c r="B683" s="173" t="s">
        <v>330</v>
      </c>
      <c r="C683" s="545">
        <v>3.0</v>
      </c>
      <c r="D683" s="179">
        <f t="shared" si="49"/>
        <v>7</v>
      </c>
      <c r="E683" s="180" t="s">
        <v>14</v>
      </c>
      <c r="F683" s="47"/>
      <c r="G683" s="49"/>
      <c r="H683" s="49"/>
      <c r="I683" s="49"/>
      <c r="J683" s="49"/>
      <c r="K683" s="49"/>
      <c r="L683" s="49"/>
      <c r="M683" s="49"/>
      <c r="N683" s="49"/>
    </row>
    <row r="684" ht="15.0" customHeight="1">
      <c r="A684" s="49"/>
      <c r="B684" s="68" t="s">
        <v>13</v>
      </c>
      <c r="C684" s="210">
        <v>0.1</v>
      </c>
      <c r="D684" s="155">
        <f t="shared" si="49"/>
        <v>0.2333333333</v>
      </c>
      <c r="E684" s="81" t="s">
        <v>14</v>
      </c>
      <c r="F684" s="47"/>
      <c r="G684" s="49"/>
      <c r="H684" s="49"/>
      <c r="I684" s="49"/>
      <c r="J684" s="49"/>
      <c r="K684" s="49"/>
      <c r="L684" s="49"/>
      <c r="M684" s="49"/>
      <c r="N684" s="49"/>
    </row>
    <row r="685" ht="15.0" customHeight="1">
      <c r="A685" s="49"/>
      <c r="B685" s="138" t="s">
        <v>31</v>
      </c>
      <c r="C685" s="239">
        <v>80.0</v>
      </c>
      <c r="D685" s="146">
        <f t="shared" si="49"/>
        <v>186.6666667</v>
      </c>
      <c r="E685" s="151" t="s">
        <v>18</v>
      </c>
      <c r="F685" s="47"/>
      <c r="G685" s="49"/>
      <c r="H685" s="49"/>
      <c r="I685" s="49"/>
      <c r="J685" s="49"/>
      <c r="K685" s="49"/>
      <c r="L685" s="49"/>
      <c r="M685" s="49"/>
      <c r="N685" s="49"/>
    </row>
    <row r="686" ht="15.0" customHeight="1">
      <c r="A686" s="49"/>
      <c r="B686" s="68" t="s">
        <v>1026</v>
      </c>
      <c r="C686" s="210">
        <v>8.0</v>
      </c>
      <c r="D686" s="155">
        <f t="shared" si="49"/>
        <v>18.66666667</v>
      </c>
      <c r="E686" s="216" t="s">
        <v>18</v>
      </c>
      <c r="F686" s="47"/>
      <c r="G686" s="49"/>
      <c r="H686" s="49"/>
      <c r="I686" s="49"/>
      <c r="J686" s="49"/>
      <c r="K686" s="49"/>
      <c r="L686" s="49"/>
      <c r="M686" s="49"/>
      <c r="N686" s="49"/>
    </row>
    <row r="687" ht="15.0" customHeight="1">
      <c r="A687" s="49"/>
      <c r="B687" s="93" t="s">
        <v>1027</v>
      </c>
      <c r="C687" s="247">
        <v>8.0</v>
      </c>
      <c r="D687" s="78">
        <f t="shared" si="49"/>
        <v>18.66666667</v>
      </c>
      <c r="E687" s="249" t="s">
        <v>18</v>
      </c>
      <c r="F687" s="47"/>
      <c r="G687" s="49"/>
      <c r="H687" s="49"/>
      <c r="I687" s="49"/>
      <c r="J687" s="49"/>
      <c r="K687" s="49"/>
      <c r="L687" s="49"/>
      <c r="M687" s="49"/>
      <c r="N687" s="49"/>
    </row>
    <row r="688" ht="15.0" customHeight="1">
      <c r="A688" s="49"/>
      <c r="B688" s="93" t="s">
        <v>112</v>
      </c>
      <c r="C688" s="247">
        <v>4.0</v>
      </c>
      <c r="D688" s="78">
        <f t="shared" si="49"/>
        <v>9.333333333</v>
      </c>
      <c r="E688" s="249" t="s">
        <v>18</v>
      </c>
      <c r="F688" s="47"/>
      <c r="G688" s="49"/>
      <c r="H688" s="49"/>
      <c r="I688" s="49"/>
      <c r="J688" s="49"/>
      <c r="K688" s="49"/>
      <c r="L688" s="49"/>
      <c r="M688" s="49"/>
      <c r="N688" s="49"/>
    </row>
    <row r="689" ht="15.0" customHeight="1">
      <c r="A689" s="49"/>
      <c r="B689" s="93" t="s">
        <v>1030</v>
      </c>
      <c r="C689" s="247">
        <v>5.0</v>
      </c>
      <c r="D689" s="78">
        <f t="shared" si="49"/>
        <v>11.66666667</v>
      </c>
      <c r="E689" s="249" t="s">
        <v>18</v>
      </c>
      <c r="F689" s="76"/>
      <c r="G689" s="49"/>
      <c r="H689" s="49"/>
      <c r="I689" s="49"/>
      <c r="J689" s="49"/>
      <c r="K689" s="49"/>
      <c r="L689" s="49"/>
      <c r="M689" s="49"/>
      <c r="N689" s="49"/>
    </row>
    <row r="690" ht="15.0" customHeight="1">
      <c r="A690" s="49"/>
      <c r="B690" s="105" t="s">
        <v>548</v>
      </c>
      <c r="C690" s="522">
        <v>5.0</v>
      </c>
      <c r="D690" s="56">
        <f t="shared" si="49"/>
        <v>11.66666667</v>
      </c>
      <c r="E690" s="518" t="s">
        <v>18</v>
      </c>
      <c r="F690" s="495"/>
      <c r="G690" s="49"/>
      <c r="H690" s="49"/>
      <c r="I690" s="49"/>
      <c r="J690" s="49"/>
      <c r="K690" s="49"/>
      <c r="L690" s="49"/>
      <c r="M690" s="49"/>
      <c r="N690" s="49"/>
    </row>
    <row r="691" ht="15.0" customHeight="1">
      <c r="A691" s="49"/>
      <c r="B691" s="299" t="s">
        <v>119</v>
      </c>
      <c r="C691" s="183" t="s">
        <v>47</v>
      </c>
      <c r="D691" s="184"/>
      <c r="E691" s="1"/>
      <c r="F691" s="1"/>
      <c r="G691" s="49"/>
      <c r="H691" s="49"/>
      <c r="I691" s="49"/>
      <c r="J691" s="49"/>
      <c r="K691" s="49"/>
      <c r="L691" s="49"/>
      <c r="M691" s="49"/>
      <c r="N691" s="49"/>
    </row>
    <row r="692" ht="15.0" customHeight="1">
      <c r="A692" s="49"/>
      <c r="B692" s="302" t="s">
        <v>49</v>
      </c>
      <c r="C692" s="303">
        <v>41768.0</v>
      </c>
      <c r="D692" s="184"/>
      <c r="E692" s="1"/>
      <c r="F692" s="1"/>
      <c r="G692" s="49"/>
      <c r="H692" s="49"/>
      <c r="I692" s="49"/>
      <c r="J692" s="49"/>
      <c r="K692" s="49"/>
      <c r="L692" s="49"/>
      <c r="M692" s="49"/>
      <c r="N692" s="49"/>
    </row>
    <row r="693" ht="15.0" customHeight="1">
      <c r="A693" s="49"/>
      <c r="B693" s="302" t="s">
        <v>50</v>
      </c>
      <c r="C693" s="303">
        <v>41796.0</v>
      </c>
      <c r="D693" s="184"/>
      <c r="E693" s="1"/>
      <c r="F693" s="1"/>
      <c r="G693" s="49"/>
      <c r="H693" s="49"/>
      <c r="I693" s="49"/>
      <c r="J693" s="49"/>
      <c r="K693" s="49"/>
      <c r="L693" s="49"/>
      <c r="M693" s="49"/>
      <c r="N693" s="49"/>
    </row>
    <row r="694" ht="15.0" customHeight="1">
      <c r="A694" s="49"/>
      <c r="B694" s="1"/>
      <c r="C694" s="1"/>
      <c r="D694" s="184"/>
      <c r="E694" s="1"/>
      <c r="F694" s="1"/>
      <c r="G694" s="49"/>
      <c r="H694" s="49"/>
      <c r="I694" s="49"/>
      <c r="J694" s="49"/>
      <c r="K694" s="49"/>
      <c r="L694" s="49"/>
      <c r="M694" s="49"/>
      <c r="N694" s="49"/>
    </row>
    <row r="695" ht="15.0" customHeight="1">
      <c r="A695" s="49"/>
      <c r="B695" s="511" t="s">
        <v>970</v>
      </c>
      <c r="C695" s="18"/>
      <c r="D695" s="18"/>
      <c r="E695" s="19"/>
      <c r="F695" s="924" t="s">
        <v>1037</v>
      </c>
      <c r="G695" s="49"/>
      <c r="H695" s="49"/>
      <c r="I695" s="49"/>
      <c r="J695" s="49"/>
      <c r="K695" s="49"/>
      <c r="L695" s="49"/>
      <c r="M695" s="49"/>
      <c r="N695" s="49"/>
    </row>
    <row r="696" ht="15.0" customHeight="1">
      <c r="A696" s="49"/>
      <c r="B696" s="51" t="s">
        <v>1</v>
      </c>
      <c r="C696" s="53">
        <v>100.0</v>
      </c>
      <c r="D696" s="513">
        <v>12.0</v>
      </c>
      <c r="E696" s="514" t="s">
        <v>5</v>
      </c>
      <c r="F696" s="1"/>
      <c r="G696" s="49"/>
      <c r="H696" s="49"/>
      <c r="I696" s="49"/>
      <c r="J696" s="49"/>
      <c r="K696" s="49"/>
      <c r="L696" s="49"/>
      <c r="M696" s="49"/>
      <c r="N696" s="49"/>
    </row>
    <row r="697" ht="15.0" customHeight="1">
      <c r="A697" s="49"/>
      <c r="B697" s="68" t="s">
        <v>140</v>
      </c>
      <c r="C697" s="210">
        <v>25.0</v>
      </c>
      <c r="D697" s="155">
        <f>(C697*D698)/C698</f>
        <v>3</v>
      </c>
      <c r="E697" s="216" t="s">
        <v>14</v>
      </c>
      <c r="F697" s="763"/>
      <c r="G697" s="49"/>
      <c r="H697" s="49"/>
      <c r="I697" s="49"/>
      <c r="J697" s="49"/>
      <c r="K697" s="49"/>
      <c r="L697" s="49"/>
      <c r="M697" s="49"/>
      <c r="N697" s="49"/>
    </row>
    <row r="698" ht="15.0" customHeight="1">
      <c r="A698" s="49"/>
      <c r="B698" s="105" t="s">
        <v>1040</v>
      </c>
      <c r="C698" s="522">
        <v>2.25</v>
      </c>
      <c r="D698" s="56">
        <f t="shared" ref="D698:D699" si="50">(C698*D696)/C696</f>
        <v>0.27</v>
      </c>
      <c r="E698" s="518" t="s">
        <v>5</v>
      </c>
      <c r="F698" s="763"/>
      <c r="G698" s="49"/>
      <c r="H698" s="49"/>
      <c r="I698" s="49"/>
      <c r="J698" s="49"/>
      <c r="K698" s="49"/>
      <c r="L698" s="49"/>
      <c r="M698" s="49"/>
      <c r="N698" s="49"/>
    </row>
    <row r="699" ht="15.0" customHeight="1">
      <c r="A699" s="49"/>
      <c r="B699" s="119" t="s">
        <v>91</v>
      </c>
      <c r="C699" s="523">
        <v>2.25</v>
      </c>
      <c r="D699" s="129">
        <f t="shared" si="50"/>
        <v>0.27</v>
      </c>
      <c r="E699" s="520" t="s">
        <v>5</v>
      </c>
      <c r="F699" s="763"/>
      <c r="G699" s="49"/>
      <c r="H699" s="49"/>
      <c r="I699" s="49"/>
      <c r="J699" s="49"/>
      <c r="K699" s="49"/>
      <c r="L699" s="49"/>
      <c r="M699" s="49"/>
      <c r="N699" s="49"/>
    </row>
    <row r="700" ht="15.0" customHeight="1">
      <c r="A700" s="49"/>
      <c r="B700" s="93" t="s">
        <v>97</v>
      </c>
      <c r="C700" s="247">
        <v>124.99999999999999</v>
      </c>
      <c r="D700" s="78">
        <f t="shared" ref="D700:D709" si="51">(C700*D699)/C699</f>
        <v>15</v>
      </c>
      <c r="E700" s="249" t="s">
        <v>18</v>
      </c>
      <c r="F700" s="763"/>
      <c r="G700" s="49"/>
      <c r="H700" s="49"/>
      <c r="I700" s="49"/>
      <c r="J700" s="49"/>
      <c r="K700" s="49"/>
      <c r="L700" s="49"/>
      <c r="M700" s="49"/>
      <c r="N700" s="49"/>
    </row>
    <row r="701" ht="15.0" customHeight="1">
      <c r="A701" s="49"/>
      <c r="B701" s="93" t="s">
        <v>345</v>
      </c>
      <c r="C701" s="247">
        <v>1.0</v>
      </c>
      <c r="D701" s="78">
        <f t="shared" si="51"/>
        <v>0.12</v>
      </c>
      <c r="E701" s="249" t="s">
        <v>14</v>
      </c>
      <c r="F701" s="763"/>
      <c r="G701" s="49"/>
      <c r="H701" s="49"/>
      <c r="I701" s="49"/>
      <c r="J701" s="49"/>
      <c r="K701" s="49"/>
      <c r="L701" s="49"/>
      <c r="M701" s="49"/>
      <c r="N701" s="49"/>
    </row>
    <row r="702" ht="15.0" customHeight="1">
      <c r="A702" s="49"/>
      <c r="B702" s="93" t="s">
        <v>311</v>
      </c>
      <c r="C702" s="247">
        <v>1.0</v>
      </c>
      <c r="D702" s="78">
        <f t="shared" si="51"/>
        <v>0.12</v>
      </c>
      <c r="E702" s="249" t="s">
        <v>14</v>
      </c>
      <c r="F702" s="763"/>
      <c r="G702" s="49"/>
      <c r="H702" s="49"/>
      <c r="I702" s="49"/>
      <c r="J702" s="49"/>
      <c r="K702" s="49"/>
      <c r="L702" s="49"/>
      <c r="M702" s="49"/>
      <c r="N702" s="49"/>
    </row>
    <row r="703" ht="15.0" customHeight="1">
      <c r="A703" s="49"/>
      <c r="B703" s="93" t="s">
        <v>60</v>
      </c>
      <c r="C703" s="247">
        <v>1.5</v>
      </c>
      <c r="D703" s="78">
        <f t="shared" si="51"/>
        <v>0.18</v>
      </c>
      <c r="E703" s="249" t="s">
        <v>14</v>
      </c>
      <c r="F703" s="763"/>
      <c r="G703" s="49"/>
      <c r="H703" s="49"/>
      <c r="I703" s="49"/>
      <c r="J703" s="49"/>
      <c r="K703" s="49"/>
      <c r="L703" s="49"/>
      <c r="M703" s="49"/>
      <c r="N703" s="49"/>
    </row>
    <row r="704" ht="15.0" customHeight="1">
      <c r="A704" s="49"/>
      <c r="B704" s="93" t="s">
        <v>148</v>
      </c>
      <c r="C704" s="247">
        <v>850.0</v>
      </c>
      <c r="D704" s="78">
        <f t="shared" si="51"/>
        <v>102</v>
      </c>
      <c r="E704" s="249" t="s">
        <v>18</v>
      </c>
      <c r="F704" s="763"/>
      <c r="G704" s="49"/>
      <c r="H704" s="49"/>
      <c r="I704" s="49"/>
      <c r="J704" s="49"/>
      <c r="K704" s="49"/>
      <c r="L704" s="49"/>
      <c r="M704" s="49"/>
      <c r="N704" s="49"/>
    </row>
    <row r="705" ht="15.0" customHeight="1">
      <c r="A705" s="49"/>
      <c r="B705" s="898" t="s">
        <v>101</v>
      </c>
      <c r="C705" s="247">
        <v>0.7</v>
      </c>
      <c r="D705" s="78">
        <f t="shared" si="51"/>
        <v>0.084</v>
      </c>
      <c r="E705" s="249" t="s">
        <v>5</v>
      </c>
      <c r="F705" s="1"/>
      <c r="G705" s="49"/>
      <c r="H705" s="49"/>
      <c r="I705" s="49"/>
      <c r="J705" s="49"/>
      <c r="K705" s="49"/>
      <c r="L705" s="49"/>
      <c r="M705" s="49"/>
      <c r="N705" s="49"/>
    </row>
    <row r="706" ht="15.0" customHeight="1">
      <c r="A706" s="49"/>
      <c r="B706" s="898" t="s">
        <v>746</v>
      </c>
      <c r="C706" s="247">
        <v>624.9999999999999</v>
      </c>
      <c r="D706" s="78">
        <f t="shared" si="51"/>
        <v>75</v>
      </c>
      <c r="E706" s="249" t="s">
        <v>18</v>
      </c>
      <c r="F706" s="1"/>
      <c r="G706" s="49"/>
      <c r="H706" s="49"/>
      <c r="I706" s="49"/>
      <c r="J706" s="49"/>
      <c r="K706" s="49"/>
      <c r="L706" s="49"/>
      <c r="M706" s="49"/>
      <c r="N706" s="49"/>
    </row>
    <row r="707" ht="15.0" customHeight="1">
      <c r="A707" s="49"/>
      <c r="B707" s="93" t="s">
        <v>31</v>
      </c>
      <c r="C707" s="247">
        <v>825.0</v>
      </c>
      <c r="D707" s="78">
        <f t="shared" si="51"/>
        <v>99</v>
      </c>
      <c r="E707" s="249" t="s">
        <v>18</v>
      </c>
      <c r="F707" s="1"/>
      <c r="G707" s="49"/>
      <c r="H707" s="49"/>
      <c r="I707" s="49"/>
      <c r="J707" s="49"/>
      <c r="K707" s="49"/>
      <c r="L707" s="49"/>
      <c r="M707" s="49"/>
      <c r="N707" s="49"/>
    </row>
    <row r="708" ht="15.0" customHeight="1">
      <c r="A708" s="49"/>
      <c r="B708" s="138" t="s">
        <v>59</v>
      </c>
      <c r="C708" s="239">
        <v>49.99999999999999</v>
      </c>
      <c r="D708" s="146">
        <f t="shared" si="51"/>
        <v>6</v>
      </c>
      <c r="E708" s="242" t="s">
        <v>5</v>
      </c>
      <c r="F708" s="1"/>
      <c r="G708" s="49"/>
      <c r="H708" s="49"/>
      <c r="I708" s="49"/>
      <c r="J708" s="49"/>
      <c r="K708" s="49"/>
      <c r="L708" s="49"/>
      <c r="M708" s="49"/>
      <c r="N708" s="49"/>
    </row>
    <row r="709" ht="15.0" customHeight="1">
      <c r="A709" s="49"/>
      <c r="B709" s="173" t="s">
        <v>1050</v>
      </c>
      <c r="C709" s="545">
        <v>2.0</v>
      </c>
      <c r="D709" s="179">
        <f t="shared" si="51"/>
        <v>0.24</v>
      </c>
      <c r="E709" s="547" t="s">
        <v>5</v>
      </c>
      <c r="F709" s="1"/>
      <c r="G709" s="49"/>
      <c r="H709" s="49"/>
      <c r="I709" s="49"/>
      <c r="J709" s="49"/>
      <c r="K709" s="49"/>
      <c r="L709" s="49"/>
      <c r="M709" s="49"/>
      <c r="N709" s="49"/>
    </row>
    <row r="710" ht="15.0" customHeight="1">
      <c r="A710" s="49"/>
      <c r="B710" s="299" t="s">
        <v>119</v>
      </c>
      <c r="C710" s="183" t="s">
        <v>47</v>
      </c>
      <c r="D710" s="184"/>
      <c r="E710" s="1"/>
      <c r="F710" s="1"/>
      <c r="G710" s="1"/>
      <c r="H710" s="49"/>
      <c r="I710" s="49"/>
      <c r="J710" s="49"/>
      <c r="K710" s="49"/>
      <c r="L710" s="49"/>
      <c r="M710" s="49"/>
      <c r="N710" s="49"/>
    </row>
    <row r="711" ht="15.0" customHeight="1">
      <c r="A711" s="49"/>
      <c r="B711" s="302" t="s">
        <v>49</v>
      </c>
      <c r="C711" s="303">
        <v>42864.0</v>
      </c>
      <c r="D711" s="184"/>
      <c r="E711" s="1"/>
      <c r="F711" s="1"/>
      <c r="G711" s="1"/>
      <c r="H711" s="49"/>
      <c r="I711" s="49"/>
      <c r="J711" s="49"/>
      <c r="K711" s="49"/>
      <c r="L711" s="49"/>
      <c r="M711" s="49"/>
      <c r="N711" s="49"/>
    </row>
    <row r="712" ht="15.0" customHeight="1">
      <c r="A712" s="49"/>
      <c r="B712" s="302" t="s">
        <v>50</v>
      </c>
      <c r="C712" s="303"/>
      <c r="D712" s="184"/>
      <c r="E712" s="1"/>
      <c r="F712" s="1"/>
      <c r="G712" s="1"/>
      <c r="H712" s="49"/>
      <c r="I712" s="49"/>
      <c r="J712" s="49"/>
      <c r="K712" s="49"/>
      <c r="L712" s="49"/>
      <c r="M712" s="49"/>
      <c r="N712" s="49"/>
    </row>
    <row r="713" ht="15.0" customHeight="1">
      <c r="A713" s="49"/>
      <c r="B713" s="49"/>
      <c r="C713" s="49"/>
      <c r="D713" s="558"/>
      <c r="E713" s="49"/>
      <c r="F713" s="1"/>
      <c r="G713" s="1"/>
      <c r="H713" s="49"/>
      <c r="I713" s="49"/>
      <c r="J713" s="49"/>
      <c r="K713" s="49"/>
      <c r="L713" s="49"/>
      <c r="M713" s="49"/>
      <c r="N713" s="49"/>
    </row>
    <row r="714" ht="15.0" customHeight="1">
      <c r="A714" s="49"/>
      <c r="B714" s="49"/>
      <c r="C714" s="49"/>
      <c r="D714" s="558"/>
      <c r="E714" s="49"/>
      <c r="F714" s="49"/>
      <c r="G714" s="49"/>
      <c r="H714" s="49"/>
      <c r="I714" s="49"/>
      <c r="J714" s="49"/>
      <c r="K714" s="49"/>
      <c r="L714" s="49"/>
      <c r="M714" s="49"/>
      <c r="N714" s="49"/>
    </row>
    <row r="715" ht="15.0" customHeight="1">
      <c r="A715" s="49"/>
      <c r="B715" s="927" t="s">
        <v>389</v>
      </c>
      <c r="C715" s="5"/>
      <c r="D715" s="5"/>
      <c r="E715" s="6"/>
      <c r="F715" s="49"/>
      <c r="G715" s="49"/>
      <c r="H715" s="49"/>
      <c r="I715" s="49"/>
      <c r="J715" s="49"/>
      <c r="K715" s="49"/>
      <c r="L715" s="49"/>
      <c r="M715" s="49"/>
      <c r="N715" s="49"/>
    </row>
    <row r="716" ht="15.0" customHeight="1">
      <c r="A716" s="49"/>
      <c r="B716" s="68" t="s">
        <v>1</v>
      </c>
      <c r="C716" s="210">
        <v>3.0</v>
      </c>
      <c r="D716" s="155">
        <v>20.0</v>
      </c>
      <c r="E716" s="216" t="s">
        <v>5</v>
      </c>
      <c r="F716" s="49"/>
      <c r="G716" s="49"/>
      <c r="H716" s="49"/>
      <c r="I716" s="49"/>
      <c r="J716" s="49"/>
      <c r="K716" s="49"/>
      <c r="L716" s="49"/>
      <c r="M716" s="49"/>
      <c r="N716" s="49"/>
    </row>
    <row r="717" ht="15.0" customHeight="1">
      <c r="A717" s="49"/>
      <c r="B717" s="93" t="s">
        <v>1055</v>
      </c>
      <c r="C717" s="247">
        <v>0.18</v>
      </c>
      <c r="D717" s="78">
        <f t="shared" ref="D717:D732" si="52">D716/C716*C717</f>
        <v>1.2</v>
      </c>
      <c r="E717" s="249" t="s">
        <v>366</v>
      </c>
      <c r="F717" s="49"/>
      <c r="G717" s="49"/>
      <c r="H717" s="49"/>
      <c r="I717" s="49"/>
      <c r="J717" s="49"/>
      <c r="K717" s="49"/>
      <c r="L717" s="49"/>
      <c r="M717" s="49"/>
      <c r="N717" s="49"/>
    </row>
    <row r="718" ht="15.0" customHeight="1">
      <c r="A718" s="49"/>
      <c r="B718" s="93" t="s">
        <v>1056</v>
      </c>
      <c r="C718" s="247">
        <v>850.0</v>
      </c>
      <c r="D718" s="521">
        <f t="shared" si="52"/>
        <v>5666.666667</v>
      </c>
      <c r="E718" s="249" t="s">
        <v>82</v>
      </c>
      <c r="F718" s="49"/>
      <c r="G718" s="49"/>
      <c r="H718" s="49"/>
      <c r="I718" s="49"/>
      <c r="J718" s="49"/>
      <c r="K718" s="49"/>
      <c r="L718" s="49"/>
      <c r="M718" s="49"/>
      <c r="N718" s="49"/>
    </row>
    <row r="719" ht="15.0" customHeight="1">
      <c r="A719" s="49"/>
      <c r="B719" s="93" t="s">
        <v>1057</v>
      </c>
      <c r="C719" s="247">
        <v>550.0</v>
      </c>
      <c r="D719" s="521">
        <f t="shared" si="52"/>
        <v>3666.666667</v>
      </c>
      <c r="E719" s="249" t="s">
        <v>82</v>
      </c>
      <c r="F719" s="49"/>
      <c r="G719" s="49"/>
      <c r="H719" s="49"/>
      <c r="I719" s="49"/>
      <c r="J719" s="49"/>
      <c r="K719" s="49"/>
      <c r="L719" s="49"/>
      <c r="M719" s="49"/>
      <c r="N719" s="49"/>
    </row>
    <row r="720" ht="15.0" customHeight="1">
      <c r="A720" s="49"/>
      <c r="B720" s="935" t="s">
        <v>1058</v>
      </c>
      <c r="C720" s="937">
        <v>20.0</v>
      </c>
      <c r="D720" s="938">
        <f t="shared" si="52"/>
        <v>133.3333333</v>
      </c>
      <c r="E720" s="940" t="s">
        <v>18</v>
      </c>
      <c r="F720" s="49"/>
      <c r="G720" s="49"/>
      <c r="H720" s="49"/>
      <c r="I720" s="49"/>
      <c r="J720" s="49"/>
      <c r="K720" s="49"/>
      <c r="L720" s="49"/>
      <c r="M720" s="49"/>
      <c r="N720" s="49"/>
    </row>
    <row r="721" ht="15.0" customHeight="1">
      <c r="A721" s="49"/>
      <c r="B721" s="93" t="s">
        <v>60</v>
      </c>
      <c r="C721" s="247">
        <v>50.0</v>
      </c>
      <c r="D721" s="521">
        <f t="shared" si="52"/>
        <v>333.3333333</v>
      </c>
      <c r="E721" s="249" t="s">
        <v>18</v>
      </c>
      <c r="F721" s="49"/>
      <c r="G721" s="49"/>
      <c r="H721" s="49"/>
      <c r="I721" s="49"/>
      <c r="J721" s="49"/>
      <c r="K721" s="49"/>
      <c r="L721" s="49"/>
      <c r="M721" s="49"/>
      <c r="N721" s="49"/>
    </row>
    <row r="722" ht="15.0" customHeight="1">
      <c r="A722" s="49"/>
      <c r="B722" s="93" t="s">
        <v>1065</v>
      </c>
      <c r="C722" s="247">
        <v>11.0</v>
      </c>
      <c r="D722" s="521">
        <f t="shared" si="52"/>
        <v>73.33333333</v>
      </c>
      <c r="E722" s="249" t="s">
        <v>18</v>
      </c>
      <c r="F722" s="49"/>
      <c r="G722" s="49"/>
      <c r="H722" s="49"/>
      <c r="I722" s="49"/>
      <c r="J722" s="49"/>
      <c r="K722" s="49"/>
      <c r="L722" s="49"/>
      <c r="M722" s="49"/>
      <c r="N722" s="49"/>
    </row>
    <row r="723" ht="15.0" customHeight="1">
      <c r="A723" s="49"/>
      <c r="B723" s="177" t="s">
        <v>31</v>
      </c>
      <c r="C723" s="321">
        <v>21.0</v>
      </c>
      <c r="D723" s="521">
        <f t="shared" si="52"/>
        <v>140</v>
      </c>
      <c r="E723" s="249" t="s">
        <v>18</v>
      </c>
      <c r="F723" s="49"/>
      <c r="G723" s="49"/>
      <c r="H723" s="49"/>
      <c r="I723" s="49"/>
      <c r="J723" s="49"/>
      <c r="K723" s="49"/>
      <c r="L723" s="49"/>
      <c r="M723" s="49"/>
      <c r="N723" s="49"/>
    </row>
    <row r="724" ht="15.0" customHeight="1">
      <c r="A724" s="49"/>
      <c r="B724" s="93" t="s">
        <v>1068</v>
      </c>
      <c r="C724" s="247">
        <v>12.0</v>
      </c>
      <c r="D724" s="521">
        <f t="shared" si="52"/>
        <v>80</v>
      </c>
      <c r="E724" s="249"/>
      <c r="F724" s="49"/>
      <c r="G724" s="49"/>
      <c r="H724" s="49"/>
      <c r="I724" s="49"/>
      <c r="J724" s="49"/>
      <c r="K724" s="49"/>
      <c r="L724" s="49"/>
      <c r="M724" s="49"/>
      <c r="N724" s="49"/>
    </row>
    <row r="725" ht="15.0" customHeight="1">
      <c r="A725" s="49"/>
      <c r="B725" s="177" t="s">
        <v>173</v>
      </c>
      <c r="C725" s="321">
        <v>15.0</v>
      </c>
      <c r="D725" s="521">
        <f t="shared" si="52"/>
        <v>100</v>
      </c>
      <c r="E725" s="249" t="s">
        <v>18</v>
      </c>
      <c r="F725" s="49"/>
      <c r="G725" s="49"/>
      <c r="H725" s="49"/>
      <c r="I725" s="49"/>
      <c r="J725" s="49"/>
      <c r="K725" s="49"/>
      <c r="L725" s="49"/>
      <c r="M725" s="49"/>
      <c r="N725" s="49"/>
    </row>
    <row r="726" ht="15.0" customHeight="1">
      <c r="A726" s="49"/>
      <c r="B726" s="177" t="s">
        <v>59</v>
      </c>
      <c r="C726" s="321">
        <v>0.18</v>
      </c>
      <c r="D726" s="521">
        <f t="shared" si="52"/>
        <v>1.2</v>
      </c>
      <c r="E726" s="249" t="s">
        <v>5</v>
      </c>
      <c r="F726" s="49"/>
      <c r="G726" s="49"/>
      <c r="H726" s="49"/>
      <c r="I726" s="49"/>
      <c r="J726" s="49"/>
      <c r="K726" s="49"/>
      <c r="L726" s="49"/>
      <c r="M726" s="49"/>
      <c r="N726" s="49"/>
    </row>
    <row r="727" ht="15.0" customHeight="1">
      <c r="A727" s="49"/>
      <c r="B727" s="177" t="s">
        <v>1069</v>
      </c>
      <c r="C727" s="321">
        <v>8.0</v>
      </c>
      <c r="D727" s="521">
        <f t="shared" si="52"/>
        <v>53.33333333</v>
      </c>
      <c r="E727" s="249" t="s">
        <v>18</v>
      </c>
      <c r="F727" s="49"/>
      <c r="G727" s="49"/>
      <c r="H727" s="49"/>
      <c r="I727" s="49"/>
      <c r="J727" s="49"/>
      <c r="K727" s="49"/>
      <c r="L727" s="49"/>
      <c r="M727" s="49"/>
      <c r="N727" s="49"/>
    </row>
    <row r="728" ht="15.0" customHeight="1">
      <c r="A728" s="49"/>
      <c r="B728" s="177" t="s">
        <v>1071</v>
      </c>
      <c r="C728" s="321">
        <v>0.54</v>
      </c>
      <c r="D728" s="521">
        <f t="shared" si="52"/>
        <v>3.6</v>
      </c>
      <c r="E728" s="249" t="s">
        <v>366</v>
      </c>
      <c r="F728" s="49"/>
      <c r="G728" s="49"/>
      <c r="H728" s="49"/>
      <c r="I728" s="49"/>
      <c r="J728" s="49"/>
      <c r="K728" s="49"/>
      <c r="L728" s="49"/>
      <c r="M728" s="49"/>
      <c r="N728" s="49"/>
    </row>
    <row r="729" ht="15.0" customHeight="1">
      <c r="A729" s="49"/>
      <c r="B729" s="177" t="s">
        <v>79</v>
      </c>
      <c r="C729" s="321">
        <v>0.23</v>
      </c>
      <c r="D729" s="521">
        <f t="shared" si="52"/>
        <v>1.533333333</v>
      </c>
      <c r="E729" s="249" t="s">
        <v>366</v>
      </c>
      <c r="F729" s="49"/>
      <c r="G729" s="49"/>
      <c r="H729" s="49"/>
      <c r="I729" s="49"/>
      <c r="J729" s="49"/>
      <c r="K729" s="49"/>
      <c r="L729" s="49"/>
      <c r="M729" s="49"/>
      <c r="N729" s="49"/>
    </row>
    <row r="730" ht="15.0" customHeight="1">
      <c r="A730" s="49"/>
      <c r="B730" s="177" t="s">
        <v>1072</v>
      </c>
      <c r="C730" s="321">
        <v>0.2</v>
      </c>
      <c r="D730" s="521">
        <f t="shared" si="52"/>
        <v>1.333333333</v>
      </c>
      <c r="E730" s="249" t="s">
        <v>366</v>
      </c>
      <c r="F730" s="49"/>
      <c r="G730" s="49"/>
      <c r="H730" s="49"/>
      <c r="I730" s="49"/>
      <c r="J730" s="49"/>
      <c r="K730" s="49"/>
      <c r="L730" s="49"/>
      <c r="M730" s="49"/>
      <c r="N730" s="49"/>
    </row>
    <row r="731" ht="15.0" customHeight="1">
      <c r="A731" s="49"/>
      <c r="B731" s="177" t="s">
        <v>958</v>
      </c>
      <c r="C731" s="321">
        <v>150.0</v>
      </c>
      <c r="D731" s="521">
        <f t="shared" si="52"/>
        <v>1000</v>
      </c>
      <c r="E731" s="249" t="s">
        <v>82</v>
      </c>
      <c r="F731" s="49"/>
      <c r="G731" s="49"/>
      <c r="H731" s="49"/>
      <c r="I731" s="49"/>
      <c r="J731" s="49"/>
      <c r="K731" s="49"/>
      <c r="L731" s="49"/>
      <c r="M731" s="49"/>
      <c r="N731" s="49"/>
    </row>
    <row r="732" ht="15.0" customHeight="1">
      <c r="A732" s="49"/>
      <c r="B732" s="177" t="s">
        <v>1073</v>
      </c>
      <c r="C732" s="321">
        <v>19.0</v>
      </c>
      <c r="D732" s="521">
        <f t="shared" si="52"/>
        <v>126.6666667</v>
      </c>
      <c r="E732" s="249" t="s">
        <v>18</v>
      </c>
      <c r="F732" s="49"/>
      <c r="G732" s="49"/>
      <c r="H732" s="49"/>
      <c r="I732" s="49"/>
      <c r="J732" s="49"/>
      <c r="K732" s="49"/>
      <c r="L732" s="49"/>
      <c r="M732" s="49"/>
      <c r="N732" s="49"/>
    </row>
    <row r="733" ht="15.0" customHeight="1">
      <c r="A733" s="49"/>
      <c r="B733" s="299" t="s">
        <v>119</v>
      </c>
      <c r="C733" s="183" t="s">
        <v>47</v>
      </c>
      <c r="D733" s="558"/>
      <c r="E733" s="49"/>
      <c r="F733" s="49"/>
      <c r="G733" s="49"/>
      <c r="H733" s="49"/>
      <c r="I733" s="49"/>
      <c r="J733" s="49"/>
      <c r="K733" s="49"/>
      <c r="L733" s="49"/>
      <c r="M733" s="49"/>
      <c r="N733" s="49"/>
    </row>
    <row r="734" ht="15.0" customHeight="1">
      <c r="A734" s="49"/>
      <c r="B734" s="302" t="s">
        <v>49</v>
      </c>
      <c r="C734" s="303"/>
      <c r="D734" s="558"/>
      <c r="E734" s="49"/>
      <c r="F734" s="49"/>
      <c r="G734" s="49"/>
      <c r="H734" s="49"/>
      <c r="I734" s="49"/>
      <c r="J734" s="49"/>
      <c r="K734" s="49"/>
      <c r="L734" s="49"/>
      <c r="M734" s="49"/>
      <c r="N734" s="49"/>
    </row>
    <row r="735" ht="15.0" customHeight="1">
      <c r="A735" s="49"/>
      <c r="B735" s="302" t="s">
        <v>50</v>
      </c>
      <c r="C735" s="303"/>
      <c r="D735" s="558"/>
      <c r="E735" s="49"/>
      <c r="F735" s="49"/>
      <c r="G735" s="49"/>
      <c r="H735" s="49"/>
      <c r="I735" s="49"/>
      <c r="J735" s="49"/>
      <c r="K735" s="49"/>
      <c r="L735" s="49"/>
      <c r="M735" s="49"/>
      <c r="N735" s="49"/>
    </row>
    <row r="736" ht="15.0" customHeight="1">
      <c r="A736" s="49"/>
      <c r="B736" s="49"/>
      <c r="C736" s="49"/>
      <c r="D736" s="558"/>
      <c r="E736" s="49"/>
      <c r="F736" s="49"/>
      <c r="G736" s="49"/>
      <c r="H736" s="49"/>
      <c r="I736" s="49"/>
      <c r="J736" s="49"/>
      <c r="K736" s="49"/>
      <c r="L736" s="49"/>
      <c r="M736" s="49"/>
      <c r="N736" s="49"/>
    </row>
    <row r="737" ht="15.0" customHeight="1">
      <c r="A737" s="49"/>
      <c r="B737" s="49"/>
      <c r="C737" s="49"/>
      <c r="D737" s="558"/>
      <c r="E737" s="49"/>
      <c r="F737" s="49"/>
      <c r="G737" s="49"/>
      <c r="H737" s="49"/>
      <c r="I737" s="49"/>
      <c r="J737" s="49"/>
      <c r="K737" s="49"/>
      <c r="L737" s="49"/>
      <c r="M737" s="49"/>
      <c r="N737" s="49"/>
    </row>
    <row r="738" ht="15.0" customHeight="1">
      <c r="A738" s="49"/>
      <c r="B738" s="49"/>
      <c r="C738" s="49"/>
      <c r="D738" s="558"/>
      <c r="E738" s="49"/>
      <c r="F738" s="49"/>
      <c r="G738" s="49"/>
      <c r="H738" s="49"/>
      <c r="I738" s="49"/>
      <c r="J738" s="49"/>
      <c r="K738" s="49"/>
      <c r="L738" s="49"/>
      <c r="M738" s="49"/>
      <c r="N738" s="49"/>
    </row>
    <row r="739" ht="15.0" customHeight="1">
      <c r="A739" s="49"/>
      <c r="B739" s="49"/>
      <c r="C739" s="49"/>
      <c r="D739" s="558"/>
      <c r="E739" s="49"/>
      <c r="F739" s="49"/>
      <c r="G739" s="49"/>
      <c r="H739" s="49"/>
      <c r="I739" s="49"/>
      <c r="J739" s="49"/>
      <c r="K739" s="49"/>
      <c r="L739" s="49"/>
      <c r="M739" s="49"/>
      <c r="N739" s="49"/>
    </row>
    <row r="740" ht="15.0" customHeight="1">
      <c r="A740" s="49"/>
      <c r="B740" s="49"/>
      <c r="C740" s="49"/>
      <c r="D740" s="558"/>
      <c r="E740" s="49"/>
      <c r="F740" s="1"/>
      <c r="G740" s="49"/>
      <c r="H740" s="49"/>
      <c r="I740" s="49"/>
      <c r="J740" s="49"/>
      <c r="K740" s="49"/>
      <c r="L740" s="49"/>
      <c r="M740" s="49"/>
      <c r="N740" s="49"/>
    </row>
    <row r="741" ht="15.0" customHeight="1">
      <c r="A741" s="49"/>
      <c r="B741" s="1"/>
      <c r="C741" s="107"/>
      <c r="D741" s="1"/>
      <c r="E741" s="1"/>
      <c r="F741" s="971" t="s">
        <v>1077</v>
      </c>
      <c r="G741" s="49"/>
      <c r="H741" s="49"/>
      <c r="I741" s="49"/>
      <c r="J741" s="49"/>
      <c r="K741" s="49"/>
      <c r="L741" s="49"/>
      <c r="M741" s="49"/>
      <c r="N741" s="49"/>
    </row>
    <row r="742" ht="15.0" customHeight="1">
      <c r="A742" s="49"/>
      <c r="B742" s="511" t="s">
        <v>1084</v>
      </c>
      <c r="C742" s="18"/>
      <c r="D742" s="18"/>
      <c r="E742" s="19"/>
      <c r="F742" s="1"/>
      <c r="G742" s="49"/>
      <c r="H742" s="511" t="s">
        <v>1087</v>
      </c>
      <c r="I742" s="18"/>
      <c r="J742" s="18"/>
      <c r="K742" s="19"/>
      <c r="L742" s="49"/>
      <c r="M742" s="49"/>
      <c r="N742" s="49"/>
    </row>
    <row r="743" ht="15.0" customHeight="1">
      <c r="A743" s="49"/>
      <c r="B743" s="512" t="s">
        <v>310</v>
      </c>
      <c r="C743" s="190">
        <v>725.0</v>
      </c>
      <c r="D743" s="53">
        <v>1000.0</v>
      </c>
      <c r="E743" s="514" t="s">
        <v>9</v>
      </c>
      <c r="F743" s="1"/>
      <c r="G743" s="49"/>
      <c r="H743" s="973" t="s">
        <v>1088</v>
      </c>
      <c r="I743" s="190">
        <v>800.0</v>
      </c>
      <c r="J743" s="53">
        <v>700.0</v>
      </c>
      <c r="K743" s="514" t="s">
        <v>9</v>
      </c>
      <c r="L743" s="49"/>
      <c r="M743" s="49"/>
      <c r="N743" s="49"/>
    </row>
    <row r="744" ht="15.0" customHeight="1">
      <c r="A744" s="49"/>
      <c r="B744" s="68" t="s">
        <v>311</v>
      </c>
      <c r="C744" s="975">
        <v>5.82</v>
      </c>
      <c r="D744" s="976">
        <f t="shared" ref="D744:D745" si="53">(C744*D743)/C743</f>
        <v>8.027586207</v>
      </c>
      <c r="E744" s="216" t="s">
        <v>14</v>
      </c>
      <c r="F744" s="1"/>
      <c r="G744" s="49"/>
      <c r="H744" s="68" t="s">
        <v>311</v>
      </c>
      <c r="I744" s="975">
        <v>6.42</v>
      </c>
      <c r="J744" s="976">
        <f t="shared" ref="J744:J745" si="54">(I744*J743)/I743</f>
        <v>5.6175</v>
      </c>
      <c r="K744" s="216" t="s">
        <v>14</v>
      </c>
      <c r="L744" s="49"/>
      <c r="M744" s="49"/>
      <c r="N744" s="49"/>
    </row>
    <row r="745" ht="15.0" customHeight="1">
      <c r="A745" s="49"/>
      <c r="B745" s="105" t="s">
        <v>1101</v>
      </c>
      <c r="C745" s="980">
        <v>11.63</v>
      </c>
      <c r="D745" s="981">
        <f t="shared" si="53"/>
        <v>16.04137931</v>
      </c>
      <c r="E745" s="518" t="s">
        <v>14</v>
      </c>
      <c r="F745" s="1"/>
      <c r="G745" s="49"/>
      <c r="H745" s="105" t="s">
        <v>1101</v>
      </c>
      <c r="I745" s="980">
        <v>12.83</v>
      </c>
      <c r="J745" s="981">
        <f t="shared" si="54"/>
        <v>11.22625</v>
      </c>
      <c r="K745" s="518" t="s">
        <v>14</v>
      </c>
      <c r="L745" s="49"/>
      <c r="M745" s="49"/>
      <c r="N745" s="49"/>
    </row>
    <row r="746" ht="15.0" customHeight="1">
      <c r="A746" s="49"/>
      <c r="B746" s="119" t="s">
        <v>314</v>
      </c>
      <c r="C746" s="982">
        <f t="shared" ref="C746:D746" si="55">SUM(C744:C745)</f>
        <v>17.45</v>
      </c>
      <c r="D746" s="985">
        <f t="shared" si="55"/>
        <v>24.06896552</v>
      </c>
      <c r="E746" s="520" t="s">
        <v>14</v>
      </c>
      <c r="F746" s="1"/>
      <c r="G746" s="49"/>
      <c r="H746" s="119" t="s">
        <v>314</v>
      </c>
      <c r="I746" s="982">
        <v>19.26</v>
      </c>
      <c r="J746" s="985">
        <f>SUM(J744:J745)</f>
        <v>16.84375</v>
      </c>
      <c r="K746" s="520" t="s">
        <v>14</v>
      </c>
      <c r="L746" s="49"/>
      <c r="M746" s="49"/>
      <c r="N746" s="49"/>
    </row>
    <row r="747" ht="15.0" customHeight="1">
      <c r="A747" s="49"/>
      <c r="B747" s="93" t="s">
        <v>315</v>
      </c>
      <c r="C747" s="40">
        <v>50.0</v>
      </c>
      <c r="D747" s="992">
        <f>(C747*D746)/C746</f>
        <v>68.96551724</v>
      </c>
      <c r="E747" s="249" t="s">
        <v>18</v>
      </c>
      <c r="F747" s="1"/>
      <c r="G747" s="49"/>
      <c r="H747" s="93" t="s">
        <v>315</v>
      </c>
      <c r="I747" s="40">
        <v>55.17</v>
      </c>
      <c r="J747" s="992">
        <f>(I747*J746)/I746</f>
        <v>48.24868575</v>
      </c>
      <c r="K747" s="249" t="s">
        <v>18</v>
      </c>
      <c r="L747" s="49"/>
      <c r="M747" s="49"/>
      <c r="N747" s="49"/>
    </row>
    <row r="748" ht="15.0" customHeight="1">
      <c r="A748" s="49"/>
      <c r="B748" s="105" t="s">
        <v>31</v>
      </c>
      <c r="C748" s="980">
        <v>540.0</v>
      </c>
      <c r="D748" s="981">
        <f t="shared" ref="D748:D749" si="56">(C748*D746)/C746</f>
        <v>744.8275862</v>
      </c>
      <c r="E748" s="518" t="s">
        <v>18</v>
      </c>
      <c r="F748" s="994" t="s">
        <v>1116</v>
      </c>
      <c r="G748" s="49"/>
      <c r="H748" s="105" t="s">
        <v>31</v>
      </c>
      <c r="I748" s="980">
        <v>595.86</v>
      </c>
      <c r="J748" s="981">
        <f t="shared" ref="J748:J749" si="57">(I748*J746)/I746</f>
        <v>521.1067952</v>
      </c>
      <c r="K748" s="518" t="s">
        <v>18</v>
      </c>
      <c r="L748" s="49"/>
      <c r="M748" s="49"/>
      <c r="N748" s="49"/>
    </row>
    <row r="749" ht="15.0" customHeight="1">
      <c r="A749" s="49"/>
      <c r="B749" s="105" t="s">
        <v>1118</v>
      </c>
      <c r="C749" s="980">
        <f>(C744+C745)*2.1</f>
        <v>36.645</v>
      </c>
      <c r="D749" s="981">
        <f t="shared" si="56"/>
        <v>50.54482759</v>
      </c>
      <c r="E749" s="114" t="s">
        <v>18</v>
      </c>
      <c r="F749" s="998"/>
      <c r="G749" s="998"/>
      <c r="H749" s="105" t="s">
        <v>1118</v>
      </c>
      <c r="I749" s="980">
        <v>40.44</v>
      </c>
      <c r="J749" s="981">
        <f t="shared" si="57"/>
        <v>35.36662773</v>
      </c>
      <c r="K749" s="114" t="s">
        <v>18</v>
      </c>
      <c r="L749" s="1000" t="s">
        <v>1121</v>
      </c>
      <c r="M749" s="49"/>
      <c r="N749" s="49"/>
    </row>
    <row r="750" ht="15.0" customHeight="1">
      <c r="A750" s="49">
        <v>0.0</v>
      </c>
      <c r="B750" s="305" t="s">
        <v>120</v>
      </c>
      <c r="C750" s="804"/>
      <c r="D750" s="804">
        <v>43409.0</v>
      </c>
      <c r="E750" s="1"/>
      <c r="F750" s="998"/>
      <c r="G750" s="998"/>
      <c r="H750" s="305" t="s">
        <v>120</v>
      </c>
      <c r="I750" s="804"/>
      <c r="J750" s="804">
        <v>43596.0</v>
      </c>
      <c r="K750" s="49"/>
      <c r="L750" s="49"/>
      <c r="M750" s="49"/>
      <c r="N750" s="49"/>
    </row>
    <row r="751" ht="15.0" customHeight="1">
      <c r="A751" s="49"/>
      <c r="B751" s="305" t="s">
        <v>50</v>
      </c>
      <c r="C751" s="804"/>
      <c r="D751" s="804">
        <v>43528.0</v>
      </c>
      <c r="E751" s="1"/>
      <c r="F751" s="998"/>
      <c r="G751" s="998"/>
      <c r="H751" s="305" t="s">
        <v>50</v>
      </c>
      <c r="I751" s="804"/>
      <c r="J751" s="804">
        <v>43596.0</v>
      </c>
      <c r="K751" s="49"/>
      <c r="L751" s="49"/>
      <c r="M751" s="49"/>
      <c r="N751" s="49"/>
    </row>
    <row r="752" ht="15.0" customHeight="1">
      <c r="A752" s="49"/>
      <c r="B752" s="299" t="s">
        <v>119</v>
      </c>
      <c r="C752" s="183" t="s">
        <v>47</v>
      </c>
      <c r="D752" s="558"/>
      <c r="E752" s="49"/>
      <c r="F752" s="998"/>
      <c r="G752" s="998"/>
      <c r="H752" s="299" t="s">
        <v>119</v>
      </c>
      <c r="I752" s="183" t="s">
        <v>47</v>
      </c>
      <c r="J752" s="558"/>
      <c r="K752" s="49"/>
      <c r="L752" s="49"/>
      <c r="M752" s="49"/>
      <c r="N752" s="49"/>
    </row>
    <row r="753" ht="15.0" customHeight="1">
      <c r="A753" s="49"/>
      <c r="B753" s="49"/>
      <c r="C753" s="49"/>
      <c r="D753" s="558"/>
      <c r="E753" s="49"/>
      <c r="F753" s="998"/>
      <c r="G753" s="998"/>
      <c r="H753" s="998"/>
      <c r="I753" s="49"/>
      <c r="J753" s="49"/>
      <c r="K753" s="49"/>
      <c r="L753" s="49"/>
      <c r="M753" s="49"/>
      <c r="N753" s="49"/>
    </row>
    <row r="754" ht="15.0" customHeight="1">
      <c r="A754" s="49"/>
      <c r="B754" s="49"/>
      <c r="C754" s="49"/>
      <c r="D754" s="558"/>
      <c r="E754" s="49"/>
      <c r="F754" s="998"/>
      <c r="G754" s="998"/>
      <c r="H754" s="998"/>
      <c r="I754" s="49"/>
      <c r="J754" s="49"/>
      <c r="K754" s="49"/>
      <c r="L754" s="49"/>
      <c r="M754" s="49"/>
      <c r="N754" s="49"/>
    </row>
    <row r="755" ht="15.0" customHeight="1">
      <c r="A755" s="49"/>
      <c r="B755" s="49"/>
      <c r="C755" s="49"/>
      <c r="D755" s="558"/>
      <c r="E755" s="49"/>
      <c r="F755" s="998"/>
      <c r="G755" s="998"/>
      <c r="H755" s="998"/>
      <c r="I755" s="49"/>
      <c r="J755" s="49"/>
      <c r="K755" s="49"/>
      <c r="L755" s="49"/>
      <c r="M755" s="49"/>
      <c r="N755" s="49"/>
    </row>
    <row r="756" ht="15.0" customHeight="1">
      <c r="A756" s="49"/>
      <c r="B756" s="49"/>
      <c r="C756" s="49"/>
      <c r="D756" s="558"/>
      <c r="E756" s="49"/>
      <c r="F756" s="49"/>
      <c r="G756" s="49"/>
      <c r="H756" s="49"/>
      <c r="I756" s="49"/>
      <c r="J756" s="49"/>
      <c r="K756" s="49"/>
      <c r="L756" s="49"/>
      <c r="M756" s="49"/>
      <c r="N756" s="49"/>
    </row>
    <row r="757" ht="15.0" customHeight="1">
      <c r="A757" s="49"/>
      <c r="B757" s="511" t="s">
        <v>1130</v>
      </c>
      <c r="C757" s="18"/>
      <c r="D757" s="18"/>
      <c r="E757" s="19"/>
      <c r="F757" s="49"/>
      <c r="G757" s="49"/>
      <c r="H757" s="49"/>
      <c r="I757" s="49"/>
      <c r="J757" s="49"/>
      <c r="K757" s="49"/>
      <c r="L757" s="49"/>
      <c r="M757" s="49"/>
      <c r="N757" s="49"/>
    </row>
    <row r="758" ht="15.0" customHeight="1">
      <c r="A758" s="49"/>
      <c r="B758" s="119" t="s">
        <v>1</v>
      </c>
      <c r="C758" s="523">
        <v>110.0</v>
      </c>
      <c r="D758" s="129">
        <v>50.0</v>
      </c>
      <c r="E758" s="520" t="s">
        <v>5</v>
      </c>
      <c r="F758" s="207"/>
      <c r="G758" s="49"/>
      <c r="H758" s="49"/>
      <c r="I758" s="49"/>
      <c r="J758" s="49"/>
      <c r="K758" s="49"/>
      <c r="L758" s="49"/>
      <c r="M758" s="49"/>
      <c r="N758" s="49"/>
    </row>
    <row r="759" ht="15.0" customHeight="1">
      <c r="A759" s="49"/>
      <c r="B759" s="93" t="s">
        <v>1131</v>
      </c>
      <c r="C759" s="247">
        <v>20.0</v>
      </c>
      <c r="D759" s="521">
        <f t="shared" ref="D759:D769" si="58">(C759*D758)/C758</f>
        <v>9.090909091</v>
      </c>
      <c r="E759" s="249" t="s">
        <v>14</v>
      </c>
      <c r="F759" s="394" t="s">
        <v>94</v>
      </c>
      <c r="G759" s="49"/>
      <c r="H759" s="49"/>
      <c r="I759" s="49"/>
      <c r="J759" s="49"/>
      <c r="K759" s="49"/>
      <c r="L759" s="49"/>
      <c r="M759" s="49"/>
      <c r="N759" s="49"/>
    </row>
    <row r="760" ht="15.0" customHeight="1">
      <c r="A760" s="49"/>
      <c r="B760" s="68" t="s">
        <v>779</v>
      </c>
      <c r="C760" s="210">
        <v>7.0</v>
      </c>
      <c r="D760" s="516">
        <f t="shared" si="58"/>
        <v>3.181818182</v>
      </c>
      <c r="E760" s="216" t="s">
        <v>5</v>
      </c>
      <c r="F760" s="47"/>
      <c r="G760" s="49"/>
      <c r="H760" s="49"/>
      <c r="I760" s="49"/>
      <c r="J760" s="49"/>
      <c r="K760" s="49"/>
      <c r="L760" s="49"/>
      <c r="M760" s="49"/>
      <c r="N760" s="49"/>
    </row>
    <row r="761" ht="15.0" customHeight="1">
      <c r="A761" s="49"/>
      <c r="B761" s="93" t="s">
        <v>97</v>
      </c>
      <c r="C761" s="247">
        <v>200.0</v>
      </c>
      <c r="D761" s="521">
        <f t="shared" si="58"/>
        <v>90.90909091</v>
      </c>
      <c r="E761" s="249" t="s">
        <v>18</v>
      </c>
      <c r="F761" s="47"/>
      <c r="G761" s="49"/>
      <c r="H761" s="49"/>
      <c r="I761" s="49"/>
      <c r="J761" s="49"/>
      <c r="K761" s="49"/>
      <c r="L761" s="49"/>
      <c r="M761" s="49"/>
      <c r="N761" s="49"/>
    </row>
    <row r="762" ht="15.0" customHeight="1">
      <c r="A762" s="49"/>
      <c r="B762" s="93" t="s">
        <v>369</v>
      </c>
      <c r="C762" s="247">
        <v>400.0</v>
      </c>
      <c r="D762" s="521">
        <f t="shared" si="58"/>
        <v>181.8181818</v>
      </c>
      <c r="E762" s="249" t="s">
        <v>18</v>
      </c>
      <c r="F762" s="47"/>
      <c r="G762" s="49"/>
      <c r="H762" s="49"/>
      <c r="I762" s="49"/>
      <c r="J762" s="49"/>
      <c r="K762" s="49"/>
      <c r="L762" s="49"/>
      <c r="M762" s="49"/>
      <c r="N762" s="49"/>
    </row>
    <row r="763" ht="15.0" customHeight="1">
      <c r="A763" s="49"/>
      <c r="B763" s="93" t="s">
        <v>101</v>
      </c>
      <c r="C763" s="247">
        <v>2.5</v>
      </c>
      <c r="D763" s="521">
        <f t="shared" si="58"/>
        <v>1.136363636</v>
      </c>
      <c r="E763" s="249" t="s">
        <v>5</v>
      </c>
      <c r="F763" s="76"/>
      <c r="G763" s="49"/>
      <c r="H763" s="49"/>
      <c r="I763" s="49"/>
      <c r="J763" s="49"/>
      <c r="K763" s="49"/>
      <c r="L763" s="49"/>
      <c r="M763" s="49"/>
      <c r="N763" s="49"/>
    </row>
    <row r="764" ht="15.0" customHeight="1">
      <c r="A764" s="49"/>
      <c r="B764" s="93" t="s">
        <v>103</v>
      </c>
      <c r="C764" s="247">
        <v>80.0</v>
      </c>
      <c r="D764" s="521">
        <f t="shared" si="58"/>
        <v>36.36363636</v>
      </c>
      <c r="E764" s="249" t="s">
        <v>18</v>
      </c>
      <c r="F764" s="194" t="s">
        <v>784</v>
      </c>
      <c r="G764" s="49"/>
      <c r="H764" s="49"/>
      <c r="I764" s="49"/>
      <c r="J764" s="49"/>
      <c r="K764" s="49"/>
      <c r="L764" s="49"/>
      <c r="M764" s="49"/>
      <c r="N764" s="49"/>
    </row>
    <row r="765" ht="15.0" customHeight="1">
      <c r="A765" s="49"/>
      <c r="B765" s="68" t="s">
        <v>781</v>
      </c>
      <c r="C765" s="210">
        <v>5.0</v>
      </c>
      <c r="D765" s="516">
        <f t="shared" si="58"/>
        <v>2.272727273</v>
      </c>
      <c r="E765" s="216" t="s">
        <v>14</v>
      </c>
      <c r="F765" s="63"/>
      <c r="G765" s="49"/>
      <c r="H765" s="49"/>
      <c r="I765" s="49"/>
      <c r="J765" s="49"/>
      <c r="K765" s="49"/>
      <c r="L765" s="49"/>
      <c r="M765" s="49"/>
      <c r="N765" s="49"/>
    </row>
    <row r="766" ht="18.0" customHeight="1">
      <c r="A766" s="49"/>
      <c r="B766" s="93" t="s">
        <v>783</v>
      </c>
      <c r="C766" s="247">
        <v>2.5</v>
      </c>
      <c r="D766" s="521">
        <f t="shared" si="58"/>
        <v>1.136363636</v>
      </c>
      <c r="E766" s="249" t="s">
        <v>14</v>
      </c>
      <c r="F766" s="63"/>
      <c r="G766" s="49"/>
      <c r="H766" s="49"/>
      <c r="I766" s="49"/>
      <c r="J766" s="49"/>
      <c r="K766" s="49"/>
      <c r="L766" s="49"/>
      <c r="M766" s="49"/>
      <c r="N766" s="49"/>
    </row>
    <row r="767" ht="15.0" customHeight="1">
      <c r="A767" s="49"/>
      <c r="B767" s="93" t="s">
        <v>786</v>
      </c>
      <c r="C767" s="247">
        <v>2.5</v>
      </c>
      <c r="D767" s="521">
        <f t="shared" si="58"/>
        <v>1.136363636</v>
      </c>
      <c r="E767" s="249" t="s">
        <v>14</v>
      </c>
      <c r="F767" s="63"/>
      <c r="G767" s="49"/>
      <c r="H767" s="49"/>
      <c r="I767" s="49"/>
      <c r="J767" s="49"/>
      <c r="K767" s="49"/>
      <c r="L767" s="49"/>
      <c r="M767" s="49"/>
      <c r="N767" s="49"/>
    </row>
    <row r="768" ht="15.0" customHeight="1">
      <c r="A768" s="49"/>
      <c r="B768" s="93" t="s">
        <v>327</v>
      </c>
      <c r="C768" s="247">
        <v>2.5</v>
      </c>
      <c r="D768" s="521">
        <f t="shared" si="58"/>
        <v>1.136363636</v>
      </c>
      <c r="E768" s="249" t="s">
        <v>14</v>
      </c>
      <c r="F768" s="102"/>
      <c r="G768" s="49"/>
      <c r="H768" s="49"/>
      <c r="I768" s="49"/>
      <c r="J768" s="49"/>
      <c r="K768" s="49"/>
      <c r="L768" s="49"/>
      <c r="M768" s="49"/>
      <c r="N768" s="49"/>
    </row>
    <row r="769" ht="15.0" customHeight="1">
      <c r="A769" s="49"/>
      <c r="B769" s="105" t="s">
        <v>154</v>
      </c>
      <c r="C769" s="522">
        <v>5.0</v>
      </c>
      <c r="D769" s="517">
        <f t="shared" si="58"/>
        <v>2.272727273</v>
      </c>
      <c r="E769" s="518" t="s">
        <v>366</v>
      </c>
      <c r="F769" s="515"/>
      <c r="G769" s="49"/>
      <c r="H769" s="49"/>
      <c r="I769" s="49"/>
      <c r="J769" s="49"/>
      <c r="K769" s="49"/>
      <c r="L769" s="49"/>
      <c r="M769" s="49"/>
      <c r="N769" s="49"/>
    </row>
    <row r="770" ht="15.0" customHeight="1">
      <c r="A770" s="49"/>
      <c r="B770" s="119" t="s">
        <v>493</v>
      </c>
      <c r="C770" s="523">
        <f t="shared" ref="C770:D770" si="59">SUM(C765:C769)</f>
        <v>17.5</v>
      </c>
      <c r="D770" s="519">
        <f t="shared" si="59"/>
        <v>7.954545455</v>
      </c>
      <c r="E770" s="520" t="s">
        <v>14</v>
      </c>
      <c r="F770" s="515"/>
      <c r="G770" s="49"/>
      <c r="H770" s="49"/>
      <c r="I770" s="49"/>
      <c r="J770" s="49"/>
      <c r="K770" s="49"/>
      <c r="L770" s="49"/>
      <c r="M770" s="49"/>
      <c r="N770" s="49"/>
    </row>
    <row r="771" ht="15.0" customHeight="1">
      <c r="A771" s="49"/>
      <c r="B771" s="138" t="s">
        <v>494</v>
      </c>
      <c r="C771" s="239">
        <f t="shared" ref="C771:D771" si="60">+C770*12</f>
        <v>210</v>
      </c>
      <c r="D771" s="842">
        <f t="shared" si="60"/>
        <v>95.45454545</v>
      </c>
      <c r="E771" s="242" t="s">
        <v>18</v>
      </c>
      <c r="F771" s="515"/>
      <c r="G771" s="49"/>
      <c r="H771" s="49"/>
      <c r="I771" s="49"/>
      <c r="J771" s="49"/>
      <c r="K771" s="49"/>
      <c r="L771" s="49"/>
      <c r="M771" s="49"/>
      <c r="N771" s="49"/>
    </row>
    <row r="772" ht="15.0" customHeight="1">
      <c r="A772" s="49"/>
      <c r="B772" s="138" t="s">
        <v>795</v>
      </c>
      <c r="C772" s="239">
        <v>5.0</v>
      </c>
      <c r="D772" s="842">
        <f>C772*D770/C770</f>
        <v>2.272727273</v>
      </c>
      <c r="E772" s="242" t="s">
        <v>366</v>
      </c>
      <c r="F772" s="515"/>
      <c r="G772" s="49"/>
      <c r="H772" s="49"/>
      <c r="I772" s="49"/>
      <c r="J772" s="49"/>
      <c r="K772" s="49"/>
      <c r="L772" s="49"/>
      <c r="M772" s="49"/>
      <c r="N772" s="49"/>
    </row>
    <row r="773" ht="15.0" customHeight="1">
      <c r="A773" s="49"/>
      <c r="B773" s="68" t="s">
        <v>31</v>
      </c>
      <c r="C773" s="210">
        <v>1100.0</v>
      </c>
      <c r="D773" s="516">
        <f t="shared" ref="D773:D777" si="61">(C773*D772)/C772</f>
        <v>500</v>
      </c>
      <c r="E773" s="216" t="s">
        <v>18</v>
      </c>
      <c r="F773" s="515"/>
      <c r="G773" s="49"/>
      <c r="H773" s="49"/>
      <c r="I773" s="49"/>
      <c r="J773" s="49"/>
      <c r="K773" s="49"/>
      <c r="L773" s="49"/>
      <c r="M773" s="49"/>
      <c r="N773" s="49"/>
    </row>
    <row r="774" ht="15.0" customHeight="1">
      <c r="A774" s="49"/>
      <c r="B774" s="105" t="s">
        <v>13</v>
      </c>
      <c r="C774" s="541">
        <v>1200.0</v>
      </c>
      <c r="D774" s="561">
        <f t="shared" si="61"/>
        <v>545.4545455</v>
      </c>
      <c r="E774" s="518" t="s">
        <v>18</v>
      </c>
      <c r="F774" s="826" t="s">
        <v>1141</v>
      </c>
      <c r="G774" s="49"/>
      <c r="H774" s="49"/>
      <c r="I774" s="49"/>
      <c r="J774" s="49"/>
      <c r="K774" s="49"/>
      <c r="L774" s="49"/>
      <c r="M774" s="49"/>
      <c r="N774" s="49"/>
    </row>
    <row r="775" ht="15.0" customHeight="1">
      <c r="A775" s="49"/>
      <c r="B775" s="68" t="s">
        <v>114</v>
      </c>
      <c r="C775" s="210">
        <v>2.5</v>
      </c>
      <c r="D775" s="516">
        <f t="shared" si="61"/>
        <v>1.136363636</v>
      </c>
      <c r="E775" s="216" t="s">
        <v>5</v>
      </c>
      <c r="F775" s="66"/>
      <c r="G775" s="49"/>
      <c r="H775" s="49"/>
      <c r="I775" s="49"/>
      <c r="J775" s="49"/>
      <c r="K775" s="49"/>
      <c r="L775" s="49"/>
      <c r="M775" s="49"/>
      <c r="N775" s="49"/>
    </row>
    <row r="776" ht="15.0" customHeight="1">
      <c r="A776" s="49"/>
      <c r="B776" s="93" t="s">
        <v>754</v>
      </c>
      <c r="C776" s="247">
        <v>5.0</v>
      </c>
      <c r="D776" s="521">
        <f t="shared" si="61"/>
        <v>2.272727273</v>
      </c>
      <c r="E776" s="249" t="s">
        <v>9</v>
      </c>
      <c r="F776" s="802" t="s">
        <v>767</v>
      </c>
      <c r="G776" s="49"/>
      <c r="H776" s="49"/>
      <c r="I776" s="49"/>
      <c r="J776" s="49"/>
      <c r="K776" s="49"/>
      <c r="L776" s="49"/>
      <c r="M776" s="49"/>
      <c r="N776" s="49"/>
    </row>
    <row r="777" ht="15.0" customHeight="1">
      <c r="A777" s="49"/>
      <c r="B777" s="105" t="s">
        <v>167</v>
      </c>
      <c r="C777" s="522">
        <v>300.0</v>
      </c>
      <c r="D777" s="517">
        <f t="shared" si="61"/>
        <v>136.3636364</v>
      </c>
      <c r="E777" s="518" t="s">
        <v>82</v>
      </c>
      <c r="F777" s="49"/>
      <c r="G777" s="49"/>
      <c r="H777" s="49"/>
      <c r="I777" s="49"/>
      <c r="J777" s="49"/>
      <c r="K777" s="49"/>
      <c r="L777" s="49"/>
      <c r="M777" s="49"/>
      <c r="N777" s="49"/>
    </row>
    <row r="778" ht="15.0" customHeight="1">
      <c r="A778" s="49"/>
      <c r="B778" s="797" t="s">
        <v>157</v>
      </c>
      <c r="C778" s="798">
        <f t="shared" ref="C778:D778" si="62">IF(C759&gt;10,C759*3.5,(4-0.05*C759)*C759)</f>
        <v>70</v>
      </c>
      <c r="D778" s="1017">
        <f t="shared" si="62"/>
        <v>32.23140496</v>
      </c>
      <c r="E778" s="801" t="s">
        <v>5</v>
      </c>
      <c r="F778" s="49"/>
      <c r="G778" s="49"/>
      <c r="H778" s="49"/>
      <c r="I778" s="49"/>
      <c r="J778" s="49"/>
      <c r="K778" s="49"/>
      <c r="L778" s="49"/>
      <c r="M778" s="49"/>
      <c r="N778" s="49"/>
    </row>
    <row r="779" ht="15.0" customHeight="1">
      <c r="A779" s="49"/>
      <c r="B779" s="305" t="s">
        <v>120</v>
      </c>
      <c r="C779" s="804"/>
      <c r="D779" s="804">
        <v>43409.0</v>
      </c>
      <c r="E779" s="49"/>
      <c r="F779" s="49"/>
      <c r="G779" s="49"/>
      <c r="H779" s="49"/>
      <c r="I779" s="49"/>
      <c r="J779" s="49"/>
      <c r="K779" s="49"/>
      <c r="L779" s="49"/>
      <c r="M779" s="49"/>
      <c r="N779" s="49"/>
    </row>
    <row r="780" ht="15.0" customHeight="1">
      <c r="A780" s="49"/>
      <c r="B780" s="305" t="s">
        <v>50</v>
      </c>
      <c r="C780" s="804"/>
      <c r="D780" s="804">
        <v>43528.0</v>
      </c>
      <c r="E780" s="49"/>
      <c r="F780" s="49"/>
      <c r="G780" s="49"/>
      <c r="H780" s="49"/>
      <c r="I780" s="49"/>
      <c r="J780" s="49"/>
      <c r="K780" s="49"/>
      <c r="L780" s="49"/>
      <c r="M780" s="49"/>
      <c r="N780" s="49"/>
    </row>
    <row r="781" ht="15.0" customHeight="1">
      <c r="A781" s="49"/>
      <c r="B781" s="299" t="s">
        <v>119</v>
      </c>
      <c r="C781" s="183" t="s">
        <v>47</v>
      </c>
      <c r="D781" s="558"/>
      <c r="E781" s="49"/>
      <c r="F781" s="49"/>
      <c r="G781" s="49"/>
      <c r="H781" s="49"/>
      <c r="I781" s="49"/>
      <c r="J781" s="49"/>
      <c r="K781" s="49"/>
      <c r="L781" s="49"/>
      <c r="M781" s="49"/>
      <c r="N781" s="49"/>
    </row>
    <row r="782" ht="15.0" customHeight="1">
      <c r="A782" s="49"/>
      <c r="B782" s="49"/>
      <c r="C782" s="49"/>
      <c r="D782" s="558"/>
      <c r="E782" s="49"/>
      <c r="F782" s="49"/>
      <c r="G782" s="49"/>
      <c r="H782" s="49"/>
      <c r="I782" s="49"/>
      <c r="J782" s="49"/>
      <c r="K782" s="49"/>
      <c r="L782" s="49"/>
      <c r="M782" s="49"/>
      <c r="N782" s="49"/>
    </row>
    <row r="783" ht="15.0" customHeight="1">
      <c r="A783" s="49"/>
      <c r="B783" s="49"/>
      <c r="C783" s="49"/>
      <c r="D783" s="558"/>
      <c r="E783" s="49"/>
      <c r="F783" s="49"/>
      <c r="G783" s="49"/>
      <c r="H783" s="49"/>
      <c r="I783" s="49"/>
      <c r="J783" s="49"/>
      <c r="K783" s="49"/>
      <c r="L783" s="49"/>
      <c r="M783" s="49"/>
      <c r="N783" s="49"/>
    </row>
    <row r="784" ht="15.0" customHeight="1">
      <c r="A784" s="49"/>
      <c r="B784" s="49"/>
      <c r="C784" s="49"/>
      <c r="D784" s="558"/>
      <c r="E784" s="49"/>
      <c r="F784" s="49"/>
      <c r="G784" s="49"/>
      <c r="H784" s="49"/>
      <c r="I784" s="49"/>
      <c r="J784" s="49"/>
      <c r="K784" s="49"/>
      <c r="L784" s="49"/>
      <c r="M784" s="49"/>
      <c r="N784" s="49"/>
    </row>
    <row r="785" ht="15.0" customHeight="1">
      <c r="A785" s="49"/>
      <c r="B785" s="49"/>
      <c r="C785" s="49"/>
      <c r="D785" s="558"/>
      <c r="E785" s="49"/>
      <c r="F785" s="1021"/>
      <c r="G785" s="49"/>
      <c r="H785" s="49"/>
      <c r="I785" s="49"/>
      <c r="J785" s="49"/>
      <c r="K785" s="49"/>
      <c r="L785" s="49"/>
      <c r="M785" s="49"/>
      <c r="N785" s="49"/>
    </row>
    <row r="786" ht="15.0" customHeight="1">
      <c r="A786" s="49"/>
      <c r="B786" s="209" t="s">
        <v>763</v>
      </c>
      <c r="C786" s="18"/>
      <c r="D786" s="18"/>
      <c r="E786" s="19"/>
      <c r="F786" s="44" t="s">
        <v>1146</v>
      </c>
      <c r="G786" s="49"/>
      <c r="H786" s="49"/>
      <c r="I786" s="49"/>
      <c r="J786" s="49"/>
      <c r="K786" s="49"/>
      <c r="L786" s="49"/>
      <c r="M786" s="49"/>
      <c r="N786" s="49"/>
    </row>
    <row r="787" ht="15.0" customHeight="1">
      <c r="A787" s="49"/>
      <c r="B787" s="51" t="s">
        <v>1</v>
      </c>
      <c r="C787" s="53">
        <v>45.0</v>
      </c>
      <c r="D787" s="513">
        <v>55.0</v>
      </c>
      <c r="E787" s="514" t="s">
        <v>5</v>
      </c>
      <c r="F787" s="76"/>
      <c r="G787" s="49"/>
      <c r="H787" s="49"/>
      <c r="I787" s="49"/>
      <c r="J787" s="49"/>
      <c r="K787" s="49"/>
      <c r="L787" s="49"/>
      <c r="M787" s="49"/>
      <c r="N787" s="49"/>
    </row>
    <row r="788" ht="15.0" customHeight="1">
      <c r="A788" s="49"/>
      <c r="B788" s="173" t="s">
        <v>1147</v>
      </c>
      <c r="C788" s="545">
        <v>7.4</v>
      </c>
      <c r="D788" s="546">
        <f t="shared" ref="D788:D805" si="63">(C788*D787)/C787</f>
        <v>9.044444444</v>
      </c>
      <c r="E788" s="547" t="s">
        <v>14</v>
      </c>
      <c r="F788" s="264" t="s">
        <v>393</v>
      </c>
      <c r="G788" s="49"/>
      <c r="H788" s="49"/>
      <c r="I788" s="49"/>
      <c r="J788" s="49"/>
      <c r="K788" s="49"/>
      <c r="L788" s="49"/>
      <c r="M788" s="49"/>
      <c r="N788" s="49"/>
    </row>
    <row r="789" ht="15.0" customHeight="1">
      <c r="A789" s="49"/>
      <c r="B789" s="119" t="s">
        <v>91</v>
      </c>
      <c r="C789" s="247">
        <v>2.5</v>
      </c>
      <c r="D789" s="521">
        <f t="shared" si="63"/>
        <v>3.055555556</v>
      </c>
      <c r="E789" s="249" t="s">
        <v>5</v>
      </c>
      <c r="F789" s="66"/>
      <c r="G789" s="49"/>
      <c r="H789" s="49"/>
      <c r="I789" s="49"/>
      <c r="J789" s="49"/>
      <c r="K789" s="49"/>
      <c r="L789" s="49"/>
      <c r="M789" s="49"/>
      <c r="N789" s="49"/>
    </row>
    <row r="790" ht="15.0" customHeight="1">
      <c r="A790" s="49"/>
      <c r="B790" s="93" t="s">
        <v>60</v>
      </c>
      <c r="C790" s="247">
        <v>0.75</v>
      </c>
      <c r="D790" s="521">
        <f t="shared" si="63"/>
        <v>0.9166666667</v>
      </c>
      <c r="E790" s="249" t="s">
        <v>14</v>
      </c>
      <c r="F790" s="66"/>
      <c r="G790" s="49"/>
      <c r="H790" s="49"/>
      <c r="I790" s="49"/>
      <c r="J790" s="49"/>
      <c r="K790" s="49"/>
      <c r="L790" s="49"/>
      <c r="M790" s="49"/>
      <c r="N790" s="49"/>
    </row>
    <row r="791" ht="15.0" customHeight="1">
      <c r="A791" s="49"/>
      <c r="B791" s="93" t="s">
        <v>97</v>
      </c>
      <c r="C791" s="247">
        <v>125.0</v>
      </c>
      <c r="D791" s="521">
        <f t="shared" si="63"/>
        <v>152.7777778</v>
      </c>
      <c r="E791" s="249" t="s">
        <v>18</v>
      </c>
      <c r="F791" s="66"/>
      <c r="G791" s="49"/>
      <c r="H791" s="49"/>
      <c r="I791" s="49"/>
      <c r="J791" s="49"/>
      <c r="K791" s="49"/>
      <c r="L791" s="49"/>
      <c r="M791" s="49"/>
      <c r="N791" s="49"/>
    </row>
    <row r="792" ht="15.0" customHeight="1">
      <c r="A792" s="49"/>
      <c r="B792" s="93" t="s">
        <v>83</v>
      </c>
      <c r="C792" s="247">
        <v>500.0</v>
      </c>
      <c r="D792" s="521">
        <f t="shared" si="63"/>
        <v>611.1111111</v>
      </c>
      <c r="E792" s="249" t="s">
        <v>18</v>
      </c>
      <c r="F792" s="66"/>
      <c r="G792" s="49"/>
      <c r="H792" s="49"/>
      <c r="I792" s="49"/>
      <c r="J792" s="49"/>
      <c r="K792" s="49"/>
      <c r="L792" s="49"/>
      <c r="M792" s="49"/>
      <c r="N792" s="49"/>
    </row>
    <row r="793" ht="15.0" customHeight="1">
      <c r="A793" s="49"/>
      <c r="B793" s="93" t="s">
        <v>101</v>
      </c>
      <c r="C793" s="247">
        <v>0.5</v>
      </c>
      <c r="D793" s="521">
        <f t="shared" si="63"/>
        <v>0.6111111111</v>
      </c>
      <c r="E793" s="249" t="s">
        <v>5</v>
      </c>
      <c r="F793" s="66"/>
      <c r="G793" s="49"/>
      <c r="H793" s="49"/>
      <c r="I793" s="49"/>
      <c r="J793" s="49"/>
      <c r="K793" s="49"/>
      <c r="L793" s="49"/>
      <c r="M793" s="49"/>
      <c r="N793" s="49"/>
    </row>
    <row r="794" ht="15.0" customHeight="1">
      <c r="A794" s="49"/>
      <c r="B794" s="93" t="s">
        <v>103</v>
      </c>
      <c r="C794" s="247">
        <v>75.0</v>
      </c>
      <c r="D794" s="521">
        <f t="shared" si="63"/>
        <v>91.66666667</v>
      </c>
      <c r="E794" s="249" t="s">
        <v>18</v>
      </c>
      <c r="F794" s="66"/>
      <c r="G794" s="49"/>
      <c r="H794" s="49"/>
      <c r="I794" s="49"/>
      <c r="J794" s="49"/>
      <c r="K794" s="49"/>
      <c r="L794" s="49"/>
      <c r="M794" s="49"/>
      <c r="N794" s="49"/>
    </row>
    <row r="795" ht="15.0" customHeight="1">
      <c r="A795" s="49"/>
      <c r="B795" s="105" t="s">
        <v>1150</v>
      </c>
      <c r="C795" s="522">
        <v>80.0</v>
      </c>
      <c r="D795" s="517">
        <f t="shared" si="63"/>
        <v>97.77777778</v>
      </c>
      <c r="E795" s="518" t="s">
        <v>18</v>
      </c>
      <c r="F795" s="66"/>
      <c r="G795" s="49"/>
      <c r="H795" s="49"/>
      <c r="I795" s="49"/>
      <c r="J795" s="49"/>
      <c r="K795" s="49"/>
      <c r="L795" s="49"/>
      <c r="M795" s="49"/>
      <c r="N795" s="49"/>
    </row>
    <row r="796" ht="15.0" customHeight="1">
      <c r="A796" s="49"/>
      <c r="B796" s="68" t="s">
        <v>31</v>
      </c>
      <c r="C796" s="210">
        <v>0.35</v>
      </c>
      <c r="D796" s="516">
        <f t="shared" si="63"/>
        <v>0.4277777778</v>
      </c>
      <c r="E796" s="216" t="s">
        <v>18</v>
      </c>
      <c r="F796" s="106"/>
      <c r="G796" s="49"/>
      <c r="H796" s="49"/>
      <c r="I796" s="49"/>
      <c r="J796" s="49"/>
      <c r="K796" s="49"/>
      <c r="L796" s="49"/>
      <c r="M796" s="49"/>
      <c r="N796" s="49"/>
    </row>
    <row r="797" ht="15.0" customHeight="1">
      <c r="A797" s="49"/>
      <c r="B797" s="105" t="s">
        <v>13</v>
      </c>
      <c r="C797" s="522">
        <v>0.55</v>
      </c>
      <c r="D797" s="517">
        <f t="shared" si="63"/>
        <v>0.6722222222</v>
      </c>
      <c r="E797" s="518" t="s">
        <v>14</v>
      </c>
      <c r="F797" s="610" t="s">
        <v>415</v>
      </c>
      <c r="G797" s="49"/>
      <c r="H797" s="49"/>
      <c r="I797" s="49"/>
      <c r="J797" s="49"/>
      <c r="K797" s="49"/>
      <c r="L797" s="49"/>
      <c r="M797" s="49"/>
      <c r="N797" s="49"/>
    </row>
    <row r="798" ht="15.0" customHeight="1">
      <c r="A798" s="49"/>
      <c r="B798" s="119" t="s">
        <v>167</v>
      </c>
      <c r="C798" s="523">
        <v>0.3</v>
      </c>
      <c r="D798" s="519">
        <f t="shared" si="63"/>
        <v>0.3666666667</v>
      </c>
      <c r="E798" s="520" t="s">
        <v>5</v>
      </c>
      <c r="F798" s="76"/>
      <c r="G798" s="49"/>
      <c r="H798" s="49"/>
      <c r="I798" s="49"/>
      <c r="J798" s="49"/>
      <c r="K798" s="49"/>
      <c r="L798" s="49"/>
      <c r="M798" s="49"/>
      <c r="N798" s="49"/>
    </row>
    <row r="799" ht="15.0" customHeight="1">
      <c r="A799" s="49"/>
      <c r="B799" s="105" t="s">
        <v>335</v>
      </c>
      <c r="C799" s="522">
        <v>2.5</v>
      </c>
      <c r="D799" s="517">
        <f t="shared" si="63"/>
        <v>3.055555556</v>
      </c>
      <c r="E799" s="518" t="s">
        <v>5</v>
      </c>
      <c r="F799" s="44" t="s">
        <v>1152</v>
      </c>
      <c r="G799" s="49"/>
      <c r="H799" s="49"/>
      <c r="I799" s="49"/>
      <c r="J799" s="49"/>
      <c r="K799" s="49"/>
      <c r="L799" s="49"/>
      <c r="M799" s="49"/>
      <c r="N799" s="49"/>
    </row>
    <row r="800" ht="15.0" customHeight="1">
      <c r="A800" s="49"/>
      <c r="B800" s="119" t="s">
        <v>487</v>
      </c>
      <c r="C800" s="523">
        <v>2.0</v>
      </c>
      <c r="D800" s="519">
        <f t="shared" si="63"/>
        <v>2.444444444</v>
      </c>
      <c r="E800" s="520" t="s">
        <v>14</v>
      </c>
      <c r="F800" s="47"/>
      <c r="G800" s="49"/>
      <c r="H800" s="49"/>
      <c r="I800" s="49"/>
      <c r="J800" s="49"/>
      <c r="K800" s="49"/>
      <c r="L800" s="49"/>
      <c r="M800" s="49"/>
      <c r="N800" s="49"/>
    </row>
    <row r="801" ht="15.0" customHeight="1">
      <c r="A801" s="49"/>
      <c r="B801" s="93" t="s">
        <v>490</v>
      </c>
      <c r="C801" s="247">
        <v>2.0</v>
      </c>
      <c r="D801" s="521">
        <f t="shared" si="63"/>
        <v>2.444444444</v>
      </c>
      <c r="E801" s="249" t="s">
        <v>14</v>
      </c>
      <c r="F801" s="47"/>
      <c r="G801" s="49"/>
      <c r="H801" s="49"/>
      <c r="I801" s="49"/>
      <c r="J801" s="49"/>
      <c r="K801" s="49"/>
      <c r="L801" s="49"/>
      <c r="M801" s="49"/>
      <c r="N801" s="49"/>
    </row>
    <row r="802" ht="15.0" customHeight="1">
      <c r="A802" s="49"/>
      <c r="B802" s="93" t="s">
        <v>327</v>
      </c>
      <c r="C802" s="247">
        <v>2.0</v>
      </c>
      <c r="D802" s="521">
        <f t="shared" si="63"/>
        <v>2.444444444</v>
      </c>
      <c r="E802" s="249" t="s">
        <v>14</v>
      </c>
      <c r="F802" s="47"/>
      <c r="G802" s="49"/>
      <c r="H802" s="49"/>
      <c r="I802" s="49"/>
      <c r="J802" s="49"/>
      <c r="K802" s="49"/>
      <c r="L802" s="49"/>
      <c r="M802" s="49"/>
      <c r="N802" s="49"/>
    </row>
    <row r="803" ht="15.0" customHeight="1">
      <c r="A803" s="49"/>
      <c r="B803" s="93" t="s">
        <v>329</v>
      </c>
      <c r="C803" s="247">
        <v>1.0</v>
      </c>
      <c r="D803" s="521">
        <f t="shared" si="63"/>
        <v>1.222222222</v>
      </c>
      <c r="E803" s="249" t="s">
        <v>14</v>
      </c>
      <c r="F803" s="47"/>
      <c r="G803" s="49"/>
      <c r="H803" s="49"/>
      <c r="I803" s="49"/>
      <c r="J803" s="49"/>
      <c r="K803" s="49"/>
      <c r="L803" s="49"/>
      <c r="M803" s="49"/>
      <c r="N803" s="49"/>
    </row>
    <row r="804" ht="15.0" customHeight="1">
      <c r="A804" s="49"/>
      <c r="B804" s="105" t="s">
        <v>493</v>
      </c>
      <c r="C804" s="522">
        <f>SUM(C800:C803)</f>
        <v>7</v>
      </c>
      <c r="D804" s="517">
        <f t="shared" si="63"/>
        <v>8.555555556</v>
      </c>
      <c r="E804" s="518" t="s">
        <v>14</v>
      </c>
      <c r="F804" s="76"/>
      <c r="G804" s="49"/>
      <c r="H804" s="49"/>
      <c r="I804" s="49"/>
      <c r="J804" s="49"/>
      <c r="K804" s="49"/>
      <c r="L804" s="49"/>
      <c r="M804" s="49"/>
      <c r="N804" s="49"/>
    </row>
    <row r="805" ht="15.0" customHeight="1">
      <c r="A805" s="49"/>
      <c r="B805" s="149" t="s">
        <v>494</v>
      </c>
      <c r="C805" s="272">
        <f>C804*12</f>
        <v>84</v>
      </c>
      <c r="D805" s="556">
        <f t="shared" si="63"/>
        <v>102.6666667</v>
      </c>
      <c r="E805" s="288" t="s">
        <v>18</v>
      </c>
      <c r="F805" s="1"/>
      <c r="G805" s="49"/>
      <c r="H805" s="49"/>
      <c r="I805" s="49"/>
      <c r="J805" s="49"/>
      <c r="K805" s="49"/>
      <c r="L805" s="49"/>
      <c r="M805" s="49"/>
      <c r="N805" s="49"/>
    </row>
    <row r="806" ht="15.0" customHeight="1">
      <c r="A806" s="49"/>
      <c r="B806" s="811" t="s">
        <v>49</v>
      </c>
      <c r="C806" s="260">
        <v>43551.0</v>
      </c>
      <c r="D806" s="260">
        <v>43551.0</v>
      </c>
      <c r="E806" s="1"/>
      <c r="F806" s="1"/>
      <c r="G806" s="49"/>
      <c r="H806" s="49"/>
      <c r="I806" s="49"/>
      <c r="J806" s="49"/>
      <c r="K806" s="49"/>
      <c r="L806" s="49"/>
      <c r="M806" s="49"/>
      <c r="N806" s="49"/>
    </row>
    <row r="807" ht="15.0" customHeight="1">
      <c r="A807" s="49"/>
      <c r="B807" s="302" t="s">
        <v>50</v>
      </c>
      <c r="C807" s="260">
        <v>43551.0</v>
      </c>
      <c r="D807" s="260">
        <v>43551.0</v>
      </c>
      <c r="E807" s="1"/>
      <c r="F807" s="1"/>
      <c r="G807" s="49"/>
      <c r="H807" s="49"/>
      <c r="I807" s="49"/>
      <c r="J807" s="49"/>
      <c r="K807" s="49"/>
      <c r="L807" s="49"/>
      <c r="M807" s="49"/>
      <c r="N807" s="49"/>
    </row>
    <row r="808" ht="15.0" customHeight="1">
      <c r="A808" s="49"/>
      <c r="B808" s="299" t="s">
        <v>119</v>
      </c>
      <c r="C808" s="183" t="s">
        <v>47</v>
      </c>
      <c r="D808" s="1"/>
      <c r="E808" s="1"/>
      <c r="F808" s="49"/>
      <c r="G808" s="49"/>
      <c r="H808" s="49"/>
      <c r="I808" s="49"/>
      <c r="J808" s="49"/>
      <c r="K808" s="49"/>
      <c r="L808" s="49"/>
      <c r="M808" s="49"/>
      <c r="N808" s="49"/>
    </row>
    <row r="809" ht="15.0" customHeight="1">
      <c r="A809" s="49"/>
      <c r="B809" s="49"/>
      <c r="C809" s="49"/>
      <c r="D809" s="558"/>
      <c r="E809" s="49"/>
      <c r="F809" s="49"/>
      <c r="G809" s="49"/>
      <c r="H809" s="49"/>
      <c r="I809" s="49"/>
      <c r="J809" s="49"/>
      <c r="K809" s="49"/>
      <c r="L809" s="49"/>
      <c r="M809" s="49"/>
      <c r="N809" s="49"/>
    </row>
    <row r="810" ht="15.0" customHeight="1">
      <c r="A810" s="49"/>
      <c r="B810" s="49"/>
      <c r="C810" s="49"/>
      <c r="D810" s="558"/>
      <c r="E810" s="49"/>
      <c r="F810" s="49"/>
      <c r="G810" s="49"/>
      <c r="H810" s="49"/>
      <c r="I810" s="49"/>
      <c r="J810" s="49"/>
      <c r="K810" s="49"/>
      <c r="L810" s="49"/>
      <c r="M810" s="49"/>
      <c r="N810" s="49"/>
    </row>
    <row r="811" ht="15.0" customHeight="1">
      <c r="A811" s="49"/>
      <c r="B811" s="49"/>
      <c r="C811" s="49"/>
      <c r="D811" s="558"/>
      <c r="E811" s="49"/>
      <c r="F811" s="49"/>
      <c r="G811" s="49"/>
      <c r="H811" s="49"/>
      <c r="I811" s="49"/>
      <c r="J811" s="49"/>
      <c r="K811" s="49"/>
      <c r="L811" s="49"/>
      <c r="M811" s="49"/>
      <c r="N811" s="49"/>
    </row>
    <row r="812" ht="15.0" customHeight="1">
      <c r="A812" s="49"/>
      <c r="B812" s="49"/>
      <c r="C812" s="49"/>
      <c r="D812" s="558"/>
      <c r="E812" s="49"/>
      <c r="F812" s="1"/>
      <c r="G812" s="49"/>
      <c r="H812" s="49"/>
      <c r="I812" s="49"/>
      <c r="J812" s="49"/>
      <c r="K812" s="49"/>
      <c r="L812" s="49"/>
      <c r="M812" s="49"/>
      <c r="N812" s="49"/>
    </row>
    <row r="813" ht="15.0" customHeight="1">
      <c r="A813" s="49"/>
      <c r="B813" s="913" t="s">
        <v>1154</v>
      </c>
      <c r="C813" s="5"/>
      <c r="D813" s="5"/>
      <c r="E813" s="6"/>
      <c r="F813" s="1"/>
      <c r="G813" s="49"/>
      <c r="H813" s="49"/>
      <c r="I813" s="49"/>
      <c r="J813" s="49"/>
      <c r="K813" s="49"/>
      <c r="L813" s="49"/>
      <c r="M813" s="49"/>
      <c r="N813" s="49"/>
    </row>
    <row r="814" ht="15.0" customHeight="1">
      <c r="A814" s="49"/>
      <c r="B814" s="51" t="s">
        <v>1</v>
      </c>
      <c r="C814" s="53">
        <v>125.0</v>
      </c>
      <c r="D814" s="540">
        <v>400.0</v>
      </c>
      <c r="E814" s="514" t="s">
        <v>9</v>
      </c>
      <c r="F814" s="264" t="s">
        <v>1155</v>
      </c>
      <c r="G814" s="49"/>
      <c r="H814" s="49"/>
      <c r="I814" s="49"/>
      <c r="J814" s="49"/>
      <c r="K814" s="49"/>
      <c r="L814" s="49"/>
      <c r="M814" s="49"/>
      <c r="N814" s="49"/>
    </row>
    <row r="815" ht="15.0" customHeight="1">
      <c r="A815" s="49"/>
      <c r="B815" s="68" t="s">
        <v>1156</v>
      </c>
      <c r="C815" s="210">
        <v>3.6</v>
      </c>
      <c r="D815" s="516">
        <f t="shared" ref="D815:D821" si="64">(C815*D814)/C814</f>
        <v>11.52</v>
      </c>
      <c r="E815" s="216" t="s">
        <v>14</v>
      </c>
      <c r="F815" s="66"/>
      <c r="G815" s="49"/>
      <c r="H815" s="49"/>
      <c r="I815" s="49"/>
      <c r="J815" s="49"/>
      <c r="K815" s="49"/>
      <c r="L815" s="49"/>
      <c r="M815" s="49"/>
      <c r="N815" s="49"/>
    </row>
    <row r="816" ht="15.0" customHeight="1">
      <c r="A816" s="49"/>
      <c r="B816" s="93" t="s">
        <v>311</v>
      </c>
      <c r="C816" s="247">
        <v>1.0</v>
      </c>
      <c r="D816" s="521">
        <f t="shared" si="64"/>
        <v>3.2</v>
      </c>
      <c r="E816" s="249" t="s">
        <v>14</v>
      </c>
      <c r="F816" s="66"/>
      <c r="G816" s="49"/>
      <c r="H816" s="49"/>
      <c r="I816" s="49"/>
      <c r="J816" s="49"/>
      <c r="K816" s="49"/>
      <c r="L816" s="49"/>
      <c r="M816" s="49"/>
      <c r="N816" s="49"/>
    </row>
    <row r="817" ht="15.0" customHeight="1">
      <c r="A817" s="49"/>
      <c r="B817" s="93" t="s">
        <v>819</v>
      </c>
      <c r="C817" s="247">
        <v>0.11</v>
      </c>
      <c r="D817" s="521">
        <f t="shared" si="64"/>
        <v>0.352</v>
      </c>
      <c r="E817" s="249" t="s">
        <v>14</v>
      </c>
      <c r="F817" s="106"/>
      <c r="G817" s="49"/>
      <c r="H817" s="49"/>
      <c r="I817" s="49"/>
      <c r="J817" s="49"/>
      <c r="K817" s="49"/>
      <c r="L817" s="49"/>
      <c r="M817" s="49"/>
      <c r="N817" s="49"/>
    </row>
    <row r="818" ht="15.0" customHeight="1">
      <c r="A818" s="49"/>
      <c r="B818" s="105" t="s">
        <v>63</v>
      </c>
      <c r="C818" s="522">
        <v>0.035</v>
      </c>
      <c r="D818" s="517">
        <f t="shared" si="64"/>
        <v>0.112</v>
      </c>
      <c r="E818" s="518" t="s">
        <v>14</v>
      </c>
      <c r="F818" s="1"/>
      <c r="G818" s="49"/>
      <c r="H818" s="49"/>
      <c r="I818" s="49"/>
      <c r="J818" s="49"/>
      <c r="K818" s="49"/>
      <c r="L818" s="49"/>
      <c r="M818" s="49"/>
      <c r="N818" s="49"/>
    </row>
    <row r="819" ht="15.0" customHeight="1">
      <c r="A819" s="49"/>
      <c r="B819" s="417" t="s">
        <v>31</v>
      </c>
      <c r="C819" s="541">
        <v>185.0</v>
      </c>
      <c r="D819" s="519">
        <f t="shared" si="64"/>
        <v>592</v>
      </c>
      <c r="E819" s="543" t="s">
        <v>18</v>
      </c>
      <c r="F819" s="1"/>
      <c r="G819" s="49"/>
      <c r="H819" s="49"/>
      <c r="I819" s="49"/>
      <c r="J819" s="49"/>
      <c r="K819" s="49"/>
      <c r="L819" s="49"/>
      <c r="M819" s="49"/>
      <c r="N819" s="49"/>
    </row>
    <row r="820" ht="18.75" customHeight="1">
      <c r="A820" s="49"/>
      <c r="B820" s="105" t="s">
        <v>13</v>
      </c>
      <c r="C820" s="522">
        <v>0.11</v>
      </c>
      <c r="D820" s="517">
        <f t="shared" si="64"/>
        <v>0.352</v>
      </c>
      <c r="E820" s="518" t="s">
        <v>14</v>
      </c>
      <c r="F820" s="1"/>
      <c r="G820" s="49"/>
      <c r="H820" s="49"/>
      <c r="I820" s="49"/>
      <c r="J820" s="49"/>
      <c r="K820" s="49"/>
      <c r="L820" s="49"/>
      <c r="M820" s="49"/>
      <c r="N820" s="49"/>
    </row>
    <row r="821" ht="15.0" customHeight="1">
      <c r="A821" s="49"/>
      <c r="B821" s="68" t="s">
        <v>203</v>
      </c>
      <c r="C821" s="210">
        <v>75.0</v>
      </c>
      <c r="D821" s="516">
        <f t="shared" si="64"/>
        <v>240</v>
      </c>
      <c r="E821" s="216" t="s">
        <v>18</v>
      </c>
      <c r="F821" s="1"/>
      <c r="G821" s="49"/>
      <c r="H821" s="49"/>
      <c r="I821" s="49"/>
      <c r="J821" s="49"/>
      <c r="K821" s="49"/>
      <c r="L821" s="49"/>
      <c r="M821" s="49"/>
      <c r="N821" s="49"/>
    </row>
    <row r="822" ht="15.0" customHeight="1">
      <c r="A822" s="49"/>
      <c r="B822" s="93" t="s">
        <v>822</v>
      </c>
      <c r="C822" s="247">
        <v>75.0</v>
      </c>
      <c r="D822" s="521">
        <f>(C822*D823)/C823</f>
        <v>240</v>
      </c>
      <c r="E822" s="249" t="s">
        <v>18</v>
      </c>
      <c r="F822" s="1"/>
      <c r="G822" s="49"/>
      <c r="H822" s="49"/>
      <c r="I822" s="49"/>
      <c r="J822" s="49"/>
      <c r="K822" s="49"/>
      <c r="L822" s="49"/>
      <c r="M822" s="49"/>
      <c r="N822" s="49"/>
    </row>
    <row r="823" ht="15.0" customHeight="1">
      <c r="A823" s="49"/>
      <c r="B823" s="93" t="s">
        <v>213</v>
      </c>
      <c r="C823" s="247">
        <v>0.7</v>
      </c>
      <c r="D823" s="521">
        <f t="shared" ref="D823:D824" si="65">(C823*D821)/C821</f>
        <v>2.24</v>
      </c>
      <c r="E823" s="249" t="s">
        <v>5</v>
      </c>
      <c r="F823" s="1"/>
      <c r="G823" s="49"/>
      <c r="H823" s="49"/>
      <c r="I823" s="49"/>
      <c r="J823" s="49"/>
      <c r="K823" s="49"/>
      <c r="L823" s="49"/>
      <c r="M823" s="49"/>
      <c r="N823" s="49"/>
    </row>
    <row r="824" ht="15.0" customHeight="1">
      <c r="A824" s="49"/>
      <c r="B824" s="138" t="s">
        <v>350</v>
      </c>
      <c r="C824" s="239">
        <v>0.75</v>
      </c>
      <c r="D824" s="842">
        <f t="shared" si="65"/>
        <v>2.4</v>
      </c>
      <c r="E824" s="242" t="s">
        <v>9</v>
      </c>
      <c r="F824" s="1"/>
      <c r="G824" s="49"/>
      <c r="H824" s="49"/>
      <c r="I824" s="49"/>
      <c r="J824" s="49"/>
      <c r="K824" s="49"/>
      <c r="L824" s="49"/>
      <c r="M824" s="49"/>
      <c r="N824" s="49"/>
    </row>
    <row r="825" ht="15.0" customHeight="1">
      <c r="A825" s="49"/>
      <c r="B825" s="68" t="s">
        <v>197</v>
      </c>
      <c r="C825" s="210">
        <v>1.1</v>
      </c>
      <c r="D825" s="516">
        <f t="shared" ref="D825:D827" si="66">(C825*D824)/C824</f>
        <v>3.52</v>
      </c>
      <c r="E825" s="216" t="s">
        <v>14</v>
      </c>
      <c r="F825" s="1"/>
      <c r="G825" s="49"/>
      <c r="H825" s="49"/>
      <c r="I825" s="49"/>
      <c r="J825" s="49"/>
      <c r="K825" s="49"/>
      <c r="L825" s="49"/>
      <c r="M825" s="49"/>
      <c r="N825" s="49"/>
    </row>
    <row r="826" ht="15.0" customHeight="1">
      <c r="A826" s="49"/>
      <c r="B826" s="149" t="s">
        <v>830</v>
      </c>
      <c r="C826" s="272">
        <v>10.0</v>
      </c>
      <c r="D826" s="556">
        <f t="shared" si="66"/>
        <v>32</v>
      </c>
      <c r="E826" s="288" t="s">
        <v>5</v>
      </c>
      <c r="F826" s="1"/>
      <c r="G826" s="49"/>
      <c r="H826" s="49"/>
      <c r="I826" s="49"/>
      <c r="J826" s="49"/>
      <c r="K826" s="49"/>
      <c r="L826" s="49"/>
      <c r="M826" s="49"/>
      <c r="N826" s="49"/>
    </row>
    <row r="827" ht="15.0" customHeight="1">
      <c r="A827" s="49"/>
      <c r="B827" s="173" t="s">
        <v>342</v>
      </c>
      <c r="C827" s="545">
        <v>0.55</v>
      </c>
      <c r="D827" s="546">
        <f t="shared" si="66"/>
        <v>1.76</v>
      </c>
      <c r="E827" s="547" t="s">
        <v>5</v>
      </c>
      <c r="F827" s="49"/>
      <c r="G827" s="49"/>
      <c r="H827" s="49"/>
      <c r="I827" s="49"/>
      <c r="J827" s="49"/>
      <c r="K827" s="49"/>
      <c r="L827" s="49"/>
      <c r="M827" s="49"/>
      <c r="N827" s="49"/>
    </row>
    <row r="828" ht="15.0" customHeight="1">
      <c r="A828" s="49"/>
      <c r="B828" s="811" t="s">
        <v>49</v>
      </c>
      <c r="C828" s="260">
        <v>43551.0</v>
      </c>
      <c r="D828" s="260"/>
      <c r="E828" s="49"/>
      <c r="F828" s="49"/>
      <c r="G828" s="49"/>
      <c r="H828" s="49"/>
      <c r="I828" s="49"/>
      <c r="J828" s="49"/>
      <c r="K828" s="49"/>
      <c r="L828" s="49"/>
      <c r="M828" s="49"/>
      <c r="N828" s="49"/>
    </row>
    <row r="829" ht="15.0" customHeight="1">
      <c r="A829" s="49"/>
      <c r="B829" s="302" t="s">
        <v>50</v>
      </c>
      <c r="C829" s="260">
        <v>43551.0</v>
      </c>
      <c r="D829" s="260"/>
      <c r="E829" s="49"/>
      <c r="F829" s="49"/>
      <c r="G829" s="49"/>
      <c r="H829" s="49"/>
      <c r="I829" s="49"/>
      <c r="J829" s="49"/>
      <c r="K829" s="49"/>
      <c r="L829" s="49"/>
      <c r="M829" s="49"/>
      <c r="N829" s="49"/>
    </row>
    <row r="830" ht="15.0" customHeight="1">
      <c r="A830" s="49"/>
      <c r="B830" s="299" t="s">
        <v>119</v>
      </c>
      <c r="C830" s="183" t="s">
        <v>47</v>
      </c>
      <c r="D830" s="1"/>
      <c r="E830" s="49"/>
      <c r="F830" s="49"/>
      <c r="G830" s="49"/>
      <c r="H830" s="49"/>
      <c r="I830" s="49"/>
      <c r="J830" s="49"/>
      <c r="K830" s="49"/>
      <c r="L830" s="49"/>
      <c r="M830" s="49"/>
      <c r="N830" s="49"/>
    </row>
    <row r="831" ht="15.0" customHeight="1">
      <c r="A831" s="49"/>
      <c r="B831" s="49"/>
      <c r="C831" s="49"/>
      <c r="D831" s="558"/>
      <c r="E831" s="49"/>
      <c r="F831" s="49"/>
      <c r="G831" s="49"/>
      <c r="H831" s="49"/>
      <c r="I831" s="49"/>
      <c r="J831" s="49"/>
      <c r="K831" s="49"/>
      <c r="L831" s="49"/>
      <c r="M831" s="49"/>
      <c r="N831" s="49"/>
    </row>
    <row r="832" ht="15.0" customHeight="1">
      <c r="A832" s="49"/>
      <c r="B832" s="49"/>
      <c r="C832" s="49"/>
      <c r="D832" s="558"/>
      <c r="E832" s="49"/>
      <c r="F832" s="49"/>
      <c r="G832" s="49"/>
      <c r="H832" s="49"/>
      <c r="I832" s="49"/>
      <c r="J832" s="49"/>
      <c r="K832" s="49"/>
      <c r="L832" s="49"/>
      <c r="M832" s="49"/>
      <c r="N832" s="49"/>
    </row>
    <row r="833" ht="15.0" customHeight="1">
      <c r="A833" s="49"/>
      <c r="B833" s="49"/>
      <c r="C833" s="49"/>
      <c r="D833" s="558"/>
      <c r="E833" s="49"/>
      <c r="F833" s="49"/>
      <c r="G833" s="49"/>
      <c r="H833" s="49"/>
      <c r="I833" s="49"/>
      <c r="J833" s="49"/>
      <c r="K833" s="49"/>
      <c r="L833" s="49"/>
      <c r="M833" s="49"/>
      <c r="N833" s="49"/>
    </row>
    <row r="834" ht="15.0" customHeight="1">
      <c r="A834" s="49"/>
      <c r="B834" s="206" t="s">
        <v>1158</v>
      </c>
      <c r="C834" s="5"/>
      <c r="D834" s="5"/>
      <c r="E834" s="6"/>
      <c r="F834" s="49"/>
      <c r="G834" s="49"/>
      <c r="H834" s="49"/>
      <c r="I834" s="49"/>
      <c r="J834" s="49"/>
      <c r="K834" s="49"/>
      <c r="L834" s="49"/>
      <c r="M834" s="49"/>
      <c r="N834" s="49"/>
    </row>
    <row r="835" ht="15.0" customHeight="1">
      <c r="A835" s="49"/>
      <c r="B835" s="68" t="s">
        <v>1</v>
      </c>
      <c r="C835" s="145">
        <v>38.0</v>
      </c>
      <c r="D835" s="1045">
        <v>62.0</v>
      </c>
      <c r="E835" s="137" t="s">
        <v>5</v>
      </c>
      <c r="F835" s="49"/>
      <c r="G835" s="49"/>
      <c r="H835" s="49"/>
      <c r="I835" s="49"/>
      <c r="J835" s="49"/>
      <c r="K835" s="49"/>
      <c r="L835" s="49"/>
      <c r="M835" s="49"/>
      <c r="N835" s="49"/>
    </row>
    <row r="836" ht="15.0" customHeight="1">
      <c r="A836" s="49"/>
      <c r="B836" s="93" t="s">
        <v>1159</v>
      </c>
      <c r="C836" s="195">
        <v>8.5</v>
      </c>
      <c r="D836" s="201">
        <f t="shared" ref="D836:D845" si="67">(C836*D835)/C835</f>
        <v>13.86842105</v>
      </c>
      <c r="E836" s="165" t="s">
        <v>366</v>
      </c>
      <c r="F836" s="49"/>
      <c r="G836" s="49"/>
      <c r="H836" s="49"/>
      <c r="I836" s="49"/>
      <c r="J836" s="49"/>
      <c r="K836" s="49"/>
      <c r="L836" s="49"/>
      <c r="M836" s="49"/>
      <c r="N836" s="49"/>
    </row>
    <row r="837" ht="15.0" customHeight="1">
      <c r="A837" s="49"/>
      <c r="B837" s="93" t="s">
        <v>1161</v>
      </c>
      <c r="C837" s="195">
        <v>6.5</v>
      </c>
      <c r="D837" s="201">
        <f t="shared" si="67"/>
        <v>10.60526316</v>
      </c>
      <c r="E837" s="165" t="s">
        <v>14</v>
      </c>
      <c r="F837" s="49"/>
      <c r="G837" s="49"/>
      <c r="H837" s="49"/>
      <c r="I837" s="49"/>
      <c r="J837" s="49"/>
      <c r="K837" s="49"/>
      <c r="L837" s="49"/>
      <c r="M837" s="49"/>
      <c r="N837" s="49"/>
    </row>
    <row r="838" ht="15.0" customHeight="1">
      <c r="A838" s="49"/>
      <c r="B838" s="93" t="s">
        <v>491</v>
      </c>
      <c r="C838" s="195">
        <v>2.0</v>
      </c>
      <c r="D838" s="201">
        <f t="shared" si="67"/>
        <v>3.263157895</v>
      </c>
      <c r="E838" s="165" t="s">
        <v>5</v>
      </c>
      <c r="F838" s="49"/>
      <c r="G838" s="49"/>
      <c r="H838" s="49"/>
      <c r="I838" s="49"/>
      <c r="J838" s="49"/>
      <c r="K838" s="49"/>
      <c r="L838" s="49"/>
      <c r="M838" s="49"/>
      <c r="N838" s="49"/>
    </row>
    <row r="839" ht="15.0" customHeight="1">
      <c r="A839" s="49"/>
      <c r="B839" s="93" t="s">
        <v>98</v>
      </c>
      <c r="C839" s="195">
        <v>200.0</v>
      </c>
      <c r="D839" s="201">
        <f t="shared" si="67"/>
        <v>326.3157895</v>
      </c>
      <c r="E839" s="165" t="s">
        <v>18</v>
      </c>
      <c r="F839" s="49"/>
      <c r="G839" s="49"/>
      <c r="H839" s="49"/>
      <c r="I839" s="49"/>
      <c r="J839" s="49"/>
      <c r="K839" s="49"/>
      <c r="L839" s="49"/>
      <c r="M839" s="49"/>
      <c r="N839" s="49"/>
    </row>
    <row r="840" ht="15.0" customHeight="1">
      <c r="A840" s="49"/>
      <c r="B840" s="93" t="s">
        <v>1162</v>
      </c>
      <c r="C840" s="195">
        <v>380.0</v>
      </c>
      <c r="D840" s="201">
        <f t="shared" si="67"/>
        <v>620</v>
      </c>
      <c r="E840" s="165" t="s">
        <v>18</v>
      </c>
      <c r="F840" s="49"/>
      <c r="G840" s="49"/>
      <c r="H840" s="49"/>
      <c r="I840" s="49"/>
      <c r="J840" s="49"/>
      <c r="K840" s="49"/>
      <c r="L840" s="49"/>
      <c r="M840" s="49"/>
      <c r="N840" s="49"/>
    </row>
    <row r="841" ht="15.0" customHeight="1">
      <c r="A841" s="49"/>
      <c r="B841" s="93" t="s">
        <v>13</v>
      </c>
      <c r="C841" s="195">
        <v>0.5</v>
      </c>
      <c r="D841" s="201">
        <f t="shared" si="67"/>
        <v>0.8157894737</v>
      </c>
      <c r="E841" s="165" t="s">
        <v>14</v>
      </c>
      <c r="F841" s="49"/>
      <c r="G841" s="49"/>
      <c r="H841" s="49"/>
      <c r="I841" s="49"/>
      <c r="J841" s="49"/>
      <c r="K841" s="49"/>
      <c r="L841" s="49"/>
      <c r="M841" s="49"/>
      <c r="N841" s="49"/>
    </row>
    <row r="842" ht="15.0" customHeight="1">
      <c r="A842" s="49"/>
      <c r="B842" s="93" t="s">
        <v>31</v>
      </c>
      <c r="C842" s="195">
        <v>550.0</v>
      </c>
      <c r="D842" s="201">
        <f t="shared" si="67"/>
        <v>897.3684211</v>
      </c>
      <c r="E842" s="165" t="s">
        <v>18</v>
      </c>
      <c r="F842" s="49"/>
      <c r="G842" s="49"/>
      <c r="H842" s="49"/>
      <c r="I842" s="49"/>
      <c r="J842" s="49"/>
      <c r="K842" s="49"/>
      <c r="L842" s="49"/>
      <c r="M842" s="49"/>
      <c r="N842" s="49"/>
    </row>
    <row r="843" ht="15.0" customHeight="1">
      <c r="A843" s="49"/>
      <c r="B843" s="93" t="s">
        <v>1163</v>
      </c>
      <c r="C843" s="195">
        <v>3.5</v>
      </c>
      <c r="D843" s="201">
        <f t="shared" si="67"/>
        <v>5.710526316</v>
      </c>
      <c r="E843" s="165" t="s">
        <v>366</v>
      </c>
      <c r="F843" s="49"/>
      <c r="G843" s="49"/>
      <c r="H843" s="49"/>
      <c r="I843" s="49"/>
      <c r="J843" s="49"/>
      <c r="K843" s="49"/>
      <c r="L843" s="49"/>
      <c r="M843" s="49"/>
      <c r="N843" s="49"/>
    </row>
    <row r="844" ht="15.0" customHeight="1">
      <c r="A844" s="49"/>
      <c r="B844" s="93" t="s">
        <v>114</v>
      </c>
      <c r="C844" s="195">
        <v>0.2</v>
      </c>
      <c r="D844" s="201">
        <f t="shared" si="67"/>
        <v>0.3263157895</v>
      </c>
      <c r="E844" s="165" t="s">
        <v>5</v>
      </c>
      <c r="F844" s="49"/>
      <c r="G844" s="49"/>
      <c r="H844" s="49"/>
      <c r="I844" s="49"/>
      <c r="J844" s="49"/>
      <c r="K844" s="49"/>
      <c r="L844" s="49"/>
      <c r="M844" s="49"/>
      <c r="N844" s="49"/>
    </row>
    <row r="845" ht="15.0" customHeight="1">
      <c r="A845" s="49"/>
      <c r="B845" s="105" t="s">
        <v>167</v>
      </c>
      <c r="C845" s="200">
        <v>0.5</v>
      </c>
      <c r="D845" s="257">
        <f t="shared" si="67"/>
        <v>0.8157894737</v>
      </c>
      <c r="E845" s="172" t="s">
        <v>5</v>
      </c>
      <c r="F845" s="49"/>
      <c r="G845" s="49"/>
      <c r="H845" s="49"/>
      <c r="I845" s="49"/>
      <c r="J845" s="49"/>
      <c r="K845" s="49"/>
      <c r="L845" s="49"/>
      <c r="M845" s="49"/>
      <c r="N845" s="49"/>
    </row>
    <row r="846" ht="15.0" customHeight="1">
      <c r="A846" s="49"/>
      <c r="B846" s="302" t="s">
        <v>49</v>
      </c>
      <c r="C846" s="260">
        <v>43447.0</v>
      </c>
      <c r="D846" s="1"/>
      <c r="E846" s="107"/>
      <c r="F846" s="49"/>
      <c r="G846" s="49"/>
      <c r="H846" s="49"/>
      <c r="I846" s="49"/>
      <c r="J846" s="49"/>
      <c r="K846" s="49"/>
      <c r="L846" s="49"/>
      <c r="M846" s="49"/>
      <c r="N846" s="49"/>
    </row>
    <row r="847" ht="15.0" customHeight="1">
      <c r="A847" s="49"/>
      <c r="B847" s="302" t="s">
        <v>50</v>
      </c>
      <c r="C847" s="260">
        <v>43392.0</v>
      </c>
      <c r="D847" s="1"/>
      <c r="E847" s="107"/>
      <c r="F847" s="49"/>
      <c r="G847" s="49"/>
      <c r="H847" s="49"/>
      <c r="I847" s="49"/>
      <c r="J847" s="49"/>
      <c r="K847" s="49"/>
      <c r="L847" s="49"/>
      <c r="M847" s="49"/>
      <c r="N847" s="49"/>
    </row>
    <row r="848" ht="15.0" customHeight="1">
      <c r="A848" s="49"/>
      <c r="B848" s="299" t="s">
        <v>119</v>
      </c>
      <c r="C848" s="183" t="s">
        <v>47</v>
      </c>
      <c r="D848" s="1"/>
      <c r="E848" s="107"/>
      <c r="F848" s="49"/>
      <c r="G848" s="49"/>
      <c r="H848" s="49"/>
      <c r="I848" s="49"/>
      <c r="J848" s="49"/>
      <c r="K848" s="49"/>
      <c r="L848" s="49"/>
      <c r="M848" s="49"/>
      <c r="N848" s="49"/>
    </row>
    <row r="849" ht="15.0" customHeight="1">
      <c r="A849" s="49"/>
      <c r="B849" s="49"/>
      <c r="C849" s="49"/>
      <c r="D849" s="558"/>
      <c r="E849" s="49"/>
      <c r="F849" s="49"/>
      <c r="G849" s="49"/>
      <c r="H849" s="49"/>
      <c r="I849" s="49"/>
      <c r="J849" s="49"/>
      <c r="K849" s="49"/>
      <c r="L849" s="49"/>
      <c r="M849" s="49"/>
      <c r="N849" s="49"/>
    </row>
    <row r="850" ht="15.0" customHeight="1">
      <c r="A850" s="49"/>
      <c r="B850" s="49"/>
      <c r="C850" s="49"/>
      <c r="D850" s="558"/>
      <c r="E850" s="49"/>
      <c r="F850" s="49"/>
      <c r="G850" s="49"/>
      <c r="H850" s="49"/>
      <c r="I850" s="49"/>
      <c r="J850" s="49"/>
      <c r="K850" s="49"/>
      <c r="L850" s="49"/>
      <c r="M850" s="49"/>
      <c r="N850" s="49"/>
    </row>
    <row r="851" ht="15.0" customHeight="1">
      <c r="A851" s="49"/>
      <c r="B851" s="913" t="s">
        <v>1168</v>
      </c>
      <c r="C851" s="5"/>
      <c r="D851" s="5"/>
      <c r="E851" s="6"/>
      <c r="F851" s="49"/>
      <c r="G851" s="49"/>
      <c r="H851" s="49"/>
      <c r="I851" s="49"/>
      <c r="J851" s="49"/>
      <c r="K851" s="49"/>
      <c r="L851" s="49"/>
      <c r="M851" s="49"/>
      <c r="N851" s="49"/>
    </row>
    <row r="852" ht="15.0" customHeight="1">
      <c r="A852" s="49"/>
      <c r="B852" s="51" t="s">
        <v>1</v>
      </c>
      <c r="C852" s="53">
        <v>120.0</v>
      </c>
      <c r="D852" s="53">
        <v>300.0</v>
      </c>
      <c r="E852" s="514" t="s">
        <v>9</v>
      </c>
      <c r="F852" s="49"/>
      <c r="G852" s="49"/>
      <c r="H852" s="49"/>
      <c r="I852" s="49"/>
      <c r="J852" s="49"/>
      <c r="K852" s="49"/>
      <c r="L852" s="49"/>
      <c r="M852" s="49"/>
      <c r="N852" s="49"/>
    </row>
    <row r="853" ht="15.0" customHeight="1">
      <c r="A853" s="49"/>
      <c r="B853" s="68" t="s">
        <v>1170</v>
      </c>
      <c r="C853" s="210">
        <v>2.0</v>
      </c>
      <c r="D853" s="210">
        <f t="shared" ref="D853:D863" si="68">(C853*D852)/C852</f>
        <v>5</v>
      </c>
      <c r="E853" s="216" t="s">
        <v>366</v>
      </c>
      <c r="F853" s="49"/>
      <c r="G853" s="49"/>
      <c r="H853" s="49"/>
      <c r="I853" s="49"/>
      <c r="J853" s="49"/>
      <c r="K853" s="49"/>
      <c r="L853" s="49"/>
      <c r="M853" s="49"/>
      <c r="N853" s="49"/>
    </row>
    <row r="854" ht="15.0" customHeight="1">
      <c r="A854" s="49"/>
      <c r="B854" s="93" t="s">
        <v>1171</v>
      </c>
      <c r="C854" s="247">
        <v>1.2</v>
      </c>
      <c r="D854" s="247">
        <f t="shared" si="68"/>
        <v>3</v>
      </c>
      <c r="E854" s="249" t="s">
        <v>366</v>
      </c>
      <c r="F854" s="49"/>
      <c r="G854" s="49"/>
      <c r="H854" s="49"/>
      <c r="I854" s="49"/>
      <c r="J854" s="49"/>
      <c r="K854" s="49"/>
      <c r="L854" s="49"/>
      <c r="M854" s="49"/>
      <c r="N854" s="49"/>
    </row>
    <row r="855" ht="15.0" customHeight="1">
      <c r="A855" s="49"/>
      <c r="B855" s="93" t="s">
        <v>31</v>
      </c>
      <c r="C855" s="247">
        <v>90.0</v>
      </c>
      <c r="D855" s="247">
        <f t="shared" si="68"/>
        <v>225</v>
      </c>
      <c r="E855" s="249" t="s">
        <v>18</v>
      </c>
      <c r="F855" s="49"/>
      <c r="G855" s="49"/>
      <c r="H855" s="49"/>
      <c r="I855" s="49"/>
      <c r="J855" s="49"/>
      <c r="K855" s="49"/>
      <c r="L855" s="49"/>
      <c r="M855" s="49"/>
      <c r="N855" s="49"/>
    </row>
    <row r="856" ht="15.0" customHeight="1">
      <c r="A856" s="49"/>
      <c r="B856" s="93" t="s">
        <v>112</v>
      </c>
      <c r="C856" s="247">
        <v>35.0</v>
      </c>
      <c r="D856" s="247">
        <f t="shared" si="68"/>
        <v>87.5</v>
      </c>
      <c r="E856" s="249" t="s">
        <v>18</v>
      </c>
      <c r="F856" s="49"/>
      <c r="G856" s="49"/>
      <c r="H856" s="49"/>
      <c r="I856" s="49"/>
      <c r="J856" s="49"/>
      <c r="K856" s="49"/>
      <c r="L856" s="49"/>
      <c r="M856" s="49"/>
      <c r="N856" s="49"/>
    </row>
    <row r="857" ht="15.0" customHeight="1">
      <c r="A857" s="49"/>
      <c r="B857" s="417" t="s">
        <v>243</v>
      </c>
      <c r="C857" s="541">
        <v>6.0</v>
      </c>
      <c r="D857" s="239">
        <f t="shared" si="68"/>
        <v>15</v>
      </c>
      <c r="E857" s="543" t="s">
        <v>5</v>
      </c>
      <c r="F857" s="49"/>
      <c r="G857" s="49"/>
      <c r="H857" s="49"/>
      <c r="I857" s="49"/>
      <c r="J857" s="49"/>
      <c r="K857" s="49"/>
      <c r="L857" s="49"/>
      <c r="M857" s="49"/>
      <c r="N857" s="49"/>
    </row>
    <row r="858" ht="15.0" customHeight="1">
      <c r="A858" s="49"/>
      <c r="B858" s="68" t="s">
        <v>1172</v>
      </c>
      <c r="C858" s="210">
        <v>120.0</v>
      </c>
      <c r="D858" s="210">
        <f t="shared" si="68"/>
        <v>300</v>
      </c>
      <c r="E858" s="216" t="s">
        <v>18</v>
      </c>
      <c r="F858" s="49"/>
      <c r="G858" s="49"/>
      <c r="H858" s="49"/>
      <c r="I858" s="49"/>
      <c r="J858" s="49"/>
      <c r="K858" s="49"/>
      <c r="L858" s="49"/>
      <c r="M858" s="49"/>
      <c r="N858" s="49"/>
    </row>
    <row r="859" ht="15.0" customHeight="1">
      <c r="A859" s="49"/>
      <c r="B859" s="93" t="s">
        <v>822</v>
      </c>
      <c r="C859" s="247">
        <v>100.0</v>
      </c>
      <c r="D859" s="247">
        <f t="shared" si="68"/>
        <v>250</v>
      </c>
      <c r="E859" s="249" t="s">
        <v>18</v>
      </c>
      <c r="F859" s="49"/>
      <c r="G859" s="49"/>
      <c r="H859" s="49"/>
      <c r="I859" s="49"/>
      <c r="J859" s="49"/>
      <c r="K859" s="49"/>
      <c r="L859" s="49"/>
      <c r="M859" s="49"/>
      <c r="N859" s="49"/>
    </row>
    <row r="860" ht="15.0" customHeight="1">
      <c r="A860" s="49"/>
      <c r="B860" s="93" t="s">
        <v>1174</v>
      </c>
      <c r="C860" s="247">
        <v>1.0</v>
      </c>
      <c r="D860" s="247">
        <f t="shared" si="68"/>
        <v>2.5</v>
      </c>
      <c r="E860" s="249" t="s">
        <v>366</v>
      </c>
      <c r="F860" s="49"/>
      <c r="G860" s="49"/>
      <c r="H860" s="49"/>
      <c r="I860" s="49"/>
      <c r="J860" s="49"/>
      <c r="K860" s="49"/>
      <c r="L860" s="49"/>
      <c r="M860" s="49"/>
      <c r="N860" s="49"/>
    </row>
    <row r="861" ht="15.0" customHeight="1">
      <c r="A861" s="49"/>
      <c r="B861" s="93" t="s">
        <v>213</v>
      </c>
      <c r="C861" s="247">
        <v>1500.0</v>
      </c>
      <c r="D861" s="247">
        <f t="shared" si="68"/>
        <v>3750</v>
      </c>
      <c r="E861" s="249" t="s">
        <v>82</v>
      </c>
      <c r="F861" s="49"/>
      <c r="G861" s="49"/>
      <c r="H861" s="49"/>
      <c r="I861" s="49"/>
      <c r="J861" s="49"/>
      <c r="K861" s="49"/>
      <c r="L861" s="49"/>
      <c r="M861" s="49"/>
      <c r="N861" s="49"/>
    </row>
    <row r="862" ht="15.0" customHeight="1">
      <c r="A862" s="49"/>
      <c r="B862" s="105" t="s">
        <v>31</v>
      </c>
      <c r="C862" s="522">
        <v>20.0</v>
      </c>
      <c r="D862" s="522">
        <f t="shared" si="68"/>
        <v>50</v>
      </c>
      <c r="E862" s="518" t="s">
        <v>18</v>
      </c>
      <c r="F862" s="49"/>
      <c r="G862" s="49"/>
      <c r="H862" s="49"/>
      <c r="I862" s="49"/>
      <c r="J862" s="49"/>
      <c r="K862" s="49"/>
      <c r="L862" s="49"/>
      <c r="M862" s="49"/>
      <c r="N862" s="49"/>
    </row>
    <row r="863" ht="15.0" customHeight="1">
      <c r="A863" s="49"/>
      <c r="B863" s="149" t="s">
        <v>1175</v>
      </c>
      <c r="C863" s="272">
        <v>750.0</v>
      </c>
      <c r="D863" s="272">
        <f t="shared" si="68"/>
        <v>1875</v>
      </c>
      <c r="E863" s="288" t="s">
        <v>82</v>
      </c>
      <c r="F863" s="49"/>
      <c r="G863" s="49"/>
      <c r="H863" s="49"/>
      <c r="I863" s="49"/>
      <c r="J863" s="49"/>
      <c r="K863" s="49"/>
      <c r="L863" s="49"/>
      <c r="M863" s="49"/>
      <c r="N863" s="49"/>
    </row>
    <row r="864" ht="15.0" customHeight="1">
      <c r="A864" s="49"/>
      <c r="B864" s="302" t="s">
        <v>49</v>
      </c>
      <c r="C864" s="260">
        <v>43447.0</v>
      </c>
      <c r="D864" s="558"/>
      <c r="E864" s="49"/>
      <c r="F864" s="49"/>
      <c r="G864" s="49"/>
      <c r="H864" s="49"/>
      <c r="I864" s="49"/>
      <c r="J864" s="49"/>
      <c r="K864" s="49"/>
      <c r="L864" s="49"/>
      <c r="M864" s="49"/>
      <c r="N864" s="49"/>
    </row>
    <row r="865" ht="15.0" customHeight="1">
      <c r="A865" s="49"/>
      <c r="B865" s="302" t="s">
        <v>50</v>
      </c>
      <c r="C865" s="260">
        <v>43392.0</v>
      </c>
      <c r="D865" s="558"/>
      <c r="E865" s="49"/>
      <c r="F865" s="49"/>
      <c r="G865" s="49"/>
      <c r="H865" s="49"/>
      <c r="I865" s="49"/>
      <c r="J865" s="49"/>
      <c r="K865" s="49"/>
      <c r="L865" s="49"/>
      <c r="M865" s="49"/>
      <c r="N865" s="49"/>
    </row>
    <row r="866" ht="15.0" customHeight="1">
      <c r="A866" s="49"/>
      <c r="B866" s="299" t="s">
        <v>119</v>
      </c>
      <c r="C866" s="183" t="s">
        <v>47</v>
      </c>
      <c r="D866" s="558"/>
      <c r="E866" s="49"/>
      <c r="F866" s="49"/>
      <c r="G866" s="49"/>
      <c r="H866" s="49"/>
      <c r="I866" s="49"/>
      <c r="J866" s="49"/>
      <c r="K866" s="49"/>
      <c r="L866" s="49"/>
      <c r="M866" s="49"/>
      <c r="N866" s="49"/>
    </row>
    <row r="867" ht="15.0" customHeight="1">
      <c r="A867" s="49"/>
      <c r="B867" s="49"/>
      <c r="C867" s="49"/>
      <c r="D867" s="558"/>
      <c r="E867" s="49"/>
      <c r="F867" s="49"/>
      <c r="G867" s="49"/>
      <c r="H867" s="49"/>
      <c r="I867" s="49"/>
      <c r="J867" s="49"/>
      <c r="K867" s="49"/>
      <c r="L867" s="49"/>
      <c r="M867" s="49"/>
      <c r="N867" s="49"/>
    </row>
    <row r="868" ht="15.0" customHeight="1">
      <c r="A868" s="49"/>
      <c r="B868" s="49"/>
      <c r="C868" s="49"/>
      <c r="D868" s="558"/>
      <c r="E868" s="49"/>
      <c r="F868" s="49"/>
      <c r="G868" s="49"/>
      <c r="H868" s="49"/>
      <c r="I868" s="49"/>
      <c r="J868" s="49"/>
      <c r="K868" s="49"/>
      <c r="L868" s="49"/>
      <c r="M868" s="49"/>
      <c r="N868" s="49"/>
    </row>
    <row r="869" ht="15.0" customHeight="1">
      <c r="A869" s="49"/>
      <c r="B869" s="206" t="s">
        <v>457</v>
      </c>
      <c r="C869" s="5"/>
      <c r="D869" s="5"/>
      <c r="E869" s="6"/>
      <c r="F869" s="49"/>
      <c r="G869" s="49"/>
      <c r="H869" s="49"/>
      <c r="I869" s="49"/>
      <c r="J869" s="49"/>
      <c r="K869" s="49"/>
      <c r="L869" s="49"/>
      <c r="M869" s="49"/>
      <c r="N869" s="49"/>
    </row>
    <row r="870" ht="15.75" customHeight="1">
      <c r="A870" s="49"/>
      <c r="B870" s="68" t="s">
        <v>1</v>
      </c>
      <c r="C870" s="210">
        <v>50.0</v>
      </c>
      <c r="D870" s="155">
        <v>50.0</v>
      </c>
      <c r="E870" s="137" t="s">
        <v>5</v>
      </c>
      <c r="F870" s="49"/>
      <c r="G870" s="49"/>
      <c r="H870" s="49"/>
      <c r="I870" s="49"/>
      <c r="J870" s="49"/>
      <c r="K870" s="49"/>
      <c r="L870" s="49"/>
      <c r="M870" s="49"/>
      <c r="N870" s="49"/>
    </row>
    <row r="871" ht="15.0" customHeight="1">
      <c r="A871" s="49"/>
      <c r="B871" s="138" t="s">
        <v>129</v>
      </c>
      <c r="C871" s="239">
        <v>10.0</v>
      </c>
      <c r="D871" s="146">
        <f t="shared" ref="D871:D889" si="69">(C871*D870)/C870</f>
        <v>10</v>
      </c>
      <c r="E871" s="281" t="s">
        <v>14</v>
      </c>
      <c r="F871" s="49"/>
      <c r="G871" s="49"/>
      <c r="H871" s="49"/>
      <c r="I871" s="49"/>
      <c r="J871" s="49"/>
      <c r="K871" s="49"/>
      <c r="L871" s="49"/>
      <c r="M871" s="49"/>
      <c r="N871" s="49"/>
    </row>
    <row r="872" ht="15.0" customHeight="1">
      <c r="A872" s="49"/>
      <c r="B872" s="68" t="s">
        <v>91</v>
      </c>
      <c r="C872" s="210">
        <v>1.5</v>
      </c>
      <c r="D872" s="146">
        <f t="shared" si="69"/>
        <v>1.5</v>
      </c>
      <c r="E872" s="137" t="s">
        <v>5</v>
      </c>
      <c r="F872" s="49"/>
      <c r="G872" s="49"/>
      <c r="H872" s="49"/>
      <c r="I872" s="49"/>
      <c r="J872" s="49"/>
      <c r="K872" s="49"/>
      <c r="L872" s="49"/>
      <c r="M872" s="49"/>
      <c r="N872" s="49"/>
    </row>
    <row r="873" ht="15.0" customHeight="1">
      <c r="A873" s="49"/>
      <c r="B873" s="93" t="s">
        <v>1176</v>
      </c>
      <c r="C873" s="94">
        <v>25.0</v>
      </c>
      <c r="D873" s="146">
        <f t="shared" si="69"/>
        <v>25</v>
      </c>
      <c r="E873" s="249" t="s">
        <v>18</v>
      </c>
      <c r="F873" s="49"/>
      <c r="G873" s="49"/>
      <c r="H873" s="49"/>
      <c r="I873" s="49"/>
      <c r="J873" s="49"/>
      <c r="K873" s="49"/>
      <c r="L873" s="49"/>
      <c r="M873" s="49"/>
      <c r="N873" s="49"/>
    </row>
    <row r="874" ht="15.0" customHeight="1">
      <c r="A874" s="49"/>
      <c r="B874" s="93" t="s">
        <v>95</v>
      </c>
      <c r="C874" s="94">
        <v>25.0</v>
      </c>
      <c r="D874" s="146">
        <f t="shared" si="69"/>
        <v>25</v>
      </c>
      <c r="E874" s="249" t="s">
        <v>18</v>
      </c>
      <c r="F874" s="49"/>
      <c r="G874" s="49"/>
      <c r="H874" s="49"/>
      <c r="I874" s="49"/>
      <c r="J874" s="49"/>
      <c r="K874" s="49"/>
      <c r="L874" s="49"/>
      <c r="M874" s="49"/>
      <c r="N874" s="49"/>
    </row>
    <row r="875" ht="15.0" customHeight="1">
      <c r="A875" s="49"/>
      <c r="B875" s="93" t="s">
        <v>210</v>
      </c>
      <c r="C875" s="94">
        <v>15.0</v>
      </c>
      <c r="D875" s="146">
        <f t="shared" si="69"/>
        <v>15</v>
      </c>
      <c r="E875" s="249" t="s">
        <v>18</v>
      </c>
      <c r="F875" s="49"/>
      <c r="G875" s="49"/>
      <c r="H875" s="49"/>
      <c r="I875" s="49"/>
      <c r="J875" s="49"/>
      <c r="K875" s="49"/>
      <c r="L875" s="49"/>
      <c r="M875" s="49"/>
      <c r="N875" s="49"/>
    </row>
    <row r="876" ht="15.0" customHeight="1">
      <c r="A876" s="49"/>
      <c r="B876" s="93" t="s">
        <v>66</v>
      </c>
      <c r="C876" s="94">
        <v>10.0</v>
      </c>
      <c r="D876" s="146">
        <f t="shared" si="69"/>
        <v>10</v>
      </c>
      <c r="E876" s="249" t="s">
        <v>18</v>
      </c>
      <c r="F876" s="49"/>
      <c r="G876" s="49"/>
      <c r="H876" s="49"/>
      <c r="I876" s="49"/>
      <c r="J876" s="49"/>
      <c r="K876" s="49"/>
      <c r="L876" s="49"/>
      <c r="M876" s="49"/>
      <c r="N876" s="49"/>
    </row>
    <row r="877" ht="15.0" customHeight="1">
      <c r="A877" s="49"/>
      <c r="B877" s="93" t="s">
        <v>98</v>
      </c>
      <c r="C877" s="78">
        <v>150.0</v>
      </c>
      <c r="D877" s="146">
        <f t="shared" si="69"/>
        <v>150</v>
      </c>
      <c r="E877" s="249" t="s">
        <v>18</v>
      </c>
      <c r="F877" s="49"/>
      <c r="G877" s="49"/>
      <c r="H877" s="49"/>
      <c r="I877" s="49"/>
      <c r="J877" s="49"/>
      <c r="K877" s="49"/>
      <c r="L877" s="49"/>
      <c r="M877" s="49"/>
      <c r="N877" s="49"/>
    </row>
    <row r="878" ht="15.0" customHeight="1">
      <c r="A878" s="49"/>
      <c r="B878" s="93" t="s">
        <v>96</v>
      </c>
      <c r="C878" s="94">
        <v>5.0</v>
      </c>
      <c r="D878" s="146">
        <f t="shared" si="69"/>
        <v>5</v>
      </c>
      <c r="E878" s="249" t="s">
        <v>18</v>
      </c>
      <c r="F878" s="49"/>
      <c r="G878" s="49"/>
      <c r="H878" s="49"/>
      <c r="I878" s="49"/>
      <c r="J878" s="49"/>
      <c r="K878" s="49"/>
      <c r="L878" s="49"/>
      <c r="M878" s="49"/>
      <c r="N878" s="49"/>
    </row>
    <row r="879" ht="15.0" customHeight="1">
      <c r="A879" s="49"/>
      <c r="B879" s="93" t="s">
        <v>102</v>
      </c>
      <c r="C879" s="94">
        <v>15.0</v>
      </c>
      <c r="D879" s="146">
        <f t="shared" si="69"/>
        <v>15</v>
      </c>
      <c r="E879" s="249" t="s">
        <v>18</v>
      </c>
      <c r="F879" s="49"/>
      <c r="G879" s="49"/>
      <c r="H879" s="49"/>
      <c r="I879" s="49"/>
      <c r="J879" s="49"/>
      <c r="K879" s="49"/>
      <c r="L879" s="49"/>
      <c r="M879" s="49"/>
      <c r="N879" s="49"/>
    </row>
    <row r="880" ht="15.0" customHeight="1">
      <c r="A880" s="49"/>
      <c r="B880" s="93" t="s">
        <v>1179</v>
      </c>
      <c r="C880" s="94">
        <v>15.0</v>
      </c>
      <c r="D880" s="146">
        <f t="shared" si="69"/>
        <v>15</v>
      </c>
      <c r="E880" s="249" t="s">
        <v>18</v>
      </c>
      <c r="F880" s="49"/>
      <c r="G880" s="49"/>
      <c r="H880" s="49"/>
      <c r="I880" s="49"/>
      <c r="J880" s="49"/>
      <c r="K880" s="49"/>
      <c r="L880" s="49"/>
      <c r="M880" s="49"/>
      <c r="N880" s="49"/>
    </row>
    <row r="881" ht="15.0" customHeight="1">
      <c r="A881" s="49"/>
      <c r="B881" s="138" t="s">
        <v>84</v>
      </c>
      <c r="C881" s="239">
        <v>250.0</v>
      </c>
      <c r="D881" s="146">
        <f t="shared" si="69"/>
        <v>250</v>
      </c>
      <c r="E881" s="281" t="s">
        <v>18</v>
      </c>
      <c r="F881" s="49"/>
      <c r="G881" s="49"/>
      <c r="H881" s="49"/>
      <c r="I881" s="49"/>
      <c r="J881" s="49"/>
      <c r="K881" s="49"/>
      <c r="L881" s="49"/>
      <c r="M881" s="49"/>
      <c r="N881" s="49"/>
    </row>
    <row r="882" ht="15.0" customHeight="1">
      <c r="A882" s="49"/>
      <c r="B882" s="93" t="s">
        <v>148</v>
      </c>
      <c r="C882" s="247">
        <v>200.0</v>
      </c>
      <c r="D882" s="146">
        <f t="shared" si="69"/>
        <v>200</v>
      </c>
      <c r="E882" s="165" t="s">
        <v>18</v>
      </c>
      <c r="F882" s="49"/>
      <c r="G882" s="49"/>
      <c r="H882" s="49"/>
      <c r="I882" s="49"/>
      <c r="J882" s="49"/>
      <c r="K882" s="49"/>
      <c r="L882" s="49"/>
      <c r="M882" s="49"/>
      <c r="N882" s="49"/>
    </row>
    <row r="883" ht="15.0" customHeight="1">
      <c r="A883" s="49"/>
      <c r="B883" s="93" t="s">
        <v>103</v>
      </c>
      <c r="C883" s="247">
        <v>50.0</v>
      </c>
      <c r="D883" s="146">
        <f t="shared" si="69"/>
        <v>50</v>
      </c>
      <c r="E883" s="165" t="s">
        <v>18</v>
      </c>
      <c r="F883" s="49"/>
      <c r="G883" s="49"/>
      <c r="H883" s="49"/>
      <c r="I883" s="49"/>
      <c r="J883" s="49"/>
      <c r="K883" s="49"/>
      <c r="L883" s="49"/>
      <c r="M883" s="49"/>
      <c r="N883" s="49"/>
    </row>
    <row r="884" ht="15.0" customHeight="1">
      <c r="A884" s="49"/>
      <c r="B884" s="93" t="s">
        <v>101</v>
      </c>
      <c r="C884" s="247">
        <v>1.0</v>
      </c>
      <c r="D884" s="146">
        <f t="shared" si="69"/>
        <v>1</v>
      </c>
      <c r="E884" s="165" t="s">
        <v>5</v>
      </c>
      <c r="F884" s="49"/>
      <c r="G884" s="49"/>
      <c r="H884" s="49"/>
      <c r="I884" s="49"/>
      <c r="J884" s="49"/>
      <c r="K884" s="49"/>
      <c r="L884" s="49"/>
      <c r="M884" s="49"/>
      <c r="N884" s="49"/>
    </row>
    <row r="885" ht="15.0" customHeight="1">
      <c r="A885" s="49"/>
      <c r="B885" s="93" t="s">
        <v>52</v>
      </c>
      <c r="C885" s="247">
        <v>40.0</v>
      </c>
      <c r="D885" s="146">
        <f t="shared" si="69"/>
        <v>40</v>
      </c>
      <c r="E885" s="165" t="s">
        <v>18</v>
      </c>
      <c r="F885" s="49"/>
      <c r="G885" s="49"/>
      <c r="H885" s="49"/>
      <c r="I885" s="49"/>
      <c r="J885" s="49"/>
      <c r="K885" s="49"/>
      <c r="L885" s="49"/>
      <c r="M885" s="49"/>
      <c r="N885" s="49"/>
    </row>
    <row r="886" ht="15.0" customHeight="1">
      <c r="A886" s="49"/>
      <c r="B886" s="68" t="s">
        <v>150</v>
      </c>
      <c r="C886" s="210">
        <v>1.5</v>
      </c>
      <c r="D886" s="146">
        <f t="shared" si="69"/>
        <v>1.5</v>
      </c>
      <c r="E886" s="137" t="s">
        <v>14</v>
      </c>
      <c r="F886" s="49"/>
      <c r="G886" s="49"/>
      <c r="H886" s="49"/>
      <c r="I886" s="49"/>
      <c r="J886" s="49"/>
      <c r="K886" s="49"/>
      <c r="L886" s="49"/>
      <c r="M886" s="49"/>
      <c r="N886" s="49"/>
    </row>
    <row r="887" ht="15.0" customHeight="1">
      <c r="A887" s="49"/>
      <c r="B887" s="93" t="s">
        <v>152</v>
      </c>
      <c r="C887" s="247">
        <v>1.5</v>
      </c>
      <c r="D887" s="146">
        <f t="shared" si="69"/>
        <v>1.5</v>
      </c>
      <c r="E887" s="165" t="s">
        <v>14</v>
      </c>
      <c r="F887" s="49"/>
      <c r="G887" s="49"/>
      <c r="H887" s="49"/>
      <c r="I887" s="49"/>
      <c r="J887" s="49"/>
      <c r="K887" s="49"/>
      <c r="L887" s="49"/>
      <c r="M887" s="49"/>
      <c r="N887" s="49"/>
    </row>
    <row r="888" ht="15.0" customHeight="1">
      <c r="A888" s="49"/>
      <c r="B888" s="93" t="s">
        <v>153</v>
      </c>
      <c r="C888" s="247">
        <v>1.5</v>
      </c>
      <c r="D888" s="146">
        <f t="shared" si="69"/>
        <v>1.5</v>
      </c>
      <c r="E888" s="165" t="s">
        <v>14</v>
      </c>
      <c r="F888" s="49"/>
      <c r="G888" s="49"/>
      <c r="H888" s="49"/>
      <c r="I888" s="49"/>
      <c r="J888" s="49"/>
      <c r="K888" s="49"/>
      <c r="L888" s="49"/>
      <c r="M888" s="49"/>
      <c r="N888" s="49"/>
    </row>
    <row r="889" ht="15.0" customHeight="1">
      <c r="A889" s="49"/>
      <c r="B889" s="93" t="s">
        <v>1184</v>
      </c>
      <c r="C889" s="247">
        <v>2.5</v>
      </c>
      <c r="D889" s="146">
        <f t="shared" si="69"/>
        <v>2.5</v>
      </c>
      <c r="E889" s="165" t="s">
        <v>366</v>
      </c>
      <c r="F889" s="49"/>
      <c r="G889" s="49"/>
      <c r="H889" s="49"/>
      <c r="I889" s="49"/>
      <c r="J889" s="49"/>
      <c r="K889" s="49"/>
      <c r="L889" s="49"/>
      <c r="M889" s="49"/>
      <c r="N889" s="49"/>
    </row>
    <row r="890" ht="15.0" customHeight="1">
      <c r="A890" s="49"/>
      <c r="B890" s="93" t="s">
        <v>154</v>
      </c>
      <c r="C890" s="247">
        <v>1.5</v>
      </c>
      <c r="D890" s="146">
        <f>(C890*D888)/C888</f>
        <v>1.5</v>
      </c>
      <c r="E890" s="165" t="s">
        <v>14</v>
      </c>
      <c r="F890" s="49"/>
      <c r="G890" s="49"/>
      <c r="H890" s="49"/>
      <c r="I890" s="49"/>
      <c r="J890" s="49"/>
      <c r="K890" s="49"/>
      <c r="L890" s="49"/>
      <c r="M890" s="49"/>
      <c r="N890" s="49"/>
    </row>
    <row r="891" ht="15.0" customHeight="1">
      <c r="A891" s="49"/>
      <c r="B891" s="138" t="s">
        <v>155</v>
      </c>
      <c r="C891" s="239">
        <v>1.5</v>
      </c>
      <c r="D891" s="146">
        <f t="shared" ref="D891:D897" si="70">(C891*D890)/C890</f>
        <v>1.5</v>
      </c>
      <c r="E891" s="281" t="s">
        <v>14</v>
      </c>
      <c r="F891" s="49"/>
      <c r="G891" s="49"/>
      <c r="H891" s="49"/>
      <c r="I891" s="49"/>
      <c r="J891" s="49"/>
      <c r="K891" s="49"/>
      <c r="L891" s="49"/>
      <c r="M891" s="49"/>
      <c r="N891" s="49"/>
    </row>
    <row r="892" ht="15.0" customHeight="1">
      <c r="A892" s="49"/>
      <c r="B892" s="68" t="s">
        <v>31</v>
      </c>
      <c r="C892" s="210">
        <v>70.0</v>
      </c>
      <c r="D892" s="146">
        <f t="shared" si="70"/>
        <v>70</v>
      </c>
      <c r="E892" s="137" t="s">
        <v>156</v>
      </c>
      <c r="F892" s="49"/>
      <c r="G892" s="49"/>
      <c r="H892" s="49"/>
      <c r="I892" s="49"/>
      <c r="J892" s="49"/>
      <c r="K892" s="49"/>
      <c r="L892" s="49"/>
      <c r="M892" s="49"/>
      <c r="N892" s="49"/>
    </row>
    <row r="893" ht="15.0" customHeight="1">
      <c r="A893" s="49"/>
      <c r="B893" s="93" t="s">
        <v>157</v>
      </c>
      <c r="C893" s="247">
        <v>31.0</v>
      </c>
      <c r="D893" s="146">
        <f t="shared" si="70"/>
        <v>31</v>
      </c>
      <c r="E893" s="165" t="s">
        <v>5</v>
      </c>
      <c r="F893" s="49"/>
      <c r="G893" s="49"/>
      <c r="H893" s="49"/>
      <c r="I893" s="49"/>
      <c r="J893" s="49"/>
      <c r="K893" s="49"/>
      <c r="L893" s="49"/>
      <c r="M893" s="49"/>
      <c r="N893" s="49"/>
    </row>
    <row r="894" ht="15.0" customHeight="1">
      <c r="A894" s="49"/>
      <c r="B894" s="93" t="s">
        <v>31</v>
      </c>
      <c r="C894" s="247">
        <v>630.0</v>
      </c>
      <c r="D894" s="146">
        <f t="shared" si="70"/>
        <v>630</v>
      </c>
      <c r="E894" s="165" t="s">
        <v>18</v>
      </c>
      <c r="F894" s="49"/>
      <c r="G894" s="49"/>
      <c r="H894" s="49"/>
      <c r="I894" s="49"/>
      <c r="J894" s="49"/>
      <c r="K894" s="49"/>
      <c r="L894" s="49"/>
      <c r="M894" s="49"/>
      <c r="N894" s="49"/>
    </row>
    <row r="895" ht="15.0" customHeight="1">
      <c r="A895" s="49"/>
      <c r="B895" s="93" t="s">
        <v>160</v>
      </c>
      <c r="C895" s="247">
        <v>180.0</v>
      </c>
      <c r="D895" s="146">
        <f t="shared" si="70"/>
        <v>180</v>
      </c>
      <c r="E895" s="165" t="s">
        <v>18</v>
      </c>
      <c r="F895" s="49"/>
      <c r="G895" s="49"/>
      <c r="H895" s="49"/>
      <c r="I895" s="49"/>
      <c r="J895" s="49"/>
      <c r="K895" s="49"/>
      <c r="L895" s="49"/>
      <c r="M895" s="49"/>
      <c r="N895" s="49"/>
    </row>
    <row r="896" ht="15.0" customHeight="1">
      <c r="A896" s="49"/>
      <c r="B896" s="93" t="s">
        <v>13</v>
      </c>
      <c r="C896" s="247">
        <v>0.6</v>
      </c>
      <c r="D896" s="146">
        <f t="shared" si="70"/>
        <v>0.6</v>
      </c>
      <c r="E896" s="165" t="s">
        <v>14</v>
      </c>
      <c r="F896" s="49"/>
      <c r="G896" s="49"/>
      <c r="H896" s="49"/>
      <c r="I896" s="49"/>
      <c r="J896" s="49"/>
      <c r="K896" s="49"/>
      <c r="L896" s="49"/>
      <c r="M896" s="49"/>
      <c r="N896" s="49"/>
    </row>
    <row r="897" ht="15.0" customHeight="1">
      <c r="A897" s="49"/>
      <c r="B897" s="149" t="s">
        <v>114</v>
      </c>
      <c r="C897" s="272">
        <v>2.0</v>
      </c>
      <c r="D897" s="56">
        <f t="shared" si="70"/>
        <v>2</v>
      </c>
      <c r="E897" s="156" t="s">
        <v>5</v>
      </c>
      <c r="F897" s="49"/>
      <c r="G897" s="49"/>
      <c r="H897" s="49"/>
      <c r="I897" s="49"/>
      <c r="J897" s="49"/>
      <c r="K897" s="49"/>
      <c r="L897" s="49"/>
      <c r="M897" s="49"/>
      <c r="N897" s="49"/>
    </row>
    <row r="898" ht="15.0" customHeight="1">
      <c r="A898" s="49"/>
      <c r="B898" s="299" t="s">
        <v>119</v>
      </c>
      <c r="C898" s="183" t="s">
        <v>47</v>
      </c>
      <c r="D898" s="1"/>
      <c r="E898" s="1"/>
      <c r="F898" s="49"/>
      <c r="G898" s="49"/>
      <c r="H898" s="49"/>
      <c r="I898" s="49"/>
      <c r="J898" s="49"/>
      <c r="K898" s="49"/>
      <c r="L898" s="49"/>
      <c r="M898" s="49"/>
      <c r="N898" s="49"/>
    </row>
    <row r="899" ht="15.0" customHeight="1">
      <c r="A899" s="49"/>
      <c r="B899" s="302" t="s">
        <v>49</v>
      </c>
      <c r="C899" s="260">
        <v>43366.0</v>
      </c>
      <c r="D899" s="1"/>
      <c r="E899" s="1"/>
      <c r="F899" s="49"/>
      <c r="G899" s="49"/>
      <c r="H899" s="49"/>
      <c r="I899" s="49"/>
      <c r="J899" s="49"/>
      <c r="K899" s="49"/>
      <c r="L899" s="49"/>
      <c r="M899" s="49"/>
      <c r="N899" s="49"/>
    </row>
    <row r="900" ht="15.0" customHeight="1">
      <c r="A900" s="49"/>
      <c r="B900" s="302" t="s">
        <v>50</v>
      </c>
      <c r="C900" s="260">
        <v>43366.0</v>
      </c>
      <c r="D900" s="1"/>
      <c r="E900" s="1"/>
      <c r="F900" s="49"/>
      <c r="G900" s="49"/>
      <c r="H900" s="49"/>
      <c r="I900" s="49"/>
      <c r="J900" s="49"/>
      <c r="K900" s="49"/>
      <c r="L900" s="49"/>
      <c r="M900" s="49"/>
      <c r="N900" s="49"/>
    </row>
    <row r="901" ht="15.0" customHeight="1">
      <c r="A901" s="49"/>
      <c r="B901" s="1"/>
      <c r="C901" s="1"/>
      <c r="D901" s="1"/>
      <c r="E901" s="1"/>
      <c r="F901" s="49"/>
      <c r="G901" s="49"/>
      <c r="H901" s="49"/>
      <c r="I901" s="49"/>
      <c r="J901" s="49"/>
      <c r="K901" s="49"/>
      <c r="L901" s="49"/>
      <c r="M901" s="49"/>
      <c r="N901" s="49"/>
    </row>
    <row r="902" ht="15.0" customHeight="1">
      <c r="A902" s="49"/>
      <c r="B902" s="49"/>
      <c r="C902" s="49"/>
      <c r="D902" s="558"/>
      <c r="E902" s="49"/>
      <c r="F902" s="49"/>
      <c r="G902" s="49"/>
      <c r="H902" s="49"/>
      <c r="I902" s="49"/>
      <c r="J902" s="49"/>
      <c r="K902" s="49"/>
      <c r="L902" s="49"/>
      <c r="M902" s="49"/>
      <c r="N902" s="49"/>
    </row>
    <row r="903" ht="15.0" customHeight="1">
      <c r="A903" s="49"/>
      <c r="B903" s="49"/>
      <c r="C903" s="49"/>
      <c r="D903" s="558"/>
      <c r="E903" s="49"/>
      <c r="F903" s="49"/>
      <c r="G903" s="49"/>
      <c r="H903" s="49"/>
      <c r="I903" s="49"/>
      <c r="J903" s="49"/>
      <c r="K903" s="49"/>
      <c r="L903" s="49"/>
      <c r="M903" s="49"/>
      <c r="N903" s="49"/>
    </row>
    <row r="904" ht="15.0" customHeight="1">
      <c r="A904" s="49"/>
      <c r="B904" s="1069" t="s">
        <v>1192</v>
      </c>
      <c r="C904" s="5"/>
      <c r="D904" s="5"/>
      <c r="E904" s="6"/>
      <c r="F904" s="49"/>
      <c r="G904" s="49"/>
      <c r="H904" s="49"/>
      <c r="I904" s="49"/>
      <c r="J904" s="49"/>
      <c r="K904" s="49"/>
      <c r="L904" s="49"/>
      <c r="M904" s="49"/>
      <c r="N904" s="49"/>
    </row>
    <row r="905" ht="15.0" customHeight="1">
      <c r="A905" s="49"/>
      <c r="B905" s="173" t="s">
        <v>1</v>
      </c>
      <c r="C905" s="1071">
        <v>1000.0</v>
      </c>
      <c r="D905" s="1072">
        <v>2000.0</v>
      </c>
      <c r="E905" s="1073" t="s">
        <v>1197</v>
      </c>
      <c r="F905" s="49"/>
      <c r="G905" s="49"/>
      <c r="H905" s="49"/>
      <c r="I905" s="49"/>
      <c r="J905" s="49"/>
      <c r="K905" s="49"/>
      <c r="L905" s="49"/>
      <c r="M905" s="49"/>
      <c r="N905" s="49"/>
    </row>
    <row r="906" ht="15.0" customHeight="1">
      <c r="A906" s="49"/>
      <c r="B906" s="68" t="s">
        <v>1198</v>
      </c>
      <c r="C906" s="976">
        <v>10.0</v>
      </c>
      <c r="D906" s="1074">
        <f t="shared" ref="D906:D907" si="71">(C906*D905)/C905</f>
        <v>20</v>
      </c>
      <c r="E906" s="1076" t="s">
        <v>366</v>
      </c>
      <c r="F906" s="49"/>
      <c r="G906" s="49"/>
      <c r="H906" s="49"/>
      <c r="I906" s="49"/>
      <c r="J906" s="49"/>
      <c r="K906" s="49"/>
      <c r="L906" s="49"/>
      <c r="M906" s="49"/>
      <c r="N906" s="49"/>
    </row>
    <row r="907" ht="15.0" customHeight="1">
      <c r="A907" s="49"/>
      <c r="B907" s="93" t="s">
        <v>1200</v>
      </c>
      <c r="C907" s="992">
        <v>8.0</v>
      </c>
      <c r="D907" s="1077">
        <f t="shared" si="71"/>
        <v>16</v>
      </c>
      <c r="E907" s="1078" t="s">
        <v>366</v>
      </c>
      <c r="F907" s="49"/>
      <c r="G907" s="49"/>
      <c r="H907" s="49"/>
      <c r="I907" s="49"/>
      <c r="J907" s="49"/>
      <c r="K907" s="49"/>
      <c r="L907" s="49"/>
      <c r="M907" s="49"/>
      <c r="N907" s="49"/>
    </row>
    <row r="908" ht="15.0" customHeight="1">
      <c r="A908" s="49"/>
      <c r="B908" s="93" t="s">
        <v>338</v>
      </c>
      <c r="C908" s="992">
        <v>2.0</v>
      </c>
      <c r="D908" s="1077">
        <f>(C908*D906)/C906</f>
        <v>4</v>
      </c>
      <c r="E908" s="1078" t="s">
        <v>366</v>
      </c>
      <c r="F908" s="49"/>
      <c r="G908" s="49"/>
      <c r="H908" s="49"/>
      <c r="I908" s="49"/>
      <c r="J908" s="49"/>
      <c r="K908" s="49"/>
      <c r="L908" s="49"/>
      <c r="M908" s="49"/>
      <c r="N908" s="49"/>
    </row>
    <row r="909" ht="15.0" customHeight="1">
      <c r="A909" s="49"/>
      <c r="B909" s="93" t="s">
        <v>1201</v>
      </c>
      <c r="C909" s="992">
        <v>2.5</v>
      </c>
      <c r="D909" s="1077">
        <f t="shared" ref="D909:D914" si="72">(C909*D908)/C908</f>
        <v>5</v>
      </c>
      <c r="E909" s="1079" t="s">
        <v>366</v>
      </c>
      <c r="F909" s="49"/>
      <c r="G909" s="49"/>
      <c r="H909" s="49"/>
      <c r="I909" s="49"/>
      <c r="J909" s="49"/>
      <c r="K909" s="49"/>
      <c r="L909" s="49"/>
      <c r="M909" s="49"/>
      <c r="N909" s="49"/>
    </row>
    <row r="910" ht="18.0" customHeight="1">
      <c r="A910" s="49"/>
      <c r="B910" s="93" t="s">
        <v>1203</v>
      </c>
      <c r="C910" s="992">
        <v>1.5</v>
      </c>
      <c r="D910" s="1077">
        <f t="shared" si="72"/>
        <v>3</v>
      </c>
      <c r="E910" s="1078" t="s">
        <v>366</v>
      </c>
      <c r="F910" s="49"/>
      <c r="G910" s="49"/>
      <c r="H910" s="49"/>
      <c r="I910" s="49"/>
      <c r="J910" s="49"/>
      <c r="K910" s="49"/>
      <c r="L910" s="49"/>
      <c r="M910" s="49"/>
      <c r="N910" s="49"/>
    </row>
    <row r="911" ht="18.0" customHeight="1">
      <c r="A911" s="49"/>
      <c r="B911" s="93" t="s">
        <v>1204</v>
      </c>
      <c r="C911" s="992">
        <v>0.25</v>
      </c>
      <c r="D911" s="1077">
        <f t="shared" si="72"/>
        <v>0.5</v>
      </c>
      <c r="E911" s="1078" t="s">
        <v>366</v>
      </c>
      <c r="F911" s="49"/>
      <c r="G911" s="49"/>
      <c r="H911" s="49"/>
      <c r="I911" s="49"/>
      <c r="J911" s="49"/>
      <c r="K911" s="49"/>
      <c r="L911" s="49"/>
      <c r="M911" s="49"/>
      <c r="N911" s="49"/>
    </row>
    <row r="912" ht="18.0" customHeight="1">
      <c r="A912" s="49"/>
      <c r="B912" s="105" t="s">
        <v>1205</v>
      </c>
      <c r="C912" s="981">
        <v>0.3</v>
      </c>
      <c r="D912" s="1081">
        <f t="shared" si="72"/>
        <v>0.6</v>
      </c>
      <c r="E912" s="1082" t="s">
        <v>366</v>
      </c>
      <c r="F912" s="49"/>
      <c r="G912" s="49"/>
      <c r="H912" s="49"/>
      <c r="I912" s="49"/>
      <c r="J912" s="49"/>
      <c r="K912" s="49"/>
      <c r="L912" s="49"/>
      <c r="M912" s="49"/>
      <c r="N912" s="49"/>
    </row>
    <row r="913" ht="18.0" customHeight="1">
      <c r="A913" s="49"/>
      <c r="B913" s="119" t="s">
        <v>31</v>
      </c>
      <c r="C913" s="985">
        <v>0.7</v>
      </c>
      <c r="D913" s="1083">
        <f t="shared" si="72"/>
        <v>1.4</v>
      </c>
      <c r="E913" s="1084" t="s">
        <v>366</v>
      </c>
      <c r="F913" s="49"/>
      <c r="G913" s="49"/>
      <c r="H913" s="49"/>
      <c r="I913" s="49"/>
      <c r="J913" s="49"/>
      <c r="K913" s="49"/>
      <c r="L913" s="49"/>
      <c r="M913" s="49"/>
      <c r="N913" s="49"/>
    </row>
    <row r="914" ht="18.0" customHeight="1">
      <c r="A914" s="49"/>
      <c r="B914" s="93" t="s">
        <v>13</v>
      </c>
      <c r="C914" s="992">
        <v>0.3</v>
      </c>
      <c r="D914" s="1077">
        <f t="shared" si="72"/>
        <v>0.6</v>
      </c>
      <c r="E914" s="1079" t="s">
        <v>18</v>
      </c>
      <c r="F914" s="49"/>
      <c r="G914" s="49"/>
      <c r="H914" s="49"/>
      <c r="I914" s="49"/>
      <c r="J914" s="49"/>
      <c r="K914" s="49"/>
      <c r="L914" s="49"/>
      <c r="M914" s="49"/>
      <c r="N914" s="49"/>
    </row>
    <row r="915" ht="18.0" customHeight="1">
      <c r="A915" s="49"/>
      <c r="B915" s="93" t="s">
        <v>1207</v>
      </c>
      <c r="C915" s="992">
        <v>3.0</v>
      </c>
      <c r="D915" s="1077">
        <f>(C915*D912)/C912</f>
        <v>6</v>
      </c>
      <c r="E915" s="1078" t="s">
        <v>1208</v>
      </c>
      <c r="F915" s="49"/>
      <c r="G915" s="49"/>
      <c r="H915" s="49"/>
      <c r="I915" s="49"/>
      <c r="J915" s="49"/>
      <c r="K915" s="49"/>
      <c r="L915" s="49"/>
      <c r="M915" s="49"/>
      <c r="N915" s="49"/>
    </row>
    <row r="916" ht="18.0" customHeight="1">
      <c r="A916" s="49"/>
      <c r="B916" s="105" t="s">
        <v>1209</v>
      </c>
      <c r="C916" s="981">
        <v>250.0</v>
      </c>
      <c r="D916" s="1081">
        <f t="shared" ref="D916:D917" si="73">(C916*D914)/C914</f>
        <v>500</v>
      </c>
      <c r="E916" s="1085" t="s">
        <v>18</v>
      </c>
      <c r="F916" s="49"/>
      <c r="G916" s="49"/>
      <c r="H916" s="49"/>
      <c r="I916" s="49"/>
      <c r="J916" s="49"/>
      <c r="K916" s="49"/>
      <c r="L916" s="49"/>
      <c r="M916" s="49"/>
      <c r="N916" s="49"/>
    </row>
    <row r="917" ht="18.0" customHeight="1">
      <c r="A917" s="49"/>
      <c r="B917" s="105" t="s">
        <v>1210</v>
      </c>
      <c r="C917" s="981">
        <v>0.5</v>
      </c>
      <c r="D917" s="1081">
        <f t="shared" si="73"/>
        <v>1</v>
      </c>
      <c r="E917" s="1085" t="s">
        <v>366</v>
      </c>
      <c r="F917" s="49"/>
      <c r="G917" s="49"/>
      <c r="H917" s="49"/>
      <c r="I917" s="49"/>
      <c r="J917" s="49"/>
      <c r="K917" s="49"/>
      <c r="L917" s="49"/>
      <c r="M917" s="49"/>
      <c r="N917" s="49"/>
    </row>
    <row r="918" ht="18.0" customHeight="1">
      <c r="A918" s="49"/>
      <c r="B918" s="299" t="s">
        <v>119</v>
      </c>
      <c r="C918" s="183" t="s">
        <v>47</v>
      </c>
      <c r="D918" s="558"/>
      <c r="E918" s="49"/>
      <c r="F918" s="49"/>
      <c r="G918" s="49"/>
      <c r="H918" s="49"/>
      <c r="I918" s="49"/>
      <c r="J918" s="49"/>
      <c r="K918" s="49"/>
      <c r="L918" s="49"/>
      <c r="M918" s="49"/>
      <c r="N918" s="49"/>
    </row>
    <row r="919" ht="18.0" customHeight="1">
      <c r="A919" s="49"/>
      <c r="B919" s="302" t="s">
        <v>49</v>
      </c>
      <c r="C919" s="260">
        <v>43366.0</v>
      </c>
      <c r="D919" s="558"/>
      <c r="E919" s="49"/>
      <c r="F919" s="49"/>
      <c r="G919" s="49"/>
      <c r="H919" s="49"/>
      <c r="I919" s="49"/>
      <c r="J919" s="49"/>
      <c r="K919" s="49"/>
      <c r="L919" s="49"/>
      <c r="M919" s="49"/>
      <c r="N919" s="49"/>
    </row>
    <row r="920" ht="15.75" customHeight="1">
      <c r="A920" s="49"/>
      <c r="B920" s="302" t="s">
        <v>50</v>
      </c>
      <c r="C920" s="260">
        <v>43366.0</v>
      </c>
      <c r="D920" s="558"/>
      <c r="E920" s="49"/>
      <c r="F920" s="49"/>
      <c r="G920" s="49"/>
      <c r="H920" s="49"/>
      <c r="I920" s="49"/>
      <c r="J920" s="49"/>
      <c r="K920" s="49"/>
      <c r="L920" s="49"/>
      <c r="M920" s="49"/>
      <c r="N920" s="49"/>
    </row>
    <row r="921" ht="15.75" customHeight="1">
      <c r="A921" s="49"/>
      <c r="B921" s="49"/>
      <c r="C921" s="49"/>
      <c r="D921" s="558"/>
      <c r="E921" s="49"/>
      <c r="F921" s="49"/>
      <c r="G921" s="49"/>
      <c r="H921" s="49"/>
      <c r="I921" s="49"/>
      <c r="J921" s="49"/>
      <c r="K921" s="49"/>
      <c r="L921" s="49"/>
      <c r="M921" s="49"/>
      <c r="N921" s="49"/>
    </row>
    <row r="922" ht="15.75" customHeight="1">
      <c r="A922" s="49"/>
      <c r="B922" s="49"/>
      <c r="C922" s="49"/>
      <c r="D922" s="558"/>
      <c r="E922" s="49"/>
      <c r="F922" s="49"/>
      <c r="G922" s="49"/>
      <c r="H922" s="49"/>
      <c r="I922" s="49"/>
      <c r="J922" s="49"/>
      <c r="K922" s="49"/>
      <c r="L922" s="49"/>
      <c r="M922" s="49"/>
      <c r="N922" s="49"/>
    </row>
    <row r="923" ht="15.75" customHeight="1">
      <c r="A923" s="49"/>
      <c r="B923" s="1086" t="s">
        <v>1211</v>
      </c>
      <c r="C923" s="18"/>
      <c r="D923" s="18"/>
      <c r="E923" s="19"/>
      <c r="F923" s="49"/>
      <c r="G923" s="49"/>
      <c r="H923" s="49"/>
      <c r="I923" s="49"/>
      <c r="J923" s="49"/>
      <c r="K923" s="49"/>
      <c r="L923" s="49"/>
      <c r="M923" s="49"/>
      <c r="N923" s="49"/>
    </row>
    <row r="924" ht="15.75" customHeight="1">
      <c r="A924" s="49"/>
      <c r="B924" s="51" t="s">
        <v>1</v>
      </c>
      <c r="C924" s="1087">
        <v>32.0</v>
      </c>
      <c r="D924" s="1013">
        <v>550.0</v>
      </c>
      <c r="E924" s="1088" t="s">
        <v>1208</v>
      </c>
      <c r="F924" s="49"/>
      <c r="G924" s="49"/>
      <c r="H924" s="49"/>
      <c r="I924" s="49"/>
      <c r="J924" s="49"/>
      <c r="K924" s="49"/>
      <c r="L924" s="49"/>
      <c r="M924" s="49"/>
      <c r="N924" s="49"/>
    </row>
    <row r="925" ht="15.75" customHeight="1">
      <c r="A925" s="49"/>
      <c r="B925" s="68" t="s">
        <v>1213</v>
      </c>
      <c r="C925" s="976">
        <v>0.8</v>
      </c>
      <c r="D925" s="1089">
        <f t="shared" ref="D925:D928" si="74">(C925*D924)/C924</f>
        <v>13.75</v>
      </c>
      <c r="E925" s="1076" t="s">
        <v>366</v>
      </c>
      <c r="F925" s="49"/>
      <c r="G925" s="49"/>
      <c r="H925" s="49"/>
      <c r="I925" s="49"/>
      <c r="J925" s="49"/>
      <c r="K925" s="49"/>
      <c r="L925" s="49"/>
      <c r="M925" s="49"/>
      <c r="N925" s="49"/>
    </row>
    <row r="926" ht="15.75" customHeight="1">
      <c r="A926" s="49"/>
      <c r="B926" s="93" t="s">
        <v>311</v>
      </c>
      <c r="C926" s="992">
        <v>0.2</v>
      </c>
      <c r="D926" s="1090">
        <f t="shared" si="74"/>
        <v>3.4375</v>
      </c>
      <c r="E926" s="1078" t="s">
        <v>366</v>
      </c>
      <c r="F926" s="49"/>
      <c r="G926" s="49"/>
      <c r="H926" s="49"/>
      <c r="I926" s="49"/>
      <c r="J926" s="49"/>
      <c r="K926" s="49"/>
      <c r="L926" s="49"/>
      <c r="M926" s="49"/>
      <c r="N926" s="49"/>
    </row>
    <row r="927" ht="15.75" customHeight="1">
      <c r="A927" s="49"/>
      <c r="B927" s="105" t="s">
        <v>63</v>
      </c>
      <c r="C927" s="1091">
        <v>25.0</v>
      </c>
      <c r="D927" s="1092">
        <f t="shared" si="74"/>
        <v>429.6875</v>
      </c>
      <c r="E927" s="1085" t="s">
        <v>18</v>
      </c>
      <c r="F927" s="49"/>
      <c r="G927" s="49"/>
      <c r="H927" s="49"/>
      <c r="I927" s="49"/>
      <c r="J927" s="49"/>
      <c r="K927" s="49"/>
      <c r="L927" s="49"/>
      <c r="M927" s="49"/>
      <c r="N927" s="49"/>
    </row>
    <row r="928" ht="15.75" customHeight="1">
      <c r="A928" s="49"/>
      <c r="B928" s="417" t="s">
        <v>1203</v>
      </c>
      <c r="C928" s="1093">
        <v>25.0</v>
      </c>
      <c r="D928" s="1092">
        <f t="shared" si="74"/>
        <v>429.6875</v>
      </c>
      <c r="E928" s="1094" t="s">
        <v>18</v>
      </c>
      <c r="F928" s="49"/>
      <c r="G928" s="49"/>
      <c r="H928" s="49"/>
      <c r="I928" s="49"/>
      <c r="J928" s="49"/>
      <c r="K928" s="49"/>
      <c r="L928" s="49"/>
      <c r="M928" s="49"/>
      <c r="N928" s="49"/>
    </row>
    <row r="929" ht="15.75" customHeight="1">
      <c r="A929" s="49"/>
      <c r="B929" s="68" t="s">
        <v>31</v>
      </c>
      <c r="C929" s="976">
        <v>30.0</v>
      </c>
      <c r="D929" s="1089">
        <f>(C929*D927)/C927</f>
        <v>515.625</v>
      </c>
      <c r="E929" s="1096" t="s">
        <v>18</v>
      </c>
      <c r="F929" s="49"/>
      <c r="G929" s="49"/>
      <c r="H929" s="49"/>
      <c r="I929" s="49"/>
      <c r="J929" s="49"/>
      <c r="K929" s="49"/>
      <c r="L929" s="49"/>
      <c r="M929" s="49"/>
      <c r="N929" s="49"/>
    </row>
    <row r="930" ht="15.75" customHeight="1">
      <c r="A930" s="49"/>
      <c r="B930" s="105" t="s">
        <v>13</v>
      </c>
      <c r="C930" s="981">
        <v>15.0</v>
      </c>
      <c r="D930" s="1092">
        <f>(C930*D929)/C929</f>
        <v>257.8125</v>
      </c>
      <c r="E930" s="1085" t="s">
        <v>18</v>
      </c>
      <c r="F930" s="49"/>
      <c r="G930" s="49"/>
      <c r="H930" s="49"/>
      <c r="I930" s="49"/>
      <c r="J930" s="49"/>
      <c r="K930" s="49"/>
      <c r="L930" s="49"/>
      <c r="M930" s="49"/>
      <c r="N930" s="49"/>
    </row>
    <row r="931" ht="15.75" customHeight="1">
      <c r="A931" s="49"/>
      <c r="B931" s="299" t="s">
        <v>119</v>
      </c>
      <c r="C931" s="183" t="s">
        <v>47</v>
      </c>
      <c r="D931" s="558"/>
      <c r="E931" s="49"/>
      <c r="F931" s="49"/>
      <c r="G931" s="49"/>
      <c r="H931" s="49"/>
      <c r="I931" s="49"/>
      <c r="J931" s="49"/>
      <c r="K931" s="49"/>
      <c r="L931" s="49"/>
      <c r="M931" s="49"/>
      <c r="N931" s="49"/>
    </row>
    <row r="932" ht="15.75" customHeight="1">
      <c r="A932" s="49"/>
      <c r="B932" s="302" t="s">
        <v>49</v>
      </c>
      <c r="C932" s="260"/>
      <c r="D932" s="558"/>
      <c r="E932" s="49"/>
      <c r="F932" s="49"/>
      <c r="G932" s="49"/>
      <c r="H932" s="49"/>
      <c r="I932" s="49"/>
      <c r="J932" s="49"/>
      <c r="K932" s="49"/>
      <c r="L932" s="49"/>
      <c r="M932" s="49"/>
      <c r="N932" s="49"/>
    </row>
    <row r="933" ht="15.75" customHeight="1">
      <c r="A933" s="49"/>
      <c r="B933" s="302" t="s">
        <v>50</v>
      </c>
      <c r="C933" s="260"/>
      <c r="D933" s="558"/>
      <c r="E933" s="49"/>
      <c r="F933" s="49"/>
      <c r="G933" s="49"/>
      <c r="H933" s="49"/>
      <c r="I933" s="49"/>
      <c r="J933" s="49"/>
      <c r="K933" s="49"/>
      <c r="L933" s="49"/>
      <c r="M933" s="49"/>
      <c r="N933" s="49"/>
    </row>
    <row r="934" ht="15.75" customHeight="1">
      <c r="A934" s="49"/>
      <c r="B934" s="49"/>
      <c r="C934" s="49"/>
      <c r="D934" s="558"/>
      <c r="E934" s="49"/>
      <c r="F934" s="49"/>
      <c r="G934" s="49"/>
      <c r="H934" s="49"/>
      <c r="I934" s="49"/>
      <c r="J934" s="49"/>
      <c r="K934" s="49"/>
      <c r="L934" s="49"/>
      <c r="M934" s="49"/>
      <c r="N934" s="49"/>
    </row>
    <row r="935" ht="15.75" customHeight="1">
      <c r="A935" s="49"/>
      <c r="B935" s="49"/>
      <c r="C935" s="49"/>
      <c r="D935" s="558"/>
      <c r="E935" s="49"/>
      <c r="F935" s="49"/>
      <c r="G935" s="49"/>
      <c r="H935" s="49"/>
      <c r="I935" s="49"/>
      <c r="J935" s="49"/>
      <c r="K935" s="49"/>
      <c r="L935" s="49"/>
      <c r="M935" s="49"/>
      <c r="N935" s="49"/>
    </row>
    <row r="936" ht="15.0" customHeight="1">
      <c r="A936" s="49"/>
      <c r="B936" s="49"/>
      <c r="C936" s="49"/>
      <c r="D936" s="558"/>
      <c r="E936" s="49"/>
      <c r="F936" s="49"/>
      <c r="G936" s="49"/>
      <c r="H936" s="49"/>
      <c r="I936" s="49"/>
      <c r="J936" s="49"/>
      <c r="K936" s="49"/>
      <c r="L936" s="49"/>
      <c r="M936" s="49"/>
      <c r="N936" s="49"/>
    </row>
    <row r="937" ht="15.75" customHeight="1">
      <c r="A937" s="49"/>
      <c r="B937" s="49"/>
      <c r="C937" s="49"/>
      <c r="D937" s="558"/>
      <c r="E937" s="49"/>
      <c r="F937" s="49"/>
      <c r="G937" s="49"/>
      <c r="H937" s="49"/>
      <c r="I937" s="49"/>
      <c r="J937" s="49"/>
      <c r="K937" s="49"/>
      <c r="L937" s="49"/>
      <c r="M937" s="49"/>
      <c r="N937" s="49"/>
    </row>
    <row r="938" ht="15.75" customHeight="1">
      <c r="A938" s="49"/>
      <c r="B938" s="1086" t="s">
        <v>1218</v>
      </c>
      <c r="C938" s="18"/>
      <c r="D938" s="18"/>
      <c r="E938" s="19"/>
      <c r="F938" s="49"/>
      <c r="G938" s="49"/>
      <c r="H938" s="49"/>
      <c r="I938" s="49"/>
      <c r="J938" s="49"/>
      <c r="K938" s="49"/>
      <c r="L938" s="49"/>
      <c r="M938" s="49"/>
      <c r="N938" s="49"/>
    </row>
    <row r="939" ht="15.75" customHeight="1">
      <c r="A939" s="49"/>
      <c r="B939" s="51" t="s">
        <v>1</v>
      </c>
      <c r="C939" s="1087">
        <v>32.0</v>
      </c>
      <c r="D939" s="1098">
        <v>2750.0</v>
      </c>
      <c r="E939" s="1088" t="s">
        <v>741</v>
      </c>
      <c r="F939" s="250" t="s">
        <v>1219</v>
      </c>
      <c r="G939" s="49"/>
      <c r="H939" s="49"/>
      <c r="I939" s="49"/>
      <c r="J939" s="49"/>
      <c r="K939" s="49"/>
      <c r="L939" s="49"/>
      <c r="M939" s="49"/>
      <c r="N939" s="49"/>
    </row>
    <row r="940" ht="15.75" customHeight="1">
      <c r="A940" s="49"/>
      <c r="B940" s="68" t="s">
        <v>1220</v>
      </c>
      <c r="C940" s="976">
        <v>0.8</v>
      </c>
      <c r="D940" s="1074">
        <f t="shared" ref="D940:D941" si="75">(C940*D939)/C939</f>
        <v>68.75</v>
      </c>
      <c r="E940" s="1076" t="s">
        <v>366</v>
      </c>
      <c r="F940" s="47"/>
      <c r="G940" s="49"/>
      <c r="H940" s="49"/>
      <c r="I940" s="49"/>
      <c r="J940" s="49"/>
      <c r="K940" s="49"/>
      <c r="L940" s="49"/>
      <c r="M940" s="49"/>
      <c r="N940" s="49"/>
    </row>
    <row r="941" ht="15.75" customHeight="1">
      <c r="A941" s="49"/>
      <c r="B941" s="93" t="s">
        <v>311</v>
      </c>
      <c r="C941" s="992">
        <v>0.2</v>
      </c>
      <c r="D941" s="1077">
        <f t="shared" si="75"/>
        <v>17.1875</v>
      </c>
      <c r="E941" s="1078" t="s">
        <v>366</v>
      </c>
      <c r="F941" s="76"/>
      <c r="G941" s="49"/>
      <c r="H941" s="49"/>
      <c r="I941" s="49"/>
      <c r="J941" s="49"/>
      <c r="K941" s="49"/>
      <c r="L941" s="49"/>
      <c r="M941" s="49"/>
      <c r="N941" s="49"/>
    </row>
    <row r="942" ht="15.75" customHeight="1">
      <c r="A942" s="49"/>
      <c r="B942" s="105" t="s">
        <v>63</v>
      </c>
      <c r="C942" s="981">
        <v>15.0</v>
      </c>
      <c r="D942" s="1081">
        <f>(C942*D940)/C940</f>
        <v>1289.0625</v>
      </c>
      <c r="E942" s="1085" t="s">
        <v>18</v>
      </c>
      <c r="F942" s="1100" t="s">
        <v>1221</v>
      </c>
      <c r="G942" s="49"/>
      <c r="H942" s="49"/>
      <c r="I942" s="49"/>
      <c r="J942" s="49"/>
      <c r="K942" s="49"/>
      <c r="L942" s="49"/>
      <c r="M942" s="49"/>
      <c r="N942" s="49"/>
    </row>
    <row r="943" ht="15.75" customHeight="1">
      <c r="A943" s="49"/>
      <c r="B943" s="68" t="s">
        <v>31</v>
      </c>
      <c r="C943" s="976">
        <v>30.0</v>
      </c>
      <c r="D943" s="1074">
        <f t="shared" ref="D943:D948" si="76">(C943*D942)/C942</f>
        <v>2578.125</v>
      </c>
      <c r="E943" s="1096" t="s">
        <v>18</v>
      </c>
      <c r="F943" s="47"/>
      <c r="G943" s="49"/>
      <c r="H943" s="49"/>
      <c r="I943" s="49"/>
      <c r="J943" s="49"/>
      <c r="K943" s="49"/>
      <c r="L943" s="49"/>
      <c r="M943" s="49"/>
      <c r="N943" s="49"/>
    </row>
    <row r="944" ht="15.75" customHeight="1">
      <c r="A944" s="49"/>
      <c r="B944" s="93" t="s">
        <v>13</v>
      </c>
      <c r="C944" s="992">
        <v>15.0</v>
      </c>
      <c r="D944" s="1077">
        <f t="shared" si="76"/>
        <v>1289.0625</v>
      </c>
      <c r="E944" s="1078" t="s">
        <v>18</v>
      </c>
      <c r="F944" s="47"/>
      <c r="G944" s="49"/>
      <c r="H944" s="49"/>
      <c r="I944" s="49"/>
      <c r="J944" s="49"/>
      <c r="K944" s="49"/>
      <c r="L944" s="49"/>
      <c r="M944" s="49"/>
      <c r="N944" s="49"/>
    </row>
    <row r="945" ht="15.75" customHeight="1">
      <c r="A945" s="49"/>
      <c r="B945" s="105" t="s">
        <v>1203</v>
      </c>
      <c r="C945" s="981">
        <v>50.0</v>
      </c>
      <c r="D945" s="1081">
        <f t="shared" si="76"/>
        <v>4296.875</v>
      </c>
      <c r="E945" s="1085" t="s">
        <v>18</v>
      </c>
      <c r="F945" s="76"/>
      <c r="G945" s="49"/>
      <c r="H945" s="49"/>
      <c r="I945" s="49"/>
      <c r="J945" s="49"/>
      <c r="K945" s="49"/>
      <c r="L945" s="49"/>
      <c r="M945" s="49"/>
      <c r="N945" s="49"/>
    </row>
    <row r="946" ht="15.75" customHeight="1">
      <c r="A946" s="49"/>
      <c r="B946" s="68" t="s">
        <v>142</v>
      </c>
      <c r="C946" s="976">
        <v>20.0</v>
      </c>
      <c r="D946" s="1074">
        <f t="shared" si="76"/>
        <v>1718.75</v>
      </c>
      <c r="E946" s="1096" t="s">
        <v>18</v>
      </c>
      <c r="F946" s="107"/>
      <c r="G946" s="49"/>
      <c r="H946" s="49"/>
      <c r="I946" s="49"/>
      <c r="J946" s="49"/>
      <c r="K946" s="49"/>
      <c r="L946" s="49"/>
      <c r="M946" s="49"/>
      <c r="N946" s="49"/>
    </row>
    <row r="947" ht="15.75" customHeight="1">
      <c r="A947" s="49"/>
      <c r="B947" s="93" t="s">
        <v>1207</v>
      </c>
      <c r="C947" s="992">
        <v>0.2</v>
      </c>
      <c r="D947" s="1077">
        <f t="shared" si="76"/>
        <v>17.1875</v>
      </c>
      <c r="E947" s="1078" t="s">
        <v>1208</v>
      </c>
      <c r="F947" s="107"/>
      <c r="G947" s="49"/>
      <c r="H947" s="49"/>
      <c r="I947" s="49"/>
      <c r="J947" s="49"/>
      <c r="K947" s="49"/>
      <c r="L947" s="49"/>
      <c r="M947" s="49"/>
      <c r="N947" s="49"/>
    </row>
    <row r="948" ht="15.75" customHeight="1">
      <c r="A948" s="49"/>
      <c r="B948" s="105" t="s">
        <v>1223</v>
      </c>
      <c r="C948" s="981">
        <v>3.0</v>
      </c>
      <c r="D948" s="1081">
        <f t="shared" si="76"/>
        <v>257.8125</v>
      </c>
      <c r="E948" s="1085" t="s">
        <v>18</v>
      </c>
      <c r="F948" s="107"/>
      <c r="G948" s="49"/>
      <c r="H948" s="49"/>
      <c r="I948" s="49"/>
      <c r="J948" s="49"/>
      <c r="K948" s="49"/>
      <c r="L948" s="49"/>
      <c r="M948" s="49"/>
      <c r="N948" s="49"/>
    </row>
    <row r="949" ht="15.75" customHeight="1">
      <c r="A949" s="49"/>
      <c r="B949" s="302" t="s">
        <v>49</v>
      </c>
      <c r="C949" s="260">
        <v>43297.0</v>
      </c>
      <c r="D949" s="1"/>
      <c r="E949" s="107"/>
      <c r="F949" s="107"/>
      <c r="G949" s="49"/>
      <c r="H949" s="49"/>
      <c r="I949" s="49"/>
      <c r="J949" s="49"/>
      <c r="K949" s="49"/>
      <c r="L949" s="49"/>
      <c r="M949" s="49"/>
      <c r="N949" s="49"/>
    </row>
    <row r="950" ht="15.75" customHeight="1">
      <c r="A950" s="49"/>
      <c r="B950" s="302" t="s">
        <v>50</v>
      </c>
      <c r="C950" s="260">
        <v>43297.0</v>
      </c>
      <c r="D950" s="1"/>
      <c r="E950" s="107"/>
      <c r="F950" s="1"/>
      <c r="G950" s="49"/>
      <c r="H950" s="49"/>
      <c r="I950" s="49"/>
      <c r="J950" s="49"/>
      <c r="K950" s="49"/>
      <c r="L950" s="49"/>
      <c r="M950" s="49"/>
      <c r="N950" s="49"/>
    </row>
    <row r="951" ht="15.75" customHeight="1">
      <c r="A951" s="49"/>
      <c r="B951" s="299" t="s">
        <v>119</v>
      </c>
      <c r="C951" s="183" t="s">
        <v>47</v>
      </c>
      <c r="D951" s="558"/>
      <c r="E951" s="49"/>
      <c r="F951" s="1"/>
      <c r="G951" s="49"/>
      <c r="H951" s="49"/>
      <c r="I951" s="49"/>
      <c r="J951" s="49"/>
      <c r="K951" s="49"/>
      <c r="L951" s="49"/>
      <c r="M951" s="49"/>
      <c r="N951" s="49"/>
    </row>
    <row r="952" ht="15.75" customHeight="1">
      <c r="A952" s="49"/>
      <c r="B952" s="49"/>
      <c r="C952" s="49"/>
      <c r="D952" s="558"/>
      <c r="E952" s="49"/>
      <c r="F952" s="49"/>
      <c r="G952" s="49"/>
      <c r="H952" s="49"/>
      <c r="I952" s="49"/>
      <c r="J952" s="49"/>
      <c r="K952" s="49"/>
      <c r="L952" s="49"/>
      <c r="M952" s="49"/>
      <c r="N952" s="49"/>
    </row>
    <row r="953" ht="15.75" customHeight="1">
      <c r="A953" s="49"/>
      <c r="B953" s="49"/>
      <c r="C953" s="49"/>
      <c r="D953" s="558"/>
      <c r="E953" s="49"/>
      <c r="F953" s="49"/>
      <c r="G953" s="49"/>
      <c r="H953" s="49"/>
      <c r="I953" s="49"/>
      <c r="J953" s="49"/>
      <c r="K953" s="49"/>
      <c r="L953" s="49"/>
      <c r="M953" s="49"/>
      <c r="N953" s="49"/>
    </row>
    <row r="954" ht="15.75" customHeight="1">
      <c r="A954" s="49"/>
      <c r="B954" s="49"/>
      <c r="C954" s="49"/>
      <c r="D954" s="558"/>
      <c r="E954" s="49"/>
      <c r="F954" s="1"/>
      <c r="G954" s="49"/>
      <c r="H954" s="49"/>
      <c r="I954" s="49"/>
      <c r="J954" s="49"/>
      <c r="K954" s="49"/>
      <c r="L954" s="49"/>
      <c r="M954" s="49"/>
      <c r="N954" s="49"/>
    </row>
    <row r="955" ht="15.75" customHeight="1">
      <c r="A955" s="49"/>
      <c r="B955" s="1086" t="s">
        <v>1226</v>
      </c>
      <c r="C955" s="18"/>
      <c r="D955" s="18"/>
      <c r="E955" s="19"/>
      <c r="F955" s="1"/>
      <c r="G955" s="49"/>
      <c r="H955" s="49"/>
      <c r="I955" s="49"/>
      <c r="J955" s="49"/>
      <c r="K955" s="49"/>
      <c r="L955" s="49"/>
      <c r="M955" s="49"/>
      <c r="N955" s="49"/>
    </row>
    <row r="956" ht="15.75" customHeight="1">
      <c r="A956" s="49"/>
      <c r="B956" s="51" t="s">
        <v>1</v>
      </c>
      <c r="C956" s="1087">
        <v>32.0</v>
      </c>
      <c r="D956" s="1098">
        <v>300.0</v>
      </c>
      <c r="E956" s="1088" t="s">
        <v>1208</v>
      </c>
      <c r="F956" s="1100" t="s">
        <v>1219</v>
      </c>
      <c r="G956" s="49"/>
      <c r="H956" s="49"/>
      <c r="I956" s="49"/>
      <c r="J956" s="49"/>
      <c r="K956" s="49"/>
      <c r="L956" s="49"/>
      <c r="M956" s="49"/>
      <c r="N956" s="49"/>
    </row>
    <row r="957" ht="15.75" customHeight="1">
      <c r="A957" s="49"/>
      <c r="B957" s="68" t="s">
        <v>1220</v>
      </c>
      <c r="C957" s="976">
        <v>0.8</v>
      </c>
      <c r="D957" s="1074">
        <f t="shared" ref="D957:D960" si="77">(C957*D956)/C956</f>
        <v>7.5</v>
      </c>
      <c r="E957" s="1076" t="s">
        <v>366</v>
      </c>
      <c r="F957" s="47"/>
      <c r="G957" s="49"/>
      <c r="H957" s="49"/>
      <c r="I957" s="49"/>
      <c r="J957" s="49"/>
      <c r="K957" s="49"/>
      <c r="L957" s="49"/>
      <c r="M957" s="49"/>
      <c r="N957" s="49"/>
    </row>
    <row r="958" ht="15.75" customHeight="1">
      <c r="A958" s="49"/>
      <c r="B958" s="93" t="s">
        <v>311</v>
      </c>
      <c r="C958" s="992">
        <v>0.2</v>
      </c>
      <c r="D958" s="1077">
        <f t="shared" si="77"/>
        <v>1.875</v>
      </c>
      <c r="E958" s="1078" t="s">
        <v>366</v>
      </c>
      <c r="F958" s="76"/>
      <c r="G958" s="49"/>
      <c r="H958" s="49"/>
      <c r="I958" s="49"/>
      <c r="J958" s="49"/>
      <c r="K958" s="49"/>
      <c r="L958" s="49"/>
      <c r="M958" s="49"/>
      <c r="N958" s="49"/>
    </row>
    <row r="959" ht="15.75" customHeight="1">
      <c r="A959" s="49"/>
      <c r="B959" s="105" t="s">
        <v>63</v>
      </c>
      <c r="C959" s="1091">
        <v>25.0</v>
      </c>
      <c r="D959" s="1081">
        <f t="shared" si="77"/>
        <v>234.375</v>
      </c>
      <c r="E959" s="1085" t="s">
        <v>18</v>
      </c>
      <c r="F959" s="250" t="s">
        <v>1227</v>
      </c>
      <c r="G959" s="49"/>
      <c r="H959" s="49"/>
      <c r="I959" s="49"/>
      <c r="J959" s="49"/>
      <c r="K959" s="49"/>
      <c r="L959" s="49"/>
      <c r="M959" s="49"/>
      <c r="N959" s="49"/>
    </row>
    <row r="960" ht="18.0" customHeight="1">
      <c r="A960" s="49"/>
      <c r="B960" s="417" t="s">
        <v>1203</v>
      </c>
      <c r="C960" s="1093">
        <v>25.0</v>
      </c>
      <c r="D960" s="1081">
        <f t="shared" si="77"/>
        <v>234.375</v>
      </c>
      <c r="E960" s="1094" t="s">
        <v>18</v>
      </c>
      <c r="F960" s="47"/>
      <c r="G960" s="49"/>
      <c r="H960" s="49"/>
      <c r="I960" s="49"/>
      <c r="J960" s="49"/>
      <c r="K960" s="49"/>
      <c r="L960" s="49"/>
      <c r="M960" s="49"/>
      <c r="N960" s="49"/>
    </row>
    <row r="961" ht="18.0" customHeight="1">
      <c r="A961" s="49"/>
      <c r="B961" s="68" t="s">
        <v>31</v>
      </c>
      <c r="C961" s="976">
        <v>30.0</v>
      </c>
      <c r="D961" s="1074">
        <f>(C961*D959)/C959</f>
        <v>281.25</v>
      </c>
      <c r="E961" s="1096" t="s">
        <v>18</v>
      </c>
      <c r="F961" s="76"/>
      <c r="G961" s="49"/>
      <c r="H961" s="49"/>
      <c r="I961" s="49"/>
      <c r="J961" s="49"/>
      <c r="K961" s="49"/>
      <c r="L961" s="49"/>
      <c r="M961" s="49"/>
      <c r="N961" s="49"/>
    </row>
    <row r="962" ht="18.0" customHeight="1">
      <c r="A962" s="49"/>
      <c r="B962" s="105" t="s">
        <v>13</v>
      </c>
      <c r="C962" s="981">
        <v>15.0</v>
      </c>
      <c r="D962" s="1081">
        <f>(C962*D961)/C961</f>
        <v>140.625</v>
      </c>
      <c r="E962" s="1085" t="s">
        <v>18</v>
      </c>
      <c r="F962" s="107"/>
      <c r="G962" s="49"/>
      <c r="H962" s="49"/>
      <c r="I962" s="49"/>
      <c r="J962" s="49"/>
      <c r="K962" s="49"/>
      <c r="L962" s="49"/>
      <c r="M962" s="49"/>
      <c r="N962" s="49"/>
    </row>
    <row r="963" ht="18.0" customHeight="1">
      <c r="A963" s="49"/>
      <c r="B963" s="511" t="s">
        <v>1229</v>
      </c>
      <c r="C963" s="18"/>
      <c r="D963" s="18"/>
      <c r="E963" s="19"/>
      <c r="F963" s="107"/>
      <c r="G963" s="49"/>
      <c r="H963" s="49"/>
      <c r="I963" s="49"/>
      <c r="J963" s="49"/>
      <c r="K963" s="49"/>
      <c r="L963" s="49"/>
      <c r="M963" s="49"/>
      <c r="N963" s="49"/>
    </row>
    <row r="964" ht="18.0" customHeight="1">
      <c r="A964" s="49"/>
      <c r="B964" s="51" t="s">
        <v>1</v>
      </c>
      <c r="C964" s="53">
        <v>100.0</v>
      </c>
      <c r="D964" s="190">
        <f>0.03*D956</f>
        <v>9</v>
      </c>
      <c r="E964" s="514" t="s">
        <v>5</v>
      </c>
      <c r="F964" s="107"/>
      <c r="G964" s="49"/>
      <c r="H964" s="49"/>
      <c r="I964" s="49"/>
      <c r="J964" s="49"/>
      <c r="K964" s="49"/>
      <c r="L964" s="49"/>
      <c r="M964" s="49"/>
      <c r="N964" s="49"/>
    </row>
    <row r="965" ht="18.0" customHeight="1">
      <c r="A965" s="49"/>
      <c r="B965" s="51" t="s">
        <v>1231</v>
      </c>
      <c r="C965" s="53">
        <v>90.0</v>
      </c>
      <c r="D965" s="190">
        <f t="shared" ref="D965:D966" si="78">(C965*D964)/C964</f>
        <v>8.1</v>
      </c>
      <c r="E965" s="514" t="s">
        <v>14</v>
      </c>
      <c r="F965" s="107"/>
      <c r="G965" s="49"/>
      <c r="H965" s="49"/>
      <c r="I965" s="49"/>
      <c r="J965" s="49"/>
      <c r="K965" s="49"/>
      <c r="L965" s="49"/>
      <c r="M965" s="49"/>
      <c r="N965" s="49"/>
    </row>
    <row r="966" ht="18.0" customHeight="1">
      <c r="A966" s="49"/>
      <c r="B966" s="68" t="s">
        <v>91</v>
      </c>
      <c r="C966" s="210">
        <v>5.0</v>
      </c>
      <c r="D966" s="145">
        <f t="shared" si="78"/>
        <v>0.45</v>
      </c>
      <c r="E966" s="216" t="s">
        <v>5</v>
      </c>
      <c r="F966" s="107"/>
      <c r="G966" s="49"/>
      <c r="H966" s="49"/>
      <c r="I966" s="49"/>
      <c r="J966" s="49"/>
      <c r="K966" s="49"/>
      <c r="L966" s="49"/>
      <c r="M966" s="49"/>
      <c r="N966" s="49"/>
    </row>
    <row r="967" ht="18.0" customHeight="1">
      <c r="A967" s="49"/>
      <c r="B967" s="93" t="s">
        <v>97</v>
      </c>
      <c r="C967" s="247">
        <v>400.0</v>
      </c>
      <c r="D967" s="195">
        <f t="shared" ref="D967:D968" si="79">(C967*D965)/C965</f>
        <v>36</v>
      </c>
      <c r="E967" s="249" t="s">
        <v>18</v>
      </c>
      <c r="F967" s="107"/>
      <c r="G967" s="49"/>
      <c r="H967" s="49"/>
      <c r="I967" s="49"/>
      <c r="J967" s="49"/>
      <c r="K967" s="49"/>
      <c r="L967" s="49"/>
      <c r="M967" s="49"/>
      <c r="N967" s="49"/>
    </row>
    <row r="968" ht="18.0" customHeight="1">
      <c r="A968" s="49"/>
      <c r="B968" s="93" t="s">
        <v>98</v>
      </c>
      <c r="C968" s="247">
        <v>400.0</v>
      </c>
      <c r="D968" s="195">
        <f t="shared" si="79"/>
        <v>36</v>
      </c>
      <c r="E968" s="249" t="s">
        <v>18</v>
      </c>
      <c r="F968" s="107"/>
      <c r="G968" s="49"/>
      <c r="H968" s="49"/>
      <c r="I968" s="49"/>
      <c r="J968" s="49"/>
      <c r="K968" s="49"/>
      <c r="L968" s="49"/>
      <c r="M968" s="49"/>
      <c r="N968" s="49"/>
    </row>
    <row r="969" ht="15.75" customHeight="1">
      <c r="A969" s="49"/>
      <c r="B969" s="93" t="s">
        <v>345</v>
      </c>
      <c r="C969" s="247">
        <v>1.0</v>
      </c>
      <c r="D969" s="195">
        <f t="shared" ref="D969:D970" si="80">(C969*D968)/C968</f>
        <v>0.09</v>
      </c>
      <c r="E969" s="249" t="s">
        <v>14</v>
      </c>
      <c r="F969" s="107"/>
      <c r="G969" s="49"/>
      <c r="H969" s="49"/>
      <c r="I969" s="49"/>
      <c r="J969" s="49"/>
      <c r="K969" s="49"/>
      <c r="L969" s="49"/>
      <c r="M969" s="49"/>
      <c r="N969" s="49"/>
    </row>
    <row r="970" ht="17.25" customHeight="1">
      <c r="A970" s="49"/>
      <c r="B970" s="93" t="s">
        <v>311</v>
      </c>
      <c r="C970" s="247">
        <v>1.0</v>
      </c>
      <c r="D970" s="195">
        <f t="shared" si="80"/>
        <v>0.09</v>
      </c>
      <c r="E970" s="249" t="s">
        <v>14</v>
      </c>
      <c r="F970" s="107"/>
      <c r="G970" s="49"/>
      <c r="H970" s="49"/>
      <c r="I970" s="49"/>
      <c r="J970" s="49"/>
      <c r="K970" s="49"/>
      <c r="L970" s="49"/>
      <c r="M970" s="49"/>
      <c r="N970" s="49"/>
    </row>
    <row r="971" ht="15.75" customHeight="1">
      <c r="A971" s="49"/>
      <c r="B971" s="93" t="s">
        <v>148</v>
      </c>
      <c r="C971" s="247">
        <v>1100.0</v>
      </c>
      <c r="D971" s="195">
        <f t="shared" ref="D971:D972" si="81">(C971*D969)/C969</f>
        <v>99</v>
      </c>
      <c r="E971" s="249" t="s">
        <v>18</v>
      </c>
      <c r="F971" s="107"/>
      <c r="G971" s="49"/>
      <c r="H971" s="49"/>
      <c r="I971" s="49"/>
      <c r="J971" s="49"/>
      <c r="K971" s="49"/>
      <c r="L971" s="49"/>
      <c r="M971" s="49"/>
      <c r="N971" s="49"/>
    </row>
    <row r="972" ht="15.75" customHeight="1">
      <c r="A972" s="49"/>
      <c r="B972" s="93" t="s">
        <v>1236</v>
      </c>
      <c r="C972" s="247">
        <v>1100.0</v>
      </c>
      <c r="D972" s="195">
        <f t="shared" si="81"/>
        <v>99</v>
      </c>
      <c r="E972" s="249" t="s">
        <v>18</v>
      </c>
      <c r="F972" s="107"/>
      <c r="G972" s="49"/>
      <c r="H972" s="49"/>
      <c r="I972" s="49"/>
      <c r="J972" s="49"/>
      <c r="K972" s="49"/>
      <c r="L972" s="49"/>
      <c r="M972" s="49"/>
      <c r="N972" s="49"/>
    </row>
    <row r="973" ht="15.75" customHeight="1">
      <c r="A973" s="49"/>
      <c r="B973" s="93" t="s">
        <v>103</v>
      </c>
      <c r="C973" s="247">
        <v>100.0</v>
      </c>
      <c r="D973" s="195">
        <f t="shared" ref="D973:D980" si="82">(C973*D972)/C972</f>
        <v>9</v>
      </c>
      <c r="E973" s="249" t="s">
        <v>18</v>
      </c>
      <c r="F973" s="107"/>
      <c r="G973" s="49"/>
      <c r="H973" s="49"/>
      <c r="I973" s="49"/>
      <c r="J973" s="49"/>
      <c r="K973" s="49"/>
      <c r="L973" s="49"/>
      <c r="M973" s="49"/>
      <c r="N973" s="49"/>
    </row>
    <row r="974" ht="15.75" customHeight="1">
      <c r="A974" s="49"/>
      <c r="B974" s="93" t="s">
        <v>1238</v>
      </c>
      <c r="C974" s="247">
        <v>5.0</v>
      </c>
      <c r="D974" s="195">
        <f t="shared" si="82"/>
        <v>0.45</v>
      </c>
      <c r="E974" s="249" t="s">
        <v>14</v>
      </c>
      <c r="F974" s="107"/>
      <c r="G974" s="49"/>
      <c r="H974" s="49"/>
      <c r="I974" s="49"/>
      <c r="J974" s="49"/>
      <c r="K974" s="49"/>
      <c r="L974" s="49"/>
      <c r="M974" s="49"/>
      <c r="N974" s="49"/>
    </row>
    <row r="975" ht="15.75" customHeight="1">
      <c r="A975" s="49"/>
      <c r="B975" s="93" t="s">
        <v>52</v>
      </c>
      <c r="C975" s="247">
        <v>250.0</v>
      </c>
      <c r="D975" s="195">
        <f t="shared" si="82"/>
        <v>22.5</v>
      </c>
      <c r="E975" s="249" t="s">
        <v>18</v>
      </c>
      <c r="F975" s="107"/>
      <c r="G975" s="49"/>
      <c r="H975" s="49"/>
      <c r="I975" s="49"/>
      <c r="J975" s="49"/>
      <c r="K975" s="49"/>
      <c r="L975" s="49"/>
      <c r="M975" s="49"/>
      <c r="N975" s="49"/>
    </row>
    <row r="976" ht="15.75" customHeight="1">
      <c r="A976" s="49"/>
      <c r="B976" s="105" t="s">
        <v>850</v>
      </c>
      <c r="C976" s="522">
        <v>15.0</v>
      </c>
      <c r="D976" s="195">
        <f t="shared" si="82"/>
        <v>1.35</v>
      </c>
      <c r="E976" s="518" t="s">
        <v>14</v>
      </c>
      <c r="F976" s="107"/>
      <c r="G976" s="49"/>
      <c r="H976" s="49"/>
      <c r="I976" s="49"/>
      <c r="J976" s="49"/>
      <c r="K976" s="49"/>
      <c r="L976" s="49"/>
      <c r="M976" s="49"/>
      <c r="N976" s="49"/>
    </row>
    <row r="977" ht="15.75" customHeight="1">
      <c r="A977" s="49"/>
      <c r="B977" s="119" t="s">
        <v>31</v>
      </c>
      <c r="C977" s="523">
        <v>1550.0</v>
      </c>
      <c r="D977" s="195">
        <f t="shared" si="82"/>
        <v>139.5</v>
      </c>
      <c r="E977" s="520" t="s">
        <v>18</v>
      </c>
      <c r="F977" s="107"/>
      <c r="G977" s="49"/>
      <c r="H977" s="49"/>
      <c r="I977" s="49"/>
      <c r="J977" s="49"/>
      <c r="K977" s="49"/>
      <c r="L977" s="49"/>
      <c r="M977" s="49"/>
      <c r="N977" s="49"/>
    </row>
    <row r="978" ht="15.75" customHeight="1">
      <c r="A978" s="49"/>
      <c r="B978" s="138" t="s">
        <v>13</v>
      </c>
      <c r="C978" s="239">
        <v>0.8</v>
      </c>
      <c r="D978" s="195">
        <f t="shared" si="82"/>
        <v>0.072</v>
      </c>
      <c r="E978" s="242" t="s">
        <v>14</v>
      </c>
      <c r="F978" s="107"/>
      <c r="G978" s="49"/>
      <c r="H978" s="49"/>
      <c r="I978" s="49"/>
      <c r="J978" s="49"/>
      <c r="K978" s="49"/>
      <c r="L978" s="49"/>
      <c r="M978" s="49"/>
      <c r="N978" s="49"/>
    </row>
    <row r="979" ht="15.75" customHeight="1">
      <c r="A979" s="49"/>
      <c r="B979" s="68" t="s">
        <v>1239</v>
      </c>
      <c r="C979" s="210">
        <v>10.0</v>
      </c>
      <c r="D979" s="195">
        <f t="shared" si="82"/>
        <v>0.9</v>
      </c>
      <c r="E979" s="216" t="s">
        <v>351</v>
      </c>
      <c r="F979" s="107"/>
      <c r="G979" s="49"/>
      <c r="H979" s="49"/>
      <c r="I979" s="49"/>
      <c r="J979" s="49"/>
      <c r="K979" s="49"/>
      <c r="L979" s="49"/>
      <c r="M979" s="49"/>
      <c r="N979" s="49"/>
    </row>
    <row r="980" ht="15.0" customHeight="1">
      <c r="A980" s="49"/>
      <c r="B980" s="105" t="s">
        <v>335</v>
      </c>
      <c r="C980" s="522">
        <v>8.0</v>
      </c>
      <c r="D980" s="195">
        <f t="shared" si="82"/>
        <v>0.72</v>
      </c>
      <c r="E980" s="518" t="s">
        <v>5</v>
      </c>
      <c r="F980" s="107"/>
      <c r="G980" s="49"/>
      <c r="H980" s="49"/>
      <c r="I980" s="49"/>
      <c r="J980" s="49"/>
      <c r="K980" s="49"/>
      <c r="L980" s="49"/>
      <c r="M980" s="49"/>
      <c r="N980" s="49"/>
    </row>
    <row r="981" ht="15.75" customHeight="1">
      <c r="A981" s="49"/>
      <c r="B981" s="302" t="s">
        <v>49</v>
      </c>
      <c r="C981" s="260">
        <v>43298.0</v>
      </c>
      <c r="D981" s="1"/>
      <c r="E981" s="1"/>
      <c r="F981" s="107"/>
      <c r="G981" s="49"/>
      <c r="H981" s="49"/>
      <c r="I981" s="49"/>
      <c r="J981" s="49"/>
      <c r="K981" s="49"/>
      <c r="L981" s="49"/>
      <c r="M981" s="49"/>
      <c r="N981" s="49"/>
    </row>
    <row r="982" ht="15.75" customHeight="1">
      <c r="A982" s="49"/>
      <c r="B982" s="302" t="s">
        <v>50</v>
      </c>
      <c r="C982" s="260">
        <v>43297.0</v>
      </c>
      <c r="D982" s="1"/>
      <c r="E982" s="1"/>
      <c r="F982" s="49"/>
      <c r="G982" s="49"/>
      <c r="H982" s="49"/>
      <c r="I982" s="49"/>
      <c r="J982" s="49"/>
      <c r="K982" s="49"/>
      <c r="L982" s="49"/>
      <c r="M982" s="49"/>
      <c r="N982" s="49"/>
    </row>
    <row r="983" ht="15.75" customHeight="1">
      <c r="A983" s="49"/>
      <c r="B983" s="299" t="s">
        <v>119</v>
      </c>
      <c r="C983" s="183" t="s">
        <v>47</v>
      </c>
      <c r="D983" s="558"/>
      <c r="E983" s="49"/>
      <c r="F983" s="49"/>
      <c r="G983" s="49"/>
      <c r="H983" s="49"/>
      <c r="I983" s="49"/>
      <c r="J983" s="49"/>
      <c r="K983" s="49"/>
      <c r="L983" s="49"/>
      <c r="M983" s="49"/>
      <c r="N983" s="49"/>
    </row>
    <row r="984" ht="15.75" customHeight="1">
      <c r="A984" s="49"/>
      <c r="B984" s="49"/>
      <c r="C984" s="49"/>
      <c r="D984" s="558"/>
      <c r="E984" s="49"/>
      <c r="F984" s="49"/>
      <c r="G984" s="49"/>
      <c r="H984" s="49"/>
      <c r="I984" s="49"/>
      <c r="J984" s="49"/>
      <c r="K984" s="49"/>
      <c r="L984" s="49"/>
      <c r="M984" s="49"/>
      <c r="N984" s="49"/>
    </row>
    <row r="985" ht="15.75" customHeight="1">
      <c r="A985" s="49"/>
      <c r="B985" s="49"/>
      <c r="C985" s="49"/>
      <c r="D985" s="558"/>
      <c r="E985" s="49"/>
      <c r="F985" s="49"/>
      <c r="G985" s="49"/>
      <c r="H985" s="49"/>
      <c r="I985" s="49"/>
      <c r="J985" s="49"/>
      <c r="K985" s="49"/>
      <c r="L985" s="49"/>
      <c r="M985" s="49"/>
      <c r="N985" s="49"/>
    </row>
    <row r="986" ht="15.75" customHeight="1">
      <c r="A986" s="49"/>
      <c r="B986" s="49"/>
      <c r="C986" s="49"/>
      <c r="D986" s="558"/>
      <c r="E986" s="49"/>
      <c r="F986" s="49"/>
      <c r="G986" s="49"/>
      <c r="H986" s="49"/>
      <c r="I986" s="49"/>
      <c r="J986" s="49"/>
      <c r="K986" s="49"/>
      <c r="L986" s="49"/>
      <c r="M986" s="49"/>
      <c r="N986" s="49"/>
    </row>
    <row r="987" ht="15.75" customHeight="1">
      <c r="A987" s="49"/>
      <c r="B987" s="49"/>
      <c r="C987" s="49"/>
      <c r="D987" s="558"/>
      <c r="E987" s="49"/>
      <c r="F987" s="49"/>
      <c r="G987" s="49"/>
      <c r="H987" s="49"/>
      <c r="I987" s="49"/>
      <c r="J987" s="49"/>
      <c r="K987" s="49"/>
      <c r="L987" s="49"/>
      <c r="M987" s="49"/>
      <c r="N987" s="49"/>
    </row>
    <row r="988" ht="15.75" customHeight="1">
      <c r="A988" s="49"/>
      <c r="B988" s="1086" t="s">
        <v>1242</v>
      </c>
      <c r="C988" s="18"/>
      <c r="D988" s="18"/>
      <c r="E988" s="19"/>
      <c r="F988" s="49"/>
      <c r="G988" s="49"/>
      <c r="H988" s="49"/>
      <c r="I988" s="49"/>
      <c r="J988" s="49"/>
      <c r="K988" s="49"/>
      <c r="L988" s="49"/>
      <c r="M988" s="49"/>
      <c r="N988" s="49"/>
    </row>
    <row r="989" ht="15.75" customHeight="1">
      <c r="A989" s="49"/>
      <c r="B989" s="51" t="s">
        <v>1</v>
      </c>
      <c r="C989" s="1087">
        <v>25.0</v>
      </c>
      <c r="D989" s="1098">
        <v>750.0</v>
      </c>
      <c r="E989" s="1088" t="s">
        <v>1208</v>
      </c>
      <c r="F989" s="49"/>
      <c r="G989" s="49"/>
      <c r="H989" s="49"/>
      <c r="I989" s="49"/>
      <c r="J989" s="49"/>
      <c r="K989" s="49"/>
      <c r="L989" s="49"/>
      <c r="M989" s="49"/>
      <c r="N989" s="49"/>
    </row>
    <row r="990" ht="15.75" customHeight="1">
      <c r="A990" s="49"/>
      <c r="B990" s="1102" t="s">
        <v>53</v>
      </c>
      <c r="C990" s="1103">
        <v>0.8</v>
      </c>
      <c r="D990" s="1104">
        <f>(C990*D989)/C989</f>
        <v>24</v>
      </c>
      <c r="E990" s="1076" t="s">
        <v>366</v>
      </c>
      <c r="F990" s="49"/>
      <c r="G990" s="49"/>
      <c r="H990" s="49"/>
      <c r="I990" s="49"/>
      <c r="J990" s="49"/>
      <c r="K990" s="49"/>
      <c r="L990" s="49"/>
      <c r="M990" s="49"/>
      <c r="N990" s="49"/>
    </row>
    <row r="991" ht="15.75" customHeight="1">
      <c r="A991" s="49"/>
      <c r="B991" s="1105" t="s">
        <v>311</v>
      </c>
      <c r="C991" s="1106">
        <v>0.2</v>
      </c>
      <c r="D991" s="1107">
        <f>(C991*D989)/C989</f>
        <v>6</v>
      </c>
      <c r="E991" s="1078" t="s">
        <v>366</v>
      </c>
      <c r="F991" s="49"/>
      <c r="G991" s="49"/>
      <c r="H991" s="49"/>
      <c r="I991" s="49"/>
      <c r="J991" s="49"/>
      <c r="K991" s="49"/>
      <c r="L991" s="49"/>
      <c r="M991" s="49"/>
      <c r="N991" s="49"/>
    </row>
    <row r="992" ht="15.75" customHeight="1">
      <c r="A992" s="49"/>
      <c r="B992" s="1108" t="s">
        <v>63</v>
      </c>
      <c r="C992" s="1109">
        <v>15.0</v>
      </c>
      <c r="D992" s="1110">
        <f>(C992*D991)/C991</f>
        <v>450</v>
      </c>
      <c r="E992" s="1111" t="s">
        <v>18</v>
      </c>
      <c r="F992" s="49"/>
      <c r="G992" s="49"/>
      <c r="H992" s="49"/>
      <c r="I992" s="49"/>
      <c r="J992" s="49"/>
      <c r="K992" s="49"/>
      <c r="L992" s="49"/>
      <c r="M992" s="49"/>
      <c r="N992" s="49"/>
    </row>
    <row r="993" ht="15.75" customHeight="1">
      <c r="A993" s="49"/>
      <c r="B993" s="105" t="s">
        <v>1244</v>
      </c>
      <c r="C993" s="981">
        <v>15.0</v>
      </c>
      <c r="D993" s="1081">
        <f t="shared" ref="D993:D995" si="83">(C993*D990)/C990</f>
        <v>450</v>
      </c>
      <c r="E993" s="1085" t="s">
        <v>18</v>
      </c>
      <c r="F993" s="49"/>
      <c r="G993" s="49"/>
      <c r="H993" s="49"/>
      <c r="I993" s="49"/>
      <c r="J993" s="49"/>
      <c r="K993" s="49"/>
      <c r="L993" s="49"/>
      <c r="M993" s="49"/>
      <c r="N993" s="49"/>
    </row>
    <row r="994" ht="15.75" customHeight="1">
      <c r="A994" s="49"/>
      <c r="B994" s="105" t="s">
        <v>52</v>
      </c>
      <c r="C994" s="981">
        <v>5.0</v>
      </c>
      <c r="D994" s="1081">
        <f t="shared" si="83"/>
        <v>150</v>
      </c>
      <c r="E994" s="1085" t="s">
        <v>18</v>
      </c>
      <c r="F994" s="49"/>
      <c r="G994" s="49"/>
      <c r="H994" s="49"/>
      <c r="I994" s="49"/>
      <c r="J994" s="49"/>
      <c r="K994" s="49"/>
      <c r="L994" s="49"/>
      <c r="M994" s="49"/>
      <c r="N994" s="49"/>
    </row>
    <row r="995" ht="15.75" customHeight="1">
      <c r="A995" s="49"/>
      <c r="B995" s="119" t="s">
        <v>31</v>
      </c>
      <c r="C995" s="1113">
        <v>30.0</v>
      </c>
      <c r="D995" s="1116">
        <f t="shared" si="83"/>
        <v>900</v>
      </c>
      <c r="E995" s="1084" t="s">
        <v>18</v>
      </c>
      <c r="F995" s="49"/>
      <c r="G995" s="49"/>
      <c r="H995" s="49"/>
      <c r="I995" s="49"/>
      <c r="J995" s="49"/>
      <c r="K995" s="49"/>
      <c r="L995" s="49"/>
      <c r="M995" s="49"/>
      <c r="N995" s="49"/>
    </row>
    <row r="996" ht="15.75" customHeight="1">
      <c r="A996" s="49"/>
      <c r="B996" s="93" t="s">
        <v>13</v>
      </c>
      <c r="C996" s="992">
        <v>15.0</v>
      </c>
      <c r="D996" s="1077">
        <f t="shared" ref="D996:D998" si="84">(C996*D994)/C994</f>
        <v>450</v>
      </c>
      <c r="E996" s="1078" t="s">
        <v>5</v>
      </c>
      <c r="F996" s="49"/>
      <c r="G996" s="49"/>
      <c r="H996" s="49"/>
      <c r="I996" s="49"/>
      <c r="J996" s="49"/>
      <c r="K996" s="49"/>
      <c r="L996" s="49"/>
      <c r="M996" s="49"/>
      <c r="N996" s="49"/>
    </row>
    <row r="997" ht="15.75" customHeight="1">
      <c r="A997" s="49"/>
      <c r="B997" s="93" t="s">
        <v>203</v>
      </c>
      <c r="C997" s="992">
        <v>35.0</v>
      </c>
      <c r="D997" s="1077">
        <f t="shared" si="84"/>
        <v>1050</v>
      </c>
      <c r="E997" s="1078" t="s">
        <v>14</v>
      </c>
      <c r="F997" s="49"/>
      <c r="G997" s="49"/>
      <c r="H997" s="49"/>
      <c r="I997" s="49"/>
      <c r="J997" s="49"/>
      <c r="K997" s="49"/>
      <c r="L997" s="49"/>
      <c r="M997" s="49"/>
      <c r="N997" s="49"/>
    </row>
    <row r="998" ht="15.75" customHeight="1">
      <c r="A998" s="49"/>
      <c r="B998" s="93" t="s">
        <v>822</v>
      </c>
      <c r="C998" s="992">
        <v>35.0</v>
      </c>
      <c r="D998" s="1077">
        <f t="shared" si="84"/>
        <v>1050</v>
      </c>
      <c r="E998" s="1078" t="s">
        <v>18</v>
      </c>
      <c r="F998" s="49"/>
      <c r="G998" s="49"/>
      <c r="H998" s="49"/>
      <c r="I998" s="49"/>
      <c r="J998" s="49"/>
      <c r="K998" s="49"/>
      <c r="L998" s="49"/>
      <c r="M998" s="49"/>
      <c r="N998" s="49"/>
    </row>
    <row r="999" ht="15.75" customHeight="1">
      <c r="A999" s="49"/>
      <c r="B999" s="93" t="s">
        <v>197</v>
      </c>
      <c r="C999" s="992">
        <v>0.3</v>
      </c>
      <c r="D999" s="1077">
        <f t="shared" ref="D999:D1001" si="85">(C999*D998)/C998</f>
        <v>9</v>
      </c>
      <c r="E999" s="1078" t="s">
        <v>14</v>
      </c>
      <c r="F999" s="49"/>
      <c r="G999" s="49"/>
      <c r="H999" s="49"/>
      <c r="I999" s="49"/>
      <c r="J999" s="49"/>
      <c r="K999" s="49"/>
      <c r="L999" s="49"/>
      <c r="M999" s="49"/>
      <c r="N999" s="49"/>
    </row>
    <row r="1000" ht="15.75" customHeight="1">
      <c r="A1000" s="49"/>
      <c r="B1000" s="93" t="s">
        <v>1246</v>
      </c>
      <c r="C1000" s="992">
        <v>0.2</v>
      </c>
      <c r="D1000" s="1077">
        <f t="shared" si="85"/>
        <v>6</v>
      </c>
      <c r="E1000" s="1079" t="s">
        <v>14</v>
      </c>
      <c r="F1000" s="49"/>
      <c r="G1000" s="49"/>
      <c r="H1000" s="49"/>
      <c r="I1000" s="49"/>
      <c r="J1000" s="49"/>
      <c r="K1000" s="49"/>
      <c r="L1000" s="49"/>
      <c r="M1000" s="49"/>
      <c r="N1000" s="49"/>
    </row>
    <row r="1001" ht="15.75" customHeight="1">
      <c r="A1001" s="49"/>
      <c r="B1001" s="105" t="s">
        <v>342</v>
      </c>
      <c r="C1001" s="1121">
        <v>8.6</v>
      </c>
      <c r="D1001" s="1122">
        <f t="shared" si="85"/>
        <v>258</v>
      </c>
      <c r="E1001" s="1082" t="s">
        <v>5</v>
      </c>
      <c r="F1001" s="49"/>
      <c r="G1001" s="49"/>
      <c r="H1001" s="49"/>
      <c r="I1001" s="49"/>
      <c r="J1001" s="49"/>
      <c r="K1001" s="49"/>
      <c r="L1001" s="49"/>
      <c r="M1001" s="49"/>
      <c r="N1001" s="49"/>
    </row>
    <row r="1002" ht="15.75" customHeight="1">
      <c r="A1002" s="49"/>
      <c r="B1002" s="302" t="s">
        <v>49</v>
      </c>
      <c r="C1002" s="260">
        <v>43297.0</v>
      </c>
      <c r="D1002" s="1"/>
      <c r="E1002" s="107"/>
      <c r="F1002" s="49"/>
      <c r="G1002" s="49"/>
      <c r="H1002" s="49"/>
      <c r="I1002" s="49"/>
      <c r="J1002" s="49"/>
      <c r="K1002" s="49"/>
      <c r="L1002" s="49"/>
      <c r="M1002" s="49"/>
      <c r="N1002" s="49"/>
    </row>
    <row r="1003" ht="15.75" customHeight="1">
      <c r="A1003" s="49"/>
      <c r="B1003" s="302" t="s">
        <v>50</v>
      </c>
      <c r="C1003" s="260">
        <v>43297.0</v>
      </c>
      <c r="D1003" s="1"/>
      <c r="E1003" s="107"/>
      <c r="F1003" s="49"/>
      <c r="G1003" s="49"/>
      <c r="H1003" s="49"/>
      <c r="I1003" s="49"/>
      <c r="J1003" s="49"/>
      <c r="K1003" s="49"/>
      <c r="L1003" s="49"/>
      <c r="M1003" s="49"/>
      <c r="N1003" s="49"/>
    </row>
    <row r="1004" ht="15.75" customHeight="1">
      <c r="A1004" s="49"/>
      <c r="B1004" s="299" t="s">
        <v>119</v>
      </c>
      <c r="C1004" s="183" t="s">
        <v>47</v>
      </c>
      <c r="D1004" s="558"/>
      <c r="E1004" s="49"/>
      <c r="F1004" s="49"/>
      <c r="G1004" s="49"/>
      <c r="H1004" s="49"/>
      <c r="I1004" s="49"/>
      <c r="J1004" s="49"/>
      <c r="K1004" s="49"/>
      <c r="L1004" s="49"/>
      <c r="M1004" s="49"/>
      <c r="N1004" s="49"/>
    </row>
    <row r="1005" ht="15.75" customHeight="1">
      <c r="A1005" s="49"/>
      <c r="B1005" s="49"/>
      <c r="C1005" s="49"/>
      <c r="D1005" s="558"/>
      <c r="E1005" s="49"/>
      <c r="F1005" s="49"/>
      <c r="G1005" s="49"/>
      <c r="H1005" s="49"/>
      <c r="I1005" s="49"/>
      <c r="J1005" s="49"/>
      <c r="K1005" s="49"/>
      <c r="L1005" s="49"/>
      <c r="M1005" s="49"/>
      <c r="N1005" s="49"/>
    </row>
    <row r="1006" ht="15.75" customHeight="1">
      <c r="A1006" s="49"/>
      <c r="B1006" s="1086" t="s">
        <v>1248</v>
      </c>
      <c r="C1006" s="18"/>
      <c r="D1006" s="18"/>
      <c r="E1006" s="19"/>
      <c r="F1006" s="49"/>
      <c r="G1006" s="49"/>
      <c r="H1006" s="49"/>
      <c r="I1006" s="49"/>
      <c r="J1006" s="49"/>
      <c r="K1006" s="49"/>
      <c r="L1006" s="49"/>
      <c r="M1006" s="49"/>
      <c r="N1006" s="49"/>
    </row>
    <row r="1007" ht="15.75" customHeight="1">
      <c r="A1007" s="49"/>
      <c r="B1007" s="51" t="s">
        <v>1</v>
      </c>
      <c r="C1007" s="1087">
        <v>40.0</v>
      </c>
      <c r="D1007" s="1098">
        <v>500.0</v>
      </c>
      <c r="E1007" s="1088" t="s">
        <v>1208</v>
      </c>
      <c r="F1007" s="49"/>
      <c r="G1007" s="49"/>
      <c r="H1007" s="49"/>
      <c r="I1007" s="49"/>
      <c r="J1007" s="49"/>
      <c r="K1007" s="49"/>
      <c r="L1007" s="49"/>
      <c r="M1007" s="49"/>
      <c r="N1007" s="49"/>
    </row>
    <row r="1008" ht="15.75" customHeight="1">
      <c r="A1008" s="49"/>
      <c r="B1008" s="1102" t="s">
        <v>53</v>
      </c>
      <c r="C1008" s="1103">
        <v>0.8</v>
      </c>
      <c r="D1008" s="1124">
        <f>(C1008*D1007)/C1007</f>
        <v>10</v>
      </c>
      <c r="E1008" s="1076" t="s">
        <v>366</v>
      </c>
      <c r="F1008" s="49"/>
      <c r="G1008" s="49"/>
      <c r="H1008" s="49"/>
      <c r="I1008" s="49"/>
      <c r="J1008" s="49"/>
      <c r="K1008" s="49"/>
      <c r="L1008" s="49"/>
      <c r="M1008" s="49"/>
      <c r="N1008" s="49"/>
    </row>
    <row r="1009" ht="15.75" customHeight="1">
      <c r="A1009" s="49"/>
      <c r="B1009" s="1105" t="s">
        <v>311</v>
      </c>
      <c r="C1009" s="1106">
        <v>0.2</v>
      </c>
      <c r="D1009" s="1126">
        <f>(C1009*D1007)/C1007</f>
        <v>2.5</v>
      </c>
      <c r="E1009" s="1078" t="s">
        <v>366</v>
      </c>
      <c r="F1009" s="49"/>
      <c r="G1009" s="49"/>
      <c r="H1009" s="49"/>
      <c r="I1009" s="49"/>
      <c r="J1009" s="49"/>
      <c r="K1009" s="49"/>
      <c r="L1009" s="49"/>
      <c r="M1009" s="49"/>
      <c r="N1009" s="49"/>
    </row>
    <row r="1010" ht="15.75" customHeight="1">
      <c r="A1010" s="49"/>
      <c r="B1010" s="1108" t="s">
        <v>63</v>
      </c>
      <c r="C1010" s="1109">
        <v>15.0</v>
      </c>
      <c r="D1010" s="1128">
        <f>(C1010*D1009)/C1009</f>
        <v>187.5</v>
      </c>
      <c r="E1010" s="1111" t="s">
        <v>18</v>
      </c>
      <c r="F1010" s="49"/>
      <c r="G1010" s="49"/>
      <c r="H1010" s="49"/>
      <c r="I1010" s="49"/>
      <c r="J1010" s="49"/>
      <c r="K1010" s="49"/>
      <c r="L1010" s="49"/>
      <c r="M1010" s="49"/>
      <c r="N1010" s="49"/>
    </row>
    <row r="1011" ht="15.75" customHeight="1">
      <c r="A1011" s="49"/>
      <c r="B1011" s="105" t="s">
        <v>1244</v>
      </c>
      <c r="C1011" s="981">
        <v>15.0</v>
      </c>
      <c r="D1011" s="1130">
        <f t="shared" ref="D1011:D1013" si="86">(C1011*D1008)/C1008</f>
        <v>187.5</v>
      </c>
      <c r="E1011" s="1085" t="s">
        <v>18</v>
      </c>
      <c r="F1011" s="49"/>
      <c r="G1011" s="49"/>
      <c r="H1011" s="49"/>
      <c r="I1011" s="49"/>
      <c r="J1011" s="49"/>
      <c r="K1011" s="49"/>
      <c r="L1011" s="49"/>
      <c r="M1011" s="49"/>
      <c r="N1011" s="49"/>
    </row>
    <row r="1012" ht="15.75" customHeight="1">
      <c r="A1012" s="49"/>
      <c r="B1012" s="105" t="s">
        <v>52</v>
      </c>
      <c r="C1012" s="981">
        <v>5.0</v>
      </c>
      <c r="D1012" s="1130">
        <f t="shared" si="86"/>
        <v>62.5</v>
      </c>
      <c r="E1012" s="1085" t="s">
        <v>18</v>
      </c>
      <c r="F1012" s="49"/>
      <c r="G1012" s="49"/>
      <c r="H1012" s="49"/>
      <c r="I1012" s="49"/>
      <c r="J1012" s="49"/>
      <c r="K1012" s="49"/>
      <c r="L1012" s="49"/>
      <c r="M1012" s="49"/>
      <c r="N1012" s="49"/>
    </row>
    <row r="1013" ht="15.75" customHeight="1">
      <c r="A1013" s="49"/>
      <c r="B1013" s="119" t="s">
        <v>31</v>
      </c>
      <c r="C1013" s="1113">
        <v>30.0</v>
      </c>
      <c r="D1013" s="1131">
        <f t="shared" si="86"/>
        <v>375</v>
      </c>
      <c r="E1013" s="1084" t="s">
        <v>18</v>
      </c>
      <c r="F1013" s="49"/>
      <c r="G1013" s="49"/>
      <c r="H1013" s="49"/>
      <c r="I1013" s="49"/>
      <c r="J1013" s="49"/>
      <c r="K1013" s="49"/>
      <c r="L1013" s="49"/>
      <c r="M1013" s="49"/>
      <c r="N1013" s="49"/>
    </row>
    <row r="1014" ht="15.75" customHeight="1">
      <c r="A1014" s="49"/>
      <c r="B1014" s="93" t="s">
        <v>13</v>
      </c>
      <c r="C1014" s="992">
        <v>15.0</v>
      </c>
      <c r="D1014" s="1133">
        <f t="shared" ref="D1014:D1016" si="87">(C1014*D1012)/C1012</f>
        <v>187.5</v>
      </c>
      <c r="E1014" s="1078" t="s">
        <v>5</v>
      </c>
      <c r="F1014" s="49"/>
      <c r="G1014" s="49"/>
      <c r="H1014" s="49"/>
      <c r="I1014" s="49"/>
      <c r="J1014" s="49"/>
      <c r="K1014" s="49"/>
      <c r="L1014" s="49"/>
      <c r="M1014" s="49"/>
      <c r="N1014" s="49"/>
    </row>
    <row r="1015" ht="15.75" customHeight="1">
      <c r="A1015" s="49"/>
      <c r="B1015" s="93" t="s">
        <v>203</v>
      </c>
      <c r="C1015" s="992">
        <v>35.0</v>
      </c>
      <c r="D1015" s="1133">
        <f t="shared" si="87"/>
        <v>437.5</v>
      </c>
      <c r="E1015" s="1078" t="s">
        <v>14</v>
      </c>
      <c r="F1015" s="49"/>
      <c r="G1015" s="49"/>
      <c r="H1015" s="49"/>
      <c r="I1015" s="49"/>
      <c r="J1015" s="49"/>
      <c r="K1015" s="49"/>
      <c r="L1015" s="49"/>
      <c r="M1015" s="49"/>
      <c r="N1015" s="49"/>
    </row>
    <row r="1016" ht="15.75" customHeight="1">
      <c r="A1016" s="49"/>
      <c r="B1016" s="93" t="s">
        <v>822</v>
      </c>
      <c r="C1016" s="992">
        <v>35.0</v>
      </c>
      <c r="D1016" s="1133">
        <f t="shared" si="87"/>
        <v>437.5</v>
      </c>
      <c r="E1016" s="1078" t="s">
        <v>18</v>
      </c>
      <c r="F1016" s="49"/>
      <c r="G1016" s="49"/>
      <c r="H1016" s="49"/>
      <c r="I1016" s="49"/>
      <c r="J1016" s="49"/>
      <c r="K1016" s="49"/>
      <c r="L1016" s="49"/>
      <c r="M1016" s="49"/>
      <c r="N1016" s="49"/>
    </row>
    <row r="1017" ht="15.75" customHeight="1">
      <c r="A1017" s="49"/>
      <c r="B1017" s="93" t="s">
        <v>197</v>
      </c>
      <c r="C1017" s="992">
        <v>0.3</v>
      </c>
      <c r="D1017" s="1133">
        <f t="shared" ref="D1017:D1018" si="88">(C1017*D1016)/C1016</f>
        <v>3.75</v>
      </c>
      <c r="E1017" s="1078" t="s">
        <v>14</v>
      </c>
      <c r="F1017" s="49"/>
      <c r="G1017" s="49"/>
      <c r="H1017" s="49"/>
      <c r="I1017" s="49"/>
      <c r="J1017" s="49"/>
      <c r="K1017" s="49"/>
      <c r="L1017" s="49"/>
      <c r="M1017" s="49"/>
      <c r="N1017" s="49"/>
    </row>
    <row r="1018" ht="15.75" customHeight="1">
      <c r="A1018" s="49"/>
      <c r="B1018" s="105" t="s">
        <v>342</v>
      </c>
      <c r="C1018" s="1121">
        <v>8.6</v>
      </c>
      <c r="D1018" s="1133">
        <f t="shared" si="88"/>
        <v>107.5</v>
      </c>
      <c r="E1018" s="1082" t="s">
        <v>18</v>
      </c>
      <c r="F1018" s="49"/>
      <c r="G1018" s="49"/>
      <c r="H1018" s="49"/>
      <c r="I1018" s="49"/>
      <c r="J1018" s="49"/>
      <c r="K1018" s="49"/>
      <c r="L1018" s="49"/>
      <c r="M1018" s="49"/>
      <c r="N1018" s="49"/>
    </row>
    <row r="1019" ht="15.75" customHeight="1">
      <c r="A1019" s="49"/>
      <c r="B1019" s="302" t="s">
        <v>49</v>
      </c>
      <c r="C1019" s="260">
        <v>43586.0</v>
      </c>
      <c r="D1019" s="1"/>
      <c r="E1019" s="107"/>
      <c r="F1019" s="49"/>
      <c r="G1019" s="49"/>
      <c r="H1019" s="49"/>
      <c r="I1019" s="49"/>
      <c r="J1019" s="49"/>
      <c r="K1019" s="49"/>
      <c r="L1019" s="49"/>
      <c r="M1019" s="49"/>
      <c r="N1019" s="49"/>
    </row>
    <row r="1020" ht="15.75" customHeight="1">
      <c r="A1020" s="49"/>
      <c r="B1020" s="302" t="s">
        <v>50</v>
      </c>
      <c r="C1020" s="260">
        <v>43586.0</v>
      </c>
      <c r="D1020" s="558"/>
      <c r="E1020" s="49"/>
      <c r="F1020" s="49"/>
      <c r="G1020" s="49"/>
      <c r="H1020" s="49"/>
      <c r="I1020" s="49"/>
      <c r="J1020" s="49"/>
      <c r="K1020" s="49"/>
      <c r="L1020" s="49"/>
      <c r="M1020" s="49"/>
      <c r="N1020" s="49"/>
    </row>
    <row r="1021" ht="15.75" customHeight="1">
      <c r="A1021" s="49"/>
      <c r="B1021" s="299" t="s">
        <v>119</v>
      </c>
      <c r="C1021" s="183" t="s">
        <v>47</v>
      </c>
      <c r="D1021" s="558"/>
      <c r="E1021" s="49"/>
      <c r="F1021" s="49"/>
      <c r="G1021" s="49"/>
      <c r="H1021" s="49"/>
      <c r="I1021" s="49"/>
      <c r="J1021" s="49"/>
      <c r="K1021" s="49"/>
      <c r="L1021" s="49"/>
      <c r="M1021" s="49"/>
      <c r="N1021" s="49"/>
    </row>
    <row r="1022" ht="15.75" customHeight="1">
      <c r="A1022" s="49"/>
      <c r="B1022" s="49"/>
      <c r="C1022" s="49"/>
      <c r="D1022" s="558"/>
      <c r="E1022" s="49"/>
      <c r="F1022" s="49"/>
      <c r="G1022" s="49"/>
      <c r="H1022" s="49"/>
      <c r="I1022" s="49"/>
      <c r="J1022" s="49"/>
      <c r="K1022" s="49"/>
      <c r="L1022" s="49"/>
      <c r="M1022" s="49"/>
      <c r="N1022" s="49"/>
    </row>
    <row r="1023" ht="15.75" customHeight="1">
      <c r="A1023" s="49"/>
      <c r="B1023" s="49"/>
      <c r="C1023" s="49"/>
      <c r="D1023" s="558"/>
      <c r="E1023" s="49"/>
      <c r="F1023" s="49"/>
      <c r="G1023" s="49"/>
      <c r="H1023" s="49"/>
      <c r="I1023" s="49"/>
      <c r="J1023" s="49"/>
      <c r="K1023" s="49"/>
      <c r="L1023" s="49"/>
      <c r="M1023" s="49"/>
      <c r="N1023" s="49"/>
    </row>
    <row r="1024" ht="15.75" customHeight="1">
      <c r="A1024" s="49"/>
      <c r="B1024" s="927" t="s">
        <v>1266</v>
      </c>
      <c r="C1024" s="5"/>
      <c r="D1024" s="5"/>
      <c r="E1024" s="6"/>
      <c r="F1024" s="49"/>
      <c r="G1024" s="49"/>
      <c r="H1024" s="49"/>
      <c r="I1024" s="49"/>
      <c r="J1024" s="49"/>
      <c r="K1024" s="49"/>
      <c r="L1024" s="49"/>
      <c r="M1024" s="49"/>
      <c r="N1024" s="49"/>
    </row>
    <row r="1025" ht="15.75" customHeight="1">
      <c r="A1025" s="49"/>
      <c r="B1025" s="1144" t="s">
        <v>1267</v>
      </c>
      <c r="C1025" s="1146">
        <v>400.0</v>
      </c>
      <c r="D1025" s="145">
        <v>500.0</v>
      </c>
      <c r="E1025" s="1150" t="s">
        <v>1197</v>
      </c>
      <c r="F1025" s="49"/>
      <c r="G1025" s="49"/>
      <c r="H1025" s="49"/>
      <c r="I1025" s="49"/>
      <c r="J1025" s="49"/>
      <c r="K1025" s="49"/>
      <c r="L1025" s="49"/>
      <c r="M1025" s="49"/>
      <c r="N1025" s="49"/>
    </row>
    <row r="1026" ht="15.75" customHeight="1">
      <c r="A1026" s="49"/>
      <c r="B1026" s="1151" t="s">
        <v>1286</v>
      </c>
      <c r="C1026" s="1152">
        <v>180.0</v>
      </c>
      <c r="D1026" s="200">
        <f t="shared" ref="D1026:D1037" si="89">(C1026*D1025)/C1025</f>
        <v>225</v>
      </c>
      <c r="E1026" s="1150" t="s">
        <v>1197</v>
      </c>
      <c r="F1026" s="49"/>
      <c r="G1026" s="49"/>
      <c r="H1026" s="49"/>
      <c r="I1026" s="49"/>
      <c r="J1026" s="49"/>
      <c r="K1026" s="49"/>
      <c r="L1026" s="49"/>
      <c r="M1026" s="49"/>
      <c r="N1026" s="49"/>
    </row>
    <row r="1027" ht="15.75" customHeight="1">
      <c r="A1027" s="49"/>
      <c r="B1027" s="1153" t="s">
        <v>109</v>
      </c>
      <c r="C1027" s="1154">
        <v>12.0</v>
      </c>
      <c r="D1027" s="1155">
        <f t="shared" si="89"/>
        <v>15</v>
      </c>
      <c r="E1027" s="1156" t="s">
        <v>14</v>
      </c>
      <c r="F1027" s="49"/>
      <c r="G1027" s="49"/>
      <c r="H1027" s="49"/>
      <c r="I1027" s="49"/>
      <c r="J1027" s="49"/>
      <c r="K1027" s="49"/>
      <c r="L1027" s="49"/>
      <c r="M1027" s="49"/>
      <c r="N1027" s="49"/>
    </row>
    <row r="1028" ht="15.75" customHeight="1">
      <c r="A1028" s="49"/>
      <c r="B1028" s="1144" t="s">
        <v>1287</v>
      </c>
      <c r="C1028" s="145">
        <v>30.0</v>
      </c>
      <c r="D1028" s="975">
        <f t="shared" si="89"/>
        <v>37.5</v>
      </c>
      <c r="E1028" s="1157" t="s">
        <v>14</v>
      </c>
      <c r="F1028" s="49"/>
      <c r="G1028" s="49"/>
      <c r="H1028" s="49"/>
      <c r="I1028" s="49"/>
      <c r="J1028" s="49"/>
      <c r="K1028" s="49"/>
      <c r="L1028" s="49"/>
      <c r="M1028" s="49"/>
      <c r="N1028" s="49"/>
    </row>
    <row r="1029" ht="15.75" customHeight="1">
      <c r="A1029" s="49"/>
      <c r="B1029" s="898" t="s">
        <v>113</v>
      </c>
      <c r="C1029" s="195">
        <v>25.0</v>
      </c>
      <c r="D1029" s="40">
        <f t="shared" si="89"/>
        <v>31.25</v>
      </c>
      <c r="E1029" s="1158" t="s">
        <v>18</v>
      </c>
      <c r="F1029" s="49"/>
      <c r="G1029" s="49"/>
      <c r="H1029" s="49"/>
      <c r="I1029" s="49"/>
      <c r="J1029" s="49"/>
      <c r="K1029" s="49"/>
      <c r="L1029" s="49"/>
      <c r="M1029" s="49"/>
      <c r="N1029" s="49"/>
    </row>
    <row r="1030" ht="15.75" customHeight="1">
      <c r="A1030" s="49"/>
      <c r="B1030" s="898" t="s">
        <v>103</v>
      </c>
      <c r="C1030" s="195">
        <v>25.0</v>
      </c>
      <c r="D1030" s="40">
        <f t="shared" si="89"/>
        <v>31.25</v>
      </c>
      <c r="E1030" s="1158" t="s">
        <v>18</v>
      </c>
      <c r="F1030" s="49"/>
      <c r="G1030" s="49"/>
      <c r="H1030" s="49"/>
      <c r="I1030" s="49"/>
      <c r="J1030" s="49"/>
      <c r="K1030" s="49"/>
      <c r="L1030" s="49"/>
      <c r="M1030" s="49"/>
      <c r="N1030" s="49"/>
    </row>
    <row r="1031" ht="15.75" customHeight="1">
      <c r="A1031" s="49"/>
      <c r="B1031" s="898" t="s">
        <v>52</v>
      </c>
      <c r="C1031" s="195">
        <v>60.0</v>
      </c>
      <c r="D1031" s="40">
        <f t="shared" si="89"/>
        <v>75</v>
      </c>
      <c r="E1031" s="1158" t="s">
        <v>18</v>
      </c>
      <c r="F1031" s="49"/>
      <c r="G1031" s="49"/>
      <c r="H1031" s="49"/>
      <c r="I1031" s="49"/>
      <c r="J1031" s="49"/>
      <c r="K1031" s="49"/>
      <c r="L1031" s="49"/>
      <c r="M1031" s="49"/>
      <c r="N1031" s="49"/>
    </row>
    <row r="1032" ht="15.75" customHeight="1">
      <c r="A1032" s="49"/>
      <c r="B1032" s="898" t="s">
        <v>346</v>
      </c>
      <c r="C1032" s="195">
        <v>350.0</v>
      </c>
      <c r="D1032" s="40">
        <f t="shared" si="89"/>
        <v>437.5</v>
      </c>
      <c r="E1032" s="1158" t="s">
        <v>18</v>
      </c>
      <c r="F1032" s="49"/>
      <c r="G1032" s="49"/>
      <c r="H1032" s="49"/>
      <c r="I1032" s="49"/>
      <c r="J1032" s="49"/>
      <c r="K1032" s="49"/>
      <c r="L1032" s="49"/>
      <c r="M1032" s="49"/>
      <c r="N1032" s="49"/>
    </row>
    <row r="1033" ht="15.75" customHeight="1">
      <c r="A1033" s="49"/>
      <c r="B1033" s="898" t="s">
        <v>1289</v>
      </c>
      <c r="C1033" s="195">
        <v>150.0</v>
      </c>
      <c r="D1033" s="40">
        <f t="shared" si="89"/>
        <v>187.5</v>
      </c>
      <c r="E1033" s="1158" t="s">
        <v>18</v>
      </c>
      <c r="F1033" s="49"/>
      <c r="G1033" s="49"/>
      <c r="H1033" s="49"/>
      <c r="I1033" s="49"/>
      <c r="J1033" s="49"/>
      <c r="K1033" s="49"/>
      <c r="L1033" s="49"/>
      <c r="M1033" s="49"/>
      <c r="N1033" s="49"/>
    </row>
    <row r="1034" ht="15.75" customHeight="1">
      <c r="A1034" s="49"/>
      <c r="B1034" s="898" t="s">
        <v>124</v>
      </c>
      <c r="C1034" s="195">
        <v>140.0</v>
      </c>
      <c r="D1034" s="40">
        <f t="shared" si="89"/>
        <v>175</v>
      </c>
      <c r="E1034" s="1159" t="s">
        <v>18</v>
      </c>
      <c r="F1034" s="49"/>
      <c r="G1034" s="49"/>
      <c r="H1034" s="49"/>
      <c r="I1034" s="49"/>
      <c r="J1034" s="49"/>
      <c r="K1034" s="49"/>
      <c r="L1034" s="49"/>
      <c r="M1034" s="49"/>
      <c r="N1034" s="49"/>
    </row>
    <row r="1035" ht="15.75" customHeight="1">
      <c r="A1035" s="49"/>
      <c r="B1035" s="898" t="s">
        <v>31</v>
      </c>
      <c r="C1035" s="195">
        <v>550.0</v>
      </c>
      <c r="D1035" s="40">
        <f t="shared" si="89"/>
        <v>687.5</v>
      </c>
      <c r="E1035" s="1160" t="s">
        <v>18</v>
      </c>
      <c r="F1035" s="49"/>
      <c r="G1035" s="49"/>
      <c r="H1035" s="49"/>
      <c r="I1035" s="49"/>
      <c r="J1035" s="49"/>
      <c r="K1035" s="49"/>
      <c r="L1035" s="49"/>
      <c r="M1035" s="49"/>
      <c r="N1035" s="49"/>
    </row>
    <row r="1036" ht="15.75" customHeight="1">
      <c r="A1036" s="49"/>
      <c r="B1036" s="898" t="s">
        <v>112</v>
      </c>
      <c r="C1036" s="195">
        <v>200.0</v>
      </c>
      <c r="D1036" s="40">
        <f t="shared" si="89"/>
        <v>250</v>
      </c>
      <c r="E1036" s="1160" t="s">
        <v>18</v>
      </c>
      <c r="F1036" s="49"/>
      <c r="G1036" s="49"/>
      <c r="H1036" s="49"/>
      <c r="I1036" s="49"/>
      <c r="J1036" s="49"/>
      <c r="K1036" s="49"/>
      <c r="L1036" s="49"/>
      <c r="M1036" s="49"/>
      <c r="N1036" s="49"/>
    </row>
    <row r="1037" ht="15.75" customHeight="1">
      <c r="A1037" s="49"/>
      <c r="B1037" s="898" t="s">
        <v>1290</v>
      </c>
      <c r="C1037" s="195">
        <v>110.0</v>
      </c>
      <c r="D1037" s="40">
        <f t="shared" si="89"/>
        <v>137.5</v>
      </c>
      <c r="E1037" s="1160" t="s">
        <v>18</v>
      </c>
      <c r="F1037" s="49"/>
      <c r="G1037" s="49"/>
      <c r="H1037" s="49"/>
      <c r="I1037" s="49"/>
      <c r="J1037" s="49"/>
      <c r="K1037" s="49"/>
      <c r="L1037" s="49"/>
      <c r="M1037" s="49"/>
      <c r="N1037" s="49"/>
    </row>
    <row r="1038" ht="15.75" customHeight="1">
      <c r="A1038" s="49"/>
      <c r="B1038" s="898" t="s">
        <v>1068</v>
      </c>
      <c r="C1038" s="1161">
        <v>160.0</v>
      </c>
      <c r="D1038" s="40">
        <f t="shared" ref="D1038:D1039" si="90">(C1038*D1036)/C1036</f>
        <v>200</v>
      </c>
      <c r="E1038" s="1160" t="s">
        <v>82</v>
      </c>
      <c r="F1038" s="49"/>
      <c r="G1038" s="49"/>
      <c r="H1038" s="49"/>
      <c r="I1038" s="49"/>
      <c r="J1038" s="49"/>
      <c r="K1038" s="49"/>
      <c r="L1038" s="49"/>
      <c r="M1038" s="49"/>
      <c r="N1038" s="49"/>
    </row>
    <row r="1039" ht="15.75" customHeight="1">
      <c r="A1039" s="49"/>
      <c r="B1039" s="898" t="s">
        <v>335</v>
      </c>
      <c r="C1039" s="1161">
        <v>6.0</v>
      </c>
      <c r="D1039" s="40">
        <f t="shared" si="90"/>
        <v>7.5</v>
      </c>
      <c r="E1039" s="1160" t="s">
        <v>93</v>
      </c>
      <c r="F1039" s="49"/>
      <c r="G1039" s="49"/>
      <c r="H1039" s="49"/>
      <c r="I1039" s="49"/>
      <c r="J1039" s="49"/>
      <c r="K1039" s="49"/>
      <c r="L1039" s="49"/>
      <c r="M1039" s="49"/>
      <c r="N1039" s="49"/>
    </row>
    <row r="1040" ht="15.75" customHeight="1">
      <c r="A1040" s="49"/>
      <c r="B1040" s="1151" t="s">
        <v>1291</v>
      </c>
      <c r="C1040" s="1152">
        <v>8.0</v>
      </c>
      <c r="D1040" s="980">
        <f t="shared" ref="D1040:D1041" si="91">(C1040*D1039)/C1039</f>
        <v>10</v>
      </c>
      <c r="E1040" s="1162" t="s">
        <v>93</v>
      </c>
      <c r="F1040" s="49"/>
      <c r="G1040" s="49"/>
      <c r="H1040" s="49"/>
      <c r="I1040" s="49"/>
      <c r="J1040" s="49"/>
      <c r="K1040" s="49"/>
      <c r="L1040" s="49"/>
      <c r="M1040" s="49"/>
      <c r="N1040" s="49"/>
    </row>
    <row r="1041" ht="15.75" customHeight="1">
      <c r="A1041" s="49"/>
      <c r="B1041" s="1163" t="s">
        <v>1292</v>
      </c>
      <c r="C1041" s="1164">
        <v>3.0</v>
      </c>
      <c r="D1041" s="1165">
        <f t="shared" si="91"/>
        <v>3.75</v>
      </c>
      <c r="E1041" s="1166" t="s">
        <v>5</v>
      </c>
      <c r="F1041" s="49"/>
      <c r="G1041" s="49"/>
      <c r="H1041" s="49"/>
      <c r="I1041" s="49"/>
      <c r="J1041" s="49"/>
      <c r="K1041" s="49"/>
      <c r="L1041" s="49"/>
      <c r="M1041" s="49"/>
      <c r="N1041" s="49"/>
    </row>
    <row r="1042" ht="15.75" customHeight="1">
      <c r="A1042" s="49"/>
      <c r="B1042" s="302" t="s">
        <v>49</v>
      </c>
      <c r="C1042" s="260">
        <v>43297.0</v>
      </c>
      <c r="D1042" s="1"/>
      <c r="E1042" s="1"/>
      <c r="F1042" s="49"/>
      <c r="G1042" s="49"/>
      <c r="H1042" s="49"/>
      <c r="I1042" s="49"/>
      <c r="J1042" s="49"/>
      <c r="K1042" s="49"/>
      <c r="L1042" s="49"/>
      <c r="M1042" s="49"/>
      <c r="N1042" s="49"/>
    </row>
    <row r="1043" ht="15.75" customHeight="1">
      <c r="A1043" s="49"/>
      <c r="B1043" s="302" t="s">
        <v>50</v>
      </c>
      <c r="C1043" s="260">
        <v>43297.0</v>
      </c>
      <c r="D1043" s="1"/>
      <c r="E1043" s="1"/>
      <c r="F1043" s="49"/>
      <c r="G1043" s="49"/>
      <c r="H1043" s="49"/>
      <c r="I1043" s="49"/>
      <c r="J1043" s="49"/>
      <c r="K1043" s="49"/>
      <c r="L1043" s="49"/>
      <c r="M1043" s="49"/>
      <c r="N1043" s="49"/>
    </row>
    <row r="1044" ht="15.75" customHeight="1">
      <c r="A1044" s="49"/>
      <c r="B1044" s="299" t="s">
        <v>119</v>
      </c>
      <c r="C1044" s="183" t="s">
        <v>47</v>
      </c>
      <c r="D1044" s="558"/>
      <c r="E1044" s="49"/>
      <c r="F1044" s="49"/>
      <c r="G1044" s="49"/>
      <c r="H1044" s="49"/>
      <c r="I1044" s="49"/>
      <c r="J1044" s="49"/>
      <c r="K1044" s="49"/>
      <c r="L1044" s="49"/>
      <c r="M1044" s="49"/>
      <c r="N1044" s="49"/>
    </row>
    <row r="1045" ht="15.75" customHeight="1">
      <c r="A1045" s="49"/>
      <c r="B1045" s="49"/>
      <c r="C1045" s="49"/>
      <c r="D1045" s="558"/>
      <c r="E1045" s="49"/>
      <c r="F1045" s="49"/>
      <c r="G1045" s="49"/>
      <c r="H1045" s="49"/>
      <c r="I1045" s="49"/>
      <c r="J1045" s="49"/>
      <c r="K1045" s="49"/>
      <c r="L1045" s="49"/>
      <c r="M1045" s="49"/>
      <c r="N1045" s="49"/>
    </row>
    <row r="1046" ht="15.75" customHeight="1">
      <c r="A1046" s="49"/>
      <c r="B1046" s="49"/>
      <c r="C1046" s="49"/>
      <c r="D1046" s="558"/>
      <c r="E1046" s="49"/>
      <c r="F1046" s="49"/>
      <c r="G1046" s="49"/>
      <c r="H1046" s="49"/>
      <c r="I1046" s="49"/>
      <c r="J1046" s="49"/>
      <c r="K1046" s="49"/>
      <c r="L1046" s="49"/>
      <c r="M1046" s="49"/>
      <c r="N1046" s="49"/>
    </row>
    <row r="1047" ht="15.75" customHeight="1">
      <c r="A1047" s="49"/>
      <c r="B1047" s="1169" t="s">
        <v>902</v>
      </c>
      <c r="C1047" s="5"/>
      <c r="D1047" s="5"/>
      <c r="E1047" s="6"/>
      <c r="F1047" s="49"/>
      <c r="G1047" s="49"/>
      <c r="H1047" s="49"/>
      <c r="I1047" s="49"/>
      <c r="J1047" s="49"/>
      <c r="K1047" s="49"/>
      <c r="L1047" s="49"/>
      <c r="M1047" s="49"/>
      <c r="N1047" s="49"/>
    </row>
    <row r="1048" ht="15.75" customHeight="1">
      <c r="A1048" s="49"/>
      <c r="B1048" s="1171" t="s">
        <v>310</v>
      </c>
      <c r="C1048" s="545">
        <v>650.0</v>
      </c>
      <c r="D1048" s="275">
        <v>700.0</v>
      </c>
      <c r="E1048" s="1176" t="s">
        <v>9</v>
      </c>
      <c r="F1048" s="49"/>
      <c r="G1048" s="49"/>
      <c r="H1048" s="49"/>
      <c r="I1048" s="49"/>
      <c r="J1048" s="49"/>
      <c r="K1048" s="49"/>
      <c r="L1048" s="49"/>
      <c r="M1048" s="49"/>
      <c r="N1048" s="49"/>
    </row>
    <row r="1049" ht="15.75" customHeight="1">
      <c r="A1049" s="49"/>
      <c r="B1049" s="68" t="s">
        <v>1170</v>
      </c>
      <c r="C1049" s="516">
        <v>9.0</v>
      </c>
      <c r="D1049" s="975">
        <f t="shared" ref="D1049:D1053" si="92">(C1049*D1048)/C1048</f>
        <v>9.692307692</v>
      </c>
      <c r="E1049" s="1157" t="s">
        <v>14</v>
      </c>
      <c r="F1049" s="49"/>
      <c r="G1049" s="49"/>
      <c r="H1049" s="49"/>
      <c r="I1049" s="49"/>
      <c r="J1049" s="49"/>
      <c r="K1049" s="49"/>
      <c r="L1049" s="49"/>
      <c r="M1049" s="49"/>
      <c r="N1049" s="49"/>
    </row>
    <row r="1050" ht="15.75" customHeight="1">
      <c r="A1050" s="49"/>
      <c r="B1050" s="93" t="s">
        <v>1210</v>
      </c>
      <c r="C1050" s="521">
        <v>1.0</v>
      </c>
      <c r="D1050" s="40">
        <f t="shared" si="92"/>
        <v>1.076923077</v>
      </c>
      <c r="E1050" s="1158" t="s">
        <v>14</v>
      </c>
      <c r="F1050" s="49"/>
      <c r="G1050" s="49"/>
      <c r="H1050" s="49"/>
      <c r="I1050" s="49"/>
      <c r="J1050" s="49"/>
      <c r="K1050" s="49"/>
      <c r="L1050" s="49"/>
      <c r="M1050" s="49"/>
      <c r="N1050" s="49"/>
    </row>
    <row r="1051" ht="15.75" customHeight="1">
      <c r="A1051" s="49"/>
      <c r="B1051" s="105" t="s">
        <v>1302</v>
      </c>
      <c r="C1051" s="517">
        <v>0.05</v>
      </c>
      <c r="D1051" s="980">
        <f t="shared" si="92"/>
        <v>0.05384615385</v>
      </c>
      <c r="E1051" s="1182" t="s">
        <v>14</v>
      </c>
      <c r="F1051" s="49"/>
      <c r="G1051" s="49"/>
      <c r="H1051" s="49"/>
      <c r="I1051" s="49"/>
      <c r="J1051" s="49"/>
      <c r="K1051" s="49"/>
      <c r="L1051" s="49"/>
      <c r="M1051" s="49"/>
      <c r="N1051" s="49"/>
    </row>
    <row r="1052" ht="15.75" customHeight="1">
      <c r="A1052" s="49"/>
      <c r="B1052" s="119" t="s">
        <v>31</v>
      </c>
      <c r="C1052" s="519">
        <v>0.1</v>
      </c>
      <c r="D1052" s="982">
        <f t="shared" si="92"/>
        <v>0.1076923077</v>
      </c>
      <c r="E1052" s="1184" t="s">
        <v>18</v>
      </c>
      <c r="F1052" s="49"/>
      <c r="G1052" s="49"/>
      <c r="H1052" s="49"/>
      <c r="I1052" s="49"/>
      <c r="J1052" s="49"/>
      <c r="K1052" s="49"/>
      <c r="L1052" s="49"/>
      <c r="M1052" s="49"/>
      <c r="N1052" s="49"/>
    </row>
    <row r="1053" ht="15.75" customHeight="1">
      <c r="A1053" s="49"/>
      <c r="B1053" s="105" t="s">
        <v>1307</v>
      </c>
      <c r="C1053" s="517">
        <v>2.0</v>
      </c>
      <c r="D1053" s="980">
        <f t="shared" si="92"/>
        <v>2.153846154</v>
      </c>
      <c r="E1053" s="1182" t="s">
        <v>5</v>
      </c>
      <c r="F1053" s="49"/>
      <c r="G1053" s="49"/>
      <c r="H1053" s="49"/>
      <c r="I1053" s="49"/>
      <c r="J1053" s="49"/>
      <c r="K1053" s="49"/>
      <c r="L1053" s="49"/>
      <c r="M1053" s="49"/>
      <c r="N1053" s="49"/>
    </row>
    <row r="1054" ht="15.75" customHeight="1">
      <c r="A1054" s="49"/>
      <c r="B1054" s="302" t="s">
        <v>49</v>
      </c>
      <c r="C1054" s="260">
        <v>43297.0</v>
      </c>
      <c r="D1054" s="1"/>
      <c r="E1054" s="107"/>
      <c r="F1054" s="49"/>
      <c r="G1054" s="49"/>
      <c r="H1054" s="49"/>
      <c r="I1054" s="49"/>
      <c r="J1054" s="49"/>
      <c r="K1054" s="49"/>
      <c r="L1054" s="49"/>
      <c r="M1054" s="49"/>
      <c r="N1054" s="49"/>
    </row>
    <row r="1055" ht="15.75" customHeight="1">
      <c r="A1055" s="49"/>
      <c r="B1055" s="302" t="s">
        <v>50</v>
      </c>
      <c r="C1055" s="260">
        <v>43297.0</v>
      </c>
      <c r="D1055" s="558"/>
      <c r="E1055" s="49"/>
      <c r="F1055" s="49"/>
      <c r="G1055" s="49"/>
      <c r="H1055" s="49"/>
      <c r="I1055" s="49"/>
      <c r="J1055" s="49"/>
      <c r="K1055" s="49"/>
      <c r="L1055" s="49"/>
      <c r="M1055" s="49"/>
      <c r="N1055" s="49"/>
    </row>
    <row r="1056" ht="15.75" customHeight="1">
      <c r="A1056" s="49"/>
      <c r="B1056" s="299" t="s">
        <v>119</v>
      </c>
      <c r="C1056" s="183" t="s">
        <v>47</v>
      </c>
      <c r="D1056" s="558"/>
      <c r="E1056" s="49"/>
      <c r="F1056" s="49"/>
      <c r="G1056" s="49"/>
      <c r="H1056" s="49"/>
      <c r="I1056" s="49"/>
      <c r="J1056" s="49"/>
      <c r="K1056" s="49"/>
      <c r="L1056" s="49"/>
      <c r="M1056" s="49"/>
      <c r="N1056" s="49"/>
    </row>
    <row r="1057" ht="15.75" customHeight="1">
      <c r="A1057" s="49"/>
      <c r="B1057" s="49"/>
      <c r="C1057" s="49"/>
      <c r="D1057" s="558"/>
      <c r="E1057" s="49"/>
      <c r="F1057" s="49"/>
      <c r="G1057" s="49"/>
      <c r="H1057" s="49"/>
      <c r="I1057" s="49"/>
      <c r="J1057" s="49"/>
      <c r="K1057" s="49"/>
      <c r="L1057" s="49"/>
      <c r="M1057" s="49"/>
      <c r="N1057" s="49"/>
    </row>
    <row r="1058" ht="15.75" customHeight="1">
      <c r="A1058" s="49"/>
      <c r="B1058" s="577" t="s">
        <v>1311</v>
      </c>
      <c r="C1058" s="18"/>
      <c r="D1058" s="18"/>
      <c r="E1058" s="19"/>
      <c r="F1058" s="49"/>
      <c r="G1058" s="49"/>
      <c r="H1058" s="49"/>
      <c r="I1058" s="49"/>
      <c r="J1058" s="49"/>
      <c r="K1058" s="49"/>
      <c r="L1058" s="49"/>
      <c r="M1058" s="49"/>
      <c r="N1058" s="49"/>
    </row>
    <row r="1059" ht="15.75" customHeight="1">
      <c r="A1059" s="49"/>
      <c r="B1059" s="1171" t="s">
        <v>310</v>
      </c>
      <c r="C1059" s="545">
        <v>50.0</v>
      </c>
      <c r="D1059" s="275">
        <v>700.0</v>
      </c>
      <c r="E1059" s="1176" t="s">
        <v>9</v>
      </c>
      <c r="F1059" s="49"/>
      <c r="G1059" s="49"/>
      <c r="H1059" s="49"/>
      <c r="I1059" s="49"/>
      <c r="J1059" s="49"/>
      <c r="K1059" s="49"/>
      <c r="L1059" s="49"/>
      <c r="M1059" s="49"/>
      <c r="N1059" s="49"/>
    </row>
    <row r="1060" ht="15.75" customHeight="1">
      <c r="A1060" s="49"/>
      <c r="B1060" s="68" t="s">
        <v>1313</v>
      </c>
      <c r="C1060" s="516">
        <v>0.625</v>
      </c>
      <c r="D1060" s="975">
        <f t="shared" ref="D1060:D1064" si="93">(C1060*D1059)/C1059</f>
        <v>8.75</v>
      </c>
      <c r="E1060" s="1157" t="s">
        <v>366</v>
      </c>
      <c r="F1060" s="49"/>
      <c r="G1060" s="49"/>
      <c r="H1060" s="49"/>
      <c r="I1060" s="49"/>
      <c r="J1060" s="49"/>
      <c r="K1060" s="49"/>
      <c r="L1060" s="49"/>
      <c r="M1060" s="49"/>
      <c r="N1060" s="49"/>
    </row>
    <row r="1061" ht="15.75" customHeight="1">
      <c r="A1061" s="49"/>
      <c r="B1061" s="105" t="s">
        <v>1315</v>
      </c>
      <c r="C1061" s="517">
        <v>0.375</v>
      </c>
      <c r="D1061" s="980">
        <f t="shared" si="93"/>
        <v>5.25</v>
      </c>
      <c r="E1061" s="1182" t="s">
        <v>14</v>
      </c>
      <c r="F1061" s="49"/>
      <c r="G1061" s="49"/>
      <c r="H1061" s="49"/>
      <c r="I1061" s="49"/>
      <c r="J1061" s="49"/>
      <c r="K1061" s="49"/>
      <c r="L1061" s="49"/>
      <c r="M1061" s="49"/>
      <c r="N1061" s="49"/>
    </row>
    <row r="1062" ht="15.75" customHeight="1">
      <c r="A1062" s="49"/>
      <c r="B1062" s="119" t="s">
        <v>1316</v>
      </c>
      <c r="C1062" s="519">
        <v>1.0</v>
      </c>
      <c r="D1062" s="982">
        <f t="shared" si="93"/>
        <v>14</v>
      </c>
      <c r="E1062" s="1184" t="s">
        <v>5</v>
      </c>
      <c r="F1062" s="49"/>
      <c r="G1062" s="49"/>
      <c r="H1062" s="49"/>
      <c r="I1062" s="49"/>
      <c r="J1062" s="49"/>
      <c r="K1062" s="49"/>
      <c r="L1062" s="49"/>
      <c r="M1062" s="49"/>
      <c r="N1062" s="49"/>
    </row>
    <row r="1063" ht="15.75" customHeight="1">
      <c r="A1063" s="49"/>
      <c r="B1063" s="93" t="s">
        <v>1318</v>
      </c>
      <c r="C1063" s="521">
        <v>24.0</v>
      </c>
      <c r="D1063" s="40">
        <f t="shared" si="93"/>
        <v>336</v>
      </c>
      <c r="E1063" s="1158" t="s">
        <v>18</v>
      </c>
      <c r="F1063" s="49"/>
      <c r="G1063" s="49"/>
      <c r="H1063" s="49"/>
      <c r="I1063" s="49"/>
      <c r="J1063" s="49"/>
      <c r="K1063" s="49"/>
      <c r="L1063" s="49"/>
      <c r="M1063" s="49"/>
      <c r="N1063" s="49"/>
    </row>
    <row r="1064" ht="15.75" customHeight="1">
      <c r="A1064" s="49"/>
      <c r="B1064" s="105" t="s">
        <v>31</v>
      </c>
      <c r="C1064" s="517">
        <v>40.0</v>
      </c>
      <c r="D1064" s="980">
        <f t="shared" si="93"/>
        <v>560</v>
      </c>
      <c r="E1064" s="1182" t="s">
        <v>18</v>
      </c>
      <c r="F1064" s="49"/>
      <c r="G1064" s="49"/>
      <c r="H1064" s="49"/>
      <c r="I1064" s="49"/>
      <c r="J1064" s="49"/>
      <c r="K1064" s="49"/>
      <c r="L1064" s="49"/>
      <c r="M1064" s="49"/>
      <c r="N1064" s="49"/>
    </row>
    <row r="1065" ht="15.75" customHeight="1">
      <c r="A1065" s="49"/>
      <c r="B1065" s="299" t="s">
        <v>119</v>
      </c>
      <c r="C1065" s="183" t="s">
        <v>47</v>
      </c>
      <c r="D1065" s="558"/>
      <c r="E1065" s="49"/>
      <c r="F1065" s="49"/>
      <c r="G1065" s="49"/>
      <c r="H1065" s="49"/>
      <c r="I1065" s="49"/>
      <c r="J1065" s="49"/>
      <c r="K1065" s="49"/>
      <c r="L1065" s="49"/>
      <c r="M1065" s="49"/>
      <c r="N1065" s="49"/>
    </row>
    <row r="1066" ht="15.75" customHeight="1">
      <c r="A1066" s="49"/>
      <c r="B1066" s="49"/>
      <c r="C1066" s="49"/>
      <c r="D1066" s="558"/>
      <c r="E1066" s="49"/>
      <c r="F1066" s="49"/>
      <c r="G1066" s="49"/>
      <c r="H1066" s="49"/>
      <c r="I1066" s="49"/>
      <c r="J1066" s="49"/>
      <c r="K1066" s="49"/>
      <c r="L1066" s="49"/>
      <c r="M1066" s="49"/>
      <c r="N1066" s="49"/>
    </row>
    <row r="1067" ht="18.0" customHeight="1">
      <c r="A1067" s="49"/>
      <c r="B1067" s="49"/>
      <c r="C1067" s="49"/>
      <c r="D1067" s="558"/>
      <c r="E1067" s="49"/>
      <c r="F1067" s="49"/>
      <c r="G1067" s="49"/>
      <c r="H1067" s="49"/>
      <c r="I1067" s="49"/>
      <c r="J1067" s="49"/>
      <c r="K1067" s="49"/>
      <c r="L1067" s="49"/>
      <c r="M1067" s="49"/>
      <c r="N1067" s="49"/>
    </row>
    <row r="1068" ht="18.0" customHeight="1">
      <c r="A1068" s="49"/>
      <c r="B1068" s="49"/>
      <c r="C1068" s="49"/>
      <c r="D1068" s="558"/>
      <c r="E1068" s="49"/>
      <c r="F1068" s="49"/>
      <c r="G1068" s="49"/>
      <c r="H1068" s="49"/>
      <c r="I1068" s="49"/>
      <c r="J1068" s="49"/>
      <c r="K1068" s="49"/>
      <c r="L1068" s="49"/>
      <c r="M1068" s="49"/>
      <c r="N1068" s="49"/>
    </row>
    <row r="1069" ht="18.0" customHeight="1">
      <c r="A1069" s="49"/>
      <c r="B1069" s="49"/>
      <c r="C1069" s="49"/>
      <c r="D1069" s="558"/>
      <c r="E1069" s="49"/>
      <c r="F1069" s="49"/>
      <c r="G1069" s="49"/>
      <c r="H1069" s="49"/>
      <c r="I1069" s="49"/>
      <c r="J1069" s="49"/>
      <c r="K1069" s="49"/>
      <c r="L1069" s="49"/>
      <c r="M1069" s="49"/>
      <c r="N1069" s="49"/>
    </row>
    <row r="1070" ht="18.0" customHeight="1">
      <c r="A1070" s="49"/>
      <c r="B1070" s="49"/>
      <c r="C1070" s="49"/>
      <c r="D1070" s="558"/>
      <c r="E1070" s="49"/>
      <c r="F1070" s="49"/>
      <c r="G1070" s="49"/>
      <c r="H1070" s="49"/>
      <c r="I1070" s="49"/>
      <c r="J1070" s="49"/>
      <c r="K1070" s="49"/>
      <c r="L1070" s="49"/>
      <c r="M1070" s="49"/>
      <c r="N1070" s="49"/>
    </row>
    <row r="1071" ht="18.0" customHeight="1">
      <c r="A1071" s="49"/>
      <c r="B1071" s="49"/>
      <c r="C1071" s="49"/>
      <c r="D1071" s="558"/>
      <c r="E1071" s="49"/>
      <c r="F1071" s="49"/>
      <c r="G1071" s="49"/>
      <c r="H1071" s="49"/>
      <c r="I1071" s="49"/>
      <c r="J1071" s="49"/>
      <c r="K1071" s="49"/>
      <c r="L1071" s="49"/>
      <c r="M1071" s="49"/>
      <c r="N1071" s="49"/>
    </row>
    <row r="1072" ht="15.75" customHeight="1">
      <c r="A1072" s="49"/>
      <c r="B1072" s="511" t="s">
        <v>1330</v>
      </c>
      <c r="C1072" s="18"/>
      <c r="D1072" s="18"/>
      <c r="E1072" s="19"/>
      <c r="F1072" s="49"/>
      <c r="G1072" s="49"/>
      <c r="H1072" s="49"/>
      <c r="I1072" s="49"/>
      <c r="J1072" s="49"/>
      <c r="K1072" s="49"/>
      <c r="L1072" s="49"/>
      <c r="M1072" s="49"/>
      <c r="N1072" s="49"/>
    </row>
    <row r="1073" ht="15.75" customHeight="1">
      <c r="A1073" s="49"/>
      <c r="B1073" s="512" t="s">
        <v>310</v>
      </c>
      <c r="C1073" s="190">
        <v>30.0</v>
      </c>
      <c r="D1073" s="53">
        <v>1500.0</v>
      </c>
      <c r="E1073" s="514" t="s">
        <v>9</v>
      </c>
      <c r="F1073" s="49"/>
      <c r="G1073" s="49"/>
      <c r="H1073" s="49"/>
      <c r="I1073" s="49"/>
      <c r="J1073" s="49"/>
      <c r="K1073" s="49"/>
      <c r="L1073" s="49"/>
      <c r="M1073" s="49"/>
      <c r="N1073" s="49"/>
    </row>
    <row r="1074" ht="15.75" customHeight="1">
      <c r="A1074" s="49"/>
      <c r="B1074" s="68" t="s">
        <v>338</v>
      </c>
      <c r="C1074" s="975">
        <v>0.3</v>
      </c>
      <c r="D1074" s="976">
        <f t="shared" ref="D1074:D1075" si="94">(C1074*D1073)/C1073</f>
        <v>15</v>
      </c>
      <c r="E1074" s="216" t="s">
        <v>14</v>
      </c>
      <c r="F1074" s="49"/>
      <c r="G1074" s="49"/>
      <c r="H1074" s="49"/>
      <c r="I1074" s="49"/>
      <c r="J1074" s="49"/>
      <c r="K1074" s="49"/>
      <c r="L1074" s="49"/>
      <c r="M1074" s="49"/>
      <c r="N1074" s="49"/>
    </row>
    <row r="1075" ht="15.75" customHeight="1">
      <c r="A1075" s="49"/>
      <c r="B1075" s="68" t="s">
        <v>1336</v>
      </c>
      <c r="C1075" s="975">
        <v>0.15</v>
      </c>
      <c r="D1075" s="976">
        <f t="shared" si="94"/>
        <v>7.5</v>
      </c>
      <c r="E1075" s="216" t="s">
        <v>14</v>
      </c>
      <c r="F1075" s="49"/>
      <c r="G1075" s="49"/>
      <c r="H1075" s="49"/>
      <c r="I1075" s="49"/>
      <c r="J1075" s="49"/>
      <c r="K1075" s="49"/>
      <c r="L1075" s="49"/>
      <c r="M1075" s="49"/>
      <c r="N1075" s="49"/>
    </row>
    <row r="1076" ht="15.75" customHeight="1">
      <c r="A1076" s="49"/>
      <c r="B1076" s="105" t="s">
        <v>357</v>
      </c>
      <c r="C1076" s="980">
        <v>0.1</v>
      </c>
      <c r="D1076" s="981">
        <f>(C1076*D1074)/C1074</f>
        <v>5</v>
      </c>
      <c r="E1076" s="518" t="s">
        <v>14</v>
      </c>
      <c r="F1076" s="49"/>
      <c r="G1076" s="49"/>
      <c r="H1076" s="49"/>
      <c r="I1076" s="49"/>
      <c r="J1076" s="49"/>
      <c r="K1076" s="49"/>
      <c r="L1076" s="49"/>
      <c r="M1076" s="49"/>
      <c r="N1076" s="49"/>
    </row>
    <row r="1077" ht="15.75" customHeight="1">
      <c r="A1077" s="49"/>
      <c r="B1077" s="119" t="s">
        <v>314</v>
      </c>
      <c r="C1077" s="982">
        <f>SUM(C1074:C1076)</f>
        <v>0.55</v>
      </c>
      <c r="D1077" s="985">
        <f>(C1077*D1076)/C1076</f>
        <v>27.5</v>
      </c>
      <c r="E1077" s="520" t="s">
        <v>14</v>
      </c>
      <c r="F1077" s="49"/>
      <c r="G1077" s="49"/>
      <c r="H1077" s="49"/>
      <c r="I1077" s="49"/>
      <c r="J1077" s="49"/>
      <c r="K1077" s="49"/>
      <c r="L1077" s="49"/>
      <c r="M1077" s="49"/>
      <c r="N1077" s="49"/>
    </row>
    <row r="1078" ht="15.75" customHeight="1">
      <c r="A1078" s="49"/>
      <c r="B1078" s="93" t="s">
        <v>1340</v>
      </c>
      <c r="C1078" s="40">
        <v>5.0</v>
      </c>
      <c r="D1078" s="992">
        <f t="shared" ref="D1078:D1079" si="95">(C1078*D1076)/C1076</f>
        <v>250</v>
      </c>
      <c r="E1078" s="249" t="s">
        <v>18</v>
      </c>
      <c r="F1078" s="49"/>
      <c r="G1078" s="49"/>
      <c r="H1078" s="49"/>
      <c r="I1078" s="49"/>
      <c r="J1078" s="49"/>
      <c r="K1078" s="49"/>
      <c r="L1078" s="49"/>
      <c r="M1078" s="49"/>
      <c r="N1078" s="49"/>
    </row>
    <row r="1079" ht="15.75" customHeight="1">
      <c r="A1079" s="49"/>
      <c r="B1079" s="93" t="s">
        <v>315</v>
      </c>
      <c r="C1079" s="40">
        <v>6.0</v>
      </c>
      <c r="D1079" s="992">
        <f t="shared" si="95"/>
        <v>300</v>
      </c>
      <c r="E1079" s="249" t="s">
        <v>18</v>
      </c>
      <c r="F1079" s="49"/>
      <c r="G1079" s="49"/>
      <c r="H1079" s="49"/>
      <c r="I1079" s="49"/>
      <c r="J1079" s="49"/>
      <c r="K1079" s="49"/>
      <c r="L1079" s="49"/>
      <c r="M1079" s="49"/>
      <c r="N1079" s="49"/>
    </row>
    <row r="1080" ht="15.75" customHeight="1">
      <c r="A1080" s="49"/>
      <c r="B1080" s="105" t="s">
        <v>31</v>
      </c>
      <c r="C1080" s="980">
        <v>77.0</v>
      </c>
      <c r="D1080" s="981">
        <f>(C1080*D1079)/C1079</f>
        <v>3850</v>
      </c>
      <c r="E1080" s="518" t="s">
        <v>18</v>
      </c>
      <c r="F1080" s="49"/>
      <c r="G1080" s="49"/>
      <c r="H1080" s="49"/>
      <c r="I1080" s="49"/>
      <c r="J1080" s="49"/>
      <c r="K1080" s="49"/>
      <c r="L1080" s="49"/>
      <c r="M1080" s="49"/>
      <c r="N1080" s="49"/>
    </row>
    <row r="1081" ht="15.75" customHeight="1">
      <c r="A1081" s="49"/>
      <c r="B1081" s="302" t="s">
        <v>49</v>
      </c>
      <c r="C1081" s="260">
        <v>43283.0</v>
      </c>
      <c r="D1081" s="1"/>
      <c r="E1081" s="49" t="s">
        <v>264</v>
      </c>
      <c r="F1081" s="49"/>
      <c r="G1081" s="49"/>
      <c r="H1081" s="49"/>
      <c r="I1081" s="49"/>
      <c r="J1081" s="49"/>
      <c r="K1081" s="49"/>
      <c r="L1081" s="49"/>
      <c r="M1081" s="49"/>
      <c r="N1081" s="49"/>
    </row>
    <row r="1082" ht="15.75" customHeight="1">
      <c r="A1082" s="49"/>
      <c r="B1082" s="302" t="s">
        <v>50</v>
      </c>
      <c r="C1082" s="260">
        <v>43283.0</v>
      </c>
      <c r="D1082" s="1"/>
      <c r="E1082" s="107"/>
      <c r="F1082" s="49"/>
      <c r="G1082" s="49"/>
      <c r="H1082" s="49"/>
      <c r="I1082" s="49"/>
      <c r="J1082" s="49"/>
      <c r="K1082" s="49"/>
      <c r="L1082" s="49"/>
      <c r="M1082" s="49"/>
      <c r="N1082" s="49"/>
    </row>
    <row r="1083" ht="15.75" customHeight="1">
      <c r="A1083" s="49"/>
      <c r="B1083" s="299" t="s">
        <v>119</v>
      </c>
      <c r="C1083" s="183" t="s">
        <v>47</v>
      </c>
      <c r="D1083" s="558"/>
      <c r="E1083" s="49"/>
      <c r="F1083" s="49"/>
      <c r="G1083" s="49"/>
      <c r="H1083" s="49"/>
      <c r="I1083" s="49"/>
      <c r="J1083" s="49"/>
      <c r="K1083" s="49"/>
      <c r="L1083" s="49"/>
      <c r="M1083" s="49"/>
      <c r="N1083" s="49"/>
    </row>
    <row r="1084" ht="15.75" customHeight="1">
      <c r="A1084" s="49"/>
      <c r="B1084" s="49"/>
      <c r="C1084" s="49"/>
      <c r="D1084" s="558"/>
      <c r="E1084" s="49"/>
      <c r="F1084" s="49"/>
      <c r="G1084" s="49"/>
      <c r="H1084" s="49"/>
      <c r="I1084" s="49"/>
      <c r="J1084" s="49"/>
      <c r="K1084" s="49"/>
      <c r="L1084" s="49"/>
      <c r="M1084" s="49"/>
      <c r="N1084" s="49"/>
    </row>
    <row r="1085" ht="15.75" customHeight="1">
      <c r="A1085" s="49"/>
      <c r="B1085" s="511" t="s">
        <v>1344</v>
      </c>
      <c r="C1085" s="18"/>
      <c r="D1085" s="18"/>
      <c r="E1085" s="19"/>
      <c r="F1085" s="49"/>
      <c r="G1085" s="49"/>
      <c r="H1085" s="49"/>
      <c r="I1085" s="49"/>
      <c r="J1085" s="49"/>
      <c r="K1085" s="49"/>
      <c r="L1085" s="49"/>
      <c r="M1085" s="49"/>
      <c r="N1085" s="49"/>
    </row>
    <row r="1086" ht="15.75" customHeight="1">
      <c r="A1086" s="49"/>
      <c r="B1086" s="512" t="s">
        <v>310</v>
      </c>
      <c r="C1086" s="190">
        <v>30.0</v>
      </c>
      <c r="D1086" s="53">
        <v>1000.0</v>
      </c>
      <c r="E1086" s="514" t="s">
        <v>9</v>
      </c>
      <c r="F1086" s="49"/>
      <c r="G1086" s="49"/>
      <c r="H1086" s="49"/>
      <c r="I1086" s="49"/>
      <c r="J1086" s="49"/>
      <c r="K1086" s="49"/>
      <c r="L1086" s="49"/>
      <c r="M1086" s="49"/>
      <c r="N1086" s="49"/>
    </row>
    <row r="1087" ht="15.75" customHeight="1">
      <c r="A1087" s="49"/>
      <c r="B1087" s="68" t="s">
        <v>1346</v>
      </c>
      <c r="C1087" s="975">
        <v>0.3</v>
      </c>
      <c r="D1087" s="976">
        <f>(C1087*D1086)/C1086</f>
        <v>10</v>
      </c>
      <c r="E1087" s="216" t="s">
        <v>14</v>
      </c>
      <c r="F1087" s="49"/>
      <c r="G1087" s="49"/>
      <c r="H1087" s="49"/>
      <c r="I1087" s="49"/>
      <c r="J1087" s="49"/>
      <c r="K1087" s="49"/>
      <c r="L1087" s="49"/>
      <c r="M1087" s="49"/>
      <c r="N1087" s="49"/>
    </row>
    <row r="1088" ht="15.75" customHeight="1">
      <c r="A1088" s="49"/>
      <c r="B1088" s="68" t="s">
        <v>1347</v>
      </c>
      <c r="C1088" s="975">
        <v>0.08</v>
      </c>
      <c r="D1088" s="976">
        <f>C1088*D1087/C1087</f>
        <v>2.666666667</v>
      </c>
      <c r="E1088" s="216" t="s">
        <v>366</v>
      </c>
      <c r="F1088" s="49"/>
      <c r="G1088" s="49"/>
      <c r="H1088" s="49"/>
      <c r="I1088" s="49"/>
      <c r="J1088" s="49"/>
      <c r="K1088" s="49"/>
      <c r="L1088" s="49"/>
      <c r="M1088" s="49"/>
      <c r="N1088" s="49"/>
    </row>
    <row r="1089" ht="15.75" customHeight="1">
      <c r="A1089" s="49"/>
      <c r="B1089" s="68" t="s">
        <v>1336</v>
      </c>
      <c r="C1089" s="975">
        <v>0.08</v>
      </c>
      <c r="D1089" s="976">
        <f>(C1089*D1087)/C1087</f>
        <v>2.666666667</v>
      </c>
      <c r="E1089" s="216" t="s">
        <v>14</v>
      </c>
      <c r="F1089" s="49"/>
      <c r="G1089" s="49"/>
      <c r="H1089" s="49"/>
      <c r="I1089" s="49"/>
      <c r="J1089" s="49"/>
      <c r="K1089" s="49"/>
      <c r="L1089" s="49"/>
      <c r="M1089" s="49"/>
      <c r="N1089" s="49"/>
    </row>
    <row r="1090" ht="15.75" customHeight="1">
      <c r="A1090" s="49"/>
      <c r="B1090" s="105" t="s">
        <v>357</v>
      </c>
      <c r="C1090" s="980">
        <v>0.09</v>
      </c>
      <c r="D1090" s="981">
        <f>(C1090*D1087)/C1087</f>
        <v>3</v>
      </c>
      <c r="E1090" s="518" t="s">
        <v>14</v>
      </c>
      <c r="F1090" s="49"/>
      <c r="G1090" s="49"/>
      <c r="H1090" s="49"/>
      <c r="I1090" s="49"/>
      <c r="J1090" s="49"/>
      <c r="K1090" s="49"/>
      <c r="L1090" s="49"/>
      <c r="M1090" s="49"/>
      <c r="N1090" s="49"/>
    </row>
    <row r="1091" ht="15.75" customHeight="1">
      <c r="A1091" s="49"/>
      <c r="B1091" s="119" t="s">
        <v>314</v>
      </c>
      <c r="C1091" s="982">
        <f>SUM(C1087:C1090)</f>
        <v>0.55</v>
      </c>
      <c r="D1091" s="985">
        <f>(C1091*D1090)/C1090</f>
        <v>18.33333333</v>
      </c>
      <c r="E1091" s="520" t="s">
        <v>14</v>
      </c>
      <c r="F1091" s="49"/>
      <c r="G1091" s="49"/>
      <c r="H1091" s="49"/>
      <c r="I1091" s="49"/>
      <c r="J1091" s="49"/>
      <c r="K1091" s="49"/>
      <c r="L1091" s="49"/>
      <c r="M1091" s="49"/>
      <c r="N1091" s="49"/>
    </row>
    <row r="1092" ht="15.75" customHeight="1">
      <c r="A1092" s="49"/>
      <c r="B1092" s="93" t="s">
        <v>1340</v>
      </c>
      <c r="C1092" s="40">
        <v>5.0</v>
      </c>
      <c r="D1092" s="992">
        <f t="shared" ref="D1092:D1093" si="96">(C1092*D1090)/C1090</f>
        <v>166.6666667</v>
      </c>
      <c r="E1092" s="249" t="s">
        <v>18</v>
      </c>
      <c r="F1092" s="49"/>
      <c r="G1092" s="49"/>
      <c r="H1092" s="49"/>
      <c r="I1092" s="49"/>
      <c r="J1092" s="49"/>
      <c r="K1092" s="49"/>
      <c r="L1092" s="49"/>
      <c r="M1092" s="49"/>
      <c r="N1092" s="49"/>
    </row>
    <row r="1093" ht="15.75" customHeight="1">
      <c r="A1093" s="49"/>
      <c r="B1093" s="93" t="s">
        <v>315</v>
      </c>
      <c r="C1093" s="40">
        <v>6.0</v>
      </c>
      <c r="D1093" s="992">
        <f t="shared" si="96"/>
        <v>200</v>
      </c>
      <c r="E1093" s="249" t="s">
        <v>18</v>
      </c>
      <c r="F1093" s="49"/>
      <c r="G1093" s="49"/>
      <c r="H1093" s="49"/>
      <c r="I1093" s="49"/>
      <c r="J1093" s="49"/>
      <c r="K1093" s="49"/>
      <c r="L1093" s="49"/>
      <c r="M1093" s="49"/>
      <c r="N1093" s="49"/>
    </row>
    <row r="1094" ht="15.75" customHeight="1">
      <c r="A1094" s="49"/>
      <c r="B1094" s="105" t="s">
        <v>31</v>
      </c>
      <c r="C1094" s="980">
        <v>35.0</v>
      </c>
      <c r="D1094" s="981">
        <f>(C1094*D1093)/C1093</f>
        <v>1166.666667</v>
      </c>
      <c r="E1094" s="518" t="s">
        <v>18</v>
      </c>
      <c r="F1094" s="49"/>
      <c r="G1094" s="49"/>
      <c r="H1094" s="49"/>
      <c r="I1094" s="49"/>
      <c r="J1094" s="49"/>
      <c r="K1094" s="49"/>
      <c r="L1094" s="49"/>
      <c r="M1094" s="49"/>
      <c r="N1094" s="49"/>
    </row>
    <row r="1095" ht="15.75" customHeight="1">
      <c r="A1095" s="49"/>
      <c r="B1095" s="173" t="s">
        <v>1351</v>
      </c>
      <c r="C1095" s="1201"/>
      <c r="D1095" s="1201">
        <v>4.0</v>
      </c>
      <c r="E1095" s="373" t="s">
        <v>1353</v>
      </c>
      <c r="F1095" s="49" t="s">
        <v>1354</v>
      </c>
      <c r="G1095" s="49"/>
      <c r="H1095" s="49"/>
      <c r="I1095" s="49"/>
      <c r="J1095" s="49"/>
      <c r="K1095" s="49"/>
      <c r="L1095" s="49"/>
      <c r="M1095" s="49"/>
      <c r="N1095" s="49"/>
    </row>
    <row r="1096" ht="18.0" customHeight="1">
      <c r="A1096" s="49"/>
      <c r="B1096" s="173" t="s">
        <v>1355</v>
      </c>
      <c r="C1096" s="1201"/>
      <c r="D1096" s="1201">
        <v>3.0</v>
      </c>
      <c r="E1096" s="373" t="s">
        <v>351</v>
      </c>
      <c r="F1096" s="49" t="s">
        <v>1354</v>
      </c>
      <c r="G1096" s="49"/>
      <c r="H1096" s="49"/>
      <c r="I1096" s="49"/>
      <c r="J1096" s="49"/>
      <c r="K1096" s="49"/>
      <c r="L1096" s="49"/>
      <c r="M1096" s="49"/>
      <c r="N1096" s="49"/>
    </row>
    <row r="1097" ht="18.0" customHeight="1">
      <c r="A1097" s="49"/>
      <c r="B1097" s="302" t="s">
        <v>49</v>
      </c>
      <c r="C1097" s="260">
        <v>43588.0</v>
      </c>
      <c r="D1097" s="558"/>
      <c r="E1097" s="49"/>
      <c r="F1097" s="49"/>
      <c r="G1097" s="49"/>
      <c r="H1097" s="49"/>
      <c r="I1097" s="49"/>
      <c r="J1097" s="49"/>
      <c r="K1097" s="49"/>
      <c r="L1097" s="49"/>
      <c r="M1097" s="49"/>
      <c r="N1097" s="49"/>
    </row>
    <row r="1098" ht="18.0" customHeight="1">
      <c r="A1098" s="49"/>
      <c r="B1098" s="302" t="s">
        <v>50</v>
      </c>
      <c r="C1098" s="260"/>
      <c r="D1098" s="558"/>
      <c r="E1098" s="49"/>
      <c r="F1098" s="49"/>
      <c r="G1098" s="49"/>
      <c r="H1098" s="49"/>
      <c r="I1098" s="49"/>
      <c r="J1098" s="49"/>
      <c r="K1098" s="49"/>
      <c r="L1098" s="49"/>
      <c r="M1098" s="49"/>
      <c r="N1098" s="49"/>
    </row>
    <row r="1099" ht="18.0" customHeight="1">
      <c r="A1099" s="49"/>
      <c r="B1099" s="299" t="s">
        <v>119</v>
      </c>
      <c r="C1099" s="183" t="s">
        <v>47</v>
      </c>
      <c r="D1099" s="558"/>
      <c r="E1099" s="49"/>
      <c r="F1099" s="49"/>
      <c r="G1099" s="49"/>
      <c r="H1099" s="49"/>
      <c r="I1099" s="49"/>
      <c r="J1099" s="49"/>
      <c r="K1099" s="49"/>
      <c r="L1099" s="49"/>
      <c r="M1099" s="49"/>
      <c r="N1099" s="49"/>
    </row>
    <row r="1100" ht="18.0" customHeight="1">
      <c r="A1100" s="49"/>
      <c r="B1100" s="49"/>
      <c r="C1100" s="49"/>
      <c r="D1100" s="558"/>
      <c r="E1100" s="49"/>
      <c r="F1100" s="49"/>
      <c r="G1100" s="49"/>
      <c r="H1100" s="49"/>
      <c r="I1100" s="49"/>
      <c r="J1100" s="49"/>
      <c r="K1100" s="49"/>
      <c r="L1100" s="49"/>
      <c r="M1100" s="49"/>
      <c r="N1100" s="49"/>
    </row>
    <row r="1101" ht="18.0" customHeight="1">
      <c r="A1101" s="49"/>
      <c r="B1101" s="49"/>
      <c r="C1101" s="49"/>
      <c r="D1101" s="558"/>
      <c r="E1101" s="49"/>
      <c r="F1101" s="49"/>
      <c r="G1101" s="49"/>
      <c r="H1101" s="49"/>
      <c r="I1101" s="49"/>
      <c r="J1101" s="49"/>
      <c r="K1101" s="49"/>
      <c r="L1101" s="49"/>
      <c r="M1101" s="49"/>
      <c r="N1101" s="49"/>
    </row>
    <row r="1102" ht="18.0" customHeight="1">
      <c r="A1102" s="49"/>
      <c r="B1102" s="1086" t="s">
        <v>1357</v>
      </c>
      <c r="C1102" s="18"/>
      <c r="D1102" s="18"/>
      <c r="E1102" s="19"/>
      <c r="F1102" s="49"/>
      <c r="G1102" s="49"/>
      <c r="H1102" s="49"/>
      <c r="I1102" s="49"/>
      <c r="J1102" s="49"/>
      <c r="K1102" s="49"/>
      <c r="L1102" s="49"/>
      <c r="M1102" s="49"/>
      <c r="N1102" s="49"/>
    </row>
    <row r="1103" ht="18.0" customHeight="1">
      <c r="A1103" s="49"/>
      <c r="B1103" s="173" t="s">
        <v>1</v>
      </c>
      <c r="C1103" s="1207">
        <v>70.0</v>
      </c>
      <c r="D1103" s="1072">
        <v>28.0</v>
      </c>
      <c r="E1103" s="1073" t="s">
        <v>1208</v>
      </c>
      <c r="F1103" s="49"/>
      <c r="G1103" s="49"/>
      <c r="H1103" s="49"/>
      <c r="I1103" s="49"/>
      <c r="J1103" s="49"/>
      <c r="K1103" s="49"/>
      <c r="L1103" s="49"/>
      <c r="M1103" s="49"/>
      <c r="N1103" s="49"/>
    </row>
    <row r="1104" ht="18.0" customHeight="1">
      <c r="A1104" s="49"/>
      <c r="B1104" s="553" t="s">
        <v>1359</v>
      </c>
      <c r="C1104" s="145">
        <v>2.5</v>
      </c>
      <c r="D1104" s="1074">
        <f>(C1104*D1103)/C1103</f>
        <v>1</v>
      </c>
      <c r="E1104" s="1157" t="s">
        <v>366</v>
      </c>
      <c r="F1104" s="49"/>
      <c r="G1104" s="49"/>
      <c r="H1104" s="49"/>
      <c r="I1104" s="49"/>
      <c r="J1104" s="49"/>
      <c r="K1104" s="49"/>
      <c r="L1104" s="49"/>
      <c r="M1104" s="49"/>
      <c r="N1104" s="49"/>
    </row>
    <row r="1105" ht="18.0" customHeight="1">
      <c r="A1105" s="49"/>
      <c r="B1105" s="555" t="s">
        <v>1361</v>
      </c>
      <c r="C1105" s="200">
        <v>0.5</v>
      </c>
      <c r="D1105" s="1081">
        <f>(C1105*D1103)/C1103</f>
        <v>0.2</v>
      </c>
      <c r="E1105" s="1182" t="s">
        <v>366</v>
      </c>
      <c r="F1105" s="49"/>
      <c r="G1105" s="49"/>
      <c r="H1105" s="49"/>
      <c r="I1105" s="49"/>
      <c r="J1105" s="49"/>
      <c r="K1105" s="49"/>
      <c r="L1105" s="49"/>
      <c r="M1105" s="49"/>
      <c r="N1105" s="49"/>
    </row>
    <row r="1106" ht="18.0" customHeight="1">
      <c r="A1106" s="49"/>
      <c r="B1106" s="553" t="s">
        <v>103</v>
      </c>
      <c r="C1106" s="145">
        <v>0.25</v>
      </c>
      <c r="D1106" s="1074">
        <f>(C1106*D1105)/C1105</f>
        <v>0.1</v>
      </c>
      <c r="E1106" s="1157" t="s">
        <v>1364</v>
      </c>
      <c r="F1106" s="49"/>
      <c r="G1106" s="49"/>
      <c r="H1106" s="49"/>
      <c r="I1106" s="49"/>
      <c r="J1106" s="49"/>
      <c r="K1106" s="49"/>
      <c r="L1106" s="49"/>
      <c r="M1106" s="49"/>
      <c r="N1106" s="49"/>
    </row>
    <row r="1107" ht="18.0" customHeight="1">
      <c r="A1107" s="49"/>
      <c r="B1107" s="554" t="s">
        <v>1365</v>
      </c>
      <c r="C1107" s="195">
        <v>0.5</v>
      </c>
      <c r="D1107" s="1077">
        <f t="shared" ref="D1107:D1109" si="97">(C1107*D1104)/C1104</f>
        <v>0.2</v>
      </c>
      <c r="E1107" s="1158" t="s">
        <v>1364</v>
      </c>
      <c r="F1107" s="49"/>
      <c r="G1107" s="49"/>
      <c r="H1107" s="49"/>
      <c r="I1107" s="49"/>
      <c r="J1107" s="49"/>
      <c r="K1107" s="49"/>
      <c r="L1107" s="49"/>
      <c r="M1107" s="49"/>
      <c r="N1107" s="49"/>
    </row>
    <row r="1108" ht="18.0" customHeight="1">
      <c r="A1108" s="49"/>
      <c r="B1108" s="554" t="s">
        <v>31</v>
      </c>
      <c r="C1108" s="195">
        <v>0.4</v>
      </c>
      <c r="D1108" s="1077">
        <f t="shared" si="97"/>
        <v>0.16</v>
      </c>
      <c r="E1108" s="1158" t="s">
        <v>1364</v>
      </c>
      <c r="F1108" s="49"/>
      <c r="G1108" s="49"/>
      <c r="H1108" s="49"/>
      <c r="I1108" s="49"/>
      <c r="J1108" s="49"/>
      <c r="K1108" s="49"/>
      <c r="L1108" s="49"/>
      <c r="M1108" s="49"/>
      <c r="N1108" s="49"/>
    </row>
    <row r="1109" ht="18.0" customHeight="1">
      <c r="A1109" s="49"/>
      <c r="B1109" s="1215" t="s">
        <v>1348</v>
      </c>
      <c r="C1109" s="279">
        <v>0.5</v>
      </c>
      <c r="D1109" s="1218">
        <f t="shared" si="97"/>
        <v>0.2</v>
      </c>
      <c r="E1109" s="1219" t="s">
        <v>1369</v>
      </c>
      <c r="F1109" s="49"/>
      <c r="G1109" s="49"/>
      <c r="H1109" s="49"/>
      <c r="I1109" s="49"/>
      <c r="J1109" s="49"/>
      <c r="K1109" s="49"/>
      <c r="L1109" s="49"/>
      <c r="M1109" s="49"/>
      <c r="N1109" s="49"/>
    </row>
    <row r="1110" ht="18.0" customHeight="1">
      <c r="A1110" s="49"/>
      <c r="B1110" s="553" t="s">
        <v>1246</v>
      </c>
      <c r="C1110" s="145">
        <v>0.4</v>
      </c>
      <c r="D1110" s="1074">
        <f t="shared" ref="D1110:D1112" si="98">(C1110*D1108)/C1108</f>
        <v>0.16</v>
      </c>
      <c r="E1110" s="1157" t="s">
        <v>366</v>
      </c>
      <c r="F1110" s="49"/>
      <c r="G1110" s="49"/>
      <c r="H1110" s="49"/>
      <c r="I1110" s="49"/>
      <c r="J1110" s="49"/>
      <c r="K1110" s="49"/>
      <c r="L1110" s="49"/>
      <c r="M1110" s="49"/>
      <c r="N1110" s="49"/>
    </row>
    <row r="1111" ht="18.0" customHeight="1">
      <c r="A1111" s="49"/>
      <c r="B1111" s="555" t="s">
        <v>79</v>
      </c>
      <c r="C1111" s="200">
        <v>0.4</v>
      </c>
      <c r="D1111" s="1081">
        <f t="shared" si="98"/>
        <v>0.16</v>
      </c>
      <c r="E1111" s="1182" t="s">
        <v>366</v>
      </c>
      <c r="F1111" s="49"/>
      <c r="G1111" s="49"/>
      <c r="H1111" s="49"/>
      <c r="I1111" s="49"/>
      <c r="J1111" s="49"/>
      <c r="K1111" s="49"/>
      <c r="L1111" s="49"/>
      <c r="M1111" s="49"/>
      <c r="N1111" s="49"/>
    </row>
    <row r="1112" ht="18.0" customHeight="1">
      <c r="A1112" s="49"/>
      <c r="B1112" s="1223" t="s">
        <v>1370</v>
      </c>
      <c r="C1112" s="152">
        <v>0.5</v>
      </c>
      <c r="D1112" s="1224">
        <f t="shared" si="98"/>
        <v>0.2</v>
      </c>
      <c r="E1112" s="1225" t="s">
        <v>1369</v>
      </c>
      <c r="F1112" s="49"/>
      <c r="G1112" s="49"/>
      <c r="H1112" s="49"/>
      <c r="I1112" s="49"/>
      <c r="J1112" s="49"/>
      <c r="K1112" s="49"/>
      <c r="L1112" s="49"/>
      <c r="M1112" s="49"/>
      <c r="N1112" s="49"/>
    </row>
    <row r="1113" ht="18.0" customHeight="1">
      <c r="A1113" s="49"/>
      <c r="B1113" s="302" t="s">
        <v>49</v>
      </c>
      <c r="C1113" s="260">
        <v>43822.0</v>
      </c>
      <c r="D1113" s="49"/>
      <c r="E1113" s="49"/>
      <c r="F1113" s="49"/>
      <c r="G1113" s="49"/>
      <c r="H1113" s="49"/>
      <c r="I1113" s="49"/>
      <c r="J1113" s="49"/>
      <c r="K1113" s="49"/>
      <c r="L1113" s="49"/>
      <c r="M1113" s="49"/>
      <c r="N1113" s="49"/>
    </row>
    <row r="1114" ht="18.0" customHeight="1">
      <c r="A1114" s="49"/>
      <c r="B1114" s="302" t="s">
        <v>50</v>
      </c>
      <c r="C1114" s="260"/>
      <c r="D1114" s="49"/>
      <c r="E1114" s="49"/>
      <c r="F1114" s="49"/>
      <c r="G1114" s="49"/>
      <c r="H1114" s="49"/>
      <c r="I1114" s="49"/>
      <c r="J1114" s="49"/>
      <c r="K1114" s="49"/>
      <c r="L1114" s="49"/>
      <c r="M1114" s="49"/>
      <c r="N1114" s="49"/>
    </row>
    <row r="1115" ht="15.75" customHeight="1">
      <c r="A1115" s="49"/>
      <c r="B1115" s="299" t="s">
        <v>119</v>
      </c>
      <c r="C1115" s="183" t="s">
        <v>47</v>
      </c>
      <c r="D1115" s="49"/>
      <c r="E1115" s="49"/>
      <c r="F1115" s="49"/>
      <c r="G1115" s="49"/>
      <c r="H1115" s="49"/>
      <c r="I1115" s="49"/>
      <c r="J1115" s="49"/>
      <c r="K1115" s="49"/>
      <c r="L1115" s="49"/>
      <c r="M1115" s="49"/>
      <c r="N1115" s="49"/>
    </row>
    <row r="1116" ht="15.75" customHeight="1">
      <c r="A1116" s="49"/>
      <c r="B1116" s="49"/>
      <c r="C1116" s="49"/>
      <c r="D1116" s="49"/>
      <c r="E1116" s="49"/>
      <c r="F1116" s="49"/>
      <c r="G1116" s="49"/>
      <c r="H1116" s="49"/>
      <c r="I1116" s="49"/>
      <c r="J1116" s="49"/>
      <c r="K1116" s="49"/>
      <c r="L1116" s="49"/>
      <c r="M1116" s="49"/>
      <c r="N1116" s="49"/>
    </row>
    <row r="1117" ht="15.75" customHeight="1">
      <c r="A1117" s="49"/>
      <c r="B1117" s="49"/>
      <c r="C1117" s="49"/>
      <c r="D1117" s="49"/>
      <c r="E1117" s="49"/>
      <c r="F1117" s="49"/>
      <c r="G1117" s="49"/>
      <c r="H1117" s="49"/>
      <c r="I1117" s="49"/>
      <c r="J1117" s="49"/>
      <c r="K1117" s="49"/>
      <c r="L1117" s="49"/>
      <c r="M1117" s="49"/>
      <c r="N1117" s="49"/>
    </row>
    <row r="1118" ht="15.75" customHeight="1">
      <c r="A1118" s="49"/>
      <c r="B1118" s="1226" t="s">
        <v>1377</v>
      </c>
      <c r="C1118" s="1227"/>
      <c r="D1118" s="1227"/>
      <c r="E1118" s="1228"/>
      <c r="F1118" s="49"/>
      <c r="G1118" s="49"/>
      <c r="H1118" s="49"/>
      <c r="I1118" s="49"/>
      <c r="J1118" s="49"/>
      <c r="K1118" s="49"/>
      <c r="L1118" s="49"/>
      <c r="M1118" s="49"/>
      <c r="N1118" s="49"/>
    </row>
    <row r="1119" ht="15.75" customHeight="1">
      <c r="A1119" s="49"/>
      <c r="B1119" s="1230" t="s">
        <v>1</v>
      </c>
      <c r="C1119" s="279">
        <v>70.0</v>
      </c>
      <c r="D1119" s="146">
        <v>95.0</v>
      </c>
      <c r="E1119" s="1233" t="s">
        <v>5</v>
      </c>
      <c r="F1119" s="49"/>
      <c r="G1119" s="49"/>
      <c r="H1119" s="49"/>
      <c r="I1119" s="49"/>
      <c r="J1119" s="49"/>
      <c r="K1119" s="49"/>
      <c r="L1119" s="49"/>
      <c r="M1119" s="49"/>
      <c r="N1119" s="49"/>
    </row>
    <row r="1120" ht="15.75" customHeight="1">
      <c r="A1120" s="49"/>
      <c r="B1120" s="173" t="s">
        <v>53</v>
      </c>
      <c r="C1120" s="275">
        <v>10.0</v>
      </c>
      <c r="D1120" s="179">
        <f t="shared" ref="D1120:D1135" si="99">(C1120*D1119)/C1119</f>
        <v>13.57142857</v>
      </c>
      <c r="E1120" s="547" t="s">
        <v>14</v>
      </c>
      <c r="F1120" s="49"/>
      <c r="G1120" s="49"/>
      <c r="H1120" s="49"/>
      <c r="I1120" s="49"/>
      <c r="J1120" s="49"/>
      <c r="K1120" s="49"/>
      <c r="L1120" s="49"/>
      <c r="M1120" s="49"/>
      <c r="N1120" s="49"/>
    </row>
    <row r="1121" ht="15.75" customHeight="1">
      <c r="A1121" s="49"/>
      <c r="B1121" s="417" t="s">
        <v>122</v>
      </c>
      <c r="C1121" s="418">
        <v>24.0</v>
      </c>
      <c r="D1121" s="542">
        <f t="shared" si="99"/>
        <v>32.57142857</v>
      </c>
      <c r="E1121" s="543" t="s">
        <v>5</v>
      </c>
      <c r="F1121" s="49"/>
      <c r="G1121" s="49"/>
      <c r="H1121" s="49"/>
      <c r="I1121" s="49"/>
      <c r="J1121" s="49"/>
      <c r="K1121" s="49"/>
      <c r="L1121" s="49"/>
      <c r="M1121" s="49"/>
      <c r="N1121" s="49"/>
    </row>
    <row r="1122" ht="15.75" customHeight="1">
      <c r="A1122" s="49"/>
      <c r="B1122" s="68" t="s">
        <v>31</v>
      </c>
      <c r="C1122" s="145">
        <v>360.0</v>
      </c>
      <c r="D1122" s="155">
        <f t="shared" si="99"/>
        <v>488.5714286</v>
      </c>
      <c r="E1122" s="216" t="s">
        <v>18</v>
      </c>
      <c r="F1122" s="49"/>
      <c r="G1122" s="49"/>
      <c r="H1122" s="49"/>
      <c r="I1122" s="49"/>
      <c r="J1122" s="49"/>
      <c r="K1122" s="49"/>
      <c r="L1122" s="49"/>
      <c r="M1122" s="49"/>
      <c r="N1122" s="49"/>
    </row>
    <row r="1123" ht="15.75" customHeight="1">
      <c r="A1123" s="49"/>
      <c r="B1123" s="898" t="s">
        <v>1390</v>
      </c>
      <c r="C1123" s="195">
        <v>0.35</v>
      </c>
      <c r="D1123" s="78">
        <f t="shared" si="99"/>
        <v>0.475</v>
      </c>
      <c r="E1123" s="249" t="s">
        <v>14</v>
      </c>
      <c r="F1123" s="49"/>
      <c r="G1123" s="49"/>
      <c r="H1123" s="49"/>
      <c r="I1123" s="49"/>
      <c r="J1123" s="49"/>
      <c r="K1123" s="49"/>
      <c r="L1123" s="49"/>
      <c r="M1123" s="49"/>
      <c r="N1123" s="49"/>
    </row>
    <row r="1124" ht="15.75" customHeight="1">
      <c r="A1124" s="49"/>
      <c r="B1124" s="93" t="s">
        <v>92</v>
      </c>
      <c r="C1124" s="195">
        <v>250.0</v>
      </c>
      <c r="D1124" s="78">
        <f t="shared" si="99"/>
        <v>339.2857143</v>
      </c>
      <c r="E1124" s="249" t="s">
        <v>18</v>
      </c>
      <c r="F1124" s="49"/>
      <c r="G1124" s="49"/>
      <c r="H1124" s="49"/>
      <c r="I1124" s="49"/>
      <c r="J1124" s="49"/>
      <c r="K1124" s="49"/>
      <c r="L1124" s="49"/>
      <c r="M1124" s="49"/>
      <c r="N1124" s="49"/>
    </row>
    <row r="1125" ht="15.75" customHeight="1">
      <c r="A1125" s="49"/>
      <c r="B1125" s="105" t="s">
        <v>148</v>
      </c>
      <c r="C1125" s="200">
        <v>200.0</v>
      </c>
      <c r="D1125" s="56">
        <f t="shared" si="99"/>
        <v>271.4285714</v>
      </c>
      <c r="E1125" s="518" t="s">
        <v>18</v>
      </c>
      <c r="F1125" s="49"/>
      <c r="G1125" s="49"/>
      <c r="H1125" s="49"/>
      <c r="I1125" s="49"/>
      <c r="J1125" s="49"/>
      <c r="K1125" s="49"/>
      <c r="L1125" s="49"/>
      <c r="M1125" s="49"/>
      <c r="N1125" s="49"/>
    </row>
    <row r="1126" ht="15.75" customHeight="1">
      <c r="A1126" s="49"/>
      <c r="B1126" s="68" t="s">
        <v>34</v>
      </c>
      <c r="C1126" s="145">
        <v>1.0</v>
      </c>
      <c r="D1126" s="155">
        <f t="shared" si="99"/>
        <v>1.357142857</v>
      </c>
      <c r="E1126" s="216" t="s">
        <v>5</v>
      </c>
      <c r="F1126" s="49"/>
      <c r="G1126" s="49"/>
      <c r="H1126" s="49"/>
      <c r="I1126" s="49"/>
      <c r="J1126" s="49"/>
      <c r="K1126" s="49"/>
      <c r="L1126" s="49"/>
      <c r="M1126" s="49"/>
      <c r="N1126" s="49"/>
    </row>
    <row r="1127" ht="15.75" customHeight="1">
      <c r="A1127" s="49"/>
      <c r="B1127" s="93" t="s">
        <v>97</v>
      </c>
      <c r="C1127" s="195">
        <v>150.0</v>
      </c>
      <c r="D1127" s="78">
        <f t="shared" si="99"/>
        <v>203.5714286</v>
      </c>
      <c r="E1127" s="249" t="s">
        <v>18</v>
      </c>
      <c r="F1127" s="49"/>
      <c r="G1127" s="49"/>
      <c r="H1127" s="49"/>
      <c r="I1127" s="49"/>
      <c r="J1127" s="49"/>
      <c r="K1127" s="49"/>
      <c r="L1127" s="49"/>
      <c r="M1127" s="49"/>
      <c r="N1127" s="49"/>
    </row>
    <row r="1128" ht="15.75" customHeight="1">
      <c r="A1128" s="49"/>
      <c r="B1128" s="93" t="s">
        <v>847</v>
      </c>
      <c r="C1128" s="195">
        <v>200.0</v>
      </c>
      <c r="D1128" s="78">
        <f t="shared" si="99"/>
        <v>271.4285714</v>
      </c>
      <c r="E1128" s="249" t="s">
        <v>18</v>
      </c>
      <c r="F1128" s="49"/>
      <c r="G1128" s="49"/>
      <c r="H1128" s="49"/>
      <c r="I1128" s="49"/>
      <c r="J1128" s="49"/>
      <c r="K1128" s="49"/>
      <c r="L1128" s="49"/>
      <c r="M1128" s="49"/>
      <c r="N1128" s="49"/>
    </row>
    <row r="1129" ht="15.75" customHeight="1">
      <c r="A1129" s="49"/>
      <c r="B1129" s="93" t="s">
        <v>345</v>
      </c>
      <c r="C1129" s="195">
        <v>0.25</v>
      </c>
      <c r="D1129" s="78">
        <f t="shared" si="99"/>
        <v>0.3392857143</v>
      </c>
      <c r="E1129" s="249" t="s">
        <v>14</v>
      </c>
      <c r="F1129" s="49"/>
      <c r="G1129" s="49"/>
      <c r="H1129" s="49"/>
      <c r="I1129" s="49"/>
      <c r="J1129" s="49"/>
      <c r="K1129" s="49"/>
      <c r="L1129" s="49"/>
      <c r="M1129" s="49"/>
      <c r="N1129" s="49"/>
    </row>
    <row r="1130" ht="15.75" customHeight="1">
      <c r="A1130" s="49"/>
      <c r="B1130" s="93" t="s">
        <v>1395</v>
      </c>
      <c r="C1130" s="195">
        <v>0.25</v>
      </c>
      <c r="D1130" s="78">
        <f t="shared" si="99"/>
        <v>0.3392857143</v>
      </c>
      <c r="E1130" s="249" t="s">
        <v>14</v>
      </c>
      <c r="F1130" s="49"/>
      <c r="G1130" s="49"/>
      <c r="H1130" s="49"/>
      <c r="I1130" s="49"/>
      <c r="J1130" s="49"/>
      <c r="K1130" s="49"/>
      <c r="L1130" s="49"/>
      <c r="M1130" s="49"/>
      <c r="N1130" s="49"/>
    </row>
    <row r="1131" ht="15.75" customHeight="1">
      <c r="A1131" s="49"/>
      <c r="B1131" s="93" t="s">
        <v>103</v>
      </c>
      <c r="C1131" s="195">
        <v>60.0</v>
      </c>
      <c r="D1131" s="78">
        <f t="shared" si="99"/>
        <v>81.42857143</v>
      </c>
      <c r="E1131" s="249" t="s">
        <v>18</v>
      </c>
      <c r="F1131" s="49"/>
      <c r="G1131" s="49"/>
      <c r="H1131" s="49"/>
      <c r="I1131" s="49"/>
      <c r="J1131" s="49"/>
      <c r="K1131" s="49"/>
      <c r="L1131" s="49"/>
      <c r="M1131" s="49"/>
      <c r="N1131" s="49"/>
    </row>
    <row r="1132" ht="15.75" customHeight="1">
      <c r="A1132" s="49"/>
      <c r="B1132" s="105" t="s">
        <v>101</v>
      </c>
      <c r="C1132" s="200">
        <v>1.0</v>
      </c>
      <c r="D1132" s="56">
        <f t="shared" si="99"/>
        <v>1.357142857</v>
      </c>
      <c r="E1132" s="518" t="s">
        <v>5</v>
      </c>
      <c r="F1132" s="49"/>
      <c r="G1132" s="49"/>
      <c r="H1132" s="49"/>
      <c r="I1132" s="49"/>
      <c r="J1132" s="49"/>
      <c r="K1132" s="49"/>
      <c r="L1132" s="49"/>
      <c r="M1132" s="49"/>
      <c r="N1132" s="49"/>
    </row>
    <row r="1133" ht="15.75" customHeight="1">
      <c r="A1133" s="49"/>
      <c r="B1133" s="68" t="s">
        <v>1396</v>
      </c>
      <c r="C1133" s="145">
        <v>10.0</v>
      </c>
      <c r="D1133" s="155">
        <f t="shared" si="99"/>
        <v>13.57142857</v>
      </c>
      <c r="E1133" s="216" t="s">
        <v>1197</v>
      </c>
      <c r="F1133" s="49"/>
      <c r="G1133" s="49"/>
      <c r="H1133" s="49"/>
      <c r="I1133" s="49"/>
      <c r="J1133" s="49"/>
      <c r="K1133" s="49"/>
      <c r="L1133" s="49"/>
      <c r="M1133" s="49"/>
      <c r="N1133" s="49"/>
    </row>
    <row r="1134" ht="15.75" customHeight="1">
      <c r="A1134" s="49"/>
      <c r="B1134" s="93" t="s">
        <v>114</v>
      </c>
      <c r="C1134" s="195">
        <v>2.5</v>
      </c>
      <c r="D1134" s="78">
        <f t="shared" si="99"/>
        <v>3.392857143</v>
      </c>
      <c r="E1134" s="249" t="s">
        <v>5</v>
      </c>
      <c r="F1134" s="49"/>
      <c r="G1134" s="49"/>
      <c r="H1134" s="49"/>
      <c r="I1134" s="49"/>
      <c r="J1134" s="49"/>
      <c r="K1134" s="49"/>
      <c r="L1134" s="49"/>
      <c r="M1134" s="49"/>
      <c r="N1134" s="49"/>
    </row>
    <row r="1135" ht="15.75" customHeight="1">
      <c r="A1135" s="49"/>
      <c r="B1135" s="105" t="s">
        <v>1398</v>
      </c>
      <c r="C1135" s="200">
        <v>1.0</v>
      </c>
      <c r="D1135" s="56">
        <f t="shared" si="99"/>
        <v>1.357142857</v>
      </c>
      <c r="E1135" s="518" t="s">
        <v>14</v>
      </c>
      <c r="F1135" s="49"/>
      <c r="G1135" s="49"/>
      <c r="H1135" s="49"/>
      <c r="I1135" s="49"/>
      <c r="J1135" s="49"/>
      <c r="K1135" s="49"/>
      <c r="L1135" s="49"/>
      <c r="M1135" s="49"/>
      <c r="N1135" s="49"/>
    </row>
    <row r="1136" ht="15.75" customHeight="1">
      <c r="A1136" s="49"/>
      <c r="B1136" s="302" t="s">
        <v>49</v>
      </c>
      <c r="C1136" s="260">
        <v>43825.0</v>
      </c>
      <c r="D1136" s="558"/>
      <c r="E1136" s="49"/>
      <c r="F1136" s="49"/>
      <c r="G1136" s="49"/>
      <c r="H1136" s="49"/>
      <c r="I1136" s="49"/>
      <c r="J1136" s="49"/>
      <c r="K1136" s="49"/>
      <c r="L1136" s="49"/>
      <c r="M1136" s="49"/>
      <c r="N1136" s="49"/>
    </row>
    <row r="1137" ht="15.75" customHeight="1">
      <c r="A1137" s="49"/>
      <c r="B1137" s="302" t="s">
        <v>50</v>
      </c>
      <c r="C1137" s="260"/>
      <c r="D1137" s="558"/>
      <c r="E1137" s="49"/>
      <c r="F1137" s="49"/>
      <c r="G1137" s="49"/>
      <c r="H1137" s="49"/>
      <c r="I1137" s="49"/>
      <c r="J1137" s="49"/>
      <c r="K1137" s="49"/>
      <c r="L1137" s="49"/>
      <c r="M1137" s="49"/>
      <c r="N1137" s="49"/>
    </row>
    <row r="1138" ht="15.75" customHeight="1">
      <c r="A1138" s="49"/>
      <c r="B1138" s="299" t="s">
        <v>119</v>
      </c>
      <c r="C1138" s="183" t="s">
        <v>47</v>
      </c>
      <c r="D1138" s="558"/>
      <c r="E1138" s="49"/>
      <c r="F1138" s="49"/>
      <c r="G1138" s="49"/>
      <c r="H1138" s="49"/>
      <c r="I1138" s="49"/>
      <c r="J1138" s="49"/>
      <c r="K1138" s="49"/>
      <c r="L1138" s="49"/>
      <c r="M1138" s="49"/>
      <c r="N1138" s="49"/>
    </row>
    <row r="1139" ht="15.75" customHeight="1">
      <c r="A1139" s="49"/>
      <c r="B1139" s="49"/>
      <c r="C1139" s="49"/>
      <c r="D1139" s="558"/>
      <c r="E1139" s="49"/>
      <c r="F1139" s="49"/>
      <c r="G1139" s="49"/>
      <c r="H1139" s="49"/>
      <c r="I1139" s="49"/>
      <c r="J1139" s="49"/>
      <c r="K1139" s="49"/>
      <c r="L1139" s="49"/>
      <c r="M1139" s="49"/>
      <c r="N1139" s="49"/>
    </row>
    <row r="1140" ht="15.0" customHeight="1">
      <c r="A1140" s="49"/>
      <c r="B1140" s="49"/>
      <c r="C1140" s="49"/>
      <c r="D1140" s="558"/>
      <c r="E1140" s="49"/>
      <c r="F1140" s="49"/>
      <c r="G1140" s="49"/>
      <c r="H1140" s="49"/>
      <c r="I1140" s="49"/>
      <c r="J1140" s="49"/>
      <c r="K1140" s="49"/>
      <c r="L1140" s="49"/>
      <c r="M1140" s="49"/>
      <c r="N1140" s="49"/>
    </row>
    <row r="1141" ht="15.75" customHeight="1">
      <c r="A1141" s="49"/>
      <c r="B1141" s="49"/>
      <c r="C1141" s="49"/>
      <c r="D1141" s="558"/>
      <c r="E1141" s="49"/>
      <c r="F1141" s="49"/>
      <c r="G1141" s="49"/>
      <c r="H1141" s="49"/>
      <c r="I1141" s="49"/>
      <c r="J1141" s="49"/>
      <c r="K1141" s="49"/>
      <c r="L1141" s="49"/>
      <c r="M1141" s="49"/>
      <c r="N1141" s="49"/>
    </row>
    <row r="1142" ht="15.75" customHeight="1">
      <c r="A1142" s="49"/>
      <c r="B1142" s="49"/>
      <c r="C1142" s="49"/>
      <c r="D1142" s="558"/>
      <c r="E1142" s="49"/>
      <c r="F1142" s="49"/>
      <c r="G1142" s="49"/>
      <c r="H1142" s="49"/>
      <c r="I1142" s="49"/>
      <c r="J1142" s="49"/>
      <c r="K1142" s="49"/>
      <c r="L1142" s="49"/>
      <c r="M1142" s="49"/>
      <c r="N1142" s="49"/>
    </row>
    <row r="1143" ht="15.75" customHeight="1">
      <c r="A1143" s="49"/>
      <c r="B1143" s="49"/>
      <c r="C1143" s="49"/>
      <c r="D1143" s="558"/>
      <c r="E1143" s="49"/>
      <c r="F1143" s="49"/>
      <c r="G1143" s="49"/>
      <c r="H1143" s="49"/>
      <c r="I1143" s="49"/>
      <c r="J1143" s="49"/>
      <c r="K1143" s="49"/>
      <c r="L1143" s="49"/>
      <c r="M1143" s="49"/>
      <c r="N1143" s="49"/>
    </row>
    <row r="1144" ht="15.75" customHeight="1">
      <c r="A1144" s="49"/>
      <c r="B1144" s="49"/>
      <c r="C1144" s="49"/>
      <c r="D1144" s="558"/>
      <c r="E1144" s="49"/>
      <c r="F1144" s="49"/>
      <c r="G1144" s="49"/>
      <c r="H1144" s="49"/>
      <c r="I1144" s="49"/>
      <c r="J1144" s="49"/>
      <c r="K1144" s="49"/>
      <c r="L1144" s="49"/>
      <c r="M1144" s="49"/>
      <c r="N1144" s="49"/>
    </row>
    <row r="1145" ht="15.75" customHeight="1">
      <c r="A1145" s="49"/>
      <c r="B1145" s="49"/>
      <c r="C1145" s="49"/>
      <c r="D1145" s="558"/>
      <c r="E1145" s="49"/>
      <c r="F1145" s="49"/>
      <c r="G1145" s="49"/>
      <c r="H1145" s="49"/>
      <c r="I1145" s="49"/>
      <c r="J1145" s="49"/>
      <c r="K1145" s="49"/>
      <c r="L1145" s="49"/>
      <c r="M1145" s="49"/>
      <c r="N1145" s="49"/>
    </row>
    <row r="1146" ht="15.75" customHeight="1">
      <c r="A1146" s="49"/>
      <c r="B1146" s="49"/>
      <c r="C1146" s="49"/>
      <c r="D1146" s="558"/>
      <c r="E1146" s="49"/>
      <c r="F1146" s="49"/>
      <c r="G1146" s="49"/>
      <c r="H1146" s="49"/>
      <c r="I1146" s="49"/>
      <c r="J1146" s="49"/>
      <c r="K1146" s="49"/>
      <c r="L1146" s="49"/>
      <c r="M1146" s="49"/>
      <c r="N1146" s="49"/>
    </row>
    <row r="1147" ht="15.75" customHeight="1">
      <c r="A1147" s="49"/>
      <c r="B1147" s="49"/>
      <c r="C1147" s="49"/>
      <c r="D1147" s="558"/>
      <c r="E1147" s="49"/>
      <c r="F1147" s="49"/>
      <c r="G1147" s="49"/>
      <c r="H1147" s="49"/>
      <c r="I1147" s="49"/>
      <c r="J1147" s="49"/>
      <c r="K1147" s="49"/>
      <c r="L1147" s="49"/>
      <c r="M1147" s="49"/>
      <c r="N1147" s="49"/>
    </row>
    <row r="1148" ht="15.75" customHeight="1">
      <c r="A1148" s="49"/>
      <c r="B1148" s="49"/>
      <c r="C1148" s="49"/>
      <c r="D1148" s="558"/>
      <c r="E1148" s="49"/>
      <c r="F1148" s="49"/>
      <c r="G1148" s="49"/>
      <c r="H1148" s="49"/>
      <c r="I1148" s="49"/>
      <c r="J1148" s="49"/>
      <c r="K1148" s="49"/>
      <c r="L1148" s="49"/>
      <c r="M1148" s="49"/>
      <c r="N1148" s="49"/>
    </row>
    <row r="1149" ht="15.75" customHeight="1">
      <c r="A1149" s="49"/>
      <c r="B1149" s="49"/>
      <c r="C1149" s="49"/>
      <c r="D1149" s="558"/>
      <c r="E1149" s="49"/>
      <c r="F1149" s="49"/>
      <c r="G1149" s="49"/>
      <c r="H1149" s="49"/>
      <c r="I1149" s="49"/>
      <c r="J1149" s="49"/>
      <c r="K1149" s="49"/>
      <c r="L1149" s="49"/>
      <c r="M1149" s="49"/>
      <c r="N1149" s="49"/>
    </row>
    <row r="1150" ht="15.75" customHeight="1">
      <c r="A1150" s="49"/>
      <c r="B1150" s="49"/>
      <c r="C1150" s="49"/>
      <c r="D1150" s="558"/>
      <c r="E1150" s="49"/>
      <c r="F1150" s="49"/>
      <c r="G1150" s="49"/>
      <c r="H1150" s="49"/>
      <c r="I1150" s="49"/>
      <c r="J1150" s="49"/>
      <c r="K1150" s="49"/>
      <c r="L1150" s="49"/>
      <c r="M1150" s="49"/>
      <c r="N1150" s="49"/>
    </row>
    <row r="1151" ht="15.75" customHeight="1">
      <c r="A1151" s="49"/>
      <c r="B1151" s="49"/>
      <c r="C1151" s="49"/>
      <c r="D1151" s="558"/>
      <c r="E1151" s="49"/>
      <c r="F1151" s="49"/>
      <c r="G1151" s="49"/>
      <c r="H1151" s="49"/>
      <c r="I1151" s="49"/>
      <c r="J1151" s="49"/>
      <c r="K1151" s="49"/>
      <c r="L1151" s="49"/>
      <c r="M1151" s="49"/>
      <c r="N1151" s="49"/>
    </row>
    <row r="1152" ht="15.75" customHeight="1">
      <c r="A1152" s="49"/>
      <c r="B1152" s="49"/>
      <c r="C1152" s="49"/>
      <c r="D1152" s="558"/>
      <c r="E1152" s="49"/>
      <c r="F1152" s="49"/>
      <c r="G1152" s="49"/>
      <c r="H1152" s="49"/>
      <c r="I1152" s="49"/>
      <c r="J1152" s="49"/>
      <c r="K1152" s="49"/>
      <c r="L1152" s="49"/>
      <c r="M1152" s="49"/>
      <c r="N1152" s="49"/>
    </row>
    <row r="1153" ht="15.75" customHeight="1">
      <c r="A1153" s="49"/>
      <c r="B1153" s="49"/>
      <c r="C1153" s="49"/>
      <c r="D1153" s="558"/>
      <c r="E1153" s="49"/>
      <c r="F1153" s="49"/>
      <c r="G1153" s="49"/>
      <c r="H1153" s="49"/>
      <c r="I1153" s="49"/>
      <c r="J1153" s="49"/>
      <c r="K1153" s="49"/>
      <c r="L1153" s="49"/>
      <c r="M1153" s="49"/>
      <c r="N1153" s="49"/>
    </row>
    <row r="1154" ht="18.0" customHeight="1">
      <c r="A1154" s="49"/>
      <c r="B1154" s="49"/>
      <c r="C1154" s="49"/>
      <c r="D1154" s="558"/>
      <c r="E1154" s="49"/>
      <c r="F1154" s="49"/>
      <c r="G1154" s="49"/>
      <c r="H1154" s="49"/>
      <c r="I1154" s="49"/>
      <c r="J1154" s="49"/>
      <c r="K1154" s="49"/>
      <c r="L1154" s="49"/>
      <c r="M1154" s="49"/>
      <c r="N1154" s="49"/>
    </row>
    <row r="1155" ht="18.0" customHeight="1">
      <c r="A1155" s="49"/>
      <c r="B1155" s="49"/>
      <c r="C1155" s="49"/>
      <c r="D1155" s="558"/>
      <c r="E1155" s="49"/>
      <c r="F1155" s="49"/>
      <c r="G1155" s="49"/>
      <c r="H1155" s="49"/>
      <c r="I1155" s="49"/>
      <c r="J1155" s="49"/>
      <c r="K1155" s="49"/>
      <c r="L1155" s="49"/>
      <c r="M1155" s="49"/>
      <c r="N1155" s="49"/>
    </row>
    <row r="1156" ht="18.0" customHeight="1">
      <c r="A1156" s="49"/>
      <c r="B1156" s="49"/>
      <c r="C1156" s="49"/>
      <c r="D1156" s="558"/>
      <c r="E1156" s="49"/>
      <c r="F1156" s="49"/>
      <c r="G1156" s="49"/>
      <c r="H1156" s="49"/>
      <c r="I1156" s="49"/>
      <c r="J1156" s="49"/>
      <c r="K1156" s="49"/>
      <c r="L1156" s="49"/>
      <c r="M1156" s="49"/>
      <c r="N1156" s="49"/>
    </row>
    <row r="1157" ht="18.0" customHeight="1">
      <c r="A1157" s="49"/>
      <c r="B1157" s="49"/>
      <c r="C1157" s="49"/>
      <c r="D1157" s="558"/>
      <c r="E1157" s="49"/>
      <c r="F1157" s="49"/>
      <c r="G1157" s="49"/>
      <c r="H1157" s="49"/>
      <c r="I1157" s="49"/>
      <c r="J1157" s="49"/>
      <c r="K1157" s="49"/>
      <c r="L1157" s="49"/>
      <c r="M1157" s="49"/>
      <c r="N1157" s="49"/>
    </row>
    <row r="1158" ht="15.75" customHeight="1">
      <c r="A1158" s="49"/>
      <c r="B1158" s="49"/>
      <c r="C1158" s="49"/>
      <c r="D1158" s="558"/>
      <c r="E1158" s="49"/>
      <c r="F1158" s="49"/>
      <c r="G1158" s="49"/>
      <c r="H1158" s="49"/>
      <c r="I1158" s="49"/>
      <c r="J1158" s="49"/>
      <c r="K1158" s="49"/>
      <c r="L1158" s="49"/>
      <c r="M1158" s="49"/>
      <c r="N1158" s="49"/>
    </row>
    <row r="1159" ht="18.0" customHeight="1">
      <c r="A1159" s="49"/>
      <c r="B1159" s="49"/>
      <c r="C1159" s="49"/>
      <c r="D1159" s="558"/>
      <c r="E1159" s="49"/>
      <c r="F1159" s="49"/>
      <c r="G1159" s="49"/>
      <c r="H1159" s="49"/>
      <c r="I1159" s="49"/>
      <c r="J1159" s="49"/>
      <c r="K1159" s="49"/>
      <c r="L1159" s="49"/>
      <c r="M1159" s="49"/>
      <c r="N1159" s="49"/>
    </row>
    <row r="1160" ht="18.0" customHeight="1">
      <c r="A1160" s="49"/>
      <c r="B1160" s="49"/>
      <c r="C1160" s="49"/>
      <c r="D1160" s="558"/>
      <c r="E1160" s="49"/>
      <c r="F1160" s="49"/>
      <c r="G1160" s="49"/>
      <c r="H1160" s="49"/>
      <c r="I1160" s="49"/>
      <c r="J1160" s="49"/>
      <c r="K1160" s="49"/>
      <c r="L1160" s="49"/>
      <c r="M1160" s="49"/>
      <c r="N1160" s="49"/>
    </row>
    <row r="1161" ht="18.0" customHeight="1">
      <c r="A1161" s="49"/>
      <c r="B1161" s="49"/>
      <c r="C1161" s="49"/>
      <c r="D1161" s="558"/>
      <c r="E1161" s="49"/>
      <c r="F1161" s="49"/>
      <c r="G1161" s="49"/>
      <c r="H1161" s="49"/>
      <c r="I1161" s="49"/>
      <c r="J1161" s="49"/>
      <c r="K1161" s="49"/>
      <c r="L1161" s="49"/>
      <c r="M1161" s="49"/>
      <c r="N1161" s="49"/>
    </row>
    <row r="1162" ht="18.0" customHeight="1">
      <c r="A1162" s="49"/>
      <c r="B1162" s="49"/>
      <c r="C1162" s="49"/>
      <c r="D1162" s="558"/>
      <c r="E1162" s="49"/>
      <c r="F1162" s="49"/>
      <c r="G1162" s="49"/>
      <c r="H1162" s="49"/>
      <c r="I1162" s="49"/>
      <c r="J1162" s="49"/>
      <c r="K1162" s="49"/>
      <c r="L1162" s="49"/>
      <c r="M1162" s="49"/>
      <c r="N1162" s="49"/>
    </row>
    <row r="1163" ht="18.0" customHeight="1">
      <c r="A1163" s="49"/>
      <c r="B1163" s="49"/>
      <c r="C1163" s="49"/>
      <c r="D1163" s="558"/>
      <c r="E1163" s="49"/>
      <c r="F1163" s="49"/>
      <c r="G1163" s="49"/>
      <c r="H1163" s="49"/>
      <c r="I1163" s="49"/>
      <c r="J1163" s="49"/>
      <c r="K1163" s="49"/>
      <c r="L1163" s="49"/>
      <c r="M1163" s="49"/>
      <c r="N1163" s="49"/>
    </row>
    <row r="1164" ht="18.0" customHeight="1">
      <c r="A1164" s="49"/>
      <c r="B1164" s="49"/>
      <c r="C1164" s="49"/>
      <c r="D1164" s="558"/>
      <c r="E1164" s="49"/>
      <c r="F1164" s="49"/>
      <c r="G1164" s="49"/>
      <c r="H1164" s="49"/>
      <c r="I1164" s="49"/>
      <c r="J1164" s="49"/>
      <c r="K1164" s="49"/>
      <c r="L1164" s="49"/>
      <c r="M1164" s="49"/>
      <c r="N1164" s="49"/>
    </row>
    <row r="1165" ht="18.0" customHeight="1">
      <c r="A1165" s="49"/>
      <c r="B1165" s="49"/>
      <c r="C1165" s="49"/>
      <c r="D1165" s="558"/>
      <c r="E1165" s="49"/>
      <c r="F1165" s="49"/>
      <c r="G1165" s="49"/>
      <c r="H1165" s="49"/>
      <c r="I1165" s="49"/>
      <c r="J1165" s="49"/>
      <c r="K1165" s="49"/>
      <c r="L1165" s="49"/>
      <c r="M1165" s="49"/>
      <c r="N1165" s="49"/>
    </row>
    <row r="1166" ht="18.0" customHeight="1">
      <c r="A1166" s="49"/>
      <c r="B1166" s="49"/>
      <c r="C1166" s="49"/>
      <c r="D1166" s="558"/>
      <c r="E1166" s="49"/>
      <c r="F1166" s="49"/>
      <c r="G1166" s="49"/>
      <c r="H1166" s="49"/>
      <c r="I1166" s="49"/>
      <c r="J1166" s="49"/>
      <c r="K1166" s="49"/>
      <c r="L1166" s="49"/>
      <c r="M1166" s="49"/>
      <c r="N1166" s="49"/>
    </row>
    <row r="1167" ht="18.0" customHeight="1">
      <c r="A1167" s="49"/>
      <c r="B1167" s="49"/>
      <c r="C1167" s="49"/>
      <c r="D1167" s="558"/>
      <c r="E1167" s="49"/>
      <c r="F1167" s="49"/>
      <c r="G1167" s="49"/>
      <c r="H1167" s="49"/>
      <c r="I1167" s="49"/>
      <c r="J1167" s="49"/>
      <c r="K1167" s="49"/>
      <c r="L1167" s="49"/>
      <c r="M1167" s="49"/>
      <c r="N1167" s="49"/>
    </row>
    <row r="1168" ht="18.0" customHeight="1">
      <c r="A1168" s="49"/>
      <c r="B1168" s="49"/>
      <c r="C1168" s="49"/>
      <c r="D1168" s="558"/>
      <c r="E1168" s="49"/>
      <c r="F1168" s="49"/>
      <c r="G1168" s="49"/>
      <c r="H1168" s="49"/>
      <c r="I1168" s="49"/>
      <c r="J1168" s="49"/>
      <c r="K1168" s="49"/>
      <c r="L1168" s="49"/>
      <c r="M1168" s="49"/>
      <c r="N1168" s="49"/>
    </row>
    <row r="1169" ht="18.0" customHeight="1">
      <c r="A1169" s="49"/>
      <c r="B1169" s="49"/>
      <c r="C1169" s="49"/>
      <c r="D1169" s="558"/>
      <c r="E1169" s="49"/>
      <c r="F1169" s="49"/>
      <c r="G1169" s="49"/>
      <c r="H1169" s="49"/>
      <c r="I1169" s="49"/>
      <c r="J1169" s="49"/>
      <c r="K1169" s="49"/>
      <c r="L1169" s="49"/>
      <c r="M1169" s="49"/>
      <c r="N1169" s="49"/>
    </row>
    <row r="1170" ht="18.0" customHeight="1">
      <c r="A1170" s="49"/>
      <c r="B1170" s="49"/>
      <c r="C1170" s="49"/>
      <c r="D1170" s="558"/>
      <c r="E1170" s="49"/>
      <c r="F1170" s="49"/>
      <c r="G1170" s="49"/>
      <c r="H1170" s="49"/>
      <c r="I1170" s="49"/>
      <c r="J1170" s="49"/>
      <c r="K1170" s="49"/>
      <c r="L1170" s="49"/>
      <c r="M1170" s="49"/>
      <c r="N1170" s="49"/>
    </row>
    <row r="1171" ht="18.0" customHeight="1">
      <c r="A1171" s="49"/>
      <c r="B1171" s="49"/>
      <c r="C1171" s="49"/>
      <c r="D1171" s="558"/>
      <c r="E1171" s="49"/>
      <c r="F1171" s="49"/>
      <c r="G1171" s="49"/>
      <c r="H1171" s="49"/>
      <c r="I1171" s="49"/>
      <c r="J1171" s="49"/>
      <c r="K1171" s="49"/>
      <c r="L1171" s="49"/>
      <c r="M1171" s="49"/>
      <c r="N1171" s="49"/>
    </row>
    <row r="1172" ht="18.0" customHeight="1">
      <c r="A1172" s="49"/>
      <c r="B1172" s="49"/>
      <c r="C1172" s="49"/>
      <c r="D1172" s="558"/>
      <c r="E1172" s="49"/>
      <c r="F1172" s="49"/>
      <c r="G1172" s="49"/>
      <c r="H1172" s="49"/>
      <c r="I1172" s="49"/>
      <c r="J1172" s="49"/>
      <c r="K1172" s="49"/>
      <c r="L1172" s="49"/>
      <c r="M1172" s="49"/>
      <c r="N1172" s="49"/>
    </row>
    <row r="1173" ht="18.0" customHeight="1">
      <c r="A1173" s="49"/>
      <c r="B1173" s="49"/>
      <c r="C1173" s="49"/>
      <c r="D1173" s="558"/>
      <c r="E1173" s="49"/>
      <c r="F1173" s="49"/>
      <c r="G1173" s="49"/>
      <c r="H1173" s="49"/>
      <c r="I1173" s="49"/>
      <c r="J1173" s="49"/>
      <c r="K1173" s="49"/>
      <c r="L1173" s="49"/>
      <c r="M1173" s="49"/>
      <c r="N1173" s="49"/>
    </row>
    <row r="1174" ht="15.75" customHeight="1">
      <c r="A1174" s="49"/>
      <c r="B1174" s="49"/>
      <c r="C1174" s="49"/>
      <c r="D1174" s="558"/>
      <c r="E1174" s="49"/>
      <c r="F1174" s="49"/>
      <c r="G1174" s="49"/>
      <c r="H1174" s="49"/>
      <c r="I1174" s="49"/>
      <c r="J1174" s="49"/>
      <c r="K1174" s="49"/>
      <c r="L1174" s="49"/>
      <c r="M1174" s="49"/>
      <c r="N1174" s="49"/>
    </row>
    <row r="1175" ht="15.75" customHeight="1">
      <c r="A1175" s="49"/>
      <c r="B1175" s="49"/>
      <c r="C1175" s="49"/>
      <c r="D1175" s="558"/>
      <c r="E1175" s="49"/>
      <c r="F1175" s="49"/>
      <c r="G1175" s="49"/>
      <c r="H1175" s="49"/>
      <c r="I1175" s="49"/>
      <c r="J1175" s="49"/>
      <c r="K1175" s="49"/>
      <c r="L1175" s="49"/>
      <c r="M1175" s="49"/>
      <c r="N1175" s="49"/>
    </row>
    <row r="1176" ht="15.75" customHeight="1">
      <c r="A1176" s="49"/>
      <c r="B1176" s="49"/>
      <c r="C1176" s="49"/>
      <c r="D1176" s="558"/>
      <c r="E1176" s="49"/>
      <c r="F1176" s="49"/>
      <c r="G1176" s="49"/>
      <c r="H1176" s="49"/>
      <c r="I1176" s="49"/>
      <c r="J1176" s="49"/>
      <c r="K1176" s="49"/>
      <c r="L1176" s="49"/>
      <c r="M1176" s="49"/>
      <c r="N1176" s="49"/>
    </row>
    <row r="1177" ht="15.75" customHeight="1">
      <c r="A1177" s="49"/>
      <c r="B1177" s="49"/>
      <c r="C1177" s="49"/>
      <c r="D1177" s="558"/>
      <c r="E1177" s="49"/>
      <c r="F1177" s="49"/>
      <c r="G1177" s="49"/>
      <c r="H1177" s="49"/>
      <c r="I1177" s="49"/>
      <c r="J1177" s="49"/>
      <c r="K1177" s="49"/>
      <c r="L1177" s="49"/>
      <c r="M1177" s="49"/>
      <c r="N1177" s="49"/>
    </row>
    <row r="1178" ht="15.75" customHeight="1">
      <c r="A1178" s="49"/>
      <c r="B1178" s="49"/>
      <c r="C1178" s="49"/>
      <c r="D1178" s="558"/>
      <c r="E1178" s="49"/>
      <c r="F1178" s="49"/>
      <c r="G1178" s="49"/>
      <c r="H1178" s="49"/>
      <c r="I1178" s="49"/>
      <c r="J1178" s="49"/>
      <c r="K1178" s="49"/>
      <c r="L1178" s="49"/>
      <c r="M1178" s="49"/>
      <c r="N1178" s="49"/>
    </row>
    <row r="1179" ht="15.75" customHeight="1">
      <c r="A1179" s="49"/>
      <c r="B1179" s="49"/>
      <c r="C1179" s="49"/>
      <c r="D1179" s="558"/>
      <c r="E1179" s="49"/>
      <c r="F1179" s="49"/>
      <c r="G1179" s="49"/>
      <c r="H1179" s="49"/>
      <c r="I1179" s="49"/>
      <c r="J1179" s="49"/>
      <c r="K1179" s="49"/>
      <c r="L1179" s="49"/>
      <c r="M1179" s="49"/>
      <c r="N1179" s="49"/>
    </row>
    <row r="1180" ht="15.75" customHeight="1">
      <c r="A1180" s="49"/>
      <c r="B1180" s="49"/>
      <c r="C1180" s="49"/>
      <c r="D1180" s="558"/>
      <c r="E1180" s="49"/>
      <c r="F1180" s="49"/>
      <c r="G1180" s="49"/>
      <c r="H1180" s="49"/>
      <c r="I1180" s="49"/>
      <c r="J1180" s="49"/>
      <c r="K1180" s="49"/>
      <c r="L1180" s="49"/>
      <c r="M1180" s="49"/>
      <c r="N1180" s="49"/>
    </row>
    <row r="1181" ht="15.75" customHeight="1">
      <c r="A1181" s="49"/>
      <c r="B1181" s="49"/>
      <c r="C1181" s="49"/>
      <c r="D1181" s="558"/>
      <c r="E1181" s="49"/>
      <c r="F1181" s="49"/>
      <c r="G1181" s="49"/>
      <c r="H1181" s="49"/>
      <c r="I1181" s="49"/>
      <c r="J1181" s="49"/>
      <c r="K1181" s="49"/>
      <c r="L1181" s="49"/>
      <c r="M1181" s="49"/>
      <c r="N1181" s="49"/>
    </row>
    <row r="1182" ht="15.75" customHeight="1">
      <c r="A1182" s="49"/>
      <c r="B1182" s="49"/>
      <c r="C1182" s="49"/>
      <c r="D1182" s="558"/>
      <c r="E1182" s="49"/>
      <c r="F1182" s="49"/>
      <c r="G1182" s="49"/>
      <c r="H1182" s="49"/>
      <c r="I1182" s="49"/>
      <c r="J1182" s="49"/>
      <c r="K1182" s="49"/>
      <c r="L1182" s="49"/>
      <c r="M1182" s="49"/>
      <c r="N1182" s="49"/>
    </row>
    <row r="1183" ht="15.75" customHeight="1">
      <c r="A1183" s="49"/>
      <c r="B1183" s="49"/>
      <c r="C1183" s="49"/>
      <c r="D1183" s="558"/>
      <c r="E1183" s="49"/>
      <c r="F1183" s="49"/>
      <c r="G1183" s="49"/>
      <c r="H1183" s="49"/>
      <c r="I1183" s="49"/>
      <c r="J1183" s="49"/>
      <c r="K1183" s="49"/>
      <c r="L1183" s="49"/>
      <c r="M1183" s="49"/>
      <c r="N1183" s="49"/>
    </row>
    <row r="1184" ht="15.75" customHeight="1">
      <c r="A1184" s="49"/>
      <c r="B1184" s="49"/>
      <c r="C1184" s="49"/>
      <c r="D1184" s="558"/>
      <c r="E1184" s="49"/>
      <c r="F1184" s="49"/>
      <c r="G1184" s="49"/>
      <c r="H1184" s="49"/>
      <c r="I1184" s="49"/>
      <c r="J1184" s="49"/>
      <c r="K1184" s="49"/>
      <c r="L1184" s="49"/>
      <c r="M1184" s="49"/>
      <c r="N1184" s="49"/>
    </row>
    <row r="1185" ht="15.75" customHeight="1">
      <c r="A1185" s="49"/>
      <c r="B1185" s="49"/>
      <c r="C1185" s="49"/>
      <c r="D1185" s="558"/>
      <c r="E1185" s="49"/>
      <c r="F1185" s="49"/>
      <c r="G1185" s="49"/>
      <c r="H1185" s="49"/>
      <c r="I1185" s="49"/>
      <c r="J1185" s="49"/>
      <c r="K1185" s="49"/>
      <c r="L1185" s="49"/>
      <c r="M1185" s="49"/>
      <c r="N1185" s="49"/>
    </row>
    <row r="1186" ht="15.75" customHeight="1">
      <c r="A1186" s="49"/>
      <c r="B1186" s="49"/>
      <c r="C1186" s="49"/>
      <c r="D1186" s="558"/>
      <c r="E1186" s="49"/>
      <c r="F1186" s="49"/>
      <c r="G1186" s="49"/>
      <c r="H1186" s="49"/>
      <c r="I1186" s="49"/>
      <c r="J1186" s="49"/>
      <c r="K1186" s="49"/>
      <c r="L1186" s="49"/>
      <c r="M1186" s="49"/>
      <c r="N1186" s="49"/>
    </row>
    <row r="1187" ht="15.75" customHeight="1">
      <c r="A1187" s="49"/>
      <c r="B1187" s="49"/>
      <c r="C1187" s="49"/>
      <c r="D1187" s="558"/>
      <c r="E1187" s="49"/>
      <c r="F1187" s="49"/>
      <c r="G1187" s="49"/>
      <c r="H1187" s="49"/>
      <c r="I1187" s="49"/>
      <c r="J1187" s="49"/>
      <c r="K1187" s="49"/>
      <c r="L1187" s="49"/>
      <c r="M1187" s="49"/>
      <c r="N1187" s="49"/>
    </row>
    <row r="1188" ht="15.75" customHeight="1">
      <c r="A1188" s="49"/>
      <c r="B1188" s="49"/>
      <c r="C1188" s="49"/>
      <c r="D1188" s="558"/>
      <c r="E1188" s="49"/>
      <c r="F1188" s="49"/>
      <c r="G1188" s="49"/>
      <c r="H1188" s="49"/>
      <c r="I1188" s="49"/>
      <c r="J1188" s="49"/>
      <c r="K1188" s="49"/>
      <c r="L1188" s="49"/>
      <c r="M1188" s="49"/>
      <c r="N1188" s="49"/>
    </row>
    <row r="1189" ht="15.75" customHeight="1">
      <c r="A1189" s="49"/>
      <c r="B1189" s="49"/>
      <c r="C1189" s="49"/>
      <c r="D1189" s="558"/>
      <c r="E1189" s="49"/>
      <c r="F1189" s="49"/>
      <c r="G1189" s="49"/>
      <c r="H1189" s="49"/>
      <c r="I1189" s="49"/>
      <c r="J1189" s="49"/>
      <c r="K1189" s="49"/>
      <c r="L1189" s="49"/>
      <c r="M1189" s="49"/>
      <c r="N1189" s="49"/>
    </row>
    <row r="1190" ht="15.75" customHeight="1">
      <c r="A1190" s="49"/>
      <c r="B1190" s="49"/>
      <c r="C1190" s="49"/>
      <c r="D1190" s="558"/>
      <c r="E1190" s="49"/>
      <c r="F1190" s="49"/>
      <c r="G1190" s="49"/>
      <c r="H1190" s="49"/>
      <c r="I1190" s="49"/>
      <c r="J1190" s="49"/>
      <c r="K1190" s="49"/>
      <c r="L1190" s="49"/>
      <c r="M1190" s="49"/>
      <c r="N1190" s="49"/>
    </row>
    <row r="1191" ht="15.75" customHeight="1">
      <c r="A1191" s="49"/>
      <c r="B1191" s="49"/>
      <c r="C1191" s="49"/>
      <c r="D1191" s="558"/>
      <c r="E1191" s="49"/>
      <c r="F1191" s="49"/>
      <c r="G1191" s="49"/>
      <c r="H1191" s="49"/>
      <c r="I1191" s="49"/>
      <c r="J1191" s="49"/>
      <c r="K1191" s="49"/>
      <c r="L1191" s="49"/>
      <c r="M1191" s="49"/>
      <c r="N1191" s="49"/>
    </row>
    <row r="1192" ht="15.75" customHeight="1">
      <c r="A1192" s="49"/>
      <c r="B1192" s="49"/>
      <c r="C1192" s="49"/>
      <c r="D1192" s="558"/>
      <c r="E1192" s="49"/>
      <c r="F1192" s="49"/>
      <c r="G1192" s="49"/>
      <c r="H1192" s="49"/>
      <c r="I1192" s="49"/>
      <c r="J1192" s="49"/>
      <c r="K1192" s="49"/>
      <c r="L1192" s="49"/>
      <c r="M1192" s="49"/>
      <c r="N1192" s="49"/>
    </row>
    <row r="1193" ht="15.75" customHeight="1">
      <c r="A1193" s="49"/>
      <c r="B1193" s="49"/>
      <c r="C1193" s="49"/>
      <c r="D1193" s="558"/>
      <c r="E1193" s="49"/>
      <c r="F1193" s="49"/>
      <c r="G1193" s="49"/>
      <c r="H1193" s="49"/>
      <c r="I1193" s="49"/>
      <c r="J1193" s="49"/>
      <c r="K1193" s="49"/>
      <c r="L1193" s="49"/>
      <c r="M1193" s="49"/>
      <c r="N1193" s="49"/>
    </row>
    <row r="1194" ht="15.75" customHeight="1">
      <c r="A1194" s="49"/>
      <c r="B1194" s="49"/>
      <c r="C1194" s="49"/>
      <c r="D1194" s="558"/>
      <c r="E1194" s="49"/>
      <c r="F1194" s="49"/>
      <c r="G1194" s="49"/>
      <c r="H1194" s="49"/>
      <c r="I1194" s="49"/>
      <c r="J1194" s="49"/>
      <c r="K1194" s="49"/>
      <c r="L1194" s="49"/>
      <c r="M1194" s="49"/>
      <c r="N1194" s="49"/>
    </row>
    <row r="1195" ht="15.75" customHeight="1">
      <c r="A1195" s="49"/>
      <c r="B1195" s="49"/>
      <c r="C1195" s="49"/>
      <c r="D1195" s="558"/>
      <c r="E1195" s="49"/>
      <c r="F1195" s="49"/>
      <c r="G1195" s="49"/>
      <c r="H1195" s="49"/>
      <c r="I1195" s="49"/>
      <c r="J1195" s="49"/>
      <c r="K1195" s="49"/>
      <c r="L1195" s="49"/>
      <c r="M1195" s="49"/>
      <c r="N1195" s="49"/>
    </row>
    <row r="1196" ht="15.75" customHeight="1">
      <c r="A1196" s="49"/>
      <c r="B1196" s="49"/>
      <c r="C1196" s="49"/>
      <c r="D1196" s="558"/>
      <c r="E1196" s="49"/>
      <c r="F1196" s="49"/>
      <c r="G1196" s="49"/>
      <c r="H1196" s="49"/>
      <c r="I1196" s="49"/>
      <c r="J1196" s="49"/>
      <c r="K1196" s="49"/>
      <c r="L1196" s="49"/>
      <c r="M1196" s="49"/>
      <c r="N1196" s="49"/>
    </row>
    <row r="1197" ht="15.75" customHeight="1">
      <c r="A1197" s="49"/>
      <c r="B1197" s="49"/>
      <c r="C1197" s="49"/>
      <c r="D1197" s="558"/>
      <c r="E1197" s="49"/>
      <c r="F1197" s="49"/>
      <c r="G1197" s="49"/>
      <c r="H1197" s="49"/>
      <c r="I1197" s="49"/>
      <c r="J1197" s="49"/>
      <c r="K1197" s="49"/>
      <c r="L1197" s="49"/>
      <c r="M1197" s="49"/>
      <c r="N1197" s="49"/>
    </row>
    <row r="1198" ht="15.75" customHeight="1">
      <c r="A1198" s="49"/>
      <c r="B1198" s="49"/>
      <c r="C1198" s="49"/>
      <c r="D1198" s="558"/>
      <c r="E1198" s="49"/>
      <c r="F1198" s="49"/>
      <c r="G1198" s="49"/>
      <c r="H1198" s="49"/>
      <c r="I1198" s="49"/>
      <c r="J1198" s="49"/>
      <c r="K1198" s="49"/>
      <c r="L1198" s="49"/>
      <c r="M1198" s="49"/>
      <c r="N1198" s="49"/>
    </row>
    <row r="1199" ht="15.75" customHeight="1">
      <c r="A1199" s="49"/>
      <c r="B1199" s="49"/>
      <c r="C1199" s="49"/>
      <c r="D1199" s="558"/>
      <c r="E1199" s="49"/>
      <c r="F1199" s="49"/>
      <c r="G1199" s="49"/>
      <c r="H1199" s="49"/>
      <c r="I1199" s="49"/>
      <c r="J1199" s="49"/>
      <c r="K1199" s="49"/>
      <c r="L1199" s="49"/>
      <c r="M1199" s="49"/>
      <c r="N1199" s="49"/>
    </row>
    <row r="1200" ht="15.75" customHeight="1">
      <c r="A1200" s="49"/>
      <c r="B1200" s="49"/>
      <c r="C1200" s="49"/>
      <c r="D1200" s="558"/>
      <c r="E1200" s="49"/>
      <c r="F1200" s="49"/>
      <c r="G1200" s="49"/>
      <c r="H1200" s="49"/>
      <c r="I1200" s="49"/>
      <c r="J1200" s="49"/>
      <c r="K1200" s="49"/>
      <c r="L1200" s="49"/>
      <c r="M1200" s="49"/>
      <c r="N1200" s="49"/>
    </row>
    <row r="1201" ht="15.75" customHeight="1">
      <c r="A1201" s="49"/>
      <c r="B1201" s="49"/>
      <c r="C1201" s="49"/>
      <c r="D1201" s="558"/>
      <c r="E1201" s="49"/>
      <c r="F1201" s="49"/>
      <c r="G1201" s="49"/>
      <c r="H1201" s="49"/>
      <c r="I1201" s="49"/>
      <c r="J1201" s="49"/>
      <c r="K1201" s="49"/>
      <c r="L1201" s="49"/>
      <c r="M1201" s="49"/>
      <c r="N1201" s="49"/>
    </row>
    <row r="1202" ht="15.75" customHeight="1">
      <c r="A1202" s="49"/>
      <c r="B1202" s="49"/>
      <c r="C1202" s="49"/>
      <c r="D1202" s="558"/>
      <c r="E1202" s="49"/>
      <c r="F1202" s="49"/>
      <c r="G1202" s="49"/>
      <c r="H1202" s="49"/>
      <c r="I1202" s="49"/>
      <c r="J1202" s="49"/>
      <c r="K1202" s="49"/>
      <c r="L1202" s="49"/>
      <c r="M1202" s="49"/>
      <c r="N1202" s="49"/>
    </row>
    <row r="1203" ht="15.0" customHeight="1">
      <c r="A1203" s="49"/>
      <c r="B1203" s="49"/>
      <c r="C1203" s="49"/>
      <c r="D1203" s="558"/>
      <c r="E1203" s="49"/>
      <c r="F1203" s="49"/>
      <c r="G1203" s="49"/>
      <c r="H1203" s="49"/>
      <c r="I1203" s="49"/>
      <c r="J1203" s="49"/>
      <c r="K1203" s="49"/>
      <c r="L1203" s="49"/>
      <c r="M1203" s="49"/>
      <c r="N1203" s="49"/>
    </row>
    <row r="1204" ht="15.75" customHeight="1">
      <c r="A1204" s="49"/>
      <c r="B1204" s="49"/>
      <c r="C1204" s="49"/>
      <c r="D1204" s="558"/>
      <c r="E1204" s="49"/>
      <c r="F1204" s="49"/>
      <c r="G1204" s="49"/>
      <c r="H1204" s="49"/>
      <c r="I1204" s="49"/>
      <c r="J1204" s="49"/>
      <c r="K1204" s="49"/>
      <c r="L1204" s="49"/>
      <c r="M1204" s="49"/>
      <c r="N1204" s="49"/>
    </row>
    <row r="1205" ht="15.75" customHeight="1">
      <c r="A1205" s="49"/>
      <c r="B1205" s="49"/>
      <c r="C1205" s="49"/>
      <c r="D1205" s="558"/>
      <c r="E1205" s="49"/>
      <c r="F1205" s="49"/>
      <c r="G1205" s="49"/>
      <c r="H1205" s="49"/>
      <c r="I1205" s="49"/>
      <c r="J1205" s="49"/>
      <c r="K1205" s="49"/>
      <c r="L1205" s="49"/>
      <c r="M1205" s="49"/>
      <c r="N1205" s="49"/>
    </row>
    <row r="1206" ht="15.75" customHeight="1">
      <c r="A1206" s="49"/>
      <c r="B1206" s="49"/>
      <c r="C1206" s="49"/>
      <c r="D1206" s="558"/>
      <c r="E1206" s="49"/>
      <c r="F1206" s="49"/>
      <c r="G1206" s="49"/>
      <c r="H1206" s="49"/>
      <c r="I1206" s="49"/>
      <c r="J1206" s="49"/>
      <c r="K1206" s="49"/>
      <c r="L1206" s="49"/>
      <c r="M1206" s="49"/>
      <c r="N1206" s="49"/>
    </row>
    <row r="1207" ht="15.75" customHeight="1">
      <c r="A1207" s="49"/>
      <c r="B1207" s="49"/>
      <c r="C1207" s="49"/>
      <c r="D1207" s="558"/>
      <c r="E1207" s="49"/>
      <c r="F1207" s="49"/>
      <c r="G1207" s="49"/>
      <c r="H1207" s="49"/>
      <c r="I1207" s="49"/>
      <c r="J1207" s="49"/>
      <c r="K1207" s="49"/>
      <c r="L1207" s="49"/>
      <c r="M1207" s="49"/>
      <c r="N1207" s="49"/>
    </row>
    <row r="1208" ht="15.75" customHeight="1">
      <c r="A1208" s="49"/>
      <c r="B1208" s="49"/>
      <c r="C1208" s="49"/>
      <c r="D1208" s="558"/>
      <c r="E1208" s="49"/>
      <c r="F1208" s="49"/>
      <c r="G1208" s="49"/>
      <c r="H1208" s="49"/>
      <c r="I1208" s="49"/>
      <c r="J1208" s="49"/>
      <c r="K1208" s="49"/>
      <c r="L1208" s="49"/>
      <c r="M1208" s="49"/>
      <c r="N1208" s="49"/>
    </row>
    <row r="1209" ht="15.75" customHeight="1">
      <c r="A1209" s="49"/>
      <c r="B1209" s="49"/>
      <c r="C1209" s="49"/>
      <c r="D1209" s="558"/>
      <c r="E1209" s="49"/>
      <c r="F1209" s="49"/>
      <c r="G1209" s="49"/>
      <c r="H1209" s="49"/>
      <c r="I1209" s="49"/>
      <c r="J1209" s="49"/>
      <c r="K1209" s="49"/>
      <c r="L1209" s="49"/>
      <c r="M1209" s="49"/>
      <c r="N1209" s="49"/>
    </row>
    <row r="1210" ht="15.75" customHeight="1">
      <c r="A1210" s="49"/>
      <c r="B1210" s="49"/>
      <c r="C1210" s="49"/>
      <c r="D1210" s="558"/>
      <c r="E1210" s="49"/>
      <c r="F1210" s="49"/>
      <c r="G1210" s="49"/>
      <c r="H1210" s="49"/>
      <c r="I1210" s="49"/>
      <c r="J1210" s="49"/>
      <c r="K1210" s="49"/>
      <c r="L1210" s="49"/>
      <c r="M1210" s="49"/>
      <c r="N1210" s="49"/>
    </row>
    <row r="1211" ht="15.75" customHeight="1">
      <c r="A1211" s="49"/>
      <c r="B1211" s="49"/>
      <c r="C1211" s="49"/>
      <c r="D1211" s="558"/>
      <c r="E1211" s="49"/>
      <c r="F1211" s="49"/>
      <c r="G1211" s="49"/>
      <c r="H1211" s="49"/>
      <c r="I1211" s="49"/>
      <c r="J1211" s="49"/>
      <c r="K1211" s="49"/>
      <c r="L1211" s="49"/>
      <c r="M1211" s="49"/>
      <c r="N1211" s="49"/>
    </row>
    <row r="1212" ht="15.75" customHeight="1">
      <c r="A1212" s="49"/>
      <c r="B1212" s="49"/>
      <c r="C1212" s="49"/>
      <c r="D1212" s="558"/>
      <c r="E1212" s="49"/>
      <c r="F1212" s="49"/>
      <c r="G1212" s="49"/>
      <c r="H1212" s="49"/>
      <c r="I1212" s="49"/>
      <c r="J1212" s="49"/>
      <c r="K1212" s="49"/>
      <c r="L1212" s="49"/>
      <c r="M1212" s="49"/>
      <c r="N1212" s="49"/>
    </row>
    <row r="1213" ht="18.0" customHeight="1">
      <c r="A1213" s="49"/>
      <c r="B1213" s="49"/>
      <c r="C1213" s="49"/>
      <c r="D1213" s="558"/>
      <c r="E1213" s="49"/>
      <c r="F1213" s="49"/>
      <c r="G1213" s="49"/>
      <c r="H1213" s="49"/>
      <c r="I1213" s="49"/>
      <c r="J1213" s="49"/>
      <c r="K1213" s="49"/>
      <c r="L1213" s="49"/>
      <c r="M1213" s="49"/>
      <c r="N1213" s="49"/>
    </row>
    <row r="1214" ht="15.75" customHeight="1">
      <c r="A1214" s="49"/>
      <c r="B1214" s="49"/>
      <c r="C1214" s="49"/>
      <c r="D1214" s="558"/>
      <c r="E1214" s="49"/>
      <c r="F1214" s="49"/>
      <c r="G1214" s="49"/>
      <c r="H1214" s="49"/>
      <c r="I1214" s="49"/>
      <c r="J1214" s="49"/>
      <c r="K1214" s="49"/>
      <c r="L1214" s="49"/>
      <c r="M1214" s="49"/>
      <c r="N1214" s="49"/>
    </row>
    <row r="1215" ht="15.75" customHeight="1">
      <c r="A1215" s="49"/>
      <c r="B1215" s="49"/>
      <c r="C1215" s="49"/>
      <c r="D1215" s="558"/>
      <c r="E1215" s="49"/>
      <c r="F1215" s="49"/>
      <c r="G1215" s="49"/>
      <c r="H1215" s="49"/>
      <c r="I1215" s="49"/>
      <c r="J1215" s="49"/>
      <c r="K1215" s="49"/>
      <c r="L1215" s="49"/>
      <c r="M1215" s="49"/>
      <c r="N1215" s="49"/>
    </row>
    <row r="1216" ht="15.75" customHeight="1">
      <c r="A1216" s="49"/>
      <c r="B1216" s="49"/>
      <c r="C1216" s="49"/>
      <c r="D1216" s="558"/>
      <c r="E1216" s="49"/>
      <c r="F1216" s="49"/>
      <c r="G1216" s="49"/>
      <c r="H1216" s="49"/>
      <c r="I1216" s="49"/>
      <c r="J1216" s="49"/>
      <c r="K1216" s="49"/>
      <c r="L1216" s="49"/>
      <c r="M1216" s="49"/>
      <c r="N1216" s="49"/>
    </row>
    <row r="1217" ht="14.25" customHeight="1">
      <c r="A1217" s="49"/>
      <c r="B1217" s="49"/>
      <c r="C1217" s="49"/>
      <c r="D1217" s="558"/>
      <c r="E1217" s="49"/>
      <c r="F1217" s="49"/>
      <c r="G1217" s="49"/>
      <c r="H1217" s="49"/>
      <c r="I1217" s="49"/>
      <c r="J1217" s="49"/>
      <c r="K1217" s="49"/>
      <c r="L1217" s="49"/>
      <c r="M1217" s="49"/>
      <c r="N1217" s="49"/>
    </row>
    <row r="1218" ht="15.75" customHeight="1">
      <c r="A1218" s="49"/>
      <c r="B1218" s="49"/>
      <c r="C1218" s="49"/>
      <c r="D1218" s="558"/>
      <c r="E1218" s="49"/>
      <c r="F1218" s="49"/>
      <c r="G1218" s="49"/>
      <c r="H1218" s="49"/>
      <c r="I1218" s="49"/>
      <c r="J1218" s="49"/>
      <c r="K1218" s="49"/>
      <c r="L1218" s="49"/>
      <c r="M1218" s="49"/>
      <c r="N1218" s="49"/>
    </row>
    <row r="1219" ht="15.75" customHeight="1">
      <c r="A1219" s="49"/>
      <c r="B1219" s="49"/>
      <c r="C1219" s="49"/>
      <c r="D1219" s="558"/>
      <c r="E1219" s="49"/>
      <c r="F1219" s="49"/>
      <c r="G1219" s="49"/>
      <c r="H1219" s="49"/>
      <c r="I1219" s="49"/>
      <c r="J1219" s="49"/>
      <c r="K1219" s="49"/>
      <c r="L1219" s="49"/>
      <c r="M1219" s="49"/>
      <c r="N1219" s="49"/>
    </row>
    <row r="1220" ht="15.75" customHeight="1">
      <c r="A1220" s="49"/>
      <c r="B1220" s="49"/>
      <c r="C1220" s="49"/>
      <c r="D1220" s="558"/>
      <c r="E1220" s="49"/>
      <c r="F1220" s="49"/>
      <c r="G1220" s="49"/>
      <c r="H1220" s="49"/>
      <c r="I1220" s="49"/>
      <c r="J1220" s="49"/>
      <c r="K1220" s="49"/>
      <c r="L1220" s="49"/>
      <c r="M1220" s="49"/>
      <c r="N1220" s="49"/>
    </row>
    <row r="1221" ht="15.75" customHeight="1">
      <c r="A1221" s="49"/>
      <c r="B1221" s="49"/>
      <c r="C1221" s="49"/>
      <c r="D1221" s="558"/>
      <c r="E1221" s="49"/>
      <c r="F1221" s="49"/>
      <c r="G1221" s="49"/>
      <c r="H1221" s="49"/>
      <c r="I1221" s="49"/>
      <c r="J1221" s="49"/>
      <c r="K1221" s="49"/>
      <c r="L1221" s="49"/>
      <c r="M1221" s="49"/>
      <c r="N1221" s="49"/>
    </row>
    <row r="1222" ht="15.75" customHeight="1">
      <c r="A1222" s="49"/>
      <c r="B1222" s="49"/>
      <c r="C1222" s="49"/>
      <c r="D1222" s="558"/>
      <c r="E1222" s="49"/>
      <c r="F1222" s="49"/>
      <c r="G1222" s="49"/>
      <c r="H1222" s="49"/>
      <c r="I1222" s="49"/>
      <c r="J1222" s="49"/>
      <c r="K1222" s="49"/>
      <c r="L1222" s="49"/>
      <c r="M1222" s="49"/>
      <c r="N1222" s="49"/>
    </row>
    <row r="1223" ht="21.75" customHeight="1">
      <c r="A1223" s="49"/>
      <c r="B1223" s="49"/>
      <c r="C1223" s="49"/>
      <c r="D1223" s="558"/>
      <c r="E1223" s="49"/>
      <c r="F1223" s="49"/>
      <c r="G1223" s="49"/>
      <c r="H1223" s="49"/>
      <c r="I1223" s="49"/>
      <c r="J1223" s="49"/>
      <c r="K1223" s="49"/>
      <c r="L1223" s="49"/>
      <c r="M1223" s="49"/>
      <c r="N1223" s="49"/>
    </row>
    <row r="1224" ht="18.0" customHeight="1">
      <c r="A1224" s="49"/>
      <c r="B1224" s="49"/>
      <c r="C1224" s="49"/>
      <c r="D1224" s="558"/>
      <c r="E1224" s="49"/>
      <c r="F1224" s="49"/>
      <c r="G1224" s="49"/>
      <c r="H1224" s="49"/>
      <c r="I1224" s="49"/>
      <c r="J1224" s="49"/>
      <c r="K1224" s="49"/>
      <c r="L1224" s="49"/>
      <c r="M1224" s="49"/>
      <c r="N1224" s="49"/>
    </row>
    <row r="1225" ht="20.25" customHeight="1">
      <c r="A1225" s="49"/>
      <c r="B1225" s="49"/>
      <c r="C1225" s="49"/>
      <c r="D1225" s="558"/>
      <c r="E1225" s="49"/>
      <c r="F1225" s="49"/>
      <c r="G1225" s="49"/>
      <c r="H1225" s="49"/>
      <c r="I1225" s="49"/>
      <c r="J1225" s="49"/>
      <c r="K1225" s="49"/>
      <c r="L1225" s="49"/>
      <c r="M1225" s="49"/>
      <c r="N1225" s="49"/>
    </row>
    <row r="1226" ht="18.0" customHeight="1">
      <c r="A1226" s="49"/>
      <c r="B1226" s="49"/>
      <c r="C1226" s="49"/>
      <c r="D1226" s="558"/>
      <c r="E1226" s="49"/>
      <c r="F1226" s="49"/>
      <c r="G1226" s="49"/>
      <c r="H1226" s="49"/>
      <c r="I1226" s="49"/>
      <c r="J1226" s="49"/>
      <c r="K1226" s="49"/>
      <c r="L1226" s="49"/>
      <c r="M1226" s="49"/>
      <c r="N1226" s="49"/>
    </row>
    <row r="1227" ht="18.0" customHeight="1">
      <c r="A1227" s="49"/>
      <c r="B1227" s="49"/>
      <c r="C1227" s="49"/>
      <c r="D1227" s="558"/>
      <c r="E1227" s="49"/>
      <c r="F1227" s="49"/>
      <c r="G1227" s="49"/>
      <c r="H1227" s="49"/>
      <c r="I1227" s="49"/>
      <c r="J1227" s="49"/>
      <c r="K1227" s="49"/>
      <c r="L1227" s="49"/>
      <c r="M1227" s="49"/>
      <c r="N1227" s="49"/>
    </row>
    <row r="1228" ht="18.0" customHeight="1">
      <c r="A1228" s="49"/>
      <c r="B1228" s="49"/>
      <c r="C1228" s="49"/>
      <c r="D1228" s="558"/>
      <c r="E1228" s="49"/>
      <c r="F1228" s="49"/>
      <c r="G1228" s="49"/>
      <c r="H1228" s="49"/>
      <c r="I1228" s="49"/>
      <c r="J1228" s="49"/>
      <c r="K1228" s="49"/>
      <c r="L1228" s="49"/>
      <c r="M1228" s="49"/>
      <c r="N1228" s="49"/>
    </row>
    <row r="1229" ht="18.0" customHeight="1">
      <c r="A1229" s="49"/>
      <c r="B1229" s="49"/>
      <c r="C1229" s="49"/>
      <c r="D1229" s="558"/>
      <c r="E1229" s="49"/>
      <c r="F1229" s="49"/>
      <c r="G1229" s="49"/>
      <c r="H1229" s="49"/>
      <c r="I1229" s="49"/>
      <c r="J1229" s="49"/>
      <c r="K1229" s="49"/>
      <c r="L1229" s="49"/>
      <c r="M1229" s="49"/>
      <c r="N1229" s="49"/>
    </row>
    <row r="1230" ht="15.0" customHeight="1">
      <c r="A1230" s="49"/>
      <c r="B1230" s="49"/>
      <c r="C1230" s="49"/>
      <c r="D1230" s="558"/>
      <c r="E1230" s="49"/>
      <c r="F1230" s="49"/>
      <c r="G1230" s="49"/>
      <c r="H1230" s="49"/>
      <c r="I1230" s="49"/>
      <c r="J1230" s="49"/>
      <c r="K1230" s="49"/>
      <c r="L1230" s="49"/>
      <c r="M1230" s="49"/>
      <c r="N1230" s="49"/>
    </row>
    <row r="1231" ht="15.0" customHeight="1">
      <c r="A1231" s="49"/>
      <c r="B1231" s="49"/>
      <c r="C1231" s="49"/>
      <c r="D1231" s="558"/>
      <c r="E1231" s="49"/>
      <c r="F1231" s="49"/>
      <c r="G1231" s="49"/>
      <c r="H1231" s="49"/>
      <c r="I1231" s="49"/>
      <c r="J1231" s="49"/>
      <c r="K1231" s="49"/>
      <c r="L1231" s="49"/>
      <c r="M1231" s="49"/>
      <c r="N1231" s="49"/>
    </row>
    <row r="1232" ht="18.0" customHeight="1">
      <c r="A1232" s="49"/>
      <c r="B1232" s="49"/>
      <c r="C1232" s="49"/>
      <c r="D1232" s="558"/>
      <c r="E1232" s="49"/>
      <c r="F1232" s="49"/>
      <c r="G1232" s="49"/>
      <c r="H1232" s="49"/>
      <c r="I1232" s="49"/>
      <c r="J1232" s="49"/>
      <c r="K1232" s="49"/>
      <c r="L1232" s="49"/>
      <c r="M1232" s="49"/>
      <c r="N1232" s="49"/>
    </row>
    <row r="1233" ht="18.0" customHeight="1">
      <c r="A1233" s="49"/>
      <c r="B1233" s="49"/>
      <c r="C1233" s="49"/>
      <c r="D1233" s="558"/>
      <c r="E1233" s="49"/>
      <c r="F1233" s="49"/>
      <c r="G1233" s="49"/>
      <c r="H1233" s="49"/>
      <c r="I1233" s="49"/>
      <c r="J1233" s="49"/>
      <c r="K1233" s="49"/>
      <c r="L1233" s="49"/>
      <c r="M1233" s="49"/>
      <c r="N1233" s="49"/>
    </row>
    <row r="1234" ht="15.0" customHeight="1">
      <c r="A1234" s="49"/>
      <c r="B1234" s="49"/>
      <c r="C1234" s="49"/>
      <c r="D1234" s="558"/>
      <c r="E1234" s="49"/>
      <c r="F1234" s="49"/>
      <c r="G1234" s="49"/>
      <c r="H1234" s="49"/>
      <c r="I1234" s="49"/>
      <c r="J1234" s="49"/>
      <c r="K1234" s="49"/>
      <c r="L1234" s="49"/>
      <c r="M1234" s="49"/>
      <c r="N1234" s="49"/>
    </row>
    <row r="1235" ht="18.0" customHeight="1">
      <c r="A1235" s="49"/>
      <c r="B1235" s="49"/>
      <c r="C1235" s="49"/>
      <c r="D1235" s="558"/>
      <c r="E1235" s="49"/>
      <c r="F1235" s="49"/>
      <c r="G1235" s="49"/>
      <c r="H1235" s="49"/>
      <c r="I1235" s="49"/>
      <c r="J1235" s="49"/>
      <c r="K1235" s="49"/>
      <c r="L1235" s="49"/>
      <c r="M1235" s="49"/>
      <c r="N1235" s="49"/>
    </row>
    <row r="1236" ht="15.0" customHeight="1">
      <c r="A1236" s="49"/>
      <c r="B1236" s="49"/>
      <c r="C1236" s="49"/>
      <c r="D1236" s="558"/>
      <c r="E1236" s="49"/>
      <c r="F1236" s="49"/>
      <c r="G1236" s="49"/>
      <c r="H1236" s="49"/>
      <c r="I1236" s="49"/>
      <c r="J1236" s="49"/>
      <c r="K1236" s="49"/>
      <c r="L1236" s="49"/>
      <c r="M1236" s="49"/>
      <c r="N1236" s="49"/>
    </row>
    <row r="1237" ht="18.0" customHeight="1">
      <c r="A1237" s="49"/>
      <c r="B1237" s="49"/>
      <c r="C1237" s="49"/>
      <c r="D1237" s="558"/>
      <c r="E1237" s="49"/>
      <c r="F1237" s="49"/>
      <c r="G1237" s="49"/>
      <c r="H1237" s="49"/>
      <c r="I1237" s="49"/>
      <c r="J1237" s="49"/>
      <c r="K1237" s="49"/>
      <c r="L1237" s="49"/>
      <c r="M1237" s="49"/>
      <c r="N1237" s="49"/>
    </row>
    <row r="1238" ht="15.0" customHeight="1">
      <c r="A1238" s="49"/>
      <c r="B1238" s="49"/>
      <c r="C1238" s="49"/>
      <c r="D1238" s="558"/>
      <c r="E1238" s="49"/>
      <c r="F1238" s="49"/>
      <c r="G1238" s="49"/>
      <c r="H1238" s="49"/>
      <c r="I1238" s="49"/>
      <c r="J1238" s="49"/>
      <c r="K1238" s="49"/>
      <c r="L1238" s="49"/>
      <c r="M1238" s="49"/>
      <c r="N1238" s="49"/>
    </row>
    <row r="1239" ht="18.0" customHeight="1">
      <c r="A1239" s="49"/>
      <c r="B1239" s="49"/>
      <c r="C1239" s="49"/>
      <c r="D1239" s="558"/>
      <c r="E1239" s="49"/>
      <c r="F1239" s="49"/>
      <c r="G1239" s="49"/>
      <c r="H1239" s="49"/>
      <c r="I1239" s="49"/>
      <c r="J1239" s="49"/>
      <c r="K1239" s="49"/>
      <c r="L1239" s="49"/>
      <c r="M1239" s="49"/>
      <c r="N1239" s="49"/>
    </row>
    <row r="1240" ht="18.0" customHeight="1">
      <c r="A1240" s="49"/>
      <c r="B1240" s="49"/>
      <c r="C1240" s="49"/>
      <c r="D1240" s="558"/>
      <c r="E1240" s="49"/>
      <c r="F1240" s="49"/>
      <c r="G1240" s="49"/>
      <c r="H1240" s="49"/>
      <c r="I1240" s="49"/>
      <c r="J1240" s="49"/>
      <c r="K1240" s="49"/>
      <c r="L1240" s="49"/>
      <c r="M1240" s="49"/>
      <c r="N1240" s="49"/>
    </row>
    <row r="1241" ht="15.0" customHeight="1">
      <c r="A1241" s="49"/>
      <c r="B1241" s="49"/>
      <c r="C1241" s="49"/>
      <c r="D1241" s="558"/>
      <c r="E1241" s="49"/>
      <c r="F1241" s="49"/>
      <c r="G1241" s="49"/>
      <c r="H1241" s="49"/>
      <c r="I1241" s="49"/>
      <c r="J1241" s="49"/>
      <c r="K1241" s="49"/>
      <c r="L1241" s="49"/>
      <c r="M1241" s="49"/>
      <c r="N1241" s="49"/>
    </row>
    <row r="1242" ht="18.0" customHeight="1">
      <c r="A1242" s="49"/>
      <c r="B1242" s="49"/>
      <c r="C1242" s="49"/>
      <c r="D1242" s="558"/>
      <c r="E1242" s="49"/>
      <c r="F1242" s="49"/>
      <c r="G1242" s="49"/>
      <c r="H1242" s="49"/>
      <c r="I1242" s="49"/>
      <c r="J1242" s="49"/>
      <c r="K1242" s="49"/>
      <c r="L1242" s="49"/>
      <c r="M1242" s="49"/>
      <c r="N1242" s="49"/>
    </row>
    <row r="1243" ht="18.0" customHeight="1">
      <c r="A1243" s="49"/>
      <c r="B1243" s="49"/>
      <c r="C1243" s="49"/>
      <c r="D1243" s="558"/>
      <c r="E1243" s="49"/>
      <c r="F1243" s="49"/>
      <c r="G1243" s="49"/>
      <c r="H1243" s="49"/>
      <c r="I1243" s="49"/>
      <c r="J1243" s="49"/>
      <c r="K1243" s="49"/>
      <c r="L1243" s="49"/>
      <c r="M1243" s="49"/>
      <c r="N1243" s="49"/>
    </row>
    <row r="1244" ht="15.75" customHeight="1">
      <c r="A1244" s="49"/>
      <c r="B1244" s="49"/>
      <c r="C1244" s="49"/>
      <c r="D1244" s="558"/>
      <c r="E1244" s="49"/>
      <c r="F1244" s="49"/>
      <c r="G1244" s="49"/>
      <c r="H1244" s="49"/>
      <c r="I1244" s="49"/>
      <c r="J1244" s="49"/>
      <c r="K1244" s="49"/>
      <c r="L1244" s="49"/>
      <c r="M1244" s="49"/>
      <c r="N1244" s="49"/>
    </row>
    <row r="1245" ht="16.5" customHeight="1">
      <c r="A1245" s="49"/>
      <c r="B1245" s="49"/>
      <c r="C1245" s="49"/>
      <c r="D1245" s="558"/>
      <c r="E1245" s="49"/>
      <c r="F1245" s="49"/>
      <c r="G1245" s="49"/>
      <c r="H1245" s="49"/>
      <c r="I1245" s="49"/>
      <c r="J1245" s="49"/>
      <c r="K1245" s="49"/>
      <c r="L1245" s="49"/>
      <c r="M1245" s="49"/>
      <c r="N1245" s="49"/>
    </row>
    <row r="1246" ht="18.0" customHeight="1">
      <c r="A1246" s="49"/>
      <c r="B1246" s="49"/>
      <c r="C1246" s="49"/>
      <c r="D1246" s="558"/>
      <c r="E1246" s="49"/>
      <c r="F1246" s="49"/>
      <c r="G1246" s="49"/>
      <c r="H1246" s="49"/>
      <c r="I1246" s="49"/>
      <c r="J1246" s="49"/>
      <c r="K1246" s="49"/>
      <c r="L1246" s="49"/>
      <c r="M1246" s="49"/>
      <c r="N1246" s="49"/>
    </row>
    <row r="1247" ht="15.0" customHeight="1">
      <c r="A1247" s="49"/>
      <c r="B1247" s="49"/>
      <c r="C1247" s="49"/>
      <c r="D1247" s="558"/>
      <c r="E1247" s="49"/>
      <c r="F1247" s="49"/>
      <c r="G1247" s="49"/>
      <c r="H1247" s="49"/>
      <c r="I1247" s="49"/>
      <c r="J1247" s="49"/>
      <c r="K1247" s="49"/>
      <c r="L1247" s="49"/>
      <c r="M1247" s="49"/>
      <c r="N1247" s="49"/>
    </row>
    <row r="1248" ht="18.0" customHeight="1">
      <c r="A1248" s="49"/>
      <c r="B1248" s="49"/>
      <c r="C1248" s="49"/>
      <c r="D1248" s="558"/>
      <c r="E1248" s="49"/>
      <c r="F1248" s="49"/>
      <c r="G1248" s="49"/>
      <c r="H1248" s="49"/>
      <c r="I1248" s="49"/>
      <c r="J1248" s="49"/>
      <c r="K1248" s="49"/>
      <c r="L1248" s="49"/>
      <c r="M1248" s="49"/>
      <c r="N1248" s="49"/>
    </row>
    <row r="1249" ht="15.0" customHeight="1">
      <c r="A1249" s="49"/>
      <c r="B1249" s="49"/>
      <c r="C1249" s="49"/>
      <c r="D1249" s="558"/>
      <c r="E1249" s="49"/>
      <c r="F1249" s="49"/>
      <c r="G1249" s="49"/>
      <c r="H1249" s="49"/>
      <c r="I1249" s="49"/>
      <c r="J1249" s="49"/>
      <c r="K1249" s="49"/>
      <c r="L1249" s="49"/>
      <c r="M1249" s="49"/>
      <c r="N1249" s="49"/>
    </row>
    <row r="1250" ht="18.0" customHeight="1">
      <c r="A1250" s="49"/>
      <c r="B1250" s="49"/>
      <c r="C1250" s="49"/>
      <c r="D1250" s="558"/>
      <c r="E1250" s="49"/>
      <c r="F1250" s="49"/>
      <c r="G1250" s="49"/>
      <c r="H1250" s="49"/>
      <c r="I1250" s="49"/>
      <c r="J1250" s="49"/>
      <c r="K1250" s="49"/>
      <c r="L1250" s="49"/>
      <c r="M1250" s="49"/>
      <c r="N1250" s="49"/>
    </row>
    <row r="1251" ht="18.0" customHeight="1">
      <c r="A1251" s="49"/>
      <c r="B1251" s="49"/>
      <c r="C1251" s="49"/>
      <c r="D1251" s="558"/>
      <c r="E1251" s="49"/>
      <c r="F1251" s="49"/>
      <c r="G1251" s="49"/>
      <c r="H1251" s="49"/>
      <c r="I1251" s="49"/>
      <c r="J1251" s="49"/>
      <c r="K1251" s="49"/>
      <c r="L1251" s="49"/>
      <c r="M1251" s="49"/>
      <c r="N1251" s="49"/>
    </row>
    <row r="1252" ht="18.0" customHeight="1">
      <c r="A1252" s="49"/>
      <c r="B1252" s="49"/>
      <c r="C1252" s="49"/>
      <c r="D1252" s="558"/>
      <c r="E1252" s="49"/>
      <c r="F1252" s="49"/>
      <c r="G1252" s="49"/>
      <c r="H1252" s="49"/>
      <c r="I1252" s="49"/>
      <c r="J1252" s="49"/>
      <c r="K1252" s="49"/>
      <c r="L1252" s="49"/>
      <c r="M1252" s="49"/>
      <c r="N1252" s="49"/>
    </row>
    <row r="1253" ht="18.0" customHeight="1">
      <c r="A1253" s="49"/>
      <c r="B1253" s="49"/>
      <c r="C1253" s="49"/>
      <c r="D1253" s="558"/>
      <c r="E1253" s="49"/>
      <c r="F1253" s="49"/>
      <c r="G1253" s="49"/>
      <c r="H1253" s="49"/>
      <c r="I1253" s="49"/>
      <c r="J1253" s="49"/>
      <c r="K1253" s="49"/>
      <c r="L1253" s="49"/>
      <c r="M1253" s="49"/>
      <c r="N1253" s="49"/>
    </row>
    <row r="1254" ht="18.0" customHeight="1">
      <c r="A1254" s="49"/>
      <c r="B1254" s="49"/>
      <c r="C1254" s="49"/>
      <c r="D1254" s="558"/>
      <c r="E1254" s="49"/>
      <c r="F1254" s="49"/>
      <c r="G1254" s="49"/>
      <c r="H1254" s="49"/>
      <c r="I1254" s="49"/>
      <c r="J1254" s="49"/>
      <c r="K1254" s="49"/>
      <c r="L1254" s="49"/>
      <c r="M1254" s="49"/>
      <c r="N1254" s="49"/>
    </row>
    <row r="1255" ht="18.0" customHeight="1">
      <c r="A1255" s="49"/>
      <c r="B1255" s="49"/>
      <c r="C1255" s="49"/>
      <c r="D1255" s="558"/>
      <c r="E1255" s="49"/>
      <c r="F1255" s="49"/>
      <c r="G1255" s="49"/>
      <c r="H1255" s="49"/>
      <c r="I1255" s="49"/>
      <c r="J1255" s="49"/>
      <c r="K1255" s="49"/>
      <c r="L1255" s="49"/>
      <c r="M1255" s="49"/>
      <c r="N1255" s="49"/>
    </row>
    <row r="1256" ht="18.0" customHeight="1">
      <c r="A1256" s="49"/>
      <c r="B1256" s="49"/>
      <c r="C1256" s="49"/>
      <c r="D1256" s="558"/>
      <c r="E1256" s="49"/>
      <c r="F1256" s="49"/>
      <c r="G1256" s="49"/>
      <c r="H1256" s="49"/>
      <c r="I1256" s="49"/>
      <c r="J1256" s="49"/>
      <c r="K1256" s="49"/>
      <c r="L1256" s="49"/>
      <c r="M1256" s="49"/>
      <c r="N1256" s="49"/>
    </row>
    <row r="1257" ht="15.0" customHeight="1">
      <c r="A1257" s="49"/>
      <c r="B1257" s="49"/>
      <c r="C1257" s="49"/>
      <c r="D1257" s="558"/>
      <c r="E1257" s="49"/>
      <c r="F1257" s="49"/>
      <c r="G1257" s="49"/>
      <c r="H1257" s="49"/>
      <c r="I1257" s="49"/>
      <c r="J1257" s="49"/>
      <c r="K1257" s="49"/>
      <c r="L1257" s="49"/>
      <c r="M1257" s="49"/>
      <c r="N1257" s="49"/>
    </row>
    <row r="1258" ht="18.0" customHeight="1">
      <c r="A1258" s="49"/>
      <c r="B1258" s="49"/>
      <c r="C1258" s="49"/>
      <c r="D1258" s="558"/>
      <c r="E1258" s="49"/>
      <c r="F1258" s="49"/>
      <c r="G1258" s="49"/>
      <c r="H1258" s="49"/>
      <c r="I1258" s="49"/>
      <c r="J1258" s="49"/>
      <c r="K1258" s="49"/>
      <c r="L1258" s="49"/>
      <c r="M1258" s="49"/>
      <c r="N1258" s="49"/>
    </row>
    <row r="1259" ht="18.0" customHeight="1">
      <c r="A1259" s="49"/>
      <c r="B1259" s="49"/>
      <c r="C1259" s="49"/>
      <c r="D1259" s="558"/>
      <c r="E1259" s="49"/>
      <c r="F1259" s="49"/>
      <c r="G1259" s="49"/>
      <c r="H1259" s="49"/>
      <c r="I1259" s="49"/>
      <c r="J1259" s="49"/>
      <c r="K1259" s="49"/>
      <c r="L1259" s="49"/>
      <c r="M1259" s="49"/>
      <c r="N1259" s="49"/>
    </row>
    <row r="1260" ht="18.0" customHeight="1">
      <c r="A1260" s="49"/>
      <c r="B1260" s="49"/>
      <c r="C1260" s="49"/>
      <c r="D1260" s="558"/>
      <c r="E1260" s="49"/>
      <c r="F1260" s="49"/>
      <c r="G1260" s="49"/>
      <c r="H1260" s="49"/>
      <c r="I1260" s="49"/>
      <c r="J1260" s="49"/>
      <c r="K1260" s="49"/>
      <c r="L1260" s="49"/>
      <c r="M1260" s="49"/>
      <c r="N1260" s="49"/>
    </row>
    <row r="1261" ht="15.0" customHeight="1">
      <c r="A1261" s="49"/>
      <c r="B1261" s="49"/>
      <c r="C1261" s="49"/>
      <c r="D1261" s="558"/>
      <c r="E1261" s="49"/>
      <c r="F1261" s="49"/>
      <c r="G1261" s="49"/>
      <c r="H1261" s="49"/>
      <c r="I1261" s="49"/>
      <c r="J1261" s="49"/>
      <c r="K1261" s="49"/>
      <c r="L1261" s="49"/>
      <c r="M1261" s="49"/>
      <c r="N1261" s="49"/>
    </row>
    <row r="1262" ht="18.0" customHeight="1">
      <c r="A1262" s="49"/>
      <c r="B1262" s="49"/>
      <c r="C1262" s="49"/>
      <c r="D1262" s="558"/>
      <c r="E1262" s="49"/>
      <c r="F1262" s="49"/>
      <c r="G1262" s="49"/>
      <c r="H1262" s="49"/>
      <c r="I1262" s="49"/>
      <c r="J1262" s="49"/>
      <c r="K1262" s="49"/>
      <c r="L1262" s="49"/>
      <c r="M1262" s="49"/>
      <c r="N1262" s="49"/>
    </row>
    <row r="1263" ht="18.0" customHeight="1">
      <c r="A1263" s="49"/>
      <c r="B1263" s="49"/>
      <c r="C1263" s="49"/>
      <c r="D1263" s="558"/>
      <c r="E1263" s="49"/>
      <c r="F1263" s="49"/>
      <c r="G1263" s="49"/>
      <c r="H1263" s="49"/>
      <c r="I1263" s="49"/>
      <c r="J1263" s="49"/>
      <c r="K1263" s="49"/>
      <c r="L1263" s="49"/>
      <c r="M1263" s="49"/>
      <c r="N1263" s="49"/>
    </row>
    <row r="1264" ht="18.0" customHeight="1">
      <c r="A1264" s="49"/>
      <c r="B1264" s="49"/>
      <c r="C1264" s="49"/>
      <c r="D1264" s="558"/>
      <c r="E1264" s="49"/>
      <c r="F1264" s="49"/>
      <c r="G1264" s="49"/>
      <c r="H1264" s="49"/>
      <c r="I1264" s="49"/>
      <c r="J1264" s="49"/>
      <c r="K1264" s="49"/>
      <c r="L1264" s="49"/>
      <c r="M1264" s="49"/>
      <c r="N1264" s="49"/>
    </row>
    <row r="1265" ht="18.0" customHeight="1">
      <c r="A1265" s="49"/>
      <c r="B1265" s="49"/>
      <c r="C1265" s="49"/>
      <c r="D1265" s="558"/>
      <c r="E1265" s="49"/>
      <c r="F1265" s="49"/>
      <c r="G1265" s="49"/>
      <c r="H1265" s="49"/>
      <c r="I1265" s="49"/>
      <c r="J1265" s="49"/>
      <c r="K1265" s="49"/>
      <c r="L1265" s="49"/>
      <c r="M1265" s="49"/>
      <c r="N1265" s="49"/>
    </row>
    <row r="1266" ht="18.0" customHeight="1">
      <c r="A1266" s="49"/>
      <c r="B1266" s="49"/>
      <c r="C1266" s="49"/>
      <c r="D1266" s="558"/>
      <c r="E1266" s="49"/>
      <c r="F1266" s="49"/>
      <c r="G1266" s="49"/>
      <c r="H1266" s="49"/>
      <c r="I1266" s="49"/>
      <c r="J1266" s="49"/>
      <c r="K1266" s="49"/>
      <c r="L1266" s="49"/>
      <c r="M1266" s="49"/>
      <c r="N1266" s="49"/>
    </row>
    <row r="1267" ht="15.0" customHeight="1">
      <c r="A1267" s="49"/>
      <c r="B1267" s="49"/>
      <c r="C1267" s="49"/>
      <c r="D1267" s="558"/>
      <c r="E1267" s="49"/>
      <c r="F1267" s="49"/>
      <c r="G1267" s="49"/>
      <c r="H1267" s="49"/>
      <c r="I1267" s="49"/>
      <c r="J1267" s="49"/>
      <c r="K1267" s="49"/>
      <c r="L1267" s="49"/>
      <c r="M1267" s="49"/>
      <c r="N1267" s="49"/>
    </row>
    <row r="1268" ht="15.0" customHeight="1">
      <c r="A1268" s="49"/>
      <c r="B1268" s="49"/>
      <c r="C1268" s="49"/>
      <c r="D1268" s="558"/>
      <c r="E1268" s="49"/>
      <c r="F1268" s="49"/>
      <c r="G1268" s="49"/>
      <c r="H1268" s="49"/>
      <c r="I1268" s="49"/>
      <c r="J1268" s="49"/>
      <c r="K1268" s="49"/>
      <c r="L1268" s="49"/>
      <c r="M1268" s="49"/>
      <c r="N1268" s="49"/>
    </row>
    <row r="1269" ht="15.0" customHeight="1">
      <c r="A1269" s="49"/>
      <c r="B1269" s="49"/>
      <c r="C1269" s="49"/>
      <c r="D1269" s="558"/>
      <c r="E1269" s="49"/>
      <c r="F1269" s="49"/>
      <c r="G1269" s="49"/>
      <c r="H1269" s="49"/>
      <c r="I1269" s="49"/>
      <c r="J1269" s="49"/>
      <c r="K1269" s="49"/>
      <c r="L1269" s="49"/>
      <c r="M1269" s="49"/>
      <c r="N1269" s="49"/>
    </row>
    <row r="1270" ht="18.0" customHeight="1">
      <c r="A1270" s="49"/>
      <c r="B1270" s="49"/>
      <c r="C1270" s="49"/>
      <c r="D1270" s="558"/>
      <c r="E1270" s="49"/>
      <c r="F1270" s="49"/>
      <c r="G1270" s="49"/>
      <c r="H1270" s="49"/>
      <c r="I1270" s="49"/>
      <c r="J1270" s="49"/>
      <c r="K1270" s="49"/>
      <c r="L1270" s="49"/>
      <c r="M1270" s="49"/>
      <c r="N1270" s="49"/>
    </row>
    <row r="1271" ht="18.0" customHeight="1">
      <c r="A1271" s="49"/>
      <c r="B1271" s="49"/>
      <c r="C1271" s="49"/>
      <c r="D1271" s="558"/>
      <c r="E1271" s="49"/>
      <c r="F1271" s="49"/>
      <c r="G1271" s="49"/>
      <c r="H1271" s="49"/>
      <c r="I1271" s="49"/>
      <c r="J1271" s="49"/>
      <c r="K1271" s="49"/>
      <c r="L1271" s="49"/>
      <c r="M1271" s="49"/>
      <c r="N1271" s="49"/>
    </row>
    <row r="1272" ht="18.0" customHeight="1">
      <c r="A1272" s="49"/>
      <c r="B1272" s="49"/>
      <c r="C1272" s="49"/>
      <c r="D1272" s="558"/>
      <c r="E1272" s="49"/>
      <c r="F1272" s="49"/>
      <c r="G1272" s="49"/>
      <c r="H1272" s="49"/>
      <c r="I1272" s="49"/>
      <c r="J1272" s="49"/>
      <c r="K1272" s="49"/>
      <c r="L1272" s="49"/>
      <c r="M1272" s="49"/>
      <c r="N1272" s="49"/>
    </row>
    <row r="1273" ht="18.0" customHeight="1">
      <c r="A1273" s="49"/>
      <c r="B1273" s="49"/>
      <c r="C1273" s="49"/>
      <c r="D1273" s="558"/>
      <c r="E1273" s="49"/>
      <c r="F1273" s="49"/>
      <c r="G1273" s="49"/>
      <c r="H1273" s="49"/>
      <c r="I1273" s="49"/>
      <c r="J1273" s="49"/>
      <c r="K1273" s="49"/>
      <c r="L1273" s="49"/>
      <c r="M1273" s="49"/>
      <c r="N1273" s="49"/>
    </row>
    <row r="1274" ht="18.0" customHeight="1">
      <c r="A1274" s="49"/>
      <c r="B1274" s="49"/>
      <c r="C1274" s="49"/>
      <c r="D1274" s="558"/>
      <c r="E1274" s="49"/>
      <c r="F1274" s="49"/>
      <c r="G1274" s="49"/>
      <c r="H1274" s="49"/>
      <c r="I1274" s="49"/>
      <c r="J1274" s="49"/>
      <c r="K1274" s="49"/>
      <c r="L1274" s="49"/>
      <c r="M1274" s="49"/>
      <c r="N1274" s="49"/>
    </row>
    <row r="1275" ht="18.0" customHeight="1">
      <c r="A1275" s="49"/>
      <c r="B1275" s="49"/>
      <c r="C1275" s="49"/>
      <c r="D1275" s="558"/>
      <c r="E1275" s="49"/>
      <c r="F1275" s="49"/>
      <c r="G1275" s="49"/>
      <c r="H1275" s="49"/>
      <c r="I1275" s="49"/>
      <c r="J1275" s="49"/>
      <c r="K1275" s="49"/>
      <c r="L1275" s="49"/>
      <c r="M1275" s="49"/>
      <c r="N1275" s="49"/>
    </row>
    <row r="1276" ht="16.5" customHeight="1">
      <c r="A1276" s="49"/>
      <c r="B1276" s="49"/>
      <c r="C1276" s="49"/>
      <c r="D1276" s="558"/>
      <c r="E1276" s="49"/>
      <c r="F1276" s="49"/>
      <c r="G1276" s="49"/>
      <c r="H1276" s="49"/>
      <c r="I1276" s="49"/>
      <c r="J1276" s="49"/>
      <c r="K1276" s="49"/>
      <c r="L1276" s="49"/>
      <c r="M1276" s="49"/>
      <c r="N1276" s="49"/>
    </row>
    <row r="1277" ht="18.0" customHeight="1">
      <c r="A1277" s="49"/>
      <c r="B1277" s="49"/>
      <c r="C1277" s="49"/>
      <c r="D1277" s="558"/>
      <c r="E1277" s="49"/>
      <c r="F1277" s="49"/>
      <c r="G1277" s="49"/>
      <c r="H1277" s="49"/>
      <c r="I1277" s="49"/>
      <c r="J1277" s="49"/>
      <c r="K1277" s="49"/>
      <c r="L1277" s="49"/>
      <c r="M1277" s="49"/>
      <c r="N1277" s="49"/>
    </row>
    <row r="1278" ht="18.0" customHeight="1">
      <c r="A1278" s="49"/>
      <c r="B1278" s="49"/>
      <c r="C1278" s="49"/>
      <c r="D1278" s="558"/>
      <c r="E1278" s="49"/>
      <c r="F1278" s="49"/>
      <c r="G1278" s="49"/>
      <c r="H1278" s="49"/>
      <c r="I1278" s="49"/>
      <c r="J1278" s="49"/>
      <c r="K1278" s="49"/>
      <c r="L1278" s="49"/>
      <c r="M1278" s="49"/>
      <c r="N1278" s="49"/>
    </row>
    <row r="1279" ht="18.0" customHeight="1">
      <c r="A1279" s="49"/>
      <c r="B1279" s="49"/>
      <c r="C1279" s="49"/>
      <c r="D1279" s="558"/>
      <c r="E1279" s="49"/>
      <c r="F1279" s="49"/>
      <c r="G1279" s="49"/>
      <c r="H1279" s="49"/>
      <c r="I1279" s="49"/>
      <c r="J1279" s="49"/>
      <c r="K1279" s="49"/>
      <c r="L1279" s="49"/>
      <c r="M1279" s="49"/>
      <c r="N1279" s="49"/>
    </row>
    <row r="1280" ht="15.75" customHeight="1">
      <c r="A1280" s="49"/>
      <c r="B1280" s="49"/>
      <c r="C1280" s="49"/>
      <c r="D1280" s="558"/>
      <c r="E1280" s="49"/>
      <c r="F1280" s="49"/>
      <c r="G1280" s="49"/>
      <c r="H1280" s="49"/>
      <c r="I1280" s="49"/>
      <c r="J1280" s="49"/>
      <c r="K1280" s="49"/>
      <c r="L1280" s="49"/>
      <c r="M1280" s="49"/>
      <c r="N1280" s="49"/>
    </row>
    <row r="1281" ht="15.75" customHeight="1">
      <c r="A1281" s="49"/>
      <c r="B1281" s="49"/>
      <c r="C1281" s="49"/>
      <c r="D1281" s="558"/>
      <c r="E1281" s="49"/>
      <c r="F1281" s="49"/>
      <c r="G1281" s="49"/>
      <c r="H1281" s="49"/>
      <c r="I1281" s="49"/>
      <c r="J1281" s="49"/>
      <c r="K1281" s="49"/>
      <c r="L1281" s="49"/>
      <c r="M1281" s="49"/>
      <c r="N1281" s="49"/>
    </row>
    <row r="1282" ht="15.75" customHeight="1">
      <c r="A1282" s="49"/>
      <c r="B1282" s="49"/>
      <c r="C1282" s="49"/>
      <c r="D1282" s="558"/>
      <c r="E1282" s="49"/>
      <c r="F1282" s="49"/>
      <c r="G1282" s="49"/>
      <c r="H1282" s="49"/>
      <c r="I1282" s="49"/>
      <c r="J1282" s="49"/>
      <c r="K1282" s="49"/>
      <c r="L1282" s="49"/>
      <c r="M1282" s="49"/>
      <c r="N1282" s="49"/>
    </row>
    <row r="1283" ht="15.75" customHeight="1">
      <c r="A1283" s="49"/>
      <c r="B1283" s="49"/>
      <c r="C1283" s="49"/>
      <c r="D1283" s="558"/>
      <c r="E1283" s="49"/>
      <c r="F1283" s="49"/>
      <c r="G1283" s="49"/>
      <c r="H1283" s="49"/>
      <c r="I1283" s="49"/>
      <c r="J1283" s="49"/>
      <c r="K1283" s="49"/>
      <c r="L1283" s="49"/>
      <c r="M1283" s="49"/>
      <c r="N1283" s="49"/>
    </row>
    <row r="1284" ht="18.75" customHeight="1">
      <c r="A1284" s="49"/>
      <c r="B1284" s="49"/>
      <c r="C1284" s="49"/>
      <c r="D1284" s="558"/>
      <c r="E1284" s="49"/>
      <c r="F1284" s="49"/>
      <c r="G1284" s="49"/>
      <c r="H1284" s="49"/>
      <c r="I1284" s="49"/>
      <c r="J1284" s="49"/>
      <c r="K1284" s="49"/>
      <c r="L1284" s="49"/>
      <c r="M1284" s="49"/>
      <c r="N1284" s="49"/>
    </row>
    <row r="1285" ht="18.75" customHeight="1">
      <c r="A1285" s="49"/>
      <c r="B1285" s="49"/>
      <c r="C1285" s="49"/>
      <c r="D1285" s="558"/>
      <c r="E1285" s="49"/>
      <c r="F1285" s="49"/>
      <c r="G1285" s="49"/>
      <c r="H1285" s="49"/>
      <c r="I1285" s="49"/>
      <c r="J1285" s="49"/>
      <c r="K1285" s="49"/>
      <c r="L1285" s="49"/>
      <c r="M1285" s="49"/>
      <c r="N1285" s="49"/>
    </row>
    <row r="1286" ht="18.75" customHeight="1">
      <c r="A1286" s="49"/>
      <c r="B1286" s="49"/>
      <c r="C1286" s="49"/>
      <c r="D1286" s="558"/>
      <c r="E1286" s="49"/>
      <c r="F1286" s="49"/>
      <c r="G1286" s="49"/>
      <c r="H1286" s="49"/>
      <c r="I1286" s="49"/>
      <c r="J1286" s="49"/>
      <c r="K1286" s="49"/>
      <c r="L1286" s="49"/>
      <c r="M1286" s="49"/>
      <c r="N1286" s="49"/>
    </row>
    <row r="1287" ht="18.75" customHeight="1">
      <c r="A1287" s="49"/>
      <c r="B1287" s="49"/>
      <c r="C1287" s="49"/>
      <c r="D1287" s="558"/>
      <c r="E1287" s="49"/>
      <c r="F1287" s="49"/>
      <c r="G1287" s="49"/>
      <c r="H1287" s="49"/>
      <c r="I1287" s="49"/>
      <c r="J1287" s="49"/>
      <c r="K1287" s="49"/>
      <c r="L1287" s="49"/>
      <c r="M1287" s="49"/>
      <c r="N1287" s="49"/>
    </row>
    <row r="1288" ht="18.75" customHeight="1">
      <c r="A1288" s="49"/>
      <c r="B1288" s="49"/>
      <c r="C1288" s="49"/>
      <c r="D1288" s="558"/>
      <c r="E1288" s="49"/>
      <c r="F1288" s="49"/>
      <c r="G1288" s="49"/>
      <c r="H1288" s="49"/>
      <c r="I1288" s="49"/>
      <c r="J1288" s="49"/>
      <c r="K1288" s="49"/>
      <c r="L1288" s="49"/>
      <c r="M1288" s="49"/>
      <c r="N1288" s="49"/>
    </row>
    <row r="1289" ht="18.75" customHeight="1">
      <c r="A1289" s="49"/>
      <c r="B1289" s="49"/>
      <c r="C1289" s="49"/>
      <c r="D1289" s="558"/>
      <c r="E1289" s="49"/>
      <c r="F1289" s="49"/>
      <c r="G1289" s="49"/>
      <c r="H1289" s="49"/>
      <c r="I1289" s="49"/>
      <c r="J1289" s="49"/>
      <c r="K1289" s="49"/>
      <c r="L1289" s="49"/>
      <c r="M1289" s="49"/>
      <c r="N1289" s="49"/>
    </row>
    <row r="1290" ht="18.75" customHeight="1">
      <c r="A1290" s="49"/>
      <c r="B1290" s="49"/>
      <c r="C1290" s="49"/>
      <c r="D1290" s="558"/>
      <c r="E1290" s="49"/>
      <c r="F1290" s="49"/>
      <c r="G1290" s="49"/>
      <c r="H1290" s="49"/>
      <c r="I1290" s="49"/>
      <c r="J1290" s="49"/>
      <c r="K1290" s="49"/>
      <c r="L1290" s="49"/>
      <c r="M1290" s="49"/>
      <c r="N1290" s="49"/>
    </row>
    <row r="1291" ht="18.75" customHeight="1">
      <c r="A1291" s="49"/>
      <c r="B1291" s="49"/>
      <c r="C1291" s="49"/>
      <c r="D1291" s="558"/>
      <c r="E1291" s="49"/>
      <c r="F1291" s="49"/>
      <c r="G1291" s="49"/>
      <c r="H1291" s="49"/>
      <c r="I1291" s="49"/>
      <c r="J1291" s="49"/>
      <c r="K1291" s="49"/>
      <c r="L1291" s="49"/>
      <c r="M1291" s="49"/>
      <c r="N1291" s="49"/>
    </row>
    <row r="1292" ht="18.75" customHeight="1">
      <c r="A1292" s="49"/>
      <c r="B1292" s="49"/>
      <c r="C1292" s="49"/>
      <c r="D1292" s="558"/>
      <c r="E1292" s="49"/>
      <c r="F1292" s="49"/>
      <c r="G1292" s="49"/>
      <c r="H1292" s="49"/>
      <c r="I1292" s="49"/>
      <c r="J1292" s="49"/>
      <c r="K1292" s="49"/>
      <c r="L1292" s="49"/>
      <c r="M1292" s="49"/>
      <c r="N1292" s="49"/>
    </row>
    <row r="1293" ht="18.75" customHeight="1">
      <c r="A1293" s="49"/>
      <c r="B1293" s="49"/>
      <c r="C1293" s="49"/>
      <c r="D1293" s="558"/>
      <c r="E1293" s="49"/>
      <c r="F1293" s="49"/>
      <c r="G1293" s="49"/>
      <c r="H1293" s="49"/>
      <c r="I1293" s="49"/>
      <c r="J1293" s="49"/>
      <c r="K1293" s="49"/>
      <c r="L1293" s="49"/>
      <c r="M1293" s="49"/>
      <c r="N1293" s="49"/>
    </row>
    <row r="1294" ht="18.75" customHeight="1">
      <c r="A1294" s="49"/>
      <c r="B1294" s="49"/>
      <c r="C1294" s="49"/>
      <c r="D1294" s="558"/>
      <c r="E1294" s="49"/>
      <c r="F1294" s="49"/>
      <c r="G1294" s="49"/>
      <c r="H1294" s="49"/>
      <c r="I1294" s="49"/>
      <c r="J1294" s="49"/>
      <c r="K1294" s="49"/>
      <c r="L1294" s="49"/>
      <c r="M1294" s="49"/>
      <c r="N1294" s="49"/>
    </row>
    <row r="1295" ht="15.75" customHeight="1">
      <c r="A1295" s="49"/>
      <c r="B1295" s="49"/>
      <c r="C1295" s="49"/>
      <c r="D1295" s="558"/>
      <c r="E1295" s="49"/>
      <c r="F1295" s="49"/>
      <c r="G1295" s="49"/>
      <c r="H1295" s="49"/>
      <c r="I1295" s="49"/>
      <c r="J1295" s="49"/>
      <c r="K1295" s="49"/>
      <c r="L1295" s="49"/>
      <c r="M1295" s="49"/>
      <c r="N1295" s="49"/>
    </row>
    <row r="1296" ht="15.75" customHeight="1">
      <c r="A1296" s="49"/>
      <c r="B1296" s="49"/>
      <c r="C1296" s="49"/>
      <c r="D1296" s="558"/>
      <c r="E1296" s="49"/>
      <c r="F1296" s="49"/>
      <c r="G1296" s="49"/>
      <c r="H1296" s="49"/>
      <c r="I1296" s="49"/>
      <c r="J1296" s="49"/>
      <c r="K1296" s="49"/>
      <c r="L1296" s="49"/>
      <c r="M1296" s="49"/>
      <c r="N1296" s="49"/>
    </row>
    <row r="1297" ht="18.0" customHeight="1">
      <c r="A1297" s="49"/>
      <c r="B1297" s="49"/>
      <c r="C1297" s="49"/>
      <c r="D1297" s="558"/>
      <c r="E1297" s="49"/>
      <c r="F1297" s="49"/>
      <c r="G1297" s="49"/>
      <c r="H1297" s="49"/>
      <c r="I1297" s="49"/>
      <c r="J1297" s="49"/>
      <c r="K1297" s="49"/>
      <c r="L1297" s="49"/>
      <c r="M1297" s="49"/>
      <c r="N1297" s="49"/>
    </row>
    <row r="1298" ht="18.0" customHeight="1">
      <c r="A1298" s="49"/>
      <c r="B1298" s="49"/>
      <c r="C1298" s="49"/>
      <c r="D1298" s="558"/>
      <c r="E1298" s="49"/>
      <c r="F1298" s="49"/>
      <c r="G1298" s="49"/>
      <c r="H1298" s="49"/>
      <c r="I1298" s="49"/>
      <c r="J1298" s="49"/>
      <c r="K1298" s="49"/>
      <c r="L1298" s="49"/>
      <c r="M1298" s="49"/>
      <c r="N1298" s="49"/>
    </row>
    <row r="1299" ht="15.75" customHeight="1">
      <c r="A1299" s="49"/>
      <c r="B1299" s="49"/>
      <c r="C1299" s="49"/>
      <c r="D1299" s="558"/>
      <c r="E1299" s="49"/>
      <c r="F1299" s="49"/>
      <c r="G1299" s="49"/>
      <c r="H1299" s="49"/>
      <c r="I1299" s="49"/>
      <c r="J1299" s="49"/>
      <c r="K1299" s="49"/>
      <c r="L1299" s="49"/>
      <c r="M1299" s="49"/>
      <c r="N1299" s="49"/>
    </row>
    <row r="1300" ht="15.75" customHeight="1">
      <c r="A1300" s="49"/>
      <c r="B1300" s="49"/>
      <c r="C1300" s="49"/>
      <c r="D1300" s="558"/>
      <c r="E1300" s="49"/>
      <c r="F1300" s="49"/>
      <c r="G1300" s="49"/>
      <c r="H1300" s="49"/>
      <c r="I1300" s="49"/>
      <c r="J1300" s="49"/>
      <c r="K1300" s="49"/>
      <c r="L1300" s="49"/>
      <c r="M1300" s="49"/>
      <c r="N1300" s="49"/>
    </row>
    <row r="1301" ht="15.75" customHeight="1">
      <c r="A1301" s="49"/>
      <c r="B1301" s="49"/>
      <c r="C1301" s="49"/>
      <c r="D1301" s="558"/>
      <c r="E1301" s="49"/>
      <c r="F1301" s="49"/>
      <c r="G1301" s="49"/>
      <c r="H1301" s="49"/>
      <c r="I1301" s="49"/>
      <c r="J1301" s="49"/>
      <c r="K1301" s="49"/>
      <c r="L1301" s="49"/>
      <c r="M1301" s="49"/>
      <c r="N1301" s="49"/>
    </row>
    <row r="1302" ht="15.75" customHeight="1">
      <c r="A1302" s="49"/>
      <c r="B1302" s="49"/>
      <c r="C1302" s="49"/>
      <c r="D1302" s="558"/>
      <c r="E1302" s="49"/>
      <c r="F1302" s="49"/>
      <c r="G1302" s="49"/>
      <c r="H1302" s="49"/>
      <c r="I1302" s="49"/>
      <c r="J1302" s="49"/>
      <c r="K1302" s="49"/>
      <c r="L1302" s="49"/>
      <c r="M1302" s="49"/>
      <c r="N1302" s="49"/>
    </row>
    <row r="1303" ht="15.75" customHeight="1">
      <c r="A1303" s="49"/>
      <c r="B1303" s="49"/>
      <c r="C1303" s="49"/>
      <c r="D1303" s="558"/>
      <c r="E1303" s="49"/>
      <c r="F1303" s="49"/>
      <c r="G1303" s="49"/>
      <c r="H1303" s="49"/>
      <c r="I1303" s="49"/>
      <c r="J1303" s="49"/>
      <c r="K1303" s="49"/>
      <c r="L1303" s="49"/>
      <c r="M1303" s="49"/>
      <c r="N1303" s="49"/>
    </row>
    <row r="1304" ht="15.75" customHeight="1">
      <c r="A1304" s="49"/>
      <c r="B1304" s="49"/>
      <c r="C1304" s="49"/>
      <c r="D1304" s="558"/>
      <c r="E1304" s="49"/>
      <c r="F1304" s="49"/>
      <c r="G1304" s="49"/>
      <c r="H1304" s="49"/>
      <c r="I1304" s="49"/>
      <c r="J1304" s="49"/>
      <c r="K1304" s="49"/>
      <c r="L1304" s="49"/>
      <c r="M1304" s="49"/>
      <c r="N1304" s="49"/>
    </row>
    <row r="1305" ht="15.75" customHeight="1">
      <c r="A1305" s="49"/>
      <c r="B1305" s="49"/>
      <c r="C1305" s="49"/>
      <c r="D1305" s="558"/>
      <c r="E1305" s="49"/>
      <c r="F1305" s="49"/>
      <c r="G1305" s="49"/>
      <c r="H1305" s="49"/>
      <c r="I1305" s="49"/>
      <c r="J1305" s="49"/>
      <c r="K1305" s="49"/>
      <c r="L1305" s="49"/>
      <c r="M1305" s="49"/>
      <c r="N1305" s="49"/>
    </row>
    <row r="1306" ht="15.75" customHeight="1">
      <c r="A1306" s="49"/>
      <c r="B1306" s="49"/>
      <c r="C1306" s="49"/>
      <c r="D1306" s="558"/>
      <c r="E1306" s="49"/>
      <c r="F1306" s="49"/>
      <c r="G1306" s="49"/>
      <c r="H1306" s="49"/>
      <c r="I1306" s="49"/>
      <c r="J1306" s="49"/>
      <c r="K1306" s="49"/>
      <c r="L1306" s="49"/>
      <c r="M1306" s="49"/>
      <c r="N1306" s="49"/>
    </row>
    <row r="1307" ht="15.75" customHeight="1">
      <c r="A1307" s="49"/>
      <c r="B1307" s="49"/>
      <c r="C1307" s="49"/>
      <c r="D1307" s="558"/>
      <c r="E1307" s="49"/>
      <c r="F1307" s="49"/>
      <c r="G1307" s="49"/>
      <c r="H1307" s="49"/>
      <c r="I1307" s="49"/>
      <c r="J1307" s="49"/>
      <c r="K1307" s="49"/>
      <c r="L1307" s="49"/>
      <c r="M1307" s="49"/>
      <c r="N1307" s="49"/>
    </row>
    <row r="1308" ht="15.75" customHeight="1">
      <c r="A1308" s="49"/>
      <c r="B1308" s="49"/>
      <c r="C1308" s="49"/>
      <c r="D1308" s="558"/>
      <c r="E1308" s="49"/>
      <c r="F1308" s="49"/>
      <c r="G1308" s="49"/>
      <c r="H1308" s="49"/>
      <c r="I1308" s="49"/>
      <c r="J1308" s="49"/>
      <c r="K1308" s="49"/>
      <c r="L1308" s="49"/>
      <c r="M1308" s="49"/>
      <c r="N1308" s="49"/>
    </row>
    <row r="1309" ht="15.75" customHeight="1">
      <c r="A1309" s="49"/>
      <c r="B1309" s="49"/>
      <c r="C1309" s="49"/>
      <c r="D1309" s="558"/>
      <c r="E1309" s="49"/>
      <c r="F1309" s="49"/>
      <c r="G1309" s="49"/>
      <c r="H1309" s="49"/>
      <c r="I1309" s="49"/>
      <c r="J1309" s="49"/>
      <c r="K1309" s="49"/>
      <c r="L1309" s="49"/>
      <c r="M1309" s="49"/>
      <c r="N1309" s="49"/>
    </row>
    <row r="1310" ht="15.75" customHeight="1">
      <c r="A1310" s="49"/>
      <c r="B1310" s="49"/>
      <c r="C1310" s="49"/>
      <c r="D1310" s="558"/>
      <c r="E1310" s="49"/>
      <c r="F1310" s="49"/>
      <c r="G1310" s="49"/>
      <c r="H1310" s="49"/>
      <c r="I1310" s="49"/>
      <c r="J1310" s="49"/>
      <c r="K1310" s="49"/>
      <c r="L1310" s="49"/>
      <c r="M1310" s="49"/>
      <c r="N1310" s="49"/>
    </row>
    <row r="1311" ht="15.75" customHeight="1">
      <c r="A1311" s="49"/>
      <c r="B1311" s="49"/>
      <c r="C1311" s="49"/>
      <c r="D1311" s="558"/>
      <c r="E1311" s="49"/>
      <c r="F1311" s="49"/>
      <c r="G1311" s="49"/>
      <c r="H1311" s="49"/>
      <c r="I1311" s="49"/>
      <c r="J1311" s="49"/>
      <c r="K1311" s="49"/>
      <c r="L1311" s="49"/>
      <c r="M1311" s="49"/>
      <c r="N1311" s="49"/>
    </row>
    <row r="1312" ht="15.75" customHeight="1">
      <c r="A1312" s="49"/>
      <c r="B1312" s="49"/>
      <c r="C1312" s="49"/>
      <c r="D1312" s="558"/>
      <c r="E1312" s="49"/>
      <c r="F1312" s="49"/>
      <c r="G1312" s="49"/>
      <c r="H1312" s="49"/>
      <c r="I1312" s="49"/>
      <c r="J1312" s="49"/>
      <c r="K1312" s="49"/>
      <c r="L1312" s="49"/>
      <c r="M1312" s="49"/>
      <c r="N1312" s="49"/>
    </row>
    <row r="1313" ht="15.75" customHeight="1">
      <c r="A1313" s="49"/>
      <c r="B1313" s="49"/>
      <c r="C1313" s="49"/>
      <c r="D1313" s="558"/>
      <c r="E1313" s="49"/>
      <c r="F1313" s="49"/>
      <c r="G1313" s="49"/>
      <c r="H1313" s="49"/>
      <c r="I1313" s="49"/>
      <c r="J1313" s="49"/>
      <c r="K1313" s="49"/>
      <c r="L1313" s="49"/>
      <c r="M1313" s="49"/>
      <c r="N1313" s="49"/>
    </row>
    <row r="1314" ht="15.75" customHeight="1">
      <c r="A1314" s="49"/>
      <c r="B1314" s="49"/>
      <c r="C1314" s="49"/>
      <c r="D1314" s="558"/>
      <c r="E1314" s="49"/>
      <c r="F1314" s="49"/>
      <c r="G1314" s="49"/>
      <c r="H1314" s="49"/>
      <c r="I1314" s="49"/>
      <c r="J1314" s="49"/>
      <c r="K1314" s="49"/>
      <c r="L1314" s="49"/>
      <c r="M1314" s="49"/>
      <c r="N1314" s="49"/>
    </row>
    <row r="1315" ht="15.75" customHeight="1">
      <c r="A1315" s="49"/>
      <c r="B1315" s="49"/>
      <c r="C1315" s="49"/>
      <c r="D1315" s="558"/>
      <c r="E1315" s="49"/>
      <c r="F1315" s="49"/>
      <c r="G1315" s="49"/>
      <c r="H1315" s="49"/>
      <c r="I1315" s="49"/>
      <c r="J1315" s="49"/>
      <c r="K1315" s="49"/>
      <c r="L1315" s="49"/>
      <c r="M1315" s="49"/>
      <c r="N1315" s="49"/>
    </row>
    <row r="1316" ht="15.75" customHeight="1">
      <c r="A1316" s="49"/>
      <c r="B1316" s="49"/>
      <c r="C1316" s="49"/>
      <c r="D1316" s="558"/>
      <c r="E1316" s="49"/>
      <c r="F1316" s="49"/>
      <c r="G1316" s="49"/>
      <c r="H1316" s="49"/>
      <c r="I1316" s="49"/>
      <c r="J1316" s="49"/>
      <c r="K1316" s="49"/>
      <c r="L1316" s="49"/>
      <c r="M1316" s="49"/>
      <c r="N1316" s="49"/>
    </row>
    <row r="1317" ht="15.75" customHeight="1">
      <c r="A1317" s="49"/>
      <c r="B1317" s="49"/>
      <c r="C1317" s="49"/>
      <c r="D1317" s="558"/>
      <c r="E1317" s="49"/>
      <c r="F1317" s="49"/>
      <c r="G1317" s="49"/>
      <c r="H1317" s="49"/>
      <c r="I1317" s="49"/>
      <c r="J1317" s="49"/>
      <c r="K1317" s="49"/>
      <c r="L1317" s="49"/>
      <c r="M1317" s="49"/>
      <c r="N1317" s="49"/>
    </row>
    <row r="1318" ht="15.75" customHeight="1">
      <c r="A1318" s="49"/>
      <c r="B1318" s="49"/>
      <c r="C1318" s="49"/>
      <c r="D1318" s="558"/>
      <c r="E1318" s="49"/>
      <c r="F1318" s="49"/>
      <c r="G1318" s="49"/>
      <c r="H1318" s="49"/>
      <c r="I1318" s="49"/>
      <c r="J1318" s="49"/>
      <c r="K1318" s="49"/>
      <c r="L1318" s="49"/>
      <c r="M1318" s="49"/>
      <c r="N1318" s="49"/>
    </row>
    <row r="1319" ht="15.75" customHeight="1">
      <c r="A1319" s="49"/>
      <c r="B1319" s="49"/>
      <c r="C1319" s="49"/>
      <c r="D1319" s="558"/>
      <c r="E1319" s="49"/>
      <c r="F1319" s="49"/>
      <c r="G1319" s="49"/>
      <c r="H1319" s="49"/>
      <c r="I1319" s="49"/>
      <c r="J1319" s="49"/>
      <c r="K1319" s="49"/>
      <c r="L1319" s="49"/>
      <c r="M1319" s="49"/>
      <c r="N1319" s="49"/>
    </row>
    <row r="1320" ht="15.75" customHeight="1">
      <c r="A1320" s="49"/>
      <c r="B1320" s="49"/>
      <c r="C1320" s="49"/>
      <c r="D1320" s="558"/>
      <c r="E1320" s="49"/>
      <c r="F1320" s="49"/>
      <c r="G1320" s="49"/>
      <c r="H1320" s="49"/>
      <c r="I1320" s="49"/>
      <c r="J1320" s="49"/>
      <c r="K1320" s="49"/>
      <c r="L1320" s="49"/>
      <c r="M1320" s="49"/>
      <c r="N1320" s="49"/>
    </row>
    <row r="1321" ht="15.75" customHeight="1">
      <c r="A1321" s="49"/>
      <c r="B1321" s="49"/>
      <c r="C1321" s="49"/>
      <c r="D1321" s="558"/>
      <c r="E1321" s="49"/>
      <c r="F1321" s="49"/>
      <c r="G1321" s="49"/>
      <c r="H1321" s="49"/>
      <c r="I1321" s="49"/>
      <c r="J1321" s="49"/>
      <c r="K1321" s="49"/>
      <c r="L1321" s="49"/>
      <c r="M1321" s="49"/>
      <c r="N1321" s="49"/>
    </row>
    <row r="1322" ht="15.75" customHeight="1">
      <c r="A1322" s="49"/>
      <c r="B1322" s="49"/>
      <c r="C1322" s="49"/>
      <c r="D1322" s="558"/>
      <c r="E1322" s="49"/>
      <c r="F1322" s="49"/>
      <c r="G1322" s="49"/>
      <c r="H1322" s="49"/>
      <c r="I1322" s="49"/>
      <c r="J1322" s="49"/>
      <c r="K1322" s="49"/>
      <c r="L1322" s="49"/>
      <c r="M1322" s="49"/>
      <c r="N1322" s="49"/>
    </row>
    <row r="1323" ht="15.75" customHeight="1">
      <c r="A1323" s="49"/>
      <c r="B1323" s="49"/>
      <c r="C1323" s="49"/>
      <c r="D1323" s="558"/>
      <c r="E1323" s="49"/>
      <c r="F1323" s="49"/>
      <c r="G1323" s="49"/>
      <c r="H1323" s="49"/>
      <c r="I1323" s="49"/>
      <c r="J1323" s="49"/>
      <c r="K1323" s="49"/>
      <c r="L1323" s="49"/>
      <c r="M1323" s="49"/>
      <c r="N1323" s="49"/>
    </row>
    <row r="1324" ht="15.75" customHeight="1">
      <c r="A1324" s="49"/>
      <c r="B1324" s="49"/>
      <c r="C1324" s="49"/>
      <c r="D1324" s="558"/>
      <c r="E1324" s="49"/>
      <c r="F1324" s="49"/>
      <c r="G1324" s="49"/>
      <c r="H1324" s="49"/>
      <c r="I1324" s="49"/>
      <c r="J1324" s="49"/>
      <c r="K1324" s="49"/>
      <c r="L1324" s="49"/>
      <c r="M1324" s="49"/>
      <c r="N1324" s="49"/>
    </row>
    <row r="1325" ht="15.75" customHeight="1">
      <c r="A1325" s="49"/>
      <c r="B1325" s="49"/>
      <c r="C1325" s="49"/>
      <c r="D1325" s="558"/>
      <c r="E1325" s="49"/>
      <c r="F1325" s="49"/>
      <c r="G1325" s="49"/>
      <c r="H1325" s="49"/>
      <c r="I1325" s="49"/>
      <c r="J1325" s="49"/>
      <c r="K1325" s="49"/>
      <c r="L1325" s="49"/>
      <c r="M1325" s="49"/>
      <c r="N1325" s="49"/>
    </row>
    <row r="1326" ht="15.75" customHeight="1">
      <c r="A1326" s="49"/>
      <c r="B1326" s="49"/>
      <c r="C1326" s="49"/>
      <c r="D1326" s="558"/>
      <c r="E1326" s="49"/>
      <c r="F1326" s="49"/>
      <c r="G1326" s="49"/>
      <c r="H1326" s="49"/>
      <c r="I1326" s="49"/>
      <c r="J1326" s="49"/>
      <c r="K1326" s="49"/>
      <c r="L1326" s="49"/>
      <c r="M1326" s="49"/>
      <c r="N1326" s="49"/>
    </row>
    <row r="1327" ht="15.75" customHeight="1">
      <c r="A1327" s="49"/>
      <c r="B1327" s="49"/>
      <c r="C1327" s="49"/>
      <c r="D1327" s="558"/>
      <c r="E1327" s="49"/>
      <c r="F1327" s="49"/>
      <c r="G1327" s="49"/>
      <c r="H1327" s="49"/>
      <c r="I1327" s="49"/>
      <c r="J1327" s="49"/>
      <c r="K1327" s="49"/>
      <c r="L1327" s="49"/>
      <c r="M1327" s="49"/>
      <c r="N1327" s="49"/>
    </row>
    <row r="1328" ht="15.75" customHeight="1">
      <c r="A1328" s="49"/>
      <c r="B1328" s="49"/>
      <c r="C1328" s="49"/>
      <c r="D1328" s="558"/>
      <c r="E1328" s="49"/>
      <c r="F1328" s="49"/>
      <c r="G1328" s="49"/>
      <c r="H1328" s="49"/>
      <c r="I1328" s="49"/>
      <c r="J1328" s="49"/>
      <c r="K1328" s="49"/>
      <c r="L1328" s="49"/>
      <c r="M1328" s="49"/>
      <c r="N1328" s="49"/>
    </row>
    <row r="1329" ht="15.75" customHeight="1">
      <c r="A1329" s="49"/>
      <c r="B1329" s="49"/>
      <c r="C1329" s="49"/>
      <c r="D1329" s="558"/>
      <c r="E1329" s="49"/>
      <c r="F1329" s="49"/>
      <c r="G1329" s="49"/>
      <c r="H1329" s="49"/>
      <c r="I1329" s="49"/>
      <c r="J1329" s="49"/>
      <c r="K1329" s="49"/>
      <c r="L1329" s="49"/>
      <c r="M1329" s="49"/>
      <c r="N1329" s="49"/>
    </row>
    <row r="1330" ht="15.75" customHeight="1">
      <c r="A1330" s="49"/>
      <c r="B1330" s="49"/>
      <c r="C1330" s="49"/>
      <c r="D1330" s="558"/>
      <c r="E1330" s="49"/>
      <c r="F1330" s="49"/>
      <c r="G1330" s="49"/>
      <c r="H1330" s="49"/>
      <c r="I1330" s="49"/>
      <c r="J1330" s="49"/>
      <c r="K1330" s="49"/>
      <c r="L1330" s="49"/>
      <c r="M1330" s="49"/>
      <c r="N1330" s="49"/>
    </row>
    <row r="1331" ht="15.75" customHeight="1">
      <c r="A1331" s="49"/>
      <c r="B1331" s="49"/>
      <c r="C1331" s="49"/>
      <c r="D1331" s="558"/>
      <c r="E1331" s="49"/>
      <c r="F1331" s="49"/>
      <c r="G1331" s="49"/>
      <c r="H1331" s="49"/>
      <c r="I1331" s="49"/>
      <c r="J1331" s="49"/>
      <c r="K1331" s="49"/>
      <c r="L1331" s="49"/>
      <c r="M1331" s="49"/>
      <c r="N1331" s="49"/>
    </row>
    <row r="1332" ht="15.75" customHeight="1">
      <c r="A1332" s="49"/>
      <c r="B1332" s="49"/>
      <c r="C1332" s="49"/>
      <c r="D1332" s="558"/>
      <c r="E1332" s="49"/>
      <c r="F1332" s="49"/>
      <c r="G1332" s="49"/>
      <c r="H1332" s="49"/>
      <c r="I1332" s="49"/>
      <c r="J1332" s="49"/>
      <c r="K1332" s="49"/>
      <c r="L1332" s="49"/>
      <c r="M1332" s="49"/>
      <c r="N1332" s="49"/>
    </row>
    <row r="1333" ht="15.75" customHeight="1">
      <c r="A1333" s="49"/>
      <c r="B1333" s="49"/>
      <c r="C1333" s="49"/>
      <c r="D1333" s="558"/>
      <c r="E1333" s="49"/>
      <c r="F1333" s="49"/>
      <c r="G1333" s="49"/>
      <c r="H1333" s="49"/>
      <c r="I1333" s="49"/>
      <c r="J1333" s="49"/>
      <c r="K1333" s="49"/>
      <c r="L1333" s="49"/>
      <c r="M1333" s="49"/>
      <c r="N1333" s="49"/>
    </row>
    <row r="1334" ht="15.75" customHeight="1">
      <c r="A1334" s="49"/>
      <c r="B1334" s="49"/>
      <c r="C1334" s="49"/>
      <c r="D1334" s="558"/>
      <c r="E1334" s="49"/>
      <c r="F1334" s="49"/>
      <c r="G1334" s="49"/>
      <c r="H1334" s="49"/>
      <c r="I1334" s="49"/>
      <c r="J1334" s="49"/>
      <c r="K1334" s="49"/>
      <c r="L1334" s="49"/>
      <c r="M1334" s="49"/>
      <c r="N1334" s="49"/>
    </row>
    <row r="1335" ht="15.75" customHeight="1">
      <c r="A1335" s="49"/>
      <c r="B1335" s="49"/>
      <c r="C1335" s="49"/>
      <c r="D1335" s="558"/>
      <c r="E1335" s="49"/>
      <c r="F1335" s="49"/>
      <c r="G1335" s="49"/>
      <c r="H1335" s="49"/>
      <c r="I1335" s="49"/>
      <c r="J1335" s="49"/>
      <c r="K1335" s="49"/>
      <c r="L1335" s="49"/>
      <c r="M1335" s="49"/>
      <c r="N1335" s="49"/>
    </row>
    <row r="1336" ht="15.75" customHeight="1">
      <c r="A1336" s="49"/>
      <c r="B1336" s="49"/>
      <c r="C1336" s="49"/>
      <c r="D1336" s="558"/>
      <c r="E1336" s="49"/>
      <c r="F1336" s="49"/>
      <c r="G1336" s="49"/>
      <c r="H1336" s="49"/>
      <c r="I1336" s="49"/>
      <c r="J1336" s="49"/>
      <c r="K1336" s="49"/>
      <c r="L1336" s="49"/>
      <c r="M1336" s="49"/>
      <c r="N1336" s="49"/>
    </row>
    <row r="1337" ht="15.75" customHeight="1">
      <c r="A1337" s="49"/>
      <c r="B1337" s="49"/>
      <c r="C1337" s="49"/>
      <c r="D1337" s="558"/>
      <c r="E1337" s="49"/>
      <c r="F1337" s="49"/>
      <c r="G1337" s="49"/>
      <c r="H1337" s="49"/>
      <c r="I1337" s="49"/>
      <c r="J1337" s="49"/>
      <c r="K1337" s="49"/>
      <c r="L1337" s="49"/>
      <c r="M1337" s="49"/>
      <c r="N1337" s="49"/>
    </row>
    <row r="1338" ht="15.75" customHeight="1">
      <c r="A1338" s="49"/>
      <c r="B1338" s="49"/>
      <c r="C1338" s="49"/>
      <c r="D1338" s="558"/>
      <c r="E1338" s="49"/>
      <c r="F1338" s="49"/>
      <c r="G1338" s="49"/>
      <c r="H1338" s="49"/>
      <c r="I1338" s="49"/>
      <c r="J1338" s="49"/>
      <c r="K1338" s="49"/>
      <c r="L1338" s="49"/>
      <c r="M1338" s="49"/>
      <c r="N1338" s="49"/>
    </row>
  </sheetData>
  <mergeCells count="168">
    <mergeCell ref="B175:E175"/>
    <mergeCell ref="A176:A183"/>
    <mergeCell ref="A184:A197"/>
    <mergeCell ref="B203:E203"/>
    <mergeCell ref="B220:E220"/>
    <mergeCell ref="B230:D231"/>
    <mergeCell ref="B235:E235"/>
    <mergeCell ref="G265:J265"/>
    <mergeCell ref="K265:L265"/>
    <mergeCell ref="K266:K267"/>
    <mergeCell ref="K268:K276"/>
    <mergeCell ref="K277:K278"/>
    <mergeCell ref="K279:K282"/>
    <mergeCell ref="F193:F195"/>
    <mergeCell ref="F197:F198"/>
    <mergeCell ref="F207:F214"/>
    <mergeCell ref="F222:F228"/>
    <mergeCell ref="F238:F244"/>
    <mergeCell ref="F245:F247"/>
    <mergeCell ref="F248:F255"/>
    <mergeCell ref="B262:E263"/>
    <mergeCell ref="B265:E265"/>
    <mergeCell ref="F266:F267"/>
    <mergeCell ref="F268:F276"/>
    <mergeCell ref="F277:F278"/>
    <mergeCell ref="F279:F282"/>
    <mergeCell ref="B287:E287"/>
    <mergeCell ref="F288:F289"/>
    <mergeCell ref="F290:F298"/>
    <mergeCell ref="F299:F300"/>
    <mergeCell ref="F301:F304"/>
    <mergeCell ref="B309:E309"/>
    <mergeCell ref="F310:F311"/>
    <mergeCell ref="F312:F320"/>
    <mergeCell ref="G375:J375"/>
    <mergeCell ref="F347:F352"/>
    <mergeCell ref="F367:F368"/>
    <mergeCell ref="F369:F370"/>
    <mergeCell ref="F377:F382"/>
    <mergeCell ref="F383:F389"/>
    <mergeCell ref="F390:F396"/>
    <mergeCell ref="F401:F402"/>
    <mergeCell ref="F408:F409"/>
    <mergeCell ref="F410:F417"/>
    <mergeCell ref="F418:F423"/>
    <mergeCell ref="F424:F428"/>
    <mergeCell ref="F435:F436"/>
    <mergeCell ref="F437:F440"/>
    <mergeCell ref="F441:F448"/>
    <mergeCell ref="F449:F453"/>
    <mergeCell ref="F454:F456"/>
    <mergeCell ref="F458:F459"/>
    <mergeCell ref="F460:F462"/>
    <mergeCell ref="F483:F484"/>
    <mergeCell ref="F491:F492"/>
    <mergeCell ref="F493:F499"/>
    <mergeCell ref="F500:F501"/>
    <mergeCell ref="F505:F506"/>
    <mergeCell ref="F520:F524"/>
    <mergeCell ref="F525:F529"/>
    <mergeCell ref="F535:F536"/>
    <mergeCell ref="F550:F553"/>
    <mergeCell ref="F569:F572"/>
    <mergeCell ref="F643:F644"/>
    <mergeCell ref="F645:F654"/>
    <mergeCell ref="F669:F672"/>
    <mergeCell ref="F673:F674"/>
    <mergeCell ref="F675:F677"/>
    <mergeCell ref="F678:F689"/>
    <mergeCell ref="H742:K742"/>
    <mergeCell ref="F759:F763"/>
    <mergeCell ref="F764:F768"/>
    <mergeCell ref="F774:F775"/>
    <mergeCell ref="F786:F787"/>
    <mergeCell ref="F788:F796"/>
    <mergeCell ref="F797:F798"/>
    <mergeCell ref="F799:F804"/>
    <mergeCell ref="F814:F817"/>
    <mergeCell ref="F592:F596"/>
    <mergeCell ref="F597:F601"/>
    <mergeCell ref="F602:F603"/>
    <mergeCell ref="F610:F614"/>
    <mergeCell ref="F615:F619"/>
    <mergeCell ref="F620:F621"/>
    <mergeCell ref="F627:F638"/>
    <mergeCell ref="B375:E375"/>
    <mergeCell ref="B433:E433"/>
    <mergeCell ref="B468:E468"/>
    <mergeCell ref="B489:E489"/>
    <mergeCell ref="B509:E511"/>
    <mergeCell ref="B516:E516"/>
    <mergeCell ref="B538:E540"/>
    <mergeCell ref="B547:E547"/>
    <mergeCell ref="B566:E566"/>
    <mergeCell ref="B589:E589"/>
    <mergeCell ref="B607:E607"/>
    <mergeCell ref="B625:E625"/>
    <mergeCell ref="B640:E640"/>
    <mergeCell ref="B667:E667"/>
    <mergeCell ref="B695:E695"/>
    <mergeCell ref="B715:E715"/>
    <mergeCell ref="B742:E742"/>
    <mergeCell ref="B757:E757"/>
    <mergeCell ref="B786:E786"/>
    <mergeCell ref="B813:E813"/>
    <mergeCell ref="B834:E834"/>
    <mergeCell ref="F942:F945"/>
    <mergeCell ref="F956:F958"/>
    <mergeCell ref="F959:F961"/>
    <mergeCell ref="B851:E851"/>
    <mergeCell ref="B869:E869"/>
    <mergeCell ref="B904:E904"/>
    <mergeCell ref="B923:E923"/>
    <mergeCell ref="B938:E938"/>
    <mergeCell ref="F939:F941"/>
    <mergeCell ref="B955:E955"/>
    <mergeCell ref="B1085:E1085"/>
    <mergeCell ref="B1102:E1102"/>
    <mergeCell ref="B1118:E1118"/>
    <mergeCell ref="B963:E963"/>
    <mergeCell ref="B988:E988"/>
    <mergeCell ref="B1006:E1006"/>
    <mergeCell ref="B1024:E1024"/>
    <mergeCell ref="B1047:E1047"/>
    <mergeCell ref="B1058:E1058"/>
    <mergeCell ref="B1072:E1072"/>
    <mergeCell ref="B57:D58"/>
    <mergeCell ref="B63:E63"/>
    <mergeCell ref="B1:E1"/>
    <mergeCell ref="A3:A23"/>
    <mergeCell ref="F3:F9"/>
    <mergeCell ref="F10:F16"/>
    <mergeCell ref="F17:F23"/>
    <mergeCell ref="A24:A30"/>
    <mergeCell ref="B36:E36"/>
    <mergeCell ref="F78:F84"/>
    <mergeCell ref="F85:F92"/>
    <mergeCell ref="B99:C99"/>
    <mergeCell ref="B101:E101"/>
    <mergeCell ref="F101:F103"/>
    <mergeCell ref="F24:F30"/>
    <mergeCell ref="F39:F45"/>
    <mergeCell ref="F46:F50"/>
    <mergeCell ref="F52:F56"/>
    <mergeCell ref="F64:F65"/>
    <mergeCell ref="F66:F73"/>
    <mergeCell ref="F74:F77"/>
    <mergeCell ref="F104:F112"/>
    <mergeCell ref="F114:F117"/>
    <mergeCell ref="F118:F121"/>
    <mergeCell ref="F122:F128"/>
    <mergeCell ref="B134:C134"/>
    <mergeCell ref="B136:E136"/>
    <mergeCell ref="B145:E145"/>
    <mergeCell ref="F138:F139"/>
    <mergeCell ref="F147:F150"/>
    <mergeCell ref="F151:F153"/>
    <mergeCell ref="F154:F156"/>
    <mergeCell ref="F157:F170"/>
    <mergeCell ref="F177:F184"/>
    <mergeCell ref="F185:F192"/>
    <mergeCell ref="F321:F322"/>
    <mergeCell ref="F323:F328"/>
    <mergeCell ref="B333:E333"/>
    <mergeCell ref="F334:F335"/>
    <mergeCell ref="F336:F344"/>
    <mergeCell ref="F345:F346"/>
    <mergeCell ref="B357:E357"/>
  </mergeCells>
  <hyperlinks>
    <hyperlink display="BACK" location="'Recipe Index'!BX59" ref="B33"/>
    <hyperlink display="HOME" location="'Recipe Index'!A2" ref="C33"/>
    <hyperlink display="BACK" location="'Recipe Index'!BX59" ref="B59"/>
    <hyperlink display="HOME" location="'Recipe Index'!A2" ref="C59"/>
    <hyperlink display="BACK" location="'Recipe Index'!BX59" ref="B94"/>
    <hyperlink display="HOME" location="'Recipe Index'!A2" ref="C94"/>
    <hyperlink display="BACK" location="'Recipe Index'!BX59" ref="B130"/>
    <hyperlink display="HOME" location="'Recipe Index'!A2" ref="C130"/>
    <hyperlink display="BACK" location="'Recipe Index'!BX59" ref="B143"/>
    <hyperlink display="HOME" location="'Recipe Index'!A2" ref="C143"/>
    <hyperlink display="BACK" location="'Recipe Index'!BX59" ref="B171"/>
    <hyperlink display="HOME" location="'Recipe Index'!A2" ref="C171"/>
    <hyperlink display="BACK" location="'Recipe Index'!BX59" ref="B199"/>
    <hyperlink display="HOME" location="'Recipe Index'!A2" ref="C199"/>
    <hyperlink display="BACK" location="'Recipe Index'!BX59" ref="B218"/>
    <hyperlink display="HOME" location="'Recipe Index'!A2" ref="C218"/>
    <hyperlink display="BACK" location="'Recipe Index'!BX59" ref="B229"/>
    <hyperlink display="HOME" location="'Recipe Index'!A2" ref="C229"/>
    <hyperlink display="BACK" location="'Recipe Index'!BX59" ref="B258"/>
    <hyperlink display="HOME" location="'Recipe Index'!A2" ref="C258"/>
    <hyperlink display="BACK" location="'Recipe Index'!BX59" ref="B283"/>
    <hyperlink display="HOME" location="'Recipe Index'!A2" ref="C283"/>
    <hyperlink display="BACK" location="'Recipe Index'!BX59" ref="B305"/>
    <hyperlink display="HOME" location="'Recipe Index'!A2" ref="C305"/>
    <hyperlink display="BACK" location="'Recipe Index'!BX59" ref="B329"/>
    <hyperlink display="HOME" location="'Recipe Index'!A2" ref="C329"/>
    <hyperlink display="BACK" location="'Recipe Index'!BX59" ref="B353"/>
    <hyperlink display="HOME" location="'Recipe Index'!A2" ref="C353"/>
    <hyperlink display="BACK" location="'Recipe Index'!BX59" ref="B371"/>
    <hyperlink display="HOME" location="'Recipe Index'!A2" ref="C371"/>
    <hyperlink display="BACK" location="'Recipe Index'!BX59" ref="B403"/>
    <hyperlink display="HOME" location="'Recipe Index'!A2" ref="C403"/>
    <hyperlink display="BACK" location="'Recipe Index'!BX59" ref="B429"/>
    <hyperlink display="HOME" location="'Recipe Index'!A2" ref="C429"/>
    <hyperlink display="BACK" location="'Recipe Index'!BX59" ref="B465"/>
    <hyperlink display="HOME" location="'Recipe Index'!A2" ref="C465"/>
    <hyperlink display="BACK" location="'Recipe Index'!BX59" ref="B486"/>
    <hyperlink display="HOME" location="'Recipe Index'!A2" ref="C486"/>
    <hyperlink display="BACK" location="'Recipe Index'!BX59" ref="B512"/>
    <hyperlink display="HOME" location="'Recipe Index'!A2" ref="C512"/>
    <hyperlink display="BACK" location="'Recipe Index'!BX59" ref="B541"/>
    <hyperlink display="HOME" location="'Recipe Index'!A2" ref="C541"/>
    <hyperlink display="BACK" location="'Recipe Index'!BX59" ref="B562"/>
    <hyperlink display="HOME" location="'Recipe Index'!A2" ref="C562"/>
    <hyperlink display="BACK" location="'Recipe Index'!BX59" ref="B585"/>
    <hyperlink display="HOME" location="'Recipe Index'!A2" ref="C585"/>
    <hyperlink display="BACK" location="'Recipe Index'!BX59" ref="B603"/>
    <hyperlink display="HOME" location="'Recipe Index'!A2" ref="C603"/>
    <hyperlink display="BACK" location="'Recipe Index'!BX59" ref="B621"/>
    <hyperlink display="HOME" location="'Recipe Index'!A1" ref="C621"/>
    <hyperlink display="BACK" location="'Recipe Index'!BX59" ref="B638"/>
    <hyperlink display="HOME" location="'Recipe Index'!A2" ref="C638"/>
    <hyperlink display="BACK" location="'Recipe Index'!BX59" ref="B665"/>
    <hyperlink display="HOME" location="'Recipe Index'!A2" ref="C665"/>
    <hyperlink display="BACK" location="'Recipe Index'!BX59" ref="B691"/>
    <hyperlink display="HOME" location="'Recipe Index'!A2" ref="C691"/>
    <hyperlink display="BACK" location="'Recipe Index'!BX59" ref="B710"/>
    <hyperlink display="HOME" location="'Recipe Index'!A2" ref="C710"/>
    <hyperlink display="BACK" location="'Recipe Index'!BX59" ref="B733"/>
    <hyperlink display="HOME" location="'Recipe Index'!A2" ref="C733"/>
    <hyperlink display="BACK" location="'Recipe Index'!BX59" ref="B752"/>
    <hyperlink display="HOME" location="'Recipe Index'!A2" ref="C752"/>
    <hyperlink display="BACK" location="'Recipe Index'!BX59" ref="H752"/>
    <hyperlink display="HOME" location="'Recipe Index'!A2" ref="I752"/>
    <hyperlink display="BACK" location="'Recipe Index'!BX59" ref="B781"/>
    <hyperlink display="HOME" location="'Recipe Index'!A2" ref="C781"/>
    <hyperlink display="BACK" location="'Recipe Index'!BX59" ref="B808"/>
    <hyperlink display="HOME" location="'Recipe Index'!A2" ref="C808"/>
    <hyperlink display="BACK" location="'Recipe Index'!BX59" ref="B830"/>
    <hyperlink display="HOME" location="'Recipe Index'!A2" ref="C830"/>
    <hyperlink display="BACK" location="'Recipe Index'!BX59" ref="B848"/>
    <hyperlink display="HOME" location="'Recipe Index'!A2" ref="C848"/>
    <hyperlink display="BACK" location="'Recipe Index'!BX59" ref="B866"/>
    <hyperlink display="HOME" location="'Recipe Index'!A2" ref="C866"/>
    <hyperlink display="BACK" location="'Recipe Index'!BX59" ref="B898"/>
    <hyperlink display="HOME" location="'Recipe Index'!A2" ref="C898"/>
    <hyperlink display="BACK" location="'Recipe Index'!BX59" ref="B918"/>
    <hyperlink display="HOME" location="'Recipe Index'!A2" ref="C918"/>
    <hyperlink display="BACK" location="'Recipe Index'!BX59" ref="B931"/>
    <hyperlink display="HOME" location="'Recipe Index'!A2" ref="C931"/>
    <hyperlink display="BACK" location="'Recipe Index'!BX59" ref="B951"/>
    <hyperlink display="HOME" location="'Recipe Index'!A2" ref="C951"/>
    <hyperlink display="BACK" location="'Recipe Index'!BX59" ref="B983"/>
    <hyperlink display="HOME" location="'Recipe Index'!A2" ref="C983"/>
    <hyperlink display="BACK" location="'Recipe Index'!BX59" ref="B1004"/>
    <hyperlink display="HOME" location="'Recipe Index'!A2" ref="C1004"/>
    <hyperlink display="BACK" location="'Recipe Index'!BX59" ref="B1021"/>
    <hyperlink display="HOME" location="'Recipe Index'!A2" ref="C1021"/>
    <hyperlink display="BACK" location="'Recipe Index'!BX59" ref="B1044"/>
    <hyperlink display="HOME" location="'Recipe Index'!A2" ref="C1044"/>
    <hyperlink display="BACK" location="'Recipe Index'!BX59" ref="B1056"/>
    <hyperlink display="HOME" location="'Recipe Index'!A2" ref="C1056"/>
    <hyperlink display="BACK" location="'Recipe Index'!BX59" ref="B1065"/>
    <hyperlink display="HOME" location="'Recipe Index'!A2" ref="C1065"/>
    <hyperlink display="BACK" location="'Recipe Index'!BX59" ref="B1083"/>
    <hyperlink display="HOME" location="'Recipe Index'!A2" ref="C1083"/>
    <hyperlink display="BACK" location="'Recipe Index'!BX59" ref="B1099"/>
    <hyperlink display="HOME" location="'Recipe Index'!A2" ref="C1099"/>
    <hyperlink display="BACK" location="'Recipe Index'!BX59" ref="B1115"/>
    <hyperlink display="HOME" location="'Recipe Index'!A2" ref="C1115"/>
    <hyperlink display="BACK" location="'Recipe Index'!BX59" ref="B1138"/>
    <hyperlink display="HOME" location="'Recipe Index'!A2" ref="C1138"/>
  </hyperlinks>
  <printOptions/>
  <pageMargins bottom="0.75" footer="0.0" header="0.0" left="0.0" right="0.25" top="0.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30.0"/>
    <col customWidth="1" min="2" max="2" width="29.38"/>
    <col customWidth="1" min="3" max="3" width="10.25"/>
    <col customWidth="1" min="4" max="4" width="12.0"/>
    <col customWidth="1" min="5" max="5" width="7.25"/>
    <col customWidth="1" min="6" max="6" width="28.38"/>
    <col customWidth="1" min="7" max="9" width="19.25"/>
    <col customWidth="1" min="10" max="10" width="10.25"/>
    <col customWidth="1" min="11" max="11" width="9.75"/>
    <col customWidth="1" min="12" max="12" width="21.63"/>
    <col customWidth="1" min="13" max="26" width="14.38"/>
  </cols>
  <sheetData>
    <row r="1" ht="13.5" customHeight="1">
      <c r="A1" s="11"/>
      <c r="B1" s="16" t="s">
        <v>4</v>
      </c>
      <c r="C1" s="18"/>
      <c r="D1" s="18"/>
      <c r="E1" s="19"/>
      <c r="F1" s="21" t="s">
        <v>6</v>
      </c>
      <c r="G1" s="11"/>
      <c r="H1" s="11"/>
      <c r="I1" s="11"/>
      <c r="J1" s="11"/>
      <c r="K1" s="11"/>
      <c r="L1" s="11"/>
    </row>
    <row r="2" ht="13.5" customHeight="1">
      <c r="A2" s="11"/>
      <c r="B2" s="25" t="s">
        <v>1</v>
      </c>
      <c r="C2" s="26">
        <v>10.0</v>
      </c>
      <c r="D2" s="26">
        <v>60.0</v>
      </c>
      <c r="E2" s="28" t="s">
        <v>5</v>
      </c>
      <c r="F2" s="30"/>
      <c r="G2" s="11"/>
      <c r="H2" s="11"/>
      <c r="I2" s="11"/>
      <c r="J2" s="11"/>
      <c r="K2" s="11"/>
      <c r="L2" s="11"/>
    </row>
    <row r="3" ht="13.5" customHeight="1">
      <c r="A3" s="32" t="s">
        <v>10</v>
      </c>
      <c r="B3" s="34" t="s">
        <v>12</v>
      </c>
      <c r="C3" s="35">
        <v>7.0</v>
      </c>
      <c r="D3" s="35">
        <f t="shared" ref="D3:D22" si="1">(C3*D2)/C2</f>
        <v>42</v>
      </c>
      <c r="E3" s="42" t="s">
        <v>9</v>
      </c>
      <c r="F3" s="44" t="s">
        <v>20</v>
      </c>
      <c r="G3" s="11"/>
      <c r="H3" s="11"/>
      <c r="I3" s="11"/>
      <c r="J3" s="11"/>
      <c r="K3" s="11"/>
      <c r="L3" s="11"/>
    </row>
    <row r="4" ht="13.5" customHeight="1">
      <c r="A4" s="47"/>
      <c r="B4" s="55" t="s">
        <v>23</v>
      </c>
      <c r="C4" s="58">
        <v>1.75</v>
      </c>
      <c r="D4" s="62">
        <f t="shared" si="1"/>
        <v>10.5</v>
      </c>
      <c r="E4" s="67" t="s">
        <v>14</v>
      </c>
      <c r="F4" s="47"/>
      <c r="G4" s="11"/>
      <c r="H4" s="11"/>
      <c r="I4" s="11"/>
      <c r="J4" s="11"/>
      <c r="K4" s="11"/>
      <c r="L4" s="11"/>
    </row>
    <row r="5" ht="13.5" customHeight="1">
      <c r="A5" s="47"/>
      <c r="B5" s="70" t="s">
        <v>31</v>
      </c>
      <c r="C5" s="72">
        <v>115.0</v>
      </c>
      <c r="D5" s="72">
        <f t="shared" si="1"/>
        <v>690</v>
      </c>
      <c r="E5" s="74" t="s">
        <v>18</v>
      </c>
      <c r="F5" s="76"/>
      <c r="G5" s="11"/>
      <c r="H5" s="11"/>
      <c r="I5" s="11"/>
      <c r="J5" s="11"/>
      <c r="K5" s="11"/>
      <c r="L5" s="11"/>
    </row>
    <row r="6" ht="13.5" customHeight="1">
      <c r="A6" s="47"/>
      <c r="B6" s="34" t="s">
        <v>34</v>
      </c>
      <c r="C6" s="35">
        <v>0.2</v>
      </c>
      <c r="D6" s="35">
        <f t="shared" si="1"/>
        <v>1.2</v>
      </c>
      <c r="E6" s="42" t="s">
        <v>5</v>
      </c>
      <c r="F6" s="44" t="s">
        <v>35</v>
      </c>
      <c r="G6" s="11"/>
      <c r="H6" s="11"/>
      <c r="I6" s="11"/>
      <c r="J6" s="11"/>
      <c r="K6" s="11"/>
      <c r="L6" s="11"/>
    </row>
    <row r="7" ht="15.0" customHeight="1">
      <c r="A7" s="47"/>
      <c r="B7" s="70" t="s">
        <v>36</v>
      </c>
      <c r="C7" s="72">
        <v>0.4</v>
      </c>
      <c r="D7" s="72">
        <f t="shared" si="1"/>
        <v>2.4</v>
      </c>
      <c r="E7" s="74" t="s">
        <v>14</v>
      </c>
      <c r="F7" s="47"/>
      <c r="G7" s="11"/>
      <c r="H7" s="11"/>
      <c r="I7" s="11"/>
      <c r="J7" s="11"/>
      <c r="K7" s="11"/>
      <c r="L7" s="11"/>
    </row>
    <row r="8" ht="14.25" customHeight="1">
      <c r="A8" s="47"/>
      <c r="B8" s="55" t="s">
        <v>38</v>
      </c>
      <c r="C8" s="58">
        <v>0.5</v>
      </c>
      <c r="D8" s="58">
        <f t="shared" si="1"/>
        <v>3</v>
      </c>
      <c r="E8" s="67" t="s">
        <v>14</v>
      </c>
      <c r="F8" s="47"/>
      <c r="G8" s="11"/>
      <c r="H8" s="11"/>
      <c r="I8" s="11"/>
      <c r="J8" s="11"/>
      <c r="K8" s="11"/>
      <c r="L8" s="11"/>
    </row>
    <row r="9" ht="13.5" customHeight="1">
      <c r="A9" s="76"/>
      <c r="B9" s="80" t="s">
        <v>39</v>
      </c>
      <c r="C9" s="82">
        <v>100.0</v>
      </c>
      <c r="D9" s="82">
        <f t="shared" si="1"/>
        <v>600</v>
      </c>
      <c r="E9" s="84" t="s">
        <v>18</v>
      </c>
      <c r="F9" s="76"/>
      <c r="G9" s="11"/>
      <c r="H9" s="11"/>
      <c r="I9" s="11"/>
      <c r="J9" s="11"/>
      <c r="K9" s="11"/>
      <c r="L9" s="11"/>
    </row>
    <row r="10" ht="13.5" customHeight="1">
      <c r="A10" s="96" t="s">
        <v>48</v>
      </c>
      <c r="B10" s="99" t="s">
        <v>12</v>
      </c>
      <c r="C10" s="101">
        <v>10.0</v>
      </c>
      <c r="D10" s="101">
        <f t="shared" si="1"/>
        <v>60</v>
      </c>
      <c r="E10" s="103" t="s">
        <v>9</v>
      </c>
      <c r="F10" s="44" t="s">
        <v>20</v>
      </c>
      <c r="G10" s="11"/>
      <c r="H10" s="11"/>
      <c r="I10" s="11"/>
      <c r="J10" s="11"/>
      <c r="K10" s="11"/>
      <c r="L10" s="11"/>
    </row>
    <row r="11" ht="13.5" customHeight="1">
      <c r="A11" s="109"/>
      <c r="B11" s="112" t="s">
        <v>23</v>
      </c>
      <c r="C11" s="116">
        <v>2.5</v>
      </c>
      <c r="D11" s="120">
        <f t="shared" si="1"/>
        <v>15</v>
      </c>
      <c r="E11" s="123" t="s">
        <v>14</v>
      </c>
      <c r="F11" s="47"/>
      <c r="G11" s="11"/>
      <c r="H11" s="11"/>
      <c r="I11" s="11"/>
      <c r="J11" s="11"/>
      <c r="K11" s="11"/>
      <c r="L11" s="11"/>
    </row>
    <row r="12" ht="13.5" customHeight="1">
      <c r="A12" s="109"/>
      <c r="B12" s="126" t="s">
        <v>31</v>
      </c>
      <c r="C12" s="128">
        <v>130.0</v>
      </c>
      <c r="D12" s="128">
        <f t="shared" si="1"/>
        <v>780</v>
      </c>
      <c r="E12" s="130" t="s">
        <v>18</v>
      </c>
      <c r="F12" s="76"/>
      <c r="G12" s="11"/>
      <c r="H12" s="11"/>
      <c r="I12" s="11"/>
      <c r="J12" s="11"/>
      <c r="K12" s="11"/>
      <c r="L12" s="11"/>
    </row>
    <row r="13" ht="13.5" customHeight="1">
      <c r="A13" s="109"/>
      <c r="B13" s="99" t="s">
        <v>34</v>
      </c>
      <c r="C13" s="133">
        <v>0.2</v>
      </c>
      <c r="D13" s="133">
        <f t="shared" si="1"/>
        <v>1.2</v>
      </c>
      <c r="E13" s="139" t="s">
        <v>5</v>
      </c>
      <c r="F13" s="144" t="s">
        <v>35</v>
      </c>
      <c r="G13" s="11"/>
      <c r="H13" s="11"/>
      <c r="I13" s="11"/>
      <c r="J13" s="11"/>
      <c r="K13" s="11"/>
      <c r="L13" s="11"/>
    </row>
    <row r="14" ht="13.5" customHeight="1">
      <c r="A14" s="109"/>
      <c r="B14" s="112" t="s">
        <v>60</v>
      </c>
      <c r="C14" s="116">
        <v>0.5</v>
      </c>
      <c r="D14" s="120">
        <f t="shared" si="1"/>
        <v>3</v>
      </c>
      <c r="E14" s="123" t="s">
        <v>14</v>
      </c>
      <c r="F14" s="66"/>
      <c r="G14" s="11"/>
      <c r="H14" s="11"/>
      <c r="I14" s="11"/>
      <c r="J14" s="11"/>
      <c r="K14" s="11"/>
      <c r="L14" s="11"/>
    </row>
    <row r="15" ht="13.5" customHeight="1">
      <c r="A15" s="109"/>
      <c r="B15" s="112" t="s">
        <v>38</v>
      </c>
      <c r="C15" s="116">
        <v>0.6</v>
      </c>
      <c r="D15" s="116">
        <f t="shared" si="1"/>
        <v>3.6</v>
      </c>
      <c r="E15" s="123" t="s">
        <v>14</v>
      </c>
      <c r="F15" s="66"/>
      <c r="G15" s="11"/>
      <c r="H15" s="11"/>
      <c r="I15" s="11"/>
      <c r="J15" s="11"/>
      <c r="K15" s="11"/>
      <c r="L15" s="11"/>
    </row>
    <row r="16" ht="13.5" customHeight="1">
      <c r="A16" s="150"/>
      <c r="B16" s="126" t="s">
        <v>39</v>
      </c>
      <c r="C16" s="128">
        <v>100.0</v>
      </c>
      <c r="D16" s="128">
        <f t="shared" si="1"/>
        <v>600</v>
      </c>
      <c r="E16" s="130" t="s">
        <v>18</v>
      </c>
      <c r="F16" s="106"/>
      <c r="G16" s="11"/>
      <c r="H16" s="11"/>
      <c r="I16" s="11"/>
      <c r="J16" s="11"/>
      <c r="K16" s="11"/>
      <c r="L16" s="11"/>
    </row>
    <row r="17" ht="13.5" customHeight="1">
      <c r="A17" s="11"/>
      <c r="B17" s="157" t="s">
        <v>92</v>
      </c>
      <c r="C17" s="158">
        <v>100.0</v>
      </c>
      <c r="D17" s="158">
        <f t="shared" si="1"/>
        <v>600</v>
      </c>
      <c r="E17" s="159" t="s">
        <v>82</v>
      </c>
      <c r="F17" s="161"/>
      <c r="G17" s="11"/>
      <c r="H17" s="11"/>
      <c r="I17" s="11"/>
      <c r="J17" s="11"/>
      <c r="K17" s="11"/>
      <c r="L17" s="11"/>
    </row>
    <row r="18" ht="13.5" customHeight="1">
      <c r="A18" s="11"/>
      <c r="B18" s="163" t="s">
        <v>34</v>
      </c>
      <c r="C18" s="164">
        <v>0.2</v>
      </c>
      <c r="D18" s="164">
        <f t="shared" si="1"/>
        <v>1.2</v>
      </c>
      <c r="E18" s="169" t="s">
        <v>5</v>
      </c>
      <c r="F18" s="44" t="s">
        <v>111</v>
      </c>
      <c r="G18" s="11"/>
      <c r="H18" s="11"/>
      <c r="I18" s="11"/>
      <c r="J18" s="11"/>
      <c r="K18" s="11"/>
      <c r="L18" s="11"/>
    </row>
    <row r="19" ht="13.5" customHeight="1">
      <c r="A19" s="11"/>
      <c r="B19" s="177" t="s">
        <v>97</v>
      </c>
      <c r="C19" s="198">
        <v>50.0</v>
      </c>
      <c r="D19" s="201">
        <f t="shared" si="1"/>
        <v>300</v>
      </c>
      <c r="E19" s="204" t="s">
        <v>18</v>
      </c>
      <c r="F19" s="47"/>
      <c r="G19" s="11"/>
      <c r="H19" s="11"/>
      <c r="I19" s="11"/>
      <c r="J19" s="11"/>
      <c r="K19" s="11"/>
      <c r="L19" s="11"/>
    </row>
    <row r="20" ht="13.5" customHeight="1">
      <c r="A20" s="11"/>
      <c r="B20" s="177" t="s">
        <v>103</v>
      </c>
      <c r="C20" s="198">
        <v>12.5</v>
      </c>
      <c r="D20" s="198">
        <f t="shared" si="1"/>
        <v>75</v>
      </c>
      <c r="E20" s="204" t="s">
        <v>18</v>
      </c>
      <c r="F20" s="47"/>
      <c r="G20" s="11"/>
      <c r="H20" s="11"/>
      <c r="I20" s="11"/>
      <c r="J20" s="11"/>
      <c r="K20" s="11"/>
      <c r="L20" s="11"/>
    </row>
    <row r="21" ht="13.5" customHeight="1">
      <c r="A21" s="11"/>
      <c r="B21" s="177" t="s">
        <v>101</v>
      </c>
      <c r="C21" s="198">
        <v>0.25</v>
      </c>
      <c r="D21" s="198">
        <f t="shared" si="1"/>
        <v>1.5</v>
      </c>
      <c r="E21" s="204" t="s">
        <v>5</v>
      </c>
      <c r="F21" s="47"/>
      <c r="G21" s="11"/>
      <c r="H21" s="11"/>
      <c r="I21" s="11"/>
      <c r="J21" s="11"/>
      <c r="K21" s="11"/>
      <c r="L21" s="11"/>
    </row>
    <row r="22" ht="13.5" customHeight="1">
      <c r="A22" s="11"/>
      <c r="B22" s="208" t="s">
        <v>126</v>
      </c>
      <c r="C22" s="211">
        <v>50.0</v>
      </c>
      <c r="D22" s="211">
        <f t="shared" si="1"/>
        <v>300</v>
      </c>
      <c r="E22" s="212" t="s">
        <v>18</v>
      </c>
      <c r="F22" s="76"/>
      <c r="G22" s="11"/>
      <c r="H22" s="11"/>
      <c r="I22" s="11"/>
      <c r="J22" s="11"/>
      <c r="K22" s="11"/>
      <c r="L22" s="11"/>
    </row>
    <row r="23" ht="13.5" customHeight="1">
      <c r="A23" s="11"/>
      <c r="B23" s="215" t="s">
        <v>119</v>
      </c>
      <c r="C23" s="220" t="s">
        <v>47</v>
      </c>
      <c r="D23" s="11"/>
      <c r="E23" s="11"/>
      <c r="F23" s="11"/>
      <c r="G23" s="11"/>
      <c r="H23" s="11"/>
      <c r="I23" s="11"/>
      <c r="J23" s="11"/>
      <c r="K23" s="11"/>
      <c r="L23" s="11"/>
    </row>
    <row r="24" ht="13.5" customHeight="1">
      <c r="A24" s="11"/>
      <c r="B24" s="88" t="s">
        <v>131</v>
      </c>
      <c r="C24" s="224">
        <v>41338.0</v>
      </c>
      <c r="D24" s="11"/>
      <c r="E24" s="11"/>
      <c r="F24" s="11"/>
      <c r="G24" s="11"/>
      <c r="H24" s="11"/>
      <c r="I24" s="11"/>
      <c r="J24" s="11"/>
      <c r="K24" s="11"/>
      <c r="L24" s="11"/>
    </row>
    <row r="25" ht="13.5" customHeight="1">
      <c r="A25" s="11"/>
      <c r="B25" s="88" t="s">
        <v>50</v>
      </c>
      <c r="C25" s="224">
        <v>41779.0</v>
      </c>
      <c r="D25" s="11"/>
      <c r="E25" s="11"/>
      <c r="F25" s="11"/>
      <c r="G25" s="11"/>
      <c r="H25" s="11"/>
      <c r="I25" s="11"/>
      <c r="J25" s="11"/>
      <c r="K25" s="11"/>
      <c r="L25" s="11"/>
    </row>
    <row r="26" ht="13.5" customHeight="1">
      <c r="A26" s="11"/>
      <c r="B26" s="11"/>
      <c r="C26" s="11"/>
      <c r="D26" s="11"/>
      <c r="E26" s="11"/>
      <c r="F26" s="30"/>
      <c r="G26" s="11"/>
      <c r="H26" s="11"/>
      <c r="I26" s="11"/>
      <c r="J26" s="11"/>
      <c r="K26" s="11"/>
      <c r="L26" s="11"/>
    </row>
    <row r="27" ht="13.5" customHeight="1">
      <c r="A27" s="11"/>
      <c r="B27" s="240" t="s">
        <v>134</v>
      </c>
      <c r="C27" s="5"/>
      <c r="D27" s="5"/>
      <c r="E27" s="6"/>
      <c r="F27" s="30"/>
      <c r="G27" s="11"/>
      <c r="H27" s="11"/>
      <c r="I27" s="11"/>
      <c r="J27" s="11"/>
      <c r="K27" s="11"/>
      <c r="L27" s="11"/>
    </row>
    <row r="28" ht="13.5" customHeight="1">
      <c r="A28" s="243"/>
      <c r="B28" s="25" t="s">
        <v>1</v>
      </c>
      <c r="C28" s="26">
        <v>10.0</v>
      </c>
      <c r="D28" s="26">
        <v>60.0</v>
      </c>
      <c r="E28" s="28" t="s">
        <v>5</v>
      </c>
      <c r="F28" s="30"/>
      <c r="G28" s="11"/>
      <c r="H28" s="11"/>
      <c r="I28" s="11"/>
      <c r="J28" s="11"/>
      <c r="K28" s="11"/>
      <c r="L28" s="11"/>
    </row>
    <row r="29" ht="13.5" customHeight="1">
      <c r="A29" s="243"/>
      <c r="B29" s="163" t="s">
        <v>142</v>
      </c>
      <c r="C29" s="164">
        <v>8.0</v>
      </c>
      <c r="D29" s="164">
        <f t="shared" ref="D29:D43" si="2">(C29*D28)/C28</f>
        <v>48</v>
      </c>
      <c r="E29" s="169" t="s">
        <v>9</v>
      </c>
      <c r="F29" s="44" t="s">
        <v>145</v>
      </c>
      <c r="G29" s="11"/>
      <c r="H29" s="11"/>
      <c r="I29" s="11"/>
      <c r="J29" s="11"/>
      <c r="K29" s="11"/>
      <c r="L29" s="11"/>
    </row>
    <row r="30" ht="13.5" customHeight="1">
      <c r="A30" s="243"/>
      <c r="B30" s="251" t="s">
        <v>23</v>
      </c>
      <c r="C30" s="253">
        <v>2.0</v>
      </c>
      <c r="D30" s="253">
        <f t="shared" si="2"/>
        <v>12</v>
      </c>
      <c r="E30" s="255" t="s">
        <v>14</v>
      </c>
      <c r="F30" s="47"/>
      <c r="G30" s="11"/>
      <c r="H30" s="11"/>
      <c r="I30" s="11"/>
      <c r="J30" s="11"/>
      <c r="K30" s="11"/>
      <c r="L30" s="11"/>
    </row>
    <row r="31" ht="13.5" customHeight="1">
      <c r="A31" s="243"/>
      <c r="B31" s="208" t="s">
        <v>31</v>
      </c>
      <c r="C31" s="257">
        <v>140.0</v>
      </c>
      <c r="D31" s="257">
        <f t="shared" si="2"/>
        <v>840</v>
      </c>
      <c r="E31" s="212" t="s">
        <v>18</v>
      </c>
      <c r="F31" s="47"/>
      <c r="G31" s="11"/>
      <c r="H31" s="11"/>
      <c r="I31" s="11"/>
      <c r="J31" s="11"/>
      <c r="K31" s="11"/>
      <c r="L31" s="11"/>
    </row>
    <row r="32" ht="13.5" customHeight="1">
      <c r="A32" s="243"/>
      <c r="B32" s="157" t="s">
        <v>149</v>
      </c>
      <c r="C32" s="158">
        <v>150.0</v>
      </c>
      <c r="D32" s="158">
        <f t="shared" si="2"/>
        <v>900</v>
      </c>
      <c r="E32" s="159" t="s">
        <v>18</v>
      </c>
      <c r="F32" s="47"/>
      <c r="G32" s="11"/>
      <c r="H32" s="11"/>
      <c r="I32" s="11"/>
      <c r="J32" s="11"/>
      <c r="K32" s="11"/>
      <c r="L32" s="11"/>
    </row>
    <row r="33" ht="13.5" customHeight="1">
      <c r="A33" s="243"/>
      <c r="B33" s="262" t="s">
        <v>13</v>
      </c>
      <c r="C33" s="265">
        <v>0.05</v>
      </c>
      <c r="D33" s="265">
        <f t="shared" si="2"/>
        <v>0.3</v>
      </c>
      <c r="E33" s="267" t="s">
        <v>14</v>
      </c>
      <c r="F33" s="47"/>
      <c r="G33" s="11"/>
      <c r="H33" s="11"/>
      <c r="I33" s="11"/>
      <c r="J33" s="11"/>
      <c r="K33" s="11"/>
      <c r="L33" s="11"/>
    </row>
    <row r="34" ht="13.5" customHeight="1">
      <c r="A34" s="11"/>
      <c r="B34" s="163" t="s">
        <v>91</v>
      </c>
      <c r="C34" s="164">
        <v>0.25</v>
      </c>
      <c r="D34" s="164">
        <f t="shared" si="2"/>
        <v>1.5</v>
      </c>
      <c r="E34" s="169" t="s">
        <v>5</v>
      </c>
      <c r="F34" s="47"/>
      <c r="G34" s="11"/>
      <c r="H34" s="11"/>
      <c r="I34" s="11"/>
      <c r="J34" s="11"/>
      <c r="K34" s="11"/>
      <c r="L34" s="11"/>
    </row>
    <row r="35" ht="13.5" customHeight="1">
      <c r="A35" s="11"/>
      <c r="B35" s="177" t="s">
        <v>36</v>
      </c>
      <c r="C35" s="201">
        <v>0.25</v>
      </c>
      <c r="D35" s="201">
        <f t="shared" si="2"/>
        <v>1.5</v>
      </c>
      <c r="E35" s="204" t="s">
        <v>14</v>
      </c>
      <c r="F35" s="47"/>
      <c r="G35" s="11"/>
      <c r="H35" s="11"/>
      <c r="I35" s="11"/>
      <c r="J35" s="11"/>
      <c r="K35" s="11"/>
      <c r="L35" s="11"/>
    </row>
    <row r="36" ht="13.5" customHeight="1">
      <c r="A36" s="11"/>
      <c r="B36" s="208" t="s">
        <v>162</v>
      </c>
      <c r="C36" s="257">
        <v>30.0</v>
      </c>
      <c r="D36" s="257">
        <f t="shared" si="2"/>
        <v>180</v>
      </c>
      <c r="E36" s="212" t="s">
        <v>18</v>
      </c>
      <c r="F36" s="47"/>
      <c r="G36" s="11"/>
      <c r="H36" s="11"/>
      <c r="I36" s="11"/>
      <c r="J36" s="11"/>
      <c r="K36" s="11"/>
      <c r="L36" s="11"/>
    </row>
    <row r="37" ht="13.5" customHeight="1">
      <c r="A37" s="11"/>
      <c r="B37" s="157" t="s">
        <v>39</v>
      </c>
      <c r="C37" s="158">
        <v>110.0</v>
      </c>
      <c r="D37" s="158">
        <f t="shared" si="2"/>
        <v>660</v>
      </c>
      <c r="E37" s="159" t="s">
        <v>18</v>
      </c>
      <c r="F37" s="47"/>
      <c r="G37" s="11"/>
      <c r="H37" s="11"/>
      <c r="I37" s="11"/>
      <c r="J37" s="11"/>
      <c r="K37" s="11"/>
      <c r="L37" s="11"/>
    </row>
    <row r="38" ht="13.5" customHeight="1">
      <c r="A38" s="11"/>
      <c r="B38" s="208" t="s">
        <v>163</v>
      </c>
      <c r="C38" s="257">
        <v>2.5</v>
      </c>
      <c r="D38" s="257">
        <f t="shared" si="2"/>
        <v>15</v>
      </c>
      <c r="E38" s="212" t="s">
        <v>14</v>
      </c>
      <c r="F38" s="76"/>
      <c r="G38" s="11"/>
      <c r="H38" s="11"/>
      <c r="I38" s="11"/>
      <c r="J38" s="11"/>
      <c r="K38" s="11"/>
      <c r="L38" s="11"/>
    </row>
    <row r="39" ht="13.5" customHeight="1">
      <c r="A39" s="11"/>
      <c r="B39" s="163" t="s">
        <v>34</v>
      </c>
      <c r="C39" s="285">
        <v>0.2</v>
      </c>
      <c r="D39" s="285">
        <f t="shared" si="2"/>
        <v>1.2</v>
      </c>
      <c r="E39" s="169" t="s">
        <v>5</v>
      </c>
      <c r="F39" s="291" t="s">
        <v>94</v>
      </c>
      <c r="G39" s="11"/>
      <c r="H39" s="11"/>
      <c r="I39" s="11"/>
      <c r="J39" s="11"/>
      <c r="K39" s="11"/>
      <c r="L39" s="11"/>
    </row>
    <row r="40" ht="13.5" customHeight="1">
      <c r="A40" s="11"/>
      <c r="B40" s="177" t="s">
        <v>97</v>
      </c>
      <c r="C40" s="198">
        <v>50.0</v>
      </c>
      <c r="D40" s="198">
        <f t="shared" si="2"/>
        <v>300</v>
      </c>
      <c r="E40" s="204" t="s">
        <v>18</v>
      </c>
      <c r="F40" s="66"/>
      <c r="G40" s="11"/>
      <c r="H40" s="11"/>
      <c r="I40" s="11"/>
      <c r="J40" s="11"/>
      <c r="K40" s="11"/>
      <c r="L40" s="11"/>
    </row>
    <row r="41" ht="13.5" customHeight="1">
      <c r="A41" s="11"/>
      <c r="B41" s="177" t="s">
        <v>103</v>
      </c>
      <c r="C41" s="198">
        <v>12.5</v>
      </c>
      <c r="D41" s="198">
        <f t="shared" si="2"/>
        <v>75</v>
      </c>
      <c r="E41" s="204" t="s">
        <v>18</v>
      </c>
      <c r="F41" s="66"/>
      <c r="G41" s="11"/>
      <c r="H41" s="11"/>
      <c r="I41" s="11"/>
      <c r="J41" s="11"/>
      <c r="K41" s="11"/>
      <c r="L41" s="11"/>
    </row>
    <row r="42" ht="13.5" customHeight="1">
      <c r="A42" s="11"/>
      <c r="B42" s="177" t="s">
        <v>101</v>
      </c>
      <c r="C42" s="198">
        <v>0.25</v>
      </c>
      <c r="D42" s="198">
        <f t="shared" si="2"/>
        <v>1.5</v>
      </c>
      <c r="E42" s="204" t="s">
        <v>5</v>
      </c>
      <c r="F42" s="66"/>
      <c r="G42" s="11"/>
      <c r="H42" s="11"/>
      <c r="I42" s="11"/>
      <c r="J42" s="11"/>
      <c r="K42" s="11"/>
      <c r="L42" s="11"/>
    </row>
    <row r="43" ht="13.5" customHeight="1">
      <c r="A43" s="11"/>
      <c r="B43" s="208" t="s">
        <v>126</v>
      </c>
      <c r="C43" s="211">
        <v>35.0</v>
      </c>
      <c r="D43" s="211">
        <f t="shared" si="2"/>
        <v>210</v>
      </c>
      <c r="E43" s="212" t="s">
        <v>18</v>
      </c>
      <c r="F43" s="106"/>
      <c r="G43" s="11"/>
      <c r="H43" s="11"/>
      <c r="I43" s="11"/>
      <c r="J43" s="11"/>
      <c r="K43" s="11"/>
      <c r="L43" s="11"/>
    </row>
    <row r="44" ht="15.0" customHeight="1">
      <c r="A44" s="11"/>
      <c r="B44" s="215" t="s">
        <v>119</v>
      </c>
      <c r="C44" s="220" t="s">
        <v>47</v>
      </c>
      <c r="D44" s="11"/>
      <c r="E44" s="11"/>
      <c r="F44" s="11"/>
      <c r="G44" s="11"/>
      <c r="H44" s="11"/>
      <c r="I44" s="11"/>
      <c r="J44" s="11"/>
      <c r="K44" s="11"/>
      <c r="L44" s="11"/>
    </row>
    <row r="45" ht="15.0" customHeight="1">
      <c r="A45" s="11"/>
      <c r="B45" s="88" t="s">
        <v>131</v>
      </c>
      <c r="C45" s="224">
        <v>41283.0</v>
      </c>
      <c r="D45" s="11"/>
      <c r="E45" s="11"/>
      <c r="F45" s="11"/>
      <c r="G45" s="11"/>
      <c r="H45" s="11"/>
      <c r="I45" s="11"/>
      <c r="J45" s="11"/>
      <c r="K45" s="11"/>
      <c r="L45" s="11"/>
    </row>
    <row r="46" ht="15.0" customHeight="1">
      <c r="A46" s="11"/>
      <c r="B46" s="88" t="s">
        <v>50</v>
      </c>
      <c r="C46" s="224">
        <v>43254.0</v>
      </c>
      <c r="D46" s="11"/>
      <c r="E46" s="11"/>
      <c r="F46" s="11"/>
      <c r="G46" s="11"/>
      <c r="H46" s="11"/>
      <c r="I46" s="11"/>
      <c r="J46" s="11"/>
      <c r="K46" s="11"/>
      <c r="L46" s="11"/>
    </row>
    <row r="47" ht="15.0" customHeight="1">
      <c r="A47" s="11"/>
      <c r="B47" s="11"/>
      <c r="C47" s="11"/>
      <c r="D47" s="11"/>
      <c r="E47" s="11"/>
      <c r="F47" s="11"/>
      <c r="G47" s="11"/>
      <c r="H47" s="11"/>
      <c r="I47" s="11"/>
      <c r="J47" s="11"/>
      <c r="K47" s="11"/>
      <c r="L47" s="11"/>
    </row>
    <row r="48" ht="15.0" customHeight="1">
      <c r="A48" s="11"/>
      <c r="B48" s="11"/>
      <c r="C48" s="11"/>
      <c r="D48" s="11"/>
      <c r="E48" s="11"/>
      <c r="F48" s="11"/>
      <c r="G48" s="11"/>
      <c r="H48" s="11"/>
      <c r="I48" s="11"/>
      <c r="J48" s="11"/>
      <c r="K48" s="11"/>
      <c r="L48" s="11"/>
    </row>
    <row r="49" ht="15.0" customHeight="1">
      <c r="A49" s="11"/>
      <c r="B49" s="11"/>
      <c r="C49" s="11"/>
      <c r="D49" s="11"/>
      <c r="E49" s="11"/>
      <c r="F49" s="11"/>
      <c r="G49" s="11"/>
      <c r="H49" s="11"/>
      <c r="I49" s="11"/>
      <c r="J49" s="11"/>
      <c r="K49" s="11"/>
      <c r="L49" s="11"/>
    </row>
    <row r="50" ht="15.0" customHeight="1">
      <c r="A50" s="11"/>
      <c r="B50" s="11"/>
      <c r="C50" s="11"/>
      <c r="D50" s="11"/>
      <c r="E50" s="11"/>
      <c r="F50" s="11"/>
      <c r="G50" s="11"/>
      <c r="H50" s="11"/>
      <c r="I50" s="11"/>
      <c r="J50" s="11"/>
      <c r="K50" s="11"/>
      <c r="L50" s="11"/>
    </row>
    <row r="51" ht="15.0" customHeight="1">
      <c r="A51" s="11"/>
      <c r="B51" s="11"/>
      <c r="C51" s="11"/>
      <c r="D51" s="11"/>
      <c r="E51" s="11"/>
      <c r="F51" s="11"/>
      <c r="G51" s="11"/>
      <c r="H51" s="11"/>
      <c r="I51" s="11"/>
      <c r="J51" s="11"/>
      <c r="K51" s="11"/>
      <c r="L51" s="11"/>
    </row>
    <row r="52" ht="15.0" customHeight="1">
      <c r="A52" s="11"/>
      <c r="B52" s="11"/>
      <c r="C52" s="11"/>
      <c r="D52" s="11"/>
      <c r="E52" s="11"/>
      <c r="F52" s="30"/>
      <c r="G52" s="11"/>
      <c r="H52" s="11"/>
      <c r="I52" s="11"/>
      <c r="J52" s="11"/>
      <c r="K52" s="11"/>
      <c r="L52" s="11"/>
    </row>
    <row r="53" ht="15.0" customHeight="1">
      <c r="A53" s="11"/>
      <c r="B53" s="306" t="s">
        <v>170</v>
      </c>
      <c r="C53" s="5"/>
      <c r="D53" s="5"/>
      <c r="E53" s="6"/>
      <c r="F53" s="312"/>
      <c r="G53" s="11"/>
      <c r="H53" s="11"/>
      <c r="I53" s="11"/>
      <c r="J53" s="11"/>
      <c r="K53" s="11"/>
      <c r="L53" s="11"/>
    </row>
    <row r="54" ht="15.0" customHeight="1">
      <c r="A54" s="11"/>
      <c r="B54" s="25" t="s">
        <v>171</v>
      </c>
      <c r="C54" s="26">
        <v>10.0</v>
      </c>
      <c r="D54" s="314">
        <v>80.0</v>
      </c>
      <c r="E54" s="28" t="s">
        <v>5</v>
      </c>
      <c r="F54" s="30"/>
      <c r="G54" s="11"/>
      <c r="H54" s="11"/>
      <c r="I54" s="11"/>
      <c r="J54" s="11"/>
      <c r="K54" s="11"/>
      <c r="L54" s="11"/>
    </row>
    <row r="55" ht="18.0" customHeight="1">
      <c r="A55" s="11"/>
      <c r="B55" s="163" t="s">
        <v>173</v>
      </c>
      <c r="C55" s="316">
        <v>1.5</v>
      </c>
      <c r="D55" s="285">
        <f t="shared" ref="D55:D65" si="3">(C55*D54)/C54</f>
        <v>12</v>
      </c>
      <c r="E55" s="169" t="s">
        <v>14</v>
      </c>
      <c r="F55" s="264" t="s">
        <v>175</v>
      </c>
      <c r="G55" s="11"/>
      <c r="H55" s="11"/>
      <c r="I55" s="11"/>
      <c r="J55" s="11"/>
      <c r="K55" s="11"/>
      <c r="L55" s="11"/>
    </row>
    <row r="56" ht="15.0" customHeight="1">
      <c r="A56" s="11"/>
      <c r="B56" s="208" t="s">
        <v>80</v>
      </c>
      <c r="C56" s="318">
        <v>5.0</v>
      </c>
      <c r="D56" s="211">
        <f t="shared" si="3"/>
        <v>40</v>
      </c>
      <c r="E56" s="212" t="s">
        <v>14</v>
      </c>
      <c r="F56" s="66"/>
      <c r="G56" s="11"/>
      <c r="H56" s="11"/>
      <c r="I56" s="11"/>
      <c r="J56" s="11"/>
      <c r="K56" s="11"/>
      <c r="L56" s="11"/>
    </row>
    <row r="57" ht="15.0" customHeight="1">
      <c r="A57" s="11"/>
      <c r="B57" s="163" t="s">
        <v>91</v>
      </c>
      <c r="C57" s="316">
        <v>0.2</v>
      </c>
      <c r="D57" s="285">
        <f t="shared" si="3"/>
        <v>1.6</v>
      </c>
      <c r="E57" s="169" t="s">
        <v>5</v>
      </c>
      <c r="F57" s="66"/>
      <c r="G57" s="11"/>
      <c r="H57" s="11"/>
      <c r="I57" s="11"/>
      <c r="J57" s="11"/>
      <c r="K57" s="11"/>
      <c r="L57" s="11"/>
    </row>
    <row r="58" ht="13.5" customHeight="1">
      <c r="A58" s="11"/>
      <c r="B58" s="177" t="s">
        <v>98</v>
      </c>
      <c r="C58" s="321">
        <v>25.0</v>
      </c>
      <c r="D58" s="198">
        <f t="shared" si="3"/>
        <v>200</v>
      </c>
      <c r="E58" s="204" t="s">
        <v>18</v>
      </c>
      <c r="F58" s="66"/>
      <c r="G58" s="11"/>
      <c r="H58" s="11"/>
      <c r="I58" s="11"/>
      <c r="J58" s="11"/>
      <c r="K58" s="11"/>
      <c r="L58" s="11"/>
    </row>
    <row r="59" ht="13.5" customHeight="1">
      <c r="A59" s="11"/>
      <c r="B59" s="177" t="s">
        <v>177</v>
      </c>
      <c r="C59" s="321">
        <v>25.0</v>
      </c>
      <c r="D59" s="198">
        <f t="shared" si="3"/>
        <v>200</v>
      </c>
      <c r="E59" s="204" t="s">
        <v>18</v>
      </c>
      <c r="F59" s="66"/>
      <c r="G59" s="11"/>
      <c r="H59" s="11"/>
      <c r="I59" s="11"/>
      <c r="J59" s="11"/>
      <c r="K59" s="11"/>
      <c r="L59" s="11"/>
    </row>
    <row r="60" ht="13.5" customHeight="1">
      <c r="A60" s="11"/>
      <c r="B60" s="177" t="s">
        <v>178</v>
      </c>
      <c r="C60" s="321">
        <v>12.5</v>
      </c>
      <c r="D60" s="198">
        <f t="shared" si="3"/>
        <v>100</v>
      </c>
      <c r="E60" s="204" t="s">
        <v>18</v>
      </c>
      <c r="F60" s="66"/>
      <c r="G60" s="11"/>
      <c r="H60" s="11"/>
      <c r="I60" s="11"/>
      <c r="J60" s="11"/>
      <c r="K60" s="11"/>
      <c r="L60" s="11"/>
    </row>
    <row r="61" ht="13.5" customHeight="1">
      <c r="A61" s="11"/>
      <c r="B61" s="177" t="s">
        <v>103</v>
      </c>
      <c r="C61" s="321">
        <v>25.0</v>
      </c>
      <c r="D61" s="198">
        <f t="shared" si="3"/>
        <v>200</v>
      </c>
      <c r="E61" s="204" t="s">
        <v>18</v>
      </c>
      <c r="F61" s="66"/>
      <c r="G61" s="11"/>
      <c r="H61" s="11"/>
      <c r="I61" s="11"/>
      <c r="J61" s="11"/>
      <c r="K61" s="11"/>
      <c r="L61" s="11"/>
    </row>
    <row r="62" ht="13.5" customHeight="1">
      <c r="A62" s="11"/>
      <c r="B62" s="177" t="s">
        <v>112</v>
      </c>
      <c r="C62" s="321">
        <v>10.0</v>
      </c>
      <c r="D62" s="198">
        <f t="shared" si="3"/>
        <v>80</v>
      </c>
      <c r="E62" s="204" t="s">
        <v>18</v>
      </c>
      <c r="F62" s="66"/>
      <c r="G62" s="11"/>
      <c r="H62" s="11"/>
      <c r="I62" s="11"/>
      <c r="J62" s="11"/>
      <c r="K62" s="11"/>
      <c r="L62" s="11"/>
    </row>
    <row r="63" ht="13.5" customHeight="1">
      <c r="A63" s="11"/>
      <c r="B63" s="177" t="s">
        <v>179</v>
      </c>
      <c r="C63" s="321">
        <v>50.0</v>
      </c>
      <c r="D63" s="198">
        <f t="shared" si="3"/>
        <v>400</v>
      </c>
      <c r="E63" s="204" t="s">
        <v>18</v>
      </c>
      <c r="F63" s="106"/>
      <c r="G63" s="11"/>
      <c r="H63" s="11"/>
      <c r="I63" s="11"/>
      <c r="J63" s="11"/>
      <c r="K63" s="11"/>
      <c r="L63" s="11"/>
    </row>
    <row r="64" ht="13.5" customHeight="1">
      <c r="A64" s="11"/>
      <c r="B64" s="208" t="s">
        <v>92</v>
      </c>
      <c r="C64" s="318">
        <v>50.0</v>
      </c>
      <c r="D64" s="211">
        <f t="shared" si="3"/>
        <v>400</v>
      </c>
      <c r="E64" s="204" t="s">
        <v>18</v>
      </c>
      <c r="F64" s="1"/>
      <c r="G64" s="11"/>
      <c r="H64" s="11"/>
      <c r="I64" s="11"/>
      <c r="J64" s="11"/>
      <c r="K64" s="11"/>
      <c r="L64" s="11"/>
    </row>
    <row r="65" ht="13.5" customHeight="1">
      <c r="A65" s="11"/>
      <c r="B65" s="325" t="s">
        <v>124</v>
      </c>
      <c r="C65" s="328">
        <v>125.0</v>
      </c>
      <c r="D65" s="337">
        <f t="shared" si="3"/>
        <v>1000</v>
      </c>
      <c r="E65" s="338" t="s">
        <v>18</v>
      </c>
      <c r="F65" s="1"/>
      <c r="G65" s="11"/>
      <c r="H65" s="11"/>
      <c r="I65" s="11"/>
      <c r="J65" s="11"/>
      <c r="K65" s="11"/>
      <c r="L65" s="11"/>
    </row>
    <row r="66" ht="13.5" customHeight="1">
      <c r="A66" s="11"/>
      <c r="B66" s="215" t="s">
        <v>119</v>
      </c>
      <c r="C66" s="85" t="s">
        <v>47</v>
      </c>
      <c r="D66" s="11"/>
      <c r="E66" s="11"/>
      <c r="F66" s="11"/>
      <c r="G66" s="11"/>
      <c r="H66" s="11"/>
      <c r="I66" s="11"/>
      <c r="J66" s="11"/>
      <c r="K66" s="11"/>
      <c r="L66" s="11"/>
    </row>
    <row r="67" ht="13.5" customHeight="1">
      <c r="A67" s="11"/>
      <c r="B67" s="88" t="s">
        <v>186</v>
      </c>
      <c r="C67" s="224">
        <v>41505.0</v>
      </c>
      <c r="D67" s="11"/>
      <c r="E67" s="11"/>
      <c r="F67" s="11"/>
      <c r="G67" s="11"/>
      <c r="H67" s="11"/>
      <c r="I67" s="11"/>
      <c r="J67" s="11"/>
      <c r="K67" s="11"/>
      <c r="L67" s="11"/>
    </row>
    <row r="68" ht="13.5" customHeight="1">
      <c r="A68" s="11"/>
      <c r="B68" s="88" t="s">
        <v>50</v>
      </c>
      <c r="C68" s="224">
        <v>41513.0</v>
      </c>
      <c r="D68" s="11"/>
      <c r="E68" s="11"/>
      <c r="F68" s="11"/>
      <c r="G68" s="11"/>
      <c r="H68" s="11"/>
      <c r="I68" s="11"/>
      <c r="J68" s="11"/>
      <c r="K68" s="11"/>
      <c r="L68" s="11"/>
    </row>
    <row r="69" ht="13.5" customHeight="1">
      <c r="A69" s="11"/>
      <c r="B69" s="343" t="s">
        <v>187</v>
      </c>
      <c r="C69" s="18"/>
      <c r="D69" s="18"/>
      <c r="E69" s="19"/>
      <c r="F69" s="30"/>
      <c r="G69" s="11"/>
      <c r="H69" s="11"/>
      <c r="I69" s="11"/>
      <c r="J69" s="11"/>
      <c r="K69" s="11"/>
      <c r="L69" s="11"/>
    </row>
    <row r="70" ht="13.5" customHeight="1">
      <c r="A70" s="11"/>
      <c r="B70" s="345" t="s">
        <v>1</v>
      </c>
      <c r="C70" s="346">
        <v>100.0</v>
      </c>
      <c r="D70" s="346">
        <v>25.0</v>
      </c>
      <c r="E70" s="348" t="s">
        <v>5</v>
      </c>
      <c r="F70" s="44" t="s">
        <v>189</v>
      </c>
      <c r="G70" s="11"/>
      <c r="H70" s="11"/>
      <c r="I70" s="11"/>
      <c r="J70" s="11"/>
      <c r="K70" s="11"/>
      <c r="L70" s="11"/>
    </row>
    <row r="71" ht="13.5" customHeight="1">
      <c r="A71" s="11"/>
      <c r="B71" s="350" t="s">
        <v>191</v>
      </c>
      <c r="C71" s="321">
        <v>70.0</v>
      </c>
      <c r="D71" s="321">
        <f t="shared" ref="D71:D74" si="4">(C71*D70)/C70</f>
        <v>17.5</v>
      </c>
      <c r="E71" s="352" t="s">
        <v>14</v>
      </c>
      <c r="F71" s="47"/>
      <c r="G71" s="11"/>
      <c r="H71" s="11"/>
      <c r="I71" s="11"/>
      <c r="J71" s="11"/>
      <c r="K71" s="11"/>
      <c r="L71" s="11"/>
    </row>
    <row r="72" ht="13.5" customHeight="1">
      <c r="A72" s="11"/>
      <c r="B72" s="350" t="s">
        <v>112</v>
      </c>
      <c r="C72" s="321">
        <v>2100.0</v>
      </c>
      <c r="D72" s="321">
        <f t="shared" si="4"/>
        <v>525</v>
      </c>
      <c r="E72" s="352" t="s">
        <v>18</v>
      </c>
      <c r="F72" s="47"/>
      <c r="G72" s="11"/>
      <c r="H72" s="11"/>
      <c r="I72" s="11"/>
      <c r="J72" s="11"/>
      <c r="K72" s="11"/>
      <c r="L72" s="11"/>
    </row>
    <row r="73" ht="13.5" customHeight="1">
      <c r="A73" s="11"/>
      <c r="B73" s="354" t="s">
        <v>31</v>
      </c>
      <c r="C73" s="355">
        <v>1000.0</v>
      </c>
      <c r="D73" s="355">
        <f t="shared" si="4"/>
        <v>250</v>
      </c>
      <c r="E73" s="356" t="s">
        <v>18</v>
      </c>
      <c r="F73" s="47"/>
      <c r="G73" s="11"/>
      <c r="H73" s="11"/>
      <c r="I73" s="11"/>
      <c r="J73" s="11"/>
      <c r="K73" s="11"/>
      <c r="L73" s="11"/>
    </row>
    <row r="74" ht="13.5" customHeight="1">
      <c r="A74" s="11"/>
      <c r="B74" s="360" t="s">
        <v>91</v>
      </c>
      <c r="C74" s="363">
        <v>1.8</v>
      </c>
      <c r="D74" s="363">
        <f t="shared" si="4"/>
        <v>0.45</v>
      </c>
      <c r="E74" s="366" t="s">
        <v>5</v>
      </c>
      <c r="F74" s="76"/>
      <c r="G74" s="11"/>
      <c r="H74" s="11"/>
      <c r="I74" s="11"/>
      <c r="J74" s="11"/>
      <c r="K74" s="11"/>
      <c r="L74" s="11"/>
    </row>
    <row r="75" ht="13.5" customHeight="1">
      <c r="A75" s="11"/>
      <c r="B75" s="215" t="s">
        <v>119</v>
      </c>
      <c r="C75" s="258" t="s">
        <v>47</v>
      </c>
      <c r="D75" s="11"/>
      <c r="E75" s="11"/>
      <c r="F75" s="11"/>
      <c r="G75" s="11"/>
      <c r="H75" s="11"/>
      <c r="I75" s="11"/>
      <c r="J75" s="11"/>
      <c r="K75" s="11"/>
      <c r="L75" s="11"/>
    </row>
    <row r="76" ht="13.5" customHeight="1">
      <c r="A76" s="11"/>
      <c r="B76" s="88" t="s">
        <v>131</v>
      </c>
      <c r="C76" s="224">
        <v>41322.0</v>
      </c>
      <c r="D76" s="11"/>
      <c r="E76" s="11"/>
      <c r="F76" s="11"/>
      <c r="G76" s="11"/>
      <c r="H76" s="11"/>
      <c r="I76" s="11"/>
      <c r="J76" s="11"/>
      <c r="K76" s="11"/>
      <c r="L76" s="11"/>
    </row>
    <row r="77" ht="13.5" customHeight="1">
      <c r="A77" s="11"/>
      <c r="B77" s="88" t="s">
        <v>50</v>
      </c>
      <c r="C77" s="224"/>
      <c r="D77" s="11"/>
      <c r="E77" s="11"/>
      <c r="F77" s="11"/>
      <c r="G77" s="11"/>
      <c r="H77" s="11"/>
      <c r="I77" s="11"/>
      <c r="J77" s="11"/>
      <c r="K77" s="11"/>
      <c r="L77" s="11"/>
    </row>
    <row r="78" ht="13.5" customHeight="1">
      <c r="A78" s="11"/>
      <c r="B78" s="343" t="s">
        <v>201</v>
      </c>
      <c r="C78" s="18"/>
      <c r="D78" s="18"/>
      <c r="E78" s="19"/>
      <c r="F78" s="30"/>
      <c r="G78" s="11"/>
      <c r="H78" s="11"/>
      <c r="I78" s="11"/>
      <c r="J78" s="11"/>
      <c r="K78" s="11"/>
      <c r="L78" s="11"/>
    </row>
    <row r="79" ht="13.5" customHeight="1">
      <c r="A79" s="11"/>
      <c r="B79" s="369" t="s">
        <v>1</v>
      </c>
      <c r="C79" s="314">
        <v>11.5</v>
      </c>
      <c r="D79" s="314">
        <v>5.75</v>
      </c>
      <c r="E79" s="28" t="s">
        <v>5</v>
      </c>
      <c r="F79" s="30"/>
      <c r="G79" s="11"/>
      <c r="H79" s="11"/>
      <c r="I79" s="11"/>
      <c r="J79" s="11"/>
      <c r="K79" s="11"/>
      <c r="L79" s="11"/>
    </row>
    <row r="80" ht="13.5" customHeight="1">
      <c r="A80" s="11"/>
      <c r="B80" s="374" t="s">
        <v>79</v>
      </c>
      <c r="C80" s="285">
        <v>15.0</v>
      </c>
      <c r="D80" s="285">
        <f t="shared" ref="D80:D92" si="5">(C80*D79)/C79</f>
        <v>7.5</v>
      </c>
      <c r="E80" s="169" t="s">
        <v>14</v>
      </c>
      <c r="F80" s="44" t="s">
        <v>206</v>
      </c>
      <c r="G80" s="11"/>
      <c r="H80" s="11"/>
      <c r="I80" s="11"/>
      <c r="J80" s="11"/>
      <c r="K80" s="11"/>
      <c r="L80" s="11"/>
    </row>
    <row r="81" ht="13.5" customHeight="1">
      <c r="A81" s="11"/>
      <c r="B81" s="377" t="s">
        <v>207</v>
      </c>
      <c r="C81" s="198">
        <v>3.0</v>
      </c>
      <c r="D81" s="198">
        <f t="shared" si="5"/>
        <v>1.5</v>
      </c>
      <c r="E81" s="204" t="s">
        <v>14</v>
      </c>
      <c r="F81" s="47"/>
      <c r="G81" s="11"/>
      <c r="H81" s="11"/>
      <c r="I81" s="11"/>
      <c r="J81" s="11"/>
      <c r="K81" s="11"/>
      <c r="L81" s="11"/>
    </row>
    <row r="82" ht="13.5" customHeight="1">
      <c r="A82" s="11"/>
      <c r="B82" s="377" t="s">
        <v>13</v>
      </c>
      <c r="C82" s="198">
        <v>1.5</v>
      </c>
      <c r="D82" s="198">
        <f t="shared" si="5"/>
        <v>0.75</v>
      </c>
      <c r="E82" s="204" t="s">
        <v>14</v>
      </c>
      <c r="F82" s="47"/>
      <c r="G82" s="11"/>
      <c r="H82" s="11"/>
      <c r="I82" s="11"/>
      <c r="J82" s="11"/>
      <c r="K82" s="11"/>
      <c r="L82" s="11"/>
    </row>
    <row r="83" ht="13.5" customHeight="1">
      <c r="A83" s="11"/>
      <c r="B83" s="377" t="s">
        <v>31</v>
      </c>
      <c r="C83" s="198">
        <v>180.0</v>
      </c>
      <c r="D83" s="198">
        <f t="shared" si="5"/>
        <v>90</v>
      </c>
      <c r="E83" s="204" t="s">
        <v>18</v>
      </c>
      <c r="F83" s="47"/>
      <c r="G83" s="11"/>
      <c r="H83" s="11"/>
      <c r="I83" s="11"/>
      <c r="J83" s="11"/>
      <c r="K83" s="11"/>
      <c r="L83" s="11"/>
    </row>
    <row r="84" ht="13.5" customHeight="1">
      <c r="A84" s="11"/>
      <c r="B84" s="377" t="s">
        <v>208</v>
      </c>
      <c r="C84" s="198">
        <v>30.0</v>
      </c>
      <c r="D84" s="198">
        <f t="shared" si="5"/>
        <v>15</v>
      </c>
      <c r="E84" s="204" t="s">
        <v>18</v>
      </c>
      <c r="F84" s="47"/>
      <c r="G84" s="11"/>
      <c r="H84" s="11"/>
      <c r="I84" s="11"/>
      <c r="J84" s="11"/>
      <c r="K84" s="11"/>
      <c r="L84" s="11"/>
    </row>
    <row r="85" ht="13.5" customHeight="1">
      <c r="A85" s="11"/>
      <c r="B85" s="378" t="s">
        <v>112</v>
      </c>
      <c r="C85" s="211">
        <v>30.0</v>
      </c>
      <c r="D85" s="198">
        <f t="shared" si="5"/>
        <v>15</v>
      </c>
      <c r="E85" s="212" t="s">
        <v>18</v>
      </c>
      <c r="F85" s="76"/>
      <c r="G85" s="11"/>
      <c r="H85" s="11"/>
      <c r="I85" s="11"/>
      <c r="J85" s="11"/>
      <c r="K85" s="11"/>
      <c r="L85" s="11"/>
    </row>
    <row r="86" ht="13.5" customHeight="1">
      <c r="A86" s="11"/>
      <c r="B86" s="374" t="s">
        <v>95</v>
      </c>
      <c r="C86" s="285">
        <v>30.0</v>
      </c>
      <c r="D86" s="285">
        <f t="shared" si="5"/>
        <v>15</v>
      </c>
      <c r="E86" s="169" t="s">
        <v>18</v>
      </c>
      <c r="F86" s="44" t="s">
        <v>209</v>
      </c>
      <c r="G86" s="11"/>
      <c r="H86" s="11"/>
      <c r="I86" s="11"/>
      <c r="J86" s="11"/>
      <c r="K86" s="11"/>
      <c r="L86" s="11"/>
    </row>
    <row r="87" ht="13.5" customHeight="1">
      <c r="A87" s="11"/>
      <c r="B87" s="377" t="s">
        <v>66</v>
      </c>
      <c r="C87" s="198">
        <v>15.0</v>
      </c>
      <c r="D87" s="198">
        <f t="shared" si="5"/>
        <v>7.5</v>
      </c>
      <c r="E87" s="204" t="s">
        <v>18</v>
      </c>
      <c r="F87" s="47"/>
      <c r="G87" s="11"/>
      <c r="H87" s="11"/>
      <c r="I87" s="11"/>
      <c r="J87" s="11"/>
      <c r="K87" s="11"/>
      <c r="L87" s="11"/>
    </row>
    <row r="88" ht="13.5" customHeight="1">
      <c r="A88" s="11"/>
      <c r="B88" s="377" t="s">
        <v>96</v>
      </c>
      <c r="C88" s="198">
        <v>10.0</v>
      </c>
      <c r="D88" s="198">
        <f t="shared" si="5"/>
        <v>5</v>
      </c>
      <c r="E88" s="204" t="s">
        <v>18</v>
      </c>
      <c r="F88" s="47"/>
      <c r="G88" s="11"/>
      <c r="H88" s="11"/>
      <c r="I88" s="11"/>
      <c r="J88" s="11"/>
      <c r="K88" s="11"/>
      <c r="L88" s="11"/>
    </row>
    <row r="89" ht="13.5" customHeight="1">
      <c r="A89" s="11"/>
      <c r="B89" s="380" t="s">
        <v>210</v>
      </c>
      <c r="C89" s="383">
        <v>10.0</v>
      </c>
      <c r="D89" s="198">
        <f t="shared" si="5"/>
        <v>5</v>
      </c>
      <c r="E89" s="267" t="s">
        <v>18</v>
      </c>
      <c r="F89" s="47"/>
      <c r="G89" s="11"/>
      <c r="H89" s="11"/>
      <c r="I89" s="11"/>
      <c r="J89" s="11"/>
      <c r="K89" s="11"/>
      <c r="L89" s="11"/>
    </row>
    <row r="90" ht="13.5" customHeight="1">
      <c r="A90" s="11"/>
      <c r="B90" s="378" t="s">
        <v>215</v>
      </c>
      <c r="C90" s="211">
        <v>10.0</v>
      </c>
      <c r="D90" s="211">
        <f t="shared" si="5"/>
        <v>5</v>
      </c>
      <c r="E90" s="212" t="s">
        <v>18</v>
      </c>
      <c r="F90" s="76"/>
      <c r="G90" s="11"/>
      <c r="H90" s="11"/>
      <c r="I90" s="11"/>
      <c r="J90" s="11"/>
      <c r="K90" s="11"/>
      <c r="L90" s="11"/>
    </row>
    <row r="91" ht="13.5" customHeight="1">
      <c r="A91" s="11"/>
      <c r="B91" s="387" t="s">
        <v>216</v>
      </c>
      <c r="C91" s="390">
        <v>0.25</v>
      </c>
      <c r="D91" s="390">
        <f t="shared" si="5"/>
        <v>0.125</v>
      </c>
      <c r="E91" s="159" t="s">
        <v>14</v>
      </c>
      <c r="F91" s="394" t="s">
        <v>218</v>
      </c>
      <c r="G91" s="11"/>
      <c r="H91" s="11"/>
      <c r="I91" s="11"/>
      <c r="J91" s="11"/>
      <c r="K91" s="11"/>
      <c r="L91" s="11"/>
    </row>
    <row r="92" ht="13.5" customHeight="1">
      <c r="A92" s="11"/>
      <c r="B92" s="378" t="s">
        <v>59</v>
      </c>
      <c r="C92" s="211">
        <v>0.5</v>
      </c>
      <c r="D92" s="211">
        <f t="shared" si="5"/>
        <v>0.25</v>
      </c>
      <c r="E92" s="212" t="s">
        <v>5</v>
      </c>
      <c r="F92" s="76"/>
      <c r="G92" s="11"/>
      <c r="H92" s="11"/>
      <c r="I92" s="11"/>
      <c r="J92" s="11"/>
      <c r="K92" s="11"/>
      <c r="L92" s="11"/>
    </row>
    <row r="93" ht="13.5" customHeight="1">
      <c r="A93" s="11"/>
      <c r="B93" s="398" t="s">
        <v>223</v>
      </c>
      <c r="C93" s="5"/>
      <c r="D93" s="5"/>
      <c r="E93" s="6"/>
      <c r="F93" s="11"/>
      <c r="G93" s="11"/>
      <c r="H93" s="11"/>
      <c r="I93" s="11"/>
      <c r="J93" s="11"/>
      <c r="K93" s="11"/>
      <c r="L93" s="11"/>
    </row>
    <row r="94" ht="13.5" customHeight="1">
      <c r="A94" s="11"/>
      <c r="B94" s="102"/>
      <c r="C94" s="104"/>
      <c r="D94" s="104"/>
      <c r="E94" s="106"/>
      <c r="F94" s="11"/>
      <c r="G94" s="11"/>
      <c r="H94" s="11"/>
      <c r="I94" s="11"/>
      <c r="J94" s="11"/>
      <c r="K94" s="11"/>
      <c r="L94" s="11"/>
    </row>
    <row r="95" ht="13.5" customHeight="1">
      <c r="A95" s="11"/>
      <c r="B95" s="401" t="s">
        <v>131</v>
      </c>
      <c r="C95" s="402">
        <v>40983.0</v>
      </c>
      <c r="D95" s="11"/>
      <c r="E95" s="11"/>
      <c r="F95" s="11"/>
      <c r="G95" s="11"/>
      <c r="H95" s="11"/>
      <c r="I95" s="11"/>
      <c r="J95" s="11"/>
      <c r="K95" s="11"/>
      <c r="L95" s="11"/>
    </row>
    <row r="96" ht="13.5" customHeight="1">
      <c r="A96" s="11"/>
      <c r="B96" s="88" t="s">
        <v>50</v>
      </c>
      <c r="C96" s="402">
        <v>40983.0</v>
      </c>
      <c r="D96" s="11"/>
      <c r="E96" s="11"/>
      <c r="F96" s="11"/>
      <c r="G96" s="11"/>
      <c r="H96" s="11"/>
      <c r="I96" s="11"/>
      <c r="J96" s="11"/>
      <c r="K96" s="11"/>
      <c r="L96" s="11"/>
    </row>
    <row r="97" ht="13.5" customHeight="1">
      <c r="A97" s="11"/>
      <c r="B97" s="215" t="s">
        <v>119</v>
      </c>
      <c r="C97" s="220" t="s">
        <v>47</v>
      </c>
      <c r="D97" s="11"/>
      <c r="E97" s="11"/>
      <c r="F97" s="11"/>
      <c r="G97" s="11"/>
      <c r="H97" s="11"/>
      <c r="I97" s="11"/>
      <c r="J97" s="11"/>
      <c r="K97" s="11"/>
      <c r="L97" s="11"/>
    </row>
    <row r="98" ht="13.5" customHeight="1">
      <c r="A98" s="11"/>
      <c r="B98" s="11" t="s">
        <v>225</v>
      </c>
      <c r="C98" s="11"/>
      <c r="D98" s="11"/>
      <c r="E98" s="11"/>
      <c r="F98" s="30"/>
      <c r="G98" s="11"/>
      <c r="H98" s="11"/>
      <c r="I98" s="11"/>
      <c r="J98" s="11"/>
      <c r="K98" s="11"/>
      <c r="L98" s="11"/>
    </row>
    <row r="99" ht="13.5" customHeight="1">
      <c r="A99" s="11"/>
      <c r="B99" s="11" t="s">
        <v>226</v>
      </c>
      <c r="C99" s="11"/>
      <c r="D99" s="11"/>
      <c r="E99" s="11"/>
      <c r="F99" s="30"/>
      <c r="G99" s="11"/>
      <c r="H99" s="11"/>
      <c r="I99" s="11"/>
      <c r="J99" s="11"/>
      <c r="K99" s="11"/>
      <c r="L99" s="11"/>
    </row>
    <row r="100" ht="13.5" customHeight="1">
      <c r="A100" s="11"/>
      <c r="B100" s="11" t="s">
        <v>227</v>
      </c>
      <c r="C100" s="11"/>
      <c r="D100" s="11"/>
      <c r="E100" s="11"/>
      <c r="F100" s="30"/>
      <c r="G100" s="11"/>
      <c r="H100" s="11"/>
      <c r="I100" s="11"/>
      <c r="J100" s="11"/>
      <c r="K100" s="11"/>
      <c r="L100" s="11"/>
    </row>
    <row r="101" ht="13.5" customHeight="1">
      <c r="A101" s="11"/>
      <c r="B101" s="11" t="s">
        <v>228</v>
      </c>
      <c r="C101" s="11"/>
      <c r="D101" s="11"/>
      <c r="E101" s="11"/>
      <c r="F101" s="30"/>
      <c r="G101" s="11"/>
      <c r="H101" s="11"/>
      <c r="I101" s="11"/>
      <c r="J101" s="11"/>
      <c r="K101" s="11"/>
      <c r="L101" s="11"/>
    </row>
    <row r="102" ht="13.5" customHeight="1">
      <c r="A102" s="11"/>
      <c r="B102" s="11" t="s">
        <v>229</v>
      </c>
      <c r="C102" s="11"/>
      <c r="D102" s="11"/>
      <c r="E102" s="11"/>
      <c r="F102" s="30"/>
      <c r="G102" s="11"/>
      <c r="H102" s="11"/>
      <c r="I102" s="11"/>
      <c r="J102" s="11"/>
      <c r="K102" s="11"/>
      <c r="L102" s="11"/>
    </row>
    <row r="103" ht="13.5" customHeight="1">
      <c r="A103" s="11"/>
      <c r="B103" s="11" t="s">
        <v>230</v>
      </c>
      <c r="C103" s="11"/>
      <c r="D103" s="11"/>
      <c r="E103" s="11"/>
      <c r="F103" s="30"/>
      <c r="G103" s="11"/>
      <c r="H103" s="11"/>
      <c r="I103" s="11"/>
      <c r="J103" s="11"/>
      <c r="K103" s="11"/>
      <c r="L103" s="11"/>
    </row>
    <row r="104" ht="13.5" customHeight="1">
      <c r="A104" s="11"/>
      <c r="B104" s="240" t="s">
        <v>231</v>
      </c>
      <c r="C104" s="5"/>
      <c r="D104" s="5"/>
      <c r="E104" s="6"/>
      <c r="F104" s="405"/>
      <c r="G104" s="11"/>
      <c r="H104" s="11"/>
      <c r="I104" s="11"/>
      <c r="J104" s="11"/>
      <c r="K104" s="11"/>
      <c r="L104" s="11"/>
    </row>
    <row r="105" ht="13.5" customHeight="1">
      <c r="A105" s="11"/>
      <c r="B105" s="163" t="s">
        <v>1</v>
      </c>
      <c r="C105" s="316">
        <v>10.0</v>
      </c>
      <c r="D105" s="285">
        <v>52.0</v>
      </c>
      <c r="E105" s="169" t="s">
        <v>5</v>
      </c>
      <c r="F105" s="243"/>
      <c r="G105" s="11"/>
      <c r="H105" s="11"/>
      <c r="I105" s="11"/>
      <c r="J105" s="11"/>
      <c r="K105" s="11"/>
      <c r="L105" s="11"/>
    </row>
    <row r="106" ht="13.5" customHeight="1">
      <c r="A106" s="11"/>
      <c r="B106" s="177" t="s">
        <v>142</v>
      </c>
      <c r="C106" s="201">
        <v>6.0</v>
      </c>
      <c r="D106" s="198">
        <f t="shared" ref="D106:D116" si="6">(C106*D105)/C105</f>
        <v>31.2</v>
      </c>
      <c r="E106" s="204" t="s">
        <v>9</v>
      </c>
      <c r="F106" s="243"/>
      <c r="G106" s="11"/>
      <c r="H106" s="11"/>
      <c r="I106" s="16" t="s">
        <v>232</v>
      </c>
      <c r="J106" s="18"/>
      <c r="K106" s="18"/>
      <c r="L106" s="19"/>
    </row>
    <row r="107" ht="13.5" customHeight="1">
      <c r="A107" s="11"/>
      <c r="B107" s="177" t="s">
        <v>92</v>
      </c>
      <c r="C107" s="201">
        <v>150.0</v>
      </c>
      <c r="D107" s="198">
        <f t="shared" si="6"/>
        <v>780</v>
      </c>
      <c r="E107" s="204" t="s">
        <v>82</v>
      </c>
      <c r="F107" s="243"/>
      <c r="G107" s="11"/>
      <c r="H107" s="11"/>
      <c r="I107" s="25" t="s">
        <v>1</v>
      </c>
      <c r="J107" s="26">
        <v>20.0</v>
      </c>
      <c r="K107" s="410">
        <v>20.0</v>
      </c>
      <c r="L107" s="428" t="s">
        <v>5</v>
      </c>
    </row>
    <row r="108" ht="13.5" customHeight="1">
      <c r="A108" s="11"/>
      <c r="B108" s="177" t="s">
        <v>31</v>
      </c>
      <c r="C108" s="201">
        <v>130.0</v>
      </c>
      <c r="D108" s="198">
        <f t="shared" si="6"/>
        <v>676</v>
      </c>
      <c r="E108" s="204" t="s">
        <v>18</v>
      </c>
      <c r="F108" s="243"/>
      <c r="G108" s="11"/>
      <c r="H108" s="11"/>
      <c r="I108" s="163" t="s">
        <v>12</v>
      </c>
      <c r="J108" s="164">
        <v>18.0</v>
      </c>
      <c r="K108" s="221">
        <v>18.0</v>
      </c>
      <c r="L108" s="432" t="s">
        <v>9</v>
      </c>
    </row>
    <row r="109" ht="13.5" customHeight="1">
      <c r="A109" s="11"/>
      <c r="B109" s="177" t="s">
        <v>91</v>
      </c>
      <c r="C109" s="201">
        <v>0.25</v>
      </c>
      <c r="D109" s="198">
        <f t="shared" si="6"/>
        <v>1.3</v>
      </c>
      <c r="E109" s="204" t="s">
        <v>5</v>
      </c>
      <c r="F109" s="243"/>
      <c r="G109" s="11"/>
      <c r="H109" s="11"/>
      <c r="I109" s="157" t="s">
        <v>23</v>
      </c>
      <c r="J109" s="158">
        <v>4.5</v>
      </c>
      <c r="K109" s="244">
        <f t="shared" ref="K109:K120" si="7">(J109*K108)/J108</f>
        <v>4.5</v>
      </c>
      <c r="L109" s="437" t="s">
        <v>14</v>
      </c>
    </row>
    <row r="110" ht="13.5" customHeight="1">
      <c r="A110" s="11"/>
      <c r="B110" s="177" t="s">
        <v>246</v>
      </c>
      <c r="C110" s="201">
        <v>100.0</v>
      </c>
      <c r="D110" s="198">
        <f t="shared" si="6"/>
        <v>520</v>
      </c>
      <c r="E110" s="204" t="s">
        <v>18</v>
      </c>
      <c r="F110" s="243"/>
      <c r="G110" s="11"/>
      <c r="H110" s="11"/>
      <c r="I110" s="177" t="s">
        <v>31</v>
      </c>
      <c r="J110" s="201">
        <v>115.0</v>
      </c>
      <c r="K110" s="27">
        <f t="shared" si="7"/>
        <v>115</v>
      </c>
      <c r="L110" s="441" t="s">
        <v>18</v>
      </c>
    </row>
    <row r="111" ht="13.5" customHeight="1">
      <c r="A111" s="11"/>
      <c r="B111" s="177" t="s">
        <v>60</v>
      </c>
      <c r="C111" s="201">
        <v>2.5</v>
      </c>
      <c r="D111" s="198">
        <f t="shared" si="6"/>
        <v>13</v>
      </c>
      <c r="E111" s="204" t="s">
        <v>14</v>
      </c>
      <c r="F111" s="243"/>
      <c r="G111" s="11"/>
      <c r="H111" s="11"/>
      <c r="I111" s="163" t="s">
        <v>34</v>
      </c>
      <c r="J111" s="164">
        <v>0.2</v>
      </c>
      <c r="K111" s="221">
        <f t="shared" si="7"/>
        <v>0.2</v>
      </c>
      <c r="L111" s="432" t="s">
        <v>5</v>
      </c>
    </row>
    <row r="112" ht="13.5" customHeight="1">
      <c r="A112" s="11"/>
      <c r="B112" s="177" t="s">
        <v>34</v>
      </c>
      <c r="C112" s="198">
        <v>0.22</v>
      </c>
      <c r="D112" s="198">
        <f t="shared" si="6"/>
        <v>1.144</v>
      </c>
      <c r="E112" s="204" t="s">
        <v>5</v>
      </c>
      <c r="F112" s="243"/>
      <c r="G112" s="11"/>
      <c r="H112" s="11"/>
      <c r="I112" s="177" t="s">
        <v>60</v>
      </c>
      <c r="J112" s="201">
        <v>0.8</v>
      </c>
      <c r="K112" s="27">
        <f t="shared" si="7"/>
        <v>0.8</v>
      </c>
      <c r="L112" s="441" t="s">
        <v>14</v>
      </c>
    </row>
    <row r="113" ht="13.5" customHeight="1">
      <c r="A113" s="11"/>
      <c r="B113" s="177" t="s">
        <v>98</v>
      </c>
      <c r="C113" s="198">
        <v>50.0</v>
      </c>
      <c r="D113" s="198">
        <f t="shared" si="6"/>
        <v>260</v>
      </c>
      <c r="E113" s="204" t="s">
        <v>18</v>
      </c>
      <c r="F113" s="243"/>
      <c r="G113" s="11"/>
      <c r="H113" s="11"/>
      <c r="I113" s="157" t="s">
        <v>38</v>
      </c>
      <c r="J113" s="158">
        <v>0.5</v>
      </c>
      <c r="K113" s="244">
        <f t="shared" si="7"/>
        <v>0.5</v>
      </c>
      <c r="L113" s="437" t="s">
        <v>14</v>
      </c>
    </row>
    <row r="114" ht="13.5" customHeight="1">
      <c r="A114" s="11"/>
      <c r="B114" s="177" t="s">
        <v>103</v>
      </c>
      <c r="C114" s="198">
        <v>25.0</v>
      </c>
      <c r="D114" s="198">
        <f t="shared" si="6"/>
        <v>130</v>
      </c>
      <c r="E114" s="204" t="s">
        <v>18</v>
      </c>
      <c r="F114" s="243"/>
      <c r="G114" s="11"/>
      <c r="H114" s="11"/>
      <c r="I114" s="177" t="s">
        <v>39</v>
      </c>
      <c r="J114" s="201">
        <v>100.0</v>
      </c>
      <c r="K114" s="27">
        <f t="shared" si="7"/>
        <v>100</v>
      </c>
      <c r="L114" s="441" t="s">
        <v>18</v>
      </c>
    </row>
    <row r="115" ht="13.5" customHeight="1">
      <c r="A115" s="11"/>
      <c r="B115" s="177" t="s">
        <v>101</v>
      </c>
      <c r="C115" s="198">
        <v>0.25</v>
      </c>
      <c r="D115" s="198">
        <f t="shared" si="6"/>
        <v>1.3</v>
      </c>
      <c r="E115" s="204" t="s">
        <v>5</v>
      </c>
      <c r="F115" s="243"/>
      <c r="G115" s="11"/>
      <c r="H115" s="11"/>
      <c r="I115" s="157" t="s">
        <v>92</v>
      </c>
      <c r="J115" s="158">
        <v>100.0</v>
      </c>
      <c r="K115" s="244">
        <f t="shared" si="7"/>
        <v>100</v>
      </c>
      <c r="L115" s="437" t="s">
        <v>82</v>
      </c>
    </row>
    <row r="116" ht="13.5" customHeight="1">
      <c r="A116" s="11"/>
      <c r="B116" s="208" t="s">
        <v>126</v>
      </c>
      <c r="C116" s="211">
        <v>50.0</v>
      </c>
      <c r="D116" s="211">
        <f t="shared" si="6"/>
        <v>260</v>
      </c>
      <c r="E116" s="212" t="s">
        <v>18</v>
      </c>
      <c r="F116" s="243"/>
      <c r="G116" s="11"/>
      <c r="H116" s="11"/>
      <c r="I116" s="163" t="s">
        <v>34</v>
      </c>
      <c r="J116" s="164">
        <v>0.2</v>
      </c>
      <c r="K116" s="221">
        <f t="shared" si="7"/>
        <v>0.2</v>
      </c>
      <c r="L116" s="432" t="s">
        <v>5</v>
      </c>
    </row>
    <row r="117" ht="13.5" customHeight="1">
      <c r="A117" s="11"/>
      <c r="B117" s="215" t="s">
        <v>119</v>
      </c>
      <c r="C117" s="220" t="s">
        <v>47</v>
      </c>
      <c r="D117" s="11"/>
      <c r="E117" s="11"/>
      <c r="F117" s="11"/>
      <c r="G117" s="11"/>
      <c r="H117" s="11"/>
      <c r="I117" s="177" t="s">
        <v>97</v>
      </c>
      <c r="J117" s="198">
        <v>50.0</v>
      </c>
      <c r="K117" s="27">
        <f t="shared" si="7"/>
        <v>50</v>
      </c>
      <c r="L117" s="441" t="s">
        <v>18</v>
      </c>
    </row>
    <row r="118" ht="13.5" customHeight="1">
      <c r="A118" s="11"/>
      <c r="B118" s="11"/>
      <c r="C118" s="11"/>
      <c r="D118" s="11"/>
      <c r="E118" s="11"/>
      <c r="F118" s="11"/>
      <c r="G118" s="11"/>
      <c r="H118" s="11"/>
      <c r="I118" s="177" t="s">
        <v>103</v>
      </c>
      <c r="J118" s="198">
        <v>12.5</v>
      </c>
      <c r="K118" s="27">
        <f t="shared" si="7"/>
        <v>12.5</v>
      </c>
      <c r="L118" s="441" t="s">
        <v>18</v>
      </c>
    </row>
    <row r="119" ht="13.5" customHeight="1">
      <c r="A119" s="11"/>
      <c r="B119" s="16" t="s">
        <v>232</v>
      </c>
      <c r="C119" s="18"/>
      <c r="D119" s="18"/>
      <c r="E119" s="19"/>
      <c r="F119" s="405"/>
      <c r="G119" s="11"/>
      <c r="H119" s="11"/>
      <c r="I119" s="177" t="s">
        <v>101</v>
      </c>
      <c r="J119" s="198">
        <v>0.25</v>
      </c>
      <c r="K119" s="27">
        <f t="shared" si="7"/>
        <v>0.25</v>
      </c>
      <c r="L119" s="441" t="s">
        <v>5</v>
      </c>
    </row>
    <row r="120" ht="13.5" customHeight="1">
      <c r="A120" s="11"/>
      <c r="B120" s="458" t="s">
        <v>1</v>
      </c>
      <c r="C120" s="363">
        <v>20.0</v>
      </c>
      <c r="D120" s="460">
        <v>20.0</v>
      </c>
      <c r="E120" s="463" t="s">
        <v>5</v>
      </c>
      <c r="F120" s="465"/>
      <c r="G120" s="11"/>
      <c r="H120" s="11"/>
      <c r="I120" s="208" t="s">
        <v>126</v>
      </c>
      <c r="J120" s="211">
        <v>50.0</v>
      </c>
      <c r="K120" s="236">
        <f t="shared" si="7"/>
        <v>50</v>
      </c>
      <c r="L120" s="475" t="s">
        <v>18</v>
      </c>
    </row>
    <row r="121" ht="13.5" customHeight="1">
      <c r="A121" s="11"/>
      <c r="B121" s="163" t="s">
        <v>12</v>
      </c>
      <c r="C121" s="164">
        <v>18.0</v>
      </c>
      <c r="D121" s="285">
        <f t="shared" ref="D121:D133" si="8">(C121*D120)/C120</f>
        <v>18</v>
      </c>
      <c r="E121" s="169" t="s">
        <v>9</v>
      </c>
      <c r="F121" s="465"/>
      <c r="G121" s="11"/>
      <c r="H121" s="11"/>
      <c r="I121" s="11"/>
      <c r="J121" s="11"/>
      <c r="K121" s="11"/>
      <c r="L121" s="11"/>
    </row>
    <row r="122" ht="13.5" customHeight="1">
      <c r="A122" s="11"/>
      <c r="B122" s="177" t="s">
        <v>23</v>
      </c>
      <c r="C122" s="201">
        <v>4.5</v>
      </c>
      <c r="D122" s="198">
        <f t="shared" si="8"/>
        <v>4.5</v>
      </c>
      <c r="E122" s="204" t="s">
        <v>82</v>
      </c>
      <c r="F122" s="465"/>
      <c r="G122" s="11"/>
      <c r="H122" s="11"/>
      <c r="I122" s="11"/>
      <c r="J122" s="11"/>
      <c r="K122" s="11"/>
      <c r="L122" s="11"/>
    </row>
    <row r="123" ht="13.5" customHeight="1">
      <c r="A123" s="11"/>
      <c r="B123" s="208" t="s">
        <v>31</v>
      </c>
      <c r="C123" s="257">
        <v>115.0</v>
      </c>
      <c r="D123" s="211">
        <f t="shared" si="8"/>
        <v>115</v>
      </c>
      <c r="E123" s="212" t="s">
        <v>18</v>
      </c>
      <c r="F123" s="465"/>
      <c r="G123" s="11"/>
      <c r="H123" s="11"/>
      <c r="I123" s="11"/>
      <c r="J123" s="11"/>
      <c r="K123" s="11"/>
      <c r="L123" s="11"/>
    </row>
    <row r="124" ht="13.5" customHeight="1">
      <c r="A124" s="11"/>
      <c r="B124" s="163" t="s">
        <v>34</v>
      </c>
      <c r="C124" s="164">
        <v>0.2</v>
      </c>
      <c r="D124" s="285">
        <f t="shared" si="8"/>
        <v>0.2</v>
      </c>
      <c r="E124" s="169" t="s">
        <v>5</v>
      </c>
      <c r="F124" s="465"/>
      <c r="G124" s="11"/>
      <c r="H124" s="11"/>
      <c r="I124" s="11"/>
      <c r="J124" s="11"/>
      <c r="K124" s="11"/>
      <c r="L124" s="11"/>
    </row>
    <row r="125" ht="13.5" customHeight="1">
      <c r="A125" s="11"/>
      <c r="B125" s="177" t="s">
        <v>60</v>
      </c>
      <c r="C125" s="201">
        <v>0.8</v>
      </c>
      <c r="D125" s="198">
        <f t="shared" si="8"/>
        <v>0.8</v>
      </c>
      <c r="E125" s="204" t="s">
        <v>18</v>
      </c>
      <c r="F125" s="465"/>
      <c r="G125" s="11"/>
      <c r="H125" s="11"/>
      <c r="I125" s="11"/>
      <c r="J125" s="11"/>
      <c r="K125" s="11"/>
      <c r="L125" s="11"/>
    </row>
    <row r="126" ht="13.5" customHeight="1">
      <c r="A126" s="11"/>
      <c r="B126" s="177" t="s">
        <v>38</v>
      </c>
      <c r="C126" s="201">
        <v>0.5</v>
      </c>
      <c r="D126" s="198">
        <f t="shared" si="8"/>
        <v>0.5</v>
      </c>
      <c r="E126" s="204" t="s">
        <v>14</v>
      </c>
      <c r="F126" s="465"/>
      <c r="G126" s="11"/>
      <c r="H126" s="11"/>
      <c r="I126" s="11"/>
      <c r="J126" s="11"/>
      <c r="K126" s="11"/>
      <c r="L126" s="11"/>
    </row>
    <row r="127" ht="13.5" customHeight="1">
      <c r="A127" s="11"/>
      <c r="B127" s="177" t="s">
        <v>39</v>
      </c>
      <c r="C127" s="201">
        <v>100.0</v>
      </c>
      <c r="D127" s="198">
        <f t="shared" si="8"/>
        <v>100</v>
      </c>
      <c r="E127" s="204" t="s">
        <v>5</v>
      </c>
      <c r="F127" s="465"/>
      <c r="G127" s="11"/>
      <c r="H127" s="11"/>
      <c r="I127" s="11"/>
      <c r="J127" s="11"/>
      <c r="K127" s="11"/>
      <c r="L127" s="11"/>
    </row>
    <row r="128" ht="13.5" customHeight="1">
      <c r="A128" s="11"/>
      <c r="B128" s="208" t="s">
        <v>92</v>
      </c>
      <c r="C128" s="257">
        <v>100.0</v>
      </c>
      <c r="D128" s="211">
        <f t="shared" si="8"/>
        <v>100</v>
      </c>
      <c r="E128" s="212" t="s">
        <v>18</v>
      </c>
      <c r="F128" s="465"/>
      <c r="G128" s="11"/>
      <c r="H128" s="11"/>
      <c r="I128" s="11"/>
      <c r="J128" s="11"/>
      <c r="K128" s="11"/>
      <c r="L128" s="11"/>
    </row>
    <row r="129" ht="13.5" customHeight="1">
      <c r="A129" s="11"/>
      <c r="B129" s="157" t="s">
        <v>34</v>
      </c>
      <c r="C129" s="158">
        <v>0.2</v>
      </c>
      <c r="D129" s="390">
        <f t="shared" si="8"/>
        <v>0.2</v>
      </c>
      <c r="E129" s="159" t="s">
        <v>18</v>
      </c>
      <c r="F129" s="465"/>
      <c r="G129" s="11"/>
      <c r="H129" s="11"/>
      <c r="I129" s="11"/>
      <c r="J129" s="11"/>
      <c r="K129" s="11"/>
      <c r="L129" s="11"/>
    </row>
    <row r="130" ht="13.5" customHeight="1">
      <c r="A130" s="11"/>
      <c r="B130" s="177" t="s">
        <v>97</v>
      </c>
      <c r="C130" s="198">
        <v>50.0</v>
      </c>
      <c r="D130" s="198">
        <f t="shared" si="8"/>
        <v>50</v>
      </c>
      <c r="E130" s="204" t="s">
        <v>5</v>
      </c>
      <c r="F130" s="465"/>
      <c r="G130" s="11"/>
      <c r="H130" s="11"/>
      <c r="I130" s="11"/>
      <c r="J130" s="11"/>
      <c r="K130" s="11"/>
      <c r="L130" s="11"/>
    </row>
    <row r="131" ht="13.5" customHeight="1">
      <c r="A131" s="11"/>
      <c r="B131" s="177" t="s">
        <v>103</v>
      </c>
      <c r="C131" s="198">
        <v>12.5</v>
      </c>
      <c r="D131" s="198">
        <f t="shared" si="8"/>
        <v>12.5</v>
      </c>
      <c r="E131" s="204" t="s">
        <v>18</v>
      </c>
      <c r="F131" s="483"/>
      <c r="G131" s="11"/>
      <c r="H131" s="11"/>
      <c r="I131" s="11"/>
      <c r="J131" s="11"/>
      <c r="K131" s="11"/>
      <c r="L131" s="11"/>
    </row>
    <row r="132" ht="13.5" customHeight="1">
      <c r="A132" s="11"/>
      <c r="B132" s="177" t="s">
        <v>101</v>
      </c>
      <c r="C132" s="198">
        <v>0.25</v>
      </c>
      <c r="D132" s="198">
        <f t="shared" si="8"/>
        <v>0.25</v>
      </c>
      <c r="E132" s="204" t="s">
        <v>5</v>
      </c>
      <c r="F132" s="11"/>
      <c r="G132" s="11"/>
      <c r="H132" s="11"/>
      <c r="I132" s="11"/>
      <c r="J132" s="11"/>
      <c r="K132" s="11"/>
      <c r="L132" s="11"/>
    </row>
    <row r="133" ht="13.5" customHeight="1">
      <c r="A133" s="11"/>
      <c r="B133" s="208" t="s">
        <v>126</v>
      </c>
      <c r="C133" s="211">
        <v>50.0</v>
      </c>
      <c r="D133" s="211">
        <f t="shared" si="8"/>
        <v>50</v>
      </c>
      <c r="E133" s="212" t="s">
        <v>18</v>
      </c>
      <c r="F133" s="11"/>
      <c r="G133" s="11"/>
      <c r="H133" s="11"/>
      <c r="I133" s="11"/>
      <c r="J133" s="11"/>
      <c r="K133" s="11"/>
      <c r="L133" s="11"/>
    </row>
    <row r="134" ht="13.5" customHeight="1">
      <c r="A134" s="11"/>
      <c r="B134" s="215" t="s">
        <v>119</v>
      </c>
      <c r="C134" s="220" t="s">
        <v>47</v>
      </c>
      <c r="D134" s="11"/>
      <c r="E134" s="11"/>
      <c r="F134" s="11"/>
      <c r="G134" s="11"/>
      <c r="H134" s="11"/>
      <c r="I134" s="11"/>
      <c r="J134" s="11"/>
      <c r="K134" s="11"/>
      <c r="L134" s="11"/>
    </row>
    <row r="135" ht="13.5" customHeight="1">
      <c r="A135" s="11"/>
      <c r="B135" s="11"/>
      <c r="C135" s="11"/>
      <c r="D135" s="11"/>
      <c r="E135" s="11"/>
      <c r="F135" s="11"/>
      <c r="G135" s="11"/>
      <c r="H135" s="11"/>
      <c r="I135" s="11"/>
      <c r="J135" s="11"/>
      <c r="K135" s="11"/>
      <c r="L135" s="11"/>
    </row>
    <row r="136" ht="13.5" customHeight="1">
      <c r="A136" s="11"/>
      <c r="B136" s="343" t="s">
        <v>287</v>
      </c>
      <c r="C136" s="18"/>
      <c r="D136" s="18"/>
      <c r="E136" s="19"/>
      <c r="F136" s="405"/>
      <c r="G136" s="11"/>
      <c r="H136" s="11"/>
      <c r="I136" s="11"/>
      <c r="J136" s="11"/>
      <c r="K136" s="11"/>
      <c r="L136" s="11"/>
    </row>
    <row r="137" ht="13.5" customHeight="1">
      <c r="A137" s="11"/>
      <c r="B137" s="458" t="s">
        <v>1</v>
      </c>
      <c r="C137" s="491">
        <v>88.0</v>
      </c>
      <c r="D137" s="492">
        <v>250.0</v>
      </c>
      <c r="E137" s="463" t="s">
        <v>5</v>
      </c>
      <c r="F137" s="465"/>
      <c r="G137" s="11"/>
      <c r="H137" s="11"/>
      <c r="I137" s="11"/>
      <c r="J137" s="11"/>
      <c r="K137" s="11"/>
      <c r="L137" s="11"/>
    </row>
    <row r="138" ht="13.5" customHeight="1">
      <c r="A138" s="11"/>
      <c r="B138" s="157" t="s">
        <v>292</v>
      </c>
      <c r="C138" s="496">
        <v>60.0</v>
      </c>
      <c r="D138" s="498">
        <f t="shared" ref="D138:D147" si="9">(C138*D137)/C137</f>
        <v>170.4545455</v>
      </c>
      <c r="E138" s="159" t="s">
        <v>14</v>
      </c>
      <c r="F138" s="465"/>
      <c r="G138" s="11"/>
      <c r="H138" s="11"/>
      <c r="I138" s="11"/>
      <c r="J138" s="11"/>
      <c r="K138" s="11"/>
      <c r="L138" s="11"/>
    </row>
    <row r="139" ht="13.5" customHeight="1">
      <c r="A139" s="11"/>
      <c r="B139" s="177" t="s">
        <v>91</v>
      </c>
      <c r="C139" s="500">
        <v>2.0</v>
      </c>
      <c r="D139" s="581">
        <f t="shared" si="9"/>
        <v>5.681818182</v>
      </c>
      <c r="E139" s="204" t="s">
        <v>5</v>
      </c>
      <c r="F139" s="465"/>
      <c r="G139" s="11"/>
      <c r="H139" s="11"/>
      <c r="I139" s="11"/>
      <c r="J139" s="11"/>
      <c r="K139" s="11"/>
      <c r="L139" s="11"/>
    </row>
    <row r="140" ht="13.5" customHeight="1">
      <c r="A140" s="11"/>
      <c r="B140" s="177" t="s">
        <v>388</v>
      </c>
      <c r="C140" s="584">
        <v>308.0</v>
      </c>
      <c r="D140" s="581">
        <f t="shared" si="9"/>
        <v>875</v>
      </c>
      <c r="E140" s="204" t="s">
        <v>18</v>
      </c>
      <c r="F140" s="465"/>
      <c r="G140" s="11"/>
      <c r="H140" s="11"/>
      <c r="I140" s="11"/>
      <c r="J140" s="11"/>
      <c r="K140" s="11"/>
      <c r="L140" s="11"/>
    </row>
    <row r="141" ht="13.5" customHeight="1">
      <c r="A141" s="11"/>
      <c r="B141" s="177" t="s">
        <v>390</v>
      </c>
      <c r="C141" s="584">
        <v>220.0</v>
      </c>
      <c r="D141" s="581">
        <f t="shared" si="9"/>
        <v>625</v>
      </c>
      <c r="E141" s="249" t="s">
        <v>18</v>
      </c>
      <c r="F141" s="465"/>
      <c r="G141" s="11"/>
      <c r="H141" s="11"/>
      <c r="I141" s="11"/>
      <c r="J141" s="11"/>
      <c r="K141" s="11"/>
      <c r="L141" s="11"/>
    </row>
    <row r="142" ht="13.5" customHeight="1">
      <c r="A142" s="11"/>
      <c r="B142" s="177" t="s">
        <v>149</v>
      </c>
      <c r="C142" s="584">
        <v>250.0</v>
      </c>
      <c r="D142" s="581">
        <f t="shared" si="9"/>
        <v>710.2272727</v>
      </c>
      <c r="E142" s="204" t="s">
        <v>18</v>
      </c>
      <c r="F142" s="465"/>
      <c r="G142" s="11"/>
      <c r="H142" s="11"/>
      <c r="I142" s="11"/>
      <c r="J142" s="11"/>
      <c r="K142" s="11"/>
      <c r="L142" s="11"/>
    </row>
    <row r="143" ht="13.5" customHeight="1">
      <c r="A143" s="11"/>
      <c r="B143" s="177" t="s">
        <v>391</v>
      </c>
      <c r="C143" s="584">
        <v>300.0</v>
      </c>
      <c r="D143" s="581">
        <f t="shared" si="9"/>
        <v>852.2727273</v>
      </c>
      <c r="E143" s="204" t="s">
        <v>18</v>
      </c>
      <c r="F143" s="465"/>
      <c r="G143" s="11"/>
      <c r="H143" s="11"/>
      <c r="I143" s="11"/>
      <c r="J143" s="11"/>
      <c r="K143" s="11"/>
      <c r="L143" s="11"/>
    </row>
    <row r="144" ht="13.5" customHeight="1">
      <c r="A144" s="11"/>
      <c r="B144" s="177" t="s">
        <v>101</v>
      </c>
      <c r="C144" s="584">
        <v>1.0</v>
      </c>
      <c r="D144" s="500">
        <f t="shared" si="9"/>
        <v>2.840909091</v>
      </c>
      <c r="E144" s="204" t="s">
        <v>5</v>
      </c>
      <c r="F144" s="465"/>
      <c r="G144" s="11"/>
      <c r="H144" s="11"/>
      <c r="I144" s="11"/>
      <c r="J144" s="11"/>
      <c r="K144" s="11"/>
      <c r="L144" s="11"/>
    </row>
    <row r="145" ht="13.5" customHeight="1">
      <c r="A145" s="11"/>
      <c r="B145" s="177" t="s">
        <v>13</v>
      </c>
      <c r="C145" s="584">
        <v>12.0</v>
      </c>
      <c r="D145" s="581">
        <f t="shared" si="9"/>
        <v>34.09090909</v>
      </c>
      <c r="E145" s="204" t="s">
        <v>14</v>
      </c>
      <c r="F145" s="465"/>
      <c r="G145" s="11"/>
      <c r="H145" s="11"/>
      <c r="I145" s="11"/>
      <c r="J145" s="11"/>
      <c r="K145" s="11"/>
      <c r="L145" s="11"/>
    </row>
    <row r="146" ht="13.5" customHeight="1">
      <c r="A146" s="11"/>
      <c r="B146" s="177" t="s">
        <v>208</v>
      </c>
      <c r="C146" s="584">
        <v>250.0</v>
      </c>
      <c r="D146" s="581">
        <f t="shared" si="9"/>
        <v>710.2272727</v>
      </c>
      <c r="E146" s="204" t="s">
        <v>18</v>
      </c>
      <c r="F146" s="465"/>
      <c r="G146" s="11"/>
      <c r="H146" s="11"/>
      <c r="I146" s="11"/>
      <c r="J146" s="11"/>
      <c r="K146" s="11"/>
      <c r="L146" s="11"/>
    </row>
    <row r="147" ht="13.5" customHeight="1">
      <c r="A147" s="11"/>
      <c r="B147" s="208" t="s">
        <v>392</v>
      </c>
      <c r="C147" s="585">
        <v>800.0</v>
      </c>
      <c r="D147" s="586">
        <f t="shared" si="9"/>
        <v>2272.727273</v>
      </c>
      <c r="E147" s="518" t="s">
        <v>14</v>
      </c>
      <c r="F147" s="465"/>
      <c r="G147" s="11"/>
      <c r="H147" s="11"/>
      <c r="I147" s="11"/>
      <c r="J147" s="11"/>
      <c r="K147" s="11"/>
      <c r="L147" s="11"/>
    </row>
    <row r="148" ht="13.5" customHeight="1">
      <c r="A148" s="11"/>
      <c r="B148" s="215" t="s">
        <v>119</v>
      </c>
      <c r="C148" s="220" t="s">
        <v>47</v>
      </c>
      <c r="D148" s="11"/>
      <c r="E148" s="11"/>
      <c r="F148" s="590"/>
      <c r="G148" s="11"/>
      <c r="H148" s="11"/>
      <c r="I148" s="11"/>
      <c r="J148" s="11"/>
      <c r="K148" s="11"/>
      <c r="L148" s="11"/>
    </row>
    <row r="149" ht="13.5" customHeight="1">
      <c r="A149" s="11"/>
      <c r="B149" s="11"/>
      <c r="C149" s="11"/>
      <c r="D149" s="11"/>
      <c r="E149" s="11"/>
      <c r="F149" s="11"/>
      <c r="G149" s="11"/>
      <c r="H149" s="11"/>
      <c r="I149" s="11"/>
      <c r="J149" s="11"/>
      <c r="K149" s="11"/>
      <c r="L149" s="11"/>
    </row>
    <row r="150" ht="13.5" customHeight="1">
      <c r="A150" s="11"/>
      <c r="B150" s="16" t="s">
        <v>397</v>
      </c>
      <c r="C150" s="18"/>
      <c r="D150" s="18"/>
      <c r="E150" s="19"/>
      <c r="F150" s="592" t="s">
        <v>398</v>
      </c>
      <c r="G150" s="11"/>
      <c r="H150" s="11"/>
      <c r="I150" s="11"/>
      <c r="J150" s="11"/>
      <c r="K150" s="11"/>
      <c r="L150" s="11"/>
    </row>
    <row r="151" ht="13.5" customHeight="1">
      <c r="A151" s="11"/>
      <c r="B151" s="25" t="s">
        <v>1</v>
      </c>
      <c r="C151" s="26">
        <v>10.0</v>
      </c>
      <c r="D151" s="26">
        <v>60.0</v>
      </c>
      <c r="E151" s="28" t="s">
        <v>5</v>
      </c>
      <c r="F151" s="30"/>
      <c r="G151" s="11"/>
      <c r="H151" s="11"/>
      <c r="I151" s="11"/>
      <c r="J151" s="11"/>
      <c r="K151" s="11"/>
      <c r="L151" s="11"/>
    </row>
    <row r="152" ht="13.5" customHeight="1">
      <c r="A152" s="11"/>
      <c r="B152" s="163" t="s">
        <v>12</v>
      </c>
      <c r="C152" s="164">
        <v>8.0</v>
      </c>
      <c r="D152" s="164">
        <f t="shared" ref="D152:D161" si="10">(C152*D151)/C151</f>
        <v>48</v>
      </c>
      <c r="E152" s="169" t="s">
        <v>9</v>
      </c>
      <c r="F152" s="264" t="s">
        <v>399</v>
      </c>
      <c r="G152" s="11"/>
      <c r="H152" s="11"/>
      <c r="I152" s="11"/>
      <c r="J152" s="11"/>
      <c r="K152" s="11"/>
      <c r="L152" s="11"/>
    </row>
    <row r="153" ht="15.75" customHeight="1">
      <c r="A153" s="11"/>
      <c r="B153" s="177" t="s">
        <v>23</v>
      </c>
      <c r="C153" s="201">
        <v>2.0</v>
      </c>
      <c r="D153" s="198">
        <f t="shared" si="10"/>
        <v>12</v>
      </c>
      <c r="E153" s="204" t="s">
        <v>14</v>
      </c>
      <c r="F153" s="66"/>
      <c r="G153" s="11"/>
      <c r="H153" s="11"/>
      <c r="I153" s="11"/>
      <c r="J153" s="11"/>
      <c r="K153" s="11"/>
      <c r="L153" s="11"/>
    </row>
    <row r="154" ht="18.75" customHeight="1">
      <c r="A154" s="11"/>
      <c r="B154" s="262" t="s">
        <v>31</v>
      </c>
      <c r="C154" s="265">
        <v>130.0</v>
      </c>
      <c r="D154" s="265">
        <f t="shared" si="10"/>
        <v>780</v>
      </c>
      <c r="E154" s="267" t="s">
        <v>18</v>
      </c>
      <c r="F154" s="66"/>
      <c r="G154" s="11"/>
      <c r="H154" s="11"/>
      <c r="I154" s="11"/>
      <c r="J154" s="11"/>
      <c r="K154" s="11"/>
      <c r="L154" s="11"/>
    </row>
    <row r="155" ht="15.75" customHeight="1">
      <c r="A155" s="11"/>
      <c r="B155" s="163" t="s">
        <v>400</v>
      </c>
      <c r="C155" s="164">
        <v>0.2</v>
      </c>
      <c r="D155" s="164">
        <f t="shared" si="10"/>
        <v>1.2</v>
      </c>
      <c r="E155" s="169" t="s">
        <v>5</v>
      </c>
      <c r="F155" s="66"/>
      <c r="G155" s="11"/>
      <c r="H155" s="11"/>
      <c r="I155" s="11"/>
      <c r="J155" s="11"/>
      <c r="K155" s="11"/>
      <c r="L155" s="11"/>
    </row>
    <row r="156" ht="13.5" customHeight="1">
      <c r="A156" s="11"/>
      <c r="B156" s="177" t="s">
        <v>60</v>
      </c>
      <c r="C156" s="201">
        <v>0.67</v>
      </c>
      <c r="D156" s="198">
        <f t="shared" si="10"/>
        <v>4.02</v>
      </c>
      <c r="E156" s="204" t="s">
        <v>14</v>
      </c>
      <c r="F156" s="66"/>
      <c r="G156" s="11"/>
      <c r="H156" s="11"/>
      <c r="I156" s="11"/>
      <c r="J156" s="11"/>
      <c r="K156" s="11"/>
      <c r="L156" s="11"/>
    </row>
    <row r="157" ht="13.5" customHeight="1">
      <c r="A157" s="11"/>
      <c r="B157" s="208" t="s">
        <v>38</v>
      </c>
      <c r="C157" s="257">
        <v>0.6</v>
      </c>
      <c r="D157" s="257">
        <f t="shared" si="10"/>
        <v>3.6</v>
      </c>
      <c r="E157" s="212" t="s">
        <v>14</v>
      </c>
      <c r="F157" s="66"/>
      <c r="G157" s="11"/>
      <c r="H157" s="11"/>
      <c r="I157" s="11"/>
      <c r="J157" s="11"/>
      <c r="K157" s="11"/>
      <c r="L157" s="11"/>
    </row>
    <row r="158" ht="13.5" customHeight="1">
      <c r="A158" s="11"/>
      <c r="B158" s="157" t="s">
        <v>39</v>
      </c>
      <c r="C158" s="158">
        <v>100.0</v>
      </c>
      <c r="D158" s="158">
        <f t="shared" si="10"/>
        <v>600</v>
      </c>
      <c r="E158" s="159" t="s">
        <v>18</v>
      </c>
      <c r="F158" s="66"/>
      <c r="G158" s="11"/>
      <c r="H158" s="11"/>
      <c r="I158" s="11"/>
      <c r="J158" s="11"/>
      <c r="K158" s="11"/>
      <c r="L158" s="11"/>
    </row>
    <row r="159" ht="13.5" customHeight="1">
      <c r="A159" s="11"/>
      <c r="B159" s="208" t="s">
        <v>149</v>
      </c>
      <c r="C159" s="257">
        <v>100.0</v>
      </c>
      <c r="D159" s="257">
        <f t="shared" si="10"/>
        <v>600</v>
      </c>
      <c r="E159" s="212" t="s">
        <v>82</v>
      </c>
      <c r="F159" s="106"/>
      <c r="G159" s="11"/>
      <c r="H159" s="11"/>
      <c r="I159" s="11"/>
      <c r="J159" s="11"/>
      <c r="K159" s="11"/>
      <c r="L159" s="11"/>
    </row>
    <row r="160" ht="13.5" customHeight="1">
      <c r="A160" s="11"/>
      <c r="B160" s="594" t="s">
        <v>114</v>
      </c>
      <c r="C160" s="597">
        <v>0.2</v>
      </c>
      <c r="D160" s="597">
        <f t="shared" si="10"/>
        <v>1.2</v>
      </c>
      <c r="E160" s="598" t="s">
        <v>5</v>
      </c>
      <c r="F160" s="599" t="s">
        <v>404</v>
      </c>
      <c r="G160" s="11"/>
      <c r="H160" s="11"/>
      <c r="I160" s="11"/>
      <c r="J160" s="11"/>
      <c r="K160" s="11"/>
      <c r="L160" s="11"/>
    </row>
    <row r="161" ht="13.5" customHeight="1">
      <c r="A161" s="11"/>
      <c r="B161" s="601" t="s">
        <v>101</v>
      </c>
      <c r="C161" s="602">
        <v>0.25</v>
      </c>
      <c r="D161" s="602">
        <f t="shared" si="10"/>
        <v>1.5</v>
      </c>
      <c r="E161" s="603" t="s">
        <v>5</v>
      </c>
      <c r="F161" s="76"/>
      <c r="G161" s="11"/>
      <c r="H161" s="11"/>
      <c r="I161" s="11"/>
      <c r="J161" s="11"/>
      <c r="K161" s="11"/>
      <c r="L161" s="11"/>
    </row>
    <row r="162" ht="13.5" customHeight="1">
      <c r="A162" s="11"/>
      <c r="B162" s="215" t="s">
        <v>119</v>
      </c>
      <c r="C162" s="220" t="s">
        <v>47</v>
      </c>
      <c r="D162" s="1"/>
      <c r="E162" s="11"/>
      <c r="F162" s="11"/>
      <c r="G162" s="11"/>
      <c r="H162" s="11"/>
      <c r="I162" s="11"/>
      <c r="J162" s="11"/>
      <c r="K162" s="11"/>
      <c r="L162" s="11"/>
    </row>
    <row r="163" ht="13.5" customHeight="1">
      <c r="A163" s="11"/>
      <c r="B163" s="90" t="s">
        <v>120</v>
      </c>
      <c r="C163" s="308">
        <v>42766.0</v>
      </c>
      <c r="D163" s="1"/>
      <c r="E163" s="11"/>
      <c r="F163" s="11"/>
      <c r="G163" s="11"/>
      <c r="H163" s="11"/>
      <c r="I163" s="11"/>
      <c r="J163" s="11"/>
      <c r="K163" s="11"/>
      <c r="L163" s="11"/>
    </row>
    <row r="164" ht="13.5" customHeight="1">
      <c r="A164" s="11"/>
      <c r="B164" s="305" t="s">
        <v>50</v>
      </c>
      <c r="C164" s="308"/>
      <c r="D164" s="1"/>
      <c r="E164" s="11"/>
      <c r="F164" s="11"/>
      <c r="G164" s="11"/>
      <c r="H164" s="11"/>
      <c r="I164" s="11"/>
      <c r="J164" s="11"/>
      <c r="K164" s="11"/>
      <c r="L164" s="11"/>
    </row>
    <row r="165" ht="13.5" customHeight="1">
      <c r="A165" s="11"/>
      <c r="B165" s="11"/>
      <c r="C165" s="11"/>
      <c r="D165" s="11"/>
      <c r="E165" s="11"/>
      <c r="F165" s="11"/>
      <c r="G165" s="11"/>
      <c r="H165" s="11"/>
      <c r="I165" s="11"/>
      <c r="J165" s="11"/>
      <c r="K165" s="11"/>
      <c r="L165" s="11"/>
    </row>
    <row r="166" ht="13.5" customHeight="1">
      <c r="A166" s="11"/>
      <c r="B166" s="11"/>
      <c r="C166" s="11"/>
      <c r="D166" s="11"/>
      <c r="E166" s="11"/>
      <c r="F166" s="11"/>
      <c r="G166" s="11"/>
      <c r="H166" s="11"/>
      <c r="I166" s="11"/>
      <c r="J166" s="11"/>
      <c r="K166" s="11"/>
      <c r="L166" s="11"/>
    </row>
    <row r="167" ht="13.5" customHeight="1">
      <c r="A167" s="11"/>
      <c r="B167" s="11"/>
      <c r="C167" s="11"/>
      <c r="D167" s="11"/>
      <c r="E167" s="11"/>
      <c r="F167" s="11"/>
      <c r="G167" s="11"/>
      <c r="H167" s="11"/>
      <c r="I167" s="11"/>
      <c r="J167" s="11"/>
      <c r="K167" s="11"/>
      <c r="L167" s="11"/>
    </row>
    <row r="168" ht="13.5" customHeight="1">
      <c r="A168" s="11"/>
      <c r="B168" s="16" t="s">
        <v>410</v>
      </c>
      <c r="C168" s="18"/>
      <c r="D168" s="18"/>
      <c r="E168" s="19"/>
      <c r="F168" s="11"/>
      <c r="G168" s="11"/>
      <c r="H168" s="11"/>
      <c r="I168" s="11"/>
      <c r="J168" s="11"/>
      <c r="K168" s="11"/>
      <c r="L168" s="11"/>
    </row>
    <row r="169" ht="13.5" customHeight="1">
      <c r="A169" s="11"/>
      <c r="B169" s="458" t="s">
        <v>1</v>
      </c>
      <c r="C169" s="363">
        <v>20.0</v>
      </c>
      <c r="D169" s="608">
        <v>17.0</v>
      </c>
      <c r="E169" s="463" t="s">
        <v>5</v>
      </c>
      <c r="F169" s="11"/>
      <c r="G169" s="11"/>
      <c r="H169" s="11"/>
      <c r="I169" s="11"/>
      <c r="J169" s="11"/>
      <c r="K169" s="11"/>
      <c r="L169" s="11"/>
    </row>
    <row r="170" ht="13.5" customHeight="1">
      <c r="A170" s="11"/>
      <c r="B170" s="163" t="s">
        <v>12</v>
      </c>
      <c r="C170" s="164">
        <v>18.0</v>
      </c>
      <c r="D170" s="164">
        <f t="shared" ref="D170:D173" si="11">(C170*D169)/C169</f>
        <v>15.3</v>
      </c>
      <c r="E170" s="169" t="s">
        <v>9</v>
      </c>
      <c r="F170" s="11"/>
      <c r="G170" s="11"/>
      <c r="H170" s="11"/>
      <c r="I170" s="11"/>
      <c r="J170" s="11"/>
      <c r="K170" s="11"/>
      <c r="L170" s="11"/>
    </row>
    <row r="171" ht="13.5" customHeight="1">
      <c r="A171" s="11"/>
      <c r="B171" s="177" t="s">
        <v>23</v>
      </c>
      <c r="C171" s="201">
        <v>5.0</v>
      </c>
      <c r="D171" s="201">
        <f t="shared" si="11"/>
        <v>4.25</v>
      </c>
      <c r="E171" s="204" t="s">
        <v>5</v>
      </c>
      <c r="F171" s="11"/>
      <c r="G171" s="11"/>
      <c r="H171" s="11"/>
      <c r="I171" s="11"/>
      <c r="J171" s="11"/>
      <c r="K171" s="11"/>
      <c r="L171" s="11"/>
    </row>
    <row r="172" ht="13.5" customHeight="1">
      <c r="A172" s="11"/>
      <c r="B172" s="262" t="s">
        <v>173</v>
      </c>
      <c r="C172" s="265">
        <v>50.0</v>
      </c>
      <c r="D172" s="201">
        <f t="shared" si="11"/>
        <v>42.5</v>
      </c>
      <c r="E172" s="204" t="s">
        <v>18</v>
      </c>
      <c r="F172" s="11"/>
      <c r="G172" s="11"/>
      <c r="H172" s="11"/>
      <c r="I172" s="11"/>
      <c r="J172" s="11"/>
      <c r="K172" s="11"/>
      <c r="L172" s="11"/>
    </row>
    <row r="173" ht="13.5" customHeight="1">
      <c r="A173" s="11"/>
      <c r="B173" s="262" t="s">
        <v>13</v>
      </c>
      <c r="C173" s="265">
        <v>115.0</v>
      </c>
      <c r="D173" s="201">
        <f t="shared" si="11"/>
        <v>97.75</v>
      </c>
      <c r="E173" s="204" t="s">
        <v>5</v>
      </c>
      <c r="F173" s="11"/>
      <c r="G173" s="11"/>
      <c r="H173" s="11"/>
      <c r="I173" s="11"/>
      <c r="J173" s="11"/>
      <c r="K173" s="11"/>
      <c r="L173" s="11"/>
    </row>
    <row r="174" ht="13.5" customHeight="1">
      <c r="A174" s="11"/>
      <c r="B174" s="262" t="s">
        <v>31</v>
      </c>
      <c r="C174" s="265">
        <v>115.0</v>
      </c>
      <c r="D174" s="265">
        <f>(C174*D171)/C171</f>
        <v>97.75</v>
      </c>
      <c r="E174" s="267" t="s">
        <v>18</v>
      </c>
      <c r="F174" s="11"/>
      <c r="G174" s="11"/>
      <c r="H174" s="11"/>
      <c r="I174" s="11"/>
      <c r="J174" s="11"/>
      <c r="K174" s="11"/>
      <c r="L174" s="11"/>
    </row>
    <row r="175" ht="13.5" customHeight="1">
      <c r="A175" s="11"/>
      <c r="B175" s="163" t="s">
        <v>38</v>
      </c>
      <c r="C175" s="164">
        <v>1.0</v>
      </c>
      <c r="D175" s="164">
        <f t="shared" ref="D175:D184" si="12">(C175*D174)/C174</f>
        <v>0.85</v>
      </c>
      <c r="E175" s="169" t="s">
        <v>14</v>
      </c>
      <c r="F175" s="11"/>
      <c r="G175" s="11"/>
      <c r="H175" s="11"/>
      <c r="I175" s="11"/>
      <c r="J175" s="11"/>
      <c r="K175" s="11"/>
      <c r="L175" s="11"/>
    </row>
    <row r="176" ht="13.5" customHeight="1">
      <c r="A176" s="11"/>
      <c r="B176" s="177" t="s">
        <v>39</v>
      </c>
      <c r="C176" s="201">
        <v>100.0</v>
      </c>
      <c r="D176" s="201">
        <f t="shared" si="12"/>
        <v>85</v>
      </c>
      <c r="E176" s="204" t="s">
        <v>5</v>
      </c>
      <c r="F176" s="11"/>
      <c r="G176" s="11"/>
      <c r="H176" s="11"/>
      <c r="I176" s="11"/>
      <c r="J176" s="11"/>
      <c r="K176" s="11"/>
      <c r="L176" s="11"/>
    </row>
    <row r="177" ht="13.5" customHeight="1">
      <c r="A177" s="11"/>
      <c r="B177" s="177" t="s">
        <v>92</v>
      </c>
      <c r="C177" s="201">
        <v>100.0</v>
      </c>
      <c r="D177" s="201">
        <f t="shared" si="12"/>
        <v>85</v>
      </c>
      <c r="E177" s="204" t="s">
        <v>18</v>
      </c>
      <c r="F177" s="11"/>
      <c r="G177" s="11"/>
      <c r="H177" s="11"/>
      <c r="I177" s="11"/>
      <c r="J177" s="11"/>
      <c r="K177" s="11"/>
      <c r="L177" s="11"/>
    </row>
    <row r="178" ht="13.5" customHeight="1">
      <c r="A178" s="11"/>
      <c r="B178" s="177" t="s">
        <v>428</v>
      </c>
      <c r="C178" s="201">
        <v>100.0</v>
      </c>
      <c r="D178" s="201">
        <f t="shared" si="12"/>
        <v>85</v>
      </c>
      <c r="E178" s="204" t="s">
        <v>18</v>
      </c>
      <c r="F178" s="11"/>
      <c r="G178" s="11"/>
      <c r="H178" s="11"/>
      <c r="I178" s="11"/>
      <c r="J178" s="11"/>
      <c r="K178" s="11"/>
      <c r="L178" s="11"/>
    </row>
    <row r="179" ht="13.5" customHeight="1">
      <c r="A179" s="11"/>
      <c r="B179" s="208" t="s">
        <v>429</v>
      </c>
      <c r="C179" s="257">
        <v>4.0</v>
      </c>
      <c r="D179" s="257">
        <f t="shared" si="12"/>
        <v>3.4</v>
      </c>
      <c r="E179" s="212" t="s">
        <v>93</v>
      </c>
      <c r="F179" s="11"/>
      <c r="G179" s="11"/>
      <c r="H179" s="11"/>
      <c r="I179" s="11"/>
      <c r="J179" s="11"/>
      <c r="K179" s="11"/>
      <c r="L179" s="11"/>
    </row>
    <row r="180" ht="13.5" customHeight="1">
      <c r="A180" s="11"/>
      <c r="B180" s="157" t="s">
        <v>34</v>
      </c>
      <c r="C180" s="158">
        <v>0.2</v>
      </c>
      <c r="D180" s="253">
        <f t="shared" si="12"/>
        <v>0.17</v>
      </c>
      <c r="E180" s="159" t="s">
        <v>18</v>
      </c>
      <c r="F180" s="11"/>
      <c r="G180" s="11"/>
      <c r="H180" s="11"/>
      <c r="I180" s="11"/>
      <c r="J180" s="11"/>
      <c r="K180" s="11"/>
      <c r="L180" s="11"/>
    </row>
    <row r="181" ht="13.5" customHeight="1">
      <c r="A181" s="11"/>
      <c r="B181" s="177" t="s">
        <v>97</v>
      </c>
      <c r="C181" s="198">
        <v>50.0</v>
      </c>
      <c r="D181" s="265">
        <f t="shared" si="12"/>
        <v>42.5</v>
      </c>
      <c r="E181" s="204" t="s">
        <v>5</v>
      </c>
      <c r="F181" s="11"/>
      <c r="G181" s="11"/>
      <c r="H181" s="11"/>
      <c r="I181" s="11"/>
      <c r="J181" s="11"/>
      <c r="K181" s="11"/>
      <c r="L181" s="11"/>
    </row>
    <row r="182" ht="13.5" customHeight="1">
      <c r="A182" s="11"/>
      <c r="B182" s="177" t="s">
        <v>103</v>
      </c>
      <c r="C182" s="198">
        <v>12.5</v>
      </c>
      <c r="D182" s="265">
        <f t="shared" si="12"/>
        <v>10.625</v>
      </c>
      <c r="E182" s="204" t="s">
        <v>18</v>
      </c>
      <c r="F182" s="11"/>
      <c r="G182" s="11"/>
      <c r="H182" s="11"/>
      <c r="I182" s="11"/>
      <c r="J182" s="11"/>
      <c r="K182" s="11"/>
      <c r="L182" s="11"/>
    </row>
    <row r="183" ht="13.5" customHeight="1">
      <c r="A183" s="11"/>
      <c r="B183" s="177" t="s">
        <v>101</v>
      </c>
      <c r="C183" s="198">
        <v>0.25</v>
      </c>
      <c r="D183" s="265">
        <f t="shared" si="12"/>
        <v>0.2125</v>
      </c>
      <c r="E183" s="204" t="s">
        <v>5</v>
      </c>
      <c r="F183" s="11"/>
      <c r="G183" s="11"/>
      <c r="H183" s="11"/>
      <c r="I183" s="11"/>
      <c r="J183" s="11"/>
      <c r="K183" s="11"/>
      <c r="L183" s="11"/>
    </row>
    <row r="184" ht="13.5" customHeight="1">
      <c r="A184" s="11"/>
      <c r="B184" s="208" t="s">
        <v>126</v>
      </c>
      <c r="C184" s="211">
        <v>50.0</v>
      </c>
      <c r="D184" s="257">
        <f t="shared" si="12"/>
        <v>42.5</v>
      </c>
      <c r="E184" s="212" t="s">
        <v>18</v>
      </c>
      <c r="F184" s="11"/>
      <c r="G184" s="11"/>
      <c r="H184" s="11"/>
      <c r="I184" s="11"/>
      <c r="J184" s="11"/>
      <c r="K184" s="11"/>
      <c r="L184" s="11"/>
    </row>
    <row r="185" ht="13.5" customHeight="1">
      <c r="A185" s="11"/>
      <c r="B185" s="215" t="s">
        <v>119</v>
      </c>
      <c r="C185" s="220" t="s">
        <v>47</v>
      </c>
      <c r="D185" s="624"/>
      <c r="E185" s="1"/>
      <c r="F185" s="11"/>
      <c r="G185" s="11"/>
      <c r="H185" s="11"/>
      <c r="I185" s="11"/>
      <c r="J185" s="11"/>
      <c r="K185" s="11"/>
      <c r="L185" s="11"/>
    </row>
    <row r="186" ht="13.5" customHeight="1">
      <c r="A186" s="11"/>
      <c r="B186" s="90" t="s">
        <v>120</v>
      </c>
      <c r="C186" s="308"/>
      <c r="D186" s="625">
        <v>42933.0</v>
      </c>
      <c r="E186" s="1"/>
      <c r="F186" s="11"/>
      <c r="G186" s="11"/>
      <c r="H186" s="11"/>
      <c r="I186" s="11"/>
      <c r="J186" s="11"/>
      <c r="K186" s="11"/>
      <c r="L186" s="11"/>
    </row>
    <row r="187" ht="15.75" customHeight="1">
      <c r="A187" s="11"/>
      <c r="B187" s="305" t="s">
        <v>50</v>
      </c>
      <c r="C187" s="308"/>
      <c r="D187" s="625">
        <v>43558.0</v>
      </c>
      <c r="E187" s="11"/>
      <c r="F187" s="11"/>
      <c r="G187" s="11"/>
      <c r="H187" s="11"/>
      <c r="I187" s="11"/>
      <c r="J187" s="11"/>
      <c r="K187" s="11"/>
      <c r="L187" s="11"/>
    </row>
    <row r="188" ht="15.75" customHeight="1">
      <c r="A188" s="11"/>
      <c r="B188" s="11"/>
      <c r="C188" s="11"/>
      <c r="D188" s="11"/>
      <c r="E188" s="11"/>
      <c r="F188" s="11"/>
      <c r="G188" s="11"/>
      <c r="H188" s="11"/>
      <c r="I188" s="11"/>
      <c r="J188" s="11"/>
      <c r="K188" s="11"/>
      <c r="L188" s="11"/>
    </row>
    <row r="189" ht="13.5" customHeight="1">
      <c r="A189" s="11"/>
      <c r="B189" s="11"/>
      <c r="C189" s="11"/>
      <c r="D189" s="11"/>
      <c r="E189" s="11"/>
      <c r="F189" s="11"/>
      <c r="G189" s="11"/>
      <c r="H189" s="11"/>
      <c r="I189" s="11"/>
      <c r="J189" s="11"/>
      <c r="K189" s="11"/>
      <c r="L189" s="11"/>
    </row>
    <row r="190" ht="13.5" customHeight="1">
      <c r="A190" s="11"/>
      <c r="B190" s="626" t="s">
        <v>432</v>
      </c>
      <c r="C190" s="18"/>
      <c r="D190" s="18"/>
      <c r="E190" s="19"/>
      <c r="F190" s="1"/>
      <c r="G190" s="11"/>
      <c r="H190" s="11"/>
      <c r="I190" s="11"/>
      <c r="J190" s="11"/>
      <c r="K190" s="11"/>
      <c r="L190" s="11"/>
    </row>
    <row r="191" ht="13.5" customHeight="1">
      <c r="A191" s="11"/>
      <c r="B191" s="458" t="s">
        <v>1</v>
      </c>
      <c r="C191" s="363">
        <v>20.0</v>
      </c>
      <c r="D191" s="608">
        <v>15.0</v>
      </c>
      <c r="E191" s="463" t="s">
        <v>5</v>
      </c>
      <c r="F191" s="1"/>
      <c r="G191" s="11"/>
      <c r="H191" s="11"/>
      <c r="I191" s="11"/>
      <c r="J191" s="11"/>
      <c r="K191" s="11"/>
      <c r="L191" s="11"/>
    </row>
    <row r="192" ht="13.5" customHeight="1">
      <c r="A192" s="11"/>
      <c r="B192" s="163" t="s">
        <v>12</v>
      </c>
      <c r="C192" s="164">
        <v>18.0</v>
      </c>
      <c r="D192" s="164">
        <f t="shared" ref="D192:D204" si="13">(C192*D191)/C191</f>
        <v>13.5</v>
      </c>
      <c r="E192" s="169" t="s">
        <v>9</v>
      </c>
      <c r="F192" s="250" t="s">
        <v>433</v>
      </c>
      <c r="G192" s="11"/>
      <c r="H192" s="11"/>
      <c r="I192" s="11"/>
      <c r="J192" s="11"/>
      <c r="K192" s="11"/>
      <c r="L192" s="11"/>
    </row>
    <row r="193" ht="13.5" customHeight="1">
      <c r="A193" s="11"/>
      <c r="B193" s="177" t="s">
        <v>23</v>
      </c>
      <c r="C193" s="201">
        <v>5.0</v>
      </c>
      <c r="D193" s="201">
        <f t="shared" si="13"/>
        <v>3.75</v>
      </c>
      <c r="E193" s="204" t="s">
        <v>5</v>
      </c>
      <c r="F193" s="47"/>
      <c r="G193" s="11"/>
      <c r="H193" s="11"/>
      <c r="I193" s="11"/>
      <c r="J193" s="11"/>
      <c r="K193" s="11"/>
      <c r="L193" s="11"/>
    </row>
    <row r="194" ht="13.5" customHeight="1">
      <c r="A194" s="11"/>
      <c r="B194" s="262" t="s">
        <v>31</v>
      </c>
      <c r="C194" s="265">
        <v>115.0</v>
      </c>
      <c r="D194" s="265">
        <f t="shared" si="13"/>
        <v>86.25</v>
      </c>
      <c r="E194" s="267" t="s">
        <v>18</v>
      </c>
      <c r="F194" s="47"/>
      <c r="G194" s="11"/>
      <c r="H194" s="11"/>
      <c r="I194" s="11"/>
      <c r="J194" s="11"/>
      <c r="K194" s="11"/>
      <c r="L194" s="11"/>
    </row>
    <row r="195" ht="13.5" customHeight="1">
      <c r="A195" s="11"/>
      <c r="B195" s="163" t="s">
        <v>38</v>
      </c>
      <c r="C195" s="164">
        <v>1.0</v>
      </c>
      <c r="D195" s="164">
        <f t="shared" si="13"/>
        <v>0.75</v>
      </c>
      <c r="E195" s="169" t="s">
        <v>14</v>
      </c>
      <c r="F195" s="47"/>
      <c r="G195" s="11"/>
      <c r="H195" s="11"/>
      <c r="I195" s="11"/>
      <c r="J195" s="11"/>
      <c r="K195" s="11"/>
      <c r="L195" s="11"/>
    </row>
    <row r="196" ht="13.5" customHeight="1">
      <c r="A196" s="11"/>
      <c r="B196" s="177" t="s">
        <v>39</v>
      </c>
      <c r="C196" s="201">
        <v>100.0</v>
      </c>
      <c r="D196" s="201">
        <f t="shared" si="13"/>
        <v>75</v>
      </c>
      <c r="E196" s="204" t="s">
        <v>5</v>
      </c>
      <c r="F196" s="47"/>
      <c r="G196" s="11"/>
      <c r="H196" s="11"/>
      <c r="I196" s="11"/>
      <c r="J196" s="11"/>
      <c r="K196" s="11"/>
      <c r="L196" s="11"/>
    </row>
    <row r="197" ht="13.5" customHeight="1">
      <c r="A197" s="11"/>
      <c r="B197" s="177" t="s">
        <v>92</v>
      </c>
      <c r="C197" s="201">
        <v>100.0</v>
      </c>
      <c r="D197" s="201">
        <f t="shared" si="13"/>
        <v>75</v>
      </c>
      <c r="E197" s="204" t="s">
        <v>18</v>
      </c>
      <c r="F197" s="47"/>
      <c r="G197" s="11"/>
      <c r="H197" s="11"/>
      <c r="I197" s="11"/>
      <c r="J197" s="11"/>
      <c r="K197" s="11"/>
      <c r="L197" s="11"/>
    </row>
    <row r="198" ht="13.5" customHeight="1">
      <c r="A198" s="11"/>
      <c r="B198" s="177" t="s">
        <v>428</v>
      </c>
      <c r="C198" s="201">
        <v>100.0</v>
      </c>
      <c r="D198" s="201">
        <f t="shared" si="13"/>
        <v>75</v>
      </c>
      <c r="E198" s="204" t="s">
        <v>18</v>
      </c>
      <c r="F198" s="47"/>
      <c r="G198" s="11"/>
      <c r="H198" s="11"/>
      <c r="I198" s="11"/>
      <c r="J198" s="11"/>
      <c r="K198" s="11"/>
      <c r="L198" s="11"/>
    </row>
    <row r="199" ht="13.5" customHeight="1">
      <c r="A199" s="11"/>
      <c r="B199" s="208" t="s">
        <v>429</v>
      </c>
      <c r="C199" s="257">
        <v>4.0</v>
      </c>
      <c r="D199" s="257">
        <f t="shared" si="13"/>
        <v>3</v>
      </c>
      <c r="E199" s="212" t="s">
        <v>93</v>
      </c>
      <c r="F199" s="76"/>
      <c r="G199" s="11"/>
      <c r="H199" s="11"/>
      <c r="I199" s="11"/>
      <c r="J199" s="11"/>
      <c r="K199" s="11"/>
      <c r="L199" s="11"/>
    </row>
    <row r="200" ht="13.5" customHeight="1">
      <c r="A200" s="11"/>
      <c r="B200" s="632" t="s">
        <v>34</v>
      </c>
      <c r="C200" s="633">
        <v>0.2</v>
      </c>
      <c r="D200" s="634">
        <f t="shared" si="13"/>
        <v>0.15</v>
      </c>
      <c r="E200" s="635" t="s">
        <v>18</v>
      </c>
      <c r="F200" s="638" t="s">
        <v>441</v>
      </c>
      <c r="G200" s="11"/>
      <c r="H200" s="11"/>
      <c r="I200" s="11"/>
      <c r="J200" s="11"/>
      <c r="K200" s="11"/>
      <c r="L200" s="11"/>
    </row>
    <row r="201" ht="13.5" customHeight="1">
      <c r="A201" s="11"/>
      <c r="B201" s="641" t="s">
        <v>97</v>
      </c>
      <c r="C201" s="644">
        <v>50.0</v>
      </c>
      <c r="D201" s="645">
        <f t="shared" si="13"/>
        <v>37.5</v>
      </c>
      <c r="E201" s="646" t="s">
        <v>5</v>
      </c>
      <c r="F201" s="47"/>
      <c r="G201" s="11"/>
      <c r="H201" s="11"/>
      <c r="I201" s="11"/>
      <c r="J201" s="11"/>
      <c r="K201" s="11"/>
      <c r="L201" s="11"/>
    </row>
    <row r="202" ht="13.5" customHeight="1">
      <c r="A202" s="11"/>
      <c r="B202" s="641" t="s">
        <v>103</v>
      </c>
      <c r="C202" s="644">
        <v>12.5</v>
      </c>
      <c r="D202" s="645">
        <f t="shared" si="13"/>
        <v>9.375</v>
      </c>
      <c r="E202" s="646" t="s">
        <v>18</v>
      </c>
      <c r="F202" s="47"/>
      <c r="G202" s="11"/>
      <c r="H202" s="11"/>
      <c r="I202" s="11"/>
      <c r="J202" s="11"/>
      <c r="K202" s="11"/>
      <c r="L202" s="11"/>
    </row>
    <row r="203" ht="13.5" customHeight="1">
      <c r="A203" s="11"/>
      <c r="B203" s="641" t="s">
        <v>101</v>
      </c>
      <c r="C203" s="644">
        <v>0.25</v>
      </c>
      <c r="D203" s="645">
        <f t="shared" si="13"/>
        <v>0.1875</v>
      </c>
      <c r="E203" s="646" t="s">
        <v>5</v>
      </c>
      <c r="F203" s="47"/>
      <c r="G203" s="11"/>
      <c r="H203" s="11"/>
      <c r="I203" s="11"/>
      <c r="J203" s="11"/>
      <c r="K203" s="11"/>
      <c r="L203" s="11"/>
    </row>
    <row r="204" ht="13.5" customHeight="1">
      <c r="A204" s="11"/>
      <c r="B204" s="648" t="s">
        <v>126</v>
      </c>
      <c r="C204" s="649">
        <v>50.0</v>
      </c>
      <c r="D204" s="650">
        <f t="shared" si="13"/>
        <v>37.5</v>
      </c>
      <c r="E204" s="651" t="s">
        <v>18</v>
      </c>
      <c r="F204" s="76"/>
      <c r="G204" s="11"/>
      <c r="H204" s="11"/>
      <c r="I204" s="11"/>
      <c r="J204" s="11"/>
      <c r="K204" s="11"/>
      <c r="L204" s="11"/>
    </row>
    <row r="205" ht="13.5" customHeight="1">
      <c r="A205" s="11"/>
      <c r="B205" s="215" t="s">
        <v>119</v>
      </c>
      <c r="C205" s="220" t="s">
        <v>47</v>
      </c>
      <c r="D205" s="624"/>
      <c r="E205" s="11"/>
      <c r="F205" s="11"/>
      <c r="G205" s="11"/>
      <c r="H205" s="11"/>
      <c r="I205" s="11"/>
      <c r="J205" s="11"/>
      <c r="K205" s="11"/>
      <c r="L205" s="11"/>
    </row>
    <row r="206" ht="13.5" customHeight="1">
      <c r="A206" s="11"/>
      <c r="B206" s="90" t="s">
        <v>120</v>
      </c>
      <c r="C206" s="308"/>
      <c r="D206" s="625">
        <v>42933.0</v>
      </c>
      <c r="E206" s="11"/>
      <c r="F206" s="11"/>
      <c r="G206" s="11"/>
      <c r="H206" s="11"/>
      <c r="I206" s="11"/>
      <c r="J206" s="11"/>
      <c r="K206" s="11"/>
      <c r="L206" s="11"/>
    </row>
    <row r="207" ht="13.5" customHeight="1">
      <c r="A207" s="11"/>
      <c r="B207" s="305" t="s">
        <v>50</v>
      </c>
      <c r="C207" s="308"/>
      <c r="D207" s="625">
        <v>43558.0</v>
      </c>
      <c r="E207" s="11"/>
      <c r="F207" s="11"/>
      <c r="G207" s="11"/>
      <c r="H207" s="11"/>
      <c r="I207" s="11"/>
      <c r="J207" s="11"/>
      <c r="K207" s="11"/>
      <c r="L207" s="11"/>
    </row>
    <row r="208" ht="13.5" customHeight="1">
      <c r="A208" s="11"/>
      <c r="B208" s="11"/>
      <c r="C208" s="11"/>
      <c r="D208" s="11"/>
      <c r="E208" s="11"/>
      <c r="F208" s="11"/>
      <c r="G208" s="11"/>
      <c r="H208" s="11"/>
      <c r="I208" s="11"/>
      <c r="J208" s="11"/>
      <c r="K208" s="11"/>
      <c r="L208" s="11"/>
    </row>
    <row r="209" ht="13.5" customHeight="1">
      <c r="A209" s="11"/>
      <c r="B209" s="11"/>
      <c r="C209" s="11"/>
      <c r="D209" s="11"/>
      <c r="E209" s="11"/>
      <c r="F209" s="11"/>
      <c r="G209" s="11"/>
      <c r="H209" s="11"/>
      <c r="I209" s="11"/>
      <c r="J209" s="11"/>
      <c r="K209" s="11"/>
      <c r="L209" s="11"/>
    </row>
    <row r="210" ht="13.5" customHeight="1">
      <c r="A210" s="11"/>
      <c r="B210" s="11"/>
      <c r="C210" s="11"/>
      <c r="D210" s="11"/>
      <c r="E210" s="11"/>
      <c r="F210" s="11"/>
      <c r="G210" s="11"/>
      <c r="H210" s="11"/>
      <c r="I210" s="11"/>
      <c r="J210" s="11"/>
      <c r="K210" s="11"/>
      <c r="L210" s="11"/>
    </row>
    <row r="211" ht="13.5" customHeight="1">
      <c r="A211" s="11"/>
      <c r="B211" s="656" t="s">
        <v>461</v>
      </c>
      <c r="C211" s="18"/>
      <c r="D211" s="18"/>
      <c r="E211" s="19"/>
      <c r="F211" s="11"/>
      <c r="G211" s="11"/>
      <c r="H211" s="11"/>
      <c r="I211" s="11"/>
      <c r="J211" s="11"/>
      <c r="K211" s="11"/>
      <c r="L211" s="11"/>
    </row>
    <row r="212" ht="13.5" customHeight="1">
      <c r="A212" s="11"/>
      <c r="B212" s="458" t="s">
        <v>1</v>
      </c>
      <c r="C212" s="300">
        <v>10.0</v>
      </c>
      <c r="D212" s="275">
        <v>80.0</v>
      </c>
      <c r="E212" s="463" t="s">
        <v>5</v>
      </c>
      <c r="F212" s="11"/>
      <c r="G212" s="11"/>
      <c r="H212" s="11"/>
      <c r="I212" s="11"/>
      <c r="J212" s="11"/>
      <c r="K212" s="11"/>
      <c r="L212" s="11"/>
    </row>
    <row r="213" ht="13.5" customHeight="1">
      <c r="A213" s="11"/>
      <c r="B213" s="157" t="s">
        <v>479</v>
      </c>
      <c r="C213" s="238">
        <v>1.8</v>
      </c>
      <c r="D213" s="657">
        <f t="shared" ref="D213:D225" si="14">(C213*D212)/C212</f>
        <v>14.4</v>
      </c>
      <c r="E213" s="159" t="s">
        <v>366</v>
      </c>
      <c r="F213" s="11"/>
      <c r="G213" s="11"/>
      <c r="H213" s="11"/>
      <c r="I213" s="11"/>
      <c r="J213" s="11"/>
      <c r="K213" s="11"/>
      <c r="L213" s="11"/>
    </row>
    <row r="214" ht="13.5" customHeight="1">
      <c r="A214" s="11"/>
      <c r="B214" s="208" t="s">
        <v>485</v>
      </c>
      <c r="C214" s="200">
        <v>800.0</v>
      </c>
      <c r="D214" s="200">
        <f t="shared" si="14"/>
        <v>6400</v>
      </c>
      <c r="E214" s="212" t="s">
        <v>18</v>
      </c>
      <c r="F214" s="11"/>
      <c r="G214" s="11"/>
      <c r="H214" s="11"/>
      <c r="I214" s="11"/>
      <c r="J214" s="11"/>
      <c r="K214" s="11"/>
      <c r="L214" s="11"/>
    </row>
    <row r="215" ht="13.5" customHeight="1">
      <c r="A215" s="11"/>
      <c r="B215" s="157" t="s">
        <v>491</v>
      </c>
      <c r="C215" s="238">
        <v>200.0</v>
      </c>
      <c r="D215" s="238">
        <f t="shared" si="14"/>
        <v>1600</v>
      </c>
      <c r="E215" s="159" t="s">
        <v>82</v>
      </c>
      <c r="F215" s="11"/>
      <c r="G215" s="11"/>
      <c r="H215" s="11"/>
      <c r="I215" s="11"/>
      <c r="J215" s="11"/>
      <c r="K215" s="11"/>
      <c r="L215" s="11"/>
    </row>
    <row r="216" ht="13.5" customHeight="1">
      <c r="A216" s="11"/>
      <c r="B216" s="177" t="s">
        <v>97</v>
      </c>
      <c r="C216" s="195">
        <v>10.0</v>
      </c>
      <c r="D216" s="195">
        <f t="shared" si="14"/>
        <v>80</v>
      </c>
      <c r="E216" s="204" t="s">
        <v>18</v>
      </c>
      <c r="F216" s="11"/>
      <c r="G216" s="11"/>
      <c r="H216" s="11"/>
      <c r="I216" s="11"/>
      <c r="J216" s="11"/>
      <c r="K216" s="11"/>
      <c r="L216" s="11"/>
    </row>
    <row r="217" ht="13.5" customHeight="1">
      <c r="A217" s="11"/>
      <c r="B217" s="177" t="s">
        <v>98</v>
      </c>
      <c r="C217" s="195">
        <v>10.0</v>
      </c>
      <c r="D217" s="195">
        <f t="shared" si="14"/>
        <v>80</v>
      </c>
      <c r="E217" s="204" t="s">
        <v>18</v>
      </c>
      <c r="F217" s="11"/>
      <c r="G217" s="11"/>
      <c r="H217" s="11"/>
      <c r="I217" s="11"/>
      <c r="J217" s="11"/>
      <c r="K217" s="11"/>
      <c r="L217" s="11"/>
    </row>
    <row r="218" ht="13.5" customHeight="1">
      <c r="A218" s="11"/>
      <c r="B218" s="177" t="s">
        <v>495</v>
      </c>
      <c r="C218" s="195">
        <v>5.0</v>
      </c>
      <c r="D218" s="195">
        <f t="shared" si="14"/>
        <v>40</v>
      </c>
      <c r="E218" s="204" t="s">
        <v>18</v>
      </c>
      <c r="F218" s="11"/>
      <c r="G218" s="11"/>
      <c r="H218" s="11"/>
      <c r="I218" s="11"/>
      <c r="J218" s="11"/>
      <c r="K218" s="11"/>
      <c r="L218" s="11"/>
    </row>
    <row r="219" ht="13.5" customHeight="1">
      <c r="A219" s="11"/>
      <c r="B219" s="262" t="s">
        <v>497</v>
      </c>
      <c r="C219" s="279">
        <v>5.0</v>
      </c>
      <c r="D219" s="279">
        <f t="shared" si="14"/>
        <v>40</v>
      </c>
      <c r="E219" s="267" t="s">
        <v>18</v>
      </c>
      <c r="F219" s="11"/>
      <c r="G219" s="11"/>
      <c r="H219" s="11"/>
      <c r="I219" s="11"/>
      <c r="J219" s="11"/>
      <c r="K219" s="11"/>
      <c r="L219" s="11"/>
    </row>
    <row r="220" ht="13.5" customHeight="1">
      <c r="A220" s="11"/>
      <c r="B220" s="163" t="s">
        <v>31</v>
      </c>
      <c r="C220" s="145">
        <v>50.0</v>
      </c>
      <c r="D220" s="145">
        <f t="shared" si="14"/>
        <v>400</v>
      </c>
      <c r="E220" s="169" t="s">
        <v>18</v>
      </c>
      <c r="F220" s="11"/>
      <c r="G220" s="11"/>
      <c r="H220" s="11"/>
      <c r="I220" s="11"/>
      <c r="J220" s="11"/>
      <c r="K220" s="11"/>
      <c r="L220" s="11"/>
    </row>
    <row r="221" ht="13.5" customHeight="1">
      <c r="A221" s="11"/>
      <c r="B221" s="177" t="s">
        <v>499</v>
      </c>
      <c r="C221" s="195">
        <v>20.0</v>
      </c>
      <c r="D221" s="195">
        <f t="shared" si="14"/>
        <v>160</v>
      </c>
      <c r="E221" s="204" t="s">
        <v>18</v>
      </c>
      <c r="F221" s="11"/>
      <c r="G221" s="11"/>
      <c r="H221" s="11"/>
      <c r="I221" s="11"/>
      <c r="J221" s="11"/>
      <c r="K221" s="11"/>
      <c r="L221" s="11"/>
    </row>
    <row r="222" ht="13.5" customHeight="1">
      <c r="A222" s="11"/>
      <c r="B222" s="177" t="s">
        <v>501</v>
      </c>
      <c r="C222" s="195">
        <v>20.0</v>
      </c>
      <c r="D222" s="195">
        <f t="shared" si="14"/>
        <v>160</v>
      </c>
      <c r="E222" s="204" t="s">
        <v>18</v>
      </c>
      <c r="F222" s="11"/>
      <c r="G222" s="11"/>
      <c r="H222" s="11"/>
      <c r="I222" s="11"/>
      <c r="J222" s="11"/>
      <c r="K222" s="11"/>
      <c r="L222" s="11"/>
    </row>
    <row r="223" ht="13.5" customHeight="1">
      <c r="A223" s="11"/>
      <c r="B223" s="177" t="s">
        <v>234</v>
      </c>
      <c r="C223" s="195">
        <v>20.0</v>
      </c>
      <c r="D223" s="195">
        <f t="shared" si="14"/>
        <v>160</v>
      </c>
      <c r="E223" s="204" t="s">
        <v>18</v>
      </c>
      <c r="F223" s="11"/>
      <c r="G223" s="11"/>
      <c r="H223" s="11"/>
      <c r="I223" s="11"/>
      <c r="J223" s="11"/>
      <c r="K223" s="11"/>
      <c r="L223" s="11"/>
    </row>
    <row r="224" ht="13.5" customHeight="1">
      <c r="A224" s="11"/>
      <c r="B224" s="177" t="s">
        <v>59</v>
      </c>
      <c r="C224" s="195">
        <v>5.0</v>
      </c>
      <c r="D224" s="195">
        <f t="shared" si="14"/>
        <v>40</v>
      </c>
      <c r="E224" s="204" t="s">
        <v>5</v>
      </c>
      <c r="F224" s="11"/>
      <c r="G224" s="11"/>
      <c r="H224" s="11"/>
      <c r="I224" s="11"/>
      <c r="J224" s="11"/>
      <c r="K224" s="11"/>
      <c r="L224" s="11"/>
    </row>
    <row r="225" ht="13.5" customHeight="1">
      <c r="A225" s="11"/>
      <c r="B225" s="208" t="s">
        <v>80</v>
      </c>
      <c r="C225" s="200">
        <v>2.5</v>
      </c>
      <c r="D225" s="200">
        <f t="shared" si="14"/>
        <v>20</v>
      </c>
      <c r="E225" s="212" t="s">
        <v>366</v>
      </c>
      <c r="F225" s="11"/>
      <c r="G225" s="11"/>
      <c r="H225" s="11"/>
      <c r="I225" s="11"/>
      <c r="J225" s="11"/>
      <c r="K225" s="11"/>
      <c r="L225" s="11"/>
    </row>
    <row r="226" ht="13.5" customHeight="1">
      <c r="A226" s="11"/>
      <c r="B226" s="215" t="s">
        <v>119</v>
      </c>
      <c r="C226" s="220" t="s">
        <v>47</v>
      </c>
      <c r="D226" s="107"/>
      <c r="E226" s="1"/>
      <c r="F226" s="11"/>
      <c r="G226" s="11"/>
      <c r="H226" s="11"/>
      <c r="I226" s="11"/>
      <c r="J226" s="11"/>
      <c r="K226" s="11"/>
      <c r="L226" s="11"/>
    </row>
    <row r="227" ht="13.5" customHeight="1">
      <c r="A227" s="11"/>
      <c r="B227" s="663" t="s">
        <v>186</v>
      </c>
      <c r="C227" s="625">
        <v>42933.0</v>
      </c>
      <c r="D227" s="625">
        <v>42933.0</v>
      </c>
      <c r="E227" s="1"/>
      <c r="F227" s="11"/>
      <c r="G227" s="11"/>
      <c r="H227" s="11"/>
      <c r="I227" s="11"/>
      <c r="J227" s="11"/>
      <c r="K227" s="11"/>
      <c r="L227" s="11"/>
    </row>
    <row r="228" ht="13.5" customHeight="1">
      <c r="A228" s="11"/>
      <c r="B228" s="664" t="s">
        <v>50</v>
      </c>
      <c r="C228" s="625">
        <v>42934.0</v>
      </c>
      <c r="D228" s="625">
        <v>42934.0</v>
      </c>
      <c r="E228" s="1"/>
      <c r="F228" s="11"/>
      <c r="G228" s="11"/>
      <c r="H228" s="11"/>
      <c r="I228" s="11"/>
      <c r="J228" s="11"/>
      <c r="K228" s="11"/>
      <c r="L228" s="11"/>
    </row>
    <row r="229" ht="13.5" customHeight="1">
      <c r="A229" s="11"/>
      <c r="B229" s="1"/>
      <c r="C229" s="107"/>
      <c r="D229" s="107"/>
      <c r="E229" s="1"/>
      <c r="F229" s="11"/>
      <c r="G229" s="11"/>
      <c r="H229" s="11"/>
      <c r="I229" s="11"/>
      <c r="J229" s="11"/>
      <c r="K229" s="11"/>
      <c r="L229" s="11"/>
    </row>
    <row r="230" ht="13.5" customHeight="1">
      <c r="A230" s="11"/>
      <c r="B230" s="1"/>
      <c r="C230" s="107"/>
      <c r="D230" s="107"/>
      <c r="E230" s="1"/>
      <c r="F230" s="11"/>
      <c r="G230" s="11"/>
      <c r="H230" s="11"/>
      <c r="I230" s="11"/>
      <c r="J230" s="11"/>
      <c r="K230" s="11"/>
      <c r="L230" s="11"/>
    </row>
    <row r="231" ht="13.5" customHeight="1">
      <c r="A231" s="11"/>
      <c r="B231" s="306" t="s">
        <v>520</v>
      </c>
      <c r="C231" s="5"/>
      <c r="D231" s="5"/>
      <c r="E231" s="6"/>
      <c r="F231" s="11"/>
      <c r="G231" s="11"/>
      <c r="H231" s="11"/>
      <c r="I231" s="11"/>
      <c r="J231" s="11"/>
      <c r="K231" s="11"/>
      <c r="L231" s="11"/>
    </row>
    <row r="232" ht="13.5" customHeight="1">
      <c r="A232" s="11"/>
      <c r="B232" s="333" t="s">
        <v>1</v>
      </c>
      <c r="C232" s="665">
        <v>1.0</v>
      </c>
      <c r="D232" s="666">
        <v>15.0</v>
      </c>
      <c r="E232" s="169" t="s">
        <v>5</v>
      </c>
      <c r="F232" s="11"/>
      <c r="G232" s="11"/>
      <c r="H232" s="11"/>
      <c r="I232" s="11"/>
      <c r="J232" s="11"/>
      <c r="K232" s="11"/>
      <c r="L232" s="11"/>
    </row>
    <row r="233" ht="13.5" customHeight="1">
      <c r="A233" s="11"/>
      <c r="B233" s="341" t="s">
        <v>525</v>
      </c>
      <c r="C233" s="195">
        <v>2.0</v>
      </c>
      <c r="D233" s="500">
        <f t="shared" ref="D233:D240" si="15">(C233*D232)/C232</f>
        <v>30</v>
      </c>
      <c r="E233" s="249" t="s">
        <v>526</v>
      </c>
      <c r="F233" s="11"/>
      <c r="G233" s="11"/>
      <c r="H233" s="11"/>
      <c r="I233" s="11"/>
      <c r="J233" s="11"/>
      <c r="K233" s="11"/>
      <c r="L233" s="11"/>
    </row>
    <row r="234" ht="13.5" customHeight="1">
      <c r="A234" s="11"/>
      <c r="B234" s="341" t="s">
        <v>527</v>
      </c>
      <c r="C234" s="195">
        <v>1.0</v>
      </c>
      <c r="D234" s="500">
        <f t="shared" si="15"/>
        <v>15</v>
      </c>
      <c r="E234" s="249" t="s">
        <v>526</v>
      </c>
      <c r="F234" s="11"/>
      <c r="G234" s="11"/>
      <c r="H234" s="11"/>
      <c r="I234" s="11"/>
      <c r="J234" s="11"/>
      <c r="K234" s="11"/>
      <c r="L234" s="11"/>
    </row>
    <row r="235" ht="13.5" customHeight="1">
      <c r="A235" s="11"/>
      <c r="B235" s="341" t="s">
        <v>528</v>
      </c>
      <c r="C235" s="195">
        <v>20.0</v>
      </c>
      <c r="D235" s="500">
        <f t="shared" si="15"/>
        <v>300</v>
      </c>
      <c r="E235" s="249" t="s">
        <v>18</v>
      </c>
      <c r="F235" s="11"/>
      <c r="G235" s="11"/>
      <c r="H235" s="11"/>
      <c r="I235" s="11"/>
      <c r="J235" s="11"/>
      <c r="K235" s="11"/>
      <c r="L235" s="11"/>
    </row>
    <row r="236" ht="13.5" customHeight="1">
      <c r="A236" s="11"/>
      <c r="B236" s="341" t="s">
        <v>529</v>
      </c>
      <c r="C236" s="195">
        <v>20.0</v>
      </c>
      <c r="D236" s="500">
        <f t="shared" si="15"/>
        <v>300</v>
      </c>
      <c r="E236" s="249" t="s">
        <v>18</v>
      </c>
      <c r="F236" s="11"/>
      <c r="G236" s="11"/>
      <c r="H236" s="11"/>
      <c r="I236" s="11"/>
      <c r="J236" s="11"/>
      <c r="K236" s="11"/>
      <c r="L236" s="11"/>
    </row>
    <row r="237" ht="13.5" customHeight="1">
      <c r="A237" s="11"/>
      <c r="B237" s="341" t="s">
        <v>530</v>
      </c>
      <c r="C237" s="195">
        <v>50.0</v>
      </c>
      <c r="D237" s="500">
        <f t="shared" si="15"/>
        <v>750</v>
      </c>
      <c r="E237" s="249" t="s">
        <v>18</v>
      </c>
      <c r="F237" s="11"/>
      <c r="G237" s="11"/>
      <c r="H237" s="11"/>
      <c r="I237" s="11"/>
      <c r="J237" s="11"/>
      <c r="K237" s="11"/>
      <c r="L237" s="11"/>
    </row>
    <row r="238" ht="13.5" customHeight="1">
      <c r="A238" s="11"/>
      <c r="B238" s="341" t="s">
        <v>532</v>
      </c>
      <c r="C238" s="195">
        <v>50.0</v>
      </c>
      <c r="D238" s="500">
        <f t="shared" si="15"/>
        <v>750</v>
      </c>
      <c r="E238" s="249" t="s">
        <v>18</v>
      </c>
      <c r="F238" s="11"/>
      <c r="G238" s="11"/>
      <c r="H238" s="11"/>
      <c r="I238" s="11"/>
      <c r="J238" s="11"/>
      <c r="K238" s="11"/>
      <c r="L238" s="11"/>
    </row>
    <row r="239" ht="13.5" customHeight="1">
      <c r="A239" s="11"/>
      <c r="B239" s="341" t="s">
        <v>31</v>
      </c>
      <c r="C239" s="195">
        <v>12.0</v>
      </c>
      <c r="D239" s="500">
        <f t="shared" si="15"/>
        <v>180</v>
      </c>
      <c r="E239" s="249" t="s">
        <v>18</v>
      </c>
      <c r="F239" s="11"/>
      <c r="G239" s="11"/>
      <c r="H239" s="11"/>
      <c r="I239" s="11"/>
      <c r="J239" s="11"/>
      <c r="K239" s="11"/>
      <c r="L239" s="11"/>
    </row>
    <row r="240" ht="13.5" customHeight="1">
      <c r="A240" s="11"/>
      <c r="B240" s="358" t="s">
        <v>59</v>
      </c>
      <c r="C240" s="200">
        <v>0.5</v>
      </c>
      <c r="D240" s="684">
        <f t="shared" si="15"/>
        <v>7.5</v>
      </c>
      <c r="E240" s="518" t="s">
        <v>5</v>
      </c>
      <c r="F240" s="11"/>
      <c r="G240" s="11"/>
      <c r="H240" s="11"/>
      <c r="I240" s="11"/>
      <c r="J240" s="11"/>
      <c r="K240" s="11"/>
      <c r="L240" s="11"/>
    </row>
    <row r="241" ht="13.5" customHeight="1">
      <c r="A241" s="11"/>
      <c r="B241" s="215" t="s">
        <v>119</v>
      </c>
      <c r="C241" s="220" t="s">
        <v>47</v>
      </c>
      <c r="D241" s="107"/>
      <c r="E241" s="11"/>
      <c r="F241" s="11"/>
      <c r="G241" s="11"/>
      <c r="H241" s="11"/>
      <c r="I241" s="11"/>
      <c r="J241" s="11"/>
      <c r="K241" s="11"/>
      <c r="L241" s="11"/>
    </row>
    <row r="242" ht="13.5" customHeight="1">
      <c r="A242" s="11"/>
      <c r="B242" s="663" t="s">
        <v>186</v>
      </c>
      <c r="C242" s="625">
        <v>42933.0</v>
      </c>
      <c r="D242" s="625">
        <v>42933.0</v>
      </c>
      <c r="E242" s="11"/>
      <c r="F242" s="11"/>
      <c r="G242" s="11"/>
      <c r="H242" s="11"/>
      <c r="I242" s="11"/>
      <c r="J242" s="11"/>
      <c r="K242" s="11"/>
      <c r="L242" s="11"/>
    </row>
    <row r="243" ht="13.5" customHeight="1">
      <c r="A243" s="11"/>
      <c r="B243" s="664" t="s">
        <v>50</v>
      </c>
      <c r="C243" s="625">
        <v>42934.0</v>
      </c>
      <c r="D243" s="625">
        <v>42934.0</v>
      </c>
      <c r="E243" s="11"/>
      <c r="F243" s="11"/>
      <c r="G243" s="11"/>
      <c r="H243" s="11"/>
      <c r="I243" s="11"/>
      <c r="J243" s="11"/>
      <c r="K243" s="11"/>
      <c r="L243" s="11"/>
    </row>
    <row r="244" ht="15.0" customHeight="1">
      <c r="A244" s="11"/>
      <c r="B244" s="11"/>
      <c r="C244" s="11"/>
      <c r="D244" s="11"/>
      <c r="E244" s="11"/>
      <c r="F244" s="11"/>
      <c r="G244" s="11"/>
      <c r="H244" s="11"/>
      <c r="I244" s="11"/>
      <c r="J244" s="11"/>
      <c r="K244" s="11"/>
      <c r="L244" s="11"/>
    </row>
    <row r="245" ht="13.5" customHeight="1">
      <c r="A245" s="11"/>
      <c r="B245" s="11"/>
      <c r="C245" s="11"/>
      <c r="D245" s="11"/>
      <c r="E245" s="11"/>
      <c r="F245" s="11"/>
      <c r="G245" s="11"/>
      <c r="H245" s="11"/>
      <c r="I245" s="11"/>
      <c r="J245" s="11"/>
      <c r="K245" s="11"/>
      <c r="L245" s="11"/>
    </row>
    <row r="246" ht="13.5" customHeight="1">
      <c r="A246" s="11"/>
      <c r="B246" s="240" t="s">
        <v>547</v>
      </c>
      <c r="C246" s="5"/>
      <c r="D246" s="5"/>
      <c r="E246" s="6"/>
      <c r="F246" s="11"/>
      <c r="G246" s="11"/>
      <c r="H246" s="11"/>
      <c r="I246" s="11"/>
      <c r="J246" s="11"/>
      <c r="K246" s="11"/>
      <c r="L246" s="11"/>
    </row>
    <row r="247" ht="13.5" customHeight="1">
      <c r="A247" s="11"/>
      <c r="B247" s="333" t="s">
        <v>1</v>
      </c>
      <c r="C247" s="665">
        <v>0.12</v>
      </c>
      <c r="D247" s="666">
        <v>10.0</v>
      </c>
      <c r="E247" s="169" t="s">
        <v>5</v>
      </c>
      <c r="F247" s="11"/>
      <c r="G247" s="11"/>
      <c r="H247" s="11"/>
      <c r="I247" s="11"/>
      <c r="J247" s="11"/>
      <c r="K247" s="11"/>
      <c r="L247" s="11"/>
    </row>
    <row r="248" ht="13.5" customHeight="1">
      <c r="A248" s="11"/>
      <c r="B248" s="341" t="s">
        <v>173</v>
      </c>
      <c r="C248" s="195">
        <v>0.06</v>
      </c>
      <c r="D248" s="500">
        <f t="shared" ref="D248:D255" si="16">(C248*D247)/C247</f>
        <v>5</v>
      </c>
      <c r="E248" s="249" t="s">
        <v>14</v>
      </c>
      <c r="F248" s="11"/>
      <c r="G248" s="11"/>
      <c r="H248" s="11"/>
      <c r="I248" s="11"/>
      <c r="J248" s="11"/>
      <c r="K248" s="11"/>
      <c r="L248" s="11"/>
    </row>
    <row r="249" ht="13.5" customHeight="1">
      <c r="A249" s="11"/>
      <c r="B249" s="341" t="s">
        <v>80</v>
      </c>
      <c r="C249" s="195">
        <v>0.06</v>
      </c>
      <c r="D249" s="500">
        <f t="shared" si="16"/>
        <v>5</v>
      </c>
      <c r="E249" s="249" t="s">
        <v>366</v>
      </c>
      <c r="F249" s="11"/>
      <c r="G249" s="11"/>
      <c r="H249" s="11"/>
      <c r="I249" s="11"/>
      <c r="J249" s="11"/>
      <c r="K249" s="11"/>
      <c r="L249" s="11"/>
    </row>
    <row r="250" ht="13.5" customHeight="1">
      <c r="A250" s="11"/>
      <c r="B250" s="341" t="s">
        <v>528</v>
      </c>
      <c r="C250" s="195">
        <v>15.0</v>
      </c>
      <c r="D250" s="500">
        <f t="shared" si="16"/>
        <v>1250</v>
      </c>
      <c r="E250" s="249" t="s">
        <v>18</v>
      </c>
      <c r="F250" s="11"/>
      <c r="G250" s="11"/>
      <c r="H250" s="11"/>
      <c r="I250" s="11"/>
      <c r="J250" s="11"/>
      <c r="K250" s="11"/>
      <c r="L250" s="11"/>
    </row>
    <row r="251" ht="13.5" customHeight="1">
      <c r="A251" s="11"/>
      <c r="B251" s="341" t="s">
        <v>234</v>
      </c>
      <c r="C251" s="195">
        <v>15.0</v>
      </c>
      <c r="D251" s="500">
        <f t="shared" si="16"/>
        <v>1250</v>
      </c>
      <c r="E251" s="249" t="s">
        <v>18</v>
      </c>
      <c r="F251" s="11"/>
      <c r="G251" s="11"/>
      <c r="H251" s="11"/>
      <c r="I251" s="11"/>
      <c r="J251" s="11"/>
      <c r="K251" s="11"/>
      <c r="L251" s="11"/>
    </row>
    <row r="252" ht="13.5" customHeight="1">
      <c r="A252" s="11"/>
      <c r="B252" s="341" t="s">
        <v>551</v>
      </c>
      <c r="C252" s="195">
        <v>10.0</v>
      </c>
      <c r="D252" s="500">
        <f t="shared" si="16"/>
        <v>833.3333333</v>
      </c>
      <c r="E252" s="249" t="s">
        <v>18</v>
      </c>
      <c r="F252" s="11"/>
      <c r="G252" s="11"/>
      <c r="H252" s="11"/>
      <c r="I252" s="11"/>
      <c r="J252" s="11"/>
      <c r="K252" s="11"/>
      <c r="L252" s="11"/>
    </row>
    <row r="253" ht="13.5" customHeight="1">
      <c r="A253" s="11"/>
      <c r="B253" s="341" t="s">
        <v>553</v>
      </c>
      <c r="C253" s="195">
        <v>2.5</v>
      </c>
      <c r="D253" s="500">
        <f t="shared" si="16"/>
        <v>208.3333333</v>
      </c>
      <c r="E253" s="249" t="s">
        <v>18</v>
      </c>
      <c r="F253" s="11"/>
      <c r="G253" s="11"/>
      <c r="H253" s="11"/>
      <c r="I253" s="11"/>
      <c r="J253" s="11"/>
      <c r="K253" s="11"/>
      <c r="L253" s="11"/>
    </row>
    <row r="254" ht="13.5" customHeight="1">
      <c r="A254" s="11"/>
      <c r="B254" s="341" t="s">
        <v>554</v>
      </c>
      <c r="C254" s="195">
        <v>2.5</v>
      </c>
      <c r="D254" s="500">
        <f t="shared" si="16"/>
        <v>208.3333333</v>
      </c>
      <c r="E254" s="249" t="s">
        <v>18</v>
      </c>
      <c r="F254" s="11"/>
      <c r="G254" s="11"/>
      <c r="H254" s="11"/>
      <c r="I254" s="11"/>
      <c r="J254" s="11"/>
      <c r="K254" s="11"/>
      <c r="L254" s="11"/>
    </row>
    <row r="255" ht="13.5" customHeight="1">
      <c r="A255" s="11"/>
      <c r="B255" s="358" t="s">
        <v>59</v>
      </c>
      <c r="C255" s="200">
        <v>0.075</v>
      </c>
      <c r="D255" s="684">
        <f t="shared" si="16"/>
        <v>6.25</v>
      </c>
      <c r="E255" s="518" t="s">
        <v>5</v>
      </c>
      <c r="F255" s="11"/>
      <c r="G255" s="11"/>
      <c r="H255" s="11"/>
      <c r="I255" s="11"/>
      <c r="J255" s="11"/>
      <c r="K255" s="11"/>
      <c r="L255" s="11"/>
    </row>
    <row r="256" ht="13.5" customHeight="1">
      <c r="A256" s="11"/>
      <c r="B256" s="11"/>
      <c r="C256" s="11"/>
      <c r="D256" s="11"/>
      <c r="E256" s="11"/>
      <c r="F256" s="11"/>
      <c r="G256" s="11"/>
      <c r="H256" s="11"/>
      <c r="I256" s="11"/>
      <c r="J256" s="11"/>
      <c r="K256" s="11"/>
      <c r="L256" s="11"/>
    </row>
    <row r="257" ht="13.5" customHeight="1">
      <c r="A257" s="11"/>
      <c r="B257" s="215" t="s">
        <v>119</v>
      </c>
      <c r="C257" s="220" t="s">
        <v>47</v>
      </c>
      <c r="D257" s="107"/>
      <c r="E257" s="11"/>
      <c r="F257" s="11"/>
      <c r="G257" s="11"/>
      <c r="H257" s="11"/>
      <c r="I257" s="11"/>
      <c r="J257" s="11"/>
      <c r="K257" s="11"/>
      <c r="L257" s="11"/>
    </row>
    <row r="258" ht="13.5" customHeight="1">
      <c r="A258" s="11"/>
      <c r="B258" s="663" t="s">
        <v>186</v>
      </c>
      <c r="C258" s="625">
        <v>42933.0</v>
      </c>
      <c r="D258" s="625">
        <v>42933.0</v>
      </c>
      <c r="E258" s="11"/>
      <c r="F258" s="11"/>
      <c r="G258" s="11"/>
      <c r="H258" s="11"/>
      <c r="I258" s="11"/>
      <c r="J258" s="11"/>
      <c r="K258" s="11"/>
      <c r="L258" s="11"/>
    </row>
    <row r="259" ht="13.5" customHeight="1">
      <c r="A259" s="11"/>
      <c r="B259" s="664" t="s">
        <v>50</v>
      </c>
      <c r="C259" s="625">
        <v>42934.0</v>
      </c>
      <c r="D259" s="625">
        <v>42934.0</v>
      </c>
      <c r="E259" s="11"/>
      <c r="F259" s="11"/>
      <c r="G259" s="11"/>
      <c r="H259" s="11"/>
      <c r="I259" s="11"/>
      <c r="J259" s="11"/>
      <c r="K259" s="11"/>
      <c r="L259" s="11"/>
    </row>
    <row r="260" ht="13.5" customHeight="1">
      <c r="A260" s="11"/>
      <c r="B260" s="11"/>
      <c r="C260" s="11"/>
      <c r="D260" s="11"/>
      <c r="E260" s="11"/>
      <c r="F260" s="11"/>
      <c r="G260" s="11"/>
      <c r="H260" s="11"/>
      <c r="I260" s="11"/>
      <c r="J260" s="11"/>
      <c r="K260" s="11"/>
      <c r="L260" s="11"/>
    </row>
    <row r="261" ht="13.5" customHeight="1">
      <c r="A261" s="11"/>
      <c r="B261" s="11"/>
      <c r="C261" s="11"/>
      <c r="D261" s="11"/>
      <c r="E261" s="11"/>
      <c r="F261" s="11"/>
      <c r="G261" s="11"/>
      <c r="H261" s="11"/>
      <c r="I261" s="11"/>
      <c r="J261" s="11"/>
      <c r="K261" s="11"/>
      <c r="L261" s="11"/>
    </row>
    <row r="262" ht="13.5" customHeight="1">
      <c r="A262" s="11"/>
      <c r="B262" s="11"/>
      <c r="C262" s="11"/>
      <c r="D262" s="11"/>
      <c r="E262" s="11"/>
      <c r="F262" s="11"/>
      <c r="G262" s="11"/>
      <c r="H262" s="11"/>
      <c r="I262" s="11"/>
      <c r="J262" s="11"/>
      <c r="K262" s="11"/>
      <c r="L262" s="11"/>
    </row>
    <row r="263" ht="13.5" customHeight="1">
      <c r="A263" s="11"/>
      <c r="B263" s="11"/>
      <c r="C263" s="11"/>
      <c r="D263" s="11"/>
      <c r="E263" s="11"/>
      <c r="F263" s="11"/>
      <c r="G263" s="11"/>
      <c r="H263" s="11"/>
      <c r="I263" s="11"/>
      <c r="J263" s="11"/>
      <c r="K263" s="11"/>
      <c r="L263" s="11"/>
    </row>
    <row r="264" ht="13.5" customHeight="1">
      <c r="A264" s="11"/>
      <c r="B264" s="11"/>
      <c r="C264" s="11"/>
      <c r="D264" s="11"/>
      <c r="E264" s="11"/>
      <c r="F264" s="11"/>
      <c r="G264" s="11"/>
      <c r="H264" s="11"/>
      <c r="I264" s="11"/>
      <c r="J264" s="11"/>
      <c r="K264" s="11"/>
      <c r="L264" s="11"/>
    </row>
    <row r="265" ht="13.5" customHeight="1">
      <c r="A265" s="11"/>
      <c r="B265" s="11"/>
      <c r="C265" s="11"/>
      <c r="D265" s="11"/>
      <c r="E265" s="11"/>
      <c r="F265" s="11"/>
      <c r="G265" s="11"/>
      <c r="H265" s="11"/>
      <c r="I265" s="11"/>
      <c r="J265" s="11"/>
      <c r="K265" s="11"/>
      <c r="L265" s="11"/>
    </row>
    <row r="266" ht="13.5" customHeight="1">
      <c r="A266" s="11"/>
      <c r="B266" s="11"/>
      <c r="C266" s="11"/>
      <c r="D266" s="11"/>
      <c r="E266" s="11"/>
      <c r="F266" s="11"/>
      <c r="G266" s="11"/>
      <c r="H266" s="11"/>
      <c r="I266" s="11"/>
      <c r="J266" s="11"/>
      <c r="K266" s="11"/>
      <c r="L266" s="11"/>
    </row>
    <row r="267" ht="13.5" customHeight="1">
      <c r="A267" s="11"/>
      <c r="B267" s="11"/>
      <c r="C267" s="11"/>
      <c r="D267" s="11"/>
      <c r="E267" s="11"/>
      <c r="F267" s="11"/>
      <c r="G267" s="11"/>
      <c r="H267" s="11"/>
      <c r="I267" s="11"/>
      <c r="J267" s="11"/>
      <c r="K267" s="11"/>
      <c r="L267" s="11"/>
    </row>
    <row r="268" ht="13.5" customHeight="1">
      <c r="A268" s="11"/>
      <c r="B268" s="11"/>
      <c r="C268" s="11"/>
      <c r="D268" s="11"/>
      <c r="E268" s="11"/>
      <c r="F268" s="11"/>
      <c r="G268" s="11"/>
      <c r="H268" s="11"/>
      <c r="I268" s="11"/>
      <c r="J268" s="11"/>
      <c r="K268" s="11"/>
      <c r="L268" s="11"/>
    </row>
    <row r="269" ht="13.5" customHeight="1">
      <c r="A269" s="11"/>
      <c r="B269" s="11"/>
      <c r="C269" s="11"/>
      <c r="D269" s="11"/>
      <c r="E269" s="11"/>
      <c r="F269" s="11"/>
      <c r="G269" s="11"/>
      <c r="H269" s="11"/>
      <c r="I269" s="11"/>
      <c r="J269" s="11"/>
      <c r="K269" s="11"/>
      <c r="L269" s="11"/>
    </row>
    <row r="270" ht="15.75" customHeight="1">
      <c r="A270" s="11"/>
      <c r="B270" s="11"/>
      <c r="C270" s="11"/>
      <c r="D270" s="11"/>
      <c r="E270" s="11"/>
      <c r="F270" s="11"/>
      <c r="G270" s="11"/>
      <c r="H270" s="11"/>
      <c r="I270" s="11"/>
      <c r="J270" s="11"/>
      <c r="K270" s="11"/>
      <c r="L270" s="11"/>
    </row>
    <row r="271" ht="15.75" customHeight="1">
      <c r="A271" s="11"/>
      <c r="B271" s="11"/>
      <c r="C271" s="11"/>
      <c r="D271" s="11"/>
      <c r="E271" s="11"/>
      <c r="F271" s="11"/>
      <c r="G271" s="11"/>
      <c r="H271" s="11"/>
      <c r="I271" s="11"/>
      <c r="J271" s="11"/>
      <c r="K271" s="11"/>
      <c r="L271" s="11"/>
    </row>
    <row r="272" ht="13.5" customHeight="1">
      <c r="A272" s="11"/>
      <c r="B272" s="11"/>
      <c r="C272" s="11"/>
      <c r="D272" s="11"/>
      <c r="E272" s="11"/>
      <c r="F272" s="11"/>
      <c r="G272" s="11"/>
      <c r="H272" s="11"/>
      <c r="I272" s="11"/>
      <c r="J272" s="11"/>
      <c r="K272" s="11"/>
      <c r="L272" s="11"/>
    </row>
    <row r="273" ht="13.5" customHeight="1">
      <c r="A273" s="11"/>
      <c r="B273" s="11"/>
      <c r="C273" s="11"/>
      <c r="D273" s="11"/>
      <c r="E273" s="11"/>
      <c r="F273" s="11"/>
      <c r="G273" s="11"/>
      <c r="H273" s="11"/>
      <c r="I273" s="11"/>
      <c r="J273" s="11"/>
      <c r="K273" s="11"/>
      <c r="L273" s="11"/>
    </row>
    <row r="274" ht="13.5" customHeight="1">
      <c r="A274" s="11"/>
      <c r="B274" s="11"/>
      <c r="C274" s="11"/>
      <c r="D274" s="11"/>
      <c r="E274" s="11"/>
      <c r="F274" s="11"/>
      <c r="G274" s="11"/>
      <c r="H274" s="11"/>
      <c r="I274" s="11"/>
      <c r="J274" s="11"/>
      <c r="K274" s="11"/>
      <c r="L274" s="11"/>
    </row>
    <row r="275" ht="13.5" customHeight="1">
      <c r="A275" s="11"/>
      <c r="B275" s="11"/>
      <c r="C275" s="11"/>
      <c r="D275" s="11"/>
      <c r="E275" s="11"/>
      <c r="F275" s="11"/>
      <c r="G275" s="11"/>
      <c r="H275" s="11"/>
      <c r="I275" s="11"/>
      <c r="J275" s="11"/>
      <c r="K275" s="11"/>
      <c r="L275" s="11"/>
    </row>
    <row r="276" ht="13.5" customHeight="1">
      <c r="A276" s="11"/>
      <c r="B276" s="11"/>
      <c r="C276" s="11"/>
      <c r="D276" s="11"/>
      <c r="E276" s="11"/>
      <c r="F276" s="11"/>
      <c r="G276" s="11"/>
      <c r="H276" s="11"/>
      <c r="I276" s="11"/>
      <c r="J276" s="11"/>
      <c r="K276" s="11"/>
      <c r="L276" s="11"/>
    </row>
    <row r="277" ht="13.5" customHeight="1">
      <c r="A277" s="11"/>
      <c r="B277" s="11"/>
      <c r="C277" s="11"/>
      <c r="D277" s="11"/>
      <c r="E277" s="11"/>
      <c r="F277" s="11"/>
      <c r="G277" s="11"/>
      <c r="H277" s="11"/>
      <c r="I277" s="11"/>
      <c r="J277" s="11"/>
      <c r="K277" s="11"/>
      <c r="L277" s="11"/>
    </row>
    <row r="278" ht="13.5" customHeight="1">
      <c r="A278" s="11"/>
      <c r="B278" s="11"/>
      <c r="C278" s="11"/>
      <c r="D278" s="11"/>
      <c r="E278" s="11"/>
      <c r="F278" s="11"/>
      <c r="G278" s="11"/>
      <c r="H278" s="11"/>
      <c r="I278" s="11"/>
      <c r="J278" s="11"/>
      <c r="K278" s="11"/>
      <c r="L278" s="11"/>
    </row>
    <row r="279" ht="13.5" customHeight="1">
      <c r="A279" s="11"/>
      <c r="B279" s="11"/>
      <c r="C279" s="11"/>
      <c r="D279" s="11"/>
      <c r="E279" s="11"/>
      <c r="F279" s="11"/>
      <c r="G279" s="11"/>
      <c r="H279" s="11"/>
      <c r="I279" s="11"/>
      <c r="J279" s="11"/>
      <c r="K279" s="11"/>
      <c r="L279" s="11"/>
    </row>
    <row r="280" ht="13.5" customHeight="1">
      <c r="A280" s="11"/>
      <c r="B280" s="11"/>
      <c r="C280" s="11"/>
      <c r="D280" s="11"/>
      <c r="E280" s="11"/>
      <c r="F280" s="11"/>
      <c r="G280" s="11"/>
      <c r="H280" s="11"/>
      <c r="I280" s="11"/>
      <c r="J280" s="11"/>
      <c r="K280" s="11"/>
      <c r="L280" s="11"/>
    </row>
    <row r="281" ht="13.5" customHeight="1">
      <c r="A281" s="11"/>
      <c r="B281" s="11"/>
      <c r="C281" s="11"/>
      <c r="D281" s="11"/>
      <c r="E281" s="11"/>
      <c r="F281" s="11"/>
      <c r="G281" s="11"/>
      <c r="H281" s="11"/>
      <c r="I281" s="11"/>
      <c r="J281" s="11"/>
      <c r="K281" s="11"/>
      <c r="L281" s="11"/>
    </row>
    <row r="282" ht="13.5" customHeight="1">
      <c r="A282" s="11"/>
      <c r="B282" s="11"/>
      <c r="C282" s="11"/>
      <c r="D282" s="11"/>
      <c r="E282" s="11"/>
      <c r="F282" s="11"/>
      <c r="G282" s="11"/>
      <c r="H282" s="11"/>
      <c r="I282" s="11"/>
      <c r="J282" s="11"/>
      <c r="K282" s="11"/>
      <c r="L282" s="11"/>
    </row>
    <row r="283" ht="13.5" customHeight="1">
      <c r="A283" s="11"/>
      <c r="B283" s="11"/>
      <c r="C283" s="11"/>
      <c r="D283" s="11"/>
      <c r="E283" s="11"/>
      <c r="F283" s="11"/>
      <c r="G283" s="11"/>
      <c r="H283" s="11"/>
      <c r="I283" s="11"/>
      <c r="J283" s="11"/>
      <c r="K283" s="11"/>
      <c r="L283" s="11"/>
    </row>
    <row r="284" ht="13.5" customHeight="1">
      <c r="A284" s="11"/>
      <c r="B284" s="11"/>
      <c r="C284" s="11"/>
      <c r="D284" s="11"/>
      <c r="E284" s="11"/>
      <c r="F284" s="11"/>
      <c r="G284" s="11"/>
      <c r="H284" s="11"/>
      <c r="I284" s="11"/>
      <c r="J284" s="11"/>
      <c r="K284" s="11"/>
      <c r="L284" s="11"/>
    </row>
    <row r="285" ht="13.5" customHeight="1">
      <c r="A285" s="11"/>
      <c r="B285" s="11"/>
      <c r="C285" s="11"/>
      <c r="D285" s="11"/>
      <c r="E285" s="11"/>
      <c r="F285" s="11"/>
      <c r="G285" s="11"/>
      <c r="H285" s="11"/>
      <c r="I285" s="11"/>
      <c r="J285" s="11"/>
      <c r="K285" s="11"/>
      <c r="L285" s="11"/>
    </row>
    <row r="286" ht="13.5" customHeight="1">
      <c r="A286" s="11"/>
      <c r="B286" s="11"/>
      <c r="C286" s="11"/>
      <c r="D286" s="11"/>
      <c r="E286" s="11"/>
      <c r="F286" s="11"/>
      <c r="G286" s="11"/>
      <c r="H286" s="11"/>
      <c r="I286" s="11"/>
      <c r="J286" s="11"/>
      <c r="K286" s="11"/>
      <c r="L286" s="11"/>
    </row>
    <row r="287" ht="13.5" customHeight="1">
      <c r="A287" s="11"/>
      <c r="B287" s="11"/>
      <c r="C287" s="11"/>
      <c r="D287" s="11"/>
      <c r="E287" s="11"/>
      <c r="F287" s="11"/>
      <c r="G287" s="11"/>
      <c r="H287" s="11"/>
      <c r="I287" s="11"/>
      <c r="J287" s="11"/>
      <c r="K287" s="11"/>
      <c r="L287" s="11"/>
    </row>
    <row r="288" ht="13.5" customHeight="1">
      <c r="A288" s="11"/>
      <c r="B288" s="11"/>
      <c r="C288" s="11"/>
      <c r="D288" s="11"/>
      <c r="E288" s="11"/>
      <c r="F288" s="11"/>
      <c r="G288" s="11"/>
      <c r="H288" s="11"/>
      <c r="I288" s="11"/>
      <c r="J288" s="11"/>
      <c r="K288" s="11"/>
      <c r="L288" s="11"/>
    </row>
    <row r="289" ht="13.5" customHeight="1">
      <c r="A289" s="11"/>
      <c r="B289" s="11"/>
      <c r="C289" s="11"/>
      <c r="D289" s="11"/>
      <c r="E289" s="11"/>
      <c r="F289" s="11"/>
      <c r="G289" s="11"/>
      <c r="H289" s="11"/>
      <c r="I289" s="11"/>
      <c r="J289" s="11"/>
      <c r="K289" s="11"/>
      <c r="L289" s="11"/>
    </row>
    <row r="290" ht="13.5" customHeight="1">
      <c r="A290" s="11"/>
      <c r="B290" s="11"/>
      <c r="C290" s="11"/>
      <c r="D290" s="11"/>
      <c r="E290" s="11"/>
      <c r="F290" s="11"/>
      <c r="G290" s="11"/>
      <c r="H290" s="11"/>
      <c r="I290" s="11"/>
      <c r="J290" s="11"/>
      <c r="K290" s="11"/>
      <c r="L290" s="11"/>
    </row>
    <row r="291" ht="13.5" customHeight="1">
      <c r="A291" s="11"/>
      <c r="B291" s="11"/>
      <c r="C291" s="11"/>
      <c r="D291" s="11"/>
      <c r="E291" s="11"/>
      <c r="F291" s="11"/>
      <c r="G291" s="11"/>
      <c r="H291" s="11"/>
      <c r="I291" s="11"/>
      <c r="J291" s="11"/>
      <c r="K291" s="11"/>
      <c r="L291" s="11"/>
    </row>
    <row r="292" ht="13.5" customHeight="1">
      <c r="A292" s="11"/>
      <c r="B292" s="11"/>
      <c r="C292" s="11"/>
      <c r="D292" s="11"/>
      <c r="E292" s="11"/>
      <c r="F292" s="11"/>
      <c r="G292" s="11"/>
      <c r="H292" s="11"/>
      <c r="I292" s="11"/>
      <c r="J292" s="11"/>
      <c r="K292" s="11"/>
      <c r="L292" s="11"/>
    </row>
    <row r="293" ht="13.5" customHeight="1">
      <c r="A293" s="11"/>
      <c r="B293" s="11"/>
      <c r="C293" s="11"/>
      <c r="D293" s="11"/>
      <c r="E293" s="11"/>
      <c r="F293" s="11"/>
      <c r="G293" s="11"/>
      <c r="H293" s="11"/>
      <c r="I293" s="11"/>
      <c r="J293" s="11"/>
      <c r="K293" s="11"/>
      <c r="L293" s="11"/>
    </row>
    <row r="294" ht="13.5" customHeight="1">
      <c r="A294" s="11"/>
      <c r="B294" s="11"/>
      <c r="C294" s="11"/>
      <c r="D294" s="11"/>
      <c r="E294" s="11"/>
      <c r="F294" s="11"/>
      <c r="G294" s="11"/>
      <c r="H294" s="11"/>
      <c r="I294" s="11"/>
      <c r="J294" s="11"/>
      <c r="K294" s="11"/>
      <c r="L294" s="11"/>
    </row>
    <row r="295" ht="13.5" customHeight="1">
      <c r="A295" s="11"/>
      <c r="B295" s="11"/>
      <c r="C295" s="11"/>
      <c r="D295" s="11"/>
      <c r="E295" s="11"/>
      <c r="F295" s="11"/>
      <c r="G295" s="11"/>
      <c r="H295" s="11"/>
      <c r="I295" s="11"/>
      <c r="J295" s="11"/>
      <c r="K295" s="11"/>
      <c r="L295" s="11"/>
    </row>
    <row r="296" ht="13.5" customHeight="1">
      <c r="A296" s="11"/>
      <c r="B296" s="11"/>
      <c r="C296" s="11"/>
      <c r="D296" s="11"/>
      <c r="E296" s="11"/>
      <c r="F296" s="11"/>
      <c r="G296" s="11"/>
      <c r="H296" s="11"/>
      <c r="I296" s="11"/>
      <c r="J296" s="11"/>
      <c r="K296" s="11"/>
      <c r="L296" s="11"/>
    </row>
    <row r="297" ht="13.5" customHeight="1">
      <c r="A297" s="11"/>
      <c r="B297" s="11"/>
      <c r="C297" s="11"/>
      <c r="D297" s="11"/>
      <c r="E297" s="11"/>
      <c r="F297" s="11"/>
      <c r="G297" s="11"/>
      <c r="H297" s="11"/>
      <c r="I297" s="11"/>
      <c r="J297" s="11"/>
      <c r="K297" s="11"/>
      <c r="L297" s="11"/>
    </row>
    <row r="298" ht="13.5" customHeight="1">
      <c r="A298" s="11"/>
      <c r="B298" s="11"/>
      <c r="C298" s="11"/>
      <c r="D298" s="11"/>
      <c r="E298" s="11"/>
      <c r="F298" s="11"/>
      <c r="G298" s="11"/>
      <c r="H298" s="11"/>
      <c r="I298" s="11"/>
      <c r="J298" s="11"/>
      <c r="K298" s="11"/>
      <c r="L298" s="11"/>
    </row>
    <row r="299" ht="13.5" customHeight="1">
      <c r="A299" s="11"/>
      <c r="B299" s="11"/>
      <c r="C299" s="11"/>
      <c r="D299" s="11"/>
      <c r="E299" s="11"/>
      <c r="F299" s="11"/>
      <c r="G299" s="11"/>
      <c r="H299" s="11"/>
      <c r="I299" s="11"/>
      <c r="J299" s="11"/>
      <c r="K299" s="11"/>
      <c r="L299" s="11"/>
    </row>
    <row r="300" ht="13.5" customHeight="1">
      <c r="A300" s="11"/>
      <c r="B300" s="11"/>
      <c r="C300" s="11"/>
      <c r="D300" s="11"/>
      <c r="E300" s="11"/>
      <c r="F300" s="11"/>
      <c r="G300" s="11"/>
      <c r="H300" s="11"/>
      <c r="I300" s="11"/>
      <c r="J300" s="11"/>
      <c r="K300" s="11"/>
      <c r="L300" s="11"/>
    </row>
    <row r="301" ht="13.5" customHeight="1">
      <c r="A301" s="11"/>
      <c r="B301" s="11"/>
      <c r="C301" s="11"/>
      <c r="D301" s="11"/>
      <c r="E301" s="11"/>
      <c r="F301" s="11"/>
      <c r="G301" s="11"/>
      <c r="H301" s="11"/>
      <c r="I301" s="11"/>
      <c r="J301" s="11"/>
      <c r="K301" s="11"/>
      <c r="L301" s="11"/>
    </row>
    <row r="302" ht="13.5" customHeight="1">
      <c r="A302" s="11"/>
      <c r="B302" s="11"/>
      <c r="C302" s="11"/>
      <c r="D302" s="11"/>
      <c r="E302" s="11"/>
      <c r="F302" s="11"/>
      <c r="G302" s="11"/>
      <c r="H302" s="11"/>
      <c r="I302" s="11"/>
      <c r="J302" s="11"/>
      <c r="K302" s="11"/>
      <c r="L302" s="11"/>
    </row>
    <row r="303" ht="13.5" customHeight="1">
      <c r="A303" s="11"/>
      <c r="B303" s="11"/>
      <c r="C303" s="11"/>
      <c r="D303" s="11"/>
      <c r="E303" s="11"/>
      <c r="F303" s="11"/>
      <c r="G303" s="11"/>
      <c r="H303" s="11"/>
      <c r="I303" s="11"/>
      <c r="J303" s="11"/>
      <c r="K303" s="11"/>
      <c r="L303" s="11"/>
    </row>
    <row r="304" ht="13.5" customHeight="1">
      <c r="A304" s="11"/>
      <c r="B304" s="11"/>
      <c r="C304" s="11"/>
      <c r="D304" s="11"/>
      <c r="E304" s="11"/>
      <c r="F304" s="11"/>
      <c r="G304" s="11"/>
      <c r="H304" s="11"/>
      <c r="I304" s="11"/>
      <c r="J304" s="11"/>
      <c r="K304" s="11"/>
      <c r="L304" s="11"/>
    </row>
    <row r="305" ht="13.5" customHeight="1">
      <c r="A305" s="11"/>
      <c r="B305" s="11"/>
      <c r="C305" s="11"/>
      <c r="D305" s="11"/>
      <c r="E305" s="11"/>
      <c r="F305" s="11"/>
      <c r="G305" s="11"/>
      <c r="H305" s="11"/>
      <c r="I305" s="11"/>
      <c r="J305" s="11"/>
      <c r="K305" s="11"/>
      <c r="L305" s="11"/>
    </row>
    <row r="306" ht="13.5" customHeight="1">
      <c r="A306" s="11"/>
      <c r="B306" s="11"/>
      <c r="C306" s="11"/>
      <c r="D306" s="11"/>
      <c r="E306" s="11"/>
      <c r="F306" s="11"/>
      <c r="G306" s="11"/>
      <c r="H306" s="11"/>
      <c r="I306" s="11"/>
      <c r="J306" s="11"/>
      <c r="K306" s="11"/>
      <c r="L306" s="11"/>
    </row>
    <row r="307" ht="13.5" customHeight="1">
      <c r="A307" s="11"/>
      <c r="B307" s="11"/>
      <c r="C307" s="11"/>
      <c r="D307" s="11"/>
      <c r="E307" s="11"/>
      <c r="F307" s="11"/>
      <c r="G307" s="11"/>
      <c r="H307" s="11"/>
      <c r="I307" s="11"/>
      <c r="J307" s="11"/>
      <c r="K307" s="11"/>
      <c r="L307" s="11"/>
    </row>
    <row r="308" ht="13.5" customHeight="1">
      <c r="A308" s="11"/>
      <c r="B308" s="11"/>
      <c r="C308" s="11"/>
      <c r="D308" s="11"/>
      <c r="E308" s="11"/>
      <c r="F308" s="11"/>
      <c r="G308" s="11"/>
      <c r="H308" s="11"/>
      <c r="I308" s="11"/>
      <c r="J308" s="11"/>
      <c r="K308" s="11"/>
      <c r="L308" s="11"/>
    </row>
    <row r="309" ht="13.5" customHeight="1">
      <c r="A309" s="11"/>
      <c r="B309" s="11"/>
      <c r="C309" s="11"/>
      <c r="D309" s="11"/>
      <c r="E309" s="11"/>
      <c r="F309" s="11"/>
      <c r="G309" s="11"/>
      <c r="H309" s="11"/>
      <c r="I309" s="11"/>
      <c r="J309" s="11"/>
      <c r="K309" s="11"/>
      <c r="L309" s="11"/>
    </row>
    <row r="310" ht="13.5" customHeight="1">
      <c r="A310" s="11"/>
      <c r="B310" s="11"/>
      <c r="C310" s="11"/>
      <c r="D310" s="11"/>
      <c r="E310" s="11"/>
      <c r="F310" s="11"/>
      <c r="G310" s="11"/>
      <c r="H310" s="11"/>
      <c r="I310" s="11"/>
      <c r="J310" s="11"/>
      <c r="K310" s="11"/>
      <c r="L310" s="11"/>
    </row>
    <row r="311" ht="13.5" customHeight="1">
      <c r="A311" s="11"/>
      <c r="B311" s="11"/>
      <c r="C311" s="11"/>
      <c r="D311" s="11"/>
      <c r="E311" s="11"/>
      <c r="F311" s="11"/>
      <c r="G311" s="11"/>
      <c r="H311" s="11"/>
      <c r="I311" s="11"/>
      <c r="J311" s="11"/>
      <c r="K311" s="11"/>
      <c r="L311" s="11"/>
    </row>
    <row r="312" ht="13.5" customHeight="1">
      <c r="A312" s="11"/>
      <c r="B312" s="11"/>
      <c r="C312" s="11"/>
      <c r="D312" s="11"/>
      <c r="E312" s="11"/>
      <c r="F312" s="11"/>
      <c r="G312" s="11"/>
      <c r="H312" s="11"/>
      <c r="I312" s="11"/>
      <c r="J312" s="11"/>
      <c r="K312" s="11"/>
      <c r="L312" s="11"/>
    </row>
    <row r="313" ht="13.5" customHeight="1">
      <c r="A313" s="11"/>
      <c r="B313" s="11"/>
      <c r="C313" s="11"/>
      <c r="D313" s="11"/>
      <c r="E313" s="11"/>
      <c r="F313" s="11"/>
      <c r="G313" s="11"/>
      <c r="H313" s="11"/>
      <c r="I313" s="11"/>
      <c r="J313" s="11"/>
      <c r="K313" s="11"/>
      <c r="L313" s="11"/>
    </row>
    <row r="314" ht="13.5" customHeight="1">
      <c r="A314" s="11"/>
      <c r="B314" s="11"/>
      <c r="C314" s="11"/>
      <c r="D314" s="11"/>
      <c r="E314" s="11"/>
      <c r="F314" s="11"/>
      <c r="G314" s="11"/>
      <c r="H314" s="11"/>
      <c r="I314" s="11"/>
      <c r="J314" s="11"/>
      <c r="K314" s="11"/>
      <c r="L314" s="11"/>
    </row>
    <row r="315" ht="13.5" customHeight="1">
      <c r="A315" s="11"/>
      <c r="B315" s="11"/>
      <c r="C315" s="11"/>
      <c r="D315" s="11"/>
      <c r="E315" s="11"/>
      <c r="F315" s="11"/>
      <c r="G315" s="11"/>
      <c r="H315" s="11"/>
      <c r="I315" s="11"/>
      <c r="J315" s="11"/>
      <c r="K315" s="11"/>
      <c r="L315" s="11"/>
    </row>
    <row r="316" ht="13.5" customHeight="1">
      <c r="A316" s="11"/>
      <c r="B316" s="11"/>
      <c r="C316" s="11"/>
      <c r="D316" s="11"/>
      <c r="E316" s="11"/>
      <c r="F316" s="11"/>
      <c r="G316" s="11"/>
      <c r="H316" s="11"/>
      <c r="I316" s="11"/>
      <c r="J316" s="11"/>
      <c r="K316" s="11"/>
      <c r="L316" s="11"/>
    </row>
    <row r="317" ht="13.5" customHeight="1">
      <c r="A317" s="11"/>
      <c r="B317" s="11"/>
      <c r="C317" s="11"/>
      <c r="D317" s="11"/>
      <c r="E317" s="11"/>
      <c r="F317" s="11"/>
      <c r="G317" s="11"/>
      <c r="H317" s="11"/>
      <c r="I317" s="11"/>
      <c r="J317" s="11"/>
      <c r="K317" s="11"/>
      <c r="L317" s="11"/>
    </row>
    <row r="318" ht="13.5" customHeight="1">
      <c r="A318" s="11"/>
      <c r="B318" s="11"/>
      <c r="C318" s="11"/>
      <c r="D318" s="11"/>
      <c r="E318" s="11"/>
      <c r="F318" s="11"/>
      <c r="G318" s="11"/>
      <c r="H318" s="11"/>
      <c r="I318" s="11"/>
      <c r="J318" s="11"/>
      <c r="K318" s="11"/>
      <c r="L318" s="11"/>
    </row>
    <row r="319" ht="13.5" customHeight="1">
      <c r="A319" s="11"/>
      <c r="B319" s="11"/>
      <c r="C319" s="11"/>
      <c r="D319" s="11"/>
      <c r="E319" s="11"/>
      <c r="F319" s="11"/>
      <c r="G319" s="11"/>
      <c r="H319" s="11"/>
      <c r="I319" s="11"/>
      <c r="J319" s="11"/>
      <c r="K319" s="11"/>
      <c r="L319" s="11"/>
    </row>
    <row r="320" ht="13.5" customHeight="1">
      <c r="A320" s="11"/>
      <c r="B320" s="11"/>
      <c r="C320" s="11"/>
      <c r="D320" s="11"/>
      <c r="E320" s="11"/>
      <c r="F320" s="11"/>
      <c r="G320" s="11"/>
      <c r="H320" s="11"/>
      <c r="I320" s="11"/>
      <c r="J320" s="11"/>
      <c r="K320" s="11"/>
      <c r="L320" s="11"/>
    </row>
    <row r="321" ht="13.5" customHeight="1">
      <c r="A321" s="11"/>
      <c r="B321" s="11"/>
      <c r="C321" s="11"/>
      <c r="D321" s="11"/>
      <c r="E321" s="11"/>
      <c r="F321" s="11"/>
      <c r="G321" s="11"/>
      <c r="H321" s="11"/>
      <c r="I321" s="11"/>
      <c r="J321" s="11"/>
      <c r="K321" s="11"/>
      <c r="L321" s="11"/>
    </row>
    <row r="322" ht="13.5" customHeight="1">
      <c r="A322" s="11"/>
      <c r="B322" s="11"/>
      <c r="C322" s="11"/>
      <c r="D322" s="11"/>
      <c r="E322" s="11"/>
      <c r="F322" s="11"/>
      <c r="G322" s="11"/>
      <c r="H322" s="11"/>
      <c r="I322" s="11"/>
      <c r="J322" s="11"/>
      <c r="K322" s="11"/>
      <c r="L322" s="11"/>
    </row>
    <row r="323" ht="13.5" customHeight="1">
      <c r="A323" s="11"/>
      <c r="B323" s="11"/>
      <c r="C323" s="11"/>
      <c r="D323" s="11"/>
      <c r="E323" s="11"/>
      <c r="F323" s="11"/>
      <c r="G323" s="11"/>
      <c r="H323" s="11"/>
      <c r="I323" s="11"/>
      <c r="J323" s="11"/>
      <c r="K323" s="11"/>
      <c r="L323" s="11"/>
    </row>
    <row r="324" ht="13.5" customHeight="1">
      <c r="A324" s="11"/>
      <c r="B324" s="11"/>
      <c r="C324" s="11"/>
      <c r="D324" s="11"/>
      <c r="E324" s="11"/>
      <c r="F324" s="11"/>
      <c r="G324" s="11"/>
      <c r="H324" s="11"/>
      <c r="I324" s="11"/>
      <c r="J324" s="11"/>
      <c r="K324" s="11"/>
      <c r="L324" s="11"/>
    </row>
    <row r="325" ht="13.5" customHeight="1">
      <c r="A325" s="11"/>
      <c r="B325" s="11"/>
      <c r="C325" s="11"/>
      <c r="D325" s="11"/>
      <c r="E325" s="11"/>
      <c r="F325" s="11"/>
      <c r="G325" s="11"/>
      <c r="H325" s="11"/>
      <c r="I325" s="11"/>
      <c r="J325" s="11"/>
      <c r="K325" s="11"/>
      <c r="L325" s="11"/>
    </row>
    <row r="326" ht="13.5" customHeight="1">
      <c r="A326" s="11"/>
      <c r="B326" s="11"/>
      <c r="C326" s="11"/>
      <c r="D326" s="11"/>
      <c r="E326" s="11"/>
      <c r="F326" s="11"/>
      <c r="G326" s="11"/>
      <c r="H326" s="11"/>
      <c r="I326" s="11"/>
      <c r="J326" s="11"/>
      <c r="K326" s="11"/>
      <c r="L326" s="11"/>
    </row>
    <row r="327" ht="13.5" customHeight="1">
      <c r="A327" s="11"/>
      <c r="B327" s="11"/>
      <c r="C327" s="11"/>
      <c r="D327" s="11"/>
      <c r="E327" s="11"/>
      <c r="F327" s="11"/>
      <c r="G327" s="11"/>
      <c r="H327" s="11"/>
      <c r="I327" s="11"/>
      <c r="J327" s="11"/>
      <c r="K327" s="11"/>
      <c r="L327" s="11"/>
    </row>
    <row r="328" ht="13.5" customHeight="1">
      <c r="A328" s="11"/>
      <c r="B328" s="11"/>
      <c r="C328" s="11"/>
      <c r="D328" s="11"/>
      <c r="E328" s="11"/>
      <c r="F328" s="11"/>
      <c r="G328" s="11"/>
      <c r="H328" s="11"/>
      <c r="I328" s="11"/>
      <c r="J328" s="11"/>
      <c r="K328" s="11"/>
      <c r="L328" s="11"/>
    </row>
    <row r="329" ht="13.5" customHeight="1">
      <c r="A329" s="11"/>
      <c r="B329" s="11"/>
      <c r="C329" s="11"/>
      <c r="D329" s="11"/>
      <c r="E329" s="11"/>
      <c r="F329" s="11"/>
      <c r="G329" s="11"/>
      <c r="H329" s="11"/>
      <c r="I329" s="11"/>
      <c r="J329" s="11"/>
      <c r="K329" s="11"/>
      <c r="L329" s="11"/>
    </row>
    <row r="330" ht="13.5" customHeight="1">
      <c r="A330" s="11"/>
      <c r="B330" s="11"/>
      <c r="C330" s="11"/>
      <c r="D330" s="11"/>
      <c r="E330" s="11"/>
      <c r="F330" s="11"/>
      <c r="G330" s="11"/>
      <c r="H330" s="11"/>
      <c r="I330" s="11"/>
      <c r="J330" s="11"/>
      <c r="K330" s="11"/>
      <c r="L330" s="11"/>
    </row>
    <row r="331" ht="13.5" customHeight="1">
      <c r="A331" s="11"/>
      <c r="B331" s="11"/>
      <c r="C331" s="11"/>
      <c r="D331" s="11"/>
      <c r="E331" s="11"/>
      <c r="F331" s="11"/>
      <c r="G331" s="11"/>
      <c r="H331" s="11"/>
      <c r="I331" s="11"/>
      <c r="J331" s="11"/>
      <c r="K331" s="11"/>
      <c r="L331" s="11"/>
    </row>
    <row r="332" ht="13.5" customHeight="1">
      <c r="A332" s="11"/>
      <c r="B332" s="11"/>
      <c r="C332" s="11"/>
      <c r="D332" s="11"/>
      <c r="E332" s="11"/>
      <c r="F332" s="11"/>
      <c r="G332" s="11"/>
      <c r="H332" s="11"/>
      <c r="I332" s="11"/>
      <c r="J332" s="11"/>
      <c r="K332" s="11"/>
      <c r="L332" s="11"/>
    </row>
    <row r="333" ht="13.5" customHeight="1">
      <c r="A333" s="11"/>
      <c r="B333" s="11"/>
      <c r="C333" s="11"/>
      <c r="D333" s="11"/>
      <c r="E333" s="11"/>
      <c r="F333" s="11"/>
      <c r="G333" s="11"/>
      <c r="H333" s="11"/>
      <c r="I333" s="11"/>
      <c r="J333" s="11"/>
      <c r="K333" s="11"/>
      <c r="L333" s="11"/>
    </row>
    <row r="334" ht="13.5" customHeight="1">
      <c r="A334" s="11"/>
      <c r="B334" s="11"/>
      <c r="C334" s="11"/>
      <c r="D334" s="11"/>
      <c r="E334" s="11"/>
      <c r="F334" s="11"/>
      <c r="G334" s="11"/>
      <c r="H334" s="11"/>
      <c r="I334" s="11"/>
      <c r="J334" s="11"/>
      <c r="K334" s="11"/>
      <c r="L334" s="11"/>
    </row>
    <row r="335" ht="13.5" customHeight="1">
      <c r="A335" s="11"/>
      <c r="B335" s="11"/>
      <c r="C335" s="11"/>
      <c r="D335" s="11"/>
      <c r="E335" s="11"/>
      <c r="F335" s="11"/>
      <c r="G335" s="11"/>
      <c r="H335" s="11"/>
      <c r="I335" s="11"/>
      <c r="J335" s="11"/>
      <c r="K335" s="11"/>
      <c r="L335" s="11"/>
    </row>
    <row r="336" ht="13.5" customHeight="1">
      <c r="A336" s="11"/>
      <c r="B336" s="11"/>
      <c r="C336" s="11"/>
      <c r="D336" s="11"/>
      <c r="E336" s="11"/>
      <c r="F336" s="11"/>
      <c r="G336" s="11"/>
      <c r="H336" s="11"/>
      <c r="I336" s="11"/>
      <c r="J336" s="11"/>
      <c r="K336" s="11"/>
      <c r="L336" s="11"/>
    </row>
    <row r="337" ht="13.5" customHeight="1">
      <c r="A337" s="11"/>
      <c r="B337" s="11"/>
      <c r="C337" s="11"/>
      <c r="D337" s="11"/>
      <c r="E337" s="11"/>
      <c r="F337" s="11"/>
      <c r="G337" s="11"/>
      <c r="H337" s="11"/>
      <c r="I337" s="11"/>
      <c r="J337" s="11"/>
      <c r="K337" s="11"/>
      <c r="L337" s="11"/>
    </row>
    <row r="338" ht="13.5" customHeight="1">
      <c r="A338" s="11"/>
      <c r="B338" s="11"/>
      <c r="C338" s="11"/>
      <c r="D338" s="11"/>
      <c r="E338" s="11"/>
      <c r="F338" s="11"/>
      <c r="G338" s="11"/>
      <c r="H338" s="11"/>
      <c r="I338" s="11"/>
      <c r="J338" s="11"/>
      <c r="K338" s="11"/>
      <c r="L338" s="11"/>
    </row>
    <row r="339" ht="13.5" customHeight="1">
      <c r="A339" s="11"/>
      <c r="B339" s="11"/>
      <c r="C339" s="11"/>
      <c r="D339" s="11"/>
      <c r="E339" s="11"/>
      <c r="F339" s="11"/>
      <c r="G339" s="11"/>
      <c r="H339" s="11"/>
      <c r="I339" s="11"/>
      <c r="J339" s="11"/>
      <c r="K339" s="11"/>
      <c r="L339" s="11"/>
    </row>
    <row r="340" ht="13.5" customHeight="1">
      <c r="A340" s="11"/>
      <c r="B340" s="11"/>
      <c r="C340" s="11"/>
      <c r="D340" s="11"/>
      <c r="E340" s="11"/>
      <c r="F340" s="11"/>
      <c r="G340" s="11"/>
      <c r="H340" s="11"/>
      <c r="I340" s="11"/>
      <c r="J340" s="11"/>
      <c r="K340" s="11"/>
      <c r="L340" s="11"/>
    </row>
    <row r="341" ht="13.5" customHeight="1">
      <c r="A341" s="11"/>
      <c r="B341" s="11"/>
      <c r="C341" s="11"/>
      <c r="D341" s="11"/>
      <c r="E341" s="11"/>
      <c r="F341" s="11"/>
      <c r="G341" s="11"/>
      <c r="H341" s="11"/>
      <c r="I341" s="11"/>
      <c r="J341" s="11"/>
      <c r="K341" s="11"/>
      <c r="L341" s="11"/>
    </row>
    <row r="342" ht="13.5" customHeight="1">
      <c r="A342" s="11"/>
      <c r="B342" s="11"/>
      <c r="C342" s="11"/>
      <c r="D342" s="11"/>
      <c r="E342" s="11"/>
      <c r="F342" s="11"/>
      <c r="G342" s="11"/>
      <c r="H342" s="11"/>
      <c r="I342" s="11"/>
      <c r="J342" s="11"/>
      <c r="K342" s="11"/>
      <c r="L342" s="11"/>
    </row>
    <row r="343" ht="13.5" customHeight="1">
      <c r="A343" s="11"/>
      <c r="B343" s="11"/>
      <c r="C343" s="11"/>
      <c r="D343" s="11"/>
      <c r="E343" s="11"/>
      <c r="F343" s="11"/>
      <c r="G343" s="11"/>
      <c r="H343" s="11"/>
      <c r="I343" s="11"/>
      <c r="J343" s="11"/>
      <c r="K343" s="11"/>
      <c r="L343" s="11"/>
    </row>
    <row r="344" ht="13.5" customHeight="1">
      <c r="A344" s="11"/>
      <c r="B344" s="11"/>
      <c r="C344" s="11"/>
      <c r="D344" s="11"/>
      <c r="E344" s="11"/>
      <c r="F344" s="11"/>
      <c r="G344" s="11"/>
      <c r="H344" s="11"/>
      <c r="I344" s="11"/>
      <c r="J344" s="11"/>
      <c r="K344" s="11"/>
      <c r="L344" s="11"/>
    </row>
    <row r="345" ht="13.5" customHeight="1">
      <c r="A345" s="11"/>
      <c r="B345" s="11"/>
      <c r="C345" s="11"/>
      <c r="D345" s="11"/>
      <c r="E345" s="11"/>
      <c r="F345" s="11"/>
      <c r="G345" s="11"/>
      <c r="H345" s="11"/>
      <c r="I345" s="11"/>
      <c r="J345" s="11"/>
      <c r="K345" s="11"/>
      <c r="L345" s="11"/>
    </row>
    <row r="346" ht="13.5" customHeight="1">
      <c r="A346" s="11"/>
      <c r="B346" s="11"/>
      <c r="C346" s="11"/>
      <c r="D346" s="11"/>
      <c r="E346" s="11"/>
      <c r="F346" s="11"/>
      <c r="G346" s="11"/>
      <c r="H346" s="11"/>
      <c r="I346" s="11"/>
      <c r="J346" s="11"/>
      <c r="K346" s="11"/>
      <c r="L346" s="11"/>
    </row>
    <row r="347" ht="13.5" customHeight="1">
      <c r="A347" s="11"/>
      <c r="B347" s="11"/>
      <c r="C347" s="11"/>
      <c r="D347" s="11"/>
      <c r="E347" s="11"/>
      <c r="F347" s="11"/>
      <c r="G347" s="11"/>
      <c r="H347" s="11"/>
      <c r="I347" s="11"/>
      <c r="J347" s="11"/>
      <c r="K347" s="11"/>
      <c r="L347" s="11"/>
    </row>
    <row r="348" ht="13.5" customHeight="1">
      <c r="A348" s="11"/>
      <c r="B348" s="11"/>
      <c r="C348" s="11"/>
      <c r="D348" s="11"/>
      <c r="E348" s="11"/>
      <c r="F348" s="11"/>
      <c r="G348" s="11"/>
      <c r="H348" s="11"/>
      <c r="I348" s="11"/>
      <c r="J348" s="11"/>
      <c r="K348" s="11"/>
      <c r="L348" s="11"/>
    </row>
    <row r="349" ht="13.5" customHeight="1">
      <c r="A349" s="11"/>
      <c r="B349" s="11"/>
      <c r="C349" s="11"/>
      <c r="D349" s="11"/>
      <c r="E349" s="11"/>
      <c r="F349" s="11"/>
      <c r="G349" s="11"/>
      <c r="H349" s="11"/>
      <c r="I349" s="11"/>
      <c r="J349" s="11"/>
      <c r="K349" s="11"/>
      <c r="L349" s="11"/>
    </row>
    <row r="350" ht="13.5" customHeight="1">
      <c r="A350" s="11"/>
      <c r="B350" s="11"/>
      <c r="C350" s="11"/>
      <c r="D350" s="11"/>
      <c r="E350" s="11"/>
      <c r="F350" s="11"/>
      <c r="G350" s="11"/>
      <c r="H350" s="11"/>
      <c r="I350" s="11"/>
      <c r="J350" s="11"/>
      <c r="K350" s="11"/>
      <c r="L350" s="11"/>
    </row>
    <row r="351" ht="13.5" customHeight="1">
      <c r="A351" s="11"/>
      <c r="B351" s="11"/>
      <c r="C351" s="11"/>
      <c r="D351" s="11"/>
      <c r="E351" s="11"/>
      <c r="F351" s="11"/>
      <c r="G351" s="11"/>
      <c r="H351" s="11"/>
      <c r="I351" s="11"/>
      <c r="J351" s="11"/>
      <c r="K351" s="11"/>
      <c r="L351" s="11"/>
    </row>
    <row r="352" ht="13.5" customHeight="1">
      <c r="A352" s="11"/>
      <c r="B352" s="11"/>
      <c r="C352" s="11"/>
      <c r="D352" s="11"/>
      <c r="E352" s="11"/>
      <c r="F352" s="11"/>
      <c r="G352" s="11"/>
      <c r="H352" s="11"/>
      <c r="I352" s="11"/>
      <c r="J352" s="11"/>
      <c r="K352" s="11"/>
      <c r="L352" s="11"/>
    </row>
    <row r="353" ht="13.5" customHeight="1">
      <c r="A353" s="11"/>
      <c r="B353" s="11"/>
      <c r="C353" s="11"/>
      <c r="D353" s="11"/>
      <c r="E353" s="11"/>
      <c r="F353" s="11"/>
      <c r="G353" s="11"/>
      <c r="H353" s="11"/>
      <c r="I353" s="11"/>
      <c r="J353" s="11"/>
      <c r="K353" s="11"/>
      <c r="L353" s="11"/>
    </row>
    <row r="354" ht="13.5" customHeight="1">
      <c r="A354" s="11"/>
      <c r="B354" s="11"/>
      <c r="C354" s="11"/>
      <c r="D354" s="11"/>
      <c r="E354" s="11"/>
      <c r="F354" s="11"/>
      <c r="G354" s="11"/>
      <c r="H354" s="11"/>
      <c r="I354" s="11"/>
      <c r="J354" s="11"/>
      <c r="K354" s="11"/>
      <c r="L354" s="11"/>
    </row>
    <row r="355" ht="13.5" customHeight="1">
      <c r="A355" s="11"/>
      <c r="B355" s="11"/>
      <c r="C355" s="11"/>
      <c r="D355" s="11"/>
      <c r="E355" s="11"/>
      <c r="F355" s="11"/>
      <c r="G355" s="11"/>
      <c r="H355" s="11"/>
      <c r="I355" s="11"/>
      <c r="J355" s="11"/>
      <c r="K355" s="11"/>
      <c r="L355" s="11"/>
    </row>
    <row r="356" ht="13.5" customHeight="1">
      <c r="A356" s="11"/>
      <c r="B356" s="11"/>
      <c r="C356" s="11"/>
      <c r="D356" s="11"/>
      <c r="E356" s="11"/>
      <c r="F356" s="11"/>
      <c r="G356" s="11"/>
      <c r="H356" s="11"/>
      <c r="I356" s="11"/>
      <c r="J356" s="11"/>
      <c r="K356" s="11"/>
      <c r="L356" s="11"/>
    </row>
    <row r="357" ht="13.5" customHeight="1">
      <c r="A357" s="11"/>
      <c r="B357" s="11"/>
      <c r="C357" s="11"/>
      <c r="D357" s="11"/>
      <c r="E357" s="11"/>
      <c r="F357" s="11"/>
      <c r="G357" s="11"/>
      <c r="H357" s="11"/>
      <c r="I357" s="11"/>
      <c r="J357" s="11"/>
      <c r="K357" s="11"/>
      <c r="L357" s="11"/>
    </row>
    <row r="358" ht="13.5" customHeight="1">
      <c r="A358" s="11"/>
      <c r="B358" s="11"/>
      <c r="C358" s="11"/>
      <c r="D358" s="11"/>
      <c r="E358" s="11"/>
      <c r="F358" s="11"/>
      <c r="G358" s="11"/>
      <c r="H358" s="11"/>
      <c r="I358" s="11"/>
      <c r="J358" s="11"/>
      <c r="K358" s="11"/>
      <c r="L358" s="11"/>
    </row>
    <row r="359" ht="13.5" customHeight="1">
      <c r="A359" s="11"/>
      <c r="B359" s="11"/>
      <c r="C359" s="11"/>
      <c r="D359" s="11"/>
      <c r="E359" s="11"/>
      <c r="F359" s="11"/>
      <c r="G359" s="11"/>
      <c r="H359" s="11"/>
      <c r="I359" s="11"/>
      <c r="J359" s="11"/>
      <c r="K359" s="11"/>
      <c r="L359" s="11"/>
    </row>
    <row r="360" ht="13.5" customHeight="1">
      <c r="A360" s="11"/>
      <c r="B360" s="11"/>
      <c r="C360" s="11"/>
      <c r="D360" s="11"/>
      <c r="E360" s="11"/>
      <c r="F360" s="11"/>
      <c r="G360" s="11"/>
      <c r="H360" s="11"/>
      <c r="I360" s="11"/>
      <c r="J360" s="11"/>
      <c r="K360" s="11"/>
      <c r="L360" s="11"/>
    </row>
    <row r="361" ht="13.5" customHeight="1">
      <c r="A361" s="11"/>
      <c r="B361" s="11"/>
      <c r="C361" s="11"/>
      <c r="D361" s="11"/>
      <c r="E361" s="11"/>
      <c r="F361" s="11"/>
      <c r="G361" s="11"/>
      <c r="H361" s="11"/>
      <c r="I361" s="11"/>
      <c r="J361" s="11"/>
      <c r="K361" s="11"/>
      <c r="L361" s="11"/>
    </row>
    <row r="362" ht="13.5" customHeight="1">
      <c r="A362" s="11"/>
      <c r="B362" s="11"/>
      <c r="C362" s="11"/>
      <c r="D362" s="11"/>
      <c r="E362" s="11"/>
      <c r="F362" s="11"/>
      <c r="G362" s="11"/>
      <c r="H362" s="11"/>
      <c r="I362" s="11"/>
      <c r="J362" s="11"/>
      <c r="K362" s="11"/>
      <c r="L362" s="11"/>
    </row>
    <row r="363" ht="13.5" customHeight="1">
      <c r="A363" s="11"/>
      <c r="B363" s="11"/>
      <c r="C363" s="11"/>
      <c r="D363" s="11"/>
      <c r="E363" s="11"/>
      <c r="F363" s="11"/>
      <c r="G363" s="11"/>
      <c r="H363" s="11"/>
      <c r="I363" s="11"/>
      <c r="J363" s="11"/>
      <c r="K363" s="11"/>
      <c r="L363" s="11"/>
    </row>
    <row r="364" ht="13.5" customHeight="1">
      <c r="A364" s="11"/>
      <c r="B364" s="11"/>
      <c r="C364" s="11"/>
      <c r="D364" s="11"/>
      <c r="E364" s="11"/>
      <c r="F364" s="11"/>
      <c r="G364" s="11"/>
      <c r="H364" s="11"/>
      <c r="I364" s="11"/>
      <c r="J364" s="11"/>
      <c r="K364" s="11"/>
      <c r="L364" s="11"/>
    </row>
    <row r="365" ht="13.5" customHeight="1">
      <c r="A365" s="11"/>
      <c r="B365" s="11"/>
      <c r="C365" s="11"/>
      <c r="D365" s="11"/>
      <c r="E365" s="11"/>
      <c r="F365" s="11"/>
      <c r="G365" s="11"/>
      <c r="H365" s="11"/>
      <c r="I365" s="11"/>
      <c r="J365" s="11"/>
      <c r="K365" s="11"/>
      <c r="L365" s="11"/>
    </row>
    <row r="366" ht="20.25" customHeight="1">
      <c r="A366" s="11"/>
      <c r="B366" s="11"/>
      <c r="C366" s="11"/>
      <c r="D366" s="11"/>
      <c r="E366" s="11"/>
      <c r="F366" s="11"/>
      <c r="G366" s="11"/>
      <c r="H366" s="11"/>
      <c r="I366" s="11"/>
      <c r="J366" s="11"/>
      <c r="K366" s="11"/>
      <c r="L366" s="11"/>
    </row>
    <row r="367" ht="13.5" customHeight="1">
      <c r="A367" s="11"/>
      <c r="B367" s="11"/>
      <c r="C367" s="11"/>
      <c r="D367" s="11"/>
      <c r="E367" s="11"/>
      <c r="F367" s="11"/>
      <c r="G367" s="11"/>
      <c r="H367" s="11"/>
      <c r="I367" s="11"/>
      <c r="J367" s="11"/>
      <c r="K367" s="11"/>
      <c r="L367" s="11"/>
    </row>
    <row r="368" ht="13.5" customHeight="1">
      <c r="A368" s="11"/>
      <c r="B368" s="11"/>
      <c r="C368" s="11"/>
      <c r="D368" s="11"/>
      <c r="E368" s="11"/>
      <c r="F368" s="11"/>
      <c r="G368" s="11"/>
      <c r="H368" s="11"/>
      <c r="I368" s="11"/>
      <c r="J368" s="11"/>
      <c r="K368" s="11"/>
      <c r="L368" s="11"/>
    </row>
    <row r="369" ht="13.5" customHeight="1">
      <c r="A369" s="11"/>
      <c r="B369" s="11"/>
      <c r="C369" s="11"/>
      <c r="D369" s="11"/>
      <c r="E369" s="11"/>
      <c r="F369" s="11"/>
      <c r="G369" s="11"/>
      <c r="H369" s="11"/>
      <c r="I369" s="11"/>
      <c r="J369" s="11"/>
      <c r="K369" s="11"/>
      <c r="L369" s="11"/>
    </row>
    <row r="370" ht="13.5" customHeight="1">
      <c r="A370" s="11"/>
      <c r="B370" s="11"/>
      <c r="C370" s="11"/>
      <c r="D370" s="11"/>
      <c r="E370" s="11"/>
      <c r="F370" s="11"/>
      <c r="G370" s="11"/>
      <c r="H370" s="11"/>
      <c r="I370" s="11"/>
      <c r="J370" s="11"/>
      <c r="K370" s="11"/>
      <c r="L370" s="11"/>
    </row>
    <row r="371" ht="13.5" customHeight="1">
      <c r="A371" s="11"/>
      <c r="B371" s="11"/>
      <c r="C371" s="11"/>
      <c r="D371" s="11"/>
      <c r="E371" s="11"/>
      <c r="F371" s="11"/>
      <c r="G371" s="11"/>
      <c r="H371" s="11"/>
      <c r="I371" s="11"/>
      <c r="J371" s="11"/>
      <c r="K371" s="11"/>
      <c r="L371" s="11"/>
    </row>
    <row r="372" ht="13.5" customHeight="1">
      <c r="A372" s="11"/>
      <c r="B372" s="11"/>
      <c r="C372" s="11"/>
      <c r="D372" s="11"/>
      <c r="E372" s="11"/>
      <c r="F372" s="11"/>
      <c r="G372" s="11"/>
      <c r="H372" s="11"/>
      <c r="I372" s="11"/>
      <c r="J372" s="11"/>
      <c r="K372" s="11"/>
      <c r="L372" s="11"/>
    </row>
    <row r="373" ht="13.5" customHeight="1">
      <c r="A373" s="11"/>
      <c r="B373" s="11"/>
      <c r="C373" s="11"/>
      <c r="D373" s="11"/>
      <c r="E373" s="11"/>
      <c r="F373" s="11"/>
      <c r="G373" s="11"/>
      <c r="H373" s="11"/>
      <c r="I373" s="11"/>
      <c r="J373" s="11"/>
      <c r="K373" s="11"/>
      <c r="L373" s="11"/>
    </row>
    <row r="374" ht="13.5" customHeight="1">
      <c r="A374" s="11"/>
      <c r="B374" s="11"/>
      <c r="C374" s="11"/>
      <c r="D374" s="11"/>
      <c r="E374" s="11"/>
      <c r="F374" s="11"/>
      <c r="G374" s="11"/>
      <c r="H374" s="11"/>
      <c r="I374" s="11"/>
      <c r="J374" s="11"/>
      <c r="K374" s="11"/>
      <c r="L374" s="11"/>
    </row>
    <row r="375" ht="13.5" customHeight="1">
      <c r="A375" s="11"/>
      <c r="B375" s="11"/>
      <c r="C375" s="11"/>
      <c r="D375" s="11"/>
      <c r="E375" s="11"/>
      <c r="F375" s="11"/>
      <c r="G375" s="11"/>
      <c r="H375" s="11"/>
      <c r="I375" s="11"/>
      <c r="J375" s="11"/>
      <c r="K375" s="11"/>
      <c r="L375" s="11"/>
    </row>
    <row r="376" ht="13.5" customHeight="1">
      <c r="A376" s="11"/>
      <c r="B376" s="11"/>
      <c r="C376" s="11"/>
      <c r="D376" s="11"/>
      <c r="E376" s="11"/>
      <c r="F376" s="11"/>
      <c r="G376" s="11"/>
      <c r="H376" s="11"/>
      <c r="I376" s="11"/>
      <c r="J376" s="11"/>
      <c r="K376" s="11"/>
      <c r="L376" s="11"/>
    </row>
    <row r="377" ht="13.5" customHeight="1">
      <c r="A377" s="11"/>
      <c r="B377" s="11"/>
      <c r="C377" s="11"/>
      <c r="D377" s="11"/>
      <c r="E377" s="11"/>
      <c r="F377" s="11"/>
      <c r="G377" s="11"/>
      <c r="H377" s="11"/>
      <c r="I377" s="11"/>
      <c r="J377" s="11"/>
      <c r="K377" s="11"/>
      <c r="L377" s="11"/>
    </row>
    <row r="378" ht="13.5" customHeight="1">
      <c r="A378" s="11"/>
      <c r="B378" s="11"/>
      <c r="C378" s="11"/>
      <c r="D378" s="11"/>
      <c r="E378" s="11"/>
      <c r="F378" s="11"/>
      <c r="G378" s="11"/>
      <c r="H378" s="11"/>
      <c r="I378" s="11"/>
      <c r="J378" s="11"/>
      <c r="K378" s="11"/>
      <c r="L378" s="11"/>
    </row>
    <row r="379" ht="13.5" customHeight="1">
      <c r="A379" s="11"/>
      <c r="B379" s="11"/>
      <c r="C379" s="11"/>
      <c r="D379" s="11"/>
      <c r="E379" s="11"/>
      <c r="F379" s="11"/>
      <c r="G379" s="11"/>
      <c r="H379" s="11"/>
      <c r="I379" s="11"/>
      <c r="J379" s="11"/>
      <c r="K379" s="11"/>
      <c r="L379" s="11"/>
    </row>
    <row r="380" ht="15.75" customHeight="1">
      <c r="A380" s="11"/>
      <c r="B380" s="11"/>
      <c r="C380" s="11"/>
      <c r="D380" s="11"/>
      <c r="E380" s="11"/>
      <c r="F380" s="11"/>
      <c r="G380" s="11"/>
      <c r="H380" s="11"/>
      <c r="I380" s="11"/>
      <c r="J380" s="11"/>
      <c r="K380" s="11"/>
      <c r="L380" s="11"/>
    </row>
    <row r="381" ht="13.5" customHeight="1">
      <c r="A381" s="11"/>
      <c r="B381" s="11"/>
      <c r="C381" s="11"/>
      <c r="D381" s="11"/>
      <c r="E381" s="11"/>
      <c r="F381" s="11"/>
      <c r="G381" s="11"/>
      <c r="H381" s="11"/>
      <c r="I381" s="11"/>
      <c r="J381" s="11"/>
      <c r="K381" s="11"/>
      <c r="L381" s="11"/>
    </row>
    <row r="382" ht="13.5" customHeight="1">
      <c r="A382" s="11"/>
      <c r="B382" s="11"/>
      <c r="C382" s="11"/>
      <c r="D382" s="11"/>
      <c r="E382" s="11"/>
      <c r="F382" s="11"/>
      <c r="G382" s="11"/>
      <c r="H382" s="11"/>
      <c r="I382" s="11"/>
      <c r="J382" s="11"/>
      <c r="K382" s="11"/>
      <c r="L382" s="11"/>
    </row>
    <row r="383" ht="13.5" customHeight="1">
      <c r="A383" s="11"/>
      <c r="B383" s="11"/>
      <c r="C383" s="11"/>
      <c r="D383" s="11"/>
      <c r="E383" s="11"/>
      <c r="F383" s="11"/>
      <c r="G383" s="11"/>
      <c r="H383" s="11"/>
      <c r="I383" s="11"/>
      <c r="J383" s="11"/>
      <c r="K383" s="11"/>
      <c r="L383" s="11"/>
    </row>
    <row r="384" ht="15.0" customHeight="1">
      <c r="A384" s="11"/>
      <c r="B384" s="11"/>
      <c r="C384" s="11"/>
      <c r="D384" s="11"/>
      <c r="E384" s="11"/>
      <c r="F384" s="11"/>
      <c r="G384" s="11"/>
      <c r="H384" s="11"/>
      <c r="I384" s="11"/>
      <c r="J384" s="11"/>
      <c r="K384" s="11"/>
      <c r="L384" s="11"/>
    </row>
    <row r="385" ht="13.5" customHeight="1">
      <c r="A385" s="11"/>
      <c r="B385" s="11"/>
      <c r="C385" s="11"/>
      <c r="D385" s="11"/>
      <c r="E385" s="11"/>
      <c r="F385" s="11"/>
      <c r="G385" s="11"/>
      <c r="H385" s="11"/>
      <c r="I385" s="11"/>
      <c r="J385" s="11"/>
      <c r="K385" s="11"/>
      <c r="L385" s="11"/>
    </row>
    <row r="386" ht="13.5" customHeight="1">
      <c r="A386" s="11"/>
      <c r="B386" s="11"/>
      <c r="C386" s="11"/>
      <c r="D386" s="11"/>
      <c r="E386" s="11"/>
      <c r="F386" s="11"/>
      <c r="G386" s="11"/>
      <c r="H386" s="11"/>
      <c r="I386" s="11"/>
      <c r="J386" s="11"/>
      <c r="K386" s="11"/>
      <c r="L386" s="11"/>
    </row>
    <row r="387" ht="13.5" customHeight="1">
      <c r="A387" s="11"/>
      <c r="B387" s="11"/>
      <c r="C387" s="11"/>
      <c r="D387" s="11"/>
      <c r="E387" s="11"/>
      <c r="F387" s="11"/>
      <c r="G387" s="11"/>
      <c r="H387" s="11"/>
      <c r="I387" s="11"/>
      <c r="J387" s="11"/>
      <c r="K387" s="11"/>
      <c r="L387" s="11"/>
    </row>
    <row r="388" ht="13.5" customHeight="1">
      <c r="A388" s="11"/>
      <c r="B388" s="11"/>
      <c r="C388" s="11"/>
      <c r="D388" s="11"/>
      <c r="E388" s="11"/>
      <c r="F388" s="11"/>
      <c r="G388" s="11"/>
      <c r="H388" s="11"/>
      <c r="I388" s="11"/>
      <c r="J388" s="11"/>
      <c r="K388" s="11"/>
      <c r="L388" s="11"/>
    </row>
    <row r="389" ht="13.5" customHeight="1">
      <c r="A389" s="11"/>
      <c r="B389" s="11"/>
      <c r="C389" s="11"/>
      <c r="D389" s="11"/>
      <c r="E389" s="11"/>
      <c r="F389" s="11"/>
      <c r="G389" s="11"/>
      <c r="H389" s="11"/>
      <c r="I389" s="11"/>
      <c r="J389" s="11"/>
      <c r="K389" s="11"/>
      <c r="L389" s="11"/>
    </row>
    <row r="390" ht="13.5" customHeight="1">
      <c r="A390" s="11"/>
      <c r="B390" s="11"/>
      <c r="C390" s="11"/>
      <c r="D390" s="11"/>
      <c r="E390" s="11"/>
      <c r="F390" s="11"/>
      <c r="G390" s="11"/>
      <c r="H390" s="11"/>
      <c r="I390" s="11"/>
      <c r="J390" s="11"/>
      <c r="K390" s="11"/>
      <c r="L390" s="11"/>
    </row>
    <row r="391" ht="13.5" customHeight="1">
      <c r="A391" s="11"/>
      <c r="B391" s="11"/>
      <c r="C391" s="11"/>
      <c r="D391" s="11"/>
      <c r="E391" s="11"/>
      <c r="F391" s="11"/>
      <c r="G391" s="11"/>
      <c r="H391" s="11"/>
      <c r="I391" s="11"/>
      <c r="J391" s="11"/>
      <c r="K391" s="11"/>
      <c r="L391" s="11"/>
    </row>
    <row r="392" ht="13.5" customHeight="1">
      <c r="A392" s="11"/>
      <c r="B392" s="11"/>
      <c r="C392" s="11"/>
      <c r="D392" s="11"/>
      <c r="E392" s="11"/>
      <c r="F392" s="11"/>
      <c r="G392" s="11"/>
      <c r="H392" s="11"/>
      <c r="I392" s="11"/>
      <c r="J392" s="11"/>
      <c r="K392" s="11"/>
      <c r="L392" s="11"/>
    </row>
    <row r="393" ht="13.5" customHeight="1">
      <c r="A393" s="11"/>
      <c r="B393" s="11"/>
      <c r="C393" s="11"/>
      <c r="D393" s="11"/>
      <c r="E393" s="11"/>
      <c r="F393" s="11"/>
      <c r="G393" s="11"/>
      <c r="H393" s="11"/>
      <c r="I393" s="11"/>
      <c r="J393" s="11"/>
      <c r="K393" s="11"/>
      <c r="L393" s="11"/>
    </row>
    <row r="394" ht="13.5" customHeight="1">
      <c r="A394" s="11"/>
      <c r="B394" s="11"/>
      <c r="C394" s="11"/>
      <c r="D394" s="11"/>
      <c r="E394" s="11"/>
      <c r="F394" s="11"/>
      <c r="G394" s="11"/>
      <c r="H394" s="11"/>
      <c r="I394" s="11"/>
      <c r="J394" s="11"/>
      <c r="K394" s="11"/>
      <c r="L394" s="11"/>
    </row>
    <row r="395" ht="13.5" customHeight="1">
      <c r="A395" s="11"/>
      <c r="B395" s="11"/>
      <c r="C395" s="11"/>
      <c r="D395" s="11"/>
      <c r="E395" s="11"/>
      <c r="F395" s="11"/>
      <c r="G395" s="11"/>
      <c r="H395" s="11"/>
      <c r="I395" s="11"/>
      <c r="J395" s="11"/>
      <c r="K395" s="11"/>
      <c r="L395" s="11"/>
    </row>
    <row r="396" ht="13.5" customHeight="1">
      <c r="A396" s="11"/>
      <c r="B396" s="11"/>
      <c r="C396" s="11"/>
      <c r="D396" s="11"/>
      <c r="E396" s="11"/>
      <c r="F396" s="11"/>
      <c r="G396" s="11"/>
      <c r="H396" s="11"/>
      <c r="I396" s="11"/>
      <c r="J396" s="11"/>
      <c r="K396" s="11"/>
      <c r="L396" s="11"/>
    </row>
    <row r="397" ht="13.5" customHeight="1">
      <c r="A397" s="11"/>
      <c r="B397" s="11"/>
      <c r="C397" s="11"/>
      <c r="D397" s="11"/>
      <c r="E397" s="11"/>
      <c r="F397" s="11"/>
      <c r="G397" s="11"/>
      <c r="H397" s="11"/>
      <c r="I397" s="11"/>
      <c r="J397" s="11"/>
      <c r="K397" s="11"/>
      <c r="L397" s="11"/>
    </row>
    <row r="398" ht="13.5" customHeight="1">
      <c r="A398" s="11"/>
      <c r="B398" s="11"/>
      <c r="C398" s="11"/>
      <c r="D398" s="11"/>
      <c r="E398" s="11"/>
      <c r="F398" s="11"/>
      <c r="G398" s="11"/>
      <c r="H398" s="11"/>
      <c r="I398" s="11"/>
      <c r="J398" s="11"/>
      <c r="K398" s="11"/>
      <c r="L398" s="11"/>
    </row>
    <row r="399" ht="13.5" customHeight="1">
      <c r="A399" s="11"/>
      <c r="B399" s="11"/>
      <c r="C399" s="11"/>
      <c r="D399" s="11"/>
      <c r="E399" s="11"/>
      <c r="F399" s="11"/>
      <c r="G399" s="11"/>
      <c r="H399" s="11"/>
      <c r="I399" s="11"/>
      <c r="J399" s="11"/>
      <c r="K399" s="11"/>
      <c r="L399" s="11"/>
    </row>
    <row r="400" ht="13.5" customHeight="1">
      <c r="A400" s="11"/>
      <c r="B400" s="11"/>
      <c r="C400" s="11"/>
      <c r="D400" s="11"/>
      <c r="E400" s="11"/>
      <c r="F400" s="11"/>
      <c r="G400" s="11"/>
      <c r="H400" s="11"/>
      <c r="I400" s="11"/>
      <c r="J400" s="11"/>
      <c r="K400" s="11"/>
      <c r="L400" s="11"/>
    </row>
    <row r="401" ht="13.5" customHeight="1">
      <c r="A401" s="11"/>
      <c r="B401" s="11"/>
      <c r="C401" s="11"/>
      <c r="D401" s="11"/>
      <c r="E401" s="11"/>
      <c r="F401" s="11"/>
      <c r="G401" s="11"/>
      <c r="H401" s="11"/>
      <c r="I401" s="11"/>
      <c r="J401" s="11"/>
      <c r="K401" s="11"/>
      <c r="L401" s="11"/>
    </row>
    <row r="402" ht="13.5" customHeight="1">
      <c r="A402" s="11"/>
      <c r="B402" s="11"/>
      <c r="C402" s="11"/>
      <c r="D402" s="11"/>
      <c r="E402" s="11"/>
      <c r="F402" s="11"/>
      <c r="G402" s="11"/>
      <c r="H402" s="11"/>
      <c r="I402" s="11"/>
      <c r="J402" s="11"/>
      <c r="K402" s="11"/>
      <c r="L402" s="11"/>
    </row>
    <row r="403" ht="15.0" customHeight="1">
      <c r="A403" s="11"/>
      <c r="B403" s="11"/>
      <c r="C403" s="11"/>
      <c r="D403" s="11"/>
      <c r="E403" s="11"/>
      <c r="F403" s="11"/>
      <c r="G403" s="11"/>
      <c r="H403" s="11"/>
      <c r="I403" s="11"/>
      <c r="J403" s="11"/>
      <c r="K403" s="11"/>
      <c r="L403" s="11"/>
    </row>
    <row r="404" ht="13.5" customHeight="1">
      <c r="A404" s="11"/>
      <c r="B404" s="11"/>
      <c r="C404" s="11"/>
      <c r="D404" s="11"/>
      <c r="E404" s="11"/>
      <c r="F404" s="11"/>
      <c r="G404" s="11"/>
      <c r="H404" s="11"/>
      <c r="I404" s="11"/>
      <c r="J404" s="11"/>
      <c r="K404" s="11"/>
      <c r="L404" s="11"/>
    </row>
    <row r="405" ht="13.5" customHeight="1">
      <c r="A405" s="11"/>
      <c r="B405" s="11"/>
      <c r="C405" s="11"/>
      <c r="D405" s="11"/>
      <c r="E405" s="11"/>
      <c r="F405" s="11"/>
      <c r="G405" s="11"/>
      <c r="H405" s="11"/>
      <c r="I405" s="11"/>
      <c r="J405" s="11"/>
      <c r="K405" s="11"/>
      <c r="L405" s="11"/>
    </row>
    <row r="406" ht="13.5" customHeight="1">
      <c r="A406" s="11"/>
      <c r="B406" s="11"/>
      <c r="C406" s="11"/>
      <c r="D406" s="11"/>
      <c r="E406" s="11"/>
      <c r="F406" s="11"/>
      <c r="G406" s="11"/>
      <c r="H406" s="11"/>
      <c r="I406" s="11"/>
      <c r="J406" s="11"/>
      <c r="K406" s="11"/>
      <c r="L406" s="11"/>
    </row>
    <row r="407" ht="13.5" customHeight="1">
      <c r="A407" s="11"/>
      <c r="B407" s="11"/>
      <c r="C407" s="11"/>
      <c r="D407" s="11"/>
      <c r="E407" s="11"/>
      <c r="F407" s="11"/>
      <c r="G407" s="11"/>
      <c r="H407" s="11"/>
      <c r="I407" s="11"/>
      <c r="J407" s="11"/>
      <c r="K407" s="11"/>
      <c r="L407" s="11"/>
    </row>
    <row r="408" ht="13.5" customHeight="1">
      <c r="A408" s="11"/>
      <c r="B408" s="11"/>
      <c r="C408" s="11"/>
      <c r="D408" s="11"/>
      <c r="E408" s="11"/>
      <c r="F408" s="11"/>
      <c r="G408" s="11"/>
      <c r="H408" s="11"/>
      <c r="I408" s="11"/>
      <c r="J408" s="11"/>
      <c r="K408" s="11"/>
      <c r="L408" s="11"/>
    </row>
    <row r="409" ht="13.5" customHeight="1">
      <c r="A409" s="11"/>
      <c r="B409" s="11"/>
      <c r="C409" s="11"/>
      <c r="D409" s="11"/>
      <c r="E409" s="11"/>
      <c r="F409" s="11"/>
      <c r="G409" s="11"/>
      <c r="H409" s="11"/>
      <c r="I409" s="11"/>
      <c r="J409" s="11"/>
      <c r="K409" s="11"/>
      <c r="L409" s="11"/>
    </row>
    <row r="410" ht="13.5" customHeight="1">
      <c r="A410" s="11"/>
      <c r="B410" s="11"/>
      <c r="C410" s="11"/>
      <c r="D410" s="11"/>
      <c r="E410" s="11"/>
      <c r="F410" s="11"/>
      <c r="G410" s="11"/>
      <c r="H410" s="11"/>
      <c r="I410" s="11"/>
      <c r="J410" s="11"/>
      <c r="K410" s="11"/>
      <c r="L410" s="11"/>
    </row>
    <row r="411" ht="13.5" customHeight="1">
      <c r="A411" s="11"/>
      <c r="B411" s="11"/>
      <c r="C411" s="11"/>
      <c r="D411" s="11"/>
      <c r="E411" s="11"/>
      <c r="F411" s="11"/>
      <c r="G411" s="11"/>
      <c r="H411" s="11"/>
      <c r="I411" s="11"/>
      <c r="J411" s="11"/>
      <c r="K411" s="11"/>
      <c r="L411" s="11"/>
    </row>
    <row r="412" ht="13.5" customHeight="1">
      <c r="A412" s="11"/>
      <c r="B412" s="11"/>
      <c r="C412" s="11"/>
      <c r="D412" s="11"/>
      <c r="E412" s="11"/>
      <c r="F412" s="11"/>
      <c r="G412" s="11"/>
      <c r="H412" s="11"/>
      <c r="I412" s="11"/>
      <c r="J412" s="11"/>
      <c r="K412" s="11"/>
      <c r="L412" s="11"/>
    </row>
    <row r="413" ht="13.5" customHeight="1">
      <c r="A413" s="11"/>
      <c r="B413" s="11"/>
      <c r="C413" s="11"/>
      <c r="D413" s="11"/>
      <c r="E413" s="11"/>
      <c r="F413" s="11"/>
      <c r="G413" s="11"/>
      <c r="H413" s="11"/>
      <c r="I413" s="11"/>
      <c r="J413" s="11"/>
      <c r="K413" s="11"/>
      <c r="L413" s="11"/>
    </row>
    <row r="414" ht="13.5" customHeight="1">
      <c r="A414" s="11"/>
      <c r="B414" s="11"/>
      <c r="C414" s="11"/>
      <c r="D414" s="11"/>
      <c r="E414" s="11"/>
      <c r="F414" s="11"/>
      <c r="G414" s="11"/>
      <c r="H414" s="11"/>
      <c r="I414" s="11"/>
      <c r="J414" s="11"/>
      <c r="K414" s="11"/>
      <c r="L414" s="11"/>
    </row>
    <row r="415" ht="13.5" customHeight="1">
      <c r="A415" s="11"/>
      <c r="B415" s="11"/>
      <c r="C415" s="11"/>
      <c r="D415" s="11"/>
      <c r="E415" s="11"/>
      <c r="F415" s="11"/>
      <c r="G415" s="11"/>
      <c r="H415" s="11"/>
      <c r="I415" s="11"/>
      <c r="J415" s="11"/>
      <c r="K415" s="11"/>
      <c r="L415" s="11"/>
    </row>
    <row r="416" ht="13.5" customHeight="1">
      <c r="A416" s="11"/>
      <c r="B416" s="11"/>
      <c r="C416" s="11"/>
      <c r="D416" s="11"/>
      <c r="E416" s="11"/>
      <c r="F416" s="11"/>
      <c r="G416" s="11"/>
      <c r="H416" s="11"/>
      <c r="I416" s="11"/>
      <c r="J416" s="11"/>
      <c r="K416" s="11"/>
      <c r="L416" s="11"/>
    </row>
    <row r="417" ht="13.5" customHeight="1">
      <c r="A417" s="11"/>
      <c r="B417" s="11"/>
      <c r="C417" s="11"/>
      <c r="D417" s="11"/>
      <c r="E417" s="11"/>
      <c r="F417" s="11"/>
      <c r="G417" s="11"/>
      <c r="H417" s="11"/>
      <c r="I417" s="11"/>
      <c r="J417" s="11"/>
      <c r="K417" s="11"/>
      <c r="L417" s="11"/>
    </row>
    <row r="418" ht="13.5" customHeight="1">
      <c r="A418" s="11"/>
      <c r="B418" s="11"/>
      <c r="C418" s="11"/>
      <c r="D418" s="11"/>
      <c r="E418" s="11"/>
      <c r="F418" s="11"/>
      <c r="G418" s="11"/>
      <c r="H418" s="11"/>
      <c r="I418" s="11"/>
      <c r="J418" s="11"/>
      <c r="K418" s="11"/>
      <c r="L418" s="11"/>
    </row>
    <row r="419" ht="13.5" customHeight="1">
      <c r="A419" s="11"/>
      <c r="B419" s="11"/>
      <c r="C419" s="11"/>
      <c r="D419" s="11"/>
      <c r="E419" s="11"/>
      <c r="F419" s="11"/>
      <c r="G419" s="11"/>
      <c r="H419" s="11"/>
      <c r="I419" s="11"/>
      <c r="J419" s="11"/>
      <c r="K419" s="11"/>
      <c r="L419" s="11"/>
    </row>
    <row r="420" ht="15.0" customHeight="1">
      <c r="A420" s="11"/>
      <c r="B420" s="11"/>
      <c r="C420" s="11"/>
      <c r="D420" s="11"/>
      <c r="E420" s="11"/>
      <c r="F420" s="11"/>
      <c r="G420" s="11"/>
      <c r="H420" s="11"/>
      <c r="I420" s="11"/>
      <c r="J420" s="11"/>
      <c r="K420" s="11"/>
      <c r="L420" s="11"/>
    </row>
    <row r="421" ht="15.0" customHeight="1">
      <c r="A421" s="11"/>
      <c r="B421" s="11"/>
      <c r="C421" s="11"/>
      <c r="D421" s="11"/>
      <c r="E421" s="11"/>
      <c r="F421" s="11"/>
      <c r="G421" s="11"/>
      <c r="H421" s="11"/>
      <c r="I421" s="11"/>
      <c r="J421" s="11"/>
      <c r="K421" s="11"/>
      <c r="L421" s="11"/>
    </row>
    <row r="422" ht="13.5" customHeight="1">
      <c r="A422" s="11"/>
      <c r="B422" s="11"/>
      <c r="C422" s="11"/>
      <c r="D422" s="11"/>
      <c r="E422" s="11"/>
      <c r="F422" s="11"/>
      <c r="G422" s="11"/>
      <c r="H422" s="11"/>
      <c r="I422" s="11"/>
      <c r="J422" s="11"/>
      <c r="K422" s="11"/>
      <c r="L422" s="11"/>
    </row>
    <row r="423" ht="15.0" customHeight="1">
      <c r="A423" s="11"/>
      <c r="B423" s="11"/>
      <c r="C423" s="11"/>
      <c r="D423" s="11"/>
      <c r="E423" s="11"/>
      <c r="F423" s="11"/>
      <c r="G423" s="11"/>
      <c r="H423" s="11"/>
      <c r="I423" s="11"/>
      <c r="J423" s="11"/>
      <c r="K423" s="11"/>
      <c r="L423" s="11"/>
    </row>
    <row r="424" ht="15.0" customHeight="1">
      <c r="A424" s="11"/>
      <c r="B424" s="11"/>
      <c r="C424" s="11"/>
      <c r="D424" s="11"/>
      <c r="E424" s="11"/>
      <c r="F424" s="11"/>
      <c r="G424" s="11"/>
      <c r="H424" s="11"/>
      <c r="I424" s="11"/>
      <c r="J424" s="11"/>
      <c r="K424" s="11"/>
      <c r="L424" s="11"/>
    </row>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1:E1"/>
    <mergeCell ref="A3:A9"/>
    <mergeCell ref="F3:F5"/>
    <mergeCell ref="F6:F9"/>
    <mergeCell ref="A10:A16"/>
    <mergeCell ref="F10:F12"/>
    <mergeCell ref="F13:F16"/>
    <mergeCell ref="F18:F22"/>
    <mergeCell ref="B27:E27"/>
    <mergeCell ref="F29:F38"/>
    <mergeCell ref="F39:F43"/>
    <mergeCell ref="B53:E53"/>
    <mergeCell ref="F55:F63"/>
    <mergeCell ref="F70:F74"/>
    <mergeCell ref="B69:E69"/>
    <mergeCell ref="B78:E78"/>
    <mergeCell ref="F80:F85"/>
    <mergeCell ref="F86:F90"/>
    <mergeCell ref="F91:F92"/>
    <mergeCell ref="B93:E94"/>
    <mergeCell ref="I106:L106"/>
    <mergeCell ref="F160:F161"/>
    <mergeCell ref="F192:F199"/>
    <mergeCell ref="F200:F204"/>
    <mergeCell ref="B211:E211"/>
    <mergeCell ref="B231:E231"/>
    <mergeCell ref="B246:E246"/>
    <mergeCell ref="B104:E104"/>
    <mergeCell ref="B119:E119"/>
    <mergeCell ref="B136:E136"/>
    <mergeCell ref="B150:E150"/>
    <mergeCell ref="F152:F159"/>
    <mergeCell ref="B168:E168"/>
    <mergeCell ref="B190:E190"/>
  </mergeCells>
  <hyperlinks>
    <hyperlink display="BACK" location="'Recipe Index'!AF40" ref="B23"/>
    <hyperlink display="HOME" location="'Recipe Index'!B1" ref="C23"/>
    <hyperlink display="BACK" location="'Recipe Index'!AF40" ref="B44"/>
    <hyperlink display="HOME" location="'Recipe Index'!B1" ref="C44"/>
    <hyperlink display="BACK" location="'Recipe Index'!AF40" ref="B66"/>
    <hyperlink display="HOME" location="'Recipe Index'!B5" ref="C66"/>
    <hyperlink display="BACK" location="'Recipe Index'!BF38" ref="B75"/>
    <hyperlink display="HOME" location="'Recipe Index'!A2" ref="C75"/>
    <hyperlink display="BACK" location="'Recipe Index'!AF40" ref="B97"/>
    <hyperlink display="HOME" location="'Recipe Index'!B1" ref="C97"/>
    <hyperlink display="BACK" location="'Recipe Index'!AF40" ref="B117"/>
    <hyperlink display="HOME" location="'Recipe Index'!B1" ref="C117"/>
    <hyperlink display="BACK" location="'Recipe Index'!AF40" ref="B134"/>
    <hyperlink display="HOME" location="'Recipe Index'!B1" ref="C134"/>
    <hyperlink display="BACK" location="'Recipe Index'!AF40" ref="B148"/>
    <hyperlink display="HOME" location="'Recipe Index'!B1" ref="C148"/>
    <hyperlink display="BACK" location="'Recipe Index'!AF40" ref="B162"/>
    <hyperlink display="HOME" location="'Recipe Index'!B1" ref="C162"/>
    <hyperlink display="BACK" location="'Recipe Index'!AF40" ref="B185"/>
    <hyperlink display="HOME" location="'Recipe Index'!B1" ref="C185"/>
    <hyperlink display="BACK" location="'Recipe Index'!AF40" ref="B205"/>
    <hyperlink display="HOME" location="'Recipe Index'!B1" ref="C205"/>
    <hyperlink display="BACK" location="'Recipe Index'!AF40" ref="B226"/>
    <hyperlink display="HOME" location="'Recipe Index'!B1" ref="C226"/>
    <hyperlink display="BACK" location="'Recipe Index'!AF40" ref="B241"/>
    <hyperlink display="HOME" location="'Recipe Index'!B1" ref="C241"/>
    <hyperlink display="BACK" location="'Recipe Index'!AF40" ref="B257"/>
    <hyperlink display="HOME" location="'Recipe Index'!B1" ref="C257"/>
  </hyperlinks>
  <printOptions/>
  <pageMargins bottom="0.0" footer="0.0" header="0.0" left="0.0" right="0.0" top="0.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6.25"/>
    <col customWidth="1" min="2" max="2" width="24.25"/>
    <col customWidth="1" hidden="1" min="3" max="3" width="10.75"/>
    <col customWidth="1" min="4" max="4" width="10.0"/>
    <col customWidth="1" min="5" max="5" width="16.63"/>
    <col customWidth="1" min="6" max="6" width="27.75"/>
    <col customWidth="1" min="7" max="7" width="10.0"/>
    <col customWidth="1" min="8" max="8" width="8.0"/>
    <col customWidth="1" min="9" max="9" width="4.75"/>
    <col customWidth="1" min="10" max="10" width="27.63"/>
    <col customWidth="1" min="11" max="11" width="10.38"/>
    <col customWidth="1" min="12" max="12" width="6.75"/>
    <col customWidth="1" min="13" max="13" width="4.25"/>
    <col customWidth="1" min="14" max="14" width="27.25"/>
    <col customWidth="1" min="15" max="24" width="9.25"/>
    <col customWidth="1" min="25" max="26" width="14.38"/>
  </cols>
  <sheetData>
    <row r="1" ht="13.5" customHeight="1">
      <c r="A1" s="11"/>
      <c r="B1" s="11"/>
      <c r="C1" s="11"/>
      <c r="D1" s="11"/>
      <c r="E1" s="11"/>
      <c r="F1" s="11"/>
      <c r="G1" s="11"/>
      <c r="H1" s="11"/>
      <c r="I1" s="11"/>
      <c r="J1" s="11"/>
      <c r="K1" s="11"/>
      <c r="L1" s="11"/>
      <c r="M1" s="755"/>
      <c r="N1" s="11"/>
      <c r="O1" s="11"/>
      <c r="P1" s="11"/>
      <c r="Q1" s="11"/>
      <c r="R1" s="11"/>
      <c r="S1" s="11"/>
      <c r="T1" s="11"/>
      <c r="U1" s="11"/>
      <c r="V1" s="11"/>
      <c r="W1" s="11"/>
      <c r="X1" s="11"/>
    </row>
    <row r="2" ht="13.5" customHeight="1">
      <c r="A2" s="11"/>
      <c r="B2" s="11"/>
      <c r="C2" s="11"/>
      <c r="D2" s="11"/>
      <c r="E2" s="11"/>
      <c r="F2" s="11"/>
      <c r="G2" s="11"/>
      <c r="H2" s="11"/>
      <c r="I2" s="11"/>
      <c r="J2" s="11"/>
      <c r="K2" s="11"/>
      <c r="L2" s="11"/>
      <c r="M2" s="755"/>
      <c r="N2" s="11"/>
      <c r="O2" s="11"/>
      <c r="P2" s="11"/>
      <c r="Q2" s="11"/>
      <c r="R2" s="11"/>
      <c r="S2" s="11"/>
      <c r="T2" s="11"/>
      <c r="U2" s="11"/>
      <c r="V2" s="11"/>
      <c r="W2" s="11"/>
      <c r="X2" s="11"/>
    </row>
    <row r="3" ht="13.5" customHeight="1">
      <c r="A3" s="11"/>
      <c r="B3" s="11"/>
      <c r="C3" s="11"/>
      <c r="D3" s="11"/>
      <c r="E3" s="11"/>
      <c r="F3" s="284"/>
      <c r="G3" s="11"/>
      <c r="H3" s="11"/>
      <c r="I3" s="11"/>
      <c r="J3" s="11"/>
      <c r="K3" s="11"/>
      <c r="L3" s="11"/>
      <c r="M3" s="755"/>
      <c r="N3" s="11"/>
      <c r="O3" s="11"/>
      <c r="P3" s="11"/>
      <c r="Q3" s="11"/>
      <c r="R3" s="11"/>
      <c r="S3" s="11"/>
      <c r="T3" s="11"/>
      <c r="U3" s="11"/>
      <c r="V3" s="11"/>
      <c r="W3" s="11"/>
      <c r="X3" s="11"/>
    </row>
    <row r="4" ht="13.5" customHeight="1">
      <c r="A4" s="11"/>
      <c r="B4" s="758" t="s">
        <v>272</v>
      </c>
      <c r="C4" s="5"/>
      <c r="D4" s="5"/>
      <c r="E4" s="6"/>
      <c r="F4" s="761" t="s">
        <v>661</v>
      </c>
      <c r="G4" s="11"/>
      <c r="H4" s="11"/>
      <c r="I4" s="11"/>
      <c r="J4" s="11"/>
      <c r="K4" s="11"/>
      <c r="L4" s="11"/>
      <c r="M4" s="11"/>
      <c r="N4" s="11"/>
      <c r="O4" s="11"/>
      <c r="P4" s="11"/>
      <c r="Q4" s="11"/>
      <c r="R4" s="11"/>
      <c r="S4" s="11"/>
      <c r="T4" s="11"/>
      <c r="U4" s="11"/>
      <c r="V4" s="11"/>
      <c r="W4" s="11"/>
      <c r="X4" s="11"/>
    </row>
    <row r="5" ht="13.5" customHeight="1">
      <c r="A5" s="11"/>
      <c r="B5" s="25" t="s">
        <v>1</v>
      </c>
      <c r="C5" s="314">
        <v>45.0</v>
      </c>
      <c r="D5" s="762">
        <v>30.0</v>
      </c>
      <c r="E5" s="28" t="s">
        <v>5</v>
      </c>
      <c r="F5" s="284"/>
      <c r="G5" s="11"/>
      <c r="H5" s="11"/>
      <c r="I5" s="11"/>
      <c r="J5" s="11"/>
      <c r="K5" s="11"/>
      <c r="L5" s="11"/>
      <c r="M5" s="11"/>
      <c r="N5" s="11"/>
      <c r="O5" s="11"/>
      <c r="P5" s="11"/>
      <c r="Q5" s="11"/>
      <c r="R5" s="11"/>
      <c r="S5" s="11"/>
      <c r="T5" s="11"/>
      <c r="U5" s="11"/>
      <c r="V5" s="11"/>
      <c r="W5" s="11"/>
      <c r="X5" s="11"/>
    </row>
    <row r="6" ht="13.5" customHeight="1">
      <c r="A6" s="11"/>
      <c r="B6" s="163" t="s">
        <v>669</v>
      </c>
      <c r="C6" s="285">
        <v>4.5</v>
      </c>
      <c r="D6" s="666">
        <f t="shared" ref="D6:D26" si="1">(C6*D5)/C5</f>
        <v>3</v>
      </c>
      <c r="E6" s="169" t="s">
        <v>14</v>
      </c>
      <c r="F6" s="44" t="s">
        <v>675</v>
      </c>
      <c r="G6" s="11"/>
      <c r="H6" s="11"/>
      <c r="I6" s="11"/>
      <c r="J6" s="11"/>
      <c r="K6" s="11"/>
      <c r="L6" s="11"/>
      <c r="M6" s="11"/>
      <c r="N6" s="11"/>
      <c r="O6" s="11"/>
      <c r="P6" s="11"/>
      <c r="Q6" s="11"/>
      <c r="R6" s="11"/>
      <c r="S6" s="11"/>
      <c r="T6" s="11"/>
      <c r="U6" s="11"/>
      <c r="V6" s="11"/>
      <c r="W6" s="11"/>
      <c r="X6" s="11"/>
    </row>
    <row r="7" ht="13.5" customHeight="1">
      <c r="A7" s="11"/>
      <c r="B7" s="177" t="s">
        <v>59</v>
      </c>
      <c r="C7" s="198">
        <v>18.0</v>
      </c>
      <c r="D7" s="500">
        <f t="shared" si="1"/>
        <v>12</v>
      </c>
      <c r="E7" s="204" t="s">
        <v>5</v>
      </c>
      <c r="F7" s="47"/>
      <c r="G7" s="11"/>
      <c r="H7" s="11"/>
      <c r="I7" s="11"/>
      <c r="J7" s="11"/>
      <c r="K7" s="11"/>
      <c r="L7" s="11"/>
      <c r="M7" s="11"/>
      <c r="N7" s="11"/>
      <c r="O7" s="11"/>
      <c r="P7" s="11"/>
      <c r="Q7" s="11"/>
      <c r="R7" s="11"/>
      <c r="S7" s="11"/>
      <c r="T7" s="11"/>
      <c r="U7" s="11"/>
      <c r="V7" s="11"/>
      <c r="W7" s="11"/>
      <c r="X7" s="11"/>
    </row>
    <row r="8" ht="13.5" customHeight="1">
      <c r="A8" s="11"/>
      <c r="B8" s="177" t="s">
        <v>31</v>
      </c>
      <c r="C8" s="198">
        <v>570.0</v>
      </c>
      <c r="D8" s="500">
        <f t="shared" si="1"/>
        <v>380</v>
      </c>
      <c r="E8" s="204" t="s">
        <v>18</v>
      </c>
      <c r="F8" s="47"/>
      <c r="G8" s="11"/>
      <c r="H8" s="11"/>
      <c r="I8" s="11"/>
      <c r="J8" s="11"/>
      <c r="K8" s="11"/>
      <c r="L8" s="11"/>
      <c r="M8" s="11"/>
      <c r="N8" s="11"/>
      <c r="O8" s="11"/>
      <c r="P8" s="11"/>
      <c r="Q8" s="11"/>
      <c r="R8" s="11"/>
      <c r="S8" s="11"/>
      <c r="T8" s="11"/>
      <c r="U8" s="11"/>
      <c r="V8" s="11"/>
      <c r="W8" s="11"/>
      <c r="X8" s="11"/>
    </row>
    <row r="9" ht="13.5" customHeight="1">
      <c r="A9" s="11"/>
      <c r="B9" s="208" t="s">
        <v>52</v>
      </c>
      <c r="C9" s="211">
        <v>60.0</v>
      </c>
      <c r="D9" s="684">
        <f t="shared" si="1"/>
        <v>40</v>
      </c>
      <c r="E9" s="212" t="s">
        <v>18</v>
      </c>
      <c r="F9" s="76"/>
      <c r="G9" s="11"/>
      <c r="H9" s="11"/>
      <c r="I9" s="11"/>
      <c r="J9" s="11"/>
      <c r="K9" s="11"/>
      <c r="L9" s="11"/>
      <c r="M9" s="11"/>
      <c r="N9" s="11"/>
      <c r="O9" s="11"/>
      <c r="P9" s="11"/>
      <c r="Q9" s="11"/>
      <c r="R9" s="11"/>
      <c r="S9" s="11"/>
      <c r="T9" s="11"/>
      <c r="U9" s="11"/>
      <c r="V9" s="11"/>
      <c r="W9" s="11"/>
      <c r="X9" s="11"/>
    </row>
    <row r="10" ht="13.5" customHeight="1">
      <c r="A10" s="11"/>
      <c r="B10" s="119" t="s">
        <v>95</v>
      </c>
      <c r="C10" s="523">
        <v>12.0</v>
      </c>
      <c r="D10" s="767">
        <f t="shared" si="1"/>
        <v>8</v>
      </c>
      <c r="E10" s="520" t="s">
        <v>18</v>
      </c>
      <c r="F10" s="44" t="s">
        <v>683</v>
      </c>
      <c r="G10" s="11"/>
      <c r="H10" s="11"/>
      <c r="I10" s="11"/>
      <c r="J10" s="11"/>
      <c r="K10" s="11"/>
      <c r="L10" s="11"/>
      <c r="M10" s="11"/>
      <c r="N10" s="11"/>
      <c r="O10" s="11"/>
      <c r="P10" s="11"/>
      <c r="Q10" s="11"/>
      <c r="R10" s="11"/>
      <c r="S10" s="11"/>
      <c r="T10" s="11"/>
      <c r="U10" s="11"/>
      <c r="V10" s="11"/>
      <c r="W10" s="11"/>
      <c r="X10" s="11"/>
    </row>
    <row r="11" ht="13.5" customHeight="1">
      <c r="A11" s="11"/>
      <c r="B11" s="93" t="s">
        <v>685</v>
      </c>
      <c r="C11" s="247">
        <v>3.0</v>
      </c>
      <c r="D11" s="500">
        <f t="shared" si="1"/>
        <v>2</v>
      </c>
      <c r="E11" s="249" t="s">
        <v>18</v>
      </c>
      <c r="F11" s="47"/>
      <c r="G11" s="11"/>
      <c r="H11" s="11"/>
      <c r="I11" s="11"/>
      <c r="J11" s="11"/>
      <c r="K11" s="11"/>
      <c r="L11" s="11"/>
      <c r="M11" s="11"/>
      <c r="N11" s="11"/>
      <c r="O11" s="11"/>
      <c r="P11" s="11"/>
      <c r="Q11" s="11"/>
      <c r="R11" s="11"/>
      <c r="S11" s="11"/>
      <c r="T11" s="11"/>
      <c r="U11" s="11"/>
      <c r="V11" s="11"/>
      <c r="W11" s="11"/>
      <c r="X11" s="11"/>
    </row>
    <row r="12" ht="13.5" customHeight="1">
      <c r="A12" s="11"/>
      <c r="B12" s="93" t="s">
        <v>96</v>
      </c>
      <c r="C12" s="247">
        <v>6.0</v>
      </c>
      <c r="D12" s="500">
        <f t="shared" si="1"/>
        <v>4</v>
      </c>
      <c r="E12" s="249" t="s">
        <v>18</v>
      </c>
      <c r="F12" s="47"/>
      <c r="G12" s="11"/>
      <c r="H12" s="11"/>
      <c r="I12" s="11"/>
      <c r="J12" s="11"/>
      <c r="K12" s="11"/>
      <c r="L12" s="11"/>
      <c r="M12" s="11"/>
      <c r="N12" s="11"/>
      <c r="O12" s="11"/>
      <c r="P12" s="11"/>
      <c r="Q12" s="11"/>
      <c r="R12" s="11"/>
      <c r="S12" s="11"/>
      <c r="T12" s="11"/>
      <c r="U12" s="11"/>
      <c r="V12" s="11"/>
      <c r="W12" s="11"/>
      <c r="X12" s="11"/>
    </row>
    <row r="13" ht="13.5" customHeight="1">
      <c r="A13" s="11"/>
      <c r="B13" s="177" t="s">
        <v>690</v>
      </c>
      <c r="C13" s="198">
        <v>450.0</v>
      </c>
      <c r="D13" s="500">
        <f t="shared" si="1"/>
        <v>300</v>
      </c>
      <c r="E13" s="769" t="s">
        <v>18</v>
      </c>
      <c r="F13" s="47"/>
      <c r="G13" s="11"/>
      <c r="H13" s="11"/>
      <c r="I13" s="11"/>
      <c r="J13" s="11"/>
      <c r="K13" s="11"/>
      <c r="L13" s="11"/>
      <c r="M13" s="11"/>
      <c r="N13" s="11"/>
      <c r="O13" s="11"/>
      <c r="P13" s="11"/>
      <c r="Q13" s="11"/>
      <c r="R13" s="11"/>
      <c r="S13" s="11"/>
      <c r="T13" s="11"/>
      <c r="U13" s="11"/>
      <c r="V13" s="11"/>
      <c r="W13" s="11"/>
      <c r="X13" s="11"/>
    </row>
    <row r="14" ht="13.5" customHeight="1">
      <c r="A14" s="11"/>
      <c r="B14" s="163" t="s">
        <v>696</v>
      </c>
      <c r="C14" s="285">
        <v>1.2</v>
      </c>
      <c r="D14" s="666">
        <f t="shared" si="1"/>
        <v>0.8</v>
      </c>
      <c r="E14" s="772" t="s">
        <v>14</v>
      </c>
      <c r="F14" s="44" t="s">
        <v>701</v>
      </c>
      <c r="G14" s="11"/>
      <c r="H14" s="11"/>
      <c r="I14" s="11"/>
      <c r="J14" s="11"/>
      <c r="K14" s="11"/>
      <c r="L14" s="11"/>
      <c r="M14" s="11"/>
      <c r="N14" s="11"/>
      <c r="O14" s="11"/>
      <c r="P14" s="11"/>
      <c r="Q14" s="11"/>
      <c r="R14" s="11"/>
      <c r="S14" s="11"/>
      <c r="T14" s="11"/>
      <c r="U14" s="11"/>
      <c r="V14" s="11"/>
      <c r="W14" s="11"/>
      <c r="X14" s="11">
        <v>0.2</v>
      </c>
    </row>
    <row r="15" ht="13.5" customHeight="1">
      <c r="A15" s="11"/>
      <c r="B15" s="157" t="s">
        <v>162</v>
      </c>
      <c r="C15" s="390">
        <v>120.0</v>
      </c>
      <c r="D15" s="767">
        <f t="shared" si="1"/>
        <v>80</v>
      </c>
      <c r="E15" s="773" t="s">
        <v>18</v>
      </c>
      <c r="F15" s="47"/>
      <c r="G15" s="11"/>
      <c r="H15" s="11"/>
      <c r="I15" s="11"/>
      <c r="J15" s="11"/>
      <c r="K15" s="11"/>
      <c r="L15" s="11"/>
      <c r="M15" s="11"/>
      <c r="N15" s="11"/>
      <c r="O15" s="11"/>
      <c r="P15" s="11"/>
      <c r="Q15" s="11"/>
      <c r="R15" s="11"/>
      <c r="S15" s="11"/>
      <c r="T15" s="11"/>
      <c r="U15" s="11"/>
      <c r="V15" s="11"/>
      <c r="W15" s="11"/>
      <c r="X15" s="11"/>
    </row>
    <row r="16" ht="13.5" customHeight="1">
      <c r="A16" s="11"/>
      <c r="B16" s="177" t="s">
        <v>142</v>
      </c>
      <c r="C16" s="198">
        <v>2.4</v>
      </c>
      <c r="D16" s="500">
        <f t="shared" si="1"/>
        <v>1.6</v>
      </c>
      <c r="E16" s="769" t="s">
        <v>9</v>
      </c>
      <c r="F16" s="47"/>
      <c r="G16" s="11"/>
      <c r="H16" s="11"/>
      <c r="I16" s="11"/>
      <c r="J16" s="11"/>
      <c r="K16" s="11"/>
      <c r="L16" s="11"/>
      <c r="M16" s="11"/>
      <c r="N16" s="11"/>
      <c r="O16" s="11"/>
      <c r="P16" s="11"/>
      <c r="Q16" s="11"/>
      <c r="R16" s="11"/>
      <c r="S16" s="11"/>
      <c r="T16" s="11"/>
      <c r="U16" s="11"/>
      <c r="V16" s="11"/>
      <c r="W16" s="11"/>
      <c r="X16" s="11"/>
    </row>
    <row r="17" ht="13.5" customHeight="1">
      <c r="A17" s="11"/>
      <c r="B17" s="177" t="s">
        <v>707</v>
      </c>
      <c r="C17" s="198">
        <v>1.2</v>
      </c>
      <c r="D17" s="500">
        <f t="shared" si="1"/>
        <v>0.8</v>
      </c>
      <c r="E17" s="769" t="s">
        <v>14</v>
      </c>
      <c r="F17" s="47"/>
      <c r="G17" s="11"/>
      <c r="H17" s="11"/>
      <c r="I17" s="11"/>
      <c r="J17" s="11"/>
      <c r="K17" s="11"/>
      <c r="L17" s="11"/>
      <c r="M17" s="11"/>
      <c r="N17" s="11"/>
      <c r="O17" s="11"/>
      <c r="P17" s="11"/>
      <c r="Q17" s="11"/>
      <c r="R17" s="11"/>
      <c r="S17" s="11"/>
      <c r="T17" s="11"/>
      <c r="U17" s="11"/>
      <c r="V17" s="11"/>
      <c r="W17" s="11"/>
      <c r="X17" s="11"/>
    </row>
    <row r="18" ht="13.5" customHeight="1">
      <c r="A18" s="11"/>
      <c r="B18" s="208" t="s">
        <v>709</v>
      </c>
      <c r="C18" s="211">
        <v>0.24</v>
      </c>
      <c r="D18" s="684">
        <f t="shared" si="1"/>
        <v>0.16</v>
      </c>
      <c r="E18" s="775" t="s">
        <v>14</v>
      </c>
      <c r="F18" s="76"/>
      <c r="G18" s="11"/>
      <c r="H18" s="11"/>
      <c r="I18" s="11"/>
      <c r="J18" s="11"/>
      <c r="K18" s="11"/>
      <c r="L18" s="11"/>
      <c r="M18" s="11"/>
      <c r="N18" s="11"/>
      <c r="O18" s="11"/>
      <c r="P18" s="11"/>
      <c r="Q18" s="11"/>
      <c r="R18" s="11"/>
      <c r="S18" s="11"/>
      <c r="T18" s="11"/>
      <c r="U18" s="11"/>
      <c r="V18" s="11"/>
      <c r="W18" s="11"/>
      <c r="X18" s="11"/>
    </row>
    <row r="19" ht="13.5" customHeight="1">
      <c r="A19" s="11"/>
      <c r="B19" s="777" t="s">
        <v>81</v>
      </c>
      <c r="C19" s="390">
        <v>900.0</v>
      </c>
      <c r="D19" s="767">
        <f t="shared" si="1"/>
        <v>600</v>
      </c>
      <c r="E19" s="159" t="s">
        <v>82</v>
      </c>
      <c r="F19" s="44" t="s">
        <v>712</v>
      </c>
      <c r="G19" s="11"/>
      <c r="H19" s="11"/>
      <c r="I19" s="11"/>
      <c r="J19" s="11"/>
      <c r="K19" s="11"/>
      <c r="L19" s="11"/>
      <c r="M19" s="11"/>
      <c r="N19" s="11"/>
      <c r="O19" s="11"/>
      <c r="P19" s="11"/>
      <c r="Q19" s="11"/>
      <c r="R19" s="11"/>
      <c r="S19" s="11"/>
      <c r="T19" s="11"/>
      <c r="U19" s="11"/>
      <c r="V19" s="11"/>
      <c r="W19" s="11"/>
      <c r="X19" s="11"/>
    </row>
    <row r="20" ht="13.5" customHeight="1">
      <c r="A20" s="11"/>
      <c r="B20" s="208" t="s">
        <v>80</v>
      </c>
      <c r="C20" s="211">
        <v>0.45</v>
      </c>
      <c r="D20" s="684">
        <f t="shared" si="1"/>
        <v>0.3</v>
      </c>
      <c r="E20" s="775" t="s">
        <v>14</v>
      </c>
      <c r="F20" s="76"/>
      <c r="G20" s="11"/>
      <c r="H20" s="11"/>
      <c r="I20" s="11"/>
      <c r="J20" s="11"/>
      <c r="K20" s="11"/>
      <c r="L20" s="11"/>
      <c r="M20" s="11"/>
      <c r="N20" s="11"/>
      <c r="O20" s="11"/>
      <c r="P20" s="11"/>
      <c r="Q20" s="11"/>
      <c r="R20" s="11"/>
      <c r="S20" s="11"/>
      <c r="T20" s="11"/>
      <c r="U20" s="11"/>
      <c r="V20" s="11"/>
      <c r="W20" s="11"/>
      <c r="X20" s="11"/>
    </row>
    <row r="21" ht="13.5" customHeight="1">
      <c r="A21" s="11"/>
      <c r="B21" s="157" t="s">
        <v>91</v>
      </c>
      <c r="C21" s="390">
        <v>1.2</v>
      </c>
      <c r="D21" s="666">
        <f t="shared" si="1"/>
        <v>0.8</v>
      </c>
      <c r="E21" s="159" t="s">
        <v>5</v>
      </c>
      <c r="F21" s="44" t="s">
        <v>715</v>
      </c>
      <c r="G21" s="11"/>
      <c r="H21" s="11"/>
      <c r="I21" s="11"/>
      <c r="J21" s="11"/>
      <c r="K21" s="11"/>
      <c r="L21" s="11"/>
      <c r="M21" s="11"/>
      <c r="N21" s="11"/>
      <c r="O21" s="11"/>
      <c r="P21" s="11"/>
      <c r="Q21" s="11"/>
      <c r="R21" s="11"/>
      <c r="S21" s="11"/>
      <c r="T21" s="11"/>
      <c r="U21" s="11"/>
      <c r="V21" s="11"/>
      <c r="W21" s="11"/>
      <c r="X21" s="11"/>
    </row>
    <row r="22" ht="13.5" customHeight="1">
      <c r="A22" s="11"/>
      <c r="B22" s="177" t="s">
        <v>97</v>
      </c>
      <c r="C22" s="198">
        <v>90.0</v>
      </c>
      <c r="D22" s="500">
        <f t="shared" si="1"/>
        <v>60</v>
      </c>
      <c r="E22" s="204" t="s">
        <v>18</v>
      </c>
      <c r="F22" s="47"/>
      <c r="G22" s="11"/>
      <c r="H22" s="11"/>
      <c r="I22" s="11"/>
      <c r="J22" s="11"/>
      <c r="K22" s="11"/>
      <c r="L22" s="11"/>
      <c r="M22" s="11"/>
      <c r="N22" s="11"/>
      <c r="O22" s="11"/>
      <c r="P22" s="11"/>
      <c r="Q22" s="11"/>
      <c r="R22" s="11"/>
      <c r="S22" s="11"/>
      <c r="T22" s="11"/>
      <c r="U22" s="11"/>
      <c r="V22" s="11"/>
      <c r="W22" s="11"/>
      <c r="X22" s="11"/>
    </row>
    <row r="23" ht="13.5" customHeight="1">
      <c r="A23" s="11"/>
      <c r="B23" s="177" t="s">
        <v>101</v>
      </c>
      <c r="C23" s="198">
        <v>0.6</v>
      </c>
      <c r="D23" s="500">
        <f t="shared" si="1"/>
        <v>0.4</v>
      </c>
      <c r="E23" s="204" t="s">
        <v>5</v>
      </c>
      <c r="F23" s="47"/>
      <c r="G23" s="11"/>
      <c r="H23" s="11"/>
      <c r="I23" s="11"/>
      <c r="J23" s="11"/>
      <c r="K23" s="11"/>
      <c r="L23" s="11"/>
      <c r="M23" s="11"/>
      <c r="N23" s="11"/>
      <c r="O23" s="11"/>
      <c r="P23" s="11"/>
      <c r="Q23" s="11"/>
      <c r="R23" s="11"/>
      <c r="S23" s="11"/>
      <c r="T23" s="11"/>
      <c r="U23" s="11"/>
      <c r="V23" s="11"/>
      <c r="W23" s="11"/>
      <c r="X23" s="11"/>
    </row>
    <row r="24" ht="13.5" customHeight="1">
      <c r="A24" s="11"/>
      <c r="B24" s="177" t="s">
        <v>103</v>
      </c>
      <c r="C24" s="198">
        <v>60.0</v>
      </c>
      <c r="D24" s="500">
        <f t="shared" si="1"/>
        <v>40</v>
      </c>
      <c r="E24" s="204" t="s">
        <v>18</v>
      </c>
      <c r="F24" s="47"/>
      <c r="G24" s="11"/>
      <c r="H24" s="11"/>
      <c r="I24" s="11"/>
      <c r="J24" s="11"/>
      <c r="K24" s="11"/>
      <c r="L24" s="11"/>
      <c r="M24" s="11"/>
      <c r="N24" s="11"/>
      <c r="O24" s="11"/>
      <c r="P24" s="11"/>
      <c r="Q24" s="11"/>
      <c r="R24" s="11"/>
      <c r="S24" s="11"/>
      <c r="T24" s="11"/>
      <c r="U24" s="11"/>
      <c r="V24" s="11"/>
      <c r="W24" s="11"/>
      <c r="X24" s="11"/>
    </row>
    <row r="25" ht="15.0" customHeight="1">
      <c r="A25" s="11"/>
      <c r="B25" s="458" t="s">
        <v>157</v>
      </c>
      <c r="C25" s="460">
        <v>42.0</v>
      </c>
      <c r="D25" s="783">
        <f t="shared" si="1"/>
        <v>28</v>
      </c>
      <c r="E25" s="463" t="s">
        <v>5</v>
      </c>
      <c r="F25" s="784" t="s">
        <v>718</v>
      </c>
      <c r="G25" s="11"/>
      <c r="H25" s="11"/>
      <c r="I25" s="11"/>
      <c r="J25" s="11"/>
      <c r="K25" s="11"/>
      <c r="L25" s="11"/>
      <c r="M25" s="11"/>
      <c r="N25" s="11"/>
      <c r="O25" s="11"/>
      <c r="P25" s="11"/>
      <c r="Q25" s="11"/>
      <c r="R25" s="11"/>
      <c r="S25" s="11"/>
      <c r="T25" s="11"/>
      <c r="U25" s="11"/>
      <c r="V25" s="11"/>
      <c r="W25" s="11"/>
      <c r="X25" s="11"/>
    </row>
    <row r="26" ht="15.75" customHeight="1">
      <c r="A26" s="11"/>
      <c r="B26" s="458" t="s">
        <v>114</v>
      </c>
      <c r="C26" s="460">
        <v>3.0</v>
      </c>
      <c r="D26" s="783">
        <f t="shared" si="1"/>
        <v>2</v>
      </c>
      <c r="E26" s="463" t="s">
        <v>5</v>
      </c>
      <c r="F26" s="784" t="s">
        <v>204</v>
      </c>
      <c r="G26" s="11"/>
      <c r="H26" s="11"/>
      <c r="I26" s="11"/>
      <c r="J26" s="11"/>
      <c r="K26" s="11"/>
      <c r="L26" s="11"/>
      <c r="M26" s="11"/>
      <c r="N26" s="11"/>
      <c r="O26" s="11"/>
      <c r="P26" s="11"/>
      <c r="Q26" s="11"/>
      <c r="R26" s="11"/>
      <c r="S26" s="11"/>
      <c r="T26" s="11"/>
      <c r="U26" s="11"/>
      <c r="V26" s="11"/>
      <c r="W26" s="11"/>
      <c r="X26" s="11"/>
    </row>
    <row r="27" ht="15.75" customHeight="1">
      <c r="A27" s="11"/>
      <c r="B27" s="220" t="s">
        <v>42</v>
      </c>
      <c r="C27" s="220" t="s">
        <v>725</v>
      </c>
      <c r="D27" s="11"/>
      <c r="E27" s="11"/>
      <c r="F27" s="284"/>
      <c r="G27" s="11"/>
      <c r="H27" s="11"/>
      <c r="I27" s="11"/>
      <c r="J27" s="11"/>
      <c r="K27" s="11"/>
      <c r="L27" s="11"/>
      <c r="M27" s="11"/>
      <c r="N27" s="11"/>
      <c r="O27" s="11"/>
      <c r="P27" s="11"/>
      <c r="Q27" s="11"/>
      <c r="R27" s="11"/>
      <c r="S27" s="11"/>
      <c r="T27" s="11"/>
      <c r="U27" s="11"/>
      <c r="V27" s="11"/>
      <c r="W27" s="11"/>
      <c r="X27" s="11"/>
    </row>
    <row r="28" ht="15.0" customHeight="1">
      <c r="A28" s="11"/>
      <c r="B28" s="786" t="s">
        <v>49</v>
      </c>
      <c r="C28" s="224">
        <v>40971.0</v>
      </c>
      <c r="D28" s="11"/>
      <c r="E28" s="11"/>
      <c r="F28" s="284"/>
      <c r="G28" s="11"/>
      <c r="H28" s="11"/>
      <c r="I28" s="11"/>
      <c r="J28" s="11"/>
      <c r="K28" s="11"/>
      <c r="L28" s="11"/>
      <c r="M28" s="11"/>
      <c r="N28" s="11"/>
      <c r="O28" s="11"/>
      <c r="P28" s="11"/>
      <c r="Q28" s="11"/>
      <c r="R28" s="11"/>
      <c r="S28" s="11"/>
      <c r="T28" s="11"/>
      <c r="U28" s="11"/>
      <c r="V28" s="11"/>
      <c r="W28" s="11"/>
      <c r="X28" s="11"/>
    </row>
    <row r="29" ht="13.5" customHeight="1">
      <c r="A29" s="11"/>
      <c r="B29" s="90" t="s">
        <v>50</v>
      </c>
      <c r="C29" s="224">
        <v>41699.0</v>
      </c>
      <c r="D29" s="11"/>
      <c r="E29" s="11"/>
      <c r="F29" s="284"/>
      <c r="G29" s="11"/>
      <c r="H29" s="11"/>
      <c r="I29" s="11"/>
      <c r="J29" s="11"/>
      <c r="K29" s="11"/>
      <c r="L29" s="11"/>
      <c r="M29" s="755"/>
      <c r="N29" s="11"/>
      <c r="O29" s="11"/>
      <c r="P29" s="11"/>
      <c r="Q29" s="11"/>
      <c r="R29" s="11"/>
      <c r="S29" s="11"/>
      <c r="T29" s="11"/>
      <c r="U29" s="11"/>
      <c r="V29" s="11"/>
      <c r="W29" s="11"/>
      <c r="X29" s="11"/>
    </row>
    <row r="30" ht="15.0" customHeight="1">
      <c r="A30" s="11"/>
      <c r="B30" s="788" t="s">
        <v>732</v>
      </c>
      <c r="C30" s="5"/>
      <c r="D30" s="5"/>
      <c r="E30" s="6"/>
      <c r="F30" s="284"/>
      <c r="G30" s="11"/>
      <c r="H30" s="11"/>
      <c r="I30" s="11"/>
      <c r="J30" s="11"/>
      <c r="K30" s="11"/>
      <c r="L30" s="11"/>
      <c r="M30" s="755"/>
      <c r="N30" s="11"/>
      <c r="O30" s="11"/>
      <c r="P30" s="11"/>
      <c r="Q30" s="11"/>
      <c r="R30" s="11"/>
      <c r="S30" s="11"/>
      <c r="T30" s="11"/>
      <c r="U30" s="11"/>
      <c r="V30" s="11"/>
      <c r="W30" s="11"/>
      <c r="X30" s="11"/>
    </row>
    <row r="31" ht="13.5" customHeight="1">
      <c r="A31" s="11"/>
      <c r="B31" s="102"/>
      <c r="C31" s="104"/>
      <c r="D31" s="104"/>
      <c r="E31" s="106"/>
      <c r="F31" s="284"/>
      <c r="G31" s="11"/>
      <c r="H31" s="11"/>
      <c r="I31" s="11"/>
      <c r="J31" s="11"/>
      <c r="K31" s="11"/>
      <c r="L31" s="11"/>
      <c r="M31" s="755"/>
      <c r="N31" s="11"/>
      <c r="O31" s="11"/>
      <c r="P31" s="11"/>
      <c r="Q31" s="11"/>
      <c r="R31" s="11"/>
      <c r="S31" s="11"/>
      <c r="T31" s="11"/>
      <c r="U31" s="11"/>
      <c r="V31" s="11"/>
      <c r="W31" s="11"/>
      <c r="X31" s="11"/>
    </row>
    <row r="32" ht="15.0" customHeight="1">
      <c r="A32" s="11"/>
      <c r="B32" s="11"/>
      <c r="C32" s="11"/>
      <c r="D32" s="11"/>
      <c r="E32" s="11"/>
      <c r="F32" s="284"/>
      <c r="G32" s="11"/>
      <c r="H32" s="11"/>
      <c r="I32" s="11"/>
      <c r="J32" s="11"/>
      <c r="K32" s="11"/>
      <c r="L32" s="11"/>
      <c r="M32" s="755"/>
      <c r="N32" s="11"/>
      <c r="O32" s="11"/>
      <c r="P32" s="11"/>
      <c r="Q32" s="11"/>
      <c r="R32" s="11"/>
      <c r="S32" s="11"/>
      <c r="T32" s="11"/>
      <c r="U32" s="11"/>
      <c r="V32" s="11"/>
      <c r="W32" s="11"/>
      <c r="X32" s="11"/>
    </row>
    <row r="33" ht="15.0" customHeight="1">
      <c r="A33" s="11"/>
      <c r="B33" s="656" t="s">
        <v>736</v>
      </c>
      <c r="C33" s="18"/>
      <c r="D33" s="18"/>
      <c r="E33" s="19"/>
      <c r="F33" s="11"/>
      <c r="G33" s="11"/>
      <c r="H33" s="11"/>
      <c r="I33" s="11"/>
      <c r="J33" s="11"/>
      <c r="K33" s="11"/>
      <c r="L33" s="11"/>
      <c r="M33" s="755"/>
      <c r="N33" s="11"/>
      <c r="O33" s="11"/>
      <c r="P33" s="11"/>
      <c r="Q33" s="11"/>
      <c r="R33" s="11"/>
      <c r="S33" s="11"/>
      <c r="T33" s="11"/>
      <c r="U33" s="11"/>
      <c r="V33" s="11"/>
      <c r="W33" s="11"/>
      <c r="X33" s="11"/>
    </row>
    <row r="34" ht="15.0" customHeight="1">
      <c r="A34" s="11"/>
      <c r="B34" s="262" t="s">
        <v>1</v>
      </c>
      <c r="C34" s="383">
        <v>100.0</v>
      </c>
      <c r="D34" s="383">
        <v>60.0</v>
      </c>
      <c r="E34" s="267" t="s">
        <v>5</v>
      </c>
      <c r="F34" s="284"/>
      <c r="G34" s="11"/>
      <c r="H34" s="11"/>
      <c r="I34" s="11"/>
      <c r="J34" s="11"/>
      <c r="K34" s="11"/>
      <c r="L34" s="11"/>
      <c r="M34" s="755"/>
      <c r="N34" s="11"/>
      <c r="O34" s="11"/>
      <c r="P34" s="11"/>
      <c r="Q34" s="11"/>
      <c r="R34" s="11"/>
      <c r="S34" s="11"/>
      <c r="T34" s="11"/>
      <c r="U34" s="11"/>
      <c r="V34" s="11"/>
      <c r="W34" s="11"/>
      <c r="X34" s="11"/>
    </row>
    <row r="35" ht="15.0" customHeight="1">
      <c r="A35" s="11"/>
      <c r="B35" s="163" t="s">
        <v>737</v>
      </c>
      <c r="C35" s="285">
        <v>14.0</v>
      </c>
      <c r="D35" s="285">
        <f t="shared" ref="D35:D41" si="2">(C35*D34)/C34</f>
        <v>8.4</v>
      </c>
      <c r="E35" s="169" t="s">
        <v>14</v>
      </c>
      <c r="F35" s="44" t="s">
        <v>738</v>
      </c>
      <c r="G35" s="11"/>
      <c r="H35" s="11"/>
      <c r="I35" s="11"/>
      <c r="J35" s="11"/>
      <c r="K35" s="11"/>
      <c r="L35" s="11"/>
      <c r="M35" s="755"/>
      <c r="N35" s="11"/>
      <c r="O35" s="11"/>
      <c r="P35" s="11"/>
      <c r="Q35" s="11"/>
      <c r="R35" s="11"/>
      <c r="S35" s="11"/>
      <c r="T35" s="11"/>
      <c r="U35" s="11"/>
      <c r="V35" s="11"/>
      <c r="W35" s="11"/>
      <c r="X35" s="11"/>
    </row>
    <row r="36" ht="15.0" customHeight="1">
      <c r="A36" s="11"/>
      <c r="B36" s="177" t="s">
        <v>739</v>
      </c>
      <c r="C36" s="198">
        <v>3.5</v>
      </c>
      <c r="D36" s="198">
        <f t="shared" si="2"/>
        <v>2.1</v>
      </c>
      <c r="E36" s="204" t="s">
        <v>14</v>
      </c>
      <c r="F36" s="47"/>
      <c r="G36" s="11"/>
      <c r="H36" s="11"/>
      <c r="I36" s="11"/>
      <c r="J36" s="11"/>
      <c r="K36" s="11"/>
      <c r="L36" s="11"/>
      <c r="M36" s="755"/>
      <c r="N36" s="11"/>
      <c r="O36" s="11"/>
      <c r="P36" s="11"/>
      <c r="Q36" s="11"/>
      <c r="R36" s="11"/>
      <c r="S36" s="11"/>
      <c r="T36" s="11"/>
      <c r="U36" s="11"/>
      <c r="V36" s="11"/>
      <c r="W36" s="11"/>
      <c r="X36" s="11"/>
    </row>
    <row r="37" ht="15.75" customHeight="1">
      <c r="A37" s="11"/>
      <c r="B37" s="177" t="s">
        <v>52</v>
      </c>
      <c r="C37" s="198">
        <v>150.0</v>
      </c>
      <c r="D37" s="198">
        <f t="shared" si="2"/>
        <v>90</v>
      </c>
      <c r="E37" s="204" t="s">
        <v>18</v>
      </c>
      <c r="F37" s="47"/>
      <c r="G37" s="11"/>
      <c r="H37" s="11"/>
      <c r="I37" s="11"/>
      <c r="J37" s="11"/>
      <c r="K37" s="11"/>
      <c r="L37" s="11"/>
      <c r="M37" s="755"/>
      <c r="N37" s="11"/>
      <c r="O37" s="11"/>
      <c r="P37" s="11"/>
      <c r="Q37" s="11"/>
      <c r="R37" s="11"/>
      <c r="S37" s="11"/>
      <c r="T37" s="11"/>
      <c r="U37" s="11"/>
      <c r="V37" s="11"/>
      <c r="W37" s="11"/>
      <c r="X37" s="11"/>
    </row>
    <row r="38" ht="13.5" customHeight="1">
      <c r="A38" s="11"/>
      <c r="B38" s="208" t="s">
        <v>31</v>
      </c>
      <c r="C38" s="211">
        <v>1250.0</v>
      </c>
      <c r="D38" s="211">
        <f t="shared" si="2"/>
        <v>750</v>
      </c>
      <c r="E38" s="212" t="s">
        <v>18</v>
      </c>
      <c r="F38" s="76"/>
      <c r="G38" s="11"/>
      <c r="H38" s="11"/>
      <c r="I38" s="11"/>
      <c r="J38" s="11"/>
      <c r="K38" s="11"/>
      <c r="L38" s="11"/>
      <c r="M38" s="755"/>
      <c r="N38" s="11"/>
      <c r="O38" s="11"/>
      <c r="P38" s="11"/>
      <c r="Q38" s="11"/>
      <c r="R38" s="11"/>
      <c r="S38" s="11"/>
      <c r="T38" s="11"/>
      <c r="U38" s="11"/>
      <c r="V38" s="11"/>
      <c r="W38" s="11"/>
      <c r="X38" s="11"/>
    </row>
    <row r="39" ht="15.0" customHeight="1">
      <c r="A39" s="11"/>
      <c r="B39" s="163" t="s">
        <v>743</v>
      </c>
      <c r="C39" s="285">
        <v>2.0</v>
      </c>
      <c r="D39" s="285">
        <f t="shared" si="2"/>
        <v>1.2</v>
      </c>
      <c r="E39" s="169" t="s">
        <v>5</v>
      </c>
      <c r="F39" s="44" t="s">
        <v>745</v>
      </c>
      <c r="G39" s="11"/>
      <c r="H39" s="11"/>
      <c r="I39" s="11"/>
      <c r="J39" s="11"/>
      <c r="K39" s="11"/>
      <c r="L39" s="11"/>
      <c r="M39" s="755"/>
      <c r="N39" s="11"/>
      <c r="O39" s="11"/>
      <c r="P39" s="11"/>
      <c r="Q39" s="11"/>
      <c r="R39" s="11"/>
      <c r="S39" s="11"/>
      <c r="T39" s="11"/>
      <c r="U39" s="11"/>
      <c r="V39" s="11"/>
      <c r="W39" s="11"/>
      <c r="X39" s="11"/>
    </row>
    <row r="40" ht="15.0" customHeight="1">
      <c r="A40" s="11"/>
      <c r="B40" s="177" t="s">
        <v>747</v>
      </c>
      <c r="C40" s="198">
        <v>200.0</v>
      </c>
      <c r="D40" s="198">
        <f t="shared" si="2"/>
        <v>120</v>
      </c>
      <c r="E40" s="204" t="s">
        <v>18</v>
      </c>
      <c r="F40" s="47"/>
      <c r="G40" s="11"/>
      <c r="H40" s="11"/>
      <c r="I40" s="11"/>
      <c r="J40" s="11"/>
      <c r="K40" s="11"/>
      <c r="L40" s="11"/>
      <c r="M40" s="755"/>
      <c r="N40" s="11"/>
      <c r="O40" s="11"/>
      <c r="P40" s="11"/>
      <c r="Q40" s="11"/>
      <c r="R40" s="11"/>
      <c r="S40" s="11"/>
      <c r="T40" s="11"/>
      <c r="U40" s="11"/>
      <c r="V40" s="11"/>
      <c r="W40" s="11"/>
      <c r="X40" s="11"/>
    </row>
    <row r="41" ht="13.5" customHeight="1">
      <c r="A41" s="11"/>
      <c r="B41" s="177" t="s">
        <v>101</v>
      </c>
      <c r="C41" s="198">
        <v>2.0</v>
      </c>
      <c r="D41" s="198">
        <f t="shared" si="2"/>
        <v>1.2</v>
      </c>
      <c r="E41" s="204" t="s">
        <v>5</v>
      </c>
      <c r="F41" s="47"/>
      <c r="G41" s="11"/>
      <c r="H41" s="11"/>
      <c r="I41" s="11"/>
      <c r="J41" s="11"/>
      <c r="K41" s="11"/>
      <c r="L41" s="11"/>
      <c r="M41" s="755"/>
      <c r="N41" s="11"/>
      <c r="O41" s="11"/>
      <c r="P41" s="11"/>
      <c r="Q41" s="11"/>
      <c r="R41" s="11"/>
      <c r="S41" s="11"/>
      <c r="T41" s="11"/>
      <c r="U41" s="11"/>
      <c r="V41" s="11"/>
      <c r="W41" s="11"/>
      <c r="X41" s="11"/>
    </row>
    <row r="42" ht="13.5" customHeight="1">
      <c r="A42" s="11"/>
      <c r="B42" s="177" t="s">
        <v>103</v>
      </c>
      <c r="C42" s="198">
        <v>90.0</v>
      </c>
      <c r="D42" s="198">
        <f>(C42*D43)/C43</f>
        <v>54</v>
      </c>
      <c r="E42" s="204" t="s">
        <v>18</v>
      </c>
      <c r="F42" s="47"/>
      <c r="G42" s="11"/>
      <c r="H42" s="11"/>
      <c r="I42" s="11"/>
      <c r="J42" s="11"/>
      <c r="K42" s="11"/>
      <c r="L42" s="11"/>
      <c r="M42" s="755"/>
      <c r="N42" s="11"/>
      <c r="O42" s="11"/>
      <c r="P42" s="11"/>
      <c r="Q42" s="11"/>
      <c r="R42" s="11"/>
      <c r="S42" s="11"/>
      <c r="T42" s="11"/>
      <c r="U42" s="11"/>
      <c r="V42" s="11"/>
      <c r="W42" s="11"/>
      <c r="X42" s="11"/>
    </row>
    <row r="43" ht="13.5" customHeight="1">
      <c r="A43" s="11"/>
      <c r="B43" s="208" t="s">
        <v>753</v>
      </c>
      <c r="C43" s="211">
        <v>500.0</v>
      </c>
      <c r="D43" s="211">
        <f t="shared" ref="D43:D45" si="3">(C43*D41)/C41</f>
        <v>300</v>
      </c>
      <c r="E43" s="212" t="s">
        <v>18</v>
      </c>
      <c r="F43" s="76"/>
      <c r="G43" s="11"/>
      <c r="H43" s="11"/>
      <c r="I43" s="11"/>
      <c r="J43" s="11"/>
      <c r="K43" s="11"/>
      <c r="L43" s="11"/>
      <c r="M43" s="755"/>
      <c r="N43" s="11"/>
      <c r="O43" s="11"/>
      <c r="P43" s="11"/>
      <c r="Q43" s="11"/>
      <c r="R43" s="11"/>
      <c r="S43" s="11"/>
      <c r="T43" s="11"/>
      <c r="U43" s="11"/>
      <c r="V43" s="11"/>
      <c r="W43" s="11"/>
      <c r="X43" s="11"/>
    </row>
    <row r="44" ht="13.5" customHeight="1">
      <c r="A44" s="11"/>
      <c r="B44" s="25" t="s">
        <v>756</v>
      </c>
      <c r="C44" s="314">
        <v>1.0</v>
      </c>
      <c r="D44" s="285">
        <f t="shared" si="3"/>
        <v>0.6</v>
      </c>
      <c r="E44" s="28" t="s">
        <v>14</v>
      </c>
      <c r="F44" s="44" t="s">
        <v>204</v>
      </c>
      <c r="G44" s="11"/>
      <c r="H44" s="11"/>
      <c r="I44" s="11"/>
      <c r="J44" s="11"/>
      <c r="K44" s="11"/>
      <c r="L44" s="11"/>
      <c r="M44" s="755"/>
      <c r="N44" s="11"/>
      <c r="O44" s="11"/>
      <c r="P44" s="11"/>
      <c r="Q44" s="11"/>
      <c r="R44" s="11"/>
      <c r="S44" s="11"/>
      <c r="T44" s="11"/>
      <c r="U44" s="11"/>
      <c r="V44" s="11"/>
      <c r="W44" s="11"/>
      <c r="X44" s="11"/>
    </row>
    <row r="45" ht="13.5" customHeight="1">
      <c r="A45" s="11"/>
      <c r="B45" s="208" t="s">
        <v>114</v>
      </c>
      <c r="C45" s="318">
        <v>2.0</v>
      </c>
      <c r="D45" s="211">
        <f t="shared" si="3"/>
        <v>1.2</v>
      </c>
      <c r="E45" s="212" t="s">
        <v>5</v>
      </c>
      <c r="F45" s="76"/>
      <c r="G45" s="11"/>
      <c r="H45" s="11"/>
      <c r="I45" s="11"/>
      <c r="J45" s="11"/>
      <c r="K45" s="11"/>
      <c r="L45" s="11"/>
      <c r="M45" s="755"/>
      <c r="N45" s="11"/>
      <c r="O45" s="11"/>
      <c r="P45" s="11"/>
      <c r="Q45" s="11"/>
      <c r="R45" s="11"/>
      <c r="S45" s="11"/>
      <c r="T45" s="11"/>
      <c r="U45" s="11"/>
      <c r="V45" s="11"/>
      <c r="W45" s="11"/>
      <c r="X45" s="11"/>
    </row>
    <row r="46" ht="13.5" customHeight="1">
      <c r="A46" s="11"/>
      <c r="B46" s="220" t="s">
        <v>42</v>
      </c>
      <c r="C46" s="220" t="s">
        <v>725</v>
      </c>
      <c r="D46" s="11"/>
      <c r="E46" s="11"/>
      <c r="F46" s="590"/>
      <c r="G46" s="11"/>
      <c r="H46" s="11"/>
      <c r="I46" s="11"/>
      <c r="J46" s="11"/>
      <c r="K46" s="11"/>
      <c r="L46" s="11"/>
      <c r="M46" s="755"/>
      <c r="N46" s="11"/>
      <c r="O46" s="11"/>
      <c r="P46" s="11"/>
      <c r="Q46" s="11"/>
      <c r="R46" s="11"/>
      <c r="S46" s="11"/>
      <c r="T46" s="11"/>
      <c r="U46" s="11"/>
      <c r="V46" s="11"/>
      <c r="W46" s="11"/>
      <c r="X46" s="11"/>
    </row>
    <row r="47" ht="13.5" customHeight="1">
      <c r="A47" s="11"/>
      <c r="B47" s="381" t="s">
        <v>502</v>
      </c>
      <c r="C47" s="799">
        <v>41081.0</v>
      </c>
      <c r="D47" s="11"/>
      <c r="E47" s="11"/>
      <c r="F47" s="11"/>
      <c r="G47" s="11"/>
      <c r="H47" s="11"/>
      <c r="I47" s="11"/>
      <c r="J47" s="11"/>
      <c r="K47" s="11"/>
      <c r="L47" s="11"/>
      <c r="M47" s="755"/>
      <c r="N47" s="11"/>
      <c r="O47" s="11"/>
      <c r="P47" s="11"/>
      <c r="Q47" s="11"/>
      <c r="R47" s="11"/>
      <c r="S47" s="11"/>
      <c r="T47" s="11"/>
      <c r="U47" s="11"/>
      <c r="V47" s="11"/>
      <c r="W47" s="11"/>
      <c r="X47" s="11"/>
    </row>
    <row r="48" ht="13.5" customHeight="1">
      <c r="A48" s="11"/>
      <c r="B48" s="381" t="s">
        <v>50</v>
      </c>
      <c r="C48" s="799">
        <v>41156.0</v>
      </c>
      <c r="D48" s="11"/>
      <c r="E48" s="11"/>
      <c r="F48" s="11"/>
      <c r="G48" s="11"/>
      <c r="H48" s="11"/>
      <c r="I48" s="11"/>
      <c r="J48" s="11"/>
      <c r="K48" s="11"/>
      <c r="L48" s="11"/>
      <c r="M48" s="755"/>
      <c r="N48" s="11"/>
      <c r="O48" s="11"/>
      <c r="P48" s="11"/>
      <c r="Q48" s="11"/>
      <c r="R48" s="11"/>
      <c r="S48" s="11"/>
      <c r="T48" s="11"/>
      <c r="U48" s="11"/>
      <c r="V48" s="11"/>
      <c r="W48" s="11"/>
      <c r="X48" s="11"/>
    </row>
    <row r="49" ht="13.5" customHeight="1">
      <c r="A49" s="11"/>
      <c r="B49" s="11"/>
      <c r="C49" s="11"/>
      <c r="D49" s="11"/>
      <c r="E49" s="11"/>
      <c r="F49" s="284"/>
      <c r="G49" s="11"/>
      <c r="H49" s="11"/>
      <c r="I49" s="11"/>
      <c r="J49" s="11"/>
      <c r="K49" s="11"/>
      <c r="L49" s="11"/>
      <c r="M49" s="755"/>
      <c r="N49" s="11"/>
      <c r="O49" s="11"/>
      <c r="P49" s="11"/>
      <c r="Q49" s="11"/>
      <c r="R49" s="11"/>
      <c r="S49" s="11"/>
      <c r="T49" s="11"/>
      <c r="U49" s="11"/>
      <c r="V49" s="11"/>
      <c r="W49" s="11"/>
      <c r="X49" s="11"/>
    </row>
    <row r="50" ht="13.5" customHeight="1">
      <c r="A50" s="11"/>
      <c r="B50" s="4" t="s">
        <v>445</v>
      </c>
      <c r="C50" s="5"/>
      <c r="D50" s="5"/>
      <c r="E50" s="6"/>
      <c r="F50" s="761"/>
      <c r="G50" s="11"/>
      <c r="H50" s="11"/>
      <c r="I50" s="11"/>
      <c r="J50" s="4" t="s">
        <v>765</v>
      </c>
      <c r="K50" s="5"/>
      <c r="L50" s="5"/>
      <c r="M50" s="6"/>
      <c r="N50" s="761"/>
      <c r="O50" s="11"/>
      <c r="P50" s="11"/>
      <c r="Q50" s="11"/>
      <c r="R50" s="11"/>
      <c r="S50" s="11"/>
      <c r="T50" s="11"/>
      <c r="U50" s="11"/>
      <c r="V50" s="11"/>
      <c r="W50" s="11"/>
      <c r="X50" s="11"/>
    </row>
    <row r="51" ht="13.5" customHeight="1">
      <c r="A51" s="11"/>
      <c r="B51" s="805" t="s">
        <v>1</v>
      </c>
      <c r="C51" s="26">
        <v>100.0</v>
      </c>
      <c r="D51" s="808">
        <v>80.0</v>
      </c>
      <c r="E51" s="810" t="s">
        <v>190</v>
      </c>
      <c r="F51" s="141"/>
      <c r="G51" s="11"/>
      <c r="H51" s="11"/>
      <c r="I51" s="11"/>
      <c r="J51" s="805" t="s">
        <v>1</v>
      </c>
      <c r="K51" s="26">
        <v>100.0</v>
      </c>
      <c r="L51" s="26">
        <v>10.0</v>
      </c>
      <c r="M51" s="810" t="s">
        <v>190</v>
      </c>
      <c r="N51" s="141"/>
      <c r="O51" s="11"/>
      <c r="P51" s="11"/>
      <c r="Q51" s="11"/>
      <c r="R51" s="11"/>
      <c r="S51" s="11"/>
      <c r="T51" s="11"/>
      <c r="U51" s="11"/>
      <c r="V51" s="11"/>
      <c r="W51" s="11"/>
      <c r="X51" s="11"/>
    </row>
    <row r="52" ht="16.5" customHeight="1">
      <c r="A52" s="813" t="s">
        <v>788</v>
      </c>
      <c r="B52" s="814" t="s">
        <v>792</v>
      </c>
      <c r="C52" s="817">
        <v>6.0</v>
      </c>
      <c r="D52" s="817">
        <f t="shared" ref="D52:D75" si="4">(C52*D51)/C51</f>
        <v>4.8</v>
      </c>
      <c r="E52" s="819" t="s">
        <v>14</v>
      </c>
      <c r="F52" s="44" t="s">
        <v>796</v>
      </c>
      <c r="G52" s="11"/>
      <c r="H52" s="11"/>
      <c r="I52" s="11"/>
      <c r="J52" s="814" t="s">
        <v>792</v>
      </c>
      <c r="K52" s="817">
        <v>7.0</v>
      </c>
      <c r="L52" s="817">
        <f t="shared" ref="L52:L75" si="5">(K52*L51)/K51</f>
        <v>0.7</v>
      </c>
      <c r="M52" s="819" t="s">
        <v>14</v>
      </c>
      <c r="N52" s="44" t="s">
        <v>796</v>
      </c>
      <c r="O52" s="11"/>
      <c r="P52" s="11"/>
      <c r="Q52" s="11"/>
      <c r="R52" s="11"/>
      <c r="S52" s="11"/>
      <c r="T52" s="11"/>
      <c r="U52" s="11"/>
      <c r="V52" s="11"/>
      <c r="W52" s="11"/>
      <c r="X52" s="11"/>
    </row>
    <row r="53" ht="15.75" customHeight="1">
      <c r="A53" s="47"/>
      <c r="B53" s="827" t="s">
        <v>805</v>
      </c>
      <c r="C53" s="828">
        <v>5.0</v>
      </c>
      <c r="D53" s="828">
        <f t="shared" si="4"/>
        <v>4</v>
      </c>
      <c r="E53" s="830" t="s">
        <v>14</v>
      </c>
      <c r="F53" s="47"/>
      <c r="G53" s="11"/>
      <c r="H53" s="11"/>
      <c r="I53" s="11"/>
      <c r="J53" s="827" t="s">
        <v>805</v>
      </c>
      <c r="K53" s="828">
        <v>6.5</v>
      </c>
      <c r="L53" s="817">
        <f t="shared" si="5"/>
        <v>0.65</v>
      </c>
      <c r="M53" s="830" t="s">
        <v>14</v>
      </c>
      <c r="N53" s="47"/>
      <c r="O53" s="11"/>
      <c r="P53" s="11"/>
      <c r="Q53" s="11"/>
      <c r="R53" s="11"/>
      <c r="S53" s="11"/>
      <c r="T53" s="11"/>
      <c r="U53" s="11"/>
      <c r="V53" s="11"/>
      <c r="W53" s="11"/>
      <c r="X53" s="11"/>
    </row>
    <row r="54" ht="13.5" customHeight="1">
      <c r="A54" s="47"/>
      <c r="B54" s="833" t="s">
        <v>810</v>
      </c>
      <c r="C54" s="835">
        <v>2.0</v>
      </c>
      <c r="D54" s="835">
        <f t="shared" si="4"/>
        <v>1.6</v>
      </c>
      <c r="E54" s="837" t="s">
        <v>14</v>
      </c>
      <c r="F54" s="47"/>
      <c r="G54" s="11"/>
      <c r="H54" s="11"/>
      <c r="I54" s="11"/>
      <c r="J54" s="833" t="s">
        <v>810</v>
      </c>
      <c r="K54" s="835">
        <v>3.0</v>
      </c>
      <c r="L54" s="817">
        <f t="shared" si="5"/>
        <v>0.3</v>
      </c>
      <c r="M54" s="837" t="s">
        <v>14</v>
      </c>
      <c r="N54" s="47"/>
      <c r="O54" s="11"/>
      <c r="P54" s="11"/>
      <c r="Q54" s="11"/>
      <c r="R54" s="11"/>
      <c r="S54" s="11"/>
      <c r="T54" s="11"/>
      <c r="U54" s="11"/>
      <c r="V54" s="11"/>
      <c r="W54" s="11"/>
      <c r="X54" s="11"/>
    </row>
    <row r="55" ht="15.0" customHeight="1">
      <c r="A55" s="76"/>
      <c r="B55" s="833" t="s">
        <v>31</v>
      </c>
      <c r="C55" s="835">
        <v>1350.0</v>
      </c>
      <c r="D55" s="835">
        <f t="shared" si="4"/>
        <v>1080</v>
      </c>
      <c r="E55" s="837" t="s">
        <v>18</v>
      </c>
      <c r="F55" s="47"/>
      <c r="G55" s="11"/>
      <c r="H55" s="11"/>
      <c r="I55" s="11"/>
      <c r="J55" s="833" t="s">
        <v>31</v>
      </c>
      <c r="K55" s="835">
        <v>1350.0</v>
      </c>
      <c r="L55" s="835">
        <f t="shared" si="5"/>
        <v>135</v>
      </c>
      <c r="M55" s="837" t="s">
        <v>18</v>
      </c>
      <c r="N55" s="47"/>
      <c r="O55" s="11"/>
      <c r="P55" s="11"/>
      <c r="Q55" s="11"/>
      <c r="R55" s="11"/>
      <c r="S55" s="11"/>
      <c r="T55" s="11"/>
      <c r="U55" s="11"/>
      <c r="V55" s="11"/>
      <c r="W55" s="11"/>
      <c r="X55" s="11"/>
    </row>
    <row r="56" ht="13.5" customHeight="1">
      <c r="A56" s="11"/>
      <c r="B56" s="357" t="s">
        <v>824</v>
      </c>
      <c r="C56" s="839">
        <v>0.5</v>
      </c>
      <c r="D56" s="839">
        <f t="shared" si="4"/>
        <v>0.4</v>
      </c>
      <c r="E56" s="773" t="s">
        <v>5</v>
      </c>
      <c r="F56" s="47"/>
      <c r="G56" s="11"/>
      <c r="H56" s="11"/>
      <c r="I56" s="11"/>
      <c r="J56" s="357" t="s">
        <v>824</v>
      </c>
      <c r="K56" s="839">
        <v>0.5</v>
      </c>
      <c r="L56" s="839">
        <f t="shared" si="5"/>
        <v>0.05</v>
      </c>
      <c r="M56" s="773" t="s">
        <v>5</v>
      </c>
      <c r="N56" s="47"/>
      <c r="O56" s="11"/>
      <c r="P56" s="11"/>
      <c r="Q56" s="11"/>
      <c r="R56" s="11"/>
      <c r="S56" s="11"/>
      <c r="T56" s="11"/>
      <c r="U56" s="11"/>
      <c r="V56" s="11"/>
      <c r="W56" s="11"/>
      <c r="X56" s="11"/>
    </row>
    <row r="57" ht="13.5" customHeight="1">
      <c r="A57" s="11"/>
      <c r="B57" s="341" t="s">
        <v>243</v>
      </c>
      <c r="C57" s="321">
        <v>80.0</v>
      </c>
      <c r="D57" s="321">
        <f t="shared" si="4"/>
        <v>64</v>
      </c>
      <c r="E57" s="769" t="s">
        <v>5</v>
      </c>
      <c r="F57" s="47"/>
      <c r="G57" s="11"/>
      <c r="H57" s="11"/>
      <c r="I57" s="11"/>
      <c r="J57" s="341" t="s">
        <v>243</v>
      </c>
      <c r="K57" s="321">
        <v>80.0</v>
      </c>
      <c r="L57" s="321">
        <f t="shared" si="5"/>
        <v>8</v>
      </c>
      <c r="M57" s="769" t="s">
        <v>5</v>
      </c>
      <c r="N57" s="47"/>
      <c r="O57" s="11"/>
      <c r="P57" s="11"/>
      <c r="Q57" s="11"/>
      <c r="R57" s="11"/>
      <c r="S57" s="11"/>
      <c r="T57" s="11"/>
      <c r="U57" s="11"/>
      <c r="V57" s="11"/>
      <c r="W57" s="11"/>
      <c r="X57" s="11"/>
    </row>
    <row r="58" ht="13.5" customHeight="1">
      <c r="A58" s="11"/>
      <c r="B58" s="341" t="s">
        <v>828</v>
      </c>
      <c r="C58" s="321">
        <v>500.0</v>
      </c>
      <c r="D58" s="321">
        <f t="shared" si="4"/>
        <v>400</v>
      </c>
      <c r="E58" s="769" t="s">
        <v>18</v>
      </c>
      <c r="F58" s="47"/>
      <c r="G58" s="11"/>
      <c r="H58" s="11"/>
      <c r="I58" s="11"/>
      <c r="J58" s="341" t="s">
        <v>828</v>
      </c>
      <c r="K58" s="321">
        <v>500.0</v>
      </c>
      <c r="L58" s="321">
        <f t="shared" si="5"/>
        <v>50</v>
      </c>
      <c r="M58" s="769" t="s">
        <v>18</v>
      </c>
      <c r="N58" s="47"/>
      <c r="O58" s="11"/>
      <c r="P58" s="11"/>
      <c r="Q58" s="11"/>
      <c r="R58" s="11"/>
      <c r="S58" s="11"/>
      <c r="T58" s="11"/>
      <c r="U58" s="11"/>
      <c r="V58" s="11"/>
      <c r="W58" s="11"/>
      <c r="X58" s="11"/>
    </row>
    <row r="59" ht="13.5" customHeight="1">
      <c r="A59" s="11"/>
      <c r="B59" s="341" t="s">
        <v>83</v>
      </c>
      <c r="C59" s="321">
        <v>200.0</v>
      </c>
      <c r="D59" s="321">
        <f t="shared" si="4"/>
        <v>160</v>
      </c>
      <c r="E59" s="769" t="s">
        <v>18</v>
      </c>
      <c r="F59" s="47"/>
      <c r="G59" s="11"/>
      <c r="H59" s="11"/>
      <c r="I59" s="11"/>
      <c r="J59" s="341" t="s">
        <v>83</v>
      </c>
      <c r="K59" s="321">
        <v>200.0</v>
      </c>
      <c r="L59" s="321">
        <f t="shared" si="5"/>
        <v>20</v>
      </c>
      <c r="M59" s="769" t="s">
        <v>18</v>
      </c>
      <c r="N59" s="47"/>
      <c r="O59" s="11"/>
      <c r="P59" s="11"/>
      <c r="Q59" s="11"/>
      <c r="R59" s="11"/>
      <c r="S59" s="11"/>
      <c r="T59" s="11"/>
      <c r="U59" s="11"/>
      <c r="V59" s="11"/>
      <c r="W59" s="11"/>
      <c r="X59" s="11"/>
    </row>
    <row r="60" ht="13.5" customHeight="1">
      <c r="A60" s="11"/>
      <c r="B60" s="341" t="s">
        <v>103</v>
      </c>
      <c r="C60" s="321">
        <v>75.0</v>
      </c>
      <c r="D60" s="321">
        <f t="shared" si="4"/>
        <v>60</v>
      </c>
      <c r="E60" s="769" t="s">
        <v>18</v>
      </c>
      <c r="F60" s="47"/>
      <c r="G60" s="11"/>
      <c r="H60" s="11"/>
      <c r="I60" s="11"/>
      <c r="J60" s="341" t="s">
        <v>103</v>
      </c>
      <c r="K60" s="321">
        <v>75.0</v>
      </c>
      <c r="L60" s="321">
        <f t="shared" si="5"/>
        <v>7.5</v>
      </c>
      <c r="M60" s="769" t="s">
        <v>18</v>
      </c>
      <c r="N60" s="47"/>
      <c r="O60" s="11"/>
      <c r="P60" s="11"/>
      <c r="Q60" s="11"/>
      <c r="R60" s="11"/>
      <c r="S60" s="11"/>
      <c r="T60" s="11"/>
      <c r="U60" s="11"/>
      <c r="V60" s="11"/>
      <c r="W60" s="11"/>
      <c r="X60" s="11"/>
    </row>
    <row r="61" ht="13.5" customHeight="1">
      <c r="A61" s="11"/>
      <c r="B61" s="358" t="s">
        <v>52</v>
      </c>
      <c r="C61" s="318">
        <v>200.0</v>
      </c>
      <c r="D61" s="318">
        <f t="shared" si="4"/>
        <v>160</v>
      </c>
      <c r="E61" s="775" t="s">
        <v>18</v>
      </c>
      <c r="F61" s="76"/>
      <c r="G61" s="11"/>
      <c r="H61" s="11"/>
      <c r="I61" s="11"/>
      <c r="J61" s="358" t="s">
        <v>52</v>
      </c>
      <c r="K61" s="318">
        <v>200.0</v>
      </c>
      <c r="L61" s="318">
        <f t="shared" si="5"/>
        <v>20</v>
      </c>
      <c r="M61" s="775" t="s">
        <v>18</v>
      </c>
      <c r="N61" s="76"/>
      <c r="O61" s="11"/>
      <c r="P61" s="11"/>
      <c r="Q61" s="11"/>
      <c r="R61" s="11"/>
      <c r="S61" s="11"/>
      <c r="T61" s="11"/>
      <c r="U61" s="11"/>
      <c r="V61" s="11"/>
      <c r="W61" s="11"/>
      <c r="X61" s="11"/>
    </row>
    <row r="62" ht="13.5" customHeight="1">
      <c r="A62" s="11"/>
      <c r="B62" s="365" t="s">
        <v>831</v>
      </c>
      <c r="C62" s="328">
        <v>5.0</v>
      </c>
      <c r="D62" s="328">
        <f t="shared" si="4"/>
        <v>4</v>
      </c>
      <c r="E62" s="844" t="s">
        <v>14</v>
      </c>
      <c r="F62" s="141"/>
      <c r="G62" s="11"/>
      <c r="H62" s="11"/>
      <c r="I62" s="11"/>
      <c r="J62" s="365" t="s">
        <v>831</v>
      </c>
      <c r="K62" s="328">
        <v>5.0</v>
      </c>
      <c r="L62" s="328">
        <f t="shared" si="5"/>
        <v>0.5</v>
      </c>
      <c r="M62" s="844" t="s">
        <v>14</v>
      </c>
      <c r="N62" s="141"/>
      <c r="O62" s="11"/>
      <c r="P62" s="11"/>
      <c r="Q62" s="11"/>
      <c r="R62" s="11"/>
      <c r="S62" s="11"/>
      <c r="T62" s="11"/>
      <c r="U62" s="11"/>
      <c r="V62" s="11"/>
      <c r="W62" s="11"/>
      <c r="X62" s="11"/>
    </row>
    <row r="63" ht="13.5" customHeight="1">
      <c r="A63" s="11"/>
      <c r="B63" s="333" t="s">
        <v>39</v>
      </c>
      <c r="C63" s="316">
        <v>200.0</v>
      </c>
      <c r="D63" s="316">
        <f t="shared" si="4"/>
        <v>160</v>
      </c>
      <c r="E63" s="772" t="s">
        <v>18</v>
      </c>
      <c r="F63" s="845" t="s">
        <v>837</v>
      </c>
      <c r="G63" s="11"/>
      <c r="H63" s="11"/>
      <c r="I63" s="11"/>
      <c r="J63" s="333" t="s">
        <v>39</v>
      </c>
      <c r="K63" s="316">
        <v>200.0</v>
      </c>
      <c r="L63" s="316">
        <f t="shared" si="5"/>
        <v>20</v>
      </c>
      <c r="M63" s="772" t="s">
        <v>18</v>
      </c>
      <c r="N63" s="845" t="s">
        <v>837</v>
      </c>
      <c r="O63" s="11"/>
      <c r="P63" s="11"/>
      <c r="Q63" s="11"/>
      <c r="R63" s="11"/>
      <c r="S63" s="11"/>
      <c r="T63" s="11"/>
      <c r="U63" s="11"/>
      <c r="V63" s="11"/>
      <c r="W63" s="11"/>
      <c r="X63" s="11"/>
    </row>
    <row r="64" ht="13.5" customHeight="1">
      <c r="A64" s="11"/>
      <c r="B64" s="341" t="s">
        <v>149</v>
      </c>
      <c r="C64" s="321">
        <v>500.0</v>
      </c>
      <c r="D64" s="321">
        <f t="shared" si="4"/>
        <v>400</v>
      </c>
      <c r="E64" s="769" t="s">
        <v>18</v>
      </c>
      <c r="F64" s="47"/>
      <c r="G64" s="11"/>
      <c r="H64" s="11"/>
      <c r="I64" s="11"/>
      <c r="J64" s="341" t="s">
        <v>149</v>
      </c>
      <c r="K64" s="321">
        <v>500.0</v>
      </c>
      <c r="L64" s="321">
        <f t="shared" si="5"/>
        <v>50</v>
      </c>
      <c r="M64" s="769" t="s">
        <v>18</v>
      </c>
      <c r="N64" s="47"/>
      <c r="O64" s="11"/>
      <c r="P64" s="11"/>
      <c r="Q64" s="11"/>
      <c r="R64" s="11"/>
      <c r="S64" s="11"/>
      <c r="T64" s="11"/>
      <c r="U64" s="11"/>
      <c r="V64" s="11"/>
      <c r="W64" s="11"/>
      <c r="X64" s="11"/>
    </row>
    <row r="65" ht="13.5" customHeight="1">
      <c r="A65" s="11"/>
      <c r="B65" s="358" t="s">
        <v>841</v>
      </c>
      <c r="C65" s="318">
        <v>150.0</v>
      </c>
      <c r="D65" s="318">
        <f t="shared" si="4"/>
        <v>120</v>
      </c>
      <c r="E65" s="775" t="s">
        <v>18</v>
      </c>
      <c r="F65" s="76"/>
      <c r="G65" s="11"/>
      <c r="H65" s="11"/>
      <c r="I65" s="11"/>
      <c r="J65" s="358" t="s">
        <v>841</v>
      </c>
      <c r="K65" s="318">
        <v>150.0</v>
      </c>
      <c r="L65" s="318">
        <f t="shared" si="5"/>
        <v>15</v>
      </c>
      <c r="M65" s="775" t="s">
        <v>18</v>
      </c>
      <c r="N65" s="76"/>
      <c r="O65" s="11"/>
      <c r="P65" s="11"/>
      <c r="Q65" s="11"/>
      <c r="R65" s="11"/>
      <c r="S65" s="11"/>
      <c r="T65" s="11"/>
      <c r="U65" s="11"/>
      <c r="V65" s="11"/>
      <c r="W65" s="11"/>
      <c r="X65" s="11"/>
    </row>
    <row r="66" ht="13.5" customHeight="1">
      <c r="A66" s="11"/>
      <c r="B66" s="357" t="s">
        <v>91</v>
      </c>
      <c r="C66" s="839">
        <v>2.5</v>
      </c>
      <c r="D66" s="839">
        <f t="shared" si="4"/>
        <v>2</v>
      </c>
      <c r="E66" s="773" t="s">
        <v>5</v>
      </c>
      <c r="F66" s="44" t="s">
        <v>843</v>
      </c>
      <c r="G66" s="11"/>
      <c r="H66" s="11"/>
      <c r="I66" s="11"/>
      <c r="J66" s="357" t="s">
        <v>91</v>
      </c>
      <c r="K66" s="839">
        <v>2.5</v>
      </c>
      <c r="L66" s="839">
        <f t="shared" si="5"/>
        <v>0.25</v>
      </c>
      <c r="M66" s="773" t="s">
        <v>5</v>
      </c>
      <c r="N66" s="44" t="s">
        <v>843</v>
      </c>
      <c r="O66" s="11"/>
      <c r="P66" s="11"/>
      <c r="Q66" s="11"/>
      <c r="R66" s="11"/>
      <c r="S66" s="11"/>
      <c r="T66" s="11"/>
      <c r="U66" s="11"/>
      <c r="V66" s="11"/>
      <c r="W66" s="11"/>
      <c r="X66" s="11"/>
    </row>
    <row r="67" ht="13.5" customHeight="1">
      <c r="A67" s="11"/>
      <c r="B67" s="341" t="s">
        <v>844</v>
      </c>
      <c r="C67" s="321">
        <v>25.0</v>
      </c>
      <c r="D67" s="321">
        <f t="shared" si="4"/>
        <v>20</v>
      </c>
      <c r="E67" s="769" t="s">
        <v>18</v>
      </c>
      <c r="F67" s="47"/>
      <c r="G67" s="11"/>
      <c r="H67" s="11"/>
      <c r="I67" s="11"/>
      <c r="J67" s="341" t="s">
        <v>844</v>
      </c>
      <c r="K67" s="321">
        <v>25.0</v>
      </c>
      <c r="L67" s="321">
        <f t="shared" si="5"/>
        <v>2.5</v>
      </c>
      <c r="M67" s="769" t="s">
        <v>18</v>
      </c>
      <c r="N67" s="47"/>
      <c r="O67" s="11"/>
      <c r="P67" s="11"/>
      <c r="Q67" s="11"/>
      <c r="R67" s="11"/>
      <c r="S67" s="11"/>
      <c r="T67" s="11"/>
      <c r="U67" s="11"/>
      <c r="V67" s="11"/>
      <c r="W67" s="11"/>
      <c r="X67" s="11"/>
    </row>
    <row r="68" ht="13.5" customHeight="1">
      <c r="A68" s="11"/>
      <c r="B68" s="341" t="s">
        <v>97</v>
      </c>
      <c r="C68" s="321">
        <v>100.0</v>
      </c>
      <c r="D68" s="321">
        <f t="shared" si="4"/>
        <v>80</v>
      </c>
      <c r="E68" s="769" t="s">
        <v>18</v>
      </c>
      <c r="F68" s="47"/>
      <c r="G68" s="11"/>
      <c r="H68" s="11"/>
      <c r="I68" s="11"/>
      <c r="J68" s="341" t="s">
        <v>97</v>
      </c>
      <c r="K68" s="321">
        <v>100.0</v>
      </c>
      <c r="L68" s="321">
        <f t="shared" si="5"/>
        <v>10</v>
      </c>
      <c r="M68" s="769" t="s">
        <v>18</v>
      </c>
      <c r="N68" s="47"/>
      <c r="O68" s="11"/>
      <c r="P68" s="11"/>
      <c r="Q68" s="11"/>
      <c r="R68" s="11"/>
      <c r="S68" s="11"/>
      <c r="T68" s="11"/>
      <c r="U68" s="11"/>
      <c r="V68" s="11"/>
      <c r="W68" s="11"/>
      <c r="X68" s="11"/>
    </row>
    <row r="69" ht="13.5" customHeight="1">
      <c r="A69" s="11"/>
      <c r="B69" s="341" t="s">
        <v>98</v>
      </c>
      <c r="C69" s="321">
        <v>150.0</v>
      </c>
      <c r="D69" s="321">
        <f t="shared" si="4"/>
        <v>120</v>
      </c>
      <c r="E69" s="769" t="s">
        <v>18</v>
      </c>
      <c r="F69" s="47"/>
      <c r="G69" s="11"/>
      <c r="H69" s="11"/>
      <c r="I69" s="11"/>
      <c r="J69" s="341" t="s">
        <v>98</v>
      </c>
      <c r="K69" s="321">
        <v>150.0</v>
      </c>
      <c r="L69" s="321">
        <f t="shared" si="5"/>
        <v>15</v>
      </c>
      <c r="M69" s="769" t="s">
        <v>18</v>
      </c>
      <c r="N69" s="47"/>
      <c r="O69" s="11"/>
      <c r="P69" s="11"/>
      <c r="Q69" s="11"/>
      <c r="R69" s="11"/>
      <c r="S69" s="11"/>
      <c r="T69" s="11"/>
      <c r="U69" s="11"/>
      <c r="V69" s="11"/>
      <c r="W69" s="11"/>
      <c r="X69" s="11"/>
    </row>
    <row r="70" ht="13.5" customHeight="1">
      <c r="A70" s="11"/>
      <c r="B70" s="349" t="s">
        <v>847</v>
      </c>
      <c r="C70" s="355">
        <v>100.0</v>
      </c>
      <c r="D70" s="355">
        <f t="shared" si="4"/>
        <v>80</v>
      </c>
      <c r="E70" s="854" t="s">
        <v>18</v>
      </c>
      <c r="F70" s="47"/>
      <c r="G70" s="11"/>
      <c r="H70" s="11"/>
      <c r="I70" s="11"/>
      <c r="J70" s="349" t="s">
        <v>847</v>
      </c>
      <c r="K70" s="355">
        <v>100.0</v>
      </c>
      <c r="L70" s="355">
        <f t="shared" si="5"/>
        <v>10</v>
      </c>
      <c r="M70" s="854" t="s">
        <v>18</v>
      </c>
      <c r="N70" s="47"/>
      <c r="O70" s="11"/>
      <c r="P70" s="11"/>
      <c r="Q70" s="11"/>
      <c r="R70" s="11"/>
      <c r="S70" s="11"/>
      <c r="T70" s="11"/>
      <c r="U70" s="11"/>
      <c r="V70" s="11"/>
      <c r="W70" s="11"/>
      <c r="X70" s="11"/>
    </row>
    <row r="71" ht="13.5" customHeight="1">
      <c r="A71" s="11"/>
      <c r="B71" s="341" t="s">
        <v>103</v>
      </c>
      <c r="C71" s="321">
        <v>75.0</v>
      </c>
      <c r="D71" s="321">
        <f t="shared" si="4"/>
        <v>60</v>
      </c>
      <c r="E71" s="769" t="s">
        <v>18</v>
      </c>
      <c r="F71" s="47"/>
      <c r="G71" s="11"/>
      <c r="H71" s="11"/>
      <c r="I71" s="11"/>
      <c r="J71" s="341" t="s">
        <v>103</v>
      </c>
      <c r="K71" s="321">
        <v>75.0</v>
      </c>
      <c r="L71" s="321">
        <f t="shared" si="5"/>
        <v>7.5</v>
      </c>
      <c r="M71" s="769" t="s">
        <v>18</v>
      </c>
      <c r="N71" s="47"/>
      <c r="O71" s="11"/>
      <c r="P71" s="11"/>
      <c r="Q71" s="11"/>
      <c r="R71" s="11"/>
      <c r="S71" s="11"/>
      <c r="T71" s="11"/>
      <c r="U71" s="11"/>
      <c r="V71" s="11"/>
      <c r="W71" s="11"/>
      <c r="X71" s="11"/>
    </row>
    <row r="72" ht="13.5" customHeight="1">
      <c r="A72" s="11"/>
      <c r="B72" s="333" t="s">
        <v>850</v>
      </c>
      <c r="C72" s="316">
        <v>5.0</v>
      </c>
      <c r="D72" s="316">
        <f t="shared" si="4"/>
        <v>4</v>
      </c>
      <c r="E72" s="772" t="s">
        <v>14</v>
      </c>
      <c r="F72" s="47"/>
      <c r="G72" s="11"/>
      <c r="H72" s="11"/>
      <c r="I72" s="11"/>
      <c r="J72" s="333" t="s">
        <v>850</v>
      </c>
      <c r="K72" s="316">
        <v>5.0</v>
      </c>
      <c r="L72" s="316">
        <f t="shared" si="5"/>
        <v>0.5</v>
      </c>
      <c r="M72" s="772" t="s">
        <v>14</v>
      </c>
      <c r="N72" s="47"/>
      <c r="O72" s="11"/>
      <c r="P72" s="11"/>
      <c r="Q72" s="11"/>
      <c r="R72" s="11"/>
      <c r="S72" s="11"/>
      <c r="T72" s="11"/>
      <c r="U72" s="11"/>
      <c r="V72" s="11"/>
      <c r="W72" s="11"/>
      <c r="X72" s="11"/>
    </row>
    <row r="73" ht="13.5" customHeight="1">
      <c r="A73" s="11"/>
      <c r="B73" s="341" t="s">
        <v>854</v>
      </c>
      <c r="C73" s="321">
        <v>5.0</v>
      </c>
      <c r="D73" s="321">
        <f t="shared" si="4"/>
        <v>4</v>
      </c>
      <c r="E73" s="769" t="s">
        <v>14</v>
      </c>
      <c r="F73" s="47"/>
      <c r="G73" s="11"/>
      <c r="H73" s="11"/>
      <c r="I73" s="11"/>
      <c r="J73" s="341" t="s">
        <v>854</v>
      </c>
      <c r="K73" s="321">
        <v>5.0</v>
      </c>
      <c r="L73" s="321">
        <f t="shared" si="5"/>
        <v>0.5</v>
      </c>
      <c r="M73" s="769" t="s">
        <v>14</v>
      </c>
      <c r="N73" s="47"/>
      <c r="O73" s="11"/>
      <c r="P73" s="11"/>
      <c r="Q73" s="11"/>
      <c r="R73" s="11"/>
      <c r="S73" s="11"/>
      <c r="T73" s="11"/>
      <c r="U73" s="11"/>
      <c r="V73" s="11"/>
      <c r="W73" s="11"/>
      <c r="X73" s="11"/>
    </row>
    <row r="74" ht="13.5" customHeight="1">
      <c r="A74" s="11"/>
      <c r="B74" s="358" t="s">
        <v>856</v>
      </c>
      <c r="C74" s="318">
        <v>0.75</v>
      </c>
      <c r="D74" s="318">
        <f t="shared" si="4"/>
        <v>0.6</v>
      </c>
      <c r="E74" s="775" t="s">
        <v>14</v>
      </c>
      <c r="F74" s="76"/>
      <c r="G74" s="11"/>
      <c r="H74" s="11"/>
      <c r="I74" s="11"/>
      <c r="J74" s="358" t="s">
        <v>856</v>
      </c>
      <c r="K74" s="318">
        <v>0.75</v>
      </c>
      <c r="L74" s="318">
        <f t="shared" si="5"/>
        <v>0.075</v>
      </c>
      <c r="M74" s="775" t="s">
        <v>14</v>
      </c>
      <c r="N74" s="76"/>
      <c r="O74" s="11"/>
      <c r="P74" s="11"/>
      <c r="Q74" s="11"/>
      <c r="R74" s="11"/>
      <c r="S74" s="11"/>
      <c r="T74" s="11"/>
      <c r="U74" s="11"/>
      <c r="V74" s="11"/>
      <c r="W74" s="11"/>
      <c r="X74" s="11"/>
    </row>
    <row r="75" ht="13.5" customHeight="1">
      <c r="A75" s="11"/>
      <c r="B75" s="325" t="s">
        <v>114</v>
      </c>
      <c r="C75" s="337">
        <v>2.5</v>
      </c>
      <c r="D75" s="328">
        <f t="shared" si="4"/>
        <v>2</v>
      </c>
      <c r="E75" s="860" t="s">
        <v>5</v>
      </c>
      <c r="F75" s="784" t="s">
        <v>859</v>
      </c>
      <c r="G75" s="11"/>
      <c r="H75" s="11"/>
      <c r="I75" s="11"/>
      <c r="J75" s="325" t="s">
        <v>114</v>
      </c>
      <c r="K75" s="337">
        <v>2.5</v>
      </c>
      <c r="L75" s="328">
        <f t="shared" si="5"/>
        <v>0.25</v>
      </c>
      <c r="M75" s="860" t="s">
        <v>5</v>
      </c>
      <c r="N75" s="784" t="s">
        <v>859</v>
      </c>
      <c r="O75" s="11"/>
      <c r="P75" s="11"/>
      <c r="Q75" s="11"/>
      <c r="R75" s="11"/>
      <c r="S75" s="11"/>
      <c r="T75" s="11"/>
      <c r="U75" s="11"/>
      <c r="V75" s="11"/>
      <c r="W75" s="11"/>
      <c r="X75" s="11"/>
    </row>
    <row r="76" ht="13.5" customHeight="1">
      <c r="A76" s="11"/>
      <c r="B76" s="220" t="s">
        <v>42</v>
      </c>
      <c r="C76" s="220" t="s">
        <v>47</v>
      </c>
      <c r="D76" s="11"/>
      <c r="E76" s="11"/>
      <c r="F76" s="11"/>
      <c r="G76" s="11"/>
      <c r="H76" s="11"/>
      <c r="I76" s="11"/>
      <c r="J76" s="11"/>
      <c r="K76" s="11"/>
      <c r="L76" s="11"/>
      <c r="M76" s="755"/>
      <c r="N76" s="11"/>
      <c r="O76" s="11"/>
      <c r="P76" s="11"/>
      <c r="Q76" s="11"/>
      <c r="R76" s="11"/>
      <c r="S76" s="11"/>
      <c r="T76" s="11"/>
      <c r="U76" s="11"/>
      <c r="V76" s="11"/>
      <c r="W76" s="11"/>
      <c r="X76" s="11"/>
    </row>
    <row r="77" ht="13.5" customHeight="1">
      <c r="A77" s="11"/>
      <c r="B77" s="865" t="s">
        <v>120</v>
      </c>
      <c r="C77" s="869">
        <v>41541.0</v>
      </c>
      <c r="D77" s="11"/>
      <c r="E77" s="11"/>
      <c r="F77" s="11"/>
      <c r="G77" s="11"/>
      <c r="H77" s="11"/>
      <c r="I77" s="11"/>
      <c r="J77" s="11"/>
      <c r="K77" s="11"/>
      <c r="L77" s="11"/>
      <c r="M77" s="755"/>
      <c r="N77" s="11"/>
      <c r="O77" s="11"/>
      <c r="P77" s="11"/>
      <c r="Q77" s="11"/>
      <c r="R77" s="11"/>
      <c r="S77" s="11"/>
      <c r="T77" s="11"/>
      <c r="U77" s="11"/>
      <c r="V77" s="11"/>
      <c r="W77" s="11"/>
      <c r="X77" s="11"/>
    </row>
    <row r="78" ht="13.5" customHeight="1">
      <c r="A78" s="11"/>
      <c r="B78" s="873" t="s">
        <v>50</v>
      </c>
      <c r="C78" s="869">
        <v>41849.0</v>
      </c>
      <c r="D78" s="11"/>
      <c r="E78" s="11"/>
      <c r="F78" s="11"/>
      <c r="G78" s="11"/>
      <c r="H78" s="11"/>
      <c r="I78" s="11"/>
      <c r="J78" s="11"/>
      <c r="K78" s="11"/>
      <c r="L78" s="11"/>
      <c r="M78" s="755"/>
      <c r="N78" s="11"/>
      <c r="O78" s="11"/>
      <c r="P78" s="11"/>
      <c r="Q78" s="11"/>
      <c r="R78" s="11"/>
      <c r="S78" s="11"/>
      <c r="T78" s="11"/>
      <c r="U78" s="11"/>
      <c r="V78" s="11"/>
      <c r="W78" s="11"/>
      <c r="X78" s="11"/>
    </row>
    <row r="79" ht="13.5" customHeight="1">
      <c r="A79" s="11"/>
      <c r="B79" s="11"/>
      <c r="C79" s="11"/>
      <c r="D79" s="11"/>
      <c r="E79" s="11"/>
      <c r="F79" s="11"/>
      <c r="G79" s="11"/>
      <c r="H79" s="11"/>
      <c r="I79" s="11"/>
      <c r="J79" s="11"/>
      <c r="K79" s="11"/>
      <c r="L79" s="11"/>
      <c r="M79" s="755"/>
      <c r="N79" s="11"/>
      <c r="O79" s="11"/>
      <c r="P79" s="11"/>
      <c r="Q79" s="11"/>
      <c r="R79" s="11"/>
      <c r="S79" s="11"/>
      <c r="T79" s="11"/>
      <c r="U79" s="11"/>
      <c r="V79" s="11"/>
      <c r="W79" s="11"/>
      <c r="X79" s="11"/>
    </row>
    <row r="80" ht="15.0" customHeight="1">
      <c r="A80" s="11"/>
      <c r="B80" s="343" t="s">
        <v>503</v>
      </c>
      <c r="C80" s="18"/>
      <c r="D80" s="18"/>
      <c r="E80" s="19"/>
      <c r="F80" s="881" t="s">
        <v>894</v>
      </c>
      <c r="G80" s="11"/>
      <c r="H80" s="11"/>
      <c r="I80" s="11"/>
      <c r="J80" s="11"/>
      <c r="K80" s="11"/>
      <c r="L80" s="11"/>
      <c r="M80" s="755"/>
      <c r="N80" s="11"/>
      <c r="O80" s="11"/>
      <c r="P80" s="11"/>
      <c r="Q80" s="11"/>
      <c r="R80" s="11"/>
      <c r="S80" s="11"/>
      <c r="T80" s="11"/>
      <c r="U80" s="11"/>
      <c r="V80" s="11"/>
      <c r="W80" s="11"/>
      <c r="X80" s="11"/>
    </row>
    <row r="81" ht="15.0" customHeight="1">
      <c r="A81" s="11"/>
      <c r="B81" s="163" t="s">
        <v>1</v>
      </c>
      <c r="C81" s="883">
        <v>100.0</v>
      </c>
      <c r="D81" s="883">
        <v>10.0</v>
      </c>
      <c r="E81" s="733" t="s">
        <v>5</v>
      </c>
      <c r="F81" s="495"/>
      <c r="G81" s="11"/>
      <c r="H81" s="11"/>
      <c r="I81" s="11"/>
      <c r="J81" s="11"/>
      <c r="K81" s="11"/>
      <c r="L81" s="11"/>
      <c r="M81" s="755"/>
      <c r="N81" s="11"/>
      <c r="O81" s="11"/>
      <c r="P81" s="11"/>
      <c r="Q81" s="11"/>
      <c r="R81" s="11"/>
      <c r="S81" s="11"/>
      <c r="T81" s="11"/>
      <c r="U81" s="11"/>
      <c r="V81" s="11"/>
      <c r="W81" s="11"/>
      <c r="X81" s="11"/>
    </row>
    <row r="82" ht="15.0" customHeight="1">
      <c r="A82" s="11"/>
      <c r="B82" s="262" t="s">
        <v>904</v>
      </c>
      <c r="C82" s="884">
        <v>6.0</v>
      </c>
      <c r="D82" s="884">
        <f t="shared" ref="D82:D95" si="6">(C82*D81)/C81</f>
        <v>0.6</v>
      </c>
      <c r="E82" s="267" t="s">
        <v>14</v>
      </c>
      <c r="F82" s="495"/>
      <c r="G82" s="11"/>
      <c r="H82" s="11"/>
      <c r="I82" s="11"/>
      <c r="J82" s="11"/>
      <c r="K82" s="11"/>
      <c r="L82" s="11"/>
      <c r="M82" s="755"/>
      <c r="N82" s="11"/>
      <c r="O82" s="11"/>
      <c r="P82" s="11"/>
      <c r="Q82" s="11"/>
      <c r="R82" s="11"/>
      <c r="S82" s="11"/>
      <c r="T82" s="11"/>
      <c r="U82" s="11"/>
      <c r="V82" s="11"/>
      <c r="W82" s="11"/>
      <c r="X82" s="11"/>
    </row>
    <row r="83" ht="13.5" customHeight="1">
      <c r="A83" s="11"/>
      <c r="B83" s="25" t="s">
        <v>912</v>
      </c>
      <c r="C83" s="885">
        <v>10.0</v>
      </c>
      <c r="D83" s="885">
        <f t="shared" si="6"/>
        <v>1</v>
      </c>
      <c r="E83" s="28" t="s">
        <v>14</v>
      </c>
      <c r="F83" s="44" t="s">
        <v>916</v>
      </c>
      <c r="G83" s="11"/>
      <c r="H83" s="11"/>
      <c r="I83" s="11"/>
      <c r="J83" s="11"/>
      <c r="K83" s="11"/>
      <c r="L83" s="11"/>
      <c r="M83" s="755"/>
      <c r="N83" s="11"/>
      <c r="O83" s="11"/>
      <c r="P83" s="11"/>
      <c r="Q83" s="11"/>
      <c r="R83" s="11"/>
      <c r="S83" s="11"/>
      <c r="T83" s="11"/>
      <c r="U83" s="11"/>
      <c r="V83" s="11"/>
      <c r="W83" s="11"/>
      <c r="X83" s="11"/>
    </row>
    <row r="84" ht="13.5" customHeight="1">
      <c r="A84" s="11"/>
      <c r="B84" s="887" t="s">
        <v>919</v>
      </c>
      <c r="C84" s="888">
        <v>10.0</v>
      </c>
      <c r="D84" s="888">
        <f t="shared" si="6"/>
        <v>1</v>
      </c>
      <c r="E84" s="889" t="s">
        <v>14</v>
      </c>
      <c r="F84" s="47"/>
      <c r="G84" s="11"/>
      <c r="H84" s="11"/>
      <c r="I84" s="11"/>
      <c r="J84" s="11"/>
      <c r="K84" s="11"/>
      <c r="L84" s="11"/>
      <c r="M84" s="755"/>
      <c r="N84" s="11"/>
      <c r="O84" s="11"/>
      <c r="P84" s="11"/>
      <c r="Q84" s="11"/>
      <c r="R84" s="11"/>
      <c r="S84" s="11"/>
      <c r="T84" s="11"/>
      <c r="U84" s="11"/>
      <c r="V84" s="11"/>
      <c r="W84" s="11"/>
      <c r="X84" s="11"/>
    </row>
    <row r="85" ht="13.5" customHeight="1">
      <c r="A85" s="11"/>
      <c r="B85" s="890" t="s">
        <v>924</v>
      </c>
      <c r="C85" s="891">
        <v>10.0</v>
      </c>
      <c r="D85" s="891">
        <f t="shared" si="6"/>
        <v>1</v>
      </c>
      <c r="E85" s="892" t="s">
        <v>14</v>
      </c>
      <c r="F85" s="76"/>
      <c r="G85" s="11"/>
      <c r="H85" s="11"/>
      <c r="I85" s="11"/>
      <c r="J85" s="11"/>
      <c r="K85" s="11"/>
      <c r="L85" s="11"/>
      <c r="M85" s="755"/>
      <c r="N85" s="11"/>
      <c r="O85" s="11"/>
      <c r="P85" s="11"/>
      <c r="Q85" s="11"/>
      <c r="R85" s="11"/>
      <c r="S85" s="11"/>
      <c r="T85" s="11"/>
      <c r="U85" s="11"/>
      <c r="V85" s="11"/>
      <c r="W85" s="11"/>
      <c r="X85" s="11"/>
    </row>
    <row r="86" ht="13.5" customHeight="1">
      <c r="A86" s="11"/>
      <c r="B86" s="157" t="s">
        <v>935</v>
      </c>
      <c r="C86" s="894">
        <v>1200.0</v>
      </c>
      <c r="D86" s="894">
        <f t="shared" si="6"/>
        <v>120</v>
      </c>
      <c r="E86" s="159" t="s">
        <v>18</v>
      </c>
      <c r="F86" s="495"/>
      <c r="G86" s="11"/>
      <c r="H86" s="11"/>
      <c r="I86" s="11"/>
      <c r="J86" s="11"/>
      <c r="K86" s="11"/>
      <c r="L86" s="11"/>
      <c r="M86" s="755"/>
      <c r="N86" s="11"/>
      <c r="O86" s="11"/>
      <c r="P86" s="11"/>
      <c r="Q86" s="11"/>
      <c r="R86" s="11"/>
      <c r="S86" s="11"/>
      <c r="T86" s="11"/>
      <c r="U86" s="11"/>
      <c r="V86" s="11"/>
      <c r="W86" s="11"/>
      <c r="X86" s="11"/>
    </row>
    <row r="87" ht="13.5" customHeight="1">
      <c r="A87" s="11"/>
      <c r="B87" s="262" t="s">
        <v>52</v>
      </c>
      <c r="C87" s="884">
        <v>125.0</v>
      </c>
      <c r="D87" s="884">
        <f t="shared" si="6"/>
        <v>12.5</v>
      </c>
      <c r="E87" s="267" t="s">
        <v>18</v>
      </c>
      <c r="F87" s="495"/>
      <c r="G87" s="11"/>
      <c r="H87" s="11"/>
      <c r="I87" s="11"/>
      <c r="J87" s="11"/>
      <c r="K87" s="11"/>
      <c r="L87" s="11"/>
      <c r="M87" s="755"/>
      <c r="N87" s="11"/>
      <c r="O87" s="11"/>
      <c r="P87" s="11"/>
      <c r="Q87" s="11"/>
      <c r="R87" s="11"/>
      <c r="S87" s="11"/>
      <c r="T87" s="11"/>
      <c r="U87" s="11"/>
      <c r="V87" s="11"/>
      <c r="W87" s="11"/>
      <c r="X87" s="11"/>
    </row>
    <row r="88" ht="13.5" customHeight="1">
      <c r="A88" s="11"/>
      <c r="B88" s="163" t="s">
        <v>142</v>
      </c>
      <c r="C88" s="883">
        <v>10.0</v>
      </c>
      <c r="D88" s="285">
        <f t="shared" si="6"/>
        <v>1</v>
      </c>
      <c r="E88" s="169" t="s">
        <v>9</v>
      </c>
      <c r="F88" s="194" t="s">
        <v>944</v>
      </c>
      <c r="G88" s="11"/>
      <c r="H88" s="11"/>
      <c r="I88" s="11"/>
      <c r="J88" s="11"/>
      <c r="K88" s="11"/>
      <c r="L88" s="11"/>
      <c r="M88" s="755"/>
      <c r="N88" s="11"/>
      <c r="O88" s="11"/>
      <c r="P88" s="11"/>
      <c r="Q88" s="11"/>
      <c r="R88" s="11"/>
      <c r="S88" s="11"/>
      <c r="T88" s="11"/>
      <c r="U88" s="11"/>
      <c r="V88" s="11"/>
      <c r="W88" s="11"/>
      <c r="X88" s="11"/>
    </row>
    <row r="89" ht="13.5" customHeight="1">
      <c r="A89" s="11"/>
      <c r="B89" s="177" t="s">
        <v>162</v>
      </c>
      <c r="C89" s="895">
        <v>300.0</v>
      </c>
      <c r="D89" s="198">
        <f t="shared" si="6"/>
        <v>30</v>
      </c>
      <c r="E89" s="204" t="s">
        <v>18</v>
      </c>
      <c r="F89" s="63"/>
      <c r="G89" s="11"/>
      <c r="H89" s="11"/>
      <c r="I89" s="11"/>
      <c r="J89" s="11"/>
      <c r="K89" s="11"/>
      <c r="L89" s="11"/>
      <c r="M89" s="755"/>
      <c r="N89" s="11"/>
      <c r="O89" s="11"/>
      <c r="P89" s="11"/>
      <c r="Q89" s="11"/>
      <c r="R89" s="11"/>
      <c r="S89" s="11"/>
      <c r="T89" s="11"/>
      <c r="U89" s="11"/>
      <c r="V89" s="11"/>
      <c r="W89" s="11"/>
      <c r="X89" s="11"/>
    </row>
    <row r="90" ht="13.5" customHeight="1">
      <c r="A90" s="11"/>
      <c r="B90" s="208" t="s">
        <v>98</v>
      </c>
      <c r="C90" s="896">
        <v>150.0</v>
      </c>
      <c r="D90" s="211">
        <f t="shared" si="6"/>
        <v>15</v>
      </c>
      <c r="E90" s="212" t="s">
        <v>18</v>
      </c>
      <c r="F90" s="102"/>
      <c r="G90" s="11"/>
      <c r="H90" s="11"/>
      <c r="I90" s="11"/>
      <c r="J90" s="11"/>
      <c r="K90" s="11"/>
      <c r="L90" s="11"/>
      <c r="M90" s="755"/>
      <c r="N90" s="11"/>
      <c r="O90" s="11"/>
      <c r="P90" s="11"/>
      <c r="Q90" s="11"/>
      <c r="R90" s="11"/>
      <c r="S90" s="11"/>
      <c r="T90" s="11"/>
      <c r="U90" s="11"/>
      <c r="V90" s="11"/>
      <c r="W90" s="11"/>
      <c r="X90" s="11"/>
    </row>
    <row r="91" ht="13.5" customHeight="1">
      <c r="A91" s="11"/>
      <c r="B91" s="163" t="s">
        <v>34</v>
      </c>
      <c r="C91" s="883">
        <v>1.5</v>
      </c>
      <c r="D91" s="285">
        <f t="shared" si="6"/>
        <v>0.15</v>
      </c>
      <c r="E91" s="169" t="s">
        <v>5</v>
      </c>
      <c r="F91" s="44" t="s">
        <v>954</v>
      </c>
      <c r="G91" s="11"/>
      <c r="H91" s="11"/>
      <c r="I91" s="11"/>
      <c r="J91" s="11"/>
      <c r="K91" s="11"/>
      <c r="L91" s="11"/>
      <c r="M91" s="755"/>
      <c r="N91" s="11"/>
      <c r="O91" s="11"/>
      <c r="P91" s="11"/>
      <c r="Q91" s="11"/>
      <c r="R91" s="11"/>
      <c r="S91" s="11"/>
      <c r="T91" s="11"/>
      <c r="U91" s="11"/>
      <c r="V91" s="11"/>
      <c r="W91" s="11"/>
      <c r="X91" s="11"/>
    </row>
    <row r="92" ht="13.5" customHeight="1">
      <c r="A92" s="11"/>
      <c r="B92" s="177" t="s">
        <v>97</v>
      </c>
      <c r="C92" s="895">
        <v>200.0</v>
      </c>
      <c r="D92" s="198">
        <f t="shared" si="6"/>
        <v>20</v>
      </c>
      <c r="E92" s="204" t="s">
        <v>18</v>
      </c>
      <c r="F92" s="47"/>
      <c r="G92" s="11"/>
      <c r="H92" s="11"/>
      <c r="I92" s="11"/>
      <c r="J92" s="11"/>
      <c r="K92" s="11"/>
      <c r="L92" s="11"/>
      <c r="M92" s="755"/>
      <c r="N92" s="11"/>
      <c r="O92" s="11"/>
      <c r="P92" s="11"/>
      <c r="Q92" s="11"/>
      <c r="R92" s="11"/>
      <c r="S92" s="11"/>
      <c r="T92" s="11"/>
      <c r="U92" s="11"/>
      <c r="V92" s="11"/>
      <c r="W92" s="11"/>
      <c r="X92" s="11"/>
    </row>
    <row r="93" ht="15.75" customHeight="1">
      <c r="A93" s="11"/>
      <c r="B93" s="177" t="s">
        <v>311</v>
      </c>
      <c r="C93" s="895">
        <v>0.75</v>
      </c>
      <c r="D93" s="198">
        <f t="shared" si="6"/>
        <v>0.075</v>
      </c>
      <c r="E93" s="204" t="s">
        <v>14</v>
      </c>
      <c r="F93" s="47"/>
      <c r="G93" s="11"/>
      <c r="H93" s="11"/>
      <c r="I93" s="11"/>
      <c r="J93" s="11"/>
      <c r="K93" s="11"/>
      <c r="L93" s="11"/>
      <c r="M93" s="755"/>
      <c r="N93" s="11"/>
      <c r="O93" s="11"/>
      <c r="P93" s="11"/>
      <c r="Q93" s="11"/>
      <c r="R93" s="11"/>
      <c r="S93" s="11"/>
      <c r="T93" s="11"/>
      <c r="U93" s="11"/>
      <c r="V93" s="11"/>
      <c r="W93" s="11"/>
      <c r="X93" s="11"/>
    </row>
    <row r="94" ht="13.5" customHeight="1">
      <c r="A94" s="11"/>
      <c r="B94" s="177" t="s">
        <v>101</v>
      </c>
      <c r="C94" s="895">
        <v>1.0</v>
      </c>
      <c r="D94" s="198">
        <f t="shared" si="6"/>
        <v>0.1</v>
      </c>
      <c r="E94" s="204" t="s">
        <v>5</v>
      </c>
      <c r="F94" s="47"/>
      <c r="G94" s="11"/>
      <c r="H94" s="11"/>
      <c r="I94" s="11"/>
      <c r="J94" s="11"/>
      <c r="K94" s="11"/>
      <c r="L94" s="11"/>
      <c r="M94" s="755"/>
      <c r="N94" s="11"/>
      <c r="O94" s="11"/>
      <c r="P94" s="11"/>
      <c r="Q94" s="11"/>
      <c r="R94" s="11"/>
      <c r="S94" s="11"/>
      <c r="T94" s="11"/>
      <c r="U94" s="11"/>
      <c r="V94" s="11"/>
      <c r="W94" s="11"/>
      <c r="X94" s="11"/>
    </row>
    <row r="95" ht="13.5" customHeight="1">
      <c r="A95" s="11"/>
      <c r="B95" s="208" t="s">
        <v>963</v>
      </c>
      <c r="C95" s="896">
        <v>10.0</v>
      </c>
      <c r="D95" s="211">
        <f t="shared" si="6"/>
        <v>1</v>
      </c>
      <c r="E95" s="212" t="s">
        <v>9</v>
      </c>
      <c r="F95" s="76"/>
      <c r="G95" s="11"/>
      <c r="H95" s="11"/>
      <c r="I95" s="11"/>
      <c r="J95" s="11"/>
      <c r="K95" s="11"/>
      <c r="L95" s="11"/>
      <c r="M95" s="755"/>
      <c r="N95" s="11"/>
      <c r="O95" s="11"/>
      <c r="P95" s="11"/>
      <c r="Q95" s="11"/>
      <c r="R95" s="11"/>
      <c r="S95" s="11"/>
      <c r="T95" s="11"/>
      <c r="U95" s="11"/>
      <c r="V95" s="11"/>
      <c r="W95" s="11"/>
      <c r="X95" s="11"/>
    </row>
    <row r="96" ht="13.5" customHeight="1">
      <c r="A96" s="11"/>
      <c r="B96" s="220" t="s">
        <v>42</v>
      </c>
      <c r="C96" s="220" t="s">
        <v>725</v>
      </c>
      <c r="D96" s="11"/>
      <c r="E96" s="11"/>
      <c r="F96" s="11"/>
      <c r="G96" s="11"/>
      <c r="H96" s="11"/>
      <c r="I96" s="11"/>
      <c r="J96" s="11"/>
      <c r="K96" s="11"/>
      <c r="L96" s="11"/>
      <c r="M96" s="755"/>
      <c r="N96" s="11"/>
      <c r="O96" s="11"/>
      <c r="P96" s="11"/>
      <c r="Q96" s="11"/>
      <c r="R96" s="11"/>
      <c r="S96" s="11"/>
      <c r="T96" s="11"/>
      <c r="U96" s="11"/>
      <c r="V96" s="11"/>
      <c r="W96" s="11"/>
      <c r="X96" s="11"/>
    </row>
    <row r="97" ht="13.5" customHeight="1">
      <c r="A97" s="11"/>
      <c r="B97" s="88" t="s">
        <v>49</v>
      </c>
      <c r="C97" s="224">
        <v>40766.0</v>
      </c>
      <c r="D97" s="11"/>
      <c r="E97" s="11"/>
      <c r="F97" s="11"/>
      <c r="G97" s="11"/>
      <c r="H97" s="11"/>
      <c r="I97" s="11"/>
      <c r="J97" s="11"/>
      <c r="K97" s="11"/>
      <c r="L97" s="11"/>
      <c r="M97" s="755"/>
      <c r="N97" s="11"/>
      <c r="O97" s="11"/>
      <c r="P97" s="11"/>
      <c r="Q97" s="11"/>
      <c r="R97" s="11"/>
      <c r="S97" s="11"/>
      <c r="T97" s="11"/>
      <c r="U97" s="11"/>
      <c r="V97" s="11"/>
      <c r="W97" s="11"/>
      <c r="X97" s="11"/>
    </row>
    <row r="98" ht="13.5" customHeight="1">
      <c r="A98" s="11"/>
      <c r="B98" s="88" t="s">
        <v>50</v>
      </c>
      <c r="C98" s="224">
        <v>40926.0</v>
      </c>
      <c r="D98" s="11"/>
      <c r="E98" s="11"/>
      <c r="F98" s="11"/>
      <c r="G98" s="11"/>
      <c r="H98" s="11"/>
      <c r="I98" s="11"/>
      <c r="J98" s="11"/>
      <c r="K98" s="11"/>
      <c r="L98" s="11"/>
      <c r="M98" s="755"/>
      <c r="N98" s="11"/>
      <c r="O98" s="11"/>
      <c r="P98" s="11"/>
      <c r="Q98" s="11"/>
      <c r="R98" s="11"/>
      <c r="S98" s="11"/>
      <c r="T98" s="11"/>
      <c r="U98" s="11"/>
      <c r="V98" s="11"/>
      <c r="W98" s="11"/>
      <c r="X98" s="11"/>
    </row>
    <row r="99" ht="13.5" customHeight="1">
      <c r="A99" s="11"/>
      <c r="B99" s="11"/>
      <c r="C99" s="11"/>
      <c r="D99" s="11"/>
      <c r="E99" s="11"/>
      <c r="F99" s="284"/>
      <c r="G99" s="11"/>
      <c r="H99" s="11"/>
      <c r="I99" s="11"/>
      <c r="J99" s="11"/>
      <c r="K99" s="11"/>
      <c r="L99" s="11"/>
      <c r="M99" s="755"/>
      <c r="N99" s="11"/>
      <c r="O99" s="11"/>
      <c r="P99" s="11"/>
      <c r="Q99" s="11"/>
      <c r="R99" s="11"/>
      <c r="S99" s="11"/>
      <c r="T99" s="11"/>
      <c r="U99" s="11"/>
      <c r="V99" s="11"/>
      <c r="W99" s="11"/>
      <c r="X99" s="11"/>
    </row>
    <row r="100" ht="13.5" customHeight="1">
      <c r="A100" s="11"/>
      <c r="B100" s="4" t="s">
        <v>972</v>
      </c>
      <c r="C100" s="5"/>
      <c r="D100" s="5"/>
      <c r="E100" s="6"/>
      <c r="F100" s="761" t="s">
        <v>974</v>
      </c>
      <c r="G100" s="11"/>
      <c r="H100" s="11"/>
      <c r="I100" s="11"/>
      <c r="J100" s="11"/>
      <c r="K100" s="11"/>
      <c r="L100" s="11"/>
      <c r="M100" s="755"/>
      <c r="N100" s="11"/>
      <c r="O100" s="11"/>
      <c r="P100" s="11"/>
      <c r="Q100" s="11"/>
      <c r="R100" s="11"/>
      <c r="S100" s="11"/>
      <c r="T100" s="11"/>
      <c r="U100" s="11"/>
      <c r="V100" s="11"/>
      <c r="W100" s="11"/>
      <c r="X100" s="11"/>
    </row>
    <row r="101" ht="13.5" customHeight="1">
      <c r="A101" s="11"/>
      <c r="B101" s="805" t="s">
        <v>1</v>
      </c>
      <c r="C101" s="26">
        <v>100.0</v>
      </c>
      <c r="D101" s="26">
        <v>26.0</v>
      </c>
      <c r="E101" s="810" t="s">
        <v>190</v>
      </c>
      <c r="F101" s="141"/>
      <c r="G101" s="11"/>
      <c r="H101" s="11"/>
      <c r="I101" s="11"/>
      <c r="J101" s="11"/>
      <c r="K101" s="11"/>
      <c r="L101" s="11"/>
      <c r="M101" s="755"/>
      <c r="N101" s="11"/>
      <c r="O101" s="11"/>
      <c r="P101" s="11"/>
      <c r="Q101" s="11"/>
      <c r="R101" s="11"/>
      <c r="S101" s="11"/>
      <c r="T101" s="11"/>
      <c r="U101" s="11"/>
      <c r="V101" s="11"/>
      <c r="W101" s="11"/>
      <c r="X101" s="11"/>
    </row>
    <row r="102" ht="15.75" customHeight="1">
      <c r="A102" s="11"/>
      <c r="B102" s="333" t="s">
        <v>805</v>
      </c>
      <c r="C102" s="316">
        <v>11.0</v>
      </c>
      <c r="D102" s="316">
        <f t="shared" ref="D102:D119" si="7">(C102*D101)/C101</f>
        <v>2.86</v>
      </c>
      <c r="E102" s="772" t="s">
        <v>14</v>
      </c>
      <c r="F102" s="44" t="s">
        <v>979</v>
      </c>
      <c r="G102" s="11"/>
      <c r="H102" s="11"/>
      <c r="I102" s="11"/>
      <c r="J102" s="11"/>
      <c r="K102" s="11"/>
      <c r="L102" s="11"/>
      <c r="M102" s="755"/>
      <c r="N102" s="11"/>
      <c r="O102" s="11"/>
      <c r="P102" s="11"/>
      <c r="Q102" s="11"/>
      <c r="R102" s="11"/>
      <c r="S102" s="11"/>
      <c r="T102" s="11"/>
      <c r="U102" s="11"/>
      <c r="V102" s="11"/>
      <c r="W102" s="11"/>
      <c r="X102" s="11"/>
    </row>
    <row r="103" ht="13.5" customHeight="1">
      <c r="A103" s="11"/>
      <c r="B103" s="341" t="s">
        <v>31</v>
      </c>
      <c r="C103" s="321">
        <v>1225.0</v>
      </c>
      <c r="D103" s="321">
        <f t="shared" si="7"/>
        <v>318.5</v>
      </c>
      <c r="E103" s="769" t="s">
        <v>18</v>
      </c>
      <c r="F103" s="47"/>
      <c r="G103" s="11"/>
      <c r="H103" s="11"/>
      <c r="I103" s="11"/>
      <c r="J103" s="11"/>
      <c r="K103" s="11"/>
      <c r="L103" s="11"/>
      <c r="M103" s="755"/>
      <c r="N103" s="11"/>
      <c r="O103" s="11"/>
      <c r="P103" s="11"/>
      <c r="Q103" s="11"/>
      <c r="R103" s="11"/>
      <c r="S103" s="11"/>
      <c r="T103" s="11"/>
      <c r="U103" s="11"/>
      <c r="V103" s="11"/>
      <c r="W103" s="11"/>
      <c r="X103" s="11"/>
    </row>
    <row r="104" ht="13.5" customHeight="1">
      <c r="A104" s="11"/>
      <c r="B104" s="341" t="s">
        <v>52</v>
      </c>
      <c r="C104" s="321">
        <v>150.0</v>
      </c>
      <c r="D104" s="321">
        <f t="shared" si="7"/>
        <v>39</v>
      </c>
      <c r="E104" s="769" t="s">
        <v>18</v>
      </c>
      <c r="F104" s="47"/>
      <c r="G104" s="11"/>
      <c r="H104" s="11"/>
      <c r="I104" s="11"/>
      <c r="J104" s="11"/>
      <c r="K104" s="11"/>
      <c r="L104" s="11"/>
      <c r="M104" s="755"/>
      <c r="N104" s="11"/>
      <c r="O104" s="11"/>
      <c r="P104" s="11"/>
      <c r="Q104" s="11"/>
      <c r="R104" s="11"/>
      <c r="S104" s="11"/>
      <c r="T104" s="11"/>
      <c r="U104" s="11"/>
      <c r="V104" s="11"/>
      <c r="W104" s="11"/>
      <c r="X104" s="11"/>
    </row>
    <row r="105" ht="13.5" customHeight="1">
      <c r="A105" s="11"/>
      <c r="B105" s="358" t="s">
        <v>984</v>
      </c>
      <c r="C105" s="318">
        <v>50.0</v>
      </c>
      <c r="D105" s="318">
        <f t="shared" si="7"/>
        <v>13</v>
      </c>
      <c r="E105" s="775" t="s">
        <v>5</v>
      </c>
      <c r="F105" s="76"/>
      <c r="G105" s="11"/>
      <c r="H105" s="11"/>
      <c r="I105" s="11"/>
      <c r="J105" s="11"/>
      <c r="K105" s="11"/>
      <c r="L105" s="11"/>
      <c r="M105" s="755"/>
      <c r="N105" s="11"/>
      <c r="O105" s="11"/>
      <c r="P105" s="11"/>
      <c r="Q105" s="11"/>
      <c r="R105" s="11"/>
      <c r="S105" s="11"/>
      <c r="T105" s="11"/>
      <c r="U105" s="11"/>
      <c r="V105" s="11"/>
      <c r="W105" s="11"/>
      <c r="X105" s="11"/>
    </row>
    <row r="106" ht="13.5" customHeight="1">
      <c r="A106" s="11"/>
      <c r="B106" s="357" t="s">
        <v>83</v>
      </c>
      <c r="C106" s="839">
        <v>500.0</v>
      </c>
      <c r="D106" s="839">
        <f t="shared" si="7"/>
        <v>130</v>
      </c>
      <c r="E106" s="773" t="s">
        <v>18</v>
      </c>
      <c r="F106" s="44" t="s">
        <v>987</v>
      </c>
      <c r="G106" s="11"/>
      <c r="H106" s="11"/>
      <c r="I106" s="11"/>
      <c r="J106" s="11"/>
      <c r="K106" s="11"/>
      <c r="L106" s="11"/>
      <c r="M106" s="755"/>
      <c r="N106" s="11"/>
      <c r="O106" s="11"/>
      <c r="P106" s="11"/>
      <c r="Q106" s="11"/>
      <c r="R106" s="11"/>
      <c r="S106" s="11"/>
      <c r="T106" s="11"/>
      <c r="U106" s="11"/>
      <c r="V106" s="11"/>
      <c r="W106" s="11"/>
      <c r="X106" s="11"/>
    </row>
    <row r="107" ht="15.0" customHeight="1">
      <c r="A107" s="11"/>
      <c r="B107" s="349" t="s">
        <v>989</v>
      </c>
      <c r="C107" s="355">
        <v>5.0</v>
      </c>
      <c r="D107" s="355">
        <f t="shared" si="7"/>
        <v>1.3</v>
      </c>
      <c r="E107" s="854" t="s">
        <v>14</v>
      </c>
      <c r="F107" s="76"/>
      <c r="G107" s="11"/>
      <c r="H107" s="11"/>
      <c r="I107" s="11"/>
      <c r="J107" s="11"/>
      <c r="K107" s="11"/>
      <c r="L107" s="11"/>
      <c r="M107" s="755"/>
      <c r="N107" s="11"/>
      <c r="O107" s="11"/>
      <c r="P107" s="11"/>
      <c r="Q107" s="11"/>
      <c r="R107" s="11"/>
      <c r="S107" s="11"/>
      <c r="T107" s="11"/>
      <c r="U107" s="11"/>
      <c r="V107" s="11"/>
      <c r="W107" s="11"/>
      <c r="X107" s="11"/>
    </row>
    <row r="108" ht="13.5" customHeight="1">
      <c r="A108" s="11"/>
      <c r="B108" s="333" t="s">
        <v>80</v>
      </c>
      <c r="C108" s="316">
        <v>2.5</v>
      </c>
      <c r="D108" s="316">
        <f t="shared" si="7"/>
        <v>0.65</v>
      </c>
      <c r="E108" s="772" t="s">
        <v>14</v>
      </c>
      <c r="F108" s="903" t="s">
        <v>995</v>
      </c>
      <c r="G108" s="11"/>
      <c r="H108" s="11"/>
      <c r="I108" s="11"/>
      <c r="J108" s="11"/>
      <c r="K108" s="11"/>
      <c r="L108" s="11"/>
      <c r="M108" s="755"/>
      <c r="N108" s="11"/>
      <c r="O108" s="11"/>
      <c r="P108" s="11"/>
      <c r="Q108" s="11"/>
      <c r="R108" s="11"/>
      <c r="S108" s="11"/>
      <c r="T108" s="11"/>
      <c r="U108" s="11"/>
      <c r="V108" s="11"/>
      <c r="W108" s="11"/>
      <c r="X108" s="11"/>
    </row>
    <row r="109" ht="13.5" customHeight="1">
      <c r="A109" s="11"/>
      <c r="B109" s="341" t="s">
        <v>350</v>
      </c>
      <c r="C109" s="321">
        <v>2.5</v>
      </c>
      <c r="D109" s="321">
        <f t="shared" si="7"/>
        <v>0.65</v>
      </c>
      <c r="E109" s="769" t="s">
        <v>14</v>
      </c>
      <c r="F109" s="47"/>
      <c r="G109" s="11"/>
      <c r="H109" s="11"/>
      <c r="I109" s="11"/>
      <c r="J109" s="11"/>
      <c r="K109" s="11"/>
      <c r="L109" s="11"/>
      <c r="M109" s="755"/>
      <c r="N109" s="11"/>
      <c r="O109" s="11"/>
      <c r="P109" s="11"/>
      <c r="Q109" s="11"/>
      <c r="R109" s="11"/>
      <c r="S109" s="11"/>
      <c r="T109" s="11"/>
      <c r="U109" s="11"/>
      <c r="V109" s="11"/>
      <c r="W109" s="11"/>
      <c r="X109" s="11"/>
    </row>
    <row r="110" ht="13.5" customHeight="1">
      <c r="A110" s="11"/>
      <c r="B110" s="341" t="s">
        <v>858</v>
      </c>
      <c r="C110" s="321">
        <v>8.0</v>
      </c>
      <c r="D110" s="321">
        <f t="shared" si="7"/>
        <v>2.08</v>
      </c>
      <c r="E110" s="769" t="s">
        <v>999</v>
      </c>
      <c r="F110" s="47"/>
      <c r="G110" s="11"/>
      <c r="H110" s="11"/>
      <c r="I110" s="11"/>
      <c r="J110" s="11"/>
      <c r="K110" s="11"/>
      <c r="L110" s="11"/>
      <c r="M110" s="755"/>
      <c r="N110" s="11"/>
      <c r="O110" s="11"/>
      <c r="P110" s="11"/>
      <c r="Q110" s="11"/>
      <c r="R110" s="11"/>
      <c r="S110" s="11"/>
      <c r="T110" s="11"/>
      <c r="U110" s="11"/>
      <c r="V110" s="11"/>
      <c r="W110" s="11"/>
      <c r="X110" s="11"/>
    </row>
    <row r="111" ht="13.5" customHeight="1">
      <c r="A111" s="11"/>
      <c r="B111" s="341" t="s">
        <v>841</v>
      </c>
      <c r="C111" s="321">
        <v>300.0</v>
      </c>
      <c r="D111" s="321">
        <f t="shared" si="7"/>
        <v>78</v>
      </c>
      <c r="E111" s="769" t="s">
        <v>18</v>
      </c>
      <c r="F111" s="47"/>
      <c r="G111" s="11"/>
      <c r="H111" s="11"/>
      <c r="I111" s="11"/>
      <c r="J111" s="11"/>
      <c r="K111" s="11"/>
      <c r="L111" s="11"/>
      <c r="M111" s="755"/>
      <c r="N111" s="11"/>
      <c r="O111" s="11"/>
      <c r="P111" s="11"/>
      <c r="Q111" s="11"/>
      <c r="R111" s="11"/>
      <c r="S111" s="11"/>
      <c r="T111" s="11"/>
      <c r="U111" s="11"/>
      <c r="V111" s="11"/>
      <c r="W111" s="11"/>
      <c r="X111" s="11"/>
    </row>
    <row r="112" ht="15.0" customHeight="1">
      <c r="A112" s="11"/>
      <c r="B112" s="341" t="s">
        <v>1000</v>
      </c>
      <c r="C112" s="321">
        <v>150.0</v>
      </c>
      <c r="D112" s="321">
        <f t="shared" si="7"/>
        <v>39</v>
      </c>
      <c r="E112" s="769" t="s">
        <v>18</v>
      </c>
      <c r="F112" s="47"/>
      <c r="G112" s="11"/>
      <c r="H112" s="11"/>
      <c r="I112" s="11"/>
      <c r="J112" s="11"/>
      <c r="K112" s="11"/>
      <c r="L112" s="11"/>
      <c r="M112" s="755"/>
      <c r="N112" s="11"/>
      <c r="O112" s="11"/>
      <c r="P112" s="11"/>
      <c r="Q112" s="11"/>
      <c r="R112" s="11"/>
      <c r="S112" s="11"/>
      <c r="T112" s="11"/>
      <c r="U112" s="11"/>
      <c r="V112" s="11"/>
      <c r="W112" s="11"/>
      <c r="X112" s="11"/>
    </row>
    <row r="113" ht="13.5" customHeight="1">
      <c r="A113" s="11"/>
      <c r="B113" s="358" t="s">
        <v>243</v>
      </c>
      <c r="C113" s="318">
        <v>2.5</v>
      </c>
      <c r="D113" s="318">
        <f t="shared" si="7"/>
        <v>0.65</v>
      </c>
      <c r="E113" s="775" t="s">
        <v>5</v>
      </c>
      <c r="F113" s="76"/>
      <c r="G113" s="11"/>
      <c r="H113" s="11"/>
      <c r="I113" s="11"/>
      <c r="J113" s="11"/>
      <c r="K113" s="11"/>
      <c r="L113" s="11"/>
      <c r="M113" s="755"/>
      <c r="N113" s="11"/>
      <c r="O113" s="11"/>
      <c r="P113" s="11"/>
      <c r="Q113" s="11"/>
      <c r="R113" s="11"/>
      <c r="S113" s="11"/>
      <c r="T113" s="11"/>
      <c r="U113" s="11"/>
      <c r="V113" s="11"/>
      <c r="W113" s="11"/>
      <c r="X113" s="11"/>
    </row>
    <row r="114" ht="13.5" customHeight="1">
      <c r="A114" s="11"/>
      <c r="B114" s="333" t="s">
        <v>34</v>
      </c>
      <c r="C114" s="316">
        <v>3.0</v>
      </c>
      <c r="D114" s="316">
        <f t="shared" si="7"/>
        <v>0.78</v>
      </c>
      <c r="E114" s="772" t="s">
        <v>5</v>
      </c>
      <c r="F114" s="44" t="s">
        <v>1004</v>
      </c>
      <c r="G114" s="11"/>
      <c r="H114" s="11"/>
      <c r="I114" s="11"/>
      <c r="J114" s="11"/>
      <c r="K114" s="11"/>
      <c r="L114" s="11"/>
      <c r="M114" s="755"/>
      <c r="N114" s="11"/>
      <c r="O114" s="11"/>
      <c r="P114" s="11"/>
      <c r="Q114" s="11"/>
      <c r="R114" s="11"/>
      <c r="S114" s="11"/>
      <c r="T114" s="11"/>
      <c r="U114" s="11"/>
      <c r="V114" s="11"/>
      <c r="W114" s="11"/>
      <c r="X114" s="11"/>
    </row>
    <row r="115" ht="13.5" customHeight="1">
      <c r="A115" s="11"/>
      <c r="B115" s="341" t="s">
        <v>97</v>
      </c>
      <c r="C115" s="321">
        <v>200.0</v>
      </c>
      <c r="D115" s="321">
        <f t="shared" si="7"/>
        <v>52</v>
      </c>
      <c r="E115" s="769" t="s">
        <v>18</v>
      </c>
      <c r="F115" s="47"/>
      <c r="G115" s="11"/>
      <c r="H115" s="11"/>
      <c r="I115" s="11"/>
      <c r="J115" s="11"/>
      <c r="K115" s="11"/>
      <c r="L115" s="11"/>
      <c r="M115" s="755"/>
      <c r="N115" s="11"/>
      <c r="O115" s="11"/>
      <c r="P115" s="11"/>
      <c r="Q115" s="11"/>
      <c r="R115" s="11"/>
      <c r="S115" s="11"/>
      <c r="T115" s="11"/>
      <c r="U115" s="11"/>
      <c r="V115" s="11"/>
      <c r="W115" s="11"/>
      <c r="X115" s="11"/>
    </row>
    <row r="116" ht="13.5" customHeight="1">
      <c r="A116" s="11"/>
      <c r="B116" s="341" t="s">
        <v>847</v>
      </c>
      <c r="C116" s="321">
        <v>200.0</v>
      </c>
      <c r="D116" s="321">
        <f t="shared" si="7"/>
        <v>52</v>
      </c>
      <c r="E116" s="769" t="s">
        <v>18</v>
      </c>
      <c r="F116" s="47"/>
      <c r="G116" s="11"/>
      <c r="H116" s="11"/>
      <c r="I116" s="11"/>
      <c r="J116" s="11"/>
      <c r="K116" s="11"/>
      <c r="L116" s="11"/>
      <c r="M116" s="755"/>
      <c r="N116" s="11"/>
      <c r="O116" s="11"/>
      <c r="P116" s="11"/>
      <c r="Q116" s="11"/>
      <c r="R116" s="11"/>
      <c r="S116" s="11"/>
      <c r="T116" s="11"/>
      <c r="U116" s="11"/>
      <c r="V116" s="11"/>
      <c r="W116" s="11"/>
      <c r="X116" s="11"/>
    </row>
    <row r="117" ht="13.5" customHeight="1">
      <c r="A117" s="11"/>
      <c r="B117" s="341" t="s">
        <v>101</v>
      </c>
      <c r="C117" s="321">
        <v>2.0</v>
      </c>
      <c r="D117" s="321">
        <f t="shared" si="7"/>
        <v>0.52</v>
      </c>
      <c r="E117" s="769" t="s">
        <v>5</v>
      </c>
      <c r="F117" s="47"/>
      <c r="G117" s="11"/>
      <c r="H117" s="11"/>
      <c r="I117" s="11"/>
      <c r="J117" s="11"/>
      <c r="K117" s="11"/>
      <c r="L117" s="11"/>
      <c r="M117" s="755"/>
      <c r="N117" s="11"/>
      <c r="O117" s="11"/>
      <c r="P117" s="11"/>
      <c r="Q117" s="11"/>
      <c r="R117" s="11"/>
      <c r="S117" s="11"/>
      <c r="T117" s="11"/>
      <c r="U117" s="11"/>
      <c r="V117" s="11"/>
      <c r="W117" s="11"/>
      <c r="X117" s="11"/>
    </row>
    <row r="118" ht="13.5" customHeight="1">
      <c r="A118" s="11"/>
      <c r="B118" s="349" t="s">
        <v>103</v>
      </c>
      <c r="C118" s="355">
        <v>150.0</v>
      </c>
      <c r="D118" s="321">
        <f t="shared" si="7"/>
        <v>39</v>
      </c>
      <c r="E118" s="854" t="s">
        <v>18</v>
      </c>
      <c r="F118" s="47"/>
      <c r="G118" s="11"/>
      <c r="H118" s="11"/>
      <c r="I118" s="11"/>
      <c r="J118" s="11"/>
      <c r="K118" s="11"/>
      <c r="L118" s="11"/>
      <c r="M118" s="755"/>
      <c r="N118" s="11"/>
      <c r="O118" s="11"/>
      <c r="P118" s="11"/>
      <c r="Q118" s="11"/>
      <c r="R118" s="11"/>
      <c r="S118" s="11"/>
      <c r="T118" s="11"/>
      <c r="U118" s="11"/>
      <c r="V118" s="11"/>
      <c r="W118" s="11"/>
      <c r="X118" s="11"/>
    </row>
    <row r="119" ht="13.5" customHeight="1">
      <c r="A119" s="11"/>
      <c r="B119" s="358" t="s">
        <v>490</v>
      </c>
      <c r="C119" s="318">
        <v>2.5</v>
      </c>
      <c r="D119" s="318">
        <f t="shared" si="7"/>
        <v>0.65</v>
      </c>
      <c r="E119" s="775" t="s">
        <v>14</v>
      </c>
      <c r="F119" s="76"/>
      <c r="G119" s="11"/>
      <c r="H119" s="11"/>
      <c r="I119" s="11"/>
      <c r="J119" s="11"/>
      <c r="K119" s="11"/>
      <c r="L119" s="11"/>
      <c r="M119" s="755"/>
      <c r="N119" s="11"/>
      <c r="O119" s="11"/>
      <c r="P119" s="11"/>
      <c r="Q119" s="11"/>
      <c r="R119" s="11"/>
      <c r="S119" s="11"/>
      <c r="T119" s="11"/>
      <c r="U119" s="11"/>
      <c r="V119" s="11"/>
      <c r="W119" s="11"/>
      <c r="X119" s="11"/>
    </row>
    <row r="120" ht="13.5" customHeight="1">
      <c r="A120" s="11"/>
      <c r="B120" s="220" t="s">
        <v>42</v>
      </c>
      <c r="C120" s="220" t="s">
        <v>725</v>
      </c>
      <c r="D120" s="11"/>
      <c r="E120" s="11"/>
      <c r="F120" s="11"/>
      <c r="G120" s="11"/>
      <c r="H120" s="11"/>
      <c r="I120" s="11"/>
      <c r="J120" s="11"/>
      <c r="K120" s="11"/>
      <c r="L120" s="11"/>
      <c r="M120" s="755"/>
      <c r="N120" s="11"/>
      <c r="O120" s="11"/>
      <c r="P120" s="11"/>
      <c r="Q120" s="11"/>
      <c r="R120" s="11"/>
      <c r="S120" s="11"/>
      <c r="T120" s="11"/>
      <c r="U120" s="11"/>
      <c r="V120" s="11"/>
      <c r="W120" s="11"/>
      <c r="X120" s="11"/>
    </row>
    <row r="121" ht="13.5" customHeight="1">
      <c r="A121" s="11"/>
      <c r="B121" s="865" t="s">
        <v>120</v>
      </c>
      <c r="C121" s="869">
        <v>41552.0</v>
      </c>
      <c r="D121" s="11"/>
      <c r="E121" s="11"/>
      <c r="F121" s="11"/>
      <c r="G121" s="11"/>
      <c r="H121" s="11"/>
      <c r="I121" s="11"/>
      <c r="J121" s="11"/>
      <c r="K121" s="11"/>
      <c r="L121" s="11"/>
      <c r="M121" s="755"/>
      <c r="N121" s="11"/>
      <c r="O121" s="11"/>
      <c r="P121" s="11"/>
      <c r="Q121" s="11"/>
      <c r="R121" s="11"/>
      <c r="S121" s="11"/>
      <c r="T121" s="11"/>
      <c r="U121" s="11"/>
      <c r="V121" s="11"/>
      <c r="W121" s="11"/>
      <c r="X121" s="11"/>
    </row>
    <row r="122" ht="13.5" customHeight="1">
      <c r="A122" s="11"/>
      <c r="B122" s="873" t="s">
        <v>50</v>
      </c>
      <c r="C122" s="869">
        <v>43284.0</v>
      </c>
      <c r="D122" s="11"/>
      <c r="E122" s="11"/>
      <c r="F122" s="11"/>
      <c r="G122" s="11"/>
      <c r="H122" s="11"/>
      <c r="I122" s="11"/>
      <c r="J122" s="11"/>
      <c r="K122" s="11"/>
      <c r="L122" s="11"/>
      <c r="M122" s="755"/>
      <c r="N122" s="11"/>
      <c r="O122" s="11"/>
      <c r="P122" s="11"/>
      <c r="Q122" s="11"/>
      <c r="R122" s="11"/>
      <c r="S122" s="11"/>
      <c r="T122" s="11"/>
      <c r="U122" s="11"/>
      <c r="V122" s="11"/>
      <c r="W122" s="11"/>
      <c r="X122" s="11"/>
    </row>
    <row r="123" ht="13.5" customHeight="1">
      <c r="A123" s="11"/>
      <c r="B123" s="11"/>
      <c r="C123" s="11"/>
      <c r="D123" s="11"/>
      <c r="E123" s="11"/>
      <c r="F123" s="284"/>
      <c r="G123" s="11"/>
      <c r="H123" s="11"/>
      <c r="I123" s="11"/>
      <c r="J123" s="11"/>
      <c r="K123" s="11"/>
      <c r="L123" s="11"/>
      <c r="M123" s="755"/>
      <c r="N123" s="11"/>
      <c r="O123" s="11"/>
      <c r="P123" s="11"/>
      <c r="Q123" s="11"/>
      <c r="R123" s="11"/>
      <c r="S123" s="11"/>
      <c r="T123" s="11"/>
      <c r="U123" s="11"/>
      <c r="V123" s="11"/>
      <c r="W123" s="11"/>
      <c r="X123" s="11"/>
    </row>
    <row r="124" ht="13.5" customHeight="1">
      <c r="A124" s="11"/>
      <c r="B124" s="656" t="s">
        <v>585</v>
      </c>
      <c r="C124" s="18"/>
      <c r="D124" s="18"/>
      <c r="E124" s="19"/>
      <c r="F124" s="11"/>
      <c r="G124" s="11"/>
      <c r="H124" s="11"/>
      <c r="I124" s="11"/>
      <c r="J124" s="11"/>
      <c r="K124" s="11"/>
      <c r="L124" s="11"/>
      <c r="M124" s="755"/>
      <c r="N124" s="11"/>
      <c r="O124" s="11"/>
      <c r="P124" s="11"/>
      <c r="Q124" s="11"/>
      <c r="R124" s="11"/>
      <c r="S124" s="11"/>
      <c r="T124" s="11"/>
      <c r="U124" s="11"/>
      <c r="V124" s="11"/>
      <c r="W124" s="11"/>
      <c r="X124" s="11"/>
    </row>
    <row r="125" ht="13.5" customHeight="1">
      <c r="A125" s="11"/>
      <c r="B125" s="262" t="s">
        <v>1</v>
      </c>
      <c r="C125" s="383">
        <v>100.0</v>
      </c>
      <c r="D125" s="918">
        <v>32.0</v>
      </c>
      <c r="E125" s="267" t="s">
        <v>5</v>
      </c>
      <c r="F125" s="284"/>
      <c r="G125" s="11"/>
      <c r="H125" s="11"/>
      <c r="I125" s="11"/>
      <c r="J125" s="11"/>
      <c r="K125" s="11"/>
      <c r="L125" s="11"/>
      <c r="M125" s="755"/>
      <c r="N125" s="11"/>
      <c r="O125" s="11"/>
      <c r="P125" s="11"/>
      <c r="Q125" s="11"/>
      <c r="R125" s="11"/>
      <c r="S125" s="11"/>
      <c r="T125" s="11"/>
      <c r="U125" s="11"/>
      <c r="V125" s="11"/>
      <c r="W125" s="11"/>
      <c r="X125" s="11"/>
    </row>
    <row r="126" ht="13.5" customHeight="1">
      <c r="A126" s="919" t="s">
        <v>1016</v>
      </c>
      <c r="B126" s="163" t="s">
        <v>1017</v>
      </c>
      <c r="C126" s="285">
        <v>8.0</v>
      </c>
      <c r="D126" s="285">
        <f t="shared" ref="D126:D157" si="8">(C126*D125)/C125</f>
        <v>2.56</v>
      </c>
      <c r="E126" s="169" t="s">
        <v>14</v>
      </c>
      <c r="F126" s="44" t="s">
        <v>1019</v>
      </c>
      <c r="G126" s="11"/>
      <c r="H126" s="11"/>
      <c r="I126" s="11"/>
      <c r="J126" s="11"/>
      <c r="K126" s="11"/>
      <c r="L126" s="11"/>
      <c r="M126" s="755"/>
      <c r="N126" s="11"/>
      <c r="O126" s="11"/>
      <c r="P126" s="11"/>
      <c r="Q126" s="11"/>
      <c r="R126" s="11"/>
      <c r="S126" s="11"/>
      <c r="T126" s="11"/>
      <c r="U126" s="11"/>
      <c r="V126" s="11"/>
      <c r="W126" s="11"/>
      <c r="X126" s="11"/>
    </row>
    <row r="127" ht="13.5" customHeight="1">
      <c r="A127" s="47"/>
      <c r="B127" s="177" t="s">
        <v>737</v>
      </c>
      <c r="C127" s="198">
        <v>8.0</v>
      </c>
      <c r="D127" s="198">
        <f t="shared" si="8"/>
        <v>2.56</v>
      </c>
      <c r="E127" s="204" t="s">
        <v>14</v>
      </c>
      <c r="F127" s="47"/>
      <c r="G127" s="11"/>
      <c r="H127" s="11"/>
      <c r="I127" s="11"/>
      <c r="J127" s="11"/>
      <c r="K127" s="11"/>
      <c r="L127" s="11"/>
      <c r="M127" s="755"/>
      <c r="N127" s="11"/>
      <c r="O127" s="11"/>
      <c r="P127" s="11"/>
      <c r="Q127" s="11"/>
      <c r="R127" s="11"/>
      <c r="S127" s="11"/>
      <c r="T127" s="11"/>
      <c r="U127" s="11"/>
      <c r="V127" s="11"/>
      <c r="W127" s="11"/>
      <c r="X127" s="11"/>
    </row>
    <row r="128" ht="13.5" customHeight="1">
      <c r="A128" s="47"/>
      <c r="B128" s="177" t="s">
        <v>810</v>
      </c>
      <c r="C128" s="198">
        <v>2.0</v>
      </c>
      <c r="D128" s="198">
        <f t="shared" si="8"/>
        <v>0.64</v>
      </c>
      <c r="E128" s="204" t="s">
        <v>14</v>
      </c>
      <c r="F128" s="47"/>
      <c r="G128" s="11"/>
      <c r="H128" s="11"/>
      <c r="I128" s="11"/>
      <c r="J128" s="11"/>
      <c r="K128" s="11"/>
      <c r="L128" s="11"/>
      <c r="M128" s="755"/>
      <c r="N128" s="11"/>
      <c r="O128" s="11"/>
      <c r="P128" s="11"/>
      <c r="Q128" s="11"/>
      <c r="R128" s="11"/>
      <c r="S128" s="11"/>
      <c r="T128" s="11"/>
      <c r="U128" s="11"/>
      <c r="V128" s="11"/>
      <c r="W128" s="11"/>
      <c r="X128" s="11"/>
    </row>
    <row r="129" ht="13.5" customHeight="1">
      <c r="A129" s="47"/>
      <c r="B129" s="177" t="s">
        <v>52</v>
      </c>
      <c r="C129" s="198">
        <v>100.0</v>
      </c>
      <c r="D129" s="198">
        <f t="shared" si="8"/>
        <v>32</v>
      </c>
      <c r="E129" s="204" t="s">
        <v>18</v>
      </c>
      <c r="F129" s="47"/>
      <c r="G129" s="11"/>
      <c r="H129" s="11"/>
      <c r="I129" s="11"/>
      <c r="J129" s="11"/>
      <c r="K129" s="11"/>
      <c r="L129" s="11"/>
      <c r="M129" s="755"/>
      <c r="N129" s="11"/>
      <c r="O129" s="11"/>
      <c r="P129" s="11"/>
      <c r="Q129" s="11"/>
      <c r="R129" s="11"/>
      <c r="S129" s="11"/>
      <c r="T129" s="11"/>
      <c r="U129" s="11"/>
      <c r="V129" s="11"/>
      <c r="W129" s="11"/>
      <c r="X129" s="11"/>
    </row>
    <row r="130" ht="13.5" customHeight="1">
      <c r="A130" s="47"/>
      <c r="B130" s="177" t="s">
        <v>31</v>
      </c>
      <c r="C130" s="198">
        <v>1300.0</v>
      </c>
      <c r="D130" s="198">
        <f t="shared" si="8"/>
        <v>416</v>
      </c>
      <c r="E130" s="204" t="s">
        <v>18</v>
      </c>
      <c r="F130" s="47"/>
      <c r="G130" s="11"/>
      <c r="H130" s="11"/>
      <c r="I130" s="11"/>
      <c r="J130" s="11"/>
      <c r="K130" s="11"/>
      <c r="L130" s="11"/>
      <c r="M130" s="755"/>
      <c r="N130" s="11"/>
      <c r="O130" s="11"/>
      <c r="P130" s="11"/>
      <c r="Q130" s="11"/>
      <c r="R130" s="11"/>
      <c r="S130" s="11"/>
      <c r="T130" s="11"/>
      <c r="U130" s="11"/>
      <c r="V130" s="11"/>
      <c r="W130" s="11"/>
      <c r="X130" s="11"/>
    </row>
    <row r="131" ht="13.5" customHeight="1">
      <c r="A131" s="76"/>
      <c r="B131" s="208" t="s">
        <v>743</v>
      </c>
      <c r="C131" s="211">
        <v>1.0</v>
      </c>
      <c r="D131" s="211">
        <f t="shared" si="8"/>
        <v>0.32</v>
      </c>
      <c r="E131" s="212" t="s">
        <v>5</v>
      </c>
      <c r="F131" s="76"/>
      <c r="G131" s="11"/>
      <c r="H131" s="11"/>
      <c r="I131" s="11"/>
      <c r="J131" s="11"/>
      <c r="K131" s="11"/>
      <c r="L131" s="11"/>
      <c r="M131" s="755"/>
      <c r="N131" s="11"/>
      <c r="O131" s="11"/>
      <c r="P131" s="11"/>
      <c r="Q131" s="11"/>
      <c r="R131" s="11"/>
      <c r="S131" s="11"/>
      <c r="T131" s="11"/>
      <c r="U131" s="11"/>
      <c r="V131" s="11"/>
      <c r="W131" s="11"/>
      <c r="X131" s="11"/>
    </row>
    <row r="132" ht="15.75" customHeight="1">
      <c r="A132" s="919" t="s">
        <v>1021</v>
      </c>
      <c r="B132" s="163" t="s">
        <v>1017</v>
      </c>
      <c r="C132" s="285">
        <v>6.5</v>
      </c>
      <c r="D132" s="285">
        <f t="shared" si="8"/>
        <v>2.08</v>
      </c>
      <c r="E132" s="169" t="s">
        <v>14</v>
      </c>
      <c r="F132" s="44" t="s">
        <v>1022</v>
      </c>
      <c r="G132" s="11"/>
      <c r="H132" s="11"/>
      <c r="I132" s="11"/>
      <c r="J132" s="11"/>
      <c r="K132" s="11"/>
      <c r="L132" s="11"/>
      <c r="M132" s="755"/>
      <c r="N132" s="11"/>
      <c r="O132" s="11"/>
      <c r="P132" s="11"/>
      <c r="Q132" s="11"/>
      <c r="R132" s="11"/>
      <c r="S132" s="11"/>
      <c r="T132" s="11"/>
      <c r="U132" s="11"/>
      <c r="V132" s="11"/>
      <c r="W132" s="11"/>
      <c r="X132" s="11"/>
    </row>
    <row r="133" ht="15.75" customHeight="1">
      <c r="A133" s="47"/>
      <c r="B133" s="177" t="s">
        <v>737</v>
      </c>
      <c r="C133" s="198">
        <v>6.5</v>
      </c>
      <c r="D133" s="198">
        <f t="shared" si="8"/>
        <v>2.08</v>
      </c>
      <c r="E133" s="204" t="s">
        <v>14</v>
      </c>
      <c r="F133" s="47"/>
      <c r="G133" s="11"/>
      <c r="H133" s="11"/>
      <c r="I133" s="11"/>
      <c r="J133" s="11"/>
      <c r="K133" s="11"/>
      <c r="L133" s="11"/>
      <c r="M133" s="755"/>
      <c r="N133" s="11"/>
      <c r="O133" s="11"/>
      <c r="P133" s="11"/>
      <c r="Q133" s="11"/>
      <c r="R133" s="11"/>
      <c r="S133" s="11"/>
      <c r="T133" s="11"/>
      <c r="U133" s="11"/>
      <c r="V133" s="11"/>
      <c r="W133" s="11"/>
      <c r="X133" s="11"/>
    </row>
    <row r="134" ht="13.5" customHeight="1">
      <c r="A134" s="47"/>
      <c r="B134" s="177" t="s">
        <v>810</v>
      </c>
      <c r="C134" s="198">
        <v>2.0</v>
      </c>
      <c r="D134" s="198">
        <f t="shared" si="8"/>
        <v>0.64</v>
      </c>
      <c r="E134" s="204" t="s">
        <v>14</v>
      </c>
      <c r="F134" s="47"/>
      <c r="G134" s="11"/>
      <c r="H134" s="11"/>
      <c r="I134" s="11"/>
      <c r="J134" s="11"/>
      <c r="K134" s="11"/>
      <c r="L134" s="11"/>
      <c r="M134" s="755"/>
      <c r="N134" s="11"/>
      <c r="O134" s="11"/>
      <c r="P134" s="11"/>
      <c r="Q134" s="11"/>
      <c r="R134" s="11"/>
      <c r="S134" s="11"/>
      <c r="T134" s="11"/>
      <c r="U134" s="11"/>
      <c r="V134" s="11"/>
      <c r="W134" s="11"/>
      <c r="X134" s="11"/>
    </row>
    <row r="135" ht="13.5" customHeight="1">
      <c r="A135" s="47"/>
      <c r="B135" s="177" t="s">
        <v>52</v>
      </c>
      <c r="C135" s="198">
        <v>100.0</v>
      </c>
      <c r="D135" s="198">
        <f t="shared" si="8"/>
        <v>32</v>
      </c>
      <c r="E135" s="204" t="s">
        <v>18</v>
      </c>
      <c r="F135" s="47"/>
      <c r="G135" s="11"/>
      <c r="H135" s="11"/>
      <c r="I135" s="11"/>
      <c r="J135" s="11"/>
      <c r="K135" s="11"/>
      <c r="L135" s="11"/>
      <c r="M135" s="755"/>
      <c r="N135" s="11"/>
      <c r="O135" s="11"/>
      <c r="P135" s="11"/>
      <c r="Q135" s="11"/>
      <c r="R135" s="11"/>
      <c r="S135" s="11"/>
      <c r="T135" s="11"/>
      <c r="U135" s="11"/>
      <c r="V135" s="11"/>
      <c r="W135" s="11"/>
      <c r="X135" s="11"/>
    </row>
    <row r="136" ht="13.5" customHeight="1">
      <c r="A136" s="47"/>
      <c r="B136" s="177" t="s">
        <v>31</v>
      </c>
      <c r="C136" s="198">
        <v>1100.0</v>
      </c>
      <c r="D136" s="198">
        <f t="shared" si="8"/>
        <v>352</v>
      </c>
      <c r="E136" s="204" t="s">
        <v>18</v>
      </c>
      <c r="F136" s="47"/>
      <c r="G136" s="11"/>
      <c r="H136" s="11"/>
      <c r="I136" s="11"/>
      <c r="J136" s="11"/>
      <c r="K136" s="11"/>
      <c r="L136" s="11"/>
      <c r="M136" s="755"/>
      <c r="N136" s="11"/>
      <c r="O136" s="11"/>
      <c r="P136" s="11"/>
      <c r="Q136" s="11"/>
      <c r="R136" s="11"/>
      <c r="S136" s="11"/>
      <c r="T136" s="11"/>
      <c r="U136" s="11"/>
      <c r="V136" s="11"/>
      <c r="W136" s="11"/>
      <c r="X136" s="11"/>
    </row>
    <row r="137" ht="13.5" customHeight="1">
      <c r="A137" s="76"/>
      <c r="B137" s="208" t="s">
        <v>743</v>
      </c>
      <c r="C137" s="211">
        <v>1.0</v>
      </c>
      <c r="D137" s="211">
        <f t="shared" si="8"/>
        <v>0.32</v>
      </c>
      <c r="E137" s="212" t="s">
        <v>5</v>
      </c>
      <c r="F137" s="76"/>
      <c r="G137" s="11"/>
      <c r="H137" s="11"/>
      <c r="I137" s="11"/>
      <c r="J137" s="11"/>
      <c r="K137" s="11"/>
      <c r="L137" s="11"/>
      <c r="M137" s="755"/>
      <c r="N137" s="11"/>
      <c r="O137" s="11"/>
      <c r="P137" s="11"/>
      <c r="Q137" s="11"/>
      <c r="R137" s="11"/>
      <c r="S137" s="11"/>
      <c r="T137" s="11"/>
      <c r="U137" s="11"/>
      <c r="V137" s="11"/>
      <c r="W137" s="11"/>
      <c r="X137" s="11"/>
    </row>
    <row r="138" ht="13.5" customHeight="1">
      <c r="A138" s="11"/>
      <c r="B138" s="458" t="s">
        <v>1028</v>
      </c>
      <c r="C138" s="460">
        <v>4.0</v>
      </c>
      <c r="D138" s="460">
        <f t="shared" si="8"/>
        <v>1.28</v>
      </c>
      <c r="E138" s="463" t="s">
        <v>14</v>
      </c>
      <c r="F138" s="679" t="s">
        <v>1029</v>
      </c>
      <c r="G138" s="11"/>
      <c r="H138" s="11"/>
      <c r="I138" s="11"/>
      <c r="J138" s="11"/>
      <c r="K138" s="11"/>
      <c r="L138" s="11"/>
      <c r="M138" s="755"/>
      <c r="N138" s="11"/>
      <c r="O138" s="11"/>
      <c r="P138" s="11"/>
      <c r="Q138" s="11"/>
      <c r="R138" s="11"/>
      <c r="S138" s="11"/>
      <c r="T138" s="11"/>
      <c r="U138" s="11"/>
      <c r="V138" s="11"/>
      <c r="W138" s="11"/>
      <c r="X138" s="11"/>
    </row>
    <row r="139" ht="13.5" customHeight="1">
      <c r="A139" s="11"/>
      <c r="B139" s="157" t="s">
        <v>184</v>
      </c>
      <c r="C139" s="390">
        <v>2.0</v>
      </c>
      <c r="D139" s="390">
        <f t="shared" si="8"/>
        <v>0.64</v>
      </c>
      <c r="E139" s="159" t="s">
        <v>5</v>
      </c>
      <c r="F139" s="44" t="s">
        <v>1031</v>
      </c>
      <c r="G139" s="11"/>
      <c r="H139" s="11"/>
      <c r="I139" s="11"/>
      <c r="J139" s="11"/>
      <c r="K139" s="11"/>
      <c r="L139" s="11"/>
      <c r="M139" s="755"/>
      <c r="N139" s="11"/>
      <c r="O139" s="11"/>
      <c r="P139" s="11"/>
      <c r="Q139" s="11"/>
      <c r="R139" s="11"/>
      <c r="S139" s="11"/>
      <c r="T139" s="11"/>
      <c r="U139" s="11"/>
      <c r="V139" s="11"/>
      <c r="W139" s="11"/>
      <c r="X139" s="11"/>
    </row>
    <row r="140" ht="13.5" customHeight="1">
      <c r="A140" s="11"/>
      <c r="B140" s="262" t="s">
        <v>95</v>
      </c>
      <c r="C140" s="383">
        <v>25.0</v>
      </c>
      <c r="D140" s="198">
        <f t="shared" si="8"/>
        <v>8</v>
      </c>
      <c r="E140" s="204" t="s">
        <v>18</v>
      </c>
      <c r="F140" s="47"/>
      <c r="G140" s="11"/>
      <c r="H140" s="11"/>
      <c r="I140" s="11"/>
      <c r="J140" s="11"/>
      <c r="K140" s="11"/>
      <c r="L140" s="11"/>
      <c r="M140" s="755"/>
      <c r="N140" s="11"/>
      <c r="O140" s="11"/>
      <c r="P140" s="11"/>
      <c r="Q140" s="11"/>
      <c r="R140" s="11"/>
      <c r="S140" s="11"/>
      <c r="T140" s="11"/>
      <c r="U140" s="11"/>
      <c r="V140" s="11"/>
      <c r="W140" s="11"/>
      <c r="X140" s="11"/>
    </row>
    <row r="141" ht="13.5" customHeight="1">
      <c r="A141" s="11"/>
      <c r="B141" s="262" t="s">
        <v>210</v>
      </c>
      <c r="C141" s="383">
        <v>25.0</v>
      </c>
      <c r="D141" s="198">
        <f t="shared" si="8"/>
        <v>8</v>
      </c>
      <c r="E141" s="204" t="s">
        <v>18</v>
      </c>
      <c r="F141" s="47"/>
      <c r="G141" s="11"/>
      <c r="H141" s="11"/>
      <c r="I141" s="11"/>
      <c r="J141" s="11"/>
      <c r="K141" s="11"/>
      <c r="L141" s="11"/>
      <c r="M141" s="755"/>
      <c r="N141" s="11"/>
      <c r="O141" s="11"/>
      <c r="P141" s="11"/>
      <c r="Q141" s="11"/>
      <c r="R141" s="11"/>
      <c r="S141" s="11"/>
      <c r="T141" s="11"/>
      <c r="U141" s="11"/>
      <c r="V141" s="11"/>
      <c r="W141" s="11"/>
      <c r="X141" s="11"/>
    </row>
    <row r="142" ht="13.5" customHeight="1">
      <c r="A142" s="11"/>
      <c r="B142" s="177" t="s">
        <v>98</v>
      </c>
      <c r="C142" s="198">
        <v>200.0</v>
      </c>
      <c r="D142" s="198">
        <f t="shared" si="8"/>
        <v>64</v>
      </c>
      <c r="E142" s="204" t="s">
        <v>18</v>
      </c>
      <c r="F142" s="47"/>
      <c r="G142" s="11"/>
      <c r="H142" s="11"/>
      <c r="I142" s="11"/>
      <c r="J142" s="11"/>
      <c r="K142" s="11"/>
      <c r="L142" s="11"/>
      <c r="M142" s="755"/>
      <c r="N142" s="11"/>
      <c r="O142" s="11"/>
      <c r="P142" s="11"/>
      <c r="Q142" s="11"/>
      <c r="R142" s="11"/>
      <c r="S142" s="11"/>
      <c r="T142" s="11"/>
      <c r="U142" s="11"/>
      <c r="V142" s="11"/>
      <c r="W142" s="11"/>
      <c r="X142" s="11"/>
    </row>
    <row r="143" ht="13.5" customHeight="1">
      <c r="A143" s="11"/>
      <c r="B143" s="262" t="s">
        <v>1036</v>
      </c>
      <c r="C143" s="383">
        <v>20.0</v>
      </c>
      <c r="D143" s="198">
        <f t="shared" si="8"/>
        <v>6.4</v>
      </c>
      <c r="E143" s="204" t="s">
        <v>18</v>
      </c>
      <c r="F143" s="47"/>
      <c r="G143" s="11"/>
      <c r="H143" s="11"/>
      <c r="I143" s="11"/>
      <c r="J143" s="11"/>
      <c r="K143" s="11"/>
      <c r="L143" s="11"/>
      <c r="M143" s="755"/>
      <c r="N143" s="11"/>
      <c r="O143" s="11"/>
      <c r="P143" s="11"/>
      <c r="Q143" s="11"/>
      <c r="R143" s="11"/>
      <c r="S143" s="11"/>
      <c r="T143" s="11"/>
      <c r="U143" s="11"/>
      <c r="V143" s="11"/>
      <c r="W143" s="11"/>
      <c r="X143" s="11"/>
    </row>
    <row r="144" ht="13.5" customHeight="1">
      <c r="A144" s="11"/>
      <c r="B144" s="262" t="s">
        <v>96</v>
      </c>
      <c r="C144" s="383">
        <v>10.0</v>
      </c>
      <c r="D144" s="198">
        <f t="shared" si="8"/>
        <v>3.2</v>
      </c>
      <c r="E144" s="204" t="s">
        <v>18</v>
      </c>
      <c r="F144" s="47"/>
      <c r="G144" s="11"/>
      <c r="H144" s="11"/>
      <c r="I144" s="11"/>
      <c r="J144" s="11"/>
      <c r="K144" s="11"/>
      <c r="L144" s="11"/>
      <c r="M144" s="755"/>
      <c r="N144" s="11"/>
      <c r="O144" s="11"/>
      <c r="P144" s="11"/>
      <c r="Q144" s="11"/>
      <c r="R144" s="11"/>
      <c r="S144" s="11"/>
      <c r="T144" s="11"/>
      <c r="U144" s="11"/>
      <c r="V144" s="11"/>
      <c r="W144" s="11"/>
      <c r="X144" s="11"/>
    </row>
    <row r="145" ht="13.5" customHeight="1">
      <c r="A145" s="11"/>
      <c r="B145" s="262" t="s">
        <v>1038</v>
      </c>
      <c r="C145" s="383">
        <v>25.0</v>
      </c>
      <c r="D145" s="198">
        <f t="shared" si="8"/>
        <v>8</v>
      </c>
      <c r="E145" s="204" t="s">
        <v>18</v>
      </c>
      <c r="F145" s="47"/>
      <c r="G145" s="11"/>
      <c r="H145" s="11"/>
      <c r="I145" s="11"/>
      <c r="J145" s="11"/>
      <c r="K145" s="11"/>
      <c r="L145" s="11"/>
      <c r="M145" s="755"/>
      <c r="N145" s="11"/>
      <c r="O145" s="11"/>
      <c r="P145" s="11"/>
      <c r="Q145" s="11"/>
      <c r="R145" s="11"/>
      <c r="S145" s="11"/>
      <c r="T145" s="11"/>
      <c r="U145" s="11"/>
      <c r="V145" s="11"/>
      <c r="W145" s="11"/>
      <c r="X145" s="11"/>
    </row>
    <row r="146" ht="13.5" customHeight="1">
      <c r="A146" s="11"/>
      <c r="B146" s="262" t="s">
        <v>103</v>
      </c>
      <c r="C146" s="383">
        <v>150.0</v>
      </c>
      <c r="D146" s="383">
        <f t="shared" si="8"/>
        <v>48</v>
      </c>
      <c r="E146" s="267" t="s">
        <v>18</v>
      </c>
      <c r="F146" s="76"/>
      <c r="G146" s="11"/>
      <c r="H146" s="11"/>
      <c r="I146" s="11"/>
      <c r="J146" s="11"/>
      <c r="K146" s="11"/>
      <c r="L146" s="11"/>
      <c r="M146" s="755"/>
      <c r="N146" s="11"/>
      <c r="O146" s="11"/>
      <c r="P146" s="11"/>
      <c r="Q146" s="11"/>
      <c r="R146" s="11"/>
      <c r="S146" s="11"/>
      <c r="T146" s="11"/>
      <c r="U146" s="11"/>
      <c r="V146" s="11"/>
      <c r="W146" s="11"/>
      <c r="X146" s="11"/>
    </row>
    <row r="147" ht="13.5" customHeight="1">
      <c r="A147" s="11"/>
      <c r="B147" s="163" t="s">
        <v>39</v>
      </c>
      <c r="C147" s="285">
        <v>750.0</v>
      </c>
      <c r="D147" s="285">
        <f t="shared" si="8"/>
        <v>240</v>
      </c>
      <c r="E147" s="169" t="s">
        <v>18</v>
      </c>
      <c r="F147" s="194" t="s">
        <v>1041</v>
      </c>
      <c r="G147" s="11"/>
      <c r="H147" s="11"/>
      <c r="I147" s="11"/>
      <c r="J147" s="11"/>
      <c r="K147" s="11"/>
      <c r="L147" s="11"/>
      <c r="M147" s="755"/>
      <c r="N147" s="11"/>
      <c r="O147" s="11"/>
      <c r="P147" s="11"/>
      <c r="Q147" s="11"/>
      <c r="R147" s="11"/>
      <c r="S147" s="11"/>
      <c r="T147" s="11"/>
      <c r="U147" s="11"/>
      <c r="V147" s="11"/>
      <c r="W147" s="11"/>
      <c r="X147" s="11"/>
    </row>
    <row r="148" ht="13.5" customHeight="1">
      <c r="A148" s="11"/>
      <c r="B148" s="177" t="s">
        <v>149</v>
      </c>
      <c r="C148" s="198">
        <v>1500.0</v>
      </c>
      <c r="D148" s="198">
        <f t="shared" si="8"/>
        <v>480</v>
      </c>
      <c r="E148" s="204" t="s">
        <v>18</v>
      </c>
      <c r="F148" s="63"/>
      <c r="G148" s="11"/>
      <c r="H148" s="11"/>
      <c r="I148" s="11"/>
      <c r="J148" s="11"/>
      <c r="K148" s="11"/>
      <c r="L148" s="11"/>
      <c r="M148" s="755"/>
      <c r="N148" s="11"/>
      <c r="O148" s="11"/>
      <c r="P148" s="11"/>
      <c r="Q148" s="11"/>
      <c r="R148" s="11"/>
      <c r="S148" s="11"/>
      <c r="T148" s="11"/>
      <c r="U148" s="11"/>
      <c r="V148" s="11"/>
      <c r="W148" s="11"/>
      <c r="X148" s="11"/>
    </row>
    <row r="149" ht="13.5" customHeight="1">
      <c r="A149" s="11"/>
      <c r="B149" s="262" t="s">
        <v>1089</v>
      </c>
      <c r="C149" s="383">
        <v>500.0</v>
      </c>
      <c r="D149" s="383">
        <f t="shared" si="8"/>
        <v>160</v>
      </c>
      <c r="E149" s="267" t="s">
        <v>18</v>
      </c>
      <c r="F149" s="102"/>
      <c r="G149" s="11"/>
      <c r="H149" s="11"/>
      <c r="I149" s="11"/>
      <c r="J149" s="11"/>
      <c r="K149" s="11"/>
      <c r="L149" s="11"/>
      <c r="M149" s="755"/>
      <c r="N149" s="11"/>
      <c r="O149" s="11"/>
      <c r="P149" s="11"/>
      <c r="Q149" s="11"/>
      <c r="R149" s="11"/>
      <c r="S149" s="11"/>
      <c r="T149" s="11"/>
      <c r="U149" s="11"/>
      <c r="V149" s="11"/>
      <c r="W149" s="11"/>
      <c r="X149" s="11"/>
    </row>
    <row r="150" ht="13.5" customHeight="1">
      <c r="A150" s="11"/>
      <c r="B150" s="163" t="s">
        <v>1091</v>
      </c>
      <c r="C150" s="285">
        <v>100.0</v>
      </c>
      <c r="D150" s="285">
        <f t="shared" si="8"/>
        <v>32</v>
      </c>
      <c r="E150" s="169" t="s">
        <v>18</v>
      </c>
      <c r="F150" s="495"/>
      <c r="G150" s="11"/>
      <c r="H150" s="11"/>
      <c r="I150" s="11"/>
      <c r="J150" s="11"/>
      <c r="K150" s="11"/>
      <c r="L150" s="11"/>
      <c r="M150" s="755"/>
      <c r="N150" s="11"/>
      <c r="O150" s="11"/>
      <c r="P150" s="11"/>
      <c r="Q150" s="11"/>
      <c r="R150" s="11"/>
      <c r="S150" s="11"/>
      <c r="T150" s="11"/>
      <c r="U150" s="11"/>
      <c r="V150" s="11"/>
      <c r="W150" s="11"/>
      <c r="X150" s="11"/>
    </row>
    <row r="151" ht="13.5" customHeight="1">
      <c r="A151" s="11"/>
      <c r="B151" s="177" t="s">
        <v>1092</v>
      </c>
      <c r="C151" s="198">
        <v>25.0</v>
      </c>
      <c r="D151" s="198">
        <f t="shared" si="8"/>
        <v>8</v>
      </c>
      <c r="E151" s="204" t="s">
        <v>14</v>
      </c>
      <c r="F151" s="495"/>
      <c r="G151" s="11"/>
      <c r="H151" s="11"/>
      <c r="I151" s="11"/>
      <c r="J151" s="11"/>
      <c r="K151" s="11"/>
      <c r="L151" s="11"/>
      <c r="M151" s="755"/>
      <c r="N151" s="11"/>
      <c r="O151" s="11"/>
      <c r="P151" s="11"/>
      <c r="Q151" s="11"/>
      <c r="R151" s="11"/>
      <c r="S151" s="11"/>
      <c r="T151" s="11"/>
      <c r="U151" s="11"/>
      <c r="V151" s="11"/>
      <c r="W151" s="11"/>
      <c r="X151" s="11"/>
    </row>
    <row r="152" ht="13.5" customHeight="1">
      <c r="A152" s="11"/>
      <c r="B152" s="262" t="s">
        <v>1093</v>
      </c>
      <c r="C152" s="383">
        <v>250.0</v>
      </c>
      <c r="D152" s="383">
        <f t="shared" si="8"/>
        <v>80</v>
      </c>
      <c r="E152" s="267" t="s">
        <v>18</v>
      </c>
      <c r="F152" s="495"/>
      <c r="G152" s="11"/>
      <c r="H152" s="11"/>
      <c r="I152" s="11"/>
      <c r="J152" s="11"/>
      <c r="K152" s="11"/>
      <c r="L152" s="11"/>
      <c r="M152" s="755"/>
      <c r="N152" s="11"/>
      <c r="O152" s="11"/>
      <c r="P152" s="11"/>
      <c r="Q152" s="11"/>
      <c r="R152" s="11"/>
      <c r="S152" s="11"/>
      <c r="T152" s="11"/>
      <c r="U152" s="11"/>
      <c r="V152" s="11"/>
      <c r="W152" s="11"/>
      <c r="X152" s="11"/>
    </row>
    <row r="153" ht="13.5" customHeight="1">
      <c r="A153" s="11"/>
      <c r="B153" s="163" t="s">
        <v>288</v>
      </c>
      <c r="C153" s="285">
        <v>150.0</v>
      </c>
      <c r="D153" s="285">
        <f t="shared" si="8"/>
        <v>48</v>
      </c>
      <c r="E153" s="169" t="s">
        <v>18</v>
      </c>
      <c r="F153" s="44" t="s">
        <v>1094</v>
      </c>
      <c r="G153" s="11"/>
      <c r="H153" s="11"/>
      <c r="I153" s="11"/>
      <c r="J153" s="11"/>
      <c r="K153" s="11"/>
      <c r="L153" s="11"/>
      <c r="M153" s="755"/>
      <c r="N153" s="11"/>
      <c r="O153" s="11"/>
      <c r="P153" s="11"/>
      <c r="Q153" s="11"/>
      <c r="R153" s="11"/>
      <c r="S153" s="11"/>
      <c r="T153" s="11"/>
      <c r="U153" s="11"/>
      <c r="V153" s="11"/>
      <c r="W153" s="11"/>
      <c r="X153" s="11"/>
    </row>
    <row r="154" ht="13.5" customHeight="1">
      <c r="A154" s="11"/>
      <c r="B154" s="208" t="s">
        <v>13</v>
      </c>
      <c r="C154" s="211">
        <v>0.5</v>
      </c>
      <c r="D154" s="211">
        <f t="shared" si="8"/>
        <v>0.16</v>
      </c>
      <c r="E154" s="212" t="s">
        <v>14</v>
      </c>
      <c r="F154" s="76"/>
      <c r="G154" s="11"/>
      <c r="H154" s="11"/>
      <c r="I154" s="11"/>
      <c r="J154" s="11"/>
      <c r="K154" s="11"/>
      <c r="L154" s="11"/>
      <c r="M154" s="755"/>
      <c r="N154" s="11"/>
      <c r="O154" s="11"/>
      <c r="P154" s="11"/>
      <c r="Q154" s="11"/>
      <c r="R154" s="11"/>
      <c r="S154" s="11"/>
      <c r="T154" s="11"/>
      <c r="U154" s="11"/>
      <c r="V154" s="11"/>
      <c r="W154" s="11"/>
      <c r="X154" s="11"/>
    </row>
    <row r="155" ht="13.5" customHeight="1">
      <c r="A155" s="11"/>
      <c r="B155" s="157" t="s">
        <v>1096</v>
      </c>
      <c r="C155" s="390">
        <v>2.5</v>
      </c>
      <c r="D155" s="390">
        <f t="shared" si="8"/>
        <v>0.8</v>
      </c>
      <c r="E155" s="159" t="s">
        <v>14</v>
      </c>
      <c r="F155" s="44" t="s">
        <v>1097</v>
      </c>
      <c r="G155" s="11"/>
      <c r="H155" s="11"/>
      <c r="I155" s="11"/>
      <c r="J155" s="11"/>
      <c r="K155" s="11"/>
      <c r="L155" s="11"/>
      <c r="M155" s="755"/>
      <c r="N155" s="11"/>
      <c r="O155" s="11"/>
      <c r="P155" s="11"/>
      <c r="Q155" s="11"/>
      <c r="R155" s="11"/>
      <c r="S155" s="11"/>
      <c r="T155" s="11"/>
      <c r="U155" s="11"/>
      <c r="V155" s="11"/>
      <c r="W155" s="11"/>
      <c r="X155" s="11"/>
    </row>
    <row r="156" ht="13.5" customHeight="1">
      <c r="A156" s="11"/>
      <c r="B156" s="208" t="s">
        <v>1098</v>
      </c>
      <c r="C156" s="318">
        <v>5.0</v>
      </c>
      <c r="D156" s="211">
        <f t="shared" si="8"/>
        <v>1.6</v>
      </c>
      <c r="E156" s="212" t="s">
        <v>5</v>
      </c>
      <c r="F156" s="47"/>
      <c r="G156" s="11"/>
      <c r="H156" s="11"/>
      <c r="I156" s="11"/>
      <c r="J156" s="11"/>
      <c r="K156" s="11"/>
      <c r="L156" s="11"/>
      <c r="M156" s="755"/>
      <c r="N156" s="11"/>
      <c r="O156" s="11"/>
      <c r="P156" s="11"/>
      <c r="Q156" s="11"/>
      <c r="R156" s="11"/>
      <c r="S156" s="11"/>
      <c r="T156" s="11"/>
      <c r="U156" s="11"/>
      <c r="V156" s="11"/>
      <c r="W156" s="11"/>
      <c r="X156" s="11"/>
    </row>
    <row r="157" ht="13.5" customHeight="1">
      <c r="A157" s="11"/>
      <c r="B157" s="458" t="s">
        <v>335</v>
      </c>
      <c r="C157" s="363">
        <v>2.5</v>
      </c>
      <c r="D157" s="460">
        <f t="shared" si="8"/>
        <v>0.8</v>
      </c>
      <c r="E157" s="463" t="s">
        <v>5</v>
      </c>
      <c r="F157" s="76"/>
      <c r="G157" s="11"/>
      <c r="H157" s="11"/>
      <c r="I157" s="11"/>
      <c r="J157" s="11"/>
      <c r="K157" s="11"/>
      <c r="L157" s="11"/>
      <c r="M157" s="755"/>
      <c r="N157" s="11"/>
      <c r="O157" s="11"/>
      <c r="P157" s="11"/>
      <c r="Q157" s="11"/>
      <c r="R157" s="11"/>
      <c r="S157" s="11"/>
      <c r="T157" s="11"/>
      <c r="U157" s="11"/>
      <c r="V157" s="11"/>
      <c r="W157" s="11"/>
      <c r="X157" s="11"/>
    </row>
    <row r="158" ht="13.5" customHeight="1">
      <c r="A158" s="11"/>
      <c r="B158" s="220" t="s">
        <v>42</v>
      </c>
      <c r="C158" s="220" t="s">
        <v>725</v>
      </c>
      <c r="D158" s="11"/>
      <c r="E158" s="11"/>
      <c r="F158" s="590"/>
      <c r="G158" s="11"/>
      <c r="H158" s="11"/>
      <c r="I158" s="11"/>
      <c r="J158" s="11"/>
      <c r="K158" s="11"/>
      <c r="L158" s="11"/>
      <c r="M158" s="755"/>
      <c r="N158" s="11"/>
      <c r="O158" s="11"/>
      <c r="P158" s="11"/>
      <c r="Q158" s="11"/>
      <c r="R158" s="11"/>
      <c r="S158" s="11"/>
      <c r="T158" s="11"/>
      <c r="U158" s="11"/>
      <c r="V158" s="11"/>
      <c r="W158" s="11"/>
      <c r="X158" s="11"/>
    </row>
    <row r="159" ht="13.5" customHeight="1">
      <c r="A159" s="11"/>
      <c r="B159" s="381" t="s">
        <v>49</v>
      </c>
      <c r="C159" s="799">
        <v>41618.0</v>
      </c>
      <c r="D159" s="11"/>
      <c r="E159" s="11"/>
      <c r="F159" s="11"/>
      <c r="G159" s="11"/>
      <c r="H159" s="11"/>
      <c r="I159" s="11"/>
      <c r="J159" s="11"/>
      <c r="K159" s="11"/>
      <c r="L159" s="11"/>
      <c r="M159" s="755"/>
      <c r="N159" s="11"/>
      <c r="O159" s="11"/>
      <c r="P159" s="11"/>
      <c r="Q159" s="11"/>
      <c r="R159" s="11"/>
      <c r="S159" s="11"/>
      <c r="T159" s="11"/>
      <c r="U159" s="11"/>
      <c r="V159" s="11"/>
      <c r="W159" s="11"/>
      <c r="X159" s="11"/>
    </row>
    <row r="160" ht="13.5" customHeight="1">
      <c r="A160" s="11"/>
      <c r="B160" s="381" t="s">
        <v>50</v>
      </c>
      <c r="C160" s="799">
        <v>41735.0</v>
      </c>
      <c r="D160" s="11"/>
      <c r="E160" s="11"/>
      <c r="F160" s="11"/>
      <c r="G160" s="11"/>
      <c r="H160" s="11"/>
      <c r="I160" s="11"/>
      <c r="J160" s="11"/>
      <c r="K160" s="11"/>
      <c r="L160" s="11"/>
      <c r="M160" s="755"/>
      <c r="N160" s="11"/>
      <c r="O160" s="11"/>
      <c r="P160" s="11"/>
      <c r="Q160" s="11"/>
      <c r="R160" s="11"/>
      <c r="S160" s="11"/>
      <c r="T160" s="11"/>
      <c r="U160" s="11"/>
      <c r="V160" s="11"/>
      <c r="W160" s="11"/>
      <c r="X160" s="11"/>
    </row>
    <row r="161" ht="13.5" customHeight="1">
      <c r="A161" s="11"/>
      <c r="B161" s="11"/>
      <c r="C161" s="11"/>
      <c r="D161" s="11"/>
      <c r="E161" s="11"/>
      <c r="F161" s="284"/>
      <c r="G161" s="11"/>
      <c r="H161" s="11"/>
      <c r="I161" s="11"/>
      <c r="J161" s="11"/>
      <c r="K161" s="11"/>
      <c r="L161" s="11"/>
      <c r="M161" s="755"/>
      <c r="N161" s="11"/>
      <c r="O161" s="11"/>
      <c r="P161" s="11"/>
      <c r="Q161" s="11"/>
      <c r="R161" s="11"/>
      <c r="S161" s="11"/>
      <c r="T161" s="11"/>
      <c r="U161" s="11"/>
      <c r="V161" s="11"/>
      <c r="W161" s="11"/>
      <c r="X161" s="11"/>
    </row>
    <row r="162" ht="15.75" customHeight="1">
      <c r="A162" s="11"/>
      <c r="B162" s="656" t="s">
        <v>641</v>
      </c>
      <c r="C162" s="18"/>
      <c r="D162" s="18"/>
      <c r="E162" s="19"/>
      <c r="F162" s="11"/>
      <c r="G162" s="11"/>
      <c r="H162" s="11"/>
      <c r="I162" s="11"/>
      <c r="J162" s="11"/>
      <c r="K162" s="11"/>
      <c r="L162" s="11"/>
      <c r="M162" s="755"/>
      <c r="N162" s="11"/>
      <c r="O162" s="11"/>
      <c r="P162" s="11"/>
      <c r="Q162" s="11"/>
      <c r="R162" s="11"/>
      <c r="S162" s="11"/>
      <c r="T162" s="11"/>
      <c r="U162" s="11"/>
      <c r="V162" s="11"/>
      <c r="W162" s="11"/>
      <c r="X162" s="11"/>
    </row>
    <row r="163" ht="15.75" customHeight="1">
      <c r="A163" s="11"/>
      <c r="B163" s="262" t="s">
        <v>1</v>
      </c>
      <c r="C163" s="383">
        <v>100.0</v>
      </c>
      <c r="D163" s="918">
        <v>260.0</v>
      </c>
      <c r="E163" s="986" t="s">
        <v>5</v>
      </c>
      <c r="F163" s="44" t="s">
        <v>1107</v>
      </c>
      <c r="G163" s="11"/>
      <c r="H163" s="11"/>
      <c r="I163" s="11"/>
      <c r="J163" s="11"/>
      <c r="K163" s="11"/>
      <c r="L163" s="11"/>
      <c r="M163" s="755"/>
      <c r="N163" s="11"/>
      <c r="O163" s="11"/>
      <c r="P163" s="11"/>
      <c r="Q163" s="11"/>
      <c r="R163" s="11"/>
      <c r="S163" s="11"/>
      <c r="T163" s="11"/>
      <c r="U163" s="11"/>
      <c r="V163" s="11"/>
      <c r="W163" s="11"/>
      <c r="X163" s="11"/>
    </row>
    <row r="164" ht="13.5" customHeight="1">
      <c r="A164" s="11"/>
      <c r="B164" s="163" t="s">
        <v>1017</v>
      </c>
      <c r="C164" s="285">
        <v>6.0</v>
      </c>
      <c r="D164" s="285">
        <f t="shared" ref="D164:D170" si="9">(C164*D163)/C163</f>
        <v>15.6</v>
      </c>
      <c r="E164" s="991" t="s">
        <v>14</v>
      </c>
      <c r="F164" s="47"/>
      <c r="G164" s="11"/>
      <c r="H164" s="11"/>
      <c r="I164" s="11"/>
      <c r="J164" s="11"/>
      <c r="K164" s="11"/>
      <c r="L164" s="11"/>
      <c r="M164" s="755"/>
      <c r="N164" s="11"/>
      <c r="O164" s="11"/>
      <c r="P164" s="11"/>
      <c r="Q164" s="11"/>
      <c r="R164" s="11"/>
      <c r="S164" s="11"/>
      <c r="T164" s="11"/>
      <c r="U164" s="11"/>
      <c r="V164" s="11"/>
      <c r="W164" s="11"/>
      <c r="X164" s="11"/>
    </row>
    <row r="165" ht="13.5" customHeight="1">
      <c r="A165" s="11"/>
      <c r="B165" s="177" t="s">
        <v>737</v>
      </c>
      <c r="C165" s="198">
        <v>6.0</v>
      </c>
      <c r="D165" s="198">
        <f t="shared" si="9"/>
        <v>15.6</v>
      </c>
      <c r="E165" s="993" t="s">
        <v>14</v>
      </c>
      <c r="F165" s="47"/>
      <c r="G165" s="11"/>
      <c r="H165" s="11"/>
      <c r="I165" s="11"/>
      <c r="J165" s="11"/>
      <c r="K165" s="11"/>
      <c r="L165" s="11"/>
      <c r="M165" s="755"/>
      <c r="N165" s="11"/>
      <c r="O165" s="11"/>
      <c r="P165" s="11"/>
      <c r="Q165" s="11"/>
      <c r="R165" s="11"/>
      <c r="S165" s="11"/>
      <c r="T165" s="11"/>
      <c r="U165" s="11"/>
      <c r="V165" s="11"/>
      <c r="W165" s="11"/>
      <c r="X165" s="11"/>
    </row>
    <row r="166" ht="13.5" customHeight="1">
      <c r="A166" s="11"/>
      <c r="B166" s="262" t="s">
        <v>810</v>
      </c>
      <c r="C166" s="383">
        <v>1.6</v>
      </c>
      <c r="D166" s="383">
        <f t="shared" si="9"/>
        <v>4.16</v>
      </c>
      <c r="E166" s="986" t="s">
        <v>14</v>
      </c>
      <c r="F166" s="47"/>
      <c r="G166" s="11"/>
      <c r="H166" s="11"/>
      <c r="I166" s="11"/>
      <c r="J166" s="11"/>
      <c r="K166" s="11"/>
      <c r="L166" s="11"/>
      <c r="M166" s="755"/>
      <c r="N166" s="11"/>
      <c r="O166" s="11"/>
      <c r="P166" s="11"/>
      <c r="Q166" s="11"/>
      <c r="R166" s="11"/>
      <c r="S166" s="11"/>
      <c r="T166" s="11"/>
      <c r="U166" s="11"/>
      <c r="V166" s="11"/>
      <c r="W166" s="11"/>
      <c r="X166" s="11"/>
    </row>
    <row r="167" ht="13.5" customHeight="1">
      <c r="A167" s="11"/>
      <c r="B167" s="163" t="s">
        <v>1117</v>
      </c>
      <c r="C167" s="285">
        <v>3.0</v>
      </c>
      <c r="D167" s="285">
        <f t="shared" si="9"/>
        <v>7.8</v>
      </c>
      <c r="E167" s="991" t="s">
        <v>14</v>
      </c>
      <c r="F167" s="47"/>
      <c r="G167" s="11"/>
      <c r="H167" s="11"/>
      <c r="I167" s="11"/>
      <c r="J167" s="11"/>
      <c r="K167" s="11"/>
      <c r="L167" s="11"/>
      <c r="M167" s="755"/>
      <c r="N167" s="11"/>
      <c r="O167" s="11"/>
      <c r="P167" s="11"/>
      <c r="Q167" s="11"/>
      <c r="R167" s="11"/>
      <c r="S167" s="11"/>
      <c r="T167" s="11"/>
      <c r="U167" s="11"/>
      <c r="V167" s="11"/>
      <c r="W167" s="11"/>
      <c r="X167" s="11"/>
    </row>
    <row r="168" ht="15.0" customHeight="1">
      <c r="A168" s="11"/>
      <c r="B168" s="177" t="s">
        <v>52</v>
      </c>
      <c r="C168" s="198">
        <v>75.0</v>
      </c>
      <c r="D168" s="198">
        <f t="shared" si="9"/>
        <v>195</v>
      </c>
      <c r="E168" s="993" t="s">
        <v>18</v>
      </c>
      <c r="F168" s="47"/>
      <c r="G168" s="11"/>
      <c r="H168" s="11"/>
      <c r="I168" s="11"/>
      <c r="J168" s="11"/>
      <c r="K168" s="11"/>
      <c r="L168" s="11"/>
      <c r="M168" s="755"/>
      <c r="N168" s="11"/>
      <c r="O168" s="11"/>
      <c r="P168" s="11"/>
      <c r="Q168" s="11"/>
      <c r="R168" s="11"/>
      <c r="S168" s="11"/>
      <c r="T168" s="11"/>
      <c r="U168" s="11"/>
      <c r="V168" s="11"/>
      <c r="W168" s="11"/>
      <c r="X168" s="11"/>
    </row>
    <row r="169" ht="15.75" customHeight="1">
      <c r="A169" s="11"/>
      <c r="B169" s="208" t="s">
        <v>31</v>
      </c>
      <c r="C169" s="211">
        <v>1000.0</v>
      </c>
      <c r="D169" s="211">
        <f t="shared" si="9"/>
        <v>2600</v>
      </c>
      <c r="E169" s="996" t="s">
        <v>18</v>
      </c>
      <c r="F169" s="997"/>
      <c r="G169" s="11"/>
      <c r="H169" s="11"/>
      <c r="I169" s="11"/>
      <c r="J169" s="11"/>
      <c r="K169" s="11"/>
      <c r="L169" s="11"/>
      <c r="M169" s="755"/>
      <c r="N169" s="11"/>
      <c r="O169" s="11"/>
      <c r="P169" s="11"/>
      <c r="Q169" s="11"/>
      <c r="R169" s="11"/>
      <c r="S169" s="11"/>
      <c r="T169" s="11"/>
      <c r="U169" s="11"/>
      <c r="V169" s="11"/>
      <c r="W169" s="11"/>
      <c r="X169" s="11"/>
    </row>
    <row r="170" ht="15.0" customHeight="1">
      <c r="A170" s="11"/>
      <c r="B170" s="157" t="s">
        <v>184</v>
      </c>
      <c r="C170" s="390">
        <v>1.5</v>
      </c>
      <c r="D170" s="390">
        <f t="shared" si="9"/>
        <v>3.9</v>
      </c>
      <c r="E170" s="1001" t="s">
        <v>5</v>
      </c>
      <c r="F170" s="1002" t="s">
        <v>1124</v>
      </c>
      <c r="G170" s="11"/>
      <c r="H170" s="11"/>
      <c r="I170" s="11"/>
      <c r="J170" s="11"/>
      <c r="K170" s="11"/>
      <c r="L170" s="11"/>
      <c r="M170" s="755"/>
      <c r="N170" s="11"/>
      <c r="O170" s="11"/>
      <c r="P170" s="11"/>
      <c r="Q170" s="11"/>
      <c r="R170" s="11"/>
      <c r="S170" s="11"/>
      <c r="T170" s="11"/>
      <c r="U170" s="11"/>
      <c r="V170" s="11"/>
      <c r="W170" s="11"/>
      <c r="X170" s="11"/>
    </row>
    <row r="171" ht="13.5" customHeight="1">
      <c r="A171" s="11"/>
      <c r="B171" s="177" t="s">
        <v>98</v>
      </c>
      <c r="C171" s="198">
        <v>150.0</v>
      </c>
      <c r="D171" s="198">
        <f>(C171*D172)/C172</f>
        <v>390</v>
      </c>
      <c r="E171" s="993" t="s">
        <v>18</v>
      </c>
      <c r="F171" s="47"/>
      <c r="G171" s="11"/>
      <c r="H171" s="11"/>
      <c r="I171" s="11"/>
      <c r="J171" s="11"/>
      <c r="K171" s="11"/>
      <c r="L171" s="11"/>
      <c r="M171" s="755"/>
      <c r="N171" s="11"/>
      <c r="O171" s="11"/>
      <c r="P171" s="11"/>
      <c r="Q171" s="11"/>
      <c r="R171" s="11"/>
      <c r="S171" s="11"/>
      <c r="T171" s="11"/>
      <c r="U171" s="11"/>
      <c r="V171" s="11"/>
      <c r="W171" s="11"/>
      <c r="X171" s="11"/>
    </row>
    <row r="172" ht="13.5" customHeight="1">
      <c r="A172" s="11"/>
      <c r="B172" s="262" t="s">
        <v>1036</v>
      </c>
      <c r="C172" s="383">
        <v>15.0</v>
      </c>
      <c r="D172" s="198">
        <f t="shared" ref="D172:D173" si="10">(C172*D170)/C170</f>
        <v>39</v>
      </c>
      <c r="E172" s="993" t="s">
        <v>18</v>
      </c>
      <c r="F172" s="47"/>
      <c r="G172" s="11"/>
      <c r="H172" s="11"/>
      <c r="I172" s="11"/>
      <c r="J172" s="11"/>
      <c r="K172" s="11"/>
      <c r="L172" s="11"/>
      <c r="M172" s="755"/>
      <c r="N172" s="11"/>
      <c r="O172" s="11"/>
      <c r="P172" s="11"/>
      <c r="Q172" s="11"/>
      <c r="R172" s="11"/>
      <c r="S172" s="11"/>
      <c r="T172" s="11"/>
      <c r="U172" s="11"/>
      <c r="V172" s="11"/>
      <c r="W172" s="11"/>
      <c r="X172" s="11"/>
    </row>
    <row r="173" ht="13.5" customHeight="1">
      <c r="A173" s="11"/>
      <c r="B173" s="262" t="s">
        <v>103</v>
      </c>
      <c r="C173" s="383">
        <v>100.0</v>
      </c>
      <c r="D173" s="383">
        <f t="shared" si="10"/>
        <v>260</v>
      </c>
      <c r="E173" s="986" t="s">
        <v>18</v>
      </c>
      <c r="F173" s="997"/>
      <c r="G173" s="11"/>
      <c r="H173" s="11"/>
      <c r="I173" s="11"/>
      <c r="J173" s="11"/>
      <c r="K173" s="11"/>
      <c r="L173" s="11"/>
      <c r="M173" s="755"/>
      <c r="N173" s="11"/>
      <c r="O173" s="11"/>
      <c r="P173" s="11"/>
      <c r="Q173" s="11"/>
      <c r="R173" s="11"/>
      <c r="S173" s="11"/>
      <c r="T173" s="11"/>
      <c r="U173" s="11"/>
      <c r="V173" s="11"/>
      <c r="W173" s="11"/>
      <c r="X173" s="11"/>
    </row>
    <row r="174" ht="13.5" customHeight="1">
      <c r="A174" s="11"/>
      <c r="B174" s="163" t="s">
        <v>39</v>
      </c>
      <c r="C174" s="285">
        <v>400.0</v>
      </c>
      <c r="D174" s="285">
        <f t="shared" ref="D174:D183" si="11">(C174*D173)/C173</f>
        <v>1040</v>
      </c>
      <c r="E174" s="991" t="s">
        <v>18</v>
      </c>
      <c r="F174" s="1002" t="s">
        <v>1041</v>
      </c>
      <c r="G174" s="11"/>
      <c r="H174" s="11"/>
      <c r="I174" s="11"/>
      <c r="J174" s="11"/>
      <c r="K174" s="11"/>
      <c r="L174" s="11"/>
      <c r="M174" s="755"/>
      <c r="N174" s="11"/>
      <c r="O174" s="11"/>
      <c r="P174" s="11"/>
      <c r="Q174" s="11"/>
      <c r="R174" s="11"/>
      <c r="S174" s="11"/>
      <c r="T174" s="11"/>
      <c r="U174" s="11"/>
      <c r="V174" s="11"/>
      <c r="W174" s="11"/>
      <c r="X174" s="11"/>
    </row>
    <row r="175" ht="13.5" customHeight="1">
      <c r="A175" s="11"/>
      <c r="B175" s="177" t="s">
        <v>149</v>
      </c>
      <c r="C175" s="198">
        <v>800.0</v>
      </c>
      <c r="D175" s="198">
        <f t="shared" si="11"/>
        <v>2080</v>
      </c>
      <c r="E175" s="993" t="s">
        <v>18</v>
      </c>
      <c r="F175" s="47"/>
      <c r="G175" s="11"/>
      <c r="H175" s="11"/>
      <c r="I175" s="11"/>
      <c r="J175" s="11"/>
      <c r="K175" s="11"/>
      <c r="L175" s="11"/>
      <c r="M175" s="755"/>
      <c r="N175" s="11"/>
      <c r="O175" s="11"/>
      <c r="P175" s="11"/>
      <c r="Q175" s="11"/>
      <c r="R175" s="11"/>
      <c r="S175" s="11"/>
      <c r="T175" s="11"/>
      <c r="U175" s="11"/>
      <c r="V175" s="11"/>
      <c r="W175" s="11"/>
      <c r="X175" s="11"/>
    </row>
    <row r="176" ht="13.5" customHeight="1">
      <c r="A176" s="11"/>
      <c r="B176" s="262" t="s">
        <v>1089</v>
      </c>
      <c r="C176" s="383">
        <v>300.0</v>
      </c>
      <c r="D176" s="383">
        <f t="shared" si="11"/>
        <v>780</v>
      </c>
      <c r="E176" s="986" t="s">
        <v>18</v>
      </c>
      <c r="F176" s="997"/>
      <c r="G176" s="11"/>
      <c r="H176" s="11"/>
      <c r="I176" s="11"/>
      <c r="J176" s="11"/>
      <c r="K176" s="11"/>
      <c r="L176" s="11"/>
      <c r="M176" s="755"/>
      <c r="N176" s="11"/>
      <c r="O176" s="11"/>
      <c r="P176" s="11"/>
      <c r="Q176" s="11"/>
      <c r="R176" s="11"/>
      <c r="S176" s="11"/>
      <c r="T176" s="11"/>
      <c r="U176" s="11"/>
      <c r="V176" s="11"/>
      <c r="W176" s="11"/>
      <c r="X176" s="11"/>
    </row>
    <row r="177" ht="13.5" customHeight="1">
      <c r="A177" s="11"/>
      <c r="B177" s="163" t="s">
        <v>1091</v>
      </c>
      <c r="C177" s="285">
        <v>75.0</v>
      </c>
      <c r="D177" s="285">
        <f t="shared" si="11"/>
        <v>195</v>
      </c>
      <c r="E177" s="991" t="s">
        <v>18</v>
      </c>
      <c r="F177" s="1003"/>
      <c r="G177" s="11"/>
      <c r="H177" s="11"/>
      <c r="I177" s="11"/>
      <c r="J177" s="11"/>
      <c r="K177" s="11"/>
      <c r="L177" s="11"/>
      <c r="M177" s="755"/>
      <c r="N177" s="11"/>
      <c r="O177" s="11"/>
      <c r="P177" s="11"/>
      <c r="Q177" s="11"/>
      <c r="R177" s="11"/>
      <c r="S177" s="11"/>
      <c r="T177" s="11"/>
      <c r="U177" s="11"/>
      <c r="V177" s="11"/>
      <c r="W177" s="11"/>
      <c r="X177" s="11"/>
    </row>
    <row r="178" ht="13.5" customHeight="1">
      <c r="A178" s="11"/>
      <c r="B178" s="177" t="s">
        <v>1092</v>
      </c>
      <c r="C178" s="198">
        <v>15.0</v>
      </c>
      <c r="D178" s="198">
        <f t="shared" si="11"/>
        <v>39</v>
      </c>
      <c r="E178" s="993" t="s">
        <v>14</v>
      </c>
      <c r="F178" s="1003"/>
      <c r="G178" s="11"/>
      <c r="H178" s="11"/>
      <c r="I178" s="11"/>
      <c r="J178" s="11"/>
      <c r="K178" s="11"/>
      <c r="L178" s="11"/>
      <c r="M178" s="755"/>
      <c r="N178" s="11"/>
      <c r="O178" s="11"/>
      <c r="P178" s="11"/>
      <c r="Q178" s="11"/>
      <c r="R178" s="11"/>
      <c r="S178" s="11"/>
      <c r="T178" s="11"/>
      <c r="U178" s="11"/>
      <c r="V178" s="11"/>
      <c r="W178" s="11"/>
      <c r="X178" s="11"/>
    </row>
    <row r="179" ht="13.5" customHeight="1">
      <c r="A179" s="11"/>
      <c r="B179" s="208" t="s">
        <v>1093</v>
      </c>
      <c r="C179" s="211">
        <v>150.0</v>
      </c>
      <c r="D179" s="211">
        <f t="shared" si="11"/>
        <v>390</v>
      </c>
      <c r="E179" s="996" t="s">
        <v>18</v>
      </c>
      <c r="F179" s="1003"/>
      <c r="G179" s="11"/>
      <c r="H179" s="11"/>
      <c r="I179" s="11"/>
      <c r="J179" s="11"/>
      <c r="K179" s="11"/>
      <c r="L179" s="11"/>
      <c r="M179" s="755"/>
      <c r="N179" s="11"/>
      <c r="O179" s="11"/>
      <c r="P179" s="11"/>
      <c r="Q179" s="11"/>
      <c r="R179" s="11"/>
      <c r="S179" s="11"/>
      <c r="T179" s="11"/>
      <c r="U179" s="11"/>
      <c r="V179" s="11"/>
      <c r="W179" s="11"/>
      <c r="X179" s="11"/>
    </row>
    <row r="180" ht="13.5" customHeight="1">
      <c r="A180" s="11"/>
      <c r="B180" s="251" t="s">
        <v>288</v>
      </c>
      <c r="C180" s="1005">
        <v>150.0</v>
      </c>
      <c r="D180" s="1005">
        <f t="shared" si="11"/>
        <v>390</v>
      </c>
      <c r="E180" s="1006" t="s">
        <v>18</v>
      </c>
      <c r="F180" s="1007" t="s">
        <v>1135</v>
      </c>
      <c r="G180" s="11"/>
      <c r="H180" s="11"/>
      <c r="I180" s="11"/>
      <c r="J180" s="11"/>
      <c r="K180" s="11"/>
      <c r="L180" s="11"/>
      <c r="M180" s="755"/>
      <c r="N180" s="11"/>
      <c r="O180" s="11"/>
      <c r="P180" s="11"/>
      <c r="Q180" s="11"/>
      <c r="R180" s="11"/>
      <c r="S180" s="11"/>
      <c r="T180" s="11"/>
      <c r="U180" s="11"/>
      <c r="V180" s="11"/>
      <c r="W180" s="11"/>
      <c r="X180" s="11"/>
    </row>
    <row r="181" ht="13.5" customHeight="1">
      <c r="A181" s="11"/>
      <c r="B181" s="163" t="s">
        <v>1096</v>
      </c>
      <c r="C181" s="285">
        <v>0.75</v>
      </c>
      <c r="D181" s="285">
        <f t="shared" si="11"/>
        <v>1.95</v>
      </c>
      <c r="E181" s="991" t="s">
        <v>14</v>
      </c>
      <c r="F181" s="1002" t="s">
        <v>1097</v>
      </c>
      <c r="G181" s="11"/>
      <c r="H181" s="11"/>
      <c r="I181" s="11"/>
      <c r="J181" s="11"/>
      <c r="K181" s="11"/>
      <c r="L181" s="11"/>
      <c r="M181" s="755"/>
      <c r="N181" s="11"/>
      <c r="O181" s="11"/>
      <c r="P181" s="11"/>
      <c r="Q181" s="11"/>
      <c r="R181" s="11"/>
      <c r="S181" s="11"/>
      <c r="T181" s="11"/>
      <c r="U181" s="11"/>
      <c r="V181" s="11"/>
      <c r="W181" s="11"/>
      <c r="X181" s="11"/>
    </row>
    <row r="182" ht="13.5" customHeight="1">
      <c r="A182" s="11"/>
      <c r="B182" s="262" t="s">
        <v>1098</v>
      </c>
      <c r="C182" s="355">
        <v>1.0</v>
      </c>
      <c r="D182" s="383">
        <f t="shared" si="11"/>
        <v>2.6</v>
      </c>
      <c r="E182" s="986" t="s">
        <v>5</v>
      </c>
      <c r="F182" s="47"/>
      <c r="G182" s="11"/>
      <c r="H182" s="11"/>
      <c r="I182" s="11"/>
      <c r="J182" s="11"/>
      <c r="K182" s="11"/>
      <c r="L182" s="11"/>
      <c r="M182" s="755"/>
      <c r="N182" s="11"/>
      <c r="O182" s="11"/>
      <c r="P182" s="11"/>
      <c r="Q182" s="11"/>
      <c r="R182" s="11"/>
      <c r="S182" s="11"/>
      <c r="T182" s="11"/>
      <c r="U182" s="11"/>
      <c r="V182" s="11"/>
      <c r="W182" s="11"/>
      <c r="X182" s="11"/>
    </row>
    <row r="183" ht="13.5" customHeight="1">
      <c r="A183" s="11"/>
      <c r="B183" s="458" t="s">
        <v>335</v>
      </c>
      <c r="C183" s="363">
        <v>2.0</v>
      </c>
      <c r="D183" s="460">
        <f t="shared" si="11"/>
        <v>5.2</v>
      </c>
      <c r="E183" s="1008" t="s">
        <v>5</v>
      </c>
      <c r="F183" s="76"/>
      <c r="G183" s="11"/>
      <c r="H183" s="11"/>
      <c r="I183" s="11"/>
      <c r="J183" s="11"/>
      <c r="K183" s="11"/>
      <c r="L183" s="11"/>
      <c r="M183" s="755"/>
      <c r="N183" s="11"/>
      <c r="O183" s="11"/>
      <c r="P183" s="11"/>
      <c r="Q183" s="11"/>
      <c r="R183" s="11"/>
      <c r="S183" s="11"/>
      <c r="T183" s="11"/>
      <c r="U183" s="11"/>
      <c r="V183" s="11"/>
      <c r="W183" s="11"/>
      <c r="X183" s="11"/>
    </row>
    <row r="184" ht="13.5" customHeight="1">
      <c r="A184" s="11"/>
      <c r="B184" s="220" t="s">
        <v>42</v>
      </c>
      <c r="C184" s="220" t="s">
        <v>725</v>
      </c>
      <c r="D184" s="11"/>
      <c r="E184" s="11"/>
      <c r="F184" s="11"/>
      <c r="G184" s="11"/>
      <c r="H184" s="11"/>
      <c r="I184" s="11"/>
      <c r="J184" s="11"/>
      <c r="K184" s="11"/>
      <c r="L184" s="11"/>
      <c r="M184" s="755"/>
      <c r="N184" s="11"/>
      <c r="O184" s="11"/>
      <c r="P184" s="11"/>
      <c r="Q184" s="11"/>
      <c r="R184" s="11"/>
      <c r="S184" s="11"/>
      <c r="T184" s="11"/>
      <c r="U184" s="11"/>
      <c r="V184" s="11"/>
      <c r="W184" s="11"/>
      <c r="X184" s="11"/>
    </row>
    <row r="185" ht="13.5" customHeight="1">
      <c r="A185" s="11"/>
      <c r="B185" s="381" t="s">
        <v>49</v>
      </c>
      <c r="C185" s="799">
        <v>41618.0</v>
      </c>
      <c r="D185" s="11"/>
      <c r="E185" s="11"/>
      <c r="F185" s="11"/>
      <c r="G185" s="11"/>
      <c r="H185" s="11"/>
      <c r="I185" s="11"/>
      <c r="J185" s="11"/>
      <c r="K185" s="11"/>
      <c r="L185" s="11"/>
      <c r="M185" s="755"/>
      <c r="N185" s="11"/>
      <c r="O185" s="11"/>
      <c r="P185" s="11"/>
      <c r="Q185" s="11"/>
      <c r="R185" s="11"/>
      <c r="S185" s="11"/>
      <c r="T185" s="11"/>
      <c r="U185" s="11"/>
      <c r="V185" s="11"/>
      <c r="W185" s="11"/>
      <c r="X185" s="11"/>
    </row>
    <row r="186" ht="13.5" customHeight="1">
      <c r="A186" s="11"/>
      <c r="B186" s="381" t="s">
        <v>50</v>
      </c>
      <c r="C186" s="799">
        <v>42958.0</v>
      </c>
      <c r="D186" s="11"/>
      <c r="E186" s="11"/>
      <c r="F186" s="11"/>
      <c r="G186" s="11"/>
      <c r="H186" s="11"/>
      <c r="I186" s="11"/>
      <c r="J186" s="11"/>
      <c r="K186" s="11"/>
      <c r="L186" s="11"/>
      <c r="M186" s="755"/>
      <c r="N186" s="11"/>
      <c r="O186" s="11"/>
      <c r="P186" s="11"/>
      <c r="Q186" s="11"/>
      <c r="R186" s="11"/>
      <c r="S186" s="11"/>
      <c r="T186" s="11"/>
      <c r="U186" s="11"/>
      <c r="V186" s="11"/>
      <c r="W186" s="11"/>
      <c r="X186" s="11"/>
    </row>
    <row r="187" ht="13.5" customHeight="1">
      <c r="A187" s="11"/>
      <c r="B187" s="11"/>
      <c r="C187" s="11"/>
      <c r="D187" s="11"/>
      <c r="E187" s="11"/>
      <c r="F187" s="11"/>
      <c r="G187" s="11"/>
      <c r="H187" s="11"/>
      <c r="I187" s="11"/>
      <c r="J187" s="11"/>
      <c r="K187" s="11"/>
      <c r="L187" s="11"/>
      <c r="M187" s="755"/>
      <c r="N187" s="11"/>
      <c r="O187" s="11"/>
      <c r="P187" s="11"/>
      <c r="Q187" s="11"/>
      <c r="R187" s="11"/>
      <c r="S187" s="11"/>
      <c r="T187" s="11"/>
      <c r="U187" s="11"/>
      <c r="V187" s="11"/>
      <c r="W187" s="11"/>
      <c r="X187" s="11"/>
    </row>
    <row r="188" ht="15.0" customHeight="1">
      <c r="A188" s="11"/>
      <c r="B188" s="656" t="s">
        <v>1139</v>
      </c>
      <c r="C188" s="18"/>
      <c r="D188" s="18"/>
      <c r="E188" s="19"/>
      <c r="F188" s="284"/>
      <c r="G188" s="11"/>
      <c r="H188" s="11"/>
      <c r="I188" s="11"/>
      <c r="J188" s="656" t="s">
        <v>703</v>
      </c>
      <c r="K188" s="18"/>
      <c r="L188" s="18"/>
      <c r="M188" s="19"/>
      <c r="N188" s="11"/>
      <c r="O188" s="11"/>
      <c r="P188" s="11"/>
      <c r="Q188" s="11"/>
      <c r="R188" s="11"/>
      <c r="S188" s="11"/>
      <c r="T188" s="11"/>
      <c r="U188" s="11"/>
      <c r="V188" s="11"/>
      <c r="W188" s="11"/>
      <c r="X188" s="11"/>
    </row>
    <row r="189" ht="13.5" customHeight="1">
      <c r="A189" s="11"/>
      <c r="B189" s="1011" t="s">
        <v>1</v>
      </c>
      <c r="C189" s="1013">
        <v>100.0</v>
      </c>
      <c r="D189" s="1013">
        <v>10.0</v>
      </c>
      <c r="E189" s="1015" t="s">
        <v>5</v>
      </c>
      <c r="F189" s="1018"/>
      <c r="G189" s="11"/>
      <c r="H189" s="11"/>
      <c r="I189" s="11"/>
      <c r="J189" s="1011" t="s">
        <v>1</v>
      </c>
      <c r="K189" s="1013">
        <v>100.0</v>
      </c>
      <c r="L189" s="1013">
        <v>400.0</v>
      </c>
      <c r="M189" s="1015" t="s">
        <v>5</v>
      </c>
      <c r="N189" s="11"/>
      <c r="O189" s="11"/>
      <c r="P189" s="11"/>
      <c r="Q189" s="11"/>
      <c r="R189" s="11"/>
      <c r="S189" s="11"/>
      <c r="T189" s="11"/>
      <c r="U189" s="11"/>
      <c r="V189" s="11"/>
      <c r="W189" s="11"/>
      <c r="X189" s="11"/>
    </row>
    <row r="190" ht="15.0" customHeight="1">
      <c r="A190" s="11"/>
      <c r="B190" s="163" t="s">
        <v>1144</v>
      </c>
      <c r="C190" s="316">
        <v>12.0</v>
      </c>
      <c r="D190" s="285">
        <f t="shared" ref="D190:D191" si="12">(C190*D189)/C189</f>
        <v>1.2</v>
      </c>
      <c r="E190" s="169" t="s">
        <v>14</v>
      </c>
      <c r="F190" s="44" t="s">
        <v>1149</v>
      </c>
      <c r="G190" s="11"/>
      <c r="H190" s="11"/>
      <c r="I190" s="11"/>
      <c r="J190" s="163" t="s">
        <v>1144</v>
      </c>
      <c r="K190" s="316">
        <v>11.0</v>
      </c>
      <c r="L190" s="285">
        <f t="shared" ref="L190:L191" si="13">(K190*L189)/K189</f>
        <v>44</v>
      </c>
      <c r="M190" s="733" t="s">
        <v>14</v>
      </c>
      <c r="N190" s="11"/>
      <c r="O190" s="11"/>
      <c r="P190" s="11"/>
      <c r="Q190" s="11"/>
      <c r="R190" s="11"/>
      <c r="S190" s="11"/>
      <c r="T190" s="11"/>
      <c r="U190" s="11"/>
      <c r="V190" s="11"/>
      <c r="W190" s="11"/>
      <c r="X190" s="11"/>
    </row>
    <row r="191" ht="13.5" customHeight="1">
      <c r="A191" s="11"/>
      <c r="B191" s="177" t="s">
        <v>31</v>
      </c>
      <c r="C191" s="321">
        <v>1050.0</v>
      </c>
      <c r="D191" s="198">
        <f t="shared" si="12"/>
        <v>105</v>
      </c>
      <c r="E191" s="204" t="s">
        <v>18</v>
      </c>
      <c r="F191" s="47"/>
      <c r="G191" s="11"/>
      <c r="H191" s="11"/>
      <c r="I191" s="11"/>
      <c r="J191" s="177" t="s">
        <v>31</v>
      </c>
      <c r="K191" s="321">
        <v>1050.0</v>
      </c>
      <c r="L191" s="198">
        <f t="shared" si="13"/>
        <v>4200</v>
      </c>
      <c r="M191" s="774" t="s">
        <v>18</v>
      </c>
      <c r="N191" s="11"/>
      <c r="O191" s="11"/>
      <c r="P191" s="11"/>
      <c r="Q191" s="11"/>
      <c r="R191" s="11"/>
      <c r="S191" s="11"/>
      <c r="T191" s="11"/>
      <c r="U191" s="11"/>
      <c r="V191" s="11"/>
      <c r="W191" s="11"/>
      <c r="X191" s="11"/>
    </row>
    <row r="192" ht="13.5" customHeight="1">
      <c r="A192" s="11"/>
      <c r="B192" s="177" t="s">
        <v>52</v>
      </c>
      <c r="C192" s="321">
        <v>200.0</v>
      </c>
      <c r="D192" s="198">
        <f t="shared" ref="D192:D193" si="14">(C192*D190)/C190</f>
        <v>20</v>
      </c>
      <c r="E192" s="204" t="s">
        <v>18</v>
      </c>
      <c r="F192" s="47"/>
      <c r="G192" s="11"/>
      <c r="H192" s="11"/>
      <c r="I192" s="11"/>
      <c r="J192" s="177" t="s">
        <v>52</v>
      </c>
      <c r="K192" s="321">
        <v>200.0</v>
      </c>
      <c r="L192" s="198">
        <f t="shared" ref="L192:L197" si="15">(K192*L190)/K190</f>
        <v>800</v>
      </c>
      <c r="M192" s="774" t="s">
        <v>18</v>
      </c>
      <c r="N192" s="11"/>
      <c r="O192" s="11"/>
      <c r="P192" s="11"/>
      <c r="Q192" s="11"/>
      <c r="R192" s="11"/>
      <c r="S192" s="11"/>
      <c r="T192" s="11"/>
      <c r="U192" s="11"/>
      <c r="V192" s="11"/>
      <c r="W192" s="11"/>
      <c r="X192" s="11"/>
    </row>
    <row r="193" ht="13.5" customHeight="1">
      <c r="A193" s="11"/>
      <c r="B193" s="208" t="s">
        <v>59</v>
      </c>
      <c r="C193" s="318">
        <v>75.0</v>
      </c>
      <c r="D193" s="211">
        <f t="shared" si="14"/>
        <v>7.5</v>
      </c>
      <c r="E193" s="212" t="s">
        <v>5</v>
      </c>
      <c r="F193" s="76"/>
      <c r="G193" s="11"/>
      <c r="H193" s="11"/>
      <c r="I193" s="11"/>
      <c r="J193" s="262" t="s">
        <v>59</v>
      </c>
      <c r="K193" s="355">
        <v>75.0</v>
      </c>
      <c r="L193" s="383">
        <f t="shared" si="15"/>
        <v>300</v>
      </c>
      <c r="M193" s="793" t="s">
        <v>5</v>
      </c>
      <c r="N193" s="11"/>
      <c r="O193" s="11"/>
      <c r="P193" s="11"/>
      <c r="Q193" s="11"/>
      <c r="R193" s="11"/>
      <c r="S193" s="11"/>
      <c r="T193" s="11"/>
      <c r="U193" s="11"/>
      <c r="V193" s="11"/>
      <c r="W193" s="11"/>
      <c r="X193" s="11"/>
    </row>
    <row r="194" ht="13.5" customHeight="1">
      <c r="A194" s="11"/>
      <c r="B194" s="251" t="s">
        <v>1160</v>
      </c>
      <c r="C194" s="1047">
        <v>2.5</v>
      </c>
      <c r="D194" s="1005">
        <f t="shared" ref="D194:D207" si="16">(C194*D193)/C193</f>
        <v>0.25</v>
      </c>
      <c r="E194" s="255" t="s">
        <v>14</v>
      </c>
      <c r="F194" s="140" t="s">
        <v>1164</v>
      </c>
      <c r="G194" s="11"/>
      <c r="H194" s="11"/>
      <c r="I194" s="11"/>
      <c r="J194" s="163" t="s">
        <v>1165</v>
      </c>
      <c r="K194" s="316">
        <v>6.0</v>
      </c>
      <c r="L194" s="285">
        <f t="shared" si="15"/>
        <v>24</v>
      </c>
      <c r="M194" s="733" t="s">
        <v>366</v>
      </c>
      <c r="N194" s="11"/>
      <c r="O194" s="11"/>
      <c r="P194" s="11"/>
      <c r="Q194" s="11"/>
      <c r="R194" s="11"/>
      <c r="S194" s="11"/>
      <c r="T194" s="11"/>
      <c r="U194" s="11"/>
      <c r="V194" s="11"/>
      <c r="W194" s="11"/>
      <c r="X194" s="11"/>
    </row>
    <row r="195" ht="13.5" customHeight="1">
      <c r="A195" s="11"/>
      <c r="B195" s="163" t="s">
        <v>91</v>
      </c>
      <c r="C195" s="316">
        <v>1.0</v>
      </c>
      <c r="D195" s="285">
        <f t="shared" si="16"/>
        <v>0.1</v>
      </c>
      <c r="E195" s="169" t="s">
        <v>5</v>
      </c>
      <c r="F195" s="44" t="s">
        <v>1166</v>
      </c>
      <c r="G195" s="11"/>
      <c r="H195" s="11"/>
      <c r="I195" s="11"/>
      <c r="J195" s="177" t="s">
        <v>1167</v>
      </c>
      <c r="K195" s="321">
        <v>4.0</v>
      </c>
      <c r="L195" s="198">
        <f t="shared" si="15"/>
        <v>16</v>
      </c>
      <c r="M195" s="774" t="s">
        <v>366</v>
      </c>
      <c r="N195" s="11"/>
      <c r="O195" s="11"/>
      <c r="P195" s="11"/>
      <c r="Q195" s="11"/>
      <c r="R195" s="11"/>
      <c r="S195" s="11"/>
      <c r="T195" s="11"/>
      <c r="U195" s="11"/>
      <c r="V195" s="11"/>
      <c r="W195" s="11"/>
      <c r="X195" s="11"/>
    </row>
    <row r="196" ht="13.5" customHeight="1">
      <c r="A196" s="11"/>
      <c r="B196" s="177" t="s">
        <v>97</v>
      </c>
      <c r="C196" s="321">
        <v>125.0</v>
      </c>
      <c r="D196" s="198">
        <f t="shared" si="16"/>
        <v>12.5</v>
      </c>
      <c r="E196" s="204" t="s">
        <v>18</v>
      </c>
      <c r="F196" s="47"/>
      <c r="G196" s="11"/>
      <c r="H196" s="11"/>
      <c r="I196" s="11"/>
      <c r="J196" s="177" t="s">
        <v>1169</v>
      </c>
      <c r="K196" s="321">
        <v>4.0</v>
      </c>
      <c r="L196" s="198">
        <f t="shared" si="15"/>
        <v>16</v>
      </c>
      <c r="M196" s="774" t="s">
        <v>366</v>
      </c>
      <c r="N196" s="11"/>
      <c r="O196" s="11"/>
      <c r="P196" s="11"/>
      <c r="Q196" s="11"/>
      <c r="R196" s="11"/>
      <c r="S196" s="11"/>
      <c r="T196" s="11"/>
      <c r="U196" s="11"/>
      <c r="V196" s="11"/>
      <c r="W196" s="11"/>
      <c r="X196" s="11"/>
    </row>
    <row r="197" ht="13.5" customHeight="1">
      <c r="A197" s="11"/>
      <c r="B197" s="177" t="s">
        <v>98</v>
      </c>
      <c r="C197" s="321">
        <v>100.0</v>
      </c>
      <c r="D197" s="198">
        <f t="shared" si="16"/>
        <v>10</v>
      </c>
      <c r="E197" s="204" t="s">
        <v>18</v>
      </c>
      <c r="F197" s="47"/>
      <c r="G197" s="11"/>
      <c r="H197" s="11"/>
      <c r="I197" s="11"/>
      <c r="J197" s="208" t="s">
        <v>1160</v>
      </c>
      <c r="K197" s="318">
        <v>2.5</v>
      </c>
      <c r="L197" s="211">
        <f t="shared" si="15"/>
        <v>10</v>
      </c>
      <c r="M197" s="1052" t="s">
        <v>366</v>
      </c>
      <c r="N197" s="11"/>
      <c r="O197" s="11"/>
      <c r="P197" s="11"/>
      <c r="Q197" s="11"/>
      <c r="R197" s="11"/>
      <c r="S197" s="11"/>
      <c r="T197" s="11"/>
      <c r="U197" s="11"/>
      <c r="V197" s="11"/>
      <c r="W197" s="11"/>
      <c r="X197" s="11"/>
    </row>
    <row r="198" ht="13.5" customHeight="1">
      <c r="A198" s="11"/>
      <c r="B198" s="177" t="s">
        <v>1173</v>
      </c>
      <c r="C198" s="321">
        <v>50.0</v>
      </c>
      <c r="D198" s="198">
        <f t="shared" si="16"/>
        <v>5</v>
      </c>
      <c r="E198" s="204" t="s">
        <v>18</v>
      </c>
      <c r="F198" s="47"/>
      <c r="G198" s="11"/>
      <c r="H198" s="11"/>
      <c r="I198" s="11"/>
      <c r="J198" s="157" t="s">
        <v>91</v>
      </c>
      <c r="K198" s="839">
        <v>1.0</v>
      </c>
      <c r="L198" s="390">
        <f t="shared" ref="L198:L209" si="17">(K198*L197)/K197</f>
        <v>4</v>
      </c>
      <c r="M198" s="1055" t="s">
        <v>5</v>
      </c>
      <c r="N198" s="11"/>
      <c r="O198" s="11"/>
      <c r="P198" s="11"/>
      <c r="Q198" s="11"/>
      <c r="R198" s="11"/>
      <c r="S198" s="11"/>
      <c r="T198" s="11"/>
      <c r="U198" s="11"/>
      <c r="V198" s="11"/>
      <c r="W198" s="11"/>
      <c r="X198" s="11"/>
    </row>
    <row r="199" ht="15.0" customHeight="1">
      <c r="A199" s="11"/>
      <c r="B199" s="177" t="s">
        <v>346</v>
      </c>
      <c r="C199" s="321">
        <v>250.0</v>
      </c>
      <c r="D199" s="198">
        <f t="shared" si="16"/>
        <v>25</v>
      </c>
      <c r="E199" s="204" t="s">
        <v>18</v>
      </c>
      <c r="F199" s="47"/>
      <c r="G199" s="11"/>
      <c r="H199" s="11"/>
      <c r="I199" s="11"/>
      <c r="J199" s="177" t="s">
        <v>97</v>
      </c>
      <c r="K199" s="321">
        <v>125.0</v>
      </c>
      <c r="L199" s="198">
        <f t="shared" si="17"/>
        <v>500</v>
      </c>
      <c r="M199" s="774" t="s">
        <v>18</v>
      </c>
      <c r="N199" s="11"/>
      <c r="O199" s="11"/>
      <c r="P199" s="11"/>
      <c r="Q199" s="11"/>
      <c r="R199" s="11"/>
      <c r="S199" s="11"/>
      <c r="T199" s="11"/>
      <c r="U199" s="11"/>
      <c r="V199" s="11"/>
      <c r="W199" s="11"/>
      <c r="X199" s="11"/>
    </row>
    <row r="200" ht="13.5" customHeight="1">
      <c r="A200" s="11"/>
      <c r="B200" s="177" t="s">
        <v>847</v>
      </c>
      <c r="C200" s="321">
        <v>100.0</v>
      </c>
      <c r="D200" s="198">
        <f t="shared" si="16"/>
        <v>10</v>
      </c>
      <c r="E200" s="204" t="s">
        <v>18</v>
      </c>
      <c r="F200" s="47"/>
      <c r="G200" s="11"/>
      <c r="H200" s="11"/>
      <c r="I200" s="11"/>
      <c r="J200" s="177" t="s">
        <v>98</v>
      </c>
      <c r="K200" s="321">
        <v>100.0</v>
      </c>
      <c r="L200" s="198">
        <f t="shared" si="17"/>
        <v>400</v>
      </c>
      <c r="M200" s="774" t="s">
        <v>18</v>
      </c>
      <c r="N200" s="11"/>
      <c r="O200" s="11"/>
      <c r="P200" s="11"/>
      <c r="Q200" s="11"/>
      <c r="R200" s="11"/>
      <c r="S200" s="11"/>
      <c r="T200" s="11"/>
      <c r="U200" s="11"/>
      <c r="V200" s="11"/>
      <c r="W200" s="11"/>
      <c r="X200" s="11"/>
    </row>
    <row r="201" ht="15.0" customHeight="1">
      <c r="A201" s="11"/>
      <c r="B201" s="177" t="s">
        <v>101</v>
      </c>
      <c r="C201" s="321">
        <v>1.0</v>
      </c>
      <c r="D201" s="198">
        <f t="shared" si="16"/>
        <v>0.1</v>
      </c>
      <c r="E201" s="204" t="s">
        <v>5</v>
      </c>
      <c r="F201" s="47"/>
      <c r="G201" s="11"/>
      <c r="H201" s="11"/>
      <c r="I201" s="11"/>
      <c r="J201" s="177" t="s">
        <v>1173</v>
      </c>
      <c r="K201" s="321">
        <v>50.0</v>
      </c>
      <c r="L201" s="198">
        <f t="shared" si="17"/>
        <v>200</v>
      </c>
      <c r="M201" s="774" t="s">
        <v>18</v>
      </c>
      <c r="N201" s="11"/>
      <c r="O201" s="11"/>
      <c r="P201" s="11"/>
      <c r="Q201" s="11"/>
      <c r="R201" s="11"/>
      <c r="S201" s="11"/>
      <c r="T201" s="11"/>
      <c r="U201" s="11"/>
      <c r="V201" s="11"/>
      <c r="W201" s="11"/>
      <c r="X201" s="11"/>
    </row>
    <row r="202" ht="13.5" customHeight="1">
      <c r="A202" s="11"/>
      <c r="B202" s="177" t="s">
        <v>103</v>
      </c>
      <c r="C202" s="321">
        <v>100.0</v>
      </c>
      <c r="D202" s="198">
        <f t="shared" si="16"/>
        <v>10</v>
      </c>
      <c r="E202" s="204" t="s">
        <v>18</v>
      </c>
      <c r="F202" s="47"/>
      <c r="G202" s="11"/>
      <c r="H202" s="11"/>
      <c r="I202" s="11"/>
      <c r="J202" s="177" t="s">
        <v>346</v>
      </c>
      <c r="K202" s="321">
        <v>250.0</v>
      </c>
      <c r="L202" s="198">
        <f t="shared" si="17"/>
        <v>1000</v>
      </c>
      <c r="M202" s="774" t="s">
        <v>18</v>
      </c>
      <c r="N202" s="11"/>
      <c r="O202" s="11"/>
      <c r="P202" s="11"/>
      <c r="Q202" s="11"/>
      <c r="R202" s="11"/>
      <c r="S202" s="11"/>
      <c r="T202" s="11"/>
      <c r="U202" s="11"/>
      <c r="V202" s="11"/>
      <c r="W202" s="11"/>
      <c r="X202" s="11"/>
    </row>
    <row r="203" ht="15.0" customHeight="1">
      <c r="A203" s="11"/>
      <c r="B203" s="177" t="s">
        <v>1177</v>
      </c>
      <c r="C203" s="321">
        <v>200.0</v>
      </c>
      <c r="D203" s="198">
        <f t="shared" si="16"/>
        <v>20</v>
      </c>
      <c r="E203" s="204" t="s">
        <v>156</v>
      </c>
      <c r="F203" s="47"/>
      <c r="G203" s="11"/>
      <c r="H203" s="11"/>
      <c r="I203" s="11"/>
      <c r="J203" s="177" t="s">
        <v>847</v>
      </c>
      <c r="K203" s="321">
        <v>100.0</v>
      </c>
      <c r="L203" s="198">
        <f t="shared" si="17"/>
        <v>400</v>
      </c>
      <c r="M203" s="774" t="s">
        <v>18</v>
      </c>
      <c r="N203" s="11"/>
      <c r="O203" s="11"/>
      <c r="P203" s="11"/>
      <c r="Q203" s="11"/>
      <c r="R203" s="11"/>
      <c r="S203" s="11"/>
      <c r="T203" s="11"/>
      <c r="U203" s="11"/>
      <c r="V203" s="11"/>
      <c r="W203" s="11"/>
      <c r="X203" s="11"/>
    </row>
    <row r="204" ht="15.0" customHeight="1">
      <c r="A204" s="11"/>
      <c r="B204" s="177" t="s">
        <v>1178</v>
      </c>
      <c r="C204" s="321">
        <v>2.5</v>
      </c>
      <c r="D204" s="198">
        <f t="shared" si="16"/>
        <v>0.25</v>
      </c>
      <c r="E204" s="204" t="s">
        <v>14</v>
      </c>
      <c r="F204" s="47"/>
      <c r="G204" s="11"/>
      <c r="H204" s="11"/>
      <c r="I204" s="11"/>
      <c r="J204" s="177" t="s">
        <v>101</v>
      </c>
      <c r="K204" s="321">
        <v>1.0</v>
      </c>
      <c r="L204" s="198">
        <f t="shared" si="17"/>
        <v>4</v>
      </c>
      <c r="M204" s="774" t="s">
        <v>5</v>
      </c>
      <c r="N204" s="11"/>
      <c r="O204" s="11"/>
      <c r="P204" s="11"/>
      <c r="Q204" s="11"/>
      <c r="R204" s="11"/>
      <c r="S204" s="11"/>
      <c r="T204" s="11"/>
      <c r="U204" s="11"/>
      <c r="V204" s="11"/>
      <c r="W204" s="11"/>
      <c r="X204" s="11"/>
    </row>
    <row r="205" ht="13.5" customHeight="1">
      <c r="A205" s="11"/>
      <c r="B205" s="262" t="s">
        <v>1181</v>
      </c>
      <c r="C205" s="355">
        <v>1.0</v>
      </c>
      <c r="D205" s="383">
        <f t="shared" si="16"/>
        <v>0.1</v>
      </c>
      <c r="E205" s="267" t="s">
        <v>14</v>
      </c>
      <c r="F205" s="76"/>
      <c r="G205" s="11"/>
      <c r="H205" s="11"/>
      <c r="I205" s="11"/>
      <c r="J205" s="177" t="s">
        <v>103</v>
      </c>
      <c r="K205" s="321">
        <v>100.0</v>
      </c>
      <c r="L205" s="198">
        <f t="shared" si="17"/>
        <v>400</v>
      </c>
      <c r="M205" s="774" t="s">
        <v>18</v>
      </c>
      <c r="N205" s="11"/>
      <c r="O205" s="11"/>
      <c r="P205" s="11"/>
      <c r="Q205" s="11"/>
      <c r="R205" s="11"/>
      <c r="S205" s="11"/>
      <c r="T205" s="11"/>
      <c r="U205" s="11"/>
      <c r="V205" s="11"/>
      <c r="W205" s="11"/>
      <c r="X205" s="11"/>
    </row>
    <row r="206" ht="13.5" customHeight="1">
      <c r="A206" s="11"/>
      <c r="B206" s="163" t="s">
        <v>1182</v>
      </c>
      <c r="C206" s="316">
        <v>500.0</v>
      </c>
      <c r="D206" s="285">
        <f t="shared" si="16"/>
        <v>50</v>
      </c>
      <c r="E206" s="169" t="s">
        <v>82</v>
      </c>
      <c r="F206" s="44" t="s">
        <v>1183</v>
      </c>
      <c r="G206" s="11"/>
      <c r="H206" s="11"/>
      <c r="I206" s="11"/>
      <c r="J206" s="177" t="s">
        <v>1177</v>
      </c>
      <c r="K206" s="321">
        <v>200.0</v>
      </c>
      <c r="L206" s="198">
        <f t="shared" si="17"/>
        <v>800</v>
      </c>
      <c r="M206" s="774" t="s">
        <v>156</v>
      </c>
      <c r="N206" s="11"/>
      <c r="O206" s="11"/>
      <c r="P206" s="11"/>
      <c r="Q206" s="11"/>
      <c r="R206" s="11"/>
      <c r="S206" s="11"/>
      <c r="T206" s="11"/>
      <c r="U206" s="11"/>
      <c r="V206" s="11"/>
      <c r="W206" s="11"/>
      <c r="X206" s="11"/>
    </row>
    <row r="207" ht="13.5" customHeight="1">
      <c r="A207" s="11"/>
      <c r="B207" s="208" t="s">
        <v>114</v>
      </c>
      <c r="C207" s="318">
        <v>2.4</v>
      </c>
      <c r="D207" s="211">
        <f t="shared" si="16"/>
        <v>0.24</v>
      </c>
      <c r="E207" s="212" t="s">
        <v>5</v>
      </c>
      <c r="F207" s="76"/>
      <c r="G207" s="11"/>
      <c r="H207" s="11"/>
      <c r="I207" s="11"/>
      <c r="J207" s="177" t="s">
        <v>1178</v>
      </c>
      <c r="K207" s="321">
        <v>2.5</v>
      </c>
      <c r="L207" s="198">
        <f t="shared" si="17"/>
        <v>10</v>
      </c>
      <c r="M207" s="774" t="s">
        <v>14</v>
      </c>
      <c r="N207" s="11"/>
      <c r="O207" s="11"/>
      <c r="P207" s="11"/>
      <c r="Q207" s="11"/>
      <c r="R207" s="11"/>
      <c r="S207" s="11"/>
      <c r="T207" s="11"/>
      <c r="U207" s="11"/>
      <c r="V207" s="11"/>
      <c r="W207" s="11"/>
      <c r="X207" s="11"/>
    </row>
    <row r="208" ht="13.5" customHeight="1">
      <c r="A208" s="11"/>
      <c r="B208" s="365" t="s">
        <v>1185</v>
      </c>
      <c r="C208" s="328">
        <v>1.0</v>
      </c>
      <c r="D208" s="337">
        <f>(C208*D204)/C204</f>
        <v>0.1</v>
      </c>
      <c r="E208" s="338" t="s">
        <v>5</v>
      </c>
      <c r="F208" s="141" t="s">
        <v>1187</v>
      </c>
      <c r="G208" s="11"/>
      <c r="H208" s="11"/>
      <c r="I208" s="11"/>
      <c r="J208" s="163" t="s">
        <v>1068</v>
      </c>
      <c r="K208" s="316">
        <v>150.0</v>
      </c>
      <c r="L208" s="285">
        <f t="shared" si="17"/>
        <v>600</v>
      </c>
      <c r="M208" s="733" t="s">
        <v>82</v>
      </c>
      <c r="N208" s="11"/>
      <c r="O208" s="11"/>
      <c r="P208" s="11"/>
      <c r="Q208" s="11"/>
      <c r="R208" s="11"/>
      <c r="S208" s="11"/>
      <c r="T208" s="11"/>
      <c r="U208" s="11"/>
      <c r="V208" s="11"/>
      <c r="W208" s="11"/>
      <c r="X208" s="11"/>
    </row>
    <row r="209" ht="13.5" customHeight="1">
      <c r="A209" s="1060"/>
      <c r="B209" s="220" t="s">
        <v>42</v>
      </c>
      <c r="C209" s="220" t="s">
        <v>725</v>
      </c>
      <c r="D209" s="11"/>
      <c r="E209" s="243"/>
      <c r="F209" s="590"/>
      <c r="G209" s="11"/>
      <c r="H209" s="11"/>
      <c r="I209" s="11"/>
      <c r="J209" s="208" t="s">
        <v>1189</v>
      </c>
      <c r="K209" s="318">
        <v>5.0</v>
      </c>
      <c r="L209" s="211">
        <f t="shared" si="17"/>
        <v>20</v>
      </c>
      <c r="M209" s="1052" t="s">
        <v>93</v>
      </c>
      <c r="N209" s="11"/>
      <c r="O209" s="11"/>
      <c r="P209" s="11"/>
      <c r="Q209" s="11"/>
      <c r="R209" s="11"/>
      <c r="S209" s="11"/>
      <c r="T209" s="11"/>
      <c r="U209" s="11"/>
      <c r="V209" s="11"/>
      <c r="W209" s="11"/>
      <c r="X209" s="11"/>
    </row>
    <row r="210" ht="13.5" customHeight="1">
      <c r="A210" s="11"/>
      <c r="B210" s="865" t="s">
        <v>120</v>
      </c>
      <c r="C210" s="869">
        <v>40776.0</v>
      </c>
      <c r="D210" s="1060"/>
      <c r="E210" s="11"/>
      <c r="F210" s="11"/>
      <c r="G210" s="11"/>
      <c r="H210" s="11"/>
      <c r="I210" s="11"/>
      <c r="J210" s="220" t="s">
        <v>42</v>
      </c>
      <c r="K210" s="220" t="s">
        <v>725</v>
      </c>
      <c r="L210" s="11"/>
      <c r="M210" s="755"/>
      <c r="N210" s="11"/>
      <c r="O210" s="11"/>
      <c r="P210" s="11"/>
      <c r="Q210" s="11"/>
      <c r="R210" s="11"/>
      <c r="S210" s="11"/>
      <c r="T210" s="11"/>
      <c r="U210" s="11"/>
      <c r="V210" s="11"/>
      <c r="W210" s="11"/>
      <c r="X210" s="11"/>
    </row>
    <row r="211" ht="13.5" customHeight="1">
      <c r="A211" s="11"/>
      <c r="B211" s="873" t="s">
        <v>50</v>
      </c>
      <c r="C211" s="1070">
        <v>41553.0</v>
      </c>
      <c r="D211" s="1060"/>
      <c r="E211" s="11"/>
      <c r="F211" s="11"/>
      <c r="G211" s="11"/>
      <c r="H211" s="11"/>
      <c r="I211" s="11"/>
      <c r="J211" s="11"/>
      <c r="K211" s="11"/>
      <c r="L211" s="11"/>
      <c r="M211" s="755"/>
      <c r="N211" s="11"/>
      <c r="O211" s="11"/>
      <c r="P211" s="11"/>
      <c r="Q211" s="11"/>
      <c r="R211" s="11"/>
      <c r="S211" s="11"/>
      <c r="T211" s="11"/>
      <c r="U211" s="11"/>
      <c r="V211" s="11"/>
      <c r="W211" s="11"/>
      <c r="X211" s="11"/>
    </row>
    <row r="212" ht="13.5" customHeight="1">
      <c r="A212" s="11"/>
      <c r="B212" s="11"/>
      <c r="C212" s="11"/>
      <c r="D212" s="11"/>
      <c r="E212" s="11"/>
      <c r="F212" s="284"/>
      <c r="G212" s="11"/>
      <c r="H212" s="11"/>
      <c r="I212" s="11"/>
      <c r="J212" s="11"/>
      <c r="K212" s="11"/>
      <c r="L212" s="11"/>
      <c r="M212" s="755"/>
      <c r="N212" s="11"/>
      <c r="O212" s="11"/>
      <c r="P212" s="11"/>
      <c r="Q212" s="11"/>
      <c r="R212" s="11"/>
      <c r="S212" s="11"/>
      <c r="T212" s="11"/>
      <c r="U212" s="11"/>
      <c r="V212" s="11"/>
      <c r="W212" s="11"/>
      <c r="X212" s="11"/>
    </row>
    <row r="213" ht="13.5" customHeight="1">
      <c r="A213" s="11"/>
      <c r="B213" s="343" t="s">
        <v>684</v>
      </c>
      <c r="C213" s="18"/>
      <c r="D213" s="18"/>
      <c r="E213" s="19"/>
      <c r="F213" s="1075"/>
      <c r="G213" s="11"/>
      <c r="H213" s="11"/>
      <c r="I213" s="11"/>
      <c r="J213" s="11"/>
      <c r="K213" s="11"/>
      <c r="L213" s="11"/>
      <c r="M213" s="755"/>
      <c r="N213" s="11"/>
      <c r="O213" s="11"/>
      <c r="P213" s="11"/>
      <c r="Q213" s="11"/>
      <c r="R213" s="11"/>
      <c r="S213" s="11"/>
      <c r="T213" s="11"/>
      <c r="U213" s="11"/>
      <c r="V213" s="11"/>
      <c r="W213" s="11"/>
      <c r="X213" s="11"/>
    </row>
    <row r="214" ht="13.5" customHeight="1">
      <c r="A214" s="11"/>
      <c r="B214" s="25" t="s">
        <v>1</v>
      </c>
      <c r="C214" s="314">
        <v>100.0</v>
      </c>
      <c r="D214" s="314">
        <v>50.0</v>
      </c>
      <c r="E214" s="28" t="s">
        <v>5</v>
      </c>
      <c r="F214" s="1075"/>
      <c r="G214" s="11"/>
      <c r="H214" s="11"/>
      <c r="I214" s="11"/>
      <c r="J214" s="11"/>
      <c r="K214" s="11"/>
      <c r="L214" s="11"/>
      <c r="M214" s="755"/>
      <c r="N214" s="11"/>
      <c r="O214" s="11"/>
      <c r="P214" s="11"/>
      <c r="Q214" s="11"/>
      <c r="R214" s="11"/>
      <c r="S214" s="11"/>
      <c r="T214" s="11"/>
      <c r="U214" s="11"/>
      <c r="V214" s="11"/>
      <c r="W214" s="11"/>
      <c r="X214" s="11"/>
    </row>
    <row r="215" ht="13.5" customHeight="1">
      <c r="A215" s="11"/>
      <c r="B215" s="163" t="s">
        <v>876</v>
      </c>
      <c r="C215" s="285">
        <v>12.5</v>
      </c>
      <c r="D215" s="666">
        <f t="shared" ref="D215:D220" si="18">(C215*D214)/C214</f>
        <v>6.25</v>
      </c>
      <c r="E215" s="169" t="s">
        <v>14</v>
      </c>
      <c r="F215" s="1080" t="s">
        <v>1202</v>
      </c>
      <c r="G215" s="11"/>
      <c r="H215" s="11"/>
      <c r="I215" s="11"/>
      <c r="J215" s="11"/>
      <c r="K215" s="11"/>
      <c r="L215" s="11"/>
      <c r="M215" s="755"/>
      <c r="N215" s="11"/>
      <c r="O215" s="11"/>
      <c r="P215" s="11"/>
      <c r="Q215" s="11"/>
      <c r="R215" s="11"/>
      <c r="S215" s="11"/>
      <c r="T215" s="11"/>
      <c r="U215" s="11"/>
      <c r="V215" s="11"/>
      <c r="W215" s="11"/>
      <c r="X215" s="11"/>
    </row>
    <row r="216" ht="13.5" customHeight="1">
      <c r="A216" s="11"/>
      <c r="B216" s="177" t="s">
        <v>52</v>
      </c>
      <c r="C216" s="198">
        <v>200.0</v>
      </c>
      <c r="D216" s="500">
        <f t="shared" si="18"/>
        <v>100</v>
      </c>
      <c r="E216" s="204" t="s">
        <v>18</v>
      </c>
      <c r="F216" s="66"/>
      <c r="G216" s="11"/>
      <c r="H216" s="11"/>
      <c r="I216" s="11"/>
      <c r="J216" s="11"/>
      <c r="K216" s="11"/>
      <c r="L216" s="11"/>
      <c r="M216" s="755"/>
      <c r="N216" s="11"/>
      <c r="O216" s="11"/>
      <c r="P216" s="11"/>
      <c r="Q216" s="11"/>
      <c r="R216" s="11"/>
      <c r="S216" s="11"/>
      <c r="T216" s="11"/>
      <c r="U216" s="11"/>
      <c r="V216" s="11"/>
      <c r="W216" s="11"/>
      <c r="X216" s="11"/>
    </row>
    <row r="217" ht="13.5" customHeight="1">
      <c r="A217" s="11"/>
      <c r="B217" s="208" t="s">
        <v>31</v>
      </c>
      <c r="C217" s="211">
        <v>900.0</v>
      </c>
      <c r="D217" s="684">
        <f t="shared" si="18"/>
        <v>450</v>
      </c>
      <c r="E217" s="212" t="s">
        <v>18</v>
      </c>
      <c r="F217" s="106"/>
      <c r="G217" s="11"/>
      <c r="H217" s="11"/>
      <c r="I217" s="11"/>
      <c r="J217" s="11"/>
      <c r="K217" s="11"/>
      <c r="L217" s="11"/>
      <c r="M217" s="755"/>
      <c r="N217" s="11"/>
      <c r="O217" s="11"/>
      <c r="P217" s="11"/>
      <c r="Q217" s="11"/>
      <c r="R217" s="11"/>
      <c r="S217" s="11"/>
      <c r="T217" s="11"/>
      <c r="U217" s="11"/>
      <c r="V217" s="11"/>
      <c r="W217" s="11"/>
      <c r="X217" s="11"/>
    </row>
    <row r="218" ht="13.5" customHeight="1">
      <c r="A218" s="11"/>
      <c r="B218" s="157" t="s">
        <v>743</v>
      </c>
      <c r="C218" s="390">
        <v>2.0</v>
      </c>
      <c r="D218" s="767">
        <f t="shared" si="18"/>
        <v>1</v>
      </c>
      <c r="E218" s="159" t="s">
        <v>5</v>
      </c>
      <c r="F218" s="1080" t="s">
        <v>1206</v>
      </c>
      <c r="G218" s="11"/>
      <c r="H218" s="11"/>
      <c r="I218" s="11"/>
      <c r="J218" s="11"/>
      <c r="K218" s="11"/>
      <c r="L218" s="11"/>
      <c r="M218" s="755"/>
      <c r="N218" s="11"/>
      <c r="O218" s="11"/>
      <c r="P218" s="11"/>
      <c r="Q218" s="11"/>
      <c r="R218" s="11"/>
      <c r="S218" s="11"/>
      <c r="T218" s="11"/>
      <c r="U218" s="11"/>
      <c r="V218" s="11"/>
      <c r="W218" s="11"/>
      <c r="X218" s="11"/>
    </row>
    <row r="219" ht="13.5" customHeight="1">
      <c r="A219" s="11"/>
      <c r="B219" s="177" t="s">
        <v>98</v>
      </c>
      <c r="C219" s="198">
        <v>200.0</v>
      </c>
      <c r="D219" s="500">
        <f t="shared" si="18"/>
        <v>100</v>
      </c>
      <c r="E219" s="204" t="s">
        <v>18</v>
      </c>
      <c r="F219" s="66"/>
      <c r="G219" s="11"/>
      <c r="H219" s="11"/>
      <c r="I219" s="11"/>
      <c r="J219" s="11"/>
      <c r="K219" s="11"/>
      <c r="L219" s="11"/>
      <c r="M219" s="755"/>
      <c r="N219" s="11"/>
      <c r="O219" s="11"/>
      <c r="P219" s="11"/>
      <c r="Q219" s="11"/>
      <c r="R219" s="11"/>
      <c r="S219" s="11"/>
      <c r="T219" s="11"/>
      <c r="U219" s="11"/>
      <c r="V219" s="11"/>
      <c r="W219" s="11"/>
      <c r="X219" s="11"/>
    </row>
    <row r="220" ht="13.5" customHeight="1">
      <c r="A220" s="11"/>
      <c r="B220" s="208" t="s">
        <v>103</v>
      </c>
      <c r="C220" s="211">
        <v>100.0</v>
      </c>
      <c r="D220" s="684">
        <f t="shared" si="18"/>
        <v>50</v>
      </c>
      <c r="E220" s="212" t="s">
        <v>18</v>
      </c>
      <c r="F220" s="106"/>
      <c r="G220" s="11"/>
      <c r="H220" s="11"/>
      <c r="I220" s="11"/>
      <c r="J220" s="11"/>
      <c r="K220" s="11"/>
      <c r="L220" s="11"/>
      <c r="M220" s="755"/>
      <c r="N220" s="11"/>
      <c r="O220" s="11"/>
      <c r="P220" s="11"/>
      <c r="Q220" s="11"/>
      <c r="R220" s="11"/>
      <c r="S220" s="11"/>
      <c r="T220" s="11"/>
      <c r="U220" s="11"/>
      <c r="V220" s="11"/>
      <c r="W220" s="11"/>
      <c r="X220" s="11"/>
    </row>
    <row r="221" ht="13.5" customHeight="1">
      <c r="A221" s="11"/>
      <c r="B221" s="220" t="s">
        <v>42</v>
      </c>
      <c r="C221" s="220" t="s">
        <v>725</v>
      </c>
      <c r="D221" s="11"/>
      <c r="E221" s="11"/>
      <c r="F221" s="11"/>
      <c r="G221" s="11"/>
      <c r="H221" s="11"/>
      <c r="I221" s="11"/>
      <c r="J221" s="11"/>
      <c r="K221" s="11"/>
      <c r="L221" s="11"/>
      <c r="M221" s="755"/>
      <c r="N221" s="11"/>
      <c r="O221" s="11"/>
      <c r="P221" s="11"/>
      <c r="Q221" s="11"/>
      <c r="R221" s="11"/>
      <c r="S221" s="11"/>
      <c r="T221" s="11"/>
      <c r="U221" s="11"/>
      <c r="V221" s="11"/>
      <c r="W221" s="11"/>
      <c r="X221" s="11"/>
    </row>
    <row r="222" ht="13.5" customHeight="1">
      <c r="A222" s="11"/>
      <c r="B222" s="865" t="s">
        <v>120</v>
      </c>
      <c r="C222" s="869">
        <v>41018.0</v>
      </c>
      <c r="D222" s="11"/>
      <c r="E222" s="11"/>
      <c r="F222" s="11"/>
      <c r="G222" s="11"/>
      <c r="H222" s="11"/>
      <c r="I222" s="11"/>
      <c r="J222" s="11"/>
      <c r="K222" s="11"/>
      <c r="L222" s="11"/>
      <c r="M222" s="755"/>
      <c r="N222" s="11"/>
      <c r="O222" s="11"/>
      <c r="P222" s="11"/>
      <c r="Q222" s="11"/>
      <c r="R222" s="11"/>
      <c r="S222" s="11"/>
      <c r="T222" s="11"/>
      <c r="U222" s="11"/>
      <c r="V222" s="11"/>
      <c r="W222" s="11"/>
      <c r="X222" s="11"/>
    </row>
    <row r="223" ht="13.5" customHeight="1">
      <c r="A223" s="11"/>
      <c r="B223" s="873" t="s">
        <v>50</v>
      </c>
      <c r="C223" s="869">
        <v>41476.0</v>
      </c>
      <c r="D223" s="11"/>
      <c r="E223" s="11"/>
      <c r="F223" s="11"/>
      <c r="G223" s="11"/>
      <c r="H223" s="11"/>
      <c r="I223" s="11"/>
      <c r="J223" s="11"/>
      <c r="K223" s="11"/>
      <c r="L223" s="11"/>
      <c r="M223" s="755"/>
      <c r="N223" s="11"/>
      <c r="O223" s="11"/>
      <c r="P223" s="11"/>
      <c r="Q223" s="11"/>
      <c r="R223" s="11"/>
      <c r="S223" s="11"/>
      <c r="T223" s="11"/>
      <c r="U223" s="11"/>
      <c r="V223" s="11"/>
      <c r="W223" s="11"/>
      <c r="X223" s="11"/>
    </row>
    <row r="224" ht="13.5" customHeight="1">
      <c r="A224" s="11"/>
      <c r="B224" s="11"/>
      <c r="C224" s="11"/>
      <c r="D224" s="11"/>
      <c r="E224" s="11"/>
      <c r="F224" s="284"/>
      <c r="G224" s="11"/>
      <c r="H224" s="11"/>
      <c r="I224" s="11"/>
      <c r="J224" s="11"/>
      <c r="K224" s="11"/>
      <c r="L224" s="11"/>
      <c r="M224" s="755"/>
      <c r="N224" s="11"/>
      <c r="O224" s="11"/>
      <c r="P224" s="11"/>
      <c r="Q224" s="11"/>
      <c r="R224" s="11"/>
      <c r="S224" s="11"/>
      <c r="T224" s="11"/>
      <c r="U224" s="11"/>
      <c r="V224" s="11"/>
      <c r="W224" s="11"/>
      <c r="X224" s="11"/>
    </row>
    <row r="225" ht="13.5" customHeight="1">
      <c r="A225" s="11"/>
      <c r="B225" s="758" t="s">
        <v>758</v>
      </c>
      <c r="C225" s="5"/>
      <c r="D225" s="5"/>
      <c r="E225" s="6"/>
      <c r="F225" s="284"/>
      <c r="G225" s="11"/>
      <c r="H225" s="11"/>
      <c r="I225" s="11"/>
      <c r="J225" s="11"/>
      <c r="K225" s="11"/>
      <c r="L225" s="11"/>
      <c r="M225" s="755"/>
      <c r="N225" s="11"/>
      <c r="O225" s="11"/>
      <c r="P225" s="11"/>
      <c r="Q225" s="11"/>
      <c r="R225" s="11"/>
      <c r="S225" s="11"/>
      <c r="T225" s="11"/>
      <c r="U225" s="11"/>
      <c r="V225" s="11"/>
      <c r="W225" s="11"/>
      <c r="X225" s="11"/>
    </row>
    <row r="226" ht="15.0" customHeight="1">
      <c r="A226" s="11"/>
      <c r="B226" s="25" t="s">
        <v>1</v>
      </c>
      <c r="C226" s="314">
        <v>100.0</v>
      </c>
      <c r="D226" s="314">
        <v>32.0</v>
      </c>
      <c r="E226" s="28" t="s">
        <v>5</v>
      </c>
      <c r="F226" s="284"/>
      <c r="G226" s="11"/>
      <c r="H226" s="11"/>
      <c r="I226" s="11"/>
      <c r="J226" s="11"/>
      <c r="K226" s="11"/>
      <c r="L226" s="11"/>
      <c r="M226" s="755"/>
      <c r="N226" s="11"/>
      <c r="O226" s="11"/>
      <c r="P226" s="11"/>
      <c r="Q226" s="11"/>
      <c r="R226" s="11"/>
      <c r="S226" s="11"/>
      <c r="T226" s="11"/>
      <c r="U226" s="11"/>
      <c r="V226" s="11"/>
      <c r="W226" s="11"/>
      <c r="X226" s="11"/>
    </row>
    <row r="227" ht="13.5" customHeight="1">
      <c r="A227" s="11"/>
      <c r="B227" s="163" t="s">
        <v>1212</v>
      </c>
      <c r="C227" s="285">
        <v>5.0</v>
      </c>
      <c r="D227" s="285">
        <f t="shared" ref="D227:D240" si="19">(C227*D226)/C226</f>
        <v>1.6</v>
      </c>
      <c r="E227" s="169" t="s">
        <v>14</v>
      </c>
      <c r="F227" s="264" t="s">
        <v>1214</v>
      </c>
      <c r="G227" s="11"/>
      <c r="H227" s="11"/>
      <c r="I227" s="11"/>
      <c r="J227" s="11"/>
      <c r="K227" s="11"/>
      <c r="L227" s="11"/>
      <c r="M227" s="755"/>
      <c r="N227" s="11"/>
      <c r="O227" s="11"/>
      <c r="P227" s="11"/>
      <c r="Q227" s="11"/>
      <c r="R227" s="11"/>
      <c r="S227" s="11"/>
      <c r="T227" s="11"/>
      <c r="U227" s="11"/>
      <c r="V227" s="11"/>
      <c r="W227" s="11"/>
      <c r="X227" s="11"/>
    </row>
    <row r="228" ht="13.5" customHeight="1">
      <c r="A228" s="11"/>
      <c r="B228" s="177" t="s">
        <v>31</v>
      </c>
      <c r="C228" s="198">
        <v>1200.0</v>
      </c>
      <c r="D228" s="198">
        <f t="shared" si="19"/>
        <v>384</v>
      </c>
      <c r="E228" s="204" t="s">
        <v>18</v>
      </c>
      <c r="F228" s="66"/>
      <c r="G228" s="11"/>
      <c r="H228" s="11"/>
      <c r="I228" s="11"/>
      <c r="J228" s="11"/>
      <c r="K228" s="11"/>
      <c r="L228" s="11"/>
      <c r="M228" s="755"/>
      <c r="N228" s="11"/>
      <c r="O228" s="11"/>
      <c r="P228" s="11"/>
      <c r="Q228" s="11"/>
      <c r="R228" s="11"/>
      <c r="S228" s="11"/>
      <c r="T228" s="11"/>
      <c r="U228" s="11"/>
      <c r="V228" s="11"/>
      <c r="W228" s="11"/>
      <c r="X228" s="11"/>
    </row>
    <row r="229" ht="15.0" customHeight="1">
      <c r="A229" s="11"/>
      <c r="B229" s="177" t="s">
        <v>52</v>
      </c>
      <c r="C229" s="198">
        <v>100.0</v>
      </c>
      <c r="D229" s="198">
        <f t="shared" si="19"/>
        <v>32</v>
      </c>
      <c r="E229" s="204" t="s">
        <v>18</v>
      </c>
      <c r="F229" s="66"/>
      <c r="G229" s="11"/>
      <c r="H229" s="11"/>
      <c r="I229" s="11"/>
      <c r="J229" s="11"/>
      <c r="K229" s="11"/>
      <c r="L229" s="11"/>
      <c r="M229" s="755"/>
      <c r="N229" s="11"/>
      <c r="O229" s="11"/>
      <c r="P229" s="11"/>
      <c r="Q229" s="11"/>
      <c r="R229" s="11"/>
      <c r="S229" s="11"/>
      <c r="T229" s="11"/>
      <c r="U229" s="11"/>
      <c r="V229" s="11"/>
      <c r="W229" s="11"/>
      <c r="X229" s="11"/>
    </row>
    <row r="230" ht="13.5" customHeight="1">
      <c r="A230" s="11"/>
      <c r="B230" s="208" t="s">
        <v>101</v>
      </c>
      <c r="C230" s="211">
        <v>1.0</v>
      </c>
      <c r="D230" s="211">
        <f t="shared" si="19"/>
        <v>0.32</v>
      </c>
      <c r="E230" s="212" t="s">
        <v>5</v>
      </c>
      <c r="F230" s="106"/>
      <c r="G230" s="11"/>
      <c r="H230" s="11"/>
      <c r="I230" s="11"/>
      <c r="J230" s="11"/>
      <c r="K230" s="11"/>
      <c r="L230" s="11"/>
      <c r="M230" s="755"/>
      <c r="N230" s="11"/>
      <c r="O230" s="11"/>
      <c r="P230" s="11"/>
      <c r="Q230" s="11"/>
      <c r="R230" s="11"/>
      <c r="S230" s="11"/>
      <c r="T230" s="11"/>
      <c r="U230" s="11"/>
      <c r="V230" s="11"/>
      <c r="W230" s="11"/>
      <c r="X230" s="11"/>
    </row>
    <row r="231" ht="13.5" customHeight="1">
      <c r="A231" s="11"/>
      <c r="B231" s="157" t="s">
        <v>1215</v>
      </c>
      <c r="C231" s="390">
        <v>1.5</v>
      </c>
      <c r="D231" s="390">
        <f t="shared" si="19"/>
        <v>0.48</v>
      </c>
      <c r="E231" s="159" t="s">
        <v>14</v>
      </c>
      <c r="F231" s="44" t="s">
        <v>1216</v>
      </c>
      <c r="G231" s="11"/>
      <c r="H231" s="11"/>
      <c r="I231" s="11"/>
      <c r="J231" s="11"/>
      <c r="K231" s="11"/>
      <c r="L231" s="11"/>
      <c r="M231" s="755"/>
      <c r="N231" s="11"/>
      <c r="O231" s="11"/>
      <c r="P231" s="11"/>
      <c r="Q231" s="11"/>
      <c r="R231" s="11"/>
      <c r="S231" s="11"/>
      <c r="T231" s="11"/>
      <c r="U231" s="11"/>
      <c r="V231" s="11"/>
      <c r="W231" s="11"/>
      <c r="X231" s="11"/>
    </row>
    <row r="232" ht="13.5" customHeight="1">
      <c r="A232" s="11"/>
      <c r="B232" s="1095" t="s">
        <v>80</v>
      </c>
      <c r="C232" s="1005">
        <v>2.75</v>
      </c>
      <c r="D232" s="1005">
        <f t="shared" si="19"/>
        <v>0.88</v>
      </c>
      <c r="E232" s="255" t="s">
        <v>14</v>
      </c>
      <c r="F232" s="47"/>
      <c r="G232" s="11"/>
      <c r="H232" s="11"/>
      <c r="I232" s="11"/>
      <c r="J232" s="11"/>
      <c r="K232" s="11"/>
      <c r="L232" s="11"/>
      <c r="M232" s="755"/>
      <c r="N232" s="11"/>
      <c r="O232" s="11"/>
      <c r="P232" s="11"/>
      <c r="Q232" s="11"/>
      <c r="R232" s="11"/>
      <c r="S232" s="11"/>
      <c r="T232" s="11"/>
      <c r="U232" s="11"/>
      <c r="V232" s="11"/>
      <c r="W232" s="11"/>
      <c r="X232" s="11"/>
    </row>
    <row r="233" ht="13.5" customHeight="1">
      <c r="A233" s="11"/>
      <c r="B233" s="1097" t="s">
        <v>173</v>
      </c>
      <c r="C233" s="314">
        <v>1000.0</v>
      </c>
      <c r="D233" s="314">
        <f t="shared" si="19"/>
        <v>320</v>
      </c>
      <c r="E233" s="28" t="s">
        <v>18</v>
      </c>
      <c r="F233" s="47"/>
      <c r="G233" s="11"/>
      <c r="H233" s="11"/>
      <c r="I233" s="11"/>
      <c r="J233" s="11"/>
      <c r="K233" s="11"/>
      <c r="L233" s="11"/>
      <c r="M233" s="755"/>
      <c r="N233" s="11"/>
      <c r="O233" s="11"/>
      <c r="P233" s="11"/>
      <c r="Q233" s="11"/>
      <c r="R233" s="11"/>
      <c r="S233" s="11"/>
      <c r="T233" s="11"/>
      <c r="U233" s="11"/>
      <c r="V233" s="11"/>
      <c r="W233" s="11"/>
      <c r="X233" s="11"/>
    </row>
    <row r="234" ht="13.5" customHeight="1">
      <c r="A234" s="11"/>
      <c r="B234" s="208" t="s">
        <v>1217</v>
      </c>
      <c r="C234" s="211">
        <v>12.0</v>
      </c>
      <c r="D234" s="211">
        <f t="shared" si="19"/>
        <v>3.84</v>
      </c>
      <c r="E234" s="212" t="s">
        <v>14</v>
      </c>
      <c r="F234" s="47"/>
      <c r="G234" s="11"/>
      <c r="H234" s="11"/>
      <c r="I234" s="11"/>
      <c r="J234" s="11"/>
      <c r="K234" s="11"/>
      <c r="L234" s="11"/>
      <c r="M234" s="755"/>
      <c r="N234" s="11"/>
      <c r="O234" s="11"/>
      <c r="P234" s="11"/>
      <c r="Q234" s="11"/>
      <c r="R234" s="11"/>
      <c r="S234" s="11"/>
      <c r="T234" s="11"/>
      <c r="U234" s="11"/>
      <c r="V234" s="11"/>
      <c r="W234" s="11"/>
      <c r="X234" s="11"/>
    </row>
    <row r="235" ht="13.5" customHeight="1">
      <c r="A235" s="11"/>
      <c r="B235" s="163" t="s">
        <v>34</v>
      </c>
      <c r="C235" s="285">
        <v>1.0</v>
      </c>
      <c r="D235" s="285">
        <f t="shared" si="19"/>
        <v>0.32</v>
      </c>
      <c r="E235" s="169" t="s">
        <v>5</v>
      </c>
      <c r="F235" s="44" t="s">
        <v>94</v>
      </c>
      <c r="G235" s="11"/>
      <c r="H235" s="11"/>
      <c r="I235" s="11"/>
      <c r="J235" s="11"/>
      <c r="K235" s="11"/>
      <c r="L235" s="11"/>
      <c r="M235" s="755"/>
      <c r="N235" s="11"/>
      <c r="O235" s="11"/>
      <c r="P235" s="11"/>
      <c r="Q235" s="11"/>
      <c r="R235" s="11"/>
      <c r="S235" s="11"/>
      <c r="T235" s="11"/>
      <c r="U235" s="11"/>
      <c r="V235" s="11"/>
      <c r="W235" s="11"/>
      <c r="X235" s="11"/>
    </row>
    <row r="236" ht="15.0" customHeight="1">
      <c r="A236" s="11"/>
      <c r="B236" s="177" t="s">
        <v>97</v>
      </c>
      <c r="C236" s="198">
        <v>125.0</v>
      </c>
      <c r="D236" s="198">
        <f t="shared" si="19"/>
        <v>40</v>
      </c>
      <c r="E236" s="204" t="s">
        <v>18</v>
      </c>
      <c r="F236" s="47"/>
      <c r="G236" s="11"/>
      <c r="H236" s="11"/>
      <c r="I236" s="11"/>
      <c r="J236" s="11"/>
      <c r="K236" s="11"/>
      <c r="L236" s="11"/>
      <c r="M236" s="755"/>
      <c r="N236" s="11"/>
      <c r="O236" s="11"/>
      <c r="P236" s="11"/>
      <c r="Q236" s="11"/>
      <c r="R236" s="11"/>
      <c r="S236" s="11"/>
      <c r="T236" s="11"/>
      <c r="U236" s="11"/>
      <c r="V236" s="11"/>
      <c r="W236" s="11"/>
      <c r="X236" s="11"/>
    </row>
    <row r="237" ht="13.5" customHeight="1">
      <c r="A237" s="11"/>
      <c r="B237" s="177" t="s">
        <v>847</v>
      </c>
      <c r="C237" s="198">
        <v>50.0</v>
      </c>
      <c r="D237" s="198">
        <f t="shared" si="19"/>
        <v>16</v>
      </c>
      <c r="E237" s="204" t="s">
        <v>18</v>
      </c>
      <c r="F237" s="47"/>
      <c r="G237" s="11"/>
      <c r="H237" s="11"/>
      <c r="I237" s="11"/>
      <c r="J237" s="11"/>
      <c r="K237" s="11"/>
      <c r="L237" s="11"/>
      <c r="M237" s="755"/>
      <c r="N237" s="11"/>
      <c r="O237" s="11"/>
      <c r="P237" s="11"/>
      <c r="Q237" s="11"/>
      <c r="R237" s="11"/>
      <c r="S237" s="11"/>
      <c r="T237" s="11"/>
      <c r="U237" s="11"/>
      <c r="V237" s="11"/>
      <c r="W237" s="11"/>
      <c r="X237" s="11"/>
    </row>
    <row r="238" ht="13.5" customHeight="1">
      <c r="A238" s="11"/>
      <c r="B238" s="177" t="s">
        <v>103</v>
      </c>
      <c r="C238" s="198">
        <v>75.0</v>
      </c>
      <c r="D238" s="198">
        <f t="shared" si="19"/>
        <v>24</v>
      </c>
      <c r="E238" s="204" t="s">
        <v>18</v>
      </c>
      <c r="F238" s="47"/>
      <c r="G238" s="11"/>
      <c r="H238" s="11"/>
      <c r="I238" s="11"/>
      <c r="J238" s="11"/>
      <c r="K238" s="11"/>
      <c r="L238" s="11"/>
      <c r="M238" s="755"/>
      <c r="N238" s="11"/>
      <c r="O238" s="11"/>
      <c r="P238" s="11"/>
      <c r="Q238" s="11"/>
      <c r="R238" s="11"/>
      <c r="S238" s="11"/>
      <c r="T238" s="11"/>
      <c r="U238" s="11"/>
      <c r="V238" s="11"/>
      <c r="W238" s="11"/>
      <c r="X238" s="11"/>
    </row>
    <row r="239" ht="13.5" customHeight="1">
      <c r="A239" s="11"/>
      <c r="B239" s="177" t="s">
        <v>193</v>
      </c>
      <c r="C239" s="198">
        <v>1.5</v>
      </c>
      <c r="D239" s="198">
        <f t="shared" si="19"/>
        <v>0.48</v>
      </c>
      <c r="E239" s="204" t="s">
        <v>5</v>
      </c>
      <c r="F239" s="76"/>
      <c r="G239" s="11"/>
      <c r="H239" s="11"/>
      <c r="I239" s="11"/>
      <c r="J239" s="11"/>
      <c r="K239" s="11"/>
      <c r="L239" s="11"/>
      <c r="M239" s="755"/>
      <c r="N239" s="11"/>
      <c r="O239" s="11"/>
      <c r="P239" s="11"/>
      <c r="Q239" s="11"/>
      <c r="R239" s="11"/>
      <c r="S239" s="11"/>
      <c r="T239" s="11"/>
      <c r="U239" s="11"/>
      <c r="V239" s="11"/>
      <c r="W239" s="11"/>
      <c r="X239" s="11"/>
    </row>
    <row r="240" ht="13.5" customHeight="1">
      <c r="A240" s="11"/>
      <c r="B240" s="458" t="s">
        <v>114</v>
      </c>
      <c r="C240" s="460">
        <v>2.5</v>
      </c>
      <c r="D240" s="460">
        <f t="shared" si="19"/>
        <v>0.8</v>
      </c>
      <c r="E240" s="463" t="s">
        <v>5</v>
      </c>
      <c r="F240" s="1099" t="s">
        <v>204</v>
      </c>
      <c r="G240" s="11"/>
      <c r="H240" s="11"/>
      <c r="I240" s="11"/>
      <c r="J240" s="11"/>
      <c r="K240" s="11"/>
      <c r="L240" s="11"/>
      <c r="M240" s="755"/>
      <c r="N240" s="11"/>
      <c r="O240" s="11"/>
      <c r="P240" s="11"/>
      <c r="Q240" s="11"/>
      <c r="R240" s="11"/>
      <c r="S240" s="11"/>
      <c r="T240" s="11"/>
      <c r="U240" s="11"/>
      <c r="V240" s="11"/>
      <c r="W240" s="11"/>
      <c r="X240" s="11"/>
    </row>
    <row r="241" ht="13.5" customHeight="1">
      <c r="A241" s="11"/>
      <c r="B241" s="220" t="s">
        <v>42</v>
      </c>
      <c r="C241" s="220" t="s">
        <v>725</v>
      </c>
      <c r="D241" s="11"/>
      <c r="E241" s="11"/>
      <c r="F241" s="11"/>
      <c r="G241" s="11"/>
      <c r="H241" s="11"/>
      <c r="I241" s="11"/>
      <c r="J241" s="11"/>
      <c r="K241" s="11"/>
      <c r="L241" s="11"/>
      <c r="M241" s="755"/>
      <c r="N241" s="11"/>
      <c r="O241" s="11"/>
      <c r="P241" s="11"/>
      <c r="Q241" s="11"/>
      <c r="R241" s="11"/>
      <c r="S241" s="11"/>
      <c r="T241" s="11"/>
      <c r="U241" s="11"/>
      <c r="V241" s="11"/>
      <c r="W241" s="11"/>
      <c r="X241" s="11"/>
    </row>
    <row r="242" ht="13.5" customHeight="1">
      <c r="A242" s="11"/>
      <c r="B242" s="88" t="s">
        <v>502</v>
      </c>
      <c r="C242" s="224">
        <v>41130.0</v>
      </c>
      <c r="D242" s="11"/>
      <c r="E242" s="11"/>
      <c r="F242" s="11"/>
      <c r="G242" s="11"/>
      <c r="H242" s="11"/>
      <c r="I242" s="11"/>
      <c r="J242" s="11"/>
      <c r="K242" s="11"/>
      <c r="L242" s="11"/>
      <c r="M242" s="755"/>
      <c r="N242" s="11"/>
      <c r="O242" s="11"/>
      <c r="P242" s="11"/>
      <c r="Q242" s="11"/>
      <c r="R242" s="11"/>
      <c r="S242" s="11"/>
      <c r="T242" s="11"/>
      <c r="U242" s="11"/>
      <c r="V242" s="11"/>
      <c r="W242" s="11"/>
      <c r="X242" s="11"/>
    </row>
    <row r="243" ht="13.5" customHeight="1">
      <c r="A243" s="11"/>
      <c r="B243" s="88" t="s">
        <v>1222</v>
      </c>
      <c r="C243" s="224">
        <v>43232.0</v>
      </c>
      <c r="D243" s="11"/>
      <c r="E243" s="11"/>
      <c r="F243" s="11"/>
      <c r="G243" s="11"/>
      <c r="H243" s="11"/>
      <c r="I243" s="11"/>
      <c r="J243" s="11"/>
      <c r="K243" s="11"/>
      <c r="L243" s="11"/>
      <c r="M243" s="755"/>
      <c r="N243" s="11"/>
      <c r="O243" s="11"/>
      <c r="P243" s="11"/>
      <c r="Q243" s="11"/>
      <c r="R243" s="11"/>
      <c r="S243" s="11"/>
      <c r="T243" s="11"/>
      <c r="U243" s="11"/>
      <c r="V243" s="11"/>
      <c r="W243" s="11"/>
      <c r="X243" s="11"/>
    </row>
    <row r="244" ht="13.5" customHeight="1">
      <c r="A244" s="11"/>
      <c r="B244" s="11"/>
      <c r="C244" s="11"/>
      <c r="D244" s="11"/>
      <c r="E244" s="11"/>
      <c r="F244" s="284"/>
      <c r="G244" s="11"/>
      <c r="H244" s="11"/>
      <c r="I244" s="11"/>
      <c r="J244" s="11"/>
      <c r="K244" s="11"/>
      <c r="L244" s="11"/>
      <c r="M244" s="755"/>
      <c r="N244" s="11"/>
      <c r="O244" s="11"/>
      <c r="P244" s="11"/>
      <c r="Q244" s="11"/>
      <c r="R244" s="11"/>
      <c r="S244" s="11"/>
      <c r="T244" s="11"/>
      <c r="U244" s="11"/>
      <c r="V244" s="11"/>
      <c r="W244" s="11"/>
      <c r="X244" s="11"/>
    </row>
    <row r="245" ht="13.5" customHeight="1">
      <c r="A245" s="11"/>
      <c r="B245" s="1101" t="s">
        <v>804</v>
      </c>
      <c r="C245" s="18"/>
      <c r="D245" s="18"/>
      <c r="E245" s="19"/>
      <c r="F245" s="559" t="s">
        <v>1224</v>
      </c>
      <c r="G245" s="11"/>
      <c r="H245" s="11"/>
      <c r="I245" s="11"/>
      <c r="J245" s="11"/>
      <c r="K245" s="11"/>
      <c r="L245" s="11"/>
      <c r="M245" s="755"/>
      <c r="N245" s="11"/>
      <c r="O245" s="11"/>
      <c r="P245" s="11"/>
      <c r="Q245" s="11"/>
      <c r="R245" s="11"/>
      <c r="S245" s="11"/>
      <c r="T245" s="11"/>
      <c r="U245" s="11"/>
      <c r="V245" s="11"/>
      <c r="W245" s="11"/>
      <c r="X245" s="11"/>
    </row>
    <row r="246" ht="13.5" customHeight="1">
      <c r="A246" s="11"/>
      <c r="B246" s="1011" t="s">
        <v>1</v>
      </c>
      <c r="C246" s="26">
        <v>100.0</v>
      </c>
      <c r="D246" s="26">
        <v>300.0</v>
      </c>
      <c r="E246" s="1015" t="s">
        <v>5</v>
      </c>
      <c r="F246" s="284"/>
      <c r="G246" s="11"/>
      <c r="H246" s="11"/>
      <c r="I246" s="11"/>
      <c r="J246" s="11"/>
      <c r="K246" s="11"/>
      <c r="L246" s="11"/>
      <c r="M246" s="755"/>
      <c r="N246" s="11"/>
      <c r="O246" s="11"/>
      <c r="P246" s="11"/>
      <c r="Q246" s="11"/>
      <c r="R246" s="11"/>
      <c r="S246" s="11"/>
      <c r="T246" s="11"/>
      <c r="U246" s="11"/>
      <c r="V246" s="11"/>
      <c r="W246" s="11"/>
      <c r="X246" s="11"/>
    </row>
    <row r="247" ht="13.5" customHeight="1">
      <c r="A247" s="11"/>
      <c r="B247" s="163" t="s">
        <v>792</v>
      </c>
      <c r="C247" s="316">
        <v>2.0</v>
      </c>
      <c r="D247" s="316">
        <f t="shared" ref="D247:D266" si="20">(C247*D246)/C246</f>
        <v>6</v>
      </c>
      <c r="E247" s="169" t="s">
        <v>14</v>
      </c>
      <c r="F247" s="194" t="s">
        <v>1225</v>
      </c>
      <c r="G247" s="11"/>
      <c r="H247" s="11"/>
      <c r="I247" s="11"/>
      <c r="J247" s="11"/>
      <c r="K247" s="11"/>
      <c r="L247" s="11"/>
      <c r="M247" s="755"/>
      <c r="N247" s="11"/>
      <c r="O247" s="11"/>
      <c r="P247" s="11"/>
      <c r="Q247" s="11"/>
      <c r="R247" s="11"/>
      <c r="S247" s="11"/>
      <c r="T247" s="11"/>
      <c r="U247" s="11"/>
      <c r="V247" s="11"/>
      <c r="W247" s="11"/>
      <c r="X247" s="11"/>
    </row>
    <row r="248" ht="13.5" customHeight="1">
      <c r="A248" s="11"/>
      <c r="B248" s="177" t="s">
        <v>52</v>
      </c>
      <c r="C248" s="321">
        <v>50.0</v>
      </c>
      <c r="D248" s="321">
        <f t="shared" si="20"/>
        <v>150</v>
      </c>
      <c r="E248" s="204" t="s">
        <v>18</v>
      </c>
      <c r="F248" s="63"/>
      <c r="G248" s="11"/>
      <c r="H248" s="11"/>
      <c r="I248" s="11"/>
      <c r="J248" s="11"/>
      <c r="K248" s="11"/>
      <c r="L248" s="11"/>
      <c r="M248" s="755"/>
      <c r="N248" s="11"/>
      <c r="O248" s="11"/>
      <c r="P248" s="11"/>
      <c r="Q248" s="11"/>
      <c r="R248" s="11"/>
      <c r="S248" s="11"/>
      <c r="T248" s="11"/>
      <c r="U248" s="11"/>
      <c r="V248" s="11"/>
      <c r="W248" s="11"/>
      <c r="X248" s="11"/>
    </row>
    <row r="249" ht="13.5" customHeight="1">
      <c r="A249" s="11"/>
      <c r="B249" s="177" t="s">
        <v>31</v>
      </c>
      <c r="C249" s="321">
        <v>650.0</v>
      </c>
      <c r="D249" s="321">
        <f t="shared" si="20"/>
        <v>1950</v>
      </c>
      <c r="E249" s="204" t="s">
        <v>18</v>
      </c>
      <c r="F249" s="63"/>
      <c r="G249" s="11"/>
      <c r="H249" s="11"/>
      <c r="I249" s="11"/>
      <c r="J249" s="11"/>
      <c r="K249" s="11"/>
      <c r="L249" s="11"/>
      <c r="M249" s="755"/>
      <c r="N249" s="11"/>
      <c r="O249" s="11"/>
      <c r="P249" s="11"/>
      <c r="Q249" s="11"/>
      <c r="R249" s="11"/>
      <c r="S249" s="11"/>
      <c r="T249" s="11"/>
      <c r="U249" s="11"/>
      <c r="V249" s="11"/>
      <c r="W249" s="11"/>
      <c r="X249" s="11"/>
    </row>
    <row r="250" ht="15.0" customHeight="1">
      <c r="A250" s="11"/>
      <c r="B250" s="262" t="s">
        <v>59</v>
      </c>
      <c r="C250" s="355">
        <v>10.0</v>
      </c>
      <c r="D250" s="355">
        <f t="shared" si="20"/>
        <v>30</v>
      </c>
      <c r="E250" s="267" t="s">
        <v>5</v>
      </c>
      <c r="F250" s="63"/>
      <c r="G250" s="11"/>
      <c r="H250" s="11">
        <f>1000*0.3</f>
        <v>300</v>
      </c>
      <c r="I250" s="11"/>
      <c r="J250" s="11"/>
      <c r="K250" s="11"/>
      <c r="L250" s="11"/>
      <c r="M250" s="755"/>
      <c r="N250" s="11"/>
      <c r="O250" s="11"/>
      <c r="P250" s="11"/>
      <c r="Q250" s="11"/>
      <c r="R250" s="11"/>
      <c r="S250" s="11"/>
      <c r="T250" s="11"/>
      <c r="U250" s="11"/>
      <c r="V250" s="11"/>
      <c r="W250" s="11"/>
      <c r="X250" s="11"/>
    </row>
    <row r="251" ht="15.75" customHeight="1">
      <c r="A251" s="11"/>
      <c r="B251" s="163" t="s">
        <v>59</v>
      </c>
      <c r="C251" s="316">
        <v>50.0</v>
      </c>
      <c r="D251" s="316">
        <f t="shared" si="20"/>
        <v>150</v>
      </c>
      <c r="E251" s="169" t="s">
        <v>190</v>
      </c>
      <c r="F251" s="194" t="s">
        <v>1228</v>
      </c>
      <c r="G251" s="11"/>
      <c r="H251" s="11"/>
      <c r="I251" s="11"/>
      <c r="J251" s="11"/>
      <c r="K251" s="11"/>
      <c r="L251" s="11"/>
      <c r="M251" s="755"/>
      <c r="N251" s="11"/>
      <c r="O251" s="11"/>
      <c r="P251" s="11"/>
      <c r="Q251" s="11"/>
      <c r="R251" s="11"/>
      <c r="S251" s="11"/>
      <c r="T251" s="11"/>
      <c r="U251" s="11"/>
      <c r="V251" s="11"/>
      <c r="W251" s="11"/>
      <c r="X251" s="11"/>
    </row>
    <row r="252" ht="15.75" customHeight="1">
      <c r="A252" s="11"/>
      <c r="B252" s="177" t="s">
        <v>31</v>
      </c>
      <c r="C252" s="321">
        <v>600.0</v>
      </c>
      <c r="D252" s="321">
        <f t="shared" si="20"/>
        <v>1800</v>
      </c>
      <c r="E252" s="204" t="s">
        <v>18</v>
      </c>
      <c r="F252" s="63"/>
      <c r="G252" s="11"/>
      <c r="H252" s="11"/>
      <c r="I252" s="11"/>
      <c r="J252" s="11"/>
      <c r="K252" s="11"/>
      <c r="L252" s="11"/>
      <c r="M252" s="755"/>
      <c r="N252" s="11"/>
      <c r="O252" s="11"/>
      <c r="P252" s="11"/>
      <c r="Q252" s="11"/>
      <c r="R252" s="11"/>
      <c r="S252" s="11"/>
      <c r="T252" s="11"/>
      <c r="U252" s="11"/>
      <c r="V252" s="11"/>
      <c r="W252" s="11"/>
      <c r="X252" s="11"/>
    </row>
    <row r="253" ht="13.5" customHeight="1">
      <c r="A253" s="11"/>
      <c r="B253" s="177" t="s">
        <v>101</v>
      </c>
      <c r="C253" s="321">
        <v>1.0</v>
      </c>
      <c r="D253" s="321">
        <f t="shared" si="20"/>
        <v>3</v>
      </c>
      <c r="E253" s="204" t="s">
        <v>5</v>
      </c>
      <c r="F253" s="63"/>
      <c r="G253" s="11"/>
      <c r="H253" s="11"/>
      <c r="I253" s="11"/>
      <c r="J253" s="11"/>
      <c r="K253" s="11"/>
      <c r="L253" s="11"/>
      <c r="M253" s="755"/>
      <c r="N253" s="11"/>
      <c r="O253" s="11"/>
      <c r="P253" s="11"/>
      <c r="Q253" s="11"/>
      <c r="R253" s="11"/>
      <c r="S253" s="11"/>
      <c r="T253" s="11"/>
      <c r="U253" s="11"/>
      <c r="V253" s="11"/>
      <c r="W253" s="11"/>
      <c r="X253" s="11"/>
    </row>
    <row r="254" ht="13.5" customHeight="1">
      <c r="A254" s="11"/>
      <c r="B254" s="177" t="s">
        <v>292</v>
      </c>
      <c r="C254" s="321">
        <v>5.0</v>
      </c>
      <c r="D254" s="321">
        <f t="shared" si="20"/>
        <v>15</v>
      </c>
      <c r="E254" s="204" t="s">
        <v>14</v>
      </c>
      <c r="F254" s="63"/>
      <c r="G254" s="11"/>
      <c r="H254" s="11"/>
      <c r="I254" s="11"/>
      <c r="J254" s="11"/>
      <c r="K254" s="11"/>
      <c r="L254" s="11"/>
      <c r="M254" s="755"/>
      <c r="N254" s="11"/>
      <c r="O254" s="11"/>
      <c r="P254" s="11"/>
      <c r="Q254" s="11"/>
      <c r="R254" s="11"/>
      <c r="S254" s="11"/>
      <c r="T254" s="11"/>
      <c r="U254" s="11"/>
      <c r="V254" s="11"/>
      <c r="W254" s="11"/>
      <c r="X254" s="11"/>
    </row>
    <row r="255" ht="13.5" customHeight="1">
      <c r="A255" s="11"/>
      <c r="B255" s="177" t="s">
        <v>912</v>
      </c>
      <c r="C255" s="321">
        <v>5.0</v>
      </c>
      <c r="D255" s="321">
        <f t="shared" si="20"/>
        <v>15</v>
      </c>
      <c r="E255" s="204" t="s">
        <v>14</v>
      </c>
      <c r="F255" s="63"/>
      <c r="G255" s="11"/>
      <c r="H255" s="11"/>
      <c r="I255" s="11"/>
      <c r="J255" s="11"/>
      <c r="K255" s="11"/>
      <c r="L255" s="11"/>
      <c r="M255" s="755"/>
      <c r="N255" s="11"/>
      <c r="O255" s="11"/>
      <c r="P255" s="11"/>
      <c r="Q255" s="11"/>
      <c r="R255" s="11"/>
      <c r="S255" s="11"/>
      <c r="T255" s="11"/>
      <c r="U255" s="11"/>
      <c r="V255" s="11"/>
      <c r="W255" s="11"/>
      <c r="X255" s="11"/>
    </row>
    <row r="256" ht="13.5" customHeight="1">
      <c r="A256" s="11"/>
      <c r="B256" s="177" t="s">
        <v>1230</v>
      </c>
      <c r="C256" s="321">
        <v>20.0</v>
      </c>
      <c r="D256" s="321">
        <f t="shared" si="20"/>
        <v>60</v>
      </c>
      <c r="E256" s="204" t="s">
        <v>14</v>
      </c>
      <c r="F256" s="63"/>
      <c r="G256" s="11"/>
      <c r="H256" s="11"/>
      <c r="I256" s="11"/>
      <c r="J256" s="11"/>
      <c r="K256" s="11"/>
      <c r="L256" s="11"/>
      <c r="M256" s="755"/>
      <c r="N256" s="11"/>
      <c r="O256" s="11"/>
      <c r="P256" s="11"/>
      <c r="Q256" s="11"/>
      <c r="R256" s="11"/>
      <c r="S256" s="11"/>
      <c r="T256" s="11"/>
      <c r="U256" s="11"/>
      <c r="V256" s="11"/>
      <c r="W256" s="11"/>
      <c r="X256" s="11"/>
    </row>
    <row r="257" ht="13.5" customHeight="1">
      <c r="A257" s="11"/>
      <c r="B257" s="262" t="s">
        <v>1232</v>
      </c>
      <c r="C257" s="355">
        <v>5.0</v>
      </c>
      <c r="D257" s="321">
        <f t="shared" si="20"/>
        <v>15</v>
      </c>
      <c r="E257" s="267" t="s">
        <v>14</v>
      </c>
      <c r="F257" s="63"/>
      <c r="G257" s="11"/>
      <c r="H257" s="11"/>
      <c r="I257" s="11"/>
      <c r="J257" s="11"/>
      <c r="K257" s="11"/>
      <c r="L257" s="11"/>
      <c r="M257" s="755"/>
      <c r="N257" s="11"/>
      <c r="O257" s="11"/>
      <c r="P257" s="11"/>
      <c r="Q257" s="11"/>
      <c r="R257" s="11"/>
      <c r="S257" s="11"/>
      <c r="T257" s="11"/>
      <c r="U257" s="11"/>
      <c r="V257" s="11"/>
      <c r="W257" s="11"/>
      <c r="X257" s="11"/>
    </row>
    <row r="258" ht="13.5" customHeight="1">
      <c r="A258" s="11"/>
      <c r="B258" s="262" t="s">
        <v>1233</v>
      </c>
      <c r="C258" s="355">
        <v>15.0</v>
      </c>
      <c r="D258" s="355">
        <f t="shared" si="20"/>
        <v>45</v>
      </c>
      <c r="E258" s="267" t="s">
        <v>14</v>
      </c>
      <c r="F258" s="63"/>
      <c r="G258" s="11"/>
      <c r="H258" s="11"/>
      <c r="I258" s="11"/>
      <c r="J258" s="11"/>
      <c r="K258" s="11"/>
      <c r="L258" s="11"/>
      <c r="M258" s="755"/>
      <c r="N258" s="11"/>
      <c r="O258" s="11"/>
      <c r="P258" s="11"/>
      <c r="Q258" s="11"/>
      <c r="R258" s="11"/>
      <c r="S258" s="11"/>
      <c r="T258" s="11"/>
      <c r="U258" s="11"/>
      <c r="V258" s="11"/>
      <c r="W258" s="11"/>
      <c r="X258" s="11"/>
    </row>
    <row r="259" ht="13.5" customHeight="1">
      <c r="A259" s="11"/>
      <c r="B259" s="163" t="s">
        <v>173</v>
      </c>
      <c r="C259" s="316">
        <v>1000.0</v>
      </c>
      <c r="D259" s="316">
        <f t="shared" si="20"/>
        <v>3000</v>
      </c>
      <c r="E259" s="169" t="s">
        <v>18</v>
      </c>
      <c r="F259" s="44" t="s">
        <v>1234</v>
      </c>
      <c r="G259" s="11"/>
      <c r="H259" s="11"/>
      <c r="I259" s="11"/>
      <c r="J259" s="11"/>
      <c r="K259" s="11"/>
      <c r="L259" s="11"/>
      <c r="M259" s="755"/>
      <c r="N259" s="11"/>
      <c r="O259" s="11"/>
      <c r="P259" s="11"/>
      <c r="Q259" s="11"/>
      <c r="R259" s="11"/>
      <c r="S259" s="11"/>
      <c r="T259" s="11"/>
      <c r="U259" s="11"/>
      <c r="V259" s="11"/>
      <c r="W259" s="11"/>
      <c r="X259" s="11"/>
    </row>
    <row r="260" ht="13.5" customHeight="1">
      <c r="A260" s="11"/>
      <c r="B260" s="177" t="s">
        <v>80</v>
      </c>
      <c r="C260" s="321">
        <v>2.5</v>
      </c>
      <c r="D260" s="321">
        <f t="shared" si="20"/>
        <v>7.5</v>
      </c>
      <c r="E260" s="204" t="s">
        <v>14</v>
      </c>
      <c r="F260" s="47"/>
      <c r="G260" s="11"/>
      <c r="H260" s="11"/>
      <c r="I260" s="11"/>
      <c r="J260" s="11"/>
      <c r="K260" s="11"/>
      <c r="L260" s="11"/>
      <c r="M260" s="755"/>
      <c r="N260" s="11"/>
      <c r="O260" s="11"/>
      <c r="P260" s="11"/>
      <c r="Q260" s="11"/>
      <c r="R260" s="11"/>
      <c r="S260" s="11"/>
      <c r="T260" s="11"/>
      <c r="U260" s="11"/>
      <c r="V260" s="11"/>
      <c r="W260" s="11"/>
      <c r="X260" s="11"/>
    </row>
    <row r="261" ht="13.5" customHeight="1">
      <c r="A261" s="11"/>
      <c r="B261" s="208" t="s">
        <v>114</v>
      </c>
      <c r="C261" s="318">
        <v>2.5</v>
      </c>
      <c r="D261" s="318">
        <f t="shared" si="20"/>
        <v>7.5</v>
      </c>
      <c r="E261" s="212" t="s">
        <v>5</v>
      </c>
      <c r="F261" s="76"/>
      <c r="G261" s="11"/>
      <c r="H261" s="11"/>
      <c r="I261" s="11"/>
      <c r="J261" s="11"/>
      <c r="K261" s="11"/>
      <c r="L261" s="11"/>
      <c r="M261" s="755"/>
      <c r="N261" s="11"/>
      <c r="O261" s="11"/>
      <c r="P261" s="11"/>
      <c r="Q261" s="11"/>
      <c r="R261" s="11"/>
      <c r="S261" s="11"/>
      <c r="T261" s="11"/>
      <c r="U261" s="11"/>
      <c r="V261" s="11"/>
      <c r="W261" s="11"/>
      <c r="X261" s="11"/>
    </row>
    <row r="262" ht="15.0" customHeight="1">
      <c r="A262" s="11"/>
      <c r="B262" s="163" t="s">
        <v>34</v>
      </c>
      <c r="C262" s="316">
        <v>0.5</v>
      </c>
      <c r="D262" s="316">
        <f t="shared" si="20"/>
        <v>1.5</v>
      </c>
      <c r="E262" s="169" t="s">
        <v>5</v>
      </c>
      <c r="F262" s="44" t="s">
        <v>1235</v>
      </c>
      <c r="G262" s="11"/>
      <c r="H262" s="11"/>
      <c r="I262" s="11"/>
      <c r="J262" s="11"/>
      <c r="K262" s="11"/>
      <c r="L262" s="11"/>
      <c r="M262" s="755"/>
      <c r="N262" s="11"/>
      <c r="O262" s="11"/>
      <c r="P262" s="11"/>
      <c r="Q262" s="11"/>
      <c r="R262" s="11"/>
      <c r="S262" s="11"/>
      <c r="T262" s="11"/>
      <c r="U262" s="11"/>
      <c r="V262" s="11"/>
      <c r="W262" s="11"/>
      <c r="X262" s="11"/>
    </row>
    <row r="263" ht="13.5" customHeight="1">
      <c r="A263" s="11"/>
      <c r="B263" s="177" t="s">
        <v>1237</v>
      </c>
      <c r="C263" s="321">
        <v>50.0</v>
      </c>
      <c r="D263" s="321">
        <f t="shared" si="20"/>
        <v>150</v>
      </c>
      <c r="E263" s="204" t="s">
        <v>18</v>
      </c>
      <c r="F263" s="47"/>
      <c r="G263" s="11"/>
      <c r="H263" s="11"/>
      <c r="I263" s="11"/>
      <c r="J263" s="11"/>
      <c r="K263" s="11"/>
      <c r="L263" s="11"/>
      <c r="M263" s="755"/>
      <c r="N263" s="11"/>
      <c r="O263" s="11"/>
      <c r="P263" s="11"/>
      <c r="Q263" s="11"/>
      <c r="R263" s="11"/>
      <c r="S263" s="11"/>
      <c r="T263" s="11"/>
      <c r="U263" s="11"/>
      <c r="V263" s="11"/>
      <c r="W263" s="11"/>
      <c r="X263" s="11"/>
    </row>
    <row r="264" ht="13.5" customHeight="1">
      <c r="A264" s="11"/>
      <c r="B264" s="177" t="s">
        <v>63</v>
      </c>
      <c r="C264" s="321">
        <v>150.0</v>
      </c>
      <c r="D264" s="321">
        <f t="shared" si="20"/>
        <v>450</v>
      </c>
      <c r="E264" s="204" t="s">
        <v>18</v>
      </c>
      <c r="F264" s="47"/>
      <c r="G264" s="11"/>
      <c r="H264" s="11"/>
      <c r="I264" s="11"/>
      <c r="J264" s="11"/>
      <c r="K264" s="11"/>
      <c r="L264" s="11"/>
      <c r="M264" s="755"/>
      <c r="N264" s="11"/>
      <c r="O264" s="11"/>
      <c r="P264" s="11"/>
      <c r="Q264" s="11"/>
      <c r="R264" s="11"/>
      <c r="S264" s="11"/>
      <c r="T264" s="11"/>
      <c r="U264" s="11"/>
      <c r="V264" s="11"/>
      <c r="W264" s="11"/>
      <c r="X264" s="11"/>
    </row>
    <row r="265" ht="13.5" customHeight="1">
      <c r="A265" s="11"/>
      <c r="B265" s="177" t="s">
        <v>345</v>
      </c>
      <c r="C265" s="321">
        <v>0.4</v>
      </c>
      <c r="D265" s="321">
        <f t="shared" si="20"/>
        <v>1.2</v>
      </c>
      <c r="E265" s="204" t="s">
        <v>14</v>
      </c>
      <c r="F265" s="47"/>
      <c r="G265" s="11"/>
      <c r="H265" s="11"/>
      <c r="I265" s="11"/>
      <c r="J265" s="11"/>
      <c r="K265" s="11"/>
      <c r="L265" s="11"/>
      <c r="M265" s="755"/>
      <c r="N265" s="11"/>
      <c r="O265" s="11"/>
      <c r="P265" s="11"/>
      <c r="Q265" s="11"/>
      <c r="R265" s="11"/>
      <c r="S265" s="11"/>
      <c r="T265" s="11"/>
      <c r="U265" s="11"/>
      <c r="V265" s="11"/>
      <c r="W265" s="11"/>
      <c r="X265" s="11"/>
    </row>
    <row r="266" ht="13.5" customHeight="1">
      <c r="A266" s="11"/>
      <c r="B266" s="177" t="s">
        <v>311</v>
      </c>
      <c r="C266" s="321">
        <v>0.25</v>
      </c>
      <c r="D266" s="321">
        <f t="shared" si="20"/>
        <v>0.75</v>
      </c>
      <c r="E266" s="204" t="s">
        <v>14</v>
      </c>
      <c r="F266" s="47"/>
      <c r="G266" s="11"/>
      <c r="H266" s="11"/>
      <c r="I266" s="11"/>
      <c r="J266" s="11"/>
      <c r="K266" s="11"/>
      <c r="L266" s="11"/>
      <c r="M266" s="755"/>
      <c r="N266" s="11"/>
      <c r="O266" s="11"/>
      <c r="P266" s="11"/>
      <c r="Q266" s="11"/>
      <c r="R266" s="11"/>
      <c r="S266" s="11"/>
      <c r="T266" s="11"/>
      <c r="U266" s="11"/>
      <c r="V266" s="11"/>
      <c r="W266" s="11"/>
      <c r="X266" s="11"/>
    </row>
    <row r="267" ht="13.5" customHeight="1">
      <c r="A267" s="11"/>
      <c r="B267" s="177" t="s">
        <v>1240</v>
      </c>
      <c r="C267" s="321">
        <v>0.25</v>
      </c>
      <c r="D267" s="321">
        <f>(C267*D272)/C272</f>
        <v>0.75</v>
      </c>
      <c r="E267" s="204" t="s">
        <v>14</v>
      </c>
      <c r="F267" s="47"/>
      <c r="G267" s="11"/>
      <c r="H267" s="11"/>
      <c r="I267" s="11"/>
      <c r="J267" s="11"/>
      <c r="K267" s="11"/>
      <c r="L267" s="11"/>
      <c r="M267" s="755"/>
      <c r="N267" s="11"/>
      <c r="O267" s="11"/>
      <c r="P267" s="11"/>
      <c r="Q267" s="11"/>
      <c r="R267" s="11"/>
      <c r="S267" s="11"/>
      <c r="T267" s="11"/>
      <c r="U267" s="11"/>
      <c r="V267" s="11"/>
      <c r="W267" s="11"/>
      <c r="X267" s="11"/>
    </row>
    <row r="268" ht="13.5" customHeight="1">
      <c r="A268" s="11"/>
      <c r="B268" s="177" t="s">
        <v>53</v>
      </c>
      <c r="C268" s="321">
        <v>0.2</v>
      </c>
      <c r="D268" s="321">
        <f>(C268*D266)/C266</f>
        <v>0.6</v>
      </c>
      <c r="E268" s="204" t="s">
        <v>14</v>
      </c>
      <c r="F268" s="47"/>
      <c r="G268" s="11"/>
      <c r="H268" s="11"/>
      <c r="I268" s="11"/>
      <c r="J268" s="11"/>
      <c r="K268" s="11"/>
      <c r="L268" s="11"/>
      <c r="M268" s="755"/>
      <c r="N268" s="11"/>
      <c r="O268" s="11"/>
      <c r="P268" s="11"/>
      <c r="Q268" s="11"/>
      <c r="R268" s="11"/>
      <c r="S268" s="11"/>
      <c r="T268" s="11"/>
      <c r="U268" s="11"/>
      <c r="V268" s="11"/>
      <c r="W268" s="11"/>
      <c r="X268" s="11"/>
    </row>
    <row r="269" ht="13.5" customHeight="1">
      <c r="A269" s="11"/>
      <c r="B269" s="177" t="s">
        <v>1241</v>
      </c>
      <c r="C269" s="321">
        <v>400.0</v>
      </c>
      <c r="D269" s="321">
        <f t="shared" ref="D269:D272" si="21">(C269*D268)/C268</f>
        <v>1200</v>
      </c>
      <c r="E269" s="204" t="s">
        <v>18</v>
      </c>
      <c r="F269" s="47"/>
      <c r="G269" s="11"/>
      <c r="H269" s="11"/>
      <c r="I269" s="11"/>
      <c r="J269" s="11"/>
      <c r="K269" s="11"/>
      <c r="L269" s="11"/>
      <c r="M269" s="755"/>
      <c r="N269" s="11"/>
      <c r="O269" s="11"/>
      <c r="P269" s="11"/>
      <c r="Q269" s="11"/>
      <c r="R269" s="11"/>
      <c r="S269" s="11"/>
      <c r="T269" s="11"/>
      <c r="U269" s="11"/>
      <c r="V269" s="11"/>
      <c r="W269" s="11"/>
      <c r="X269" s="11"/>
    </row>
    <row r="270" ht="13.5" customHeight="1">
      <c r="A270" s="11"/>
      <c r="B270" s="177" t="s">
        <v>98</v>
      </c>
      <c r="C270" s="321">
        <v>125.0</v>
      </c>
      <c r="D270" s="321">
        <f t="shared" si="21"/>
        <v>375</v>
      </c>
      <c r="E270" s="204" t="s">
        <v>18</v>
      </c>
      <c r="F270" s="47"/>
      <c r="G270" s="11"/>
      <c r="H270" s="11"/>
      <c r="I270" s="11"/>
      <c r="J270" s="11"/>
      <c r="K270" s="11"/>
      <c r="L270" s="11"/>
      <c r="M270" s="755"/>
      <c r="N270" s="11"/>
      <c r="O270" s="11"/>
      <c r="P270" s="11"/>
      <c r="Q270" s="11"/>
      <c r="R270" s="11"/>
      <c r="S270" s="11"/>
      <c r="T270" s="11"/>
      <c r="U270" s="11"/>
      <c r="V270" s="11"/>
      <c r="W270" s="11"/>
      <c r="X270" s="11"/>
    </row>
    <row r="271" ht="13.5" customHeight="1">
      <c r="A271" s="11"/>
      <c r="B271" s="177" t="s">
        <v>162</v>
      </c>
      <c r="C271" s="321">
        <v>300.0</v>
      </c>
      <c r="D271" s="321">
        <f t="shared" si="21"/>
        <v>900</v>
      </c>
      <c r="E271" s="204" t="s">
        <v>18</v>
      </c>
      <c r="F271" s="47"/>
      <c r="G271" s="11"/>
      <c r="H271" s="11"/>
      <c r="I271" s="11"/>
      <c r="J271" s="11"/>
      <c r="K271" s="11"/>
      <c r="L271" s="11"/>
      <c r="M271" s="755"/>
      <c r="N271" s="11"/>
      <c r="O271" s="11"/>
      <c r="P271" s="11"/>
      <c r="Q271" s="11"/>
      <c r="R271" s="11"/>
      <c r="S271" s="11"/>
      <c r="T271" s="11"/>
      <c r="U271" s="11"/>
      <c r="V271" s="11"/>
      <c r="W271" s="11"/>
      <c r="X271" s="11"/>
    </row>
    <row r="272" ht="13.5" customHeight="1">
      <c r="A272" s="11"/>
      <c r="B272" s="177" t="s">
        <v>1243</v>
      </c>
      <c r="C272" s="321">
        <v>50.0</v>
      </c>
      <c r="D272" s="321">
        <f t="shared" si="21"/>
        <v>150</v>
      </c>
      <c r="E272" s="204" t="s">
        <v>18</v>
      </c>
      <c r="F272" s="47"/>
      <c r="G272" s="11"/>
      <c r="H272" s="11"/>
      <c r="I272" s="11"/>
      <c r="J272" s="11"/>
      <c r="K272" s="11"/>
      <c r="L272" s="11"/>
      <c r="M272" s="755"/>
      <c r="N272" s="11"/>
      <c r="O272" s="11"/>
      <c r="P272" s="11"/>
      <c r="Q272" s="11"/>
      <c r="R272" s="11"/>
      <c r="S272" s="11"/>
      <c r="T272" s="11"/>
      <c r="U272" s="11"/>
      <c r="V272" s="11"/>
      <c r="W272" s="11"/>
      <c r="X272" s="11"/>
    </row>
    <row r="273" ht="13.5" customHeight="1">
      <c r="A273" s="11"/>
      <c r="B273" s="177" t="s">
        <v>101</v>
      </c>
      <c r="C273" s="321">
        <v>0.5</v>
      </c>
      <c r="D273" s="321">
        <f>(C273*D267)/C267</f>
        <v>1.5</v>
      </c>
      <c r="E273" s="204" t="s">
        <v>5</v>
      </c>
      <c r="F273" s="47"/>
      <c r="G273" s="11"/>
      <c r="H273" s="11"/>
      <c r="I273" s="11"/>
      <c r="J273" s="11"/>
      <c r="K273" s="11"/>
      <c r="L273" s="11"/>
      <c r="M273" s="755"/>
      <c r="N273" s="11"/>
      <c r="O273" s="11"/>
      <c r="P273" s="11"/>
      <c r="Q273" s="11"/>
      <c r="R273" s="11"/>
      <c r="S273" s="11"/>
      <c r="T273" s="11"/>
      <c r="U273" s="11"/>
      <c r="V273" s="11"/>
      <c r="W273" s="11"/>
      <c r="X273" s="11"/>
    </row>
    <row r="274" ht="13.5" customHeight="1">
      <c r="A274" s="11"/>
      <c r="B274" s="177" t="s">
        <v>52</v>
      </c>
      <c r="C274" s="321">
        <v>50.0</v>
      </c>
      <c r="D274" s="321">
        <f t="shared" ref="D274:D282" si="22">(C274*D273)/C273</f>
        <v>150</v>
      </c>
      <c r="E274" s="204" t="s">
        <v>18</v>
      </c>
      <c r="F274" s="47"/>
      <c r="G274" s="11"/>
      <c r="H274" s="11"/>
      <c r="I274" s="11"/>
      <c r="J274" s="11"/>
      <c r="K274" s="11"/>
      <c r="L274" s="11"/>
      <c r="M274" s="755"/>
      <c r="N274" s="11"/>
      <c r="O274" s="11"/>
      <c r="P274" s="11"/>
      <c r="Q274" s="11"/>
      <c r="R274" s="11"/>
      <c r="S274" s="11"/>
      <c r="T274" s="11"/>
      <c r="U274" s="11"/>
      <c r="V274" s="11"/>
      <c r="W274" s="11"/>
      <c r="X274" s="11"/>
    </row>
    <row r="275" ht="13.5" customHeight="1">
      <c r="A275" s="11"/>
      <c r="B275" s="177" t="s">
        <v>963</v>
      </c>
      <c r="C275" s="321">
        <v>3.0</v>
      </c>
      <c r="D275" s="321">
        <f t="shared" si="22"/>
        <v>9</v>
      </c>
      <c r="E275" s="204" t="s">
        <v>14</v>
      </c>
      <c r="F275" s="47"/>
      <c r="G275" s="11"/>
      <c r="H275" s="11"/>
      <c r="I275" s="11"/>
      <c r="J275" s="11"/>
      <c r="K275" s="11"/>
      <c r="L275" s="11"/>
      <c r="M275" s="755"/>
      <c r="N275" s="11"/>
      <c r="O275" s="11"/>
      <c r="P275" s="11"/>
      <c r="Q275" s="11"/>
      <c r="R275" s="11"/>
      <c r="S275" s="11"/>
      <c r="T275" s="11"/>
      <c r="U275" s="11"/>
      <c r="V275" s="11"/>
      <c r="W275" s="11"/>
      <c r="X275" s="11"/>
    </row>
    <row r="276" ht="13.5" customHeight="1">
      <c r="A276" s="11"/>
      <c r="B276" s="177" t="s">
        <v>858</v>
      </c>
      <c r="C276" s="321">
        <v>12.0</v>
      </c>
      <c r="D276" s="321">
        <f t="shared" si="22"/>
        <v>36</v>
      </c>
      <c r="E276" s="204" t="s">
        <v>9</v>
      </c>
      <c r="F276" s="47"/>
      <c r="G276" s="11"/>
      <c r="H276" s="11"/>
      <c r="I276" s="11"/>
      <c r="J276" s="11"/>
      <c r="K276" s="11"/>
      <c r="L276" s="11"/>
      <c r="M276" s="755"/>
      <c r="N276" s="11"/>
      <c r="O276" s="11"/>
      <c r="P276" s="11"/>
      <c r="Q276" s="11"/>
      <c r="R276" s="11"/>
      <c r="S276" s="11"/>
      <c r="T276" s="11"/>
      <c r="U276" s="11"/>
      <c r="V276" s="11"/>
      <c r="W276" s="11"/>
      <c r="X276" s="11"/>
    </row>
    <row r="277" ht="13.5" customHeight="1">
      <c r="A277" s="11"/>
      <c r="B277" s="208" t="s">
        <v>92</v>
      </c>
      <c r="C277" s="318">
        <v>250.0</v>
      </c>
      <c r="D277" s="318">
        <f t="shared" si="22"/>
        <v>750</v>
      </c>
      <c r="E277" s="212" t="s">
        <v>82</v>
      </c>
      <c r="F277" s="76"/>
      <c r="G277" s="11"/>
      <c r="H277" s="11"/>
      <c r="I277" s="11"/>
      <c r="J277" s="11"/>
      <c r="K277" s="11"/>
      <c r="L277" s="11"/>
      <c r="M277" s="755"/>
      <c r="N277" s="11"/>
      <c r="O277" s="11"/>
      <c r="P277" s="11"/>
      <c r="Q277" s="11"/>
      <c r="R277" s="11"/>
      <c r="S277" s="11"/>
      <c r="T277" s="11"/>
      <c r="U277" s="11"/>
      <c r="V277" s="11"/>
      <c r="W277" s="11"/>
      <c r="X277" s="11"/>
    </row>
    <row r="278" ht="13.5" customHeight="1">
      <c r="A278" s="11"/>
      <c r="B278" s="163" t="s">
        <v>34</v>
      </c>
      <c r="C278" s="316">
        <v>1.0</v>
      </c>
      <c r="D278" s="316">
        <f t="shared" si="22"/>
        <v>3</v>
      </c>
      <c r="E278" s="169" t="s">
        <v>5</v>
      </c>
      <c r="F278" s="194" t="s">
        <v>94</v>
      </c>
      <c r="G278" s="11"/>
      <c r="H278" s="11"/>
      <c r="I278" s="11"/>
      <c r="J278" s="11"/>
      <c r="K278" s="11"/>
      <c r="L278" s="11"/>
      <c r="M278" s="755"/>
      <c r="N278" s="11"/>
      <c r="O278" s="11"/>
      <c r="P278" s="11"/>
      <c r="Q278" s="11"/>
      <c r="R278" s="11"/>
      <c r="S278" s="11"/>
      <c r="T278" s="11"/>
      <c r="U278" s="11"/>
      <c r="V278" s="11"/>
      <c r="W278" s="11"/>
      <c r="X278" s="11"/>
    </row>
    <row r="279" ht="15.75" customHeight="1">
      <c r="A279" s="11"/>
      <c r="B279" s="177" t="s">
        <v>97</v>
      </c>
      <c r="C279" s="321">
        <v>125.0</v>
      </c>
      <c r="D279" s="321">
        <f t="shared" si="22"/>
        <v>375</v>
      </c>
      <c r="E279" s="204" t="s">
        <v>18</v>
      </c>
      <c r="F279" s="63"/>
      <c r="G279" s="11"/>
      <c r="H279" s="11"/>
      <c r="I279" s="11"/>
      <c r="J279" s="11"/>
      <c r="K279" s="11"/>
      <c r="L279" s="11"/>
      <c r="M279" s="755"/>
      <c r="N279" s="11"/>
      <c r="O279" s="11"/>
      <c r="P279" s="11"/>
      <c r="Q279" s="11"/>
      <c r="R279" s="11"/>
      <c r="S279" s="11"/>
      <c r="T279" s="11"/>
      <c r="U279" s="11"/>
      <c r="V279" s="11"/>
      <c r="W279" s="11"/>
      <c r="X279" s="11"/>
    </row>
    <row r="280" ht="13.5" customHeight="1">
      <c r="A280" s="11"/>
      <c r="B280" s="177" t="s">
        <v>847</v>
      </c>
      <c r="C280" s="321">
        <v>80.0</v>
      </c>
      <c r="D280" s="321">
        <f t="shared" si="22"/>
        <v>240</v>
      </c>
      <c r="E280" s="204" t="s">
        <v>18</v>
      </c>
      <c r="F280" s="63"/>
      <c r="G280" s="11"/>
      <c r="H280" s="11"/>
      <c r="I280" s="11"/>
      <c r="J280" s="11"/>
      <c r="K280" s="11"/>
      <c r="L280" s="11"/>
      <c r="M280" s="755"/>
      <c r="N280" s="11"/>
      <c r="O280" s="11"/>
      <c r="P280" s="11"/>
      <c r="Q280" s="11"/>
      <c r="R280" s="11"/>
      <c r="S280" s="11"/>
      <c r="T280" s="11"/>
      <c r="U280" s="11"/>
      <c r="V280" s="11"/>
      <c r="W280" s="11"/>
      <c r="X280" s="11"/>
    </row>
    <row r="281" ht="13.5" customHeight="1">
      <c r="A281" s="11"/>
      <c r="B281" s="262" t="s">
        <v>103</v>
      </c>
      <c r="C281" s="355">
        <v>75.0</v>
      </c>
      <c r="D281" s="355">
        <f t="shared" si="22"/>
        <v>225</v>
      </c>
      <c r="E281" s="267" t="s">
        <v>18</v>
      </c>
      <c r="F281" s="63"/>
      <c r="G281" s="11"/>
      <c r="H281" s="11"/>
      <c r="I281" s="11"/>
      <c r="J281" s="11"/>
      <c r="K281" s="11"/>
      <c r="L281" s="11"/>
      <c r="M281" s="755"/>
      <c r="N281" s="11"/>
      <c r="O281" s="11"/>
      <c r="P281" s="11"/>
      <c r="Q281" s="11"/>
      <c r="R281" s="11"/>
      <c r="S281" s="11"/>
      <c r="T281" s="11"/>
      <c r="U281" s="11"/>
      <c r="V281" s="11"/>
      <c r="W281" s="11"/>
      <c r="X281" s="11"/>
    </row>
    <row r="282" ht="16.5" customHeight="1">
      <c r="A282" s="11"/>
      <c r="B282" s="208" t="s">
        <v>101</v>
      </c>
      <c r="C282" s="318">
        <v>0.5</v>
      </c>
      <c r="D282" s="318">
        <f t="shared" si="22"/>
        <v>1.5</v>
      </c>
      <c r="E282" s="212" t="s">
        <v>5</v>
      </c>
      <c r="F282" s="63"/>
      <c r="G282" s="11"/>
      <c r="H282" s="11"/>
      <c r="I282" s="11"/>
      <c r="J282" s="11"/>
      <c r="K282" s="11"/>
      <c r="L282" s="11"/>
      <c r="M282" s="755"/>
      <c r="N282" s="11"/>
      <c r="O282" s="11"/>
      <c r="P282" s="11"/>
      <c r="Q282" s="11"/>
      <c r="R282" s="11"/>
      <c r="S282" s="11"/>
      <c r="T282" s="11"/>
      <c r="U282" s="11"/>
      <c r="V282" s="11"/>
      <c r="W282" s="11"/>
      <c r="X282" s="11"/>
    </row>
    <row r="283" ht="13.5" customHeight="1">
      <c r="A283" s="11"/>
      <c r="B283" s="220" t="s">
        <v>42</v>
      </c>
      <c r="C283" s="220" t="s">
        <v>725</v>
      </c>
      <c r="D283" s="11"/>
      <c r="E283" s="11"/>
      <c r="F283" s="11"/>
      <c r="G283" s="11"/>
      <c r="H283" s="11"/>
      <c r="I283" s="11"/>
      <c r="J283" s="11"/>
      <c r="K283" s="11"/>
      <c r="L283" s="11"/>
      <c r="M283" s="755"/>
      <c r="N283" s="11"/>
      <c r="O283" s="11"/>
      <c r="P283" s="11"/>
      <c r="Q283" s="11"/>
      <c r="R283" s="11"/>
      <c r="S283" s="11"/>
      <c r="T283" s="11"/>
      <c r="U283" s="11"/>
      <c r="V283" s="11"/>
      <c r="W283" s="11"/>
      <c r="X283" s="11"/>
    </row>
    <row r="284" ht="13.5" customHeight="1">
      <c r="A284" s="11"/>
      <c r="B284" s="381" t="s">
        <v>49</v>
      </c>
      <c r="C284" s="1115">
        <v>41399.0</v>
      </c>
      <c r="D284" s="11"/>
      <c r="E284" s="11"/>
      <c r="F284" s="11"/>
      <c r="G284" s="11"/>
      <c r="H284" s="11"/>
      <c r="I284" s="11"/>
      <c r="J284" s="11"/>
      <c r="K284" s="11"/>
      <c r="L284" s="11"/>
      <c r="M284" s="755"/>
      <c r="N284" s="11"/>
      <c r="O284" s="11"/>
      <c r="P284" s="11"/>
      <c r="Q284" s="11"/>
      <c r="R284" s="11"/>
      <c r="S284" s="11"/>
      <c r="T284" s="11"/>
      <c r="U284" s="11"/>
      <c r="V284" s="11"/>
      <c r="W284" s="11"/>
      <c r="X284" s="11"/>
    </row>
    <row r="285" ht="13.5" customHeight="1">
      <c r="A285" s="11"/>
      <c r="B285" s="381" t="s">
        <v>50</v>
      </c>
      <c r="C285" s="1115">
        <v>41771.0</v>
      </c>
      <c r="D285" s="11"/>
      <c r="E285" s="11"/>
      <c r="F285" s="11"/>
      <c r="G285" s="11"/>
      <c r="H285" s="11"/>
      <c r="I285" s="11"/>
      <c r="J285" s="11"/>
      <c r="K285" s="11"/>
      <c r="L285" s="11"/>
      <c r="M285" s="755"/>
      <c r="N285" s="11"/>
      <c r="O285" s="11"/>
      <c r="P285" s="11"/>
      <c r="Q285" s="11"/>
      <c r="R285" s="11"/>
      <c r="S285" s="11"/>
      <c r="T285" s="11"/>
      <c r="U285" s="11"/>
      <c r="V285" s="11"/>
      <c r="W285" s="11"/>
      <c r="X285" s="11"/>
    </row>
    <row r="286" ht="13.5" customHeight="1">
      <c r="A286" s="11"/>
      <c r="B286" s="11"/>
      <c r="C286" s="11"/>
      <c r="D286" s="11"/>
      <c r="E286" s="11"/>
      <c r="F286" s="284"/>
      <c r="G286" s="11"/>
      <c r="H286" s="11"/>
      <c r="I286" s="11"/>
      <c r="J286" s="11"/>
      <c r="K286" s="11"/>
      <c r="L286" s="11"/>
      <c r="M286" s="755"/>
      <c r="N286" s="11"/>
      <c r="O286" s="11"/>
      <c r="P286" s="11"/>
      <c r="Q286" s="11"/>
      <c r="R286" s="11"/>
      <c r="S286" s="11"/>
      <c r="T286" s="11"/>
      <c r="U286" s="11"/>
      <c r="V286" s="11"/>
      <c r="W286" s="11"/>
      <c r="X286" s="11"/>
    </row>
    <row r="287" ht="13.5" customHeight="1">
      <c r="A287" s="11"/>
      <c r="B287" s="1101" t="s">
        <v>868</v>
      </c>
      <c r="C287" s="18"/>
      <c r="D287" s="18"/>
      <c r="E287" s="19"/>
      <c r="F287" s="1117"/>
      <c r="G287" s="11"/>
      <c r="H287" s="11"/>
      <c r="I287" s="11"/>
      <c r="J287" s="11"/>
      <c r="K287" s="11"/>
      <c r="L287" s="11"/>
      <c r="M287" s="755"/>
      <c r="N287" s="11"/>
      <c r="O287" s="11"/>
      <c r="P287" s="11"/>
      <c r="Q287" s="11"/>
      <c r="R287" s="11"/>
      <c r="S287" s="11"/>
      <c r="T287" s="11"/>
      <c r="U287" s="11"/>
      <c r="V287" s="11"/>
      <c r="W287" s="11"/>
      <c r="X287" s="11"/>
    </row>
    <row r="288" ht="13.5" customHeight="1">
      <c r="A288" s="11"/>
      <c r="B288" s="1118" t="s">
        <v>1</v>
      </c>
      <c r="C288" s="1047">
        <v>100.0</v>
      </c>
      <c r="D288" s="1119">
        <v>60.0</v>
      </c>
      <c r="E288" s="1120" t="s">
        <v>5</v>
      </c>
      <c r="F288" s="284"/>
      <c r="G288" s="11"/>
      <c r="H288" s="11"/>
      <c r="I288" s="11"/>
      <c r="J288" s="11"/>
      <c r="K288" s="11"/>
      <c r="L288" s="11"/>
      <c r="M288" s="755"/>
      <c r="N288" s="11"/>
      <c r="O288" s="11"/>
      <c r="P288" s="11"/>
      <c r="Q288" s="11"/>
      <c r="R288" s="11"/>
      <c r="S288" s="11"/>
      <c r="T288" s="11"/>
      <c r="U288" s="11"/>
      <c r="V288" s="11"/>
      <c r="W288" s="11"/>
      <c r="X288" s="11"/>
    </row>
    <row r="289" ht="13.5" customHeight="1">
      <c r="A289" s="11"/>
      <c r="B289" s="163" t="s">
        <v>792</v>
      </c>
      <c r="C289" s="316">
        <v>5.0</v>
      </c>
      <c r="D289" s="285">
        <f t="shared" ref="D289:D309" si="23">(C289*D288)/C288</f>
        <v>3</v>
      </c>
      <c r="E289" s="169" t="s">
        <v>14</v>
      </c>
      <c r="F289" s="264" t="s">
        <v>1225</v>
      </c>
      <c r="G289" s="11"/>
      <c r="H289" s="11"/>
      <c r="I289" s="11"/>
      <c r="J289" s="11"/>
      <c r="K289" s="11"/>
      <c r="L289" s="11"/>
      <c r="M289" s="755"/>
      <c r="N289" s="11"/>
      <c r="O289" s="11"/>
      <c r="P289" s="11"/>
      <c r="Q289" s="11"/>
      <c r="R289" s="11"/>
      <c r="S289" s="11"/>
      <c r="T289" s="11"/>
      <c r="U289" s="11"/>
      <c r="V289" s="11"/>
      <c r="W289" s="11"/>
      <c r="X289" s="11"/>
    </row>
    <row r="290" ht="13.5" customHeight="1">
      <c r="A290" s="11"/>
      <c r="B290" s="177" t="s">
        <v>52</v>
      </c>
      <c r="C290" s="321">
        <v>100.0</v>
      </c>
      <c r="D290" s="198">
        <f t="shared" si="23"/>
        <v>60</v>
      </c>
      <c r="E290" s="204" t="s">
        <v>18</v>
      </c>
      <c r="F290" s="66"/>
      <c r="G290" s="11"/>
      <c r="H290" s="11"/>
      <c r="I290" s="11"/>
      <c r="J290" s="11"/>
      <c r="K290" s="11"/>
      <c r="L290" s="11"/>
      <c r="M290" s="755"/>
      <c r="N290" s="11"/>
      <c r="O290" s="11"/>
      <c r="P290" s="11"/>
      <c r="Q290" s="11"/>
      <c r="R290" s="11"/>
      <c r="S290" s="11"/>
      <c r="T290" s="11"/>
      <c r="U290" s="11"/>
      <c r="V290" s="11"/>
      <c r="W290" s="11"/>
      <c r="X290" s="11"/>
    </row>
    <row r="291" ht="13.5" customHeight="1">
      <c r="A291" s="11"/>
      <c r="B291" s="177" t="s">
        <v>31</v>
      </c>
      <c r="C291" s="321">
        <v>500.0</v>
      </c>
      <c r="D291" s="198">
        <f t="shared" si="23"/>
        <v>300</v>
      </c>
      <c r="E291" s="204" t="s">
        <v>18</v>
      </c>
      <c r="F291" s="66"/>
      <c r="G291" s="11"/>
      <c r="H291" s="11"/>
      <c r="I291" s="11"/>
      <c r="J291" s="11"/>
      <c r="K291" s="11"/>
      <c r="L291" s="11"/>
      <c r="M291" s="755"/>
      <c r="N291" s="11"/>
      <c r="O291" s="11"/>
      <c r="P291" s="11"/>
      <c r="Q291" s="11"/>
      <c r="R291" s="11"/>
      <c r="S291" s="11"/>
      <c r="T291" s="11"/>
      <c r="U291" s="11"/>
      <c r="V291" s="11"/>
      <c r="W291" s="11"/>
      <c r="X291" s="11"/>
    </row>
    <row r="292" ht="13.5" customHeight="1">
      <c r="A292" s="11"/>
      <c r="B292" s="262" t="s">
        <v>59</v>
      </c>
      <c r="C292" s="355">
        <v>10.0</v>
      </c>
      <c r="D292" s="383">
        <f t="shared" si="23"/>
        <v>6</v>
      </c>
      <c r="E292" s="267" t="s">
        <v>5</v>
      </c>
      <c r="F292" s="66"/>
      <c r="G292" s="11"/>
      <c r="H292" s="11"/>
      <c r="I292" s="11"/>
      <c r="J292" s="11"/>
      <c r="K292" s="11"/>
      <c r="L292" s="11"/>
      <c r="M292" s="755"/>
      <c r="N292" s="11"/>
      <c r="O292" s="11"/>
      <c r="P292" s="11"/>
      <c r="Q292" s="11"/>
      <c r="R292" s="11"/>
      <c r="S292" s="11"/>
      <c r="T292" s="11"/>
      <c r="U292" s="11"/>
      <c r="V292" s="11"/>
      <c r="W292" s="11"/>
      <c r="X292" s="11"/>
    </row>
    <row r="293" ht="13.5" customHeight="1">
      <c r="A293" s="11"/>
      <c r="B293" s="163" t="s">
        <v>59</v>
      </c>
      <c r="C293" s="316">
        <v>50.0</v>
      </c>
      <c r="D293" s="285">
        <f t="shared" si="23"/>
        <v>30</v>
      </c>
      <c r="E293" s="169" t="s">
        <v>190</v>
      </c>
      <c r="F293" s="264" t="s">
        <v>1247</v>
      </c>
      <c r="G293" s="11"/>
      <c r="H293" s="11"/>
      <c r="I293" s="11"/>
      <c r="J293" s="11"/>
      <c r="K293" s="11"/>
      <c r="L293" s="11"/>
      <c r="M293" s="755"/>
      <c r="N293" s="11"/>
      <c r="O293" s="11"/>
      <c r="P293" s="11"/>
      <c r="Q293" s="11"/>
      <c r="R293" s="11"/>
      <c r="S293" s="11"/>
      <c r="T293" s="11"/>
      <c r="U293" s="11"/>
      <c r="V293" s="11"/>
      <c r="W293" s="11"/>
      <c r="X293" s="11"/>
    </row>
    <row r="294" ht="13.5" customHeight="1">
      <c r="A294" s="11"/>
      <c r="B294" s="177" t="s">
        <v>31</v>
      </c>
      <c r="C294" s="321">
        <v>500.0</v>
      </c>
      <c r="D294" s="198">
        <f t="shared" si="23"/>
        <v>300</v>
      </c>
      <c r="E294" s="204" t="s">
        <v>18</v>
      </c>
      <c r="F294" s="66"/>
      <c r="G294" s="11"/>
      <c r="H294" s="11"/>
      <c r="I294" s="11"/>
      <c r="J294" s="11"/>
      <c r="K294" s="11"/>
      <c r="L294" s="11"/>
      <c r="M294" s="755"/>
      <c r="N294" s="11"/>
      <c r="O294" s="11"/>
      <c r="P294" s="11"/>
      <c r="Q294" s="11"/>
      <c r="R294" s="11"/>
      <c r="S294" s="11"/>
      <c r="T294" s="11"/>
      <c r="U294" s="11"/>
      <c r="V294" s="11"/>
      <c r="W294" s="11"/>
      <c r="X294" s="11"/>
    </row>
    <row r="295" ht="13.5" customHeight="1">
      <c r="A295" s="11"/>
      <c r="B295" s="177" t="s">
        <v>101</v>
      </c>
      <c r="C295" s="321">
        <v>1.0</v>
      </c>
      <c r="D295" s="198">
        <f t="shared" si="23"/>
        <v>0.6</v>
      </c>
      <c r="E295" s="204" t="s">
        <v>5</v>
      </c>
      <c r="F295" s="66"/>
      <c r="G295" s="11"/>
      <c r="H295" s="11"/>
      <c r="I295" s="11"/>
      <c r="J295" s="11"/>
      <c r="K295" s="11"/>
      <c r="L295" s="11"/>
      <c r="M295" s="755"/>
      <c r="N295" s="11"/>
      <c r="O295" s="11"/>
      <c r="P295" s="11"/>
      <c r="Q295" s="11"/>
      <c r="R295" s="11"/>
      <c r="S295" s="11"/>
      <c r="T295" s="11"/>
      <c r="U295" s="11"/>
      <c r="V295" s="11"/>
      <c r="W295" s="11"/>
      <c r="X295" s="11"/>
    </row>
    <row r="296" ht="13.5" customHeight="1">
      <c r="A296" s="11"/>
      <c r="B296" s="177" t="s">
        <v>292</v>
      </c>
      <c r="C296" s="321">
        <v>5.0</v>
      </c>
      <c r="D296" s="198">
        <f t="shared" si="23"/>
        <v>3</v>
      </c>
      <c r="E296" s="204" t="s">
        <v>14</v>
      </c>
      <c r="F296" s="66"/>
      <c r="G296" s="11"/>
      <c r="H296" s="11"/>
      <c r="I296" s="11"/>
      <c r="J296" s="11"/>
      <c r="K296" s="11"/>
      <c r="L296" s="11"/>
      <c r="M296" s="755"/>
      <c r="N296" s="11"/>
      <c r="O296" s="11"/>
      <c r="P296" s="11"/>
      <c r="Q296" s="11"/>
      <c r="R296" s="11"/>
      <c r="S296" s="11"/>
      <c r="T296" s="11"/>
      <c r="U296" s="11"/>
      <c r="V296" s="11"/>
      <c r="W296" s="11"/>
      <c r="X296" s="11"/>
    </row>
    <row r="297" ht="13.5" customHeight="1">
      <c r="A297" s="11"/>
      <c r="B297" s="177" t="s">
        <v>1250</v>
      </c>
      <c r="C297" s="321">
        <v>5.0</v>
      </c>
      <c r="D297" s="198">
        <f t="shared" si="23"/>
        <v>3</v>
      </c>
      <c r="E297" s="204" t="s">
        <v>14</v>
      </c>
      <c r="F297" s="66"/>
      <c r="G297" s="11"/>
      <c r="H297" s="11"/>
      <c r="I297" s="11"/>
      <c r="J297" s="11"/>
      <c r="K297" s="11"/>
      <c r="L297" s="11"/>
      <c r="M297" s="755"/>
      <c r="N297" s="11"/>
      <c r="O297" s="11"/>
      <c r="P297" s="11"/>
      <c r="Q297" s="11"/>
      <c r="R297" s="11"/>
      <c r="S297" s="11"/>
      <c r="T297" s="11"/>
      <c r="U297" s="11"/>
      <c r="V297" s="11"/>
      <c r="W297" s="11"/>
      <c r="X297" s="11"/>
    </row>
    <row r="298" ht="13.5" customHeight="1">
      <c r="A298" s="11"/>
      <c r="B298" s="177" t="s">
        <v>1252</v>
      </c>
      <c r="C298" s="321">
        <v>10.0</v>
      </c>
      <c r="D298" s="198">
        <f t="shared" si="23"/>
        <v>6</v>
      </c>
      <c r="E298" s="204" t="s">
        <v>14</v>
      </c>
      <c r="F298" s="66"/>
      <c r="G298" s="11"/>
      <c r="H298" s="11"/>
      <c r="I298" s="11"/>
      <c r="J298" s="11"/>
      <c r="K298" s="11"/>
      <c r="L298" s="11"/>
      <c r="M298" s="755"/>
      <c r="N298" s="11"/>
      <c r="O298" s="11"/>
      <c r="P298" s="11"/>
      <c r="Q298" s="11"/>
      <c r="R298" s="11"/>
      <c r="S298" s="11"/>
      <c r="T298" s="11"/>
      <c r="U298" s="11"/>
      <c r="V298" s="11"/>
      <c r="W298" s="11"/>
      <c r="X298" s="11"/>
    </row>
    <row r="299" ht="13.5" customHeight="1">
      <c r="A299" s="11"/>
      <c r="B299" s="262" t="s">
        <v>1253</v>
      </c>
      <c r="C299" s="355">
        <v>5.0</v>
      </c>
      <c r="D299" s="198">
        <f t="shared" si="23"/>
        <v>3</v>
      </c>
      <c r="E299" s="267" t="s">
        <v>14</v>
      </c>
      <c r="F299" s="66"/>
      <c r="G299" s="11"/>
      <c r="H299" s="11"/>
      <c r="I299" s="11"/>
      <c r="J299" s="11"/>
      <c r="K299" s="11"/>
      <c r="L299" s="11"/>
      <c r="M299" s="755"/>
      <c r="N299" s="11"/>
      <c r="O299" s="11"/>
      <c r="P299" s="11"/>
      <c r="Q299" s="11"/>
      <c r="R299" s="11"/>
      <c r="S299" s="11"/>
      <c r="T299" s="11"/>
      <c r="U299" s="11"/>
      <c r="V299" s="11"/>
      <c r="W299" s="11"/>
      <c r="X299" s="11"/>
    </row>
    <row r="300" ht="13.5" customHeight="1">
      <c r="A300" s="11"/>
      <c r="B300" s="208" t="s">
        <v>1254</v>
      </c>
      <c r="C300" s="318">
        <v>12.5</v>
      </c>
      <c r="D300" s="211">
        <f t="shared" si="23"/>
        <v>7.5</v>
      </c>
      <c r="E300" s="212" t="s">
        <v>14</v>
      </c>
      <c r="F300" s="106"/>
      <c r="G300" s="11"/>
      <c r="H300" s="11"/>
      <c r="I300" s="11"/>
      <c r="J300" s="11"/>
      <c r="K300" s="11"/>
      <c r="L300" s="11"/>
      <c r="M300" s="755"/>
      <c r="N300" s="11"/>
      <c r="O300" s="11"/>
      <c r="P300" s="11"/>
      <c r="Q300" s="11"/>
      <c r="R300" s="11"/>
      <c r="S300" s="11"/>
      <c r="T300" s="11"/>
      <c r="U300" s="11"/>
      <c r="V300" s="11"/>
      <c r="W300" s="11"/>
      <c r="X300" s="11"/>
    </row>
    <row r="301" ht="13.5" customHeight="1">
      <c r="A301" s="11"/>
      <c r="B301" s="163" t="s">
        <v>173</v>
      </c>
      <c r="C301" s="316">
        <v>1000.0</v>
      </c>
      <c r="D301" s="285">
        <f t="shared" si="23"/>
        <v>600</v>
      </c>
      <c r="E301" s="169" t="s">
        <v>18</v>
      </c>
      <c r="F301" s="264" t="s">
        <v>1234</v>
      </c>
      <c r="G301" s="11"/>
      <c r="H301" s="11"/>
      <c r="I301" s="11"/>
      <c r="J301" s="11"/>
      <c r="K301" s="11"/>
      <c r="L301" s="11"/>
      <c r="M301" s="755"/>
      <c r="N301" s="11"/>
      <c r="O301" s="11"/>
      <c r="P301" s="11"/>
      <c r="Q301" s="11"/>
      <c r="R301" s="11"/>
      <c r="S301" s="11"/>
      <c r="T301" s="11"/>
      <c r="U301" s="11"/>
      <c r="V301" s="11"/>
      <c r="W301" s="11"/>
      <c r="X301" s="11"/>
    </row>
    <row r="302" ht="15.75" customHeight="1">
      <c r="A302" s="11"/>
      <c r="B302" s="177" t="s">
        <v>80</v>
      </c>
      <c r="C302" s="321">
        <v>3.2</v>
      </c>
      <c r="D302" s="198">
        <f t="shared" si="23"/>
        <v>1.92</v>
      </c>
      <c r="E302" s="204" t="s">
        <v>14</v>
      </c>
      <c r="F302" s="66"/>
      <c r="G302" s="11"/>
      <c r="H302" s="11"/>
      <c r="I302" s="11"/>
      <c r="J302" s="11"/>
      <c r="K302" s="11"/>
      <c r="L302" s="11"/>
      <c r="M302" s="755"/>
      <c r="N302" s="11"/>
      <c r="O302" s="11"/>
      <c r="P302" s="11"/>
      <c r="Q302" s="11"/>
      <c r="R302" s="11"/>
      <c r="S302" s="11"/>
      <c r="T302" s="11"/>
      <c r="U302" s="11"/>
      <c r="V302" s="11"/>
      <c r="W302" s="11"/>
      <c r="X302" s="11"/>
    </row>
    <row r="303" ht="13.5" customHeight="1">
      <c r="A303" s="11"/>
      <c r="B303" s="262" t="s">
        <v>114</v>
      </c>
      <c r="C303" s="355">
        <v>2.5</v>
      </c>
      <c r="D303" s="383">
        <f t="shared" si="23"/>
        <v>1.5</v>
      </c>
      <c r="E303" s="267" t="s">
        <v>5</v>
      </c>
      <c r="F303" s="106"/>
      <c r="G303" s="11"/>
      <c r="H303" s="11"/>
      <c r="I303" s="11"/>
      <c r="J303" s="11"/>
      <c r="K303" s="11"/>
      <c r="L303" s="11"/>
      <c r="M303" s="755"/>
      <c r="N303" s="11"/>
      <c r="O303" s="11"/>
      <c r="P303" s="11"/>
      <c r="Q303" s="11"/>
      <c r="R303" s="11"/>
      <c r="S303" s="11"/>
      <c r="T303" s="11"/>
      <c r="U303" s="11"/>
      <c r="V303" s="11"/>
      <c r="W303" s="11"/>
      <c r="X303" s="11"/>
    </row>
    <row r="304" ht="16.5" customHeight="1">
      <c r="A304" s="11"/>
      <c r="B304" s="163" t="s">
        <v>34</v>
      </c>
      <c r="C304" s="316">
        <v>1.0</v>
      </c>
      <c r="D304" s="285">
        <f t="shared" si="23"/>
        <v>0.6</v>
      </c>
      <c r="E304" s="169" t="s">
        <v>5</v>
      </c>
      <c r="F304" s="264" t="s">
        <v>1255</v>
      </c>
      <c r="G304" s="11"/>
      <c r="H304" s="11"/>
      <c r="I304" s="11"/>
      <c r="J304" s="11"/>
      <c r="K304" s="11"/>
      <c r="L304" s="11"/>
      <c r="M304" s="755"/>
      <c r="N304" s="11"/>
      <c r="O304" s="11"/>
      <c r="P304" s="11"/>
      <c r="Q304" s="11"/>
      <c r="R304" s="11"/>
      <c r="S304" s="11"/>
      <c r="T304" s="11"/>
      <c r="U304" s="11"/>
      <c r="V304" s="11"/>
      <c r="W304" s="11"/>
      <c r="X304" s="11"/>
    </row>
    <row r="305" ht="15.75" customHeight="1">
      <c r="A305" s="11"/>
      <c r="B305" s="177" t="s">
        <v>97</v>
      </c>
      <c r="C305" s="321">
        <v>125.0</v>
      </c>
      <c r="D305" s="198">
        <f t="shared" si="23"/>
        <v>75</v>
      </c>
      <c r="E305" s="204" t="s">
        <v>18</v>
      </c>
      <c r="F305" s="66"/>
      <c r="G305" s="11"/>
      <c r="H305" s="11"/>
      <c r="I305" s="11"/>
      <c r="J305" s="11"/>
      <c r="K305" s="11"/>
      <c r="L305" s="11"/>
      <c r="M305" s="755"/>
      <c r="N305" s="11"/>
      <c r="O305" s="11"/>
      <c r="P305" s="11"/>
      <c r="Q305" s="11"/>
      <c r="R305" s="11"/>
      <c r="S305" s="11"/>
      <c r="T305" s="11"/>
      <c r="U305" s="11"/>
      <c r="V305" s="11"/>
      <c r="W305" s="11"/>
      <c r="X305" s="11"/>
    </row>
    <row r="306" ht="13.5" customHeight="1">
      <c r="A306" s="11"/>
      <c r="B306" s="177" t="s">
        <v>390</v>
      </c>
      <c r="C306" s="321">
        <v>80.0</v>
      </c>
      <c r="D306" s="198">
        <f t="shared" si="23"/>
        <v>48</v>
      </c>
      <c r="E306" s="204" t="s">
        <v>18</v>
      </c>
      <c r="F306" s="66"/>
      <c r="G306" s="11"/>
      <c r="H306" s="11"/>
      <c r="I306" s="11"/>
      <c r="J306" s="11"/>
      <c r="K306" s="11"/>
      <c r="L306" s="11"/>
      <c r="M306" s="755"/>
      <c r="N306" s="11"/>
      <c r="O306" s="11"/>
      <c r="P306" s="11"/>
      <c r="Q306" s="11"/>
      <c r="R306" s="11"/>
      <c r="S306" s="11"/>
      <c r="T306" s="11"/>
      <c r="U306" s="11"/>
      <c r="V306" s="11"/>
      <c r="W306" s="11"/>
      <c r="X306" s="11"/>
    </row>
    <row r="307" ht="13.5" customHeight="1">
      <c r="A307" s="11"/>
      <c r="B307" s="177" t="s">
        <v>101</v>
      </c>
      <c r="C307" s="321">
        <v>0.5</v>
      </c>
      <c r="D307" s="198">
        <f t="shared" si="23"/>
        <v>0.3</v>
      </c>
      <c r="E307" s="204" t="s">
        <v>5</v>
      </c>
      <c r="F307" s="66"/>
      <c r="G307" s="11"/>
      <c r="H307" s="11"/>
      <c r="I307" s="11"/>
      <c r="J307" s="11"/>
      <c r="K307" s="11"/>
      <c r="L307" s="11"/>
      <c r="M307" s="755"/>
      <c r="N307" s="11"/>
      <c r="O307" s="11"/>
      <c r="P307" s="11"/>
      <c r="Q307" s="11"/>
      <c r="R307" s="11"/>
      <c r="S307" s="11"/>
      <c r="T307" s="11"/>
      <c r="U307" s="11"/>
      <c r="V307" s="11"/>
      <c r="W307" s="11"/>
      <c r="X307" s="11"/>
    </row>
    <row r="308" ht="13.5" customHeight="1">
      <c r="A308" s="11"/>
      <c r="B308" s="177" t="s">
        <v>103</v>
      </c>
      <c r="C308" s="321">
        <v>100.0</v>
      </c>
      <c r="D308" s="198">
        <f t="shared" si="23"/>
        <v>60</v>
      </c>
      <c r="E308" s="204" t="s">
        <v>18</v>
      </c>
      <c r="F308" s="66"/>
      <c r="G308" s="11"/>
      <c r="H308" s="11"/>
      <c r="I308" s="11"/>
      <c r="J308" s="11"/>
      <c r="K308" s="11"/>
      <c r="L308" s="11"/>
      <c r="M308" s="755"/>
      <c r="N308" s="11"/>
      <c r="O308" s="11"/>
      <c r="P308" s="11"/>
      <c r="Q308" s="11"/>
      <c r="R308" s="11"/>
      <c r="S308" s="11"/>
      <c r="T308" s="11"/>
      <c r="U308" s="11"/>
      <c r="V308" s="11"/>
      <c r="W308" s="11"/>
      <c r="X308" s="11"/>
    </row>
    <row r="309" ht="13.5" customHeight="1">
      <c r="A309" s="11"/>
      <c r="B309" s="177" t="s">
        <v>149</v>
      </c>
      <c r="C309" s="321">
        <v>500.0</v>
      </c>
      <c r="D309" s="198">
        <f t="shared" si="23"/>
        <v>300</v>
      </c>
      <c r="E309" s="204" t="s">
        <v>82</v>
      </c>
      <c r="F309" s="66"/>
      <c r="G309" s="11"/>
      <c r="H309" s="11"/>
      <c r="I309" s="11"/>
      <c r="J309" s="11"/>
      <c r="K309" s="11"/>
      <c r="L309" s="11"/>
      <c r="M309" s="755"/>
      <c r="N309" s="11"/>
      <c r="O309" s="11"/>
      <c r="P309" s="11"/>
      <c r="Q309" s="11"/>
      <c r="R309" s="11"/>
      <c r="S309" s="11"/>
      <c r="T309" s="11"/>
      <c r="U309" s="11"/>
      <c r="V309" s="11"/>
      <c r="W309" s="11"/>
      <c r="X309" s="11"/>
    </row>
    <row r="310" ht="13.5" customHeight="1">
      <c r="A310" s="11"/>
      <c r="B310" s="177" t="s">
        <v>1261</v>
      </c>
      <c r="C310" s="321">
        <v>750.0</v>
      </c>
      <c r="D310" s="198">
        <f>(C310*D311)/C311</f>
        <v>450</v>
      </c>
      <c r="E310" s="204" t="s">
        <v>18</v>
      </c>
      <c r="F310" s="66"/>
      <c r="G310" s="11"/>
      <c r="H310" s="11"/>
      <c r="I310" s="11"/>
      <c r="J310" s="11"/>
      <c r="K310" s="11"/>
      <c r="L310" s="11"/>
      <c r="M310" s="755"/>
      <c r="N310" s="11"/>
      <c r="O310" s="11"/>
      <c r="P310" s="11"/>
      <c r="Q310" s="11"/>
      <c r="R310" s="11"/>
      <c r="S310" s="11"/>
      <c r="T310" s="11"/>
      <c r="U310" s="11"/>
      <c r="V310" s="11"/>
      <c r="W310" s="11"/>
      <c r="X310" s="11"/>
    </row>
    <row r="311" ht="13.5" customHeight="1">
      <c r="A311" s="11"/>
      <c r="B311" s="208" t="s">
        <v>1263</v>
      </c>
      <c r="C311" s="318">
        <v>10.0</v>
      </c>
      <c r="D311" s="211">
        <f>(C311*D303)/C303</f>
        <v>6</v>
      </c>
      <c r="E311" s="212" t="s">
        <v>9</v>
      </c>
      <c r="F311" s="106"/>
      <c r="G311" s="11"/>
      <c r="H311" s="11"/>
      <c r="I311" s="11"/>
      <c r="J311" s="11"/>
      <c r="K311" s="11"/>
      <c r="L311" s="11"/>
      <c r="M311" s="755"/>
      <c r="N311" s="11"/>
      <c r="O311" s="11"/>
      <c r="P311" s="11"/>
      <c r="Q311" s="11"/>
      <c r="R311" s="11"/>
      <c r="S311" s="11"/>
      <c r="T311" s="11"/>
      <c r="U311" s="11"/>
      <c r="V311" s="11"/>
      <c r="W311" s="11"/>
      <c r="X311" s="11"/>
    </row>
    <row r="312" ht="13.5" customHeight="1">
      <c r="A312" s="11"/>
      <c r="B312" s="220" t="s">
        <v>42</v>
      </c>
      <c r="C312" s="220" t="s">
        <v>725</v>
      </c>
      <c r="D312" s="11"/>
      <c r="E312" s="11"/>
      <c r="F312" s="11"/>
      <c r="G312" s="11"/>
      <c r="H312" s="11"/>
      <c r="I312" s="11"/>
      <c r="J312" s="11"/>
      <c r="K312" s="11"/>
      <c r="L312" s="11"/>
      <c r="M312" s="755"/>
      <c r="N312" s="11"/>
      <c r="O312" s="11"/>
      <c r="P312" s="11"/>
      <c r="Q312" s="11"/>
      <c r="R312" s="11"/>
      <c r="S312" s="11"/>
      <c r="T312" s="11"/>
      <c r="U312" s="11"/>
      <c r="V312" s="11"/>
      <c r="W312" s="11"/>
      <c r="X312" s="11"/>
    </row>
    <row r="313" ht="13.5" customHeight="1">
      <c r="A313" s="11"/>
      <c r="B313" s="381" t="s">
        <v>49</v>
      </c>
      <c r="C313" s="1115">
        <v>40742.0</v>
      </c>
      <c r="D313" s="11"/>
      <c r="E313" s="11"/>
      <c r="F313" s="11"/>
      <c r="G313" s="11"/>
      <c r="H313" s="11"/>
      <c r="I313" s="11"/>
      <c r="J313" s="11"/>
      <c r="K313" s="11"/>
      <c r="L313" s="11"/>
      <c r="M313" s="755"/>
      <c r="N313" s="11"/>
      <c r="O313" s="11"/>
      <c r="P313" s="11"/>
      <c r="Q313" s="11"/>
      <c r="R313" s="11"/>
      <c r="S313" s="11"/>
      <c r="T313" s="11"/>
      <c r="U313" s="11"/>
      <c r="V313" s="11"/>
      <c r="W313" s="11"/>
      <c r="X313" s="11"/>
    </row>
    <row r="314" ht="13.5" customHeight="1">
      <c r="A314" s="11"/>
      <c r="B314" s="381" t="s">
        <v>50</v>
      </c>
      <c r="C314" s="1115">
        <v>41155.0</v>
      </c>
      <c r="D314" s="11"/>
      <c r="E314" s="11"/>
      <c r="F314" s="11"/>
      <c r="G314" s="11"/>
      <c r="H314" s="11"/>
      <c r="I314" s="11"/>
      <c r="J314" s="11"/>
      <c r="K314" s="11"/>
      <c r="L314" s="11"/>
      <c r="M314" s="755"/>
      <c r="N314" s="11"/>
      <c r="O314" s="11"/>
      <c r="P314" s="11"/>
      <c r="Q314" s="11"/>
      <c r="R314" s="11"/>
      <c r="S314" s="11"/>
      <c r="T314" s="11"/>
      <c r="U314" s="11"/>
      <c r="V314" s="11"/>
      <c r="W314" s="11"/>
      <c r="X314" s="11"/>
    </row>
    <row r="315" ht="13.5" customHeight="1">
      <c r="A315" s="11"/>
      <c r="B315" s="11"/>
      <c r="C315" s="11"/>
      <c r="D315" s="11"/>
      <c r="E315" s="11"/>
      <c r="F315" s="11"/>
      <c r="G315" s="11"/>
      <c r="H315" s="11"/>
      <c r="I315" s="11"/>
      <c r="J315" s="11"/>
      <c r="K315" s="11"/>
      <c r="L315" s="11"/>
      <c r="M315" s="755"/>
      <c r="N315" s="11"/>
      <c r="O315" s="11"/>
      <c r="P315" s="11"/>
      <c r="Q315" s="11"/>
      <c r="R315" s="11"/>
      <c r="S315" s="11"/>
      <c r="T315" s="11"/>
      <c r="U315" s="11"/>
      <c r="V315" s="11"/>
      <c r="W315" s="11"/>
      <c r="X315" s="11"/>
    </row>
    <row r="316" ht="13.5" customHeight="1">
      <c r="A316" s="11"/>
      <c r="B316" s="656" t="s">
        <v>877</v>
      </c>
      <c r="C316" s="18"/>
      <c r="D316" s="18"/>
      <c r="E316" s="19"/>
      <c r="F316" s="11"/>
      <c r="G316" s="11"/>
      <c r="H316" s="11"/>
      <c r="I316" s="11"/>
      <c r="J316" s="11"/>
      <c r="K316" s="11"/>
      <c r="L316" s="11"/>
      <c r="M316" s="755"/>
      <c r="N316" s="11"/>
      <c r="O316" s="11"/>
      <c r="P316" s="11"/>
      <c r="Q316" s="11"/>
      <c r="R316" s="11"/>
      <c r="S316" s="11"/>
      <c r="T316" s="11"/>
      <c r="U316" s="11"/>
      <c r="V316" s="11"/>
      <c r="W316" s="11"/>
      <c r="X316" s="11"/>
    </row>
    <row r="317" ht="13.5" customHeight="1">
      <c r="A317" s="11"/>
      <c r="B317" s="262" t="s">
        <v>1</v>
      </c>
      <c r="C317" s="383">
        <v>100.0</v>
      </c>
      <c r="D317" s="383">
        <v>1.0</v>
      </c>
      <c r="E317" s="267" t="s">
        <v>5</v>
      </c>
      <c r="F317" s="284"/>
      <c r="G317" s="11"/>
      <c r="H317" s="11"/>
      <c r="I317" s="11"/>
      <c r="J317" s="11"/>
      <c r="K317" s="11"/>
      <c r="L317" s="11"/>
      <c r="M317" s="755"/>
      <c r="N317" s="11"/>
      <c r="O317" s="11"/>
      <c r="P317" s="11"/>
      <c r="Q317" s="11"/>
      <c r="R317" s="11"/>
      <c r="S317" s="11"/>
      <c r="T317" s="11"/>
      <c r="U317" s="11"/>
      <c r="V317" s="11"/>
      <c r="W317" s="11"/>
      <c r="X317" s="11"/>
    </row>
    <row r="318" ht="13.5" customHeight="1">
      <c r="A318" s="11"/>
      <c r="B318" s="163" t="s">
        <v>737</v>
      </c>
      <c r="C318" s="285">
        <v>13.5</v>
      </c>
      <c r="D318" s="285">
        <f t="shared" ref="D318:D332" si="24">(C318*D317)/C317</f>
        <v>0.135</v>
      </c>
      <c r="E318" s="169" t="s">
        <v>14</v>
      </c>
      <c r="F318" s="269"/>
      <c r="G318" s="11"/>
      <c r="H318" s="11"/>
      <c r="I318" s="11"/>
      <c r="J318" s="11"/>
      <c r="K318" s="11"/>
      <c r="L318" s="11"/>
      <c r="M318" s="755"/>
      <c r="N318" s="11"/>
      <c r="O318" s="11"/>
      <c r="P318" s="11"/>
      <c r="Q318" s="11"/>
      <c r="R318" s="11"/>
      <c r="S318" s="11"/>
      <c r="T318" s="11"/>
      <c r="U318" s="11"/>
      <c r="V318" s="11"/>
      <c r="W318" s="11"/>
      <c r="X318" s="11"/>
    </row>
    <row r="319" ht="13.5" customHeight="1">
      <c r="A319" s="11"/>
      <c r="B319" s="177" t="s">
        <v>1268</v>
      </c>
      <c r="C319" s="198">
        <v>3.0</v>
      </c>
      <c r="D319" s="198">
        <f t="shared" si="24"/>
        <v>0.03</v>
      </c>
      <c r="E319" s="204" t="s">
        <v>14</v>
      </c>
      <c r="F319" s="47"/>
      <c r="G319" s="11"/>
      <c r="H319" s="11"/>
      <c r="I319" s="11"/>
      <c r="J319" s="11"/>
      <c r="K319" s="11"/>
      <c r="L319" s="11"/>
      <c r="M319" s="755"/>
      <c r="N319" s="11"/>
      <c r="O319" s="11"/>
      <c r="P319" s="11"/>
      <c r="Q319" s="11"/>
      <c r="R319" s="11"/>
      <c r="S319" s="11"/>
      <c r="T319" s="11"/>
      <c r="U319" s="11"/>
      <c r="V319" s="11"/>
      <c r="W319" s="11"/>
      <c r="X319" s="11"/>
    </row>
    <row r="320" ht="16.5" customHeight="1">
      <c r="A320" s="11"/>
      <c r="B320" s="177" t="s">
        <v>52</v>
      </c>
      <c r="C320" s="198">
        <v>150.0</v>
      </c>
      <c r="D320" s="198">
        <f t="shared" si="24"/>
        <v>1.5</v>
      </c>
      <c r="E320" s="204" t="s">
        <v>18</v>
      </c>
      <c r="F320" s="47"/>
      <c r="G320" s="11"/>
      <c r="H320" s="11"/>
      <c r="I320" s="11"/>
      <c r="J320" s="11"/>
      <c r="K320" s="11"/>
      <c r="L320" s="11"/>
      <c r="M320" s="755"/>
      <c r="N320" s="11"/>
      <c r="O320" s="11"/>
      <c r="P320" s="11"/>
      <c r="Q320" s="11"/>
      <c r="R320" s="11"/>
      <c r="S320" s="11"/>
      <c r="T320" s="11"/>
      <c r="U320" s="11"/>
      <c r="V320" s="11"/>
      <c r="W320" s="11"/>
      <c r="X320" s="11"/>
    </row>
    <row r="321" ht="15.0" customHeight="1">
      <c r="A321" s="11"/>
      <c r="B321" s="208" t="s">
        <v>31</v>
      </c>
      <c r="C321" s="211">
        <v>1250.0</v>
      </c>
      <c r="D321" s="211">
        <f t="shared" si="24"/>
        <v>12.5</v>
      </c>
      <c r="E321" s="212" t="s">
        <v>18</v>
      </c>
      <c r="F321" s="76"/>
      <c r="G321" s="11"/>
      <c r="H321" s="11"/>
      <c r="I321" s="11"/>
      <c r="J321" s="11"/>
      <c r="K321" s="11"/>
      <c r="L321" s="11"/>
      <c r="M321" s="755"/>
      <c r="N321" s="11"/>
      <c r="O321" s="11"/>
      <c r="P321" s="11"/>
      <c r="Q321" s="11"/>
      <c r="R321" s="11"/>
      <c r="S321" s="11"/>
      <c r="T321" s="11"/>
      <c r="U321" s="11"/>
      <c r="V321" s="11"/>
      <c r="W321" s="11"/>
      <c r="X321" s="11"/>
    </row>
    <row r="322" ht="18.0" customHeight="1">
      <c r="A322" s="11"/>
      <c r="B322" s="157" t="s">
        <v>91</v>
      </c>
      <c r="C322" s="390">
        <v>1.5</v>
      </c>
      <c r="D322" s="390">
        <f t="shared" si="24"/>
        <v>0.015</v>
      </c>
      <c r="E322" s="159" t="s">
        <v>5</v>
      </c>
      <c r="F322" s="44" t="s">
        <v>1273</v>
      </c>
      <c r="G322" s="11"/>
      <c r="H322" s="11"/>
      <c r="I322" s="11"/>
      <c r="J322" s="11"/>
      <c r="K322" s="11"/>
      <c r="L322" s="11"/>
      <c r="M322" s="755"/>
      <c r="N322" s="11"/>
      <c r="O322" s="11"/>
      <c r="P322" s="11"/>
      <c r="Q322" s="11"/>
      <c r="R322" s="11"/>
      <c r="S322" s="11"/>
      <c r="T322" s="11"/>
      <c r="U322" s="11"/>
      <c r="V322" s="11"/>
      <c r="W322" s="11"/>
      <c r="X322" s="11"/>
    </row>
    <row r="323" ht="15.0" customHeight="1">
      <c r="A323" s="11"/>
      <c r="B323" s="177" t="s">
        <v>97</v>
      </c>
      <c r="C323" s="198">
        <v>150.0</v>
      </c>
      <c r="D323" s="198">
        <f t="shared" si="24"/>
        <v>1.5</v>
      </c>
      <c r="E323" s="204" t="s">
        <v>18</v>
      </c>
      <c r="F323" s="47"/>
      <c r="G323" s="11"/>
      <c r="H323" s="11"/>
      <c r="I323" s="11"/>
      <c r="J323" s="11"/>
      <c r="K323" s="11"/>
      <c r="L323" s="11"/>
      <c r="M323" s="755"/>
      <c r="N323" s="11"/>
      <c r="O323" s="11"/>
      <c r="P323" s="11"/>
      <c r="Q323" s="11"/>
      <c r="R323" s="11"/>
      <c r="S323" s="11"/>
      <c r="T323" s="11"/>
      <c r="U323" s="11"/>
      <c r="V323" s="11"/>
      <c r="W323" s="11"/>
      <c r="X323" s="11"/>
    </row>
    <row r="324" ht="15.0" customHeight="1">
      <c r="A324" s="11"/>
      <c r="B324" s="177" t="s">
        <v>98</v>
      </c>
      <c r="C324" s="198">
        <v>150.0</v>
      </c>
      <c r="D324" s="198">
        <f t="shared" si="24"/>
        <v>1.5</v>
      </c>
      <c r="E324" s="204" t="s">
        <v>18</v>
      </c>
      <c r="F324" s="47"/>
      <c r="G324" s="11"/>
      <c r="H324" s="11"/>
      <c r="I324" s="11"/>
      <c r="J324" s="11"/>
      <c r="K324" s="11"/>
      <c r="L324" s="11"/>
      <c r="M324" s="755"/>
      <c r="N324" s="11"/>
      <c r="O324" s="11"/>
      <c r="P324" s="11"/>
      <c r="Q324" s="11"/>
      <c r="R324" s="11"/>
      <c r="S324" s="11"/>
      <c r="T324" s="11"/>
      <c r="U324" s="11"/>
      <c r="V324" s="11"/>
      <c r="W324" s="11"/>
      <c r="X324" s="11"/>
    </row>
    <row r="325" ht="15.0" customHeight="1">
      <c r="A325" s="11"/>
      <c r="B325" s="177" t="s">
        <v>1277</v>
      </c>
      <c r="C325" s="198">
        <v>500.0</v>
      </c>
      <c r="D325" s="198">
        <f t="shared" si="24"/>
        <v>5</v>
      </c>
      <c r="E325" s="204" t="s">
        <v>156</v>
      </c>
      <c r="F325" s="47"/>
      <c r="G325" s="11"/>
      <c r="H325" s="11"/>
      <c r="I325" s="11"/>
      <c r="J325" s="11"/>
      <c r="K325" s="11"/>
      <c r="L325" s="11"/>
      <c r="M325" s="755"/>
      <c r="N325" s="11"/>
      <c r="O325" s="11"/>
      <c r="P325" s="11"/>
      <c r="Q325" s="11"/>
      <c r="R325" s="11"/>
      <c r="S325" s="11"/>
      <c r="T325" s="11"/>
      <c r="U325" s="11"/>
      <c r="V325" s="11"/>
      <c r="W325" s="11"/>
      <c r="X325" s="11"/>
    </row>
    <row r="326" ht="15.0" customHeight="1">
      <c r="A326" s="11"/>
      <c r="B326" s="177" t="s">
        <v>1279</v>
      </c>
      <c r="C326" s="198">
        <v>250.0</v>
      </c>
      <c r="D326" s="198">
        <f t="shared" si="24"/>
        <v>2.5</v>
      </c>
      <c r="E326" s="204" t="s">
        <v>18</v>
      </c>
      <c r="F326" s="47"/>
      <c r="G326" s="11"/>
      <c r="H326" s="11"/>
      <c r="I326" s="11"/>
      <c r="J326" s="11"/>
      <c r="K326" s="11"/>
      <c r="L326" s="11"/>
      <c r="M326" s="755"/>
      <c r="N326" s="11"/>
      <c r="O326" s="11"/>
      <c r="P326" s="11"/>
      <c r="Q326" s="11"/>
      <c r="R326" s="11"/>
      <c r="S326" s="11"/>
      <c r="T326" s="11"/>
      <c r="U326" s="11"/>
      <c r="V326" s="11"/>
      <c r="W326" s="11"/>
      <c r="X326" s="11"/>
    </row>
    <row r="327" ht="15.0" customHeight="1">
      <c r="A327" s="11"/>
      <c r="B327" s="177" t="s">
        <v>103</v>
      </c>
      <c r="C327" s="198">
        <v>125.0</v>
      </c>
      <c r="D327" s="198">
        <f t="shared" si="24"/>
        <v>1.25</v>
      </c>
      <c r="E327" s="204" t="s">
        <v>18</v>
      </c>
      <c r="F327" s="47"/>
      <c r="G327" s="11"/>
      <c r="H327" s="11"/>
      <c r="I327" s="11"/>
      <c r="J327" s="11"/>
      <c r="K327" s="11"/>
      <c r="L327" s="11"/>
      <c r="M327" s="755"/>
      <c r="N327" s="11"/>
      <c r="O327" s="11"/>
      <c r="P327" s="11"/>
      <c r="Q327" s="11"/>
      <c r="R327" s="11"/>
      <c r="S327" s="11"/>
      <c r="T327" s="11"/>
      <c r="U327" s="11"/>
      <c r="V327" s="11"/>
      <c r="W327" s="11"/>
      <c r="X327" s="11"/>
    </row>
    <row r="328" ht="15.0" customHeight="1">
      <c r="A328" s="11"/>
      <c r="B328" s="177" t="s">
        <v>101</v>
      </c>
      <c r="C328" s="198">
        <v>2.0</v>
      </c>
      <c r="D328" s="198">
        <f t="shared" si="24"/>
        <v>0.02</v>
      </c>
      <c r="E328" s="204" t="s">
        <v>5</v>
      </c>
      <c r="F328" s="47"/>
      <c r="G328" s="11"/>
      <c r="H328" s="11"/>
      <c r="I328" s="11"/>
      <c r="J328" s="11"/>
      <c r="K328" s="11"/>
      <c r="L328" s="11"/>
      <c r="M328" s="755"/>
      <c r="N328" s="11"/>
      <c r="O328" s="11"/>
      <c r="P328" s="11"/>
      <c r="Q328" s="11"/>
      <c r="R328" s="11"/>
      <c r="S328" s="11"/>
      <c r="T328" s="11"/>
      <c r="U328" s="11"/>
      <c r="V328" s="11"/>
      <c r="W328" s="11"/>
      <c r="X328" s="11"/>
    </row>
    <row r="329" ht="15.0" customHeight="1">
      <c r="A329" s="11"/>
      <c r="B329" s="157" t="s">
        <v>1261</v>
      </c>
      <c r="C329" s="390">
        <v>400.0</v>
      </c>
      <c r="D329" s="390">
        <f t="shared" si="24"/>
        <v>4</v>
      </c>
      <c r="E329" s="159" t="s">
        <v>18</v>
      </c>
      <c r="F329" s="47"/>
      <c r="G329" s="11"/>
      <c r="H329" s="11"/>
      <c r="I329" s="11"/>
      <c r="J329" s="11"/>
      <c r="K329" s="11"/>
      <c r="L329" s="11"/>
      <c r="M329" s="755"/>
      <c r="N329" s="11"/>
      <c r="O329" s="11"/>
      <c r="P329" s="11"/>
      <c r="Q329" s="11"/>
      <c r="R329" s="11"/>
      <c r="S329" s="11"/>
      <c r="T329" s="11"/>
      <c r="U329" s="11"/>
      <c r="V329" s="11"/>
      <c r="W329" s="11"/>
      <c r="X329" s="11"/>
    </row>
    <row r="330" ht="15.0" customHeight="1">
      <c r="A330" s="11"/>
      <c r="B330" s="262" t="s">
        <v>1282</v>
      </c>
      <c r="C330" s="383">
        <v>10.0</v>
      </c>
      <c r="D330" s="198">
        <f t="shared" si="24"/>
        <v>0.1</v>
      </c>
      <c r="E330" s="267" t="s">
        <v>14</v>
      </c>
      <c r="F330" s="47"/>
      <c r="G330" s="11"/>
      <c r="H330" s="11"/>
      <c r="I330" s="11"/>
      <c r="J330" s="11"/>
      <c r="K330" s="11"/>
      <c r="L330" s="11"/>
      <c r="M330" s="755"/>
      <c r="N330" s="11"/>
      <c r="O330" s="11"/>
      <c r="P330" s="11"/>
      <c r="Q330" s="11"/>
      <c r="R330" s="11"/>
      <c r="S330" s="11"/>
      <c r="T330" s="11"/>
      <c r="U330" s="11"/>
      <c r="V330" s="11"/>
      <c r="W330" s="11"/>
      <c r="X330" s="11"/>
    </row>
    <row r="331" ht="15.0" customHeight="1">
      <c r="A331" s="11"/>
      <c r="B331" s="262" t="s">
        <v>1283</v>
      </c>
      <c r="C331" s="383">
        <v>1.0</v>
      </c>
      <c r="D331" s="383">
        <f t="shared" si="24"/>
        <v>0.01</v>
      </c>
      <c r="E331" s="267" t="s">
        <v>14</v>
      </c>
      <c r="F331" s="47"/>
      <c r="G331" s="11"/>
      <c r="H331" s="11"/>
      <c r="I331" s="11"/>
      <c r="J331" s="11"/>
      <c r="K331" s="11"/>
      <c r="L331" s="11"/>
      <c r="M331" s="755"/>
      <c r="N331" s="11"/>
      <c r="O331" s="11"/>
      <c r="P331" s="11"/>
      <c r="Q331" s="11"/>
      <c r="R331" s="11"/>
      <c r="S331" s="11"/>
      <c r="T331" s="11"/>
      <c r="U331" s="11"/>
      <c r="V331" s="11"/>
      <c r="W331" s="11"/>
      <c r="X331" s="11"/>
    </row>
    <row r="332" ht="15.0" customHeight="1">
      <c r="A332" s="11"/>
      <c r="B332" s="458" t="s">
        <v>114</v>
      </c>
      <c r="C332" s="363">
        <v>2.5</v>
      </c>
      <c r="D332" s="363">
        <f t="shared" si="24"/>
        <v>0.025</v>
      </c>
      <c r="E332" s="463" t="s">
        <v>5</v>
      </c>
      <c r="F332" s="784"/>
      <c r="G332" s="11"/>
      <c r="H332" s="11"/>
      <c r="I332" s="11"/>
      <c r="J332" s="11"/>
      <c r="K332" s="11"/>
      <c r="L332" s="11"/>
      <c r="M332" s="755"/>
      <c r="N332" s="11"/>
      <c r="O332" s="11"/>
      <c r="P332" s="11"/>
      <c r="Q332" s="11"/>
      <c r="R332" s="11"/>
      <c r="S332" s="11"/>
      <c r="T332" s="11"/>
      <c r="U332" s="11"/>
      <c r="V332" s="11"/>
      <c r="W332" s="11"/>
      <c r="X332" s="11"/>
    </row>
    <row r="333" ht="15.0" customHeight="1">
      <c r="A333" s="11"/>
      <c r="B333" s="220" t="s">
        <v>42</v>
      </c>
      <c r="C333" s="220" t="s">
        <v>725</v>
      </c>
      <c r="D333" s="11"/>
      <c r="E333" s="11"/>
      <c r="F333" s="11"/>
      <c r="G333" s="11"/>
      <c r="H333" s="11"/>
      <c r="I333" s="11"/>
      <c r="J333" s="11"/>
      <c r="K333" s="11"/>
      <c r="L333" s="11"/>
      <c r="M333" s="755"/>
      <c r="N333" s="11"/>
      <c r="O333" s="11"/>
      <c r="P333" s="11"/>
      <c r="Q333" s="11"/>
      <c r="R333" s="11"/>
      <c r="S333" s="11"/>
      <c r="T333" s="11"/>
      <c r="U333" s="11"/>
      <c r="V333" s="11"/>
      <c r="W333" s="11"/>
      <c r="X333" s="11"/>
    </row>
    <row r="334" ht="15.0" customHeight="1">
      <c r="A334" s="11"/>
      <c r="B334" s="381" t="s">
        <v>49</v>
      </c>
      <c r="C334" s="799">
        <v>40755.0</v>
      </c>
      <c r="D334" s="11"/>
      <c r="E334" s="11"/>
      <c r="F334" s="11"/>
      <c r="G334" s="11"/>
      <c r="H334" s="11"/>
      <c r="I334" s="11"/>
      <c r="J334" s="11"/>
      <c r="K334" s="11"/>
      <c r="L334" s="11"/>
      <c r="M334" s="755"/>
      <c r="N334" s="11"/>
      <c r="O334" s="11"/>
      <c r="P334" s="11"/>
      <c r="Q334" s="11"/>
      <c r="R334" s="11"/>
      <c r="S334" s="11"/>
      <c r="T334" s="11"/>
      <c r="U334" s="11"/>
      <c r="V334" s="11"/>
      <c r="W334" s="11"/>
      <c r="X334" s="11"/>
    </row>
    <row r="335" ht="15.0" customHeight="1">
      <c r="A335" s="11"/>
      <c r="B335" s="381" t="s">
        <v>50</v>
      </c>
      <c r="C335" s="799">
        <v>41760.0</v>
      </c>
      <c r="D335" s="11"/>
      <c r="E335" s="11"/>
      <c r="F335" s="11"/>
      <c r="G335" s="11"/>
      <c r="H335" s="11"/>
      <c r="I335" s="11"/>
      <c r="J335" s="11"/>
      <c r="K335" s="11"/>
      <c r="L335" s="11"/>
      <c r="M335" s="755"/>
      <c r="N335" s="11"/>
      <c r="O335" s="11"/>
      <c r="P335" s="11"/>
      <c r="Q335" s="11"/>
      <c r="R335" s="11"/>
      <c r="S335" s="11"/>
      <c r="T335" s="11"/>
      <c r="U335" s="11"/>
      <c r="V335" s="11"/>
      <c r="W335" s="11"/>
      <c r="X335" s="11"/>
    </row>
    <row r="336" ht="13.5" customHeight="1">
      <c r="A336" s="11"/>
      <c r="B336" s="11"/>
      <c r="C336" s="11"/>
      <c r="D336" s="11"/>
      <c r="E336" s="11"/>
      <c r="F336" s="284"/>
      <c r="G336" s="11"/>
      <c r="H336" s="11"/>
      <c r="I336" s="11"/>
      <c r="J336" s="11"/>
      <c r="K336" s="11"/>
      <c r="L336" s="11"/>
      <c r="M336" s="755"/>
      <c r="N336" s="11"/>
      <c r="O336" s="11"/>
      <c r="P336" s="11"/>
      <c r="Q336" s="11"/>
      <c r="R336" s="11"/>
      <c r="S336" s="11"/>
      <c r="T336" s="11"/>
      <c r="U336" s="11"/>
      <c r="V336" s="11"/>
      <c r="W336" s="11"/>
      <c r="X336" s="11"/>
    </row>
    <row r="337" ht="13.5" customHeight="1">
      <c r="A337" s="11"/>
      <c r="B337" s="1147" t="s">
        <v>899</v>
      </c>
      <c r="C337" s="18"/>
      <c r="D337" s="18"/>
      <c r="E337" s="19"/>
      <c r="F337" s="284"/>
      <c r="G337" s="11"/>
      <c r="H337" s="11"/>
      <c r="I337" s="11"/>
      <c r="J337" s="11"/>
      <c r="K337" s="11"/>
      <c r="L337" s="11"/>
      <c r="M337" s="755"/>
      <c r="N337" s="11"/>
      <c r="O337" s="11"/>
      <c r="P337" s="11"/>
      <c r="Q337" s="11"/>
      <c r="R337" s="11"/>
      <c r="S337" s="11"/>
      <c r="T337" s="11"/>
      <c r="U337" s="11"/>
      <c r="V337" s="11"/>
      <c r="W337" s="11"/>
      <c r="X337" s="11"/>
    </row>
    <row r="338" ht="13.5" customHeight="1">
      <c r="A338" s="11"/>
      <c r="B338" s="1011" t="s">
        <v>1</v>
      </c>
      <c r="C338" s="1013">
        <v>100.0</v>
      </c>
      <c r="D338" s="1013">
        <v>10.0</v>
      </c>
      <c r="E338" s="1015" t="s">
        <v>5</v>
      </c>
      <c r="F338" s="1018"/>
      <c r="G338" s="11"/>
      <c r="H338" s="11"/>
      <c r="I338" s="11"/>
      <c r="J338" s="11"/>
      <c r="K338" s="11"/>
      <c r="L338" s="11"/>
      <c r="M338" s="755"/>
      <c r="N338" s="11"/>
      <c r="O338" s="11"/>
      <c r="P338" s="11"/>
      <c r="Q338" s="11"/>
      <c r="R338" s="11"/>
      <c r="S338" s="11"/>
      <c r="T338" s="11"/>
      <c r="U338" s="11"/>
      <c r="V338" s="11"/>
      <c r="W338" s="11"/>
      <c r="X338" s="11"/>
    </row>
    <row r="339" ht="13.5" customHeight="1">
      <c r="A339" s="11"/>
      <c r="B339" s="163" t="s">
        <v>1284</v>
      </c>
      <c r="C339" s="316">
        <v>16.0</v>
      </c>
      <c r="D339" s="285">
        <f t="shared" ref="D339:D356" si="25">(C339*D338)/C338</f>
        <v>1.6</v>
      </c>
      <c r="E339" s="169" t="s">
        <v>14</v>
      </c>
      <c r="F339" s="264" t="s">
        <v>1285</v>
      </c>
      <c r="G339" s="11"/>
      <c r="H339" s="11"/>
      <c r="I339" s="11"/>
      <c r="J339" s="11"/>
      <c r="K339" s="11"/>
      <c r="L339" s="11"/>
      <c r="M339" s="755"/>
      <c r="N339" s="11"/>
      <c r="O339" s="11"/>
      <c r="P339" s="11"/>
      <c r="Q339" s="11"/>
      <c r="R339" s="11"/>
      <c r="S339" s="11"/>
      <c r="T339" s="11"/>
      <c r="U339" s="11"/>
      <c r="V339" s="11"/>
      <c r="W339" s="11"/>
      <c r="X339" s="11"/>
    </row>
    <row r="340" ht="13.5" customHeight="1">
      <c r="A340" s="11"/>
      <c r="B340" s="177" t="s">
        <v>52</v>
      </c>
      <c r="C340" s="321">
        <v>200.0</v>
      </c>
      <c r="D340" s="198">
        <f t="shared" si="25"/>
        <v>20</v>
      </c>
      <c r="E340" s="204" t="s">
        <v>18</v>
      </c>
      <c r="F340" s="66"/>
      <c r="G340" s="11"/>
      <c r="H340" s="11"/>
      <c r="I340" s="11"/>
      <c r="J340" s="11"/>
      <c r="K340" s="11"/>
      <c r="L340" s="11"/>
      <c r="M340" s="755"/>
      <c r="N340" s="11"/>
      <c r="O340" s="11"/>
      <c r="P340" s="11"/>
      <c r="Q340" s="11"/>
      <c r="R340" s="11"/>
      <c r="S340" s="11"/>
      <c r="T340" s="11"/>
      <c r="U340" s="11"/>
      <c r="V340" s="11"/>
      <c r="W340" s="11"/>
      <c r="X340" s="11"/>
    </row>
    <row r="341" ht="13.5" customHeight="1">
      <c r="A341" s="11"/>
      <c r="B341" s="177" t="s">
        <v>31</v>
      </c>
      <c r="C341" s="321">
        <v>1000.0</v>
      </c>
      <c r="D341" s="198">
        <f t="shared" si="25"/>
        <v>100</v>
      </c>
      <c r="E341" s="204" t="s">
        <v>18</v>
      </c>
      <c r="F341" s="66"/>
      <c r="G341" s="11"/>
      <c r="H341" s="11"/>
      <c r="I341" s="11"/>
      <c r="J341" s="11"/>
      <c r="K341" s="11"/>
      <c r="L341" s="11"/>
      <c r="M341" s="755"/>
      <c r="N341" s="11"/>
      <c r="O341" s="11"/>
      <c r="P341" s="11"/>
      <c r="Q341" s="11"/>
      <c r="R341" s="11"/>
      <c r="S341" s="11"/>
      <c r="T341" s="11"/>
      <c r="U341" s="11"/>
      <c r="V341" s="11"/>
      <c r="W341" s="11"/>
      <c r="X341" s="11"/>
    </row>
    <row r="342" ht="13.5" customHeight="1">
      <c r="A342" s="11"/>
      <c r="B342" s="208" t="s">
        <v>59</v>
      </c>
      <c r="C342" s="318">
        <v>100.0</v>
      </c>
      <c r="D342" s="211">
        <f t="shared" si="25"/>
        <v>10</v>
      </c>
      <c r="E342" s="212" t="s">
        <v>5</v>
      </c>
      <c r="F342" s="106"/>
      <c r="G342" s="11"/>
      <c r="H342" s="11"/>
      <c r="I342" s="11"/>
      <c r="J342" s="11"/>
      <c r="K342" s="11"/>
      <c r="L342" s="11"/>
      <c r="M342" s="755"/>
      <c r="N342" s="11"/>
      <c r="O342" s="11"/>
      <c r="P342" s="11"/>
      <c r="Q342" s="11"/>
      <c r="R342" s="11"/>
      <c r="S342" s="11"/>
      <c r="T342" s="11"/>
      <c r="U342" s="11"/>
      <c r="V342" s="11"/>
      <c r="W342" s="11"/>
      <c r="X342" s="11"/>
    </row>
    <row r="343" ht="15.75" customHeight="1">
      <c r="A343" s="11"/>
      <c r="B343" s="251" t="s">
        <v>850</v>
      </c>
      <c r="C343" s="1047">
        <v>1.5</v>
      </c>
      <c r="D343" s="1005">
        <f t="shared" si="25"/>
        <v>0.15</v>
      </c>
      <c r="E343" s="255" t="s">
        <v>14</v>
      </c>
      <c r="F343" s="140"/>
      <c r="G343" s="11"/>
      <c r="H343" s="11"/>
      <c r="I343" s="11"/>
      <c r="J343" s="11"/>
      <c r="K343" s="11"/>
      <c r="L343" s="11"/>
      <c r="M343" s="755"/>
      <c r="N343" s="11"/>
      <c r="O343" s="11"/>
      <c r="P343" s="11"/>
      <c r="Q343" s="11"/>
      <c r="R343" s="11"/>
      <c r="S343" s="11"/>
      <c r="T343" s="11"/>
      <c r="U343" s="11"/>
      <c r="V343" s="11"/>
      <c r="W343" s="11"/>
      <c r="X343" s="11"/>
    </row>
    <row r="344" ht="13.5" customHeight="1">
      <c r="A344" s="11"/>
      <c r="B344" s="163" t="s">
        <v>91</v>
      </c>
      <c r="C344" s="316">
        <v>1.0</v>
      </c>
      <c r="D344" s="285">
        <f t="shared" si="25"/>
        <v>0.1</v>
      </c>
      <c r="E344" s="169" t="s">
        <v>5</v>
      </c>
      <c r="F344" s="44" t="s">
        <v>1166</v>
      </c>
      <c r="G344" s="11"/>
      <c r="H344" s="11"/>
      <c r="I344" s="11"/>
      <c r="J344" s="11"/>
      <c r="K344" s="11"/>
      <c r="L344" s="11"/>
      <c r="M344" s="755"/>
      <c r="N344" s="11"/>
      <c r="O344" s="11"/>
      <c r="P344" s="11"/>
      <c r="Q344" s="11"/>
      <c r="R344" s="11"/>
      <c r="S344" s="11"/>
      <c r="T344" s="11"/>
      <c r="U344" s="11"/>
      <c r="V344" s="11"/>
      <c r="W344" s="11"/>
      <c r="X344" s="11"/>
    </row>
    <row r="345" ht="16.5" customHeight="1">
      <c r="A345" s="11"/>
      <c r="B345" s="177" t="s">
        <v>97</v>
      </c>
      <c r="C345" s="321">
        <v>125.0</v>
      </c>
      <c r="D345" s="198">
        <f t="shared" si="25"/>
        <v>12.5</v>
      </c>
      <c r="E345" s="204" t="s">
        <v>18</v>
      </c>
      <c r="F345" s="47"/>
      <c r="G345" s="11"/>
      <c r="H345" s="11"/>
      <c r="I345" s="11"/>
      <c r="J345" s="11"/>
      <c r="K345" s="11"/>
      <c r="L345" s="11"/>
      <c r="M345" s="755"/>
      <c r="N345" s="11"/>
      <c r="O345" s="11"/>
      <c r="P345" s="11"/>
      <c r="Q345" s="11"/>
      <c r="R345" s="11"/>
      <c r="S345" s="11"/>
      <c r="T345" s="11"/>
      <c r="U345" s="11"/>
      <c r="V345" s="11"/>
      <c r="W345" s="11"/>
      <c r="X345" s="11"/>
    </row>
    <row r="346" ht="15.0" customHeight="1">
      <c r="A346" s="11"/>
      <c r="B346" s="177" t="s">
        <v>98</v>
      </c>
      <c r="C346" s="321">
        <v>100.0</v>
      </c>
      <c r="D346" s="198">
        <f t="shared" si="25"/>
        <v>10</v>
      </c>
      <c r="E346" s="204" t="s">
        <v>18</v>
      </c>
      <c r="F346" s="47"/>
      <c r="G346" s="11"/>
      <c r="H346" s="11"/>
      <c r="I346" s="11"/>
      <c r="J346" s="11"/>
      <c r="K346" s="11"/>
      <c r="L346" s="11"/>
      <c r="M346" s="755"/>
      <c r="N346" s="11"/>
      <c r="O346" s="11"/>
      <c r="P346" s="11"/>
      <c r="Q346" s="11"/>
      <c r="R346" s="11"/>
      <c r="S346" s="11"/>
      <c r="T346" s="11"/>
      <c r="U346" s="11"/>
      <c r="V346" s="11"/>
      <c r="W346" s="11"/>
      <c r="X346" s="11"/>
    </row>
    <row r="347" ht="13.5" customHeight="1">
      <c r="A347" s="11"/>
      <c r="B347" s="177" t="s">
        <v>1173</v>
      </c>
      <c r="C347" s="321">
        <v>50.0</v>
      </c>
      <c r="D347" s="198">
        <f t="shared" si="25"/>
        <v>5</v>
      </c>
      <c r="E347" s="204" t="s">
        <v>18</v>
      </c>
      <c r="F347" s="47"/>
      <c r="G347" s="11"/>
      <c r="H347" s="11"/>
      <c r="I347" s="11"/>
      <c r="J347" s="11"/>
      <c r="K347" s="11"/>
      <c r="L347" s="11"/>
      <c r="M347" s="755"/>
      <c r="N347" s="11"/>
      <c r="O347" s="11"/>
      <c r="P347" s="11"/>
      <c r="Q347" s="11"/>
      <c r="R347" s="11"/>
      <c r="S347" s="11"/>
      <c r="T347" s="11"/>
      <c r="U347" s="11"/>
      <c r="V347" s="11"/>
      <c r="W347" s="11"/>
      <c r="X347" s="11"/>
    </row>
    <row r="348" ht="13.5" customHeight="1">
      <c r="A348" s="11"/>
      <c r="B348" s="177" t="s">
        <v>346</v>
      </c>
      <c r="C348" s="321">
        <v>250.0</v>
      </c>
      <c r="D348" s="198">
        <f t="shared" si="25"/>
        <v>25</v>
      </c>
      <c r="E348" s="204" t="s">
        <v>18</v>
      </c>
      <c r="F348" s="47"/>
      <c r="G348" s="11"/>
      <c r="H348" s="11"/>
      <c r="I348" s="11"/>
      <c r="J348" s="11"/>
      <c r="K348" s="11"/>
      <c r="L348" s="11"/>
      <c r="M348" s="755"/>
      <c r="N348" s="11"/>
      <c r="O348" s="11"/>
      <c r="P348" s="11"/>
      <c r="Q348" s="11"/>
      <c r="R348" s="11"/>
      <c r="S348" s="11"/>
      <c r="T348" s="11"/>
      <c r="U348" s="11"/>
      <c r="V348" s="11"/>
      <c r="W348" s="11"/>
      <c r="X348" s="11"/>
    </row>
    <row r="349" ht="15.0" customHeight="1">
      <c r="A349" s="11"/>
      <c r="B349" s="177" t="s">
        <v>390</v>
      </c>
      <c r="C349" s="321">
        <v>100.0</v>
      </c>
      <c r="D349" s="198">
        <f t="shared" si="25"/>
        <v>10</v>
      </c>
      <c r="E349" s="204" t="s">
        <v>18</v>
      </c>
      <c r="F349" s="47"/>
      <c r="G349" s="11"/>
      <c r="H349" s="11"/>
      <c r="I349" s="11"/>
      <c r="J349" s="11"/>
      <c r="K349" s="11"/>
      <c r="L349" s="11"/>
      <c r="M349" s="755"/>
      <c r="N349" s="11"/>
      <c r="O349" s="11"/>
      <c r="P349" s="11"/>
      <c r="Q349" s="11"/>
      <c r="R349" s="11"/>
      <c r="S349" s="11"/>
      <c r="T349" s="11"/>
      <c r="U349" s="11"/>
      <c r="V349" s="11"/>
      <c r="W349" s="11"/>
      <c r="X349" s="11"/>
    </row>
    <row r="350" ht="13.5" customHeight="1">
      <c r="A350" s="11"/>
      <c r="B350" s="177" t="s">
        <v>101</v>
      </c>
      <c r="C350" s="321">
        <v>1.0</v>
      </c>
      <c r="D350" s="198">
        <f t="shared" si="25"/>
        <v>0.1</v>
      </c>
      <c r="E350" s="204" t="s">
        <v>5</v>
      </c>
      <c r="F350" s="47"/>
      <c r="G350" s="11"/>
      <c r="H350" s="11"/>
      <c r="I350" s="11"/>
      <c r="J350" s="11"/>
      <c r="K350" s="11"/>
      <c r="L350" s="11"/>
      <c r="M350" s="755"/>
      <c r="N350" s="11"/>
      <c r="O350" s="11"/>
      <c r="P350" s="11"/>
      <c r="Q350" s="11"/>
      <c r="R350" s="11"/>
      <c r="S350" s="11"/>
      <c r="T350" s="11"/>
      <c r="U350" s="11"/>
      <c r="V350" s="11"/>
      <c r="W350" s="11"/>
      <c r="X350" s="11"/>
    </row>
    <row r="351" ht="13.5" customHeight="1">
      <c r="A351" s="11"/>
      <c r="B351" s="177" t="s">
        <v>103</v>
      </c>
      <c r="C351" s="321">
        <v>100.0</v>
      </c>
      <c r="D351" s="198">
        <f t="shared" si="25"/>
        <v>10</v>
      </c>
      <c r="E351" s="204" t="s">
        <v>18</v>
      </c>
      <c r="F351" s="47"/>
      <c r="G351" s="11"/>
      <c r="H351" s="11"/>
      <c r="I351" s="11"/>
      <c r="J351" s="11"/>
      <c r="K351" s="11"/>
      <c r="L351" s="11"/>
      <c r="M351" s="755"/>
      <c r="N351" s="11"/>
      <c r="O351" s="11"/>
      <c r="P351" s="11"/>
      <c r="Q351" s="11"/>
      <c r="R351" s="11"/>
      <c r="S351" s="11"/>
      <c r="T351" s="11"/>
      <c r="U351" s="11"/>
      <c r="V351" s="11"/>
      <c r="W351" s="11"/>
      <c r="X351" s="11"/>
    </row>
    <row r="352" ht="13.5" customHeight="1">
      <c r="A352" s="11"/>
      <c r="B352" s="177" t="s">
        <v>92</v>
      </c>
      <c r="C352" s="321">
        <v>200.0</v>
      </c>
      <c r="D352" s="198">
        <f t="shared" si="25"/>
        <v>20</v>
      </c>
      <c r="E352" s="204" t="s">
        <v>82</v>
      </c>
      <c r="F352" s="47"/>
      <c r="G352" s="11"/>
      <c r="H352" s="11"/>
      <c r="I352" s="11"/>
      <c r="J352" s="11"/>
      <c r="K352" s="11"/>
      <c r="L352" s="11"/>
      <c r="M352" s="755"/>
      <c r="N352" s="11"/>
      <c r="O352" s="11"/>
      <c r="P352" s="11"/>
      <c r="Q352" s="11"/>
      <c r="R352" s="11"/>
      <c r="S352" s="11"/>
      <c r="T352" s="11"/>
      <c r="U352" s="11"/>
      <c r="V352" s="11"/>
      <c r="W352" s="11"/>
      <c r="X352" s="11"/>
    </row>
    <row r="353" ht="13.5" customHeight="1">
      <c r="A353" s="11"/>
      <c r="B353" s="177" t="s">
        <v>292</v>
      </c>
      <c r="C353" s="321">
        <v>1.5</v>
      </c>
      <c r="D353" s="198">
        <f t="shared" si="25"/>
        <v>0.15</v>
      </c>
      <c r="E353" s="204" t="s">
        <v>14</v>
      </c>
      <c r="F353" s="47"/>
      <c r="G353" s="11"/>
      <c r="H353" s="11"/>
      <c r="I353" s="11"/>
      <c r="J353" s="11"/>
      <c r="K353" s="11"/>
      <c r="L353" s="11"/>
      <c r="M353" s="755"/>
      <c r="N353" s="11"/>
      <c r="O353" s="11"/>
      <c r="P353" s="11"/>
      <c r="Q353" s="11"/>
      <c r="R353" s="11"/>
      <c r="S353" s="11"/>
      <c r="T353" s="11"/>
      <c r="U353" s="11"/>
      <c r="V353" s="11"/>
      <c r="W353" s="11"/>
      <c r="X353" s="11"/>
    </row>
    <row r="354" ht="13.5" customHeight="1">
      <c r="A354" s="11"/>
      <c r="B354" s="208" t="s">
        <v>1288</v>
      </c>
      <c r="C354" s="318">
        <v>1.0</v>
      </c>
      <c r="D354" s="211">
        <f t="shared" si="25"/>
        <v>0.1</v>
      </c>
      <c r="E354" s="212" t="s">
        <v>14</v>
      </c>
      <c r="F354" s="76"/>
      <c r="G354" s="11"/>
      <c r="H354" s="11"/>
      <c r="I354" s="11"/>
      <c r="J354" s="11"/>
      <c r="K354" s="11"/>
      <c r="L354" s="11"/>
      <c r="M354" s="755"/>
      <c r="N354" s="11"/>
      <c r="O354" s="11"/>
      <c r="P354" s="11"/>
      <c r="Q354" s="11"/>
      <c r="R354" s="11"/>
      <c r="S354" s="11"/>
      <c r="T354" s="11"/>
      <c r="U354" s="11"/>
      <c r="V354" s="11"/>
      <c r="W354" s="11"/>
      <c r="X354" s="11"/>
    </row>
    <row r="355" ht="13.5" customHeight="1">
      <c r="A355" s="11"/>
      <c r="B355" s="325" t="s">
        <v>1182</v>
      </c>
      <c r="C355" s="328">
        <v>400.0</v>
      </c>
      <c r="D355" s="337">
        <f t="shared" si="25"/>
        <v>40</v>
      </c>
      <c r="E355" s="338" t="s">
        <v>82</v>
      </c>
      <c r="F355" s="44" t="s">
        <v>1183</v>
      </c>
      <c r="G355" s="11"/>
      <c r="H355" s="11"/>
      <c r="I355" s="11"/>
      <c r="J355" s="11"/>
      <c r="K355" s="11"/>
      <c r="L355" s="11"/>
      <c r="M355" s="755"/>
      <c r="N355" s="11"/>
      <c r="O355" s="11"/>
      <c r="P355" s="11"/>
      <c r="Q355" s="11"/>
      <c r="R355" s="11"/>
      <c r="S355" s="11"/>
      <c r="T355" s="11"/>
      <c r="U355" s="11"/>
      <c r="V355" s="11"/>
      <c r="W355" s="11"/>
      <c r="X355" s="11"/>
    </row>
    <row r="356" ht="13.5" customHeight="1">
      <c r="A356" s="11"/>
      <c r="B356" s="325" t="s">
        <v>114</v>
      </c>
      <c r="C356" s="328">
        <v>2.4</v>
      </c>
      <c r="D356" s="337">
        <f t="shared" si="25"/>
        <v>0.24</v>
      </c>
      <c r="E356" s="338" t="s">
        <v>5</v>
      </c>
      <c r="F356" s="76"/>
      <c r="G356" s="11"/>
      <c r="H356" s="11"/>
      <c r="I356" s="11"/>
      <c r="J356" s="11"/>
      <c r="K356" s="11"/>
      <c r="L356" s="11"/>
      <c r="M356" s="755"/>
      <c r="N356" s="11"/>
      <c r="O356" s="11"/>
      <c r="P356" s="11"/>
      <c r="Q356" s="11"/>
      <c r="R356" s="11"/>
      <c r="S356" s="11"/>
      <c r="T356" s="11"/>
      <c r="U356" s="11"/>
      <c r="V356" s="11"/>
      <c r="W356" s="11"/>
      <c r="X356" s="11"/>
    </row>
    <row r="357" ht="15.0" customHeight="1">
      <c r="A357" s="11"/>
      <c r="B357" s="365" t="s">
        <v>1185</v>
      </c>
      <c r="C357" s="328">
        <v>1000.0</v>
      </c>
      <c r="D357" s="337">
        <f>(C357*D353)/C353</f>
        <v>100</v>
      </c>
      <c r="E357" s="338" t="s">
        <v>82</v>
      </c>
      <c r="F357" s="784" t="s">
        <v>1187</v>
      </c>
      <c r="G357" s="11"/>
      <c r="H357" s="11"/>
      <c r="I357" s="11"/>
      <c r="J357" s="11"/>
      <c r="K357" s="11"/>
      <c r="L357" s="11"/>
      <c r="M357" s="755"/>
      <c r="N357" s="11"/>
      <c r="O357" s="11"/>
      <c r="P357" s="11"/>
      <c r="Q357" s="11"/>
      <c r="R357" s="11"/>
      <c r="S357" s="11"/>
      <c r="T357" s="11"/>
      <c r="U357" s="11"/>
      <c r="V357" s="11"/>
      <c r="W357" s="11"/>
      <c r="X357" s="11"/>
    </row>
    <row r="358" ht="13.5" customHeight="1">
      <c r="A358" s="11"/>
      <c r="B358" s="220" t="s">
        <v>42</v>
      </c>
      <c r="C358" s="220" t="s">
        <v>725</v>
      </c>
      <c r="D358" s="11"/>
      <c r="E358" s="11"/>
      <c r="F358" s="11"/>
      <c r="G358" s="11"/>
      <c r="H358" s="11"/>
      <c r="I358" s="11"/>
      <c r="J358" s="11"/>
      <c r="K358" s="11"/>
      <c r="L358" s="11"/>
      <c r="M358" s="755"/>
      <c r="N358" s="11"/>
      <c r="O358" s="11"/>
      <c r="P358" s="11"/>
      <c r="Q358" s="11"/>
      <c r="R358" s="11"/>
      <c r="S358" s="11"/>
      <c r="T358" s="11"/>
      <c r="U358" s="11"/>
      <c r="V358" s="11"/>
      <c r="W358" s="11"/>
      <c r="X358" s="11"/>
    </row>
    <row r="359" ht="13.5" customHeight="1">
      <c r="A359" s="11"/>
      <c r="B359" s="865" t="s">
        <v>120</v>
      </c>
      <c r="C359" s="869">
        <v>40776.0</v>
      </c>
      <c r="D359" s="11"/>
      <c r="E359" s="11"/>
      <c r="F359" s="11"/>
      <c r="G359" s="11"/>
      <c r="H359" s="11"/>
      <c r="I359" s="11"/>
      <c r="J359" s="11"/>
      <c r="K359" s="11"/>
      <c r="L359" s="11"/>
      <c r="M359" s="755"/>
      <c r="N359" s="11"/>
      <c r="O359" s="11"/>
      <c r="P359" s="11"/>
      <c r="Q359" s="11"/>
      <c r="R359" s="11"/>
      <c r="S359" s="11"/>
      <c r="T359" s="11"/>
      <c r="U359" s="11"/>
      <c r="V359" s="11"/>
      <c r="W359" s="11"/>
      <c r="X359" s="11"/>
    </row>
    <row r="360" ht="13.5" customHeight="1">
      <c r="A360" s="11"/>
      <c r="B360" s="873" t="s">
        <v>50</v>
      </c>
      <c r="C360" s="1070">
        <v>41553.0</v>
      </c>
      <c r="D360" s="11"/>
      <c r="E360" s="11"/>
      <c r="F360" s="11"/>
      <c r="G360" s="11"/>
      <c r="H360" s="11"/>
      <c r="I360" s="11"/>
      <c r="J360" s="11"/>
      <c r="K360" s="11"/>
      <c r="L360" s="11"/>
      <c r="M360" s="755"/>
      <c r="N360" s="11"/>
      <c r="O360" s="11"/>
      <c r="P360" s="11"/>
      <c r="Q360" s="11"/>
      <c r="R360" s="11"/>
      <c r="S360" s="11"/>
      <c r="T360" s="11"/>
      <c r="U360" s="11"/>
      <c r="V360" s="11"/>
      <c r="W360" s="11"/>
      <c r="X360" s="11"/>
    </row>
    <row r="361" ht="13.5" customHeight="1">
      <c r="A361" s="11"/>
      <c r="B361" s="1"/>
      <c r="C361" s="1"/>
      <c r="D361" s="1"/>
      <c r="E361" s="1"/>
      <c r="F361" s="1"/>
      <c r="G361" s="11"/>
      <c r="H361" s="11"/>
      <c r="I361" s="11"/>
      <c r="J361" s="11"/>
      <c r="K361" s="11"/>
      <c r="L361" s="11"/>
      <c r="M361" s="755"/>
      <c r="N361" s="11"/>
      <c r="O361" s="11"/>
      <c r="P361" s="11"/>
      <c r="Q361" s="11"/>
      <c r="R361" s="11"/>
      <c r="S361" s="11"/>
      <c r="T361" s="11"/>
      <c r="U361" s="11"/>
      <c r="V361" s="11"/>
      <c r="W361" s="11"/>
      <c r="X361" s="11"/>
    </row>
    <row r="362" ht="13.5" customHeight="1">
      <c r="A362" s="11"/>
      <c r="B362" s="1086" t="s">
        <v>853</v>
      </c>
      <c r="C362" s="18"/>
      <c r="D362" s="18"/>
      <c r="E362" s="19"/>
      <c r="F362" s="1"/>
      <c r="G362" s="11"/>
      <c r="H362" s="11"/>
      <c r="I362" s="11"/>
      <c r="J362" s="1086" t="s">
        <v>1293</v>
      </c>
      <c r="K362" s="18"/>
      <c r="L362" s="18"/>
      <c r="M362" s="19"/>
      <c r="N362" s="11"/>
      <c r="O362" s="11"/>
      <c r="P362" s="11"/>
      <c r="Q362" s="11"/>
      <c r="R362" s="11"/>
      <c r="S362" s="11"/>
      <c r="T362" s="11"/>
      <c r="U362" s="11"/>
      <c r="V362" s="11"/>
      <c r="W362" s="11"/>
      <c r="X362" s="11"/>
    </row>
    <row r="363" ht="13.5" customHeight="1">
      <c r="A363" s="11"/>
      <c r="B363" s="1011" t="s">
        <v>1</v>
      </c>
      <c r="C363" s="26">
        <v>100.0</v>
      </c>
      <c r="D363" s="1173">
        <v>68.0</v>
      </c>
      <c r="E363" s="1015" t="s">
        <v>5</v>
      </c>
      <c r="F363" s="1"/>
      <c r="G363" s="11"/>
      <c r="H363" s="11"/>
      <c r="I363" s="11"/>
      <c r="J363" s="1011" t="s">
        <v>1</v>
      </c>
      <c r="K363" s="26">
        <v>50.0</v>
      </c>
      <c r="L363" s="314">
        <v>28.0</v>
      </c>
      <c r="M363" s="1015" t="s">
        <v>5</v>
      </c>
      <c r="N363" s="11"/>
      <c r="O363" s="11"/>
      <c r="P363" s="11"/>
      <c r="Q363" s="11"/>
      <c r="R363" s="11"/>
      <c r="S363" s="11"/>
      <c r="T363" s="11"/>
      <c r="U363" s="11"/>
      <c r="V363" s="11"/>
      <c r="W363" s="11"/>
      <c r="X363" s="11"/>
    </row>
    <row r="364" ht="13.5" customHeight="1">
      <c r="A364" s="11"/>
      <c r="B364" s="177" t="s">
        <v>792</v>
      </c>
      <c r="C364" s="321">
        <v>8.0</v>
      </c>
      <c r="D364" s="198">
        <f t="shared" ref="D364:D389" si="26">(C364*D363)/C363</f>
        <v>5.44</v>
      </c>
      <c r="E364" s="204" t="s">
        <v>14</v>
      </c>
      <c r="F364" s="44" t="s">
        <v>1225</v>
      </c>
      <c r="G364" s="11"/>
      <c r="H364" s="11"/>
      <c r="I364" s="11"/>
      <c r="J364" s="177" t="s">
        <v>792</v>
      </c>
      <c r="K364" s="321">
        <v>4.6</v>
      </c>
      <c r="L364" s="383">
        <f t="shared" ref="L364:L366" si="27">(K364*L363)/K363</f>
        <v>2.576</v>
      </c>
      <c r="M364" s="774" t="s">
        <v>14</v>
      </c>
      <c r="N364" s="11"/>
      <c r="O364" s="11"/>
      <c r="P364" s="11"/>
      <c r="Q364" s="11"/>
      <c r="R364" s="11"/>
      <c r="S364" s="11"/>
      <c r="T364" s="11"/>
      <c r="U364" s="11"/>
      <c r="V364" s="11"/>
      <c r="W364" s="11"/>
      <c r="X364" s="11"/>
    </row>
    <row r="365" ht="13.5" customHeight="1">
      <c r="A365" s="11"/>
      <c r="B365" s="177" t="s">
        <v>52</v>
      </c>
      <c r="C365" s="321">
        <v>150.0</v>
      </c>
      <c r="D365" s="198">
        <f t="shared" si="26"/>
        <v>102</v>
      </c>
      <c r="E365" s="204" t="s">
        <v>18</v>
      </c>
      <c r="F365" s="47"/>
      <c r="G365" s="11"/>
      <c r="H365" s="11"/>
      <c r="I365" s="11"/>
      <c r="J365" s="177" t="s">
        <v>173</v>
      </c>
      <c r="K365" s="321">
        <v>0.5</v>
      </c>
      <c r="L365" s="383">
        <f t="shared" si="27"/>
        <v>0.28</v>
      </c>
      <c r="M365" s="774" t="s">
        <v>366</v>
      </c>
      <c r="N365" s="11"/>
      <c r="O365" s="11"/>
      <c r="P365" s="11"/>
      <c r="Q365" s="11"/>
      <c r="R365" s="11"/>
      <c r="S365" s="11"/>
      <c r="T365" s="11"/>
      <c r="U365" s="11"/>
      <c r="V365" s="11"/>
      <c r="W365" s="11"/>
      <c r="X365" s="11"/>
    </row>
    <row r="366" ht="13.5" customHeight="1">
      <c r="A366" s="11"/>
      <c r="B366" s="177" t="s">
        <v>31</v>
      </c>
      <c r="C366" s="321">
        <v>1000.0</v>
      </c>
      <c r="D366" s="198">
        <f t="shared" si="26"/>
        <v>680</v>
      </c>
      <c r="E366" s="204" t="s">
        <v>18</v>
      </c>
      <c r="F366" s="47"/>
      <c r="G366" s="11"/>
      <c r="H366" s="11"/>
      <c r="I366" s="11"/>
      <c r="J366" s="177" t="s">
        <v>52</v>
      </c>
      <c r="K366" s="321">
        <v>1.4</v>
      </c>
      <c r="L366" s="383">
        <f t="shared" si="27"/>
        <v>0.784</v>
      </c>
      <c r="M366" s="774" t="s">
        <v>1296</v>
      </c>
      <c r="N366" s="11"/>
      <c r="O366" s="11"/>
      <c r="P366" s="11"/>
      <c r="Q366" s="11"/>
      <c r="R366" s="11"/>
      <c r="S366" s="11"/>
      <c r="T366" s="11"/>
      <c r="U366" s="11"/>
      <c r="V366" s="11"/>
      <c r="W366" s="11"/>
      <c r="X366" s="11"/>
    </row>
    <row r="367" ht="13.5" customHeight="1">
      <c r="A367" s="11"/>
      <c r="B367" s="262" t="s">
        <v>59</v>
      </c>
      <c r="C367" s="355">
        <v>50.0</v>
      </c>
      <c r="D367" s="383">
        <f t="shared" si="26"/>
        <v>34</v>
      </c>
      <c r="E367" s="267" t="s">
        <v>5</v>
      </c>
      <c r="F367" s="76"/>
      <c r="G367" s="11"/>
      <c r="H367" s="11"/>
      <c r="I367" s="11"/>
      <c r="J367" s="262" t="s">
        <v>103</v>
      </c>
      <c r="K367" s="355">
        <v>1.1</v>
      </c>
      <c r="L367" s="383">
        <f t="shared" ref="L367:L368" si="28">(K367*L365)/K365</f>
        <v>0.616</v>
      </c>
      <c r="M367" s="793" t="s">
        <v>1296</v>
      </c>
      <c r="N367" s="11"/>
      <c r="O367" s="11"/>
      <c r="P367" s="11"/>
      <c r="Q367" s="11"/>
      <c r="R367" s="11"/>
      <c r="S367" s="11"/>
      <c r="T367" s="11"/>
      <c r="U367" s="11"/>
      <c r="V367" s="11"/>
      <c r="W367" s="11"/>
      <c r="X367" s="11"/>
    </row>
    <row r="368" ht="13.5" customHeight="1">
      <c r="A368" s="11"/>
      <c r="B368" s="333" t="s">
        <v>83</v>
      </c>
      <c r="C368" s="316">
        <v>500.0</v>
      </c>
      <c r="D368" s="285">
        <f t="shared" si="26"/>
        <v>340</v>
      </c>
      <c r="E368" s="169" t="s">
        <v>18</v>
      </c>
      <c r="F368" s="524" t="s">
        <v>1298</v>
      </c>
      <c r="G368" s="11"/>
      <c r="H368" s="11"/>
      <c r="I368" s="11"/>
      <c r="J368" s="262" t="s">
        <v>63</v>
      </c>
      <c r="K368" s="355">
        <v>100.0</v>
      </c>
      <c r="L368" s="383">
        <f t="shared" si="28"/>
        <v>56</v>
      </c>
      <c r="M368" s="793" t="s">
        <v>18</v>
      </c>
      <c r="N368" s="11"/>
      <c r="O368" s="11"/>
      <c r="P368" s="11"/>
      <c r="Q368" s="11"/>
      <c r="R368" s="11"/>
      <c r="S368" s="11"/>
      <c r="T368" s="11"/>
      <c r="U368" s="11"/>
      <c r="V368" s="11"/>
      <c r="W368" s="11"/>
      <c r="X368" s="11"/>
    </row>
    <row r="369" ht="13.5" customHeight="1">
      <c r="A369" s="11"/>
      <c r="B369" s="208" t="s">
        <v>292</v>
      </c>
      <c r="C369" s="318">
        <v>2.5</v>
      </c>
      <c r="D369" s="211">
        <f t="shared" si="26"/>
        <v>1.7</v>
      </c>
      <c r="E369" s="212" t="s">
        <v>14</v>
      </c>
      <c r="F369" s="76"/>
      <c r="G369" s="11"/>
      <c r="H369" s="11"/>
      <c r="I369" s="11"/>
      <c r="J369" s="262" t="s">
        <v>1300</v>
      </c>
      <c r="K369" s="355">
        <v>260.0</v>
      </c>
      <c r="L369" s="383">
        <f t="shared" ref="L369:L370" si="29">(K369*L365)/K365</f>
        <v>145.6</v>
      </c>
      <c r="M369" s="793" t="s">
        <v>18</v>
      </c>
      <c r="N369" s="11"/>
      <c r="O369" s="11"/>
      <c r="P369" s="11"/>
      <c r="Q369" s="11"/>
      <c r="R369" s="11"/>
      <c r="S369" s="11"/>
      <c r="T369" s="11"/>
      <c r="U369" s="11"/>
      <c r="V369" s="11"/>
      <c r="W369" s="11"/>
      <c r="X369" s="11"/>
    </row>
    <row r="370" ht="15.0" customHeight="1">
      <c r="A370" s="11"/>
      <c r="B370" s="157" t="s">
        <v>1250</v>
      </c>
      <c r="C370" s="839">
        <v>2.5</v>
      </c>
      <c r="D370" s="498">
        <f t="shared" si="26"/>
        <v>1.7</v>
      </c>
      <c r="E370" s="159" t="s">
        <v>14</v>
      </c>
      <c r="F370" s="339" t="s">
        <v>1247</v>
      </c>
      <c r="G370" s="11"/>
      <c r="H370" s="11"/>
      <c r="I370" s="11"/>
      <c r="J370" s="208" t="s">
        <v>1304</v>
      </c>
      <c r="K370" s="318">
        <v>700.0</v>
      </c>
      <c r="L370" s="211">
        <f t="shared" si="29"/>
        <v>392</v>
      </c>
      <c r="M370" s="1052" t="s">
        <v>18</v>
      </c>
      <c r="N370" s="11"/>
      <c r="O370" s="11"/>
      <c r="P370" s="11"/>
      <c r="Q370" s="11"/>
      <c r="R370" s="11"/>
      <c r="S370" s="11"/>
      <c r="T370" s="11"/>
      <c r="U370" s="11"/>
      <c r="V370" s="11"/>
      <c r="W370" s="11"/>
      <c r="X370" s="11"/>
    </row>
    <row r="371" ht="13.5" customHeight="1">
      <c r="A371" s="11"/>
      <c r="B371" s="177" t="s">
        <v>1252</v>
      </c>
      <c r="C371" s="321">
        <v>10.0</v>
      </c>
      <c r="D371" s="581">
        <f t="shared" si="26"/>
        <v>6.8</v>
      </c>
      <c r="E371" s="204" t="s">
        <v>14</v>
      </c>
      <c r="F371" s="47"/>
      <c r="G371" s="11"/>
      <c r="H371" s="11"/>
      <c r="I371" s="11"/>
      <c r="J371" s="333" t="s">
        <v>1250</v>
      </c>
      <c r="K371" s="316">
        <v>1.8</v>
      </c>
      <c r="L371" s="314">
        <f t="shared" ref="L371:L383" si="30">(K371*L370)/K370</f>
        <v>1.008</v>
      </c>
      <c r="M371" s="733" t="s">
        <v>366</v>
      </c>
      <c r="N371" s="11"/>
      <c r="O371" s="11"/>
      <c r="P371" s="11"/>
      <c r="Q371" s="11"/>
      <c r="R371" s="11"/>
      <c r="S371" s="11"/>
      <c r="T371" s="11"/>
      <c r="U371" s="11"/>
      <c r="V371" s="11"/>
      <c r="W371" s="11"/>
      <c r="X371" s="11"/>
    </row>
    <row r="372" ht="13.5" customHeight="1">
      <c r="A372" s="11"/>
      <c r="B372" s="177" t="s">
        <v>1253</v>
      </c>
      <c r="C372" s="321">
        <v>2.5</v>
      </c>
      <c r="D372" s="581">
        <f t="shared" si="26"/>
        <v>1.7</v>
      </c>
      <c r="E372" s="204" t="s">
        <v>14</v>
      </c>
      <c r="F372" s="47"/>
      <c r="G372" s="11"/>
      <c r="H372" s="11"/>
      <c r="I372" s="11"/>
      <c r="J372" s="177" t="s">
        <v>1252</v>
      </c>
      <c r="K372" s="321">
        <v>2.9</v>
      </c>
      <c r="L372" s="383">
        <f t="shared" si="30"/>
        <v>1.624</v>
      </c>
      <c r="M372" s="774" t="s">
        <v>14</v>
      </c>
      <c r="N372" s="11"/>
      <c r="O372" s="11"/>
      <c r="P372" s="11"/>
      <c r="Q372" s="11"/>
      <c r="R372" s="11"/>
      <c r="S372" s="11"/>
      <c r="T372" s="11"/>
      <c r="U372" s="11"/>
      <c r="V372" s="11"/>
      <c r="W372" s="11"/>
      <c r="X372" s="11"/>
    </row>
    <row r="373" ht="13.5" customHeight="1">
      <c r="A373" s="11"/>
      <c r="B373" s="262" t="s">
        <v>1165</v>
      </c>
      <c r="C373" s="355">
        <v>12.5</v>
      </c>
      <c r="D373" s="1189">
        <f t="shared" si="26"/>
        <v>8.5</v>
      </c>
      <c r="E373" s="267" t="s">
        <v>14</v>
      </c>
      <c r="F373" s="76"/>
      <c r="G373" s="11"/>
      <c r="H373" s="11"/>
      <c r="I373" s="11"/>
      <c r="J373" s="177" t="s">
        <v>1319</v>
      </c>
      <c r="K373" s="321">
        <v>2.1</v>
      </c>
      <c r="L373" s="383">
        <f t="shared" si="30"/>
        <v>1.176</v>
      </c>
      <c r="M373" s="774" t="s">
        <v>14</v>
      </c>
      <c r="N373" s="11"/>
      <c r="O373" s="11"/>
      <c r="P373" s="11"/>
      <c r="Q373" s="11"/>
      <c r="R373" s="11"/>
      <c r="S373" s="11"/>
      <c r="T373" s="11"/>
      <c r="U373" s="11"/>
      <c r="V373" s="11"/>
      <c r="W373" s="11"/>
      <c r="X373" s="11"/>
    </row>
    <row r="374" ht="13.5" customHeight="1">
      <c r="A374" s="11"/>
      <c r="B374" s="163" t="s">
        <v>173</v>
      </c>
      <c r="C374" s="316">
        <v>1000.0</v>
      </c>
      <c r="D374" s="314">
        <f t="shared" si="26"/>
        <v>680</v>
      </c>
      <c r="E374" s="169" t="s">
        <v>18</v>
      </c>
      <c r="F374" s="610" t="s">
        <v>1323</v>
      </c>
      <c r="G374" s="11"/>
      <c r="H374" s="11"/>
      <c r="I374" s="11"/>
      <c r="J374" s="177" t="s">
        <v>1253</v>
      </c>
      <c r="K374" s="321">
        <v>1.1</v>
      </c>
      <c r="L374" s="383">
        <f t="shared" si="30"/>
        <v>0.616</v>
      </c>
      <c r="M374" s="774" t="s">
        <v>14</v>
      </c>
      <c r="N374" s="11"/>
      <c r="O374" s="11"/>
      <c r="P374" s="11"/>
      <c r="Q374" s="11"/>
      <c r="R374" s="11"/>
      <c r="S374" s="11"/>
      <c r="T374" s="11"/>
      <c r="U374" s="11"/>
      <c r="V374" s="11"/>
      <c r="W374" s="11"/>
      <c r="X374" s="11"/>
    </row>
    <row r="375" ht="13.5" customHeight="1">
      <c r="A375" s="11"/>
      <c r="B375" s="177" t="s">
        <v>1326</v>
      </c>
      <c r="C375" s="321">
        <v>5.0</v>
      </c>
      <c r="D375" s="383">
        <f t="shared" si="26"/>
        <v>3.4</v>
      </c>
      <c r="E375" s="204" t="s">
        <v>14</v>
      </c>
      <c r="F375" s="47"/>
      <c r="G375" s="11"/>
      <c r="H375" s="11"/>
      <c r="I375" s="11"/>
      <c r="J375" s="208" t="s">
        <v>1327</v>
      </c>
      <c r="K375" s="318">
        <v>2.1</v>
      </c>
      <c r="L375" s="211">
        <f t="shared" si="30"/>
        <v>1.176</v>
      </c>
      <c r="M375" s="1052" t="s">
        <v>14</v>
      </c>
      <c r="N375" s="11"/>
      <c r="O375" s="11"/>
      <c r="P375" s="11"/>
      <c r="Q375" s="11"/>
      <c r="R375" s="11"/>
      <c r="S375" s="11"/>
      <c r="T375" s="11"/>
      <c r="U375" s="11"/>
      <c r="V375" s="11"/>
      <c r="W375" s="11"/>
      <c r="X375" s="11"/>
    </row>
    <row r="376" ht="13.5" customHeight="1">
      <c r="A376" s="11"/>
      <c r="B376" s="177" t="s">
        <v>1329</v>
      </c>
      <c r="C376" s="321">
        <v>8.0</v>
      </c>
      <c r="D376" s="383">
        <f t="shared" si="26"/>
        <v>5.44</v>
      </c>
      <c r="E376" s="204" t="s">
        <v>9</v>
      </c>
      <c r="F376" s="47"/>
      <c r="G376" s="11"/>
      <c r="H376" s="11"/>
      <c r="I376" s="11"/>
      <c r="J376" s="163" t="s">
        <v>1331</v>
      </c>
      <c r="K376" s="316">
        <v>1.2</v>
      </c>
      <c r="L376" s="314">
        <f t="shared" si="30"/>
        <v>0.672</v>
      </c>
      <c r="M376" s="733" t="s">
        <v>1296</v>
      </c>
      <c r="N376" s="11"/>
      <c r="O376" s="11"/>
      <c r="P376" s="11"/>
      <c r="Q376" s="11"/>
      <c r="R376" s="11"/>
      <c r="S376" s="11"/>
      <c r="T376" s="11"/>
      <c r="U376" s="11"/>
      <c r="V376" s="11"/>
      <c r="W376" s="11"/>
      <c r="X376" s="11"/>
    </row>
    <row r="377" ht="13.5" customHeight="1">
      <c r="A377" s="11"/>
      <c r="B377" s="208" t="s">
        <v>80</v>
      </c>
      <c r="C377" s="318">
        <v>3.2</v>
      </c>
      <c r="D377" s="211">
        <f t="shared" si="26"/>
        <v>2.176</v>
      </c>
      <c r="E377" s="212" t="s">
        <v>14</v>
      </c>
      <c r="F377" s="76"/>
      <c r="G377" s="11"/>
      <c r="H377" s="11"/>
      <c r="I377" s="11"/>
      <c r="J377" s="177" t="s">
        <v>1334</v>
      </c>
      <c r="K377" s="321">
        <v>1.2</v>
      </c>
      <c r="L377" s="383">
        <f t="shared" si="30"/>
        <v>0.672</v>
      </c>
      <c r="M377" s="774" t="s">
        <v>1296</v>
      </c>
      <c r="N377" s="11"/>
      <c r="O377" s="11"/>
      <c r="P377" s="11"/>
      <c r="Q377" s="11"/>
      <c r="R377" s="11"/>
      <c r="S377" s="11"/>
      <c r="T377" s="11"/>
      <c r="U377" s="11"/>
      <c r="V377" s="11"/>
      <c r="W377" s="11"/>
      <c r="X377" s="11"/>
    </row>
    <row r="378" ht="13.5" customHeight="1">
      <c r="A378" s="11"/>
      <c r="B378" s="157" t="s">
        <v>34</v>
      </c>
      <c r="C378" s="839">
        <v>1.0</v>
      </c>
      <c r="D378" s="1005">
        <f t="shared" si="26"/>
        <v>0.68</v>
      </c>
      <c r="E378" s="159" t="s">
        <v>5</v>
      </c>
      <c r="F378" s="1195" t="s">
        <v>1338</v>
      </c>
      <c r="G378" s="11"/>
      <c r="H378" s="11"/>
      <c r="I378" s="11"/>
      <c r="J378" s="177" t="s">
        <v>1341</v>
      </c>
      <c r="K378" s="321">
        <v>1.2</v>
      </c>
      <c r="L378" s="383">
        <f t="shared" si="30"/>
        <v>0.672</v>
      </c>
      <c r="M378" s="774" t="s">
        <v>1296</v>
      </c>
      <c r="N378" s="11"/>
      <c r="O378" s="11"/>
      <c r="P378" s="11"/>
      <c r="Q378" s="11"/>
      <c r="R378" s="11"/>
      <c r="S378" s="11"/>
      <c r="T378" s="11"/>
      <c r="U378" s="11"/>
      <c r="V378" s="11"/>
      <c r="W378" s="11"/>
      <c r="X378" s="11"/>
    </row>
    <row r="379" ht="13.5" customHeight="1">
      <c r="A379" s="11"/>
      <c r="B379" s="177" t="s">
        <v>97</v>
      </c>
      <c r="C379" s="321">
        <v>125.0</v>
      </c>
      <c r="D379" s="383">
        <f t="shared" si="26"/>
        <v>85</v>
      </c>
      <c r="E379" s="204" t="s">
        <v>18</v>
      </c>
      <c r="F379" s="47"/>
      <c r="G379" s="11"/>
      <c r="H379" s="11"/>
      <c r="I379" s="11"/>
      <c r="J379" s="208" t="s">
        <v>1329</v>
      </c>
      <c r="K379" s="318">
        <v>7.0</v>
      </c>
      <c r="L379" s="211">
        <f t="shared" si="30"/>
        <v>3.92</v>
      </c>
      <c r="M379" s="1052" t="s">
        <v>1342</v>
      </c>
      <c r="N379" s="11"/>
      <c r="O379" s="11"/>
      <c r="P379" s="11"/>
      <c r="Q379" s="11"/>
      <c r="R379" s="11"/>
      <c r="S379" s="11"/>
      <c r="T379" s="11"/>
      <c r="U379" s="11"/>
      <c r="V379" s="11"/>
      <c r="W379" s="11"/>
      <c r="X379" s="11"/>
    </row>
    <row r="380" ht="13.5" customHeight="1">
      <c r="A380" s="11"/>
      <c r="B380" s="177" t="s">
        <v>390</v>
      </c>
      <c r="C380" s="321">
        <v>80.0</v>
      </c>
      <c r="D380" s="383">
        <f t="shared" si="26"/>
        <v>54.4</v>
      </c>
      <c r="E380" s="204" t="s">
        <v>18</v>
      </c>
      <c r="F380" s="47"/>
      <c r="G380" s="11"/>
      <c r="H380" s="11"/>
      <c r="I380" s="11"/>
      <c r="J380" s="251" t="s">
        <v>733</v>
      </c>
      <c r="K380" s="1047">
        <v>650.0</v>
      </c>
      <c r="L380" s="1005">
        <f t="shared" si="30"/>
        <v>364</v>
      </c>
      <c r="M380" s="1197" t="s">
        <v>18</v>
      </c>
      <c r="N380" s="11"/>
      <c r="O380" s="11"/>
      <c r="P380" s="11"/>
      <c r="Q380" s="11"/>
      <c r="R380" s="11"/>
      <c r="S380" s="11"/>
      <c r="T380" s="11"/>
      <c r="U380" s="11"/>
      <c r="V380" s="11"/>
      <c r="W380" s="11"/>
      <c r="X380" s="11"/>
    </row>
    <row r="381" ht="13.5" customHeight="1">
      <c r="A381" s="11"/>
      <c r="B381" s="177" t="s">
        <v>101</v>
      </c>
      <c r="C381" s="321">
        <v>0.5</v>
      </c>
      <c r="D381" s="383">
        <f t="shared" si="26"/>
        <v>0.34</v>
      </c>
      <c r="E381" s="204" t="s">
        <v>5</v>
      </c>
      <c r="F381" s="47"/>
      <c r="G381" s="11"/>
      <c r="H381" s="11"/>
      <c r="I381" s="11"/>
      <c r="J381" s="163" t="s">
        <v>743</v>
      </c>
      <c r="K381" s="316">
        <v>1.1</v>
      </c>
      <c r="L381" s="314">
        <f t="shared" si="30"/>
        <v>0.616</v>
      </c>
      <c r="M381" s="733" t="s">
        <v>5</v>
      </c>
      <c r="N381" s="11"/>
      <c r="O381" s="11"/>
      <c r="P381" s="11"/>
      <c r="Q381" s="11"/>
      <c r="R381" s="11"/>
      <c r="S381" s="11"/>
      <c r="T381" s="11"/>
      <c r="U381" s="11"/>
      <c r="V381" s="11"/>
      <c r="W381" s="11"/>
      <c r="X381" s="11"/>
    </row>
    <row r="382" ht="15.0" customHeight="1">
      <c r="A382" s="11"/>
      <c r="B382" s="177" t="s">
        <v>1345</v>
      </c>
      <c r="C382" s="321">
        <v>250.0</v>
      </c>
      <c r="D382" s="383">
        <f t="shared" si="26"/>
        <v>170</v>
      </c>
      <c r="E382" s="204" t="s">
        <v>18</v>
      </c>
      <c r="F382" s="47"/>
      <c r="G382" s="11"/>
      <c r="H382" s="11"/>
      <c r="I382" s="11"/>
      <c r="J382" s="177" t="s">
        <v>97</v>
      </c>
      <c r="K382" s="321">
        <v>0.9</v>
      </c>
      <c r="L382" s="383">
        <f t="shared" si="30"/>
        <v>0.504</v>
      </c>
      <c r="M382" s="774" t="s">
        <v>1296</v>
      </c>
      <c r="N382" s="11"/>
      <c r="O382" s="11"/>
      <c r="P382" s="11"/>
      <c r="Q382" s="11"/>
      <c r="R382" s="11"/>
      <c r="S382" s="11"/>
      <c r="T382" s="11"/>
      <c r="U382" s="11"/>
      <c r="V382" s="11"/>
      <c r="W382" s="11"/>
      <c r="X382" s="11"/>
    </row>
    <row r="383" ht="13.5" customHeight="1">
      <c r="A383" s="11"/>
      <c r="B383" s="177" t="s">
        <v>103</v>
      </c>
      <c r="C383" s="321">
        <v>300.0</v>
      </c>
      <c r="D383" s="383">
        <f t="shared" si="26"/>
        <v>204</v>
      </c>
      <c r="E383" s="204" t="s">
        <v>18</v>
      </c>
      <c r="F383" s="47"/>
      <c r="G383" s="11"/>
      <c r="H383" s="11"/>
      <c r="I383" s="11"/>
      <c r="J383" s="208" t="s">
        <v>1348</v>
      </c>
      <c r="K383" s="318">
        <v>2.0</v>
      </c>
      <c r="L383" s="211">
        <f t="shared" si="30"/>
        <v>1.12</v>
      </c>
      <c r="M383" s="1052" t="s">
        <v>5</v>
      </c>
      <c r="N383" s="11"/>
      <c r="O383" s="11"/>
      <c r="P383" s="11"/>
      <c r="Q383" s="11"/>
      <c r="R383" s="11"/>
      <c r="S383" s="11"/>
      <c r="T383" s="11"/>
      <c r="U383" s="11"/>
      <c r="V383" s="11"/>
      <c r="W383" s="11"/>
      <c r="X383" s="11"/>
    </row>
    <row r="384" ht="13.5" customHeight="1">
      <c r="A384" s="11"/>
      <c r="B384" s="177" t="s">
        <v>149</v>
      </c>
      <c r="C384" s="321">
        <v>200.0</v>
      </c>
      <c r="D384" s="383">
        <f t="shared" si="26"/>
        <v>136</v>
      </c>
      <c r="E384" s="204" t="s">
        <v>18</v>
      </c>
      <c r="F384" s="47"/>
      <c r="G384" s="11"/>
      <c r="H384" s="11"/>
      <c r="I384" s="11"/>
      <c r="J384" s="220" t="s">
        <v>42</v>
      </c>
      <c r="K384" s="220" t="s">
        <v>725</v>
      </c>
      <c r="L384" s="11"/>
      <c r="M384" s="755"/>
      <c r="N384" s="11"/>
      <c r="O384" s="11"/>
      <c r="P384" s="11"/>
      <c r="Q384" s="11"/>
      <c r="R384" s="11"/>
      <c r="S384" s="11"/>
      <c r="T384" s="11"/>
      <c r="U384" s="11"/>
      <c r="V384" s="11"/>
      <c r="W384" s="11"/>
      <c r="X384" s="11"/>
    </row>
    <row r="385" ht="13.5" customHeight="1">
      <c r="A385" s="11"/>
      <c r="B385" s="177" t="s">
        <v>1253</v>
      </c>
      <c r="C385" s="321">
        <v>2.5</v>
      </c>
      <c r="D385" s="383">
        <f t="shared" si="26"/>
        <v>1.7</v>
      </c>
      <c r="E385" s="204" t="s">
        <v>14</v>
      </c>
      <c r="F385" s="47"/>
      <c r="G385" s="11"/>
      <c r="H385" s="11"/>
      <c r="I385" s="11"/>
      <c r="J385" s="11"/>
      <c r="K385" s="11"/>
      <c r="L385" s="11"/>
      <c r="M385" s="755"/>
      <c r="N385" s="11"/>
      <c r="O385" s="11"/>
      <c r="P385" s="11"/>
      <c r="Q385" s="11"/>
      <c r="R385" s="11"/>
      <c r="S385" s="11"/>
      <c r="T385" s="11"/>
      <c r="U385" s="11"/>
      <c r="V385" s="11"/>
      <c r="W385" s="11"/>
      <c r="X385" s="11"/>
    </row>
    <row r="386" ht="13.5" customHeight="1">
      <c r="A386" s="11"/>
      <c r="B386" s="177" t="s">
        <v>1250</v>
      </c>
      <c r="C386" s="321">
        <v>2.5</v>
      </c>
      <c r="D386" s="383">
        <f t="shared" si="26"/>
        <v>1.7</v>
      </c>
      <c r="E386" s="204" t="s">
        <v>14</v>
      </c>
      <c r="F386" s="47"/>
      <c r="G386" s="11"/>
      <c r="H386" s="11"/>
      <c r="I386" s="11"/>
      <c r="J386" s="11"/>
      <c r="K386" s="11"/>
      <c r="L386" s="11"/>
      <c r="M386" s="755"/>
      <c r="N386" s="11"/>
      <c r="O386" s="11"/>
      <c r="P386" s="11"/>
      <c r="Q386" s="11"/>
      <c r="R386" s="11"/>
      <c r="S386" s="11"/>
      <c r="T386" s="11"/>
      <c r="U386" s="11"/>
      <c r="V386" s="11"/>
      <c r="W386" s="11"/>
      <c r="X386" s="11"/>
    </row>
    <row r="387" ht="13.5" customHeight="1">
      <c r="A387" s="11"/>
      <c r="B387" s="177" t="s">
        <v>79</v>
      </c>
      <c r="C387" s="321">
        <v>2.5</v>
      </c>
      <c r="D387" s="383">
        <f t="shared" si="26"/>
        <v>1.7</v>
      </c>
      <c r="E387" s="204" t="s">
        <v>14</v>
      </c>
      <c r="F387" s="47"/>
      <c r="G387" s="11"/>
      <c r="H387" s="11"/>
      <c r="I387" s="11"/>
      <c r="J387" s="11"/>
      <c r="K387" s="11"/>
      <c r="L387" s="11"/>
      <c r="M387" s="755"/>
      <c r="N387" s="11"/>
      <c r="O387" s="11"/>
      <c r="P387" s="11"/>
      <c r="Q387" s="11"/>
      <c r="R387" s="11"/>
      <c r="S387" s="11"/>
      <c r="T387" s="11"/>
      <c r="U387" s="11"/>
      <c r="V387" s="11"/>
      <c r="W387" s="11"/>
      <c r="X387" s="11"/>
    </row>
    <row r="388" ht="13.5" customHeight="1">
      <c r="A388" s="11"/>
      <c r="B388" s="262" t="s">
        <v>1261</v>
      </c>
      <c r="C388" s="355">
        <v>1000.0</v>
      </c>
      <c r="D388" s="383">
        <f t="shared" si="26"/>
        <v>680</v>
      </c>
      <c r="E388" s="267" t="s">
        <v>18</v>
      </c>
      <c r="F388" s="76"/>
      <c r="G388" s="11"/>
      <c r="H388" s="11"/>
      <c r="I388" s="11"/>
      <c r="J388" s="11"/>
      <c r="K388" s="11"/>
      <c r="L388" s="11"/>
      <c r="M388" s="755"/>
      <c r="N388" s="11"/>
      <c r="O388" s="11"/>
      <c r="P388" s="11"/>
      <c r="Q388" s="11"/>
      <c r="R388" s="11"/>
      <c r="S388" s="11"/>
      <c r="T388" s="11"/>
      <c r="U388" s="11"/>
      <c r="V388" s="11"/>
      <c r="W388" s="11"/>
      <c r="X388" s="11"/>
    </row>
    <row r="389" ht="13.5" customHeight="1">
      <c r="A389" s="11"/>
      <c r="B389" s="458" t="s">
        <v>114</v>
      </c>
      <c r="C389" s="363">
        <v>2.5</v>
      </c>
      <c r="D389" s="460">
        <f t="shared" si="26"/>
        <v>1.7</v>
      </c>
      <c r="E389" s="463" t="s">
        <v>5</v>
      </c>
      <c r="F389" s="1"/>
      <c r="G389" s="11"/>
      <c r="H389" s="11"/>
      <c r="I389" s="11"/>
      <c r="J389" s="11"/>
      <c r="K389" s="11"/>
      <c r="L389" s="11"/>
      <c r="M389" s="755"/>
      <c r="N389" s="11"/>
      <c r="O389" s="11"/>
      <c r="P389" s="11"/>
      <c r="Q389" s="11"/>
      <c r="R389" s="11"/>
      <c r="S389" s="11"/>
      <c r="T389" s="11"/>
      <c r="U389" s="11"/>
      <c r="V389" s="11"/>
      <c r="W389" s="11"/>
      <c r="X389" s="11"/>
    </row>
    <row r="390" ht="13.5" customHeight="1">
      <c r="A390" s="11"/>
      <c r="B390" s="220" t="s">
        <v>42</v>
      </c>
      <c r="C390" s="220" t="s">
        <v>725</v>
      </c>
      <c r="D390" s="1"/>
      <c r="E390" s="1"/>
      <c r="F390" s="590"/>
      <c r="G390" s="11"/>
      <c r="H390" s="11"/>
      <c r="I390" s="11"/>
      <c r="J390" s="11"/>
      <c r="K390" s="11"/>
      <c r="L390" s="11"/>
      <c r="M390" s="755"/>
      <c r="N390" s="11"/>
      <c r="O390" s="11"/>
      <c r="P390" s="11"/>
      <c r="Q390" s="11"/>
      <c r="R390" s="11"/>
      <c r="S390" s="11"/>
      <c r="T390" s="11"/>
      <c r="U390" s="11"/>
      <c r="V390" s="11"/>
      <c r="W390" s="11"/>
      <c r="X390" s="11"/>
    </row>
    <row r="391" ht="13.5" customHeight="1">
      <c r="A391" s="11"/>
      <c r="B391" s="1"/>
      <c r="C391" s="1"/>
      <c r="D391" s="1"/>
      <c r="E391" s="1"/>
      <c r="F391" s="1"/>
      <c r="G391" s="11"/>
      <c r="H391" s="11"/>
      <c r="I391" s="11"/>
      <c r="J391" s="11"/>
      <c r="K391" s="11"/>
      <c r="L391" s="11"/>
      <c r="M391" s="755"/>
      <c r="N391" s="11"/>
      <c r="O391" s="11"/>
      <c r="P391" s="11"/>
      <c r="Q391" s="11"/>
      <c r="R391" s="11"/>
      <c r="S391" s="11"/>
      <c r="T391" s="11"/>
      <c r="U391" s="11"/>
      <c r="V391" s="11"/>
      <c r="W391" s="11"/>
      <c r="X391" s="11"/>
    </row>
    <row r="392" ht="13.5" customHeight="1">
      <c r="A392" s="11"/>
      <c r="B392" s="1101" t="s">
        <v>888</v>
      </c>
      <c r="C392" s="18"/>
      <c r="D392" s="18"/>
      <c r="E392" s="19"/>
      <c r="F392" s="1206"/>
      <c r="G392" s="11"/>
      <c r="H392" s="11"/>
      <c r="I392" s="11"/>
      <c r="J392" s="11"/>
      <c r="K392" s="11"/>
      <c r="L392" s="11"/>
      <c r="M392" s="755"/>
      <c r="N392" s="11"/>
      <c r="O392" s="11"/>
      <c r="P392" s="11"/>
      <c r="Q392" s="11"/>
      <c r="R392" s="11"/>
      <c r="S392" s="11"/>
      <c r="T392" s="11"/>
      <c r="U392" s="11"/>
      <c r="V392" s="11"/>
      <c r="W392" s="11"/>
      <c r="X392" s="11"/>
    </row>
    <row r="393" ht="13.5" customHeight="1">
      <c r="A393" s="11"/>
      <c r="B393" s="458" t="s">
        <v>1</v>
      </c>
      <c r="C393" s="460">
        <v>100.0</v>
      </c>
      <c r="D393" s="783">
        <v>25.0</v>
      </c>
      <c r="E393" s="463" t="s">
        <v>5</v>
      </c>
      <c r="F393" s="1208"/>
      <c r="G393" s="11"/>
      <c r="H393" s="11"/>
      <c r="I393" s="11"/>
      <c r="J393" s="11"/>
      <c r="K393" s="11"/>
      <c r="L393" s="11"/>
      <c r="M393" s="755"/>
      <c r="N393" s="11"/>
      <c r="O393" s="11"/>
      <c r="P393" s="11"/>
      <c r="Q393" s="11"/>
      <c r="R393" s="11"/>
      <c r="S393" s="11"/>
      <c r="T393" s="11"/>
      <c r="U393" s="11"/>
      <c r="V393" s="11"/>
      <c r="W393" s="11"/>
      <c r="X393" s="11"/>
    </row>
    <row r="394" ht="13.5" customHeight="1">
      <c r="A394" s="11"/>
      <c r="B394" s="163" t="s">
        <v>91</v>
      </c>
      <c r="C394" s="285">
        <v>1.0</v>
      </c>
      <c r="D394" s="666">
        <f t="shared" ref="D394:D398" si="31">(C394*D393)/C393</f>
        <v>0.25</v>
      </c>
      <c r="E394" s="169" t="s">
        <v>5</v>
      </c>
      <c r="F394" s="1210" t="s">
        <v>1362</v>
      </c>
      <c r="G394" s="11"/>
      <c r="H394" s="11"/>
      <c r="I394" s="11"/>
      <c r="J394" s="11"/>
      <c r="K394" s="11"/>
      <c r="L394" s="11"/>
      <c r="M394" s="755"/>
      <c r="N394" s="11"/>
      <c r="O394" s="11"/>
      <c r="P394" s="11"/>
      <c r="Q394" s="11"/>
      <c r="R394" s="11"/>
      <c r="S394" s="11"/>
      <c r="T394" s="11"/>
      <c r="U394" s="11"/>
      <c r="V394" s="11"/>
      <c r="W394" s="11"/>
      <c r="X394" s="11"/>
    </row>
    <row r="395" ht="13.5" customHeight="1">
      <c r="A395" s="11"/>
      <c r="B395" s="177" t="s">
        <v>97</v>
      </c>
      <c r="C395" s="198">
        <v>100.0</v>
      </c>
      <c r="D395" s="500">
        <f t="shared" si="31"/>
        <v>25</v>
      </c>
      <c r="E395" s="204" t="s">
        <v>18</v>
      </c>
      <c r="F395" s="66"/>
      <c r="G395" s="11"/>
      <c r="H395" s="11"/>
      <c r="I395" s="11"/>
      <c r="J395" s="11"/>
      <c r="K395" s="11"/>
      <c r="L395" s="11"/>
      <c r="M395" s="755"/>
      <c r="N395" s="11"/>
      <c r="O395" s="11"/>
      <c r="P395" s="11"/>
      <c r="Q395" s="11"/>
      <c r="R395" s="11"/>
      <c r="S395" s="11"/>
      <c r="T395" s="11"/>
      <c r="U395" s="11"/>
      <c r="V395" s="11"/>
      <c r="W395" s="11"/>
      <c r="X395" s="11"/>
    </row>
    <row r="396" ht="13.5" customHeight="1">
      <c r="A396" s="11"/>
      <c r="B396" s="177" t="s">
        <v>103</v>
      </c>
      <c r="C396" s="198">
        <v>200.0</v>
      </c>
      <c r="D396" s="500">
        <f t="shared" si="31"/>
        <v>50</v>
      </c>
      <c r="E396" s="204" t="s">
        <v>18</v>
      </c>
      <c r="F396" s="66"/>
      <c r="G396" s="11"/>
      <c r="H396" s="11"/>
      <c r="I396" s="11"/>
      <c r="J396" s="11"/>
      <c r="K396" s="11"/>
      <c r="L396" s="11"/>
      <c r="M396" s="755"/>
      <c r="N396" s="11"/>
      <c r="O396" s="11"/>
      <c r="P396" s="11"/>
      <c r="Q396" s="11"/>
      <c r="R396" s="11"/>
      <c r="S396" s="11"/>
      <c r="T396" s="11"/>
      <c r="U396" s="11"/>
      <c r="V396" s="11"/>
      <c r="W396" s="11"/>
      <c r="X396" s="11"/>
    </row>
    <row r="397" ht="13.5" customHeight="1">
      <c r="A397" s="11"/>
      <c r="B397" s="208" t="s">
        <v>101</v>
      </c>
      <c r="C397" s="211">
        <v>0.38</v>
      </c>
      <c r="D397" s="684">
        <f t="shared" si="31"/>
        <v>0.095</v>
      </c>
      <c r="E397" s="212" t="s">
        <v>5</v>
      </c>
      <c r="F397" s="106"/>
      <c r="G397" s="11"/>
      <c r="H397" s="11"/>
      <c r="I397" s="11"/>
      <c r="J397" s="11"/>
      <c r="K397" s="11"/>
      <c r="L397" s="11"/>
      <c r="M397" s="755"/>
      <c r="N397" s="11"/>
      <c r="O397" s="11"/>
      <c r="P397" s="11"/>
      <c r="Q397" s="11"/>
      <c r="R397" s="11"/>
      <c r="S397" s="11"/>
      <c r="T397" s="11"/>
      <c r="U397" s="11"/>
      <c r="V397" s="11"/>
      <c r="W397" s="11"/>
      <c r="X397" s="11"/>
    </row>
    <row r="398" ht="15.0" customHeight="1">
      <c r="A398" s="11"/>
      <c r="B398" s="163" t="s">
        <v>1366</v>
      </c>
      <c r="C398" s="285">
        <v>38.0</v>
      </c>
      <c r="D398" s="666">
        <f t="shared" si="31"/>
        <v>9.5</v>
      </c>
      <c r="E398" s="169" t="s">
        <v>14</v>
      </c>
      <c r="F398" s="610" t="s">
        <v>1368</v>
      </c>
      <c r="G398" s="11"/>
      <c r="H398" s="11"/>
      <c r="I398" s="11"/>
      <c r="J398" s="11"/>
      <c r="K398" s="11"/>
      <c r="L398" s="11"/>
      <c r="M398" s="755"/>
      <c r="N398" s="11"/>
      <c r="O398" s="11"/>
      <c r="P398" s="11"/>
      <c r="Q398" s="11"/>
      <c r="R398" s="11"/>
      <c r="S398" s="11"/>
      <c r="T398" s="11"/>
      <c r="U398" s="11"/>
      <c r="V398" s="11"/>
      <c r="W398" s="11"/>
      <c r="X398" s="11"/>
    </row>
    <row r="399" ht="13.5" customHeight="1">
      <c r="A399" s="11"/>
      <c r="B399" s="1221" t="s">
        <v>101</v>
      </c>
      <c r="C399" s="198">
        <v>0.4</v>
      </c>
      <c r="D399" s="500">
        <f>(C399*D400)/C400</f>
        <v>0.1</v>
      </c>
      <c r="E399" s="204" t="s">
        <v>5</v>
      </c>
      <c r="F399" s="47"/>
      <c r="G399" s="11"/>
      <c r="H399" s="11"/>
      <c r="I399" s="11"/>
      <c r="J399" s="11"/>
      <c r="K399" s="11"/>
      <c r="L399" s="11"/>
      <c r="M399" s="755"/>
      <c r="N399" s="11"/>
      <c r="O399" s="11"/>
      <c r="P399" s="11"/>
      <c r="Q399" s="11"/>
      <c r="R399" s="11"/>
      <c r="S399" s="11"/>
      <c r="T399" s="11"/>
      <c r="U399" s="11"/>
      <c r="V399" s="11"/>
      <c r="W399" s="11"/>
      <c r="X399" s="11"/>
    </row>
    <row r="400" ht="13.5" customHeight="1">
      <c r="A400" s="11"/>
      <c r="B400" s="177" t="s">
        <v>149</v>
      </c>
      <c r="C400" s="198">
        <v>400.0</v>
      </c>
      <c r="D400" s="500">
        <f t="shared" ref="D400:D401" si="32">(C400*D398)/C398</f>
        <v>100</v>
      </c>
      <c r="E400" s="204" t="s">
        <v>18</v>
      </c>
      <c r="F400" s="47"/>
      <c r="G400" s="11"/>
      <c r="H400" s="11"/>
      <c r="I400" s="11"/>
      <c r="J400" s="11"/>
      <c r="K400" s="11"/>
      <c r="L400" s="11"/>
      <c r="M400" s="755"/>
      <c r="N400" s="11"/>
      <c r="O400" s="11"/>
      <c r="P400" s="11"/>
      <c r="Q400" s="11"/>
      <c r="R400" s="11"/>
      <c r="S400" s="11"/>
      <c r="T400" s="11"/>
      <c r="U400" s="11"/>
      <c r="V400" s="11"/>
      <c r="W400" s="11"/>
      <c r="X400" s="11"/>
    </row>
    <row r="401" ht="13.5" customHeight="1">
      <c r="A401" s="11"/>
      <c r="B401" s="177" t="s">
        <v>391</v>
      </c>
      <c r="C401" s="198">
        <v>275.0</v>
      </c>
      <c r="D401" s="500">
        <f t="shared" si="32"/>
        <v>68.75</v>
      </c>
      <c r="E401" s="204" t="s">
        <v>18</v>
      </c>
      <c r="F401" s="47"/>
      <c r="G401" s="11"/>
      <c r="H401" s="11"/>
      <c r="I401" s="11"/>
      <c r="J401" s="11"/>
      <c r="K401" s="11"/>
      <c r="L401" s="11"/>
      <c r="M401" s="755"/>
      <c r="N401" s="11"/>
      <c r="O401" s="11"/>
      <c r="P401" s="11"/>
      <c r="Q401" s="11"/>
      <c r="R401" s="11"/>
      <c r="S401" s="11"/>
      <c r="T401" s="11"/>
      <c r="U401" s="11"/>
      <c r="V401" s="11"/>
      <c r="W401" s="11"/>
      <c r="X401" s="11"/>
    </row>
    <row r="402" ht="13.5" customHeight="1">
      <c r="A402" s="11"/>
      <c r="B402" s="208" t="s">
        <v>162</v>
      </c>
      <c r="C402" s="211">
        <v>80.0</v>
      </c>
      <c r="D402" s="684">
        <f>(C402*D401)/C401</f>
        <v>20</v>
      </c>
      <c r="E402" s="212" t="s">
        <v>18</v>
      </c>
      <c r="F402" s="76"/>
      <c r="G402" s="11"/>
      <c r="H402" s="11"/>
      <c r="I402" s="11"/>
      <c r="J402" s="11"/>
      <c r="K402" s="11"/>
      <c r="L402" s="11"/>
      <c r="M402" s="755"/>
      <c r="N402" s="11"/>
      <c r="O402" s="11"/>
      <c r="P402" s="11"/>
      <c r="Q402" s="11"/>
      <c r="R402" s="11"/>
      <c r="S402" s="11"/>
      <c r="T402" s="11"/>
      <c r="U402" s="11"/>
      <c r="V402" s="11"/>
      <c r="W402" s="11"/>
      <c r="X402" s="11"/>
    </row>
    <row r="403" ht="13.5" customHeight="1">
      <c r="A403" s="11"/>
      <c r="B403" s="163" t="s">
        <v>243</v>
      </c>
      <c r="C403" s="285">
        <v>50.0</v>
      </c>
      <c r="D403" s="666">
        <f>(C403*D398)/C398</f>
        <v>12.5</v>
      </c>
      <c r="E403" s="169" t="s">
        <v>5</v>
      </c>
      <c r="F403" s="1112"/>
      <c r="G403" s="11"/>
      <c r="H403" s="11"/>
      <c r="I403" s="11"/>
      <c r="J403" s="11"/>
      <c r="K403" s="11"/>
      <c r="L403" s="11"/>
      <c r="M403" s="755"/>
      <c r="N403" s="11"/>
      <c r="O403" s="11"/>
      <c r="P403" s="11"/>
      <c r="Q403" s="11"/>
      <c r="R403" s="11"/>
      <c r="S403" s="11"/>
      <c r="T403" s="11"/>
      <c r="U403" s="11"/>
      <c r="V403" s="11"/>
      <c r="W403" s="11"/>
      <c r="X403" s="11"/>
    </row>
    <row r="404" ht="13.5" customHeight="1">
      <c r="A404" s="11"/>
      <c r="B404" s="177" t="s">
        <v>31</v>
      </c>
      <c r="C404" s="198">
        <v>1540.0</v>
      </c>
      <c r="D404" s="500">
        <f>(C404*D400)/C400</f>
        <v>385</v>
      </c>
      <c r="E404" s="204" t="s">
        <v>18</v>
      </c>
      <c r="F404" s="1208"/>
      <c r="G404" s="11"/>
      <c r="H404" s="11"/>
      <c r="I404" s="11"/>
      <c r="J404" s="11"/>
      <c r="K404" s="11"/>
      <c r="L404" s="11"/>
      <c r="M404" s="755"/>
      <c r="N404" s="11"/>
      <c r="O404" s="11"/>
      <c r="P404" s="11"/>
      <c r="Q404" s="11"/>
      <c r="R404" s="11"/>
      <c r="S404" s="11"/>
      <c r="T404" s="11"/>
      <c r="U404" s="11"/>
      <c r="V404" s="11"/>
      <c r="W404" s="11"/>
      <c r="X404" s="11"/>
    </row>
    <row r="405" ht="13.5" customHeight="1">
      <c r="A405" s="11"/>
      <c r="B405" s="208" t="s">
        <v>114</v>
      </c>
      <c r="C405" s="211">
        <v>1.5</v>
      </c>
      <c r="D405" s="684">
        <f>(C405*D399)/C399</f>
        <v>0.375</v>
      </c>
      <c r="E405" s="212" t="s">
        <v>5</v>
      </c>
      <c r="F405" s="1208"/>
      <c r="G405" s="11"/>
      <c r="H405" s="11"/>
      <c r="I405" s="11"/>
      <c r="J405" s="11"/>
      <c r="K405" s="11"/>
      <c r="L405" s="11"/>
      <c r="M405" s="755"/>
      <c r="N405" s="11"/>
      <c r="O405" s="11"/>
      <c r="P405" s="11"/>
      <c r="Q405" s="11"/>
      <c r="R405" s="11"/>
      <c r="S405" s="11"/>
      <c r="T405" s="11"/>
      <c r="U405" s="11"/>
      <c r="V405" s="11"/>
      <c r="W405" s="11"/>
      <c r="X405" s="11"/>
    </row>
    <row r="406" ht="18.0" customHeight="1">
      <c r="A406" s="11"/>
      <c r="B406" s="220" t="s">
        <v>42</v>
      </c>
      <c r="C406" s="220" t="s">
        <v>725</v>
      </c>
      <c r="D406" s="1"/>
      <c r="E406" s="1"/>
      <c r="F406" s="590"/>
      <c r="G406" s="11"/>
      <c r="H406" s="11"/>
      <c r="I406" s="11"/>
      <c r="J406" s="11"/>
      <c r="K406" s="11"/>
      <c r="L406" s="11"/>
      <c r="M406" s="755"/>
      <c r="N406" s="11"/>
      <c r="O406" s="11"/>
      <c r="P406" s="11"/>
      <c r="Q406" s="11"/>
      <c r="R406" s="11"/>
      <c r="S406" s="11"/>
      <c r="T406" s="11"/>
      <c r="U406" s="11"/>
      <c r="V406" s="11"/>
      <c r="W406" s="11"/>
      <c r="X406" s="11"/>
    </row>
    <row r="407" ht="13.5" customHeight="1">
      <c r="A407" s="11"/>
      <c r="B407" s="1"/>
      <c r="C407" s="1"/>
      <c r="D407" s="1"/>
      <c r="E407" s="1"/>
      <c r="F407" s="1"/>
      <c r="G407" s="11"/>
      <c r="H407" s="11"/>
      <c r="I407" s="11"/>
      <c r="J407" s="11"/>
      <c r="K407" s="11"/>
      <c r="L407" s="11"/>
      <c r="M407" s="755"/>
      <c r="N407" s="11"/>
      <c r="O407" s="11"/>
      <c r="P407" s="11"/>
      <c r="Q407" s="11"/>
      <c r="R407" s="11"/>
      <c r="S407" s="11"/>
      <c r="T407" s="11"/>
      <c r="U407" s="11"/>
      <c r="V407" s="11"/>
      <c r="W407" s="11"/>
      <c r="X407" s="11"/>
    </row>
    <row r="408" ht="13.5" customHeight="1">
      <c r="A408" s="11"/>
      <c r="B408" s="1"/>
      <c r="C408" s="1"/>
      <c r="D408" s="1"/>
      <c r="E408" s="1"/>
      <c r="F408" s="1"/>
      <c r="G408" s="11"/>
      <c r="H408" s="11"/>
      <c r="I408" s="11"/>
      <c r="J408" s="11"/>
      <c r="K408" s="11"/>
      <c r="L408" s="11"/>
      <c r="M408" s="755"/>
      <c r="N408" s="11"/>
      <c r="O408" s="11"/>
      <c r="P408" s="11"/>
      <c r="Q408" s="11"/>
      <c r="R408" s="11"/>
      <c r="S408" s="11"/>
      <c r="T408" s="11"/>
      <c r="U408" s="11"/>
      <c r="V408" s="11"/>
      <c r="W408" s="11"/>
      <c r="X408" s="11"/>
    </row>
    <row r="409" ht="13.5" customHeight="1">
      <c r="A409" s="11"/>
      <c r="B409" s="758" t="s">
        <v>1382</v>
      </c>
      <c r="C409" s="5"/>
      <c r="D409" s="5"/>
      <c r="E409" s="6"/>
      <c r="F409" s="1"/>
      <c r="G409" s="11"/>
      <c r="H409" s="11"/>
      <c r="I409" s="11"/>
      <c r="J409" s="11"/>
      <c r="K409" s="11"/>
      <c r="L409" s="11"/>
      <c r="M409" s="755"/>
      <c r="N409" s="11"/>
      <c r="O409" s="11"/>
      <c r="P409" s="11"/>
      <c r="Q409" s="11"/>
      <c r="R409" s="11"/>
      <c r="S409" s="11"/>
      <c r="T409" s="11"/>
      <c r="U409" s="11"/>
      <c r="V409" s="11"/>
      <c r="W409" s="11"/>
      <c r="X409" s="11"/>
    </row>
    <row r="410" ht="13.5" customHeight="1">
      <c r="A410" s="11"/>
      <c r="B410" s="25" t="s">
        <v>1</v>
      </c>
      <c r="C410" s="314">
        <v>100.0</v>
      </c>
      <c r="D410" s="762">
        <v>180.0</v>
      </c>
      <c r="E410" s="28" t="s">
        <v>5</v>
      </c>
      <c r="F410" s="1"/>
      <c r="G410" s="11"/>
      <c r="H410" s="11"/>
      <c r="I410" s="11"/>
      <c r="J410" s="11"/>
      <c r="K410" s="11"/>
      <c r="L410" s="11"/>
      <c r="M410" s="755"/>
      <c r="N410" s="11"/>
      <c r="O410" s="11"/>
      <c r="P410" s="11"/>
      <c r="Q410" s="11"/>
      <c r="R410" s="11"/>
      <c r="S410" s="11"/>
      <c r="T410" s="11"/>
      <c r="U410" s="11"/>
      <c r="V410" s="11"/>
      <c r="W410" s="11"/>
      <c r="X410" s="11"/>
    </row>
    <row r="411" ht="15.75" customHeight="1">
      <c r="A411" s="11"/>
      <c r="B411" s="163" t="s">
        <v>1212</v>
      </c>
      <c r="C411" s="285">
        <v>5.0</v>
      </c>
      <c r="D411" s="285">
        <f t="shared" ref="D411:D427" si="33">(C411*D410)/C410</f>
        <v>9</v>
      </c>
      <c r="E411" s="169" t="s">
        <v>14</v>
      </c>
      <c r="F411" s="1"/>
      <c r="G411" s="11"/>
      <c r="H411" s="11"/>
      <c r="I411" s="11"/>
      <c r="J411" s="11"/>
      <c r="K411" s="11"/>
      <c r="L411" s="11"/>
      <c r="M411" s="755"/>
      <c r="N411" s="11"/>
      <c r="O411" s="11"/>
      <c r="P411" s="11"/>
      <c r="Q411" s="11"/>
      <c r="R411" s="11"/>
      <c r="S411" s="11"/>
      <c r="T411" s="11"/>
      <c r="U411" s="11"/>
      <c r="V411" s="11"/>
      <c r="W411" s="11"/>
      <c r="X411" s="11"/>
    </row>
    <row r="412" ht="15.75" customHeight="1">
      <c r="A412" s="11"/>
      <c r="B412" s="177" t="s">
        <v>31</v>
      </c>
      <c r="C412" s="198">
        <v>1200.0</v>
      </c>
      <c r="D412" s="198">
        <f t="shared" si="33"/>
        <v>2160</v>
      </c>
      <c r="E412" s="204" t="s">
        <v>18</v>
      </c>
      <c r="F412" s="1"/>
      <c r="G412" s="11"/>
      <c r="H412" s="11"/>
      <c r="I412" s="11"/>
      <c r="J412" s="11"/>
      <c r="K412" s="11"/>
      <c r="L412" s="11"/>
      <c r="M412" s="755"/>
      <c r="N412" s="11"/>
      <c r="O412" s="11"/>
      <c r="P412" s="11"/>
      <c r="Q412" s="11"/>
      <c r="R412" s="11"/>
      <c r="S412" s="11"/>
      <c r="T412" s="11"/>
      <c r="U412" s="11"/>
      <c r="V412" s="11"/>
      <c r="W412" s="11"/>
      <c r="X412" s="11"/>
    </row>
    <row r="413" ht="15.0" customHeight="1">
      <c r="A413" s="11"/>
      <c r="B413" s="177" t="s">
        <v>52</v>
      </c>
      <c r="C413" s="198">
        <v>100.0</v>
      </c>
      <c r="D413" s="198">
        <f t="shared" si="33"/>
        <v>180</v>
      </c>
      <c r="E413" s="204" t="s">
        <v>18</v>
      </c>
      <c r="F413" s="1"/>
      <c r="G413" s="11"/>
      <c r="H413" s="11"/>
      <c r="I413" s="11"/>
      <c r="J413" s="11"/>
      <c r="K413" s="11"/>
      <c r="L413" s="11"/>
      <c r="M413" s="755"/>
      <c r="N413" s="11"/>
      <c r="O413" s="11"/>
      <c r="P413" s="11"/>
      <c r="Q413" s="11"/>
      <c r="R413" s="11"/>
      <c r="S413" s="11"/>
      <c r="T413" s="11"/>
      <c r="U413" s="11"/>
      <c r="V413" s="11"/>
      <c r="W413" s="11"/>
      <c r="X413" s="11"/>
    </row>
    <row r="414" ht="15.0" customHeight="1">
      <c r="A414" s="11"/>
      <c r="B414" s="262" t="s">
        <v>101</v>
      </c>
      <c r="C414" s="383">
        <v>1.0</v>
      </c>
      <c r="D414" s="383">
        <f t="shared" si="33"/>
        <v>1.8</v>
      </c>
      <c r="E414" s="267" t="s">
        <v>5</v>
      </c>
      <c r="F414" s="1"/>
      <c r="G414" s="11"/>
      <c r="H414" s="11"/>
      <c r="I414" s="11"/>
      <c r="J414" s="11"/>
      <c r="K414" s="11"/>
      <c r="L414" s="11"/>
      <c r="M414" s="755"/>
      <c r="N414" s="11"/>
      <c r="O414" s="11"/>
      <c r="P414" s="11"/>
      <c r="Q414" s="11"/>
      <c r="R414" s="11"/>
      <c r="S414" s="11"/>
      <c r="T414" s="11"/>
      <c r="U414" s="11"/>
      <c r="V414" s="11"/>
      <c r="W414" s="11"/>
      <c r="X414" s="11"/>
    </row>
    <row r="415" ht="15.0" customHeight="1">
      <c r="A415" s="11"/>
      <c r="B415" s="1236" t="s">
        <v>80</v>
      </c>
      <c r="C415" s="285">
        <v>1.9</v>
      </c>
      <c r="D415" s="285">
        <f t="shared" si="33"/>
        <v>3.42</v>
      </c>
      <c r="E415" s="169" t="s">
        <v>14</v>
      </c>
      <c r="F415" s="1"/>
      <c r="G415" s="11"/>
      <c r="H415" s="11"/>
      <c r="I415" s="11"/>
      <c r="J415" s="11"/>
      <c r="K415" s="11"/>
      <c r="L415" s="11"/>
      <c r="M415" s="755"/>
      <c r="N415" s="11"/>
      <c r="O415" s="11"/>
      <c r="P415" s="11"/>
      <c r="Q415" s="11"/>
      <c r="R415" s="11"/>
      <c r="S415" s="11"/>
      <c r="T415" s="11"/>
      <c r="U415" s="11"/>
      <c r="V415" s="11"/>
      <c r="W415" s="11"/>
      <c r="X415" s="11"/>
    </row>
    <row r="416" ht="15.0" customHeight="1">
      <c r="A416" s="11"/>
      <c r="B416" s="1238" t="s">
        <v>173</v>
      </c>
      <c r="C416" s="211">
        <v>1200.0</v>
      </c>
      <c r="D416" s="211">
        <f t="shared" si="33"/>
        <v>2160</v>
      </c>
      <c r="E416" s="212" t="s">
        <v>18</v>
      </c>
      <c r="F416" s="1"/>
      <c r="G416" s="11"/>
      <c r="H416" s="11"/>
      <c r="I416" s="11"/>
      <c r="J416" s="11"/>
      <c r="K416" s="11"/>
      <c r="L416" s="11"/>
      <c r="M416" s="755"/>
      <c r="N416" s="11"/>
      <c r="O416" s="11"/>
      <c r="P416" s="11"/>
      <c r="Q416" s="11"/>
      <c r="R416" s="11"/>
      <c r="S416" s="11"/>
      <c r="T416" s="11"/>
      <c r="U416" s="11"/>
      <c r="V416" s="11"/>
      <c r="W416" s="11"/>
      <c r="X416" s="11"/>
    </row>
    <row r="417" ht="15.75" customHeight="1">
      <c r="A417" s="11"/>
      <c r="B417" s="1236" t="s">
        <v>1385</v>
      </c>
      <c r="C417" s="285">
        <v>70.0</v>
      </c>
      <c r="D417" s="285">
        <f t="shared" si="33"/>
        <v>126</v>
      </c>
      <c r="E417" s="169" t="s">
        <v>18</v>
      </c>
      <c r="F417" s="1"/>
      <c r="G417" s="11"/>
      <c r="H417" s="11"/>
      <c r="I417" s="11"/>
      <c r="J417" s="11"/>
      <c r="K417" s="11"/>
      <c r="L417" s="11"/>
      <c r="M417" s="755"/>
      <c r="N417" s="11"/>
      <c r="O417" s="11"/>
      <c r="P417" s="11"/>
      <c r="Q417" s="11"/>
      <c r="R417" s="11"/>
      <c r="S417" s="11"/>
      <c r="T417" s="11"/>
      <c r="U417" s="11"/>
      <c r="V417" s="11"/>
      <c r="W417" s="11"/>
      <c r="X417" s="11"/>
    </row>
    <row r="418" ht="15.0" customHeight="1">
      <c r="A418" s="11"/>
      <c r="B418" s="1239" t="s">
        <v>1386</v>
      </c>
      <c r="C418" s="198">
        <v>0.14</v>
      </c>
      <c r="D418" s="198">
        <f t="shared" si="33"/>
        <v>0.252</v>
      </c>
      <c r="E418" s="204" t="s">
        <v>14</v>
      </c>
      <c r="F418" s="1"/>
      <c r="G418" s="11"/>
      <c r="H418" s="11"/>
      <c r="I418" s="11"/>
      <c r="J418" s="11"/>
      <c r="K418" s="11"/>
      <c r="L418" s="11"/>
      <c r="M418" s="755"/>
      <c r="N418" s="11"/>
      <c r="O418" s="11"/>
      <c r="P418" s="11"/>
      <c r="Q418" s="11"/>
      <c r="R418" s="11"/>
      <c r="S418" s="11"/>
      <c r="T418" s="11"/>
      <c r="U418" s="11"/>
      <c r="V418" s="11"/>
      <c r="W418" s="11"/>
      <c r="X418" s="11"/>
    </row>
    <row r="419" ht="15.0" customHeight="1">
      <c r="A419" s="11"/>
      <c r="B419" s="1239" t="s">
        <v>234</v>
      </c>
      <c r="C419" s="198">
        <v>70.0</v>
      </c>
      <c r="D419" s="198">
        <f t="shared" si="33"/>
        <v>126</v>
      </c>
      <c r="E419" s="204" t="s">
        <v>18</v>
      </c>
      <c r="F419" s="1"/>
      <c r="G419" s="11"/>
      <c r="H419" s="11"/>
      <c r="I419" s="11"/>
      <c r="J419" s="11"/>
      <c r="K419" s="11"/>
      <c r="L419" s="11"/>
      <c r="M419" s="755"/>
      <c r="N419" s="11"/>
      <c r="O419" s="11"/>
      <c r="P419" s="11"/>
      <c r="Q419" s="11"/>
      <c r="R419" s="11"/>
      <c r="S419" s="11"/>
      <c r="T419" s="11"/>
      <c r="U419" s="11"/>
      <c r="V419" s="11"/>
      <c r="W419" s="11"/>
      <c r="X419" s="11"/>
    </row>
    <row r="420" ht="15.0" customHeight="1">
      <c r="A420" s="11"/>
      <c r="B420" s="1238" t="s">
        <v>112</v>
      </c>
      <c r="C420" s="211">
        <v>90.0</v>
      </c>
      <c r="D420" s="211">
        <f t="shared" si="33"/>
        <v>162</v>
      </c>
      <c r="E420" s="212" t="s">
        <v>18</v>
      </c>
      <c r="F420" s="1"/>
      <c r="G420" s="11"/>
      <c r="H420" s="11"/>
      <c r="I420" s="11"/>
      <c r="J420" s="11"/>
      <c r="K420" s="11"/>
      <c r="L420" s="11"/>
      <c r="M420" s="755"/>
      <c r="N420" s="11"/>
      <c r="O420" s="11"/>
      <c r="P420" s="11"/>
      <c r="Q420" s="11"/>
      <c r="R420" s="11"/>
      <c r="S420" s="11"/>
      <c r="T420" s="11"/>
      <c r="U420" s="11"/>
      <c r="V420" s="11"/>
      <c r="W420" s="11"/>
      <c r="X420" s="11"/>
    </row>
    <row r="421" ht="15.0" customHeight="1">
      <c r="A421" s="11"/>
      <c r="B421" s="458" t="s">
        <v>1217</v>
      </c>
      <c r="C421" s="460">
        <v>14.0</v>
      </c>
      <c r="D421" s="460">
        <f t="shared" si="33"/>
        <v>25.2</v>
      </c>
      <c r="E421" s="463" t="s">
        <v>14</v>
      </c>
      <c r="F421" s="1"/>
      <c r="G421" s="11"/>
      <c r="H421" s="11"/>
      <c r="I421" s="11"/>
      <c r="J421" s="11"/>
      <c r="K421" s="11"/>
      <c r="L421" s="11"/>
      <c r="M421" s="755"/>
      <c r="N421" s="11"/>
      <c r="O421" s="11"/>
      <c r="P421" s="11"/>
      <c r="Q421" s="11"/>
      <c r="R421" s="11"/>
      <c r="S421" s="11"/>
      <c r="T421" s="11"/>
      <c r="U421" s="11"/>
      <c r="V421" s="11"/>
      <c r="W421" s="11"/>
      <c r="X421" s="11"/>
    </row>
    <row r="422" ht="15.0" customHeight="1">
      <c r="A422" s="11"/>
      <c r="B422" s="157" t="s">
        <v>34</v>
      </c>
      <c r="C422" s="390">
        <v>1.0</v>
      </c>
      <c r="D422" s="390">
        <f t="shared" si="33"/>
        <v>1.8</v>
      </c>
      <c r="E422" s="159" t="s">
        <v>5</v>
      </c>
      <c r="F422" s="1"/>
      <c r="G422" s="11"/>
      <c r="H422" s="11"/>
      <c r="I422" s="11"/>
      <c r="J422" s="11"/>
      <c r="K422" s="11"/>
      <c r="L422" s="11"/>
      <c r="M422" s="755"/>
      <c r="N422" s="11"/>
      <c r="O422" s="11"/>
      <c r="P422" s="11"/>
      <c r="Q422" s="11"/>
      <c r="R422" s="11"/>
      <c r="S422" s="11"/>
      <c r="T422" s="11"/>
      <c r="U422" s="11"/>
      <c r="V422" s="11"/>
      <c r="W422" s="11"/>
      <c r="X422" s="11"/>
    </row>
    <row r="423" ht="15.0" customHeight="1">
      <c r="A423" s="11"/>
      <c r="B423" s="177" t="s">
        <v>97</v>
      </c>
      <c r="C423" s="198">
        <v>125.0</v>
      </c>
      <c r="D423" s="198">
        <f t="shared" si="33"/>
        <v>225</v>
      </c>
      <c r="E423" s="204" t="s">
        <v>18</v>
      </c>
      <c r="F423" s="1"/>
      <c r="G423" s="11"/>
      <c r="H423" s="11"/>
      <c r="I423" s="11"/>
      <c r="J423" s="11"/>
      <c r="K423" s="11"/>
      <c r="L423" s="11"/>
      <c r="M423" s="755"/>
      <c r="N423" s="11"/>
      <c r="O423" s="11"/>
      <c r="P423" s="11"/>
      <c r="Q423" s="11"/>
      <c r="R423" s="11"/>
      <c r="S423" s="11"/>
      <c r="T423" s="11"/>
      <c r="U423" s="11"/>
      <c r="V423" s="11"/>
      <c r="W423" s="11"/>
      <c r="X423" s="11"/>
    </row>
    <row r="424" ht="15.0" customHeight="1">
      <c r="A424" s="11"/>
      <c r="B424" s="177" t="s">
        <v>847</v>
      </c>
      <c r="C424" s="198">
        <v>50.0</v>
      </c>
      <c r="D424" s="198">
        <f t="shared" si="33"/>
        <v>90</v>
      </c>
      <c r="E424" s="204" t="s">
        <v>18</v>
      </c>
      <c r="F424" s="1"/>
      <c r="G424" s="11"/>
      <c r="H424" s="11"/>
      <c r="I424" s="11"/>
      <c r="J424" s="11"/>
      <c r="K424" s="11"/>
      <c r="L424" s="11"/>
      <c r="M424" s="755"/>
      <c r="N424" s="11"/>
      <c r="O424" s="11"/>
      <c r="P424" s="11"/>
      <c r="Q424" s="11"/>
      <c r="R424" s="11"/>
      <c r="S424" s="11"/>
      <c r="T424" s="11"/>
      <c r="U424" s="11"/>
      <c r="V424" s="11"/>
      <c r="W424" s="11"/>
      <c r="X424" s="11"/>
    </row>
    <row r="425" ht="15.0" customHeight="1">
      <c r="A425" s="11"/>
      <c r="B425" s="177" t="s">
        <v>103</v>
      </c>
      <c r="C425" s="198">
        <v>75.0</v>
      </c>
      <c r="D425" s="198">
        <f t="shared" si="33"/>
        <v>135</v>
      </c>
      <c r="E425" s="204" t="s">
        <v>18</v>
      </c>
      <c r="F425" s="1"/>
      <c r="G425" s="11"/>
      <c r="H425" s="11"/>
      <c r="I425" s="11"/>
      <c r="J425" s="11"/>
      <c r="K425" s="11"/>
      <c r="L425" s="11"/>
      <c r="M425" s="755"/>
      <c r="N425" s="11"/>
      <c r="O425" s="11"/>
      <c r="P425" s="11"/>
      <c r="Q425" s="11"/>
      <c r="R425" s="11"/>
      <c r="S425" s="11"/>
      <c r="T425" s="11"/>
      <c r="U425" s="11"/>
      <c r="V425" s="11"/>
      <c r="W425" s="11"/>
      <c r="X425" s="11"/>
    </row>
    <row r="426" ht="15.0" customHeight="1">
      <c r="A426" s="11"/>
      <c r="B426" s="177" t="s">
        <v>193</v>
      </c>
      <c r="C426" s="198">
        <v>1.5</v>
      </c>
      <c r="D426" s="198">
        <f t="shared" si="33"/>
        <v>2.7</v>
      </c>
      <c r="E426" s="204" t="s">
        <v>5</v>
      </c>
      <c r="F426" s="1"/>
      <c r="G426" s="11"/>
      <c r="H426" s="11"/>
      <c r="I426" s="11"/>
      <c r="J426" s="11"/>
      <c r="K426" s="11"/>
      <c r="L426" s="11"/>
      <c r="M426" s="755"/>
      <c r="N426" s="11"/>
      <c r="O426" s="11"/>
      <c r="P426" s="11"/>
      <c r="Q426" s="11"/>
      <c r="R426" s="11"/>
      <c r="S426" s="11"/>
      <c r="T426" s="11"/>
      <c r="U426" s="11"/>
      <c r="V426" s="11"/>
      <c r="W426" s="11"/>
      <c r="X426" s="11"/>
    </row>
    <row r="427" ht="15.0" customHeight="1">
      <c r="A427" s="11"/>
      <c r="B427" s="208" t="s">
        <v>114</v>
      </c>
      <c r="C427" s="211">
        <v>2.5</v>
      </c>
      <c r="D427" s="211">
        <f t="shared" si="33"/>
        <v>4.5</v>
      </c>
      <c r="E427" s="212" t="s">
        <v>5</v>
      </c>
      <c r="F427" s="1"/>
      <c r="G427" s="11"/>
      <c r="H427" s="11"/>
      <c r="I427" s="11"/>
      <c r="J427" s="11"/>
      <c r="K427" s="11"/>
      <c r="L427" s="11"/>
      <c r="M427" s="755"/>
      <c r="N427" s="11"/>
      <c r="O427" s="11"/>
      <c r="P427" s="11"/>
      <c r="Q427" s="11"/>
      <c r="R427" s="11"/>
      <c r="S427" s="11"/>
      <c r="T427" s="11"/>
      <c r="U427" s="11"/>
      <c r="V427" s="11"/>
      <c r="W427" s="11"/>
      <c r="X427" s="11"/>
    </row>
    <row r="428" ht="15.0" customHeight="1">
      <c r="A428" s="11"/>
      <c r="B428" s="220" t="s">
        <v>42</v>
      </c>
      <c r="C428" s="220" t="s">
        <v>725</v>
      </c>
      <c r="D428" s="1"/>
      <c r="E428" s="1"/>
      <c r="F428" s="11"/>
      <c r="G428" s="11"/>
      <c r="H428" s="11"/>
      <c r="I428" s="11"/>
      <c r="J428" s="11"/>
      <c r="K428" s="11"/>
      <c r="L428" s="11"/>
      <c r="M428" s="755"/>
      <c r="N428" s="11"/>
      <c r="O428" s="11"/>
      <c r="P428" s="11"/>
      <c r="Q428" s="11"/>
      <c r="R428" s="11"/>
      <c r="S428" s="11"/>
      <c r="T428" s="11"/>
      <c r="U428" s="11"/>
      <c r="V428" s="11"/>
      <c r="W428" s="11"/>
      <c r="X428" s="11"/>
    </row>
    <row r="429" ht="15.0" customHeight="1">
      <c r="A429" s="11"/>
      <c r="B429" s="11"/>
      <c r="C429" s="11"/>
      <c r="D429" s="11"/>
      <c r="E429" s="11"/>
      <c r="F429" s="11"/>
      <c r="G429" s="11"/>
      <c r="H429" s="11"/>
      <c r="I429" s="11"/>
      <c r="J429" s="11"/>
      <c r="K429" s="11"/>
      <c r="L429" s="11"/>
      <c r="M429" s="755"/>
      <c r="N429" s="11"/>
      <c r="O429" s="11"/>
      <c r="P429" s="11"/>
      <c r="Q429" s="11"/>
      <c r="R429" s="11"/>
      <c r="S429" s="11"/>
      <c r="T429" s="11"/>
      <c r="U429" s="11"/>
      <c r="V429" s="11"/>
      <c r="W429" s="11"/>
      <c r="X429" s="11"/>
    </row>
    <row r="430" ht="15.0" customHeight="1">
      <c r="A430" s="11"/>
      <c r="B430" s="4" t="s">
        <v>472</v>
      </c>
      <c r="C430" s="5"/>
      <c r="D430" s="5"/>
      <c r="E430" s="6"/>
      <c r="F430" s="284"/>
      <c r="G430" s="11"/>
      <c r="H430" s="11"/>
      <c r="I430" s="11"/>
      <c r="J430" s="11"/>
      <c r="K430" s="11"/>
      <c r="L430" s="11"/>
      <c r="M430" s="755"/>
      <c r="N430" s="11"/>
      <c r="O430" s="11"/>
      <c r="P430" s="11"/>
      <c r="Q430" s="11"/>
      <c r="R430" s="11"/>
      <c r="S430" s="11"/>
      <c r="T430" s="11"/>
      <c r="U430" s="11"/>
      <c r="V430" s="11"/>
      <c r="W430" s="11"/>
      <c r="X430" s="11"/>
    </row>
    <row r="431" ht="15.0" customHeight="1">
      <c r="A431" s="11"/>
      <c r="B431" s="51" t="s">
        <v>1</v>
      </c>
      <c r="C431" s="1247">
        <v>100.0</v>
      </c>
      <c r="D431" s="1247">
        <v>9.0</v>
      </c>
      <c r="E431" s="514" t="s">
        <v>190</v>
      </c>
      <c r="F431" s="284"/>
      <c r="G431" s="11"/>
      <c r="H431" s="11"/>
      <c r="I431" s="11"/>
      <c r="J431" s="11"/>
      <c r="K431" s="11"/>
      <c r="L431" s="11"/>
      <c r="M431" s="755"/>
      <c r="N431" s="11"/>
      <c r="O431" s="11"/>
      <c r="P431" s="11"/>
      <c r="Q431" s="11"/>
      <c r="R431" s="11"/>
      <c r="S431" s="11"/>
      <c r="T431" s="11"/>
      <c r="U431" s="11"/>
      <c r="V431" s="11"/>
      <c r="W431" s="11"/>
      <c r="X431" s="11"/>
    </row>
    <row r="432" ht="15.0" customHeight="1">
      <c r="A432" s="11"/>
      <c r="B432" s="68" t="s">
        <v>805</v>
      </c>
      <c r="C432" s="73">
        <v>9.0</v>
      </c>
      <c r="D432" s="73">
        <f t="shared" ref="D432:D453" si="34">(C432*D431)/C431</f>
        <v>0.81</v>
      </c>
      <c r="E432" s="216" t="s">
        <v>366</v>
      </c>
      <c r="F432" s="140" t="s">
        <v>1404</v>
      </c>
      <c r="G432" s="11"/>
      <c r="H432" s="11"/>
      <c r="I432" s="11"/>
      <c r="J432" s="11"/>
      <c r="K432" s="11"/>
      <c r="L432" s="11"/>
      <c r="M432" s="755"/>
      <c r="N432" s="11"/>
      <c r="O432" s="11"/>
      <c r="P432" s="11"/>
      <c r="Q432" s="11"/>
      <c r="R432" s="11"/>
      <c r="S432" s="11"/>
      <c r="T432" s="11"/>
      <c r="U432" s="11"/>
      <c r="V432" s="11"/>
      <c r="W432" s="11"/>
      <c r="X432" s="11"/>
    </row>
    <row r="433" ht="13.5" customHeight="1">
      <c r="A433" s="11"/>
      <c r="B433" s="138" t="s">
        <v>31</v>
      </c>
      <c r="C433" s="143">
        <v>1300.0</v>
      </c>
      <c r="D433" s="143">
        <f t="shared" si="34"/>
        <v>117</v>
      </c>
      <c r="E433" s="242" t="s">
        <v>18</v>
      </c>
      <c r="F433" s="104"/>
      <c r="G433" s="11"/>
      <c r="H433" s="11"/>
      <c r="I433" s="11"/>
      <c r="J433" s="11"/>
      <c r="K433" s="11"/>
      <c r="L433" s="11"/>
      <c r="M433" s="755"/>
      <c r="N433" s="11"/>
      <c r="O433" s="11"/>
      <c r="P433" s="11"/>
      <c r="Q433" s="11"/>
      <c r="R433" s="11"/>
      <c r="S433" s="11"/>
      <c r="T433" s="11"/>
      <c r="U433" s="11"/>
      <c r="V433" s="11"/>
      <c r="W433" s="11"/>
      <c r="X433" s="11"/>
    </row>
    <row r="434" ht="13.5" customHeight="1">
      <c r="A434" s="11"/>
      <c r="B434" s="68" t="s">
        <v>1406</v>
      </c>
      <c r="C434" s="73">
        <v>15.0</v>
      </c>
      <c r="D434" s="73">
        <f t="shared" si="34"/>
        <v>1.35</v>
      </c>
      <c r="E434" s="216" t="s">
        <v>366</v>
      </c>
      <c r="F434" s="140" t="s">
        <v>1408</v>
      </c>
      <c r="G434" s="11"/>
      <c r="H434" s="11"/>
      <c r="I434" s="11"/>
      <c r="J434" s="11"/>
      <c r="K434" s="11"/>
      <c r="L434" s="11"/>
      <c r="M434" s="755"/>
      <c r="N434" s="11"/>
      <c r="O434" s="11"/>
      <c r="P434" s="11"/>
      <c r="Q434" s="11"/>
      <c r="R434" s="11"/>
      <c r="S434" s="11"/>
      <c r="T434" s="11"/>
      <c r="U434" s="11"/>
      <c r="V434" s="11"/>
      <c r="W434" s="11"/>
      <c r="X434" s="11"/>
    </row>
    <row r="435" ht="13.5" customHeight="1">
      <c r="A435" s="11"/>
      <c r="B435" s="93" t="s">
        <v>1409</v>
      </c>
      <c r="C435" s="94">
        <v>7.5</v>
      </c>
      <c r="D435" s="94">
        <f t="shared" si="34"/>
        <v>0.675</v>
      </c>
      <c r="E435" s="249" t="s">
        <v>366</v>
      </c>
      <c r="G435" s="11"/>
      <c r="H435" s="11"/>
      <c r="I435" s="11"/>
      <c r="J435" s="11"/>
      <c r="K435" s="11"/>
      <c r="L435" s="11"/>
      <c r="M435" s="755"/>
      <c r="N435" s="11"/>
      <c r="O435" s="11"/>
      <c r="P435" s="11"/>
      <c r="Q435" s="11"/>
      <c r="R435" s="11"/>
      <c r="S435" s="11"/>
      <c r="T435" s="11"/>
      <c r="U435" s="11"/>
      <c r="V435" s="11"/>
      <c r="W435" s="11"/>
      <c r="X435" s="11"/>
    </row>
    <row r="436" ht="15.0" customHeight="1">
      <c r="A436" s="11"/>
      <c r="B436" s="93" t="s">
        <v>1411</v>
      </c>
      <c r="C436" s="94">
        <v>5.0</v>
      </c>
      <c r="D436" s="94">
        <f t="shared" si="34"/>
        <v>0.45</v>
      </c>
      <c r="E436" s="249" t="s">
        <v>14</v>
      </c>
      <c r="G436" s="11"/>
      <c r="H436" s="11"/>
      <c r="I436" s="11"/>
      <c r="J436" s="11"/>
      <c r="K436" s="11"/>
      <c r="L436" s="11"/>
      <c r="M436" s="755"/>
      <c r="N436" s="11"/>
      <c r="O436" s="11"/>
      <c r="P436" s="11"/>
      <c r="Q436" s="11"/>
      <c r="R436" s="11"/>
      <c r="S436" s="11"/>
      <c r="T436" s="11"/>
      <c r="U436" s="11"/>
      <c r="V436" s="11"/>
      <c r="W436" s="11"/>
      <c r="X436" s="11"/>
    </row>
    <row r="437" ht="13.5" customHeight="1">
      <c r="A437" s="11"/>
      <c r="B437" s="93" t="s">
        <v>1412</v>
      </c>
      <c r="C437" s="94">
        <v>7.5</v>
      </c>
      <c r="D437" s="94">
        <f t="shared" si="34"/>
        <v>0.675</v>
      </c>
      <c r="E437" s="249" t="s">
        <v>366</v>
      </c>
      <c r="G437" s="11"/>
      <c r="H437" s="11"/>
      <c r="I437" s="11"/>
      <c r="J437" s="11"/>
      <c r="K437" s="11"/>
      <c r="L437" s="11"/>
      <c r="M437" s="755"/>
      <c r="N437" s="11"/>
      <c r="O437" s="11"/>
      <c r="P437" s="11"/>
      <c r="Q437" s="11"/>
      <c r="R437" s="11"/>
      <c r="S437" s="11"/>
      <c r="T437" s="11"/>
      <c r="U437" s="11"/>
      <c r="V437" s="11"/>
      <c r="W437" s="11"/>
      <c r="X437" s="11"/>
    </row>
    <row r="438" ht="13.5" customHeight="1">
      <c r="A438" s="11"/>
      <c r="B438" s="138" t="s">
        <v>1413</v>
      </c>
      <c r="C438" s="143">
        <v>15.0</v>
      </c>
      <c r="D438" s="143">
        <f t="shared" si="34"/>
        <v>1.35</v>
      </c>
      <c r="E438" s="242" t="s">
        <v>366</v>
      </c>
      <c r="G438" s="11"/>
      <c r="H438" s="11"/>
      <c r="I438" s="11"/>
      <c r="J438" s="11"/>
      <c r="K438" s="11"/>
      <c r="L438" s="11"/>
      <c r="M438" s="755"/>
      <c r="N438" s="11"/>
      <c r="O438" s="11"/>
      <c r="P438" s="11"/>
      <c r="Q438" s="11"/>
      <c r="R438" s="11"/>
      <c r="S438" s="11"/>
      <c r="T438" s="11"/>
      <c r="U438" s="11"/>
      <c r="V438" s="11"/>
      <c r="W438" s="11"/>
      <c r="X438" s="11"/>
    </row>
    <row r="439" ht="13.5" customHeight="1">
      <c r="A439" s="11"/>
      <c r="B439" s="751" t="s">
        <v>1415</v>
      </c>
      <c r="C439" s="752">
        <f>SUM(C434:C438)</f>
        <v>50</v>
      </c>
      <c r="D439" s="752">
        <f t="shared" si="34"/>
        <v>4.5</v>
      </c>
      <c r="E439" s="754" t="s">
        <v>366</v>
      </c>
      <c r="F439" s="104"/>
      <c r="G439" s="11"/>
      <c r="H439" s="11"/>
      <c r="I439" s="11"/>
      <c r="J439" s="11"/>
      <c r="K439" s="11"/>
      <c r="L439" s="11"/>
      <c r="M439" s="755"/>
      <c r="N439" s="11"/>
      <c r="O439" s="11"/>
      <c r="P439" s="11"/>
      <c r="Q439" s="11"/>
      <c r="R439" s="11"/>
      <c r="S439" s="11"/>
      <c r="T439" s="11"/>
      <c r="U439" s="11"/>
      <c r="V439" s="11"/>
      <c r="W439" s="11"/>
      <c r="X439" s="11"/>
    </row>
    <row r="440" ht="13.5" customHeight="1">
      <c r="A440" s="11"/>
      <c r="B440" s="417" t="s">
        <v>292</v>
      </c>
      <c r="C440" s="1253">
        <v>10.0</v>
      </c>
      <c r="D440" s="1253">
        <f t="shared" si="34"/>
        <v>0.9</v>
      </c>
      <c r="E440" s="543" t="s">
        <v>366</v>
      </c>
      <c r="F440" s="495"/>
      <c r="G440" s="11"/>
      <c r="H440" s="11"/>
      <c r="I440" s="11"/>
      <c r="J440" s="11"/>
      <c r="K440" s="11"/>
      <c r="L440" s="11"/>
      <c r="M440" s="755"/>
      <c r="N440" s="11"/>
      <c r="O440" s="11"/>
      <c r="P440" s="11"/>
      <c r="Q440" s="11"/>
      <c r="R440" s="11"/>
      <c r="S440" s="11"/>
      <c r="T440" s="11"/>
      <c r="U440" s="11"/>
      <c r="V440" s="11"/>
      <c r="W440" s="11"/>
      <c r="X440" s="11"/>
    </row>
    <row r="441" ht="13.5" customHeight="1">
      <c r="A441" s="11"/>
      <c r="B441" s="68" t="s">
        <v>491</v>
      </c>
      <c r="C441" s="73">
        <v>2.0</v>
      </c>
      <c r="D441" s="73">
        <f t="shared" si="34"/>
        <v>0.18</v>
      </c>
      <c r="E441" s="216" t="s">
        <v>5</v>
      </c>
      <c r="F441" s="140" t="s">
        <v>1421</v>
      </c>
      <c r="G441" s="11"/>
      <c r="H441" s="11"/>
      <c r="I441" s="11"/>
      <c r="J441" s="11"/>
      <c r="K441" s="11"/>
      <c r="L441" s="11"/>
      <c r="M441" s="755"/>
      <c r="N441" s="11"/>
      <c r="O441" s="11"/>
      <c r="P441" s="11"/>
      <c r="Q441" s="11"/>
      <c r="R441" s="11"/>
      <c r="S441" s="11"/>
      <c r="T441" s="11"/>
      <c r="U441" s="11"/>
      <c r="V441" s="11"/>
      <c r="W441" s="11"/>
      <c r="X441" s="11"/>
    </row>
    <row r="442" ht="13.5" customHeight="1">
      <c r="A442" s="11"/>
      <c r="B442" s="93" t="s">
        <v>486</v>
      </c>
      <c r="C442" s="94">
        <v>250.0</v>
      </c>
      <c r="D442" s="94">
        <f t="shared" si="34"/>
        <v>22.5</v>
      </c>
      <c r="E442" s="249" t="s">
        <v>18</v>
      </c>
      <c r="G442" s="11"/>
      <c r="H442" s="11"/>
      <c r="I442" s="11"/>
      <c r="J442" s="11"/>
      <c r="K442" s="11"/>
      <c r="L442" s="11"/>
      <c r="M442" s="755"/>
      <c r="N442" s="11"/>
      <c r="O442" s="11"/>
      <c r="P442" s="11"/>
      <c r="Q442" s="11"/>
      <c r="R442" s="11"/>
      <c r="S442" s="11"/>
      <c r="T442" s="11"/>
      <c r="U442" s="11"/>
      <c r="V442" s="11"/>
      <c r="W442" s="11"/>
      <c r="X442" s="11"/>
    </row>
    <row r="443" ht="13.5" customHeight="1">
      <c r="A443" s="11"/>
      <c r="B443" s="93" t="s">
        <v>497</v>
      </c>
      <c r="C443" s="94">
        <v>25.0</v>
      </c>
      <c r="D443" s="94">
        <f t="shared" si="34"/>
        <v>2.25</v>
      </c>
      <c r="E443" s="249" t="s">
        <v>18</v>
      </c>
      <c r="G443" s="11"/>
      <c r="H443" s="11"/>
      <c r="I443" s="11"/>
      <c r="J443" s="11"/>
      <c r="K443" s="11"/>
      <c r="L443" s="11"/>
      <c r="M443" s="755"/>
      <c r="N443" s="11"/>
      <c r="O443" s="11"/>
      <c r="P443" s="11"/>
      <c r="Q443" s="11"/>
      <c r="R443" s="11"/>
      <c r="S443" s="11"/>
      <c r="T443" s="11"/>
      <c r="U443" s="11"/>
      <c r="V443" s="11"/>
      <c r="W443" s="11"/>
      <c r="X443" s="11"/>
    </row>
    <row r="444" ht="13.5" customHeight="1">
      <c r="A444" s="11"/>
      <c r="B444" s="93" t="s">
        <v>1423</v>
      </c>
      <c r="C444" s="94">
        <v>50.0</v>
      </c>
      <c r="D444" s="94">
        <f t="shared" si="34"/>
        <v>4.5</v>
      </c>
      <c r="E444" s="249" t="s">
        <v>18</v>
      </c>
      <c r="G444" s="11"/>
      <c r="H444" s="11"/>
      <c r="I444" s="11"/>
      <c r="J444" s="11"/>
      <c r="K444" s="11"/>
      <c r="L444" s="11"/>
      <c r="M444" s="755"/>
      <c r="N444" s="11"/>
      <c r="O444" s="11"/>
      <c r="P444" s="11"/>
      <c r="Q444" s="11"/>
      <c r="R444" s="11"/>
      <c r="S444" s="11"/>
      <c r="T444" s="11"/>
      <c r="U444" s="11"/>
      <c r="V444" s="11"/>
      <c r="W444" s="11"/>
      <c r="X444" s="11"/>
    </row>
    <row r="445" ht="13.5" customHeight="1">
      <c r="A445" s="11"/>
      <c r="B445" s="93" t="s">
        <v>1424</v>
      </c>
      <c r="C445" s="94">
        <v>250.0</v>
      </c>
      <c r="D445" s="94">
        <f t="shared" si="34"/>
        <v>22.5</v>
      </c>
      <c r="E445" s="249" t="s">
        <v>18</v>
      </c>
      <c r="G445" s="11"/>
      <c r="H445" s="11"/>
      <c r="I445" s="11"/>
      <c r="J445" s="11"/>
      <c r="K445" s="11"/>
      <c r="L445" s="11"/>
      <c r="M445" s="755"/>
      <c r="N445" s="11"/>
      <c r="O445" s="11"/>
      <c r="P445" s="11"/>
      <c r="Q445" s="11"/>
      <c r="R445" s="11"/>
      <c r="S445" s="11"/>
      <c r="T445" s="11"/>
      <c r="U445" s="11"/>
      <c r="V445" s="11"/>
      <c r="W445" s="11"/>
      <c r="X445" s="11"/>
    </row>
    <row r="446" ht="13.5" customHeight="1">
      <c r="A446" s="11"/>
      <c r="B446" s="358" t="s">
        <v>103</v>
      </c>
      <c r="C446" s="318">
        <v>100.0</v>
      </c>
      <c r="D446" s="318">
        <f t="shared" si="34"/>
        <v>9</v>
      </c>
      <c r="E446" s="775" t="s">
        <v>18</v>
      </c>
      <c r="F446" s="104"/>
      <c r="G446" s="11"/>
      <c r="H446" s="11"/>
      <c r="I446" s="11"/>
      <c r="J446" s="11"/>
      <c r="K446" s="11"/>
      <c r="L446" s="11"/>
      <c r="M446" s="755"/>
      <c r="N446" s="11"/>
      <c r="O446" s="11"/>
      <c r="P446" s="11"/>
      <c r="Q446" s="11"/>
      <c r="R446" s="11"/>
      <c r="S446" s="11"/>
      <c r="T446" s="11"/>
      <c r="U446" s="11"/>
      <c r="V446" s="11"/>
      <c r="W446" s="11"/>
      <c r="X446" s="11"/>
    </row>
    <row r="447" ht="13.5" customHeight="1">
      <c r="A447" s="11"/>
      <c r="B447" s="119" t="s">
        <v>1425</v>
      </c>
      <c r="C447" s="122">
        <v>400.0</v>
      </c>
      <c r="D447" s="122">
        <f t="shared" si="34"/>
        <v>36</v>
      </c>
      <c r="E447" s="520" t="s">
        <v>18</v>
      </c>
      <c r="F447" s="284"/>
      <c r="G447" s="11"/>
      <c r="H447" s="11"/>
      <c r="I447" s="11"/>
      <c r="J447" s="11"/>
      <c r="K447" s="11"/>
      <c r="L447" s="11"/>
      <c r="M447" s="755"/>
      <c r="N447" s="11"/>
      <c r="O447" s="11"/>
      <c r="P447" s="11"/>
      <c r="Q447" s="11"/>
      <c r="R447" s="11"/>
      <c r="S447" s="11"/>
      <c r="T447" s="11"/>
      <c r="U447" s="11"/>
      <c r="V447" s="11"/>
      <c r="W447" s="11"/>
      <c r="X447" s="11"/>
    </row>
    <row r="448" ht="13.5" customHeight="1">
      <c r="A448" s="11"/>
      <c r="B448" s="93" t="s">
        <v>1426</v>
      </c>
      <c r="C448" s="94">
        <v>50.0</v>
      </c>
      <c r="D448" s="94">
        <f t="shared" si="34"/>
        <v>4.5</v>
      </c>
      <c r="E448" s="249" t="s">
        <v>18</v>
      </c>
      <c r="F448" s="284"/>
      <c r="G448" s="11"/>
      <c r="H448" s="11"/>
      <c r="I448" s="11"/>
      <c r="J448" s="11"/>
      <c r="K448" s="11"/>
      <c r="L448" s="11"/>
      <c r="M448" s="755"/>
      <c r="N448" s="11"/>
      <c r="O448" s="11"/>
      <c r="P448" s="11"/>
      <c r="Q448" s="11"/>
      <c r="R448" s="11"/>
      <c r="S448" s="11"/>
      <c r="T448" s="11"/>
      <c r="U448" s="11"/>
      <c r="V448" s="11"/>
      <c r="W448" s="11"/>
      <c r="X448" s="11"/>
    </row>
    <row r="449" ht="15.0" customHeight="1">
      <c r="A449" s="11"/>
      <c r="B449" s="138" t="s">
        <v>1428</v>
      </c>
      <c r="C449" s="143">
        <v>100.0</v>
      </c>
      <c r="D449" s="143">
        <f t="shared" si="34"/>
        <v>9</v>
      </c>
      <c r="E449" s="242" t="s">
        <v>18</v>
      </c>
      <c r="F449" s="270"/>
      <c r="G449" s="11"/>
      <c r="H449" s="11"/>
      <c r="I449" s="11"/>
      <c r="J449" s="11"/>
      <c r="K449" s="11"/>
      <c r="L449" s="11"/>
      <c r="M449" s="755"/>
      <c r="N449" s="11"/>
      <c r="O449" s="11"/>
      <c r="P449" s="11"/>
      <c r="Q449" s="11"/>
      <c r="R449" s="11"/>
      <c r="S449" s="11"/>
      <c r="T449" s="11"/>
      <c r="U449" s="11"/>
      <c r="V449" s="11"/>
      <c r="W449" s="11"/>
      <c r="X449" s="11"/>
    </row>
    <row r="450" ht="13.5" customHeight="1">
      <c r="A450" s="11"/>
      <c r="B450" s="138" t="s">
        <v>1429</v>
      </c>
      <c r="C450" s="143">
        <v>50.0</v>
      </c>
      <c r="D450" s="143">
        <f t="shared" si="34"/>
        <v>4.5</v>
      </c>
      <c r="E450" s="242" t="s">
        <v>18</v>
      </c>
      <c r="F450" s="270"/>
      <c r="G450" s="11"/>
      <c r="H450" s="11"/>
      <c r="I450" s="11"/>
      <c r="J450" s="11"/>
      <c r="K450" s="11"/>
      <c r="L450" s="11"/>
      <c r="M450" s="755"/>
      <c r="N450" s="11"/>
      <c r="O450" s="11"/>
      <c r="P450" s="11"/>
      <c r="Q450" s="11"/>
      <c r="R450" s="11"/>
      <c r="S450" s="11"/>
      <c r="T450" s="11"/>
      <c r="U450" s="11"/>
      <c r="V450" s="11"/>
      <c r="W450" s="11"/>
      <c r="X450" s="11"/>
    </row>
    <row r="451" ht="15.0" customHeight="1">
      <c r="A451" s="11"/>
      <c r="B451" s="421" t="s">
        <v>80</v>
      </c>
      <c r="C451" s="1255">
        <v>0.175</v>
      </c>
      <c r="D451" s="1257">
        <f t="shared" si="34"/>
        <v>0.01575</v>
      </c>
      <c r="E451" s="1258" t="s">
        <v>14</v>
      </c>
      <c r="G451" s="11"/>
      <c r="H451" s="11"/>
      <c r="I451" s="11"/>
      <c r="J451" s="11"/>
      <c r="K451" s="11"/>
      <c r="L451" s="11"/>
      <c r="M451" s="755"/>
      <c r="N451" s="11"/>
      <c r="O451" s="11"/>
      <c r="P451" s="11"/>
      <c r="Q451" s="11"/>
      <c r="R451" s="11"/>
      <c r="S451" s="11"/>
      <c r="T451" s="11"/>
      <c r="U451" s="11"/>
      <c r="V451" s="11"/>
      <c r="W451" s="11"/>
      <c r="X451" s="11"/>
    </row>
    <row r="452" ht="13.5" customHeight="1">
      <c r="A452" s="11"/>
      <c r="B452" s="119" t="s">
        <v>350</v>
      </c>
      <c r="C452" s="122">
        <v>10.0</v>
      </c>
      <c r="D452" s="122">
        <f t="shared" si="34"/>
        <v>0.9</v>
      </c>
      <c r="E452" s="520" t="s">
        <v>9</v>
      </c>
      <c r="F452" s="194" t="s">
        <v>1432</v>
      </c>
      <c r="G452" s="11"/>
      <c r="H452" s="11"/>
      <c r="I452" s="11"/>
      <c r="J452" s="11"/>
      <c r="K452" s="11"/>
      <c r="L452" s="11"/>
      <c r="M452" s="755"/>
      <c r="N452" s="11"/>
      <c r="O452" s="11"/>
      <c r="P452" s="11"/>
      <c r="Q452" s="11"/>
      <c r="R452" s="11"/>
      <c r="S452" s="11"/>
      <c r="T452" s="11"/>
      <c r="U452" s="11"/>
      <c r="V452" s="11"/>
      <c r="W452" s="11"/>
      <c r="X452" s="11"/>
    </row>
    <row r="453" ht="13.5" customHeight="1">
      <c r="A453" s="11"/>
      <c r="B453" s="105" t="s">
        <v>335</v>
      </c>
      <c r="C453" s="522">
        <v>5.0</v>
      </c>
      <c r="D453" s="522">
        <f t="shared" si="34"/>
        <v>0.45</v>
      </c>
      <c r="E453" s="518" t="s">
        <v>5</v>
      </c>
      <c r="F453" s="63"/>
      <c r="G453" s="11"/>
      <c r="H453" s="11"/>
      <c r="I453" s="11"/>
      <c r="J453" s="11"/>
      <c r="K453" s="11"/>
      <c r="L453" s="11"/>
      <c r="M453" s="755"/>
      <c r="N453" s="11"/>
      <c r="O453" s="11"/>
      <c r="P453" s="11"/>
      <c r="Q453" s="11"/>
      <c r="R453" s="11"/>
      <c r="S453" s="11"/>
      <c r="T453" s="11"/>
      <c r="U453" s="11"/>
      <c r="V453" s="11"/>
      <c r="W453" s="11"/>
      <c r="X453" s="11"/>
    </row>
    <row r="454" ht="15.0" customHeight="1">
      <c r="A454" s="11"/>
      <c r="B454" s="220" t="s">
        <v>42</v>
      </c>
      <c r="C454" s="220" t="s">
        <v>725</v>
      </c>
      <c r="D454" s="11"/>
      <c r="E454" s="11"/>
      <c r="F454" s="11"/>
      <c r="G454" s="11"/>
      <c r="H454" s="11"/>
      <c r="I454" s="11"/>
      <c r="J454" s="11"/>
      <c r="K454" s="11"/>
      <c r="L454" s="11"/>
      <c r="M454" s="755"/>
      <c r="N454" s="11"/>
      <c r="O454" s="11"/>
      <c r="P454" s="11"/>
      <c r="Q454" s="11"/>
      <c r="R454" s="11"/>
      <c r="S454" s="11"/>
      <c r="T454" s="11"/>
      <c r="U454" s="11"/>
      <c r="V454" s="11"/>
      <c r="W454" s="11"/>
      <c r="X454" s="11"/>
    </row>
    <row r="455" ht="13.5" customHeight="1">
      <c r="A455" s="11"/>
      <c r="B455" s="88" t="s">
        <v>49</v>
      </c>
      <c r="C455" s="224">
        <v>41241.0</v>
      </c>
      <c r="D455" s="11"/>
      <c r="E455" s="11"/>
      <c r="F455" s="11"/>
      <c r="G455" s="11"/>
      <c r="H455" s="11"/>
      <c r="I455" s="11"/>
      <c r="J455" s="11"/>
      <c r="K455" s="11"/>
      <c r="L455" s="11"/>
      <c r="M455" s="755"/>
      <c r="N455" s="11"/>
      <c r="O455" s="11"/>
      <c r="P455" s="11"/>
      <c r="Q455" s="11"/>
      <c r="R455" s="11"/>
      <c r="S455" s="11"/>
      <c r="T455" s="11"/>
      <c r="U455" s="11"/>
      <c r="V455" s="11"/>
      <c r="W455" s="11"/>
      <c r="X455" s="11"/>
    </row>
    <row r="456" ht="13.5" customHeight="1">
      <c r="A456" s="11"/>
      <c r="B456" s="88" t="s">
        <v>1433</v>
      </c>
      <c r="C456" s="224">
        <v>41756.0</v>
      </c>
      <c r="D456" s="11"/>
      <c r="G456" s="11"/>
      <c r="H456" s="11"/>
      <c r="I456" s="11"/>
      <c r="J456" s="11"/>
      <c r="K456" s="11"/>
      <c r="L456" s="11"/>
      <c r="M456" s="755"/>
      <c r="N456" s="11"/>
      <c r="O456" s="11"/>
      <c r="P456" s="11"/>
      <c r="Q456" s="11"/>
      <c r="R456" s="11"/>
      <c r="S456" s="11"/>
      <c r="T456" s="11"/>
      <c r="U456" s="11"/>
      <c r="V456" s="11"/>
      <c r="W456" s="11"/>
      <c r="X456" s="11"/>
    </row>
    <row r="457" ht="13.5" customHeight="1">
      <c r="A457" s="11"/>
      <c r="B457" s="11"/>
      <c r="C457" s="11"/>
      <c r="D457" s="11"/>
      <c r="G457" s="11"/>
      <c r="H457" s="11"/>
      <c r="I457" s="11"/>
      <c r="J457" s="11"/>
      <c r="K457" s="11"/>
      <c r="L457" s="11"/>
      <c r="M457" s="755"/>
      <c r="N457" s="11"/>
      <c r="O457" s="11"/>
      <c r="P457" s="11"/>
      <c r="Q457" s="11"/>
      <c r="R457" s="11"/>
      <c r="S457" s="11"/>
      <c r="T457" s="11"/>
      <c r="U457" s="11"/>
      <c r="V457" s="11"/>
      <c r="W457" s="11"/>
      <c r="X457" s="11"/>
    </row>
    <row r="458" ht="15.0" customHeight="1">
      <c r="A458" s="11"/>
      <c r="B458" s="11"/>
      <c r="C458" s="11"/>
      <c r="D458" s="11"/>
      <c r="G458" s="11"/>
      <c r="H458" s="11"/>
      <c r="I458" s="11"/>
      <c r="J458" s="11"/>
      <c r="K458" s="11"/>
      <c r="L458" s="11"/>
      <c r="M458" s="755"/>
      <c r="N458" s="11"/>
      <c r="O458" s="11"/>
      <c r="P458" s="11"/>
      <c r="Q458" s="11"/>
      <c r="R458" s="11"/>
      <c r="S458" s="11"/>
      <c r="T458" s="11"/>
      <c r="U458" s="11"/>
      <c r="V458" s="11"/>
      <c r="W458" s="11"/>
      <c r="X458" s="11"/>
    </row>
    <row r="459" ht="13.5" customHeight="1">
      <c r="A459" s="11"/>
      <c r="B459" s="11"/>
      <c r="C459" s="11"/>
      <c r="D459" s="11"/>
      <c r="E459" s="11"/>
      <c r="F459" s="11"/>
      <c r="G459" s="11"/>
      <c r="H459" s="11"/>
      <c r="I459" s="11"/>
      <c r="J459" s="11"/>
      <c r="K459" s="11"/>
      <c r="L459" s="11"/>
      <c r="M459" s="755"/>
      <c r="N459" s="11"/>
      <c r="O459" s="11"/>
      <c r="P459" s="11"/>
      <c r="Q459" s="11"/>
      <c r="R459" s="11"/>
      <c r="S459" s="11"/>
      <c r="T459" s="11"/>
      <c r="U459" s="11"/>
      <c r="V459" s="11"/>
      <c r="W459" s="11"/>
      <c r="X459" s="11"/>
    </row>
    <row r="460" ht="13.5" customHeight="1">
      <c r="A460" s="11"/>
      <c r="B460" s="11"/>
      <c r="C460" s="11"/>
      <c r="D460" s="11"/>
      <c r="E460" s="11"/>
      <c r="F460" s="11"/>
      <c r="G460" s="11"/>
      <c r="H460" s="11"/>
      <c r="I460" s="11"/>
      <c r="J460" s="11"/>
      <c r="K460" s="11"/>
      <c r="L460" s="11"/>
      <c r="M460" s="755"/>
      <c r="N460" s="11"/>
      <c r="O460" s="11"/>
      <c r="P460" s="11"/>
      <c r="Q460" s="11"/>
      <c r="R460" s="11"/>
      <c r="S460" s="11"/>
      <c r="T460" s="11"/>
      <c r="U460" s="11"/>
      <c r="V460" s="11"/>
      <c r="W460" s="11"/>
      <c r="X460" s="11"/>
    </row>
    <row r="461" ht="13.5" customHeight="1">
      <c r="A461" s="11"/>
      <c r="B461" s="11"/>
      <c r="C461" s="11"/>
      <c r="D461" s="11"/>
      <c r="E461" s="11"/>
      <c r="F461" s="11"/>
      <c r="G461" s="11"/>
      <c r="H461" s="11"/>
      <c r="I461" s="11"/>
      <c r="J461" s="11"/>
      <c r="K461" s="11"/>
      <c r="L461" s="11"/>
      <c r="M461" s="755"/>
      <c r="N461" s="11"/>
      <c r="O461" s="11"/>
      <c r="P461" s="11"/>
      <c r="Q461" s="11"/>
      <c r="R461" s="11"/>
      <c r="S461" s="11"/>
      <c r="T461" s="11"/>
      <c r="U461" s="11"/>
      <c r="V461" s="11"/>
      <c r="W461" s="11"/>
      <c r="X461" s="11"/>
    </row>
    <row r="462" ht="13.5" customHeight="1">
      <c r="A462" s="11"/>
      <c r="B462" s="11"/>
      <c r="C462" s="11"/>
      <c r="D462" s="11"/>
      <c r="E462" s="11"/>
      <c r="F462" s="11"/>
      <c r="G462" s="11"/>
      <c r="H462" s="11"/>
      <c r="I462" s="11"/>
      <c r="J462" s="11"/>
      <c r="K462" s="11"/>
      <c r="L462" s="11"/>
      <c r="M462" s="755"/>
      <c r="N462" s="11"/>
      <c r="O462" s="11"/>
      <c r="P462" s="11"/>
      <c r="Q462" s="11"/>
      <c r="R462" s="11"/>
      <c r="S462" s="11"/>
      <c r="T462" s="11"/>
      <c r="U462" s="11"/>
      <c r="V462" s="11"/>
      <c r="W462" s="11"/>
      <c r="X462" s="11"/>
    </row>
    <row r="463" ht="13.5" customHeight="1">
      <c r="A463" s="11"/>
      <c r="B463" s="1262" t="s">
        <v>1435</v>
      </c>
      <c r="C463" s="1227"/>
      <c r="D463" s="1227"/>
      <c r="E463" s="1228"/>
      <c r="F463" s="971" t="s">
        <v>1077</v>
      </c>
      <c r="G463" s="11"/>
      <c r="H463" s="11"/>
      <c r="I463" s="11"/>
      <c r="J463" s="1264" t="s">
        <v>1436</v>
      </c>
      <c r="K463" s="1265" t="s">
        <v>1438</v>
      </c>
      <c r="L463" s="11"/>
      <c r="M463" s="755"/>
      <c r="N463" s="1262" t="s">
        <v>1439</v>
      </c>
      <c r="O463" s="1227"/>
      <c r="P463" s="1227"/>
      <c r="Q463" s="1228"/>
      <c r="R463" s="971" t="s">
        <v>1077</v>
      </c>
      <c r="S463" s="11"/>
      <c r="T463" s="11"/>
      <c r="U463" s="11"/>
      <c r="V463" s="11"/>
      <c r="W463" s="11"/>
      <c r="X463" s="11"/>
    </row>
    <row r="464" ht="13.5" customHeight="1">
      <c r="A464" s="11"/>
      <c r="B464" s="262" t="s">
        <v>1</v>
      </c>
      <c r="C464" s="1266">
        <v>50.0</v>
      </c>
      <c r="D464" s="1267">
        <v>50.0</v>
      </c>
      <c r="E464" s="1268" t="s">
        <v>5</v>
      </c>
      <c r="F464" s="1"/>
      <c r="G464" s="11"/>
      <c r="H464" s="11"/>
      <c r="I464" s="11"/>
      <c r="J464" s="1264" t="s">
        <v>1441</v>
      </c>
      <c r="K464" s="1265" t="s">
        <v>1442</v>
      </c>
      <c r="L464" s="11"/>
      <c r="M464" s="755"/>
      <c r="N464" s="262" t="s">
        <v>1</v>
      </c>
      <c r="O464" s="1266">
        <v>50.0</v>
      </c>
      <c r="P464" s="1267">
        <v>50.0</v>
      </c>
      <c r="Q464" s="1268" t="s">
        <v>5</v>
      </c>
      <c r="R464" s="1"/>
      <c r="S464" s="11"/>
      <c r="T464" s="11"/>
      <c r="U464" s="11"/>
      <c r="V464" s="11"/>
      <c r="W464" s="11"/>
      <c r="X464" s="11"/>
    </row>
    <row r="465" ht="13.5" customHeight="1">
      <c r="A465" s="11"/>
      <c r="B465" s="163" t="s">
        <v>1443</v>
      </c>
      <c r="C465" s="666">
        <v>7.0</v>
      </c>
      <c r="D465" s="722">
        <f t="shared" ref="D465:D471" si="35">(C465*D464)/C464</f>
        <v>7</v>
      </c>
      <c r="E465" s="432" t="s">
        <v>14</v>
      </c>
      <c r="F465" s="1"/>
      <c r="G465" s="11"/>
      <c r="H465" s="11"/>
      <c r="I465" s="11"/>
      <c r="J465" s="1264" t="s">
        <v>1444</v>
      </c>
      <c r="K465" s="1265" t="s">
        <v>1445</v>
      </c>
      <c r="L465" s="11"/>
      <c r="M465" s="755"/>
      <c r="N465" s="163" t="s">
        <v>1443</v>
      </c>
      <c r="O465" s="666">
        <v>5.0</v>
      </c>
      <c r="P465" s="722">
        <f t="shared" ref="P465:P471" si="36">(O465*P464)/O464</f>
        <v>5</v>
      </c>
      <c r="Q465" s="432" t="s">
        <v>14</v>
      </c>
      <c r="R465" s="1"/>
      <c r="S465" s="11"/>
      <c r="T465" s="11"/>
      <c r="U465" s="11"/>
      <c r="V465" s="11"/>
      <c r="W465" s="11"/>
      <c r="X465" s="11"/>
    </row>
    <row r="466" ht="13.5" customHeight="1">
      <c r="A466" s="11"/>
      <c r="B466" s="177" t="s">
        <v>31</v>
      </c>
      <c r="C466" s="500">
        <v>700.0</v>
      </c>
      <c r="D466" s="712">
        <f t="shared" si="35"/>
        <v>700</v>
      </c>
      <c r="E466" s="441" t="s">
        <v>18</v>
      </c>
      <c r="F466" s="1"/>
      <c r="G466" s="11"/>
      <c r="H466" s="11"/>
      <c r="I466" s="11"/>
      <c r="J466" s="11"/>
      <c r="K466" s="11"/>
      <c r="L466" s="11"/>
      <c r="M466" s="755"/>
      <c r="N466" s="177" t="s">
        <v>31</v>
      </c>
      <c r="O466" s="500">
        <v>700.0</v>
      </c>
      <c r="P466" s="712">
        <f t="shared" si="36"/>
        <v>700</v>
      </c>
      <c r="Q466" s="441" t="s">
        <v>18</v>
      </c>
      <c r="R466" s="1"/>
      <c r="S466" s="11"/>
      <c r="T466" s="11"/>
      <c r="U466" s="11"/>
      <c r="V466" s="11"/>
      <c r="W466" s="11"/>
      <c r="X466" s="11"/>
    </row>
    <row r="467" ht="13.5" customHeight="1">
      <c r="A467" s="11"/>
      <c r="B467" s="208" t="s">
        <v>52</v>
      </c>
      <c r="C467" s="684">
        <v>70.0</v>
      </c>
      <c r="D467" s="724">
        <f t="shared" si="35"/>
        <v>70</v>
      </c>
      <c r="E467" s="475" t="s">
        <v>18</v>
      </c>
      <c r="F467" s="1"/>
      <c r="G467" s="11"/>
      <c r="H467" s="11"/>
      <c r="I467" s="11"/>
      <c r="J467" s="11"/>
      <c r="K467" s="11"/>
      <c r="L467" s="11"/>
      <c r="M467" s="755"/>
      <c r="N467" s="208" t="s">
        <v>52</v>
      </c>
      <c r="O467" s="684">
        <v>70.0</v>
      </c>
      <c r="P467" s="724">
        <f t="shared" si="36"/>
        <v>70</v>
      </c>
      <c r="Q467" s="475" t="s">
        <v>18</v>
      </c>
      <c r="R467" s="1"/>
      <c r="S467" s="11"/>
      <c r="T467" s="11"/>
      <c r="U467" s="11"/>
      <c r="V467" s="11"/>
      <c r="W467" s="11"/>
      <c r="X467" s="11"/>
    </row>
    <row r="468" ht="13.5" customHeight="1">
      <c r="A468" s="11"/>
      <c r="B468" s="1271" t="s">
        <v>1448</v>
      </c>
      <c r="C468" s="666">
        <v>25.0</v>
      </c>
      <c r="D468" s="722">
        <f t="shared" si="35"/>
        <v>25</v>
      </c>
      <c r="E468" s="432" t="s">
        <v>526</v>
      </c>
      <c r="F468" s="1"/>
      <c r="G468" s="11"/>
      <c r="H468" s="11"/>
      <c r="I468" s="11"/>
      <c r="J468" s="11"/>
      <c r="K468" s="11"/>
      <c r="L468" s="11"/>
      <c r="M468" s="755"/>
      <c r="N468" s="1271" t="s">
        <v>1448</v>
      </c>
      <c r="O468" s="666">
        <v>20.0</v>
      </c>
      <c r="P468" s="722">
        <f t="shared" si="36"/>
        <v>20</v>
      </c>
      <c r="Q468" s="432" t="s">
        <v>526</v>
      </c>
      <c r="R468" s="1"/>
      <c r="S468" s="11"/>
      <c r="T468" s="11"/>
      <c r="U468" s="11"/>
      <c r="V468" s="11"/>
      <c r="W468" s="11"/>
      <c r="X468" s="11"/>
    </row>
    <row r="469" ht="13.5" customHeight="1">
      <c r="A469" s="11"/>
      <c r="B469" s="177" t="s">
        <v>1449</v>
      </c>
      <c r="C469" s="500">
        <v>5.0</v>
      </c>
      <c r="D469" s="712">
        <f t="shared" si="35"/>
        <v>5</v>
      </c>
      <c r="E469" s="441" t="s">
        <v>14</v>
      </c>
      <c r="F469" s="1"/>
      <c r="G469" s="11"/>
      <c r="H469" s="11"/>
      <c r="I469" s="11"/>
      <c r="J469" s="11"/>
      <c r="K469" s="11"/>
      <c r="L469" s="11"/>
      <c r="M469" s="755"/>
      <c r="N469" s="177" t="s">
        <v>1449</v>
      </c>
      <c r="O469" s="500">
        <v>5.0</v>
      </c>
      <c r="P469" s="712">
        <f t="shared" si="36"/>
        <v>5</v>
      </c>
      <c r="Q469" s="441" t="s">
        <v>14</v>
      </c>
      <c r="R469" s="1"/>
      <c r="S469" s="11"/>
      <c r="T469" s="11"/>
      <c r="U469" s="11"/>
      <c r="V469" s="11"/>
      <c r="W469" s="11"/>
      <c r="X469" s="11"/>
    </row>
    <row r="470" ht="13.5" customHeight="1">
      <c r="A470" s="11"/>
      <c r="B470" s="1239" t="s">
        <v>1450</v>
      </c>
      <c r="C470" s="500">
        <v>300.0</v>
      </c>
      <c r="D470" s="712">
        <f t="shared" si="35"/>
        <v>300</v>
      </c>
      <c r="E470" s="441" t="s">
        <v>18</v>
      </c>
      <c r="F470" s="1"/>
      <c r="G470" s="11"/>
      <c r="H470" s="11"/>
      <c r="I470" s="11"/>
      <c r="J470" s="11"/>
      <c r="K470" s="11"/>
      <c r="L470" s="11"/>
      <c r="M470" s="755"/>
      <c r="N470" s="1239" t="s">
        <v>1450</v>
      </c>
      <c r="O470" s="500">
        <v>300.0</v>
      </c>
      <c r="P470" s="712">
        <f t="shared" si="36"/>
        <v>300</v>
      </c>
      <c r="Q470" s="441" t="s">
        <v>18</v>
      </c>
      <c r="R470" s="1"/>
      <c r="S470" s="11"/>
      <c r="T470" s="11"/>
      <c r="U470" s="11"/>
      <c r="V470" s="11"/>
      <c r="W470" s="11"/>
      <c r="X470" s="11"/>
    </row>
    <row r="471" ht="15.0" customHeight="1">
      <c r="A471" s="11"/>
      <c r="B471" s="1239" t="s">
        <v>1451</v>
      </c>
      <c r="C471" s="500">
        <v>20.0</v>
      </c>
      <c r="D471" s="712">
        <f t="shared" si="35"/>
        <v>20</v>
      </c>
      <c r="E471" s="441" t="s">
        <v>5</v>
      </c>
      <c r="F471" s="1"/>
      <c r="G471" s="11"/>
      <c r="H471" s="11"/>
      <c r="I471" s="11"/>
      <c r="J471" s="11"/>
      <c r="K471" s="11"/>
      <c r="L471" s="11"/>
      <c r="M471" s="755"/>
      <c r="N471" s="1239" t="s">
        <v>1451</v>
      </c>
      <c r="O471" s="500">
        <v>20.0</v>
      </c>
      <c r="P471" s="712">
        <f t="shared" si="36"/>
        <v>20</v>
      </c>
      <c r="Q471" s="441" t="s">
        <v>5</v>
      </c>
      <c r="R471" s="1"/>
      <c r="S471" s="11"/>
      <c r="T471" s="11"/>
      <c r="U471" s="11"/>
      <c r="V471" s="11"/>
      <c r="W471" s="11"/>
      <c r="X471" s="11"/>
    </row>
    <row r="472" ht="13.5" customHeight="1">
      <c r="A472" s="11"/>
      <c r="B472" s="1238" t="s">
        <v>173</v>
      </c>
      <c r="C472" s="684">
        <v>300.0</v>
      </c>
      <c r="D472" s="724">
        <f t="shared" ref="D472:D480" si="37">(C472*D470)/C470</f>
        <v>300</v>
      </c>
      <c r="E472" s="475" t="s">
        <v>18</v>
      </c>
      <c r="F472" s="1"/>
      <c r="G472" s="11"/>
      <c r="H472" s="11"/>
      <c r="I472" s="11"/>
      <c r="J472" s="11"/>
      <c r="K472" s="11"/>
      <c r="L472" s="11"/>
      <c r="M472" s="755"/>
      <c r="N472" s="1238" t="s">
        <v>173</v>
      </c>
      <c r="O472" s="684">
        <v>300.0</v>
      </c>
      <c r="P472" s="724">
        <f t="shared" ref="P472:P480" si="38">(O472*P470)/O470</f>
        <v>300</v>
      </c>
      <c r="Q472" s="475" t="s">
        <v>18</v>
      </c>
      <c r="R472" s="1"/>
      <c r="S472" s="11"/>
      <c r="T472" s="11"/>
      <c r="U472" s="11"/>
      <c r="V472" s="11"/>
      <c r="W472" s="11"/>
      <c r="X472" s="11"/>
    </row>
    <row r="473" ht="13.5" customHeight="1">
      <c r="A473" s="11"/>
      <c r="B473" s="163" t="s">
        <v>1453</v>
      </c>
      <c r="C473" s="666">
        <v>800.0</v>
      </c>
      <c r="D473" s="722">
        <f t="shared" si="37"/>
        <v>800</v>
      </c>
      <c r="E473" s="432" t="s">
        <v>5</v>
      </c>
      <c r="F473" s="1"/>
      <c r="G473" s="11"/>
      <c r="H473" s="11"/>
      <c r="I473" s="11"/>
      <c r="J473" s="11"/>
      <c r="K473" s="11"/>
      <c r="L473" s="11"/>
      <c r="M473" s="755"/>
      <c r="N473" s="163" t="s">
        <v>1453</v>
      </c>
      <c r="O473" s="666">
        <v>800.0</v>
      </c>
      <c r="P473" s="722">
        <f t="shared" si="38"/>
        <v>800</v>
      </c>
      <c r="Q473" s="432" t="s">
        <v>5</v>
      </c>
      <c r="R473" s="1"/>
      <c r="S473" s="11"/>
      <c r="T473" s="11"/>
      <c r="U473" s="11"/>
      <c r="V473" s="11"/>
      <c r="W473" s="11"/>
      <c r="X473" s="11"/>
    </row>
    <row r="474" ht="13.5" customHeight="1">
      <c r="A474" s="11"/>
      <c r="B474" s="177" t="s">
        <v>97</v>
      </c>
      <c r="C474" s="500">
        <v>80.0</v>
      </c>
      <c r="D474" s="712">
        <f t="shared" si="37"/>
        <v>80</v>
      </c>
      <c r="E474" s="441" t="s">
        <v>18</v>
      </c>
      <c r="F474" s="1"/>
      <c r="G474" s="11"/>
      <c r="H474" s="11"/>
      <c r="I474" s="11"/>
      <c r="J474" s="11"/>
      <c r="K474" s="11"/>
      <c r="L474" s="11"/>
      <c r="M474" s="755"/>
      <c r="N474" s="177" t="s">
        <v>97</v>
      </c>
      <c r="O474" s="500">
        <v>80.0</v>
      </c>
      <c r="P474" s="712">
        <f t="shared" si="38"/>
        <v>80</v>
      </c>
      <c r="Q474" s="441" t="s">
        <v>18</v>
      </c>
      <c r="R474" s="1"/>
      <c r="S474" s="11"/>
      <c r="T474" s="11"/>
      <c r="U474" s="11"/>
      <c r="V474" s="11"/>
      <c r="W474" s="11"/>
      <c r="X474" s="11"/>
    </row>
    <row r="475" ht="13.5" customHeight="1">
      <c r="A475" s="11"/>
      <c r="B475" s="177" t="s">
        <v>98</v>
      </c>
      <c r="C475" s="500">
        <v>100.0</v>
      </c>
      <c r="D475" s="712">
        <f t="shared" si="37"/>
        <v>100</v>
      </c>
      <c r="E475" s="441" t="s">
        <v>18</v>
      </c>
      <c r="F475" s="1"/>
      <c r="G475" s="11"/>
      <c r="H475" s="11"/>
      <c r="I475" s="11"/>
      <c r="J475" s="11"/>
      <c r="K475" s="11"/>
      <c r="L475" s="11"/>
      <c r="M475" s="755"/>
      <c r="N475" s="177" t="s">
        <v>98</v>
      </c>
      <c r="O475" s="500">
        <v>100.0</v>
      </c>
      <c r="P475" s="712">
        <f t="shared" si="38"/>
        <v>100</v>
      </c>
      <c r="Q475" s="441" t="s">
        <v>18</v>
      </c>
      <c r="R475" s="1"/>
      <c r="S475" s="11"/>
      <c r="T475" s="11"/>
      <c r="U475" s="11"/>
      <c r="V475" s="11"/>
      <c r="W475" s="11"/>
      <c r="X475" s="11"/>
    </row>
    <row r="476" ht="13.5" customHeight="1">
      <c r="A476" s="11"/>
      <c r="B476" s="177" t="s">
        <v>847</v>
      </c>
      <c r="C476" s="500">
        <v>200.0</v>
      </c>
      <c r="D476" s="712">
        <f t="shared" si="37"/>
        <v>200</v>
      </c>
      <c r="E476" s="441" t="s">
        <v>18</v>
      </c>
      <c r="F476" s="1"/>
      <c r="G476" s="11"/>
      <c r="H476" s="11"/>
      <c r="I476" s="11"/>
      <c r="J476" s="11"/>
      <c r="K476" s="11"/>
      <c r="L476" s="11"/>
      <c r="M476" s="755"/>
      <c r="N476" s="177" t="s">
        <v>847</v>
      </c>
      <c r="O476" s="500">
        <v>200.0</v>
      </c>
      <c r="P476" s="712">
        <f t="shared" si="38"/>
        <v>200</v>
      </c>
      <c r="Q476" s="441" t="s">
        <v>18</v>
      </c>
      <c r="R476" s="1"/>
      <c r="S476" s="11"/>
      <c r="T476" s="11"/>
      <c r="U476" s="11"/>
      <c r="V476" s="11"/>
      <c r="W476" s="11"/>
      <c r="X476" s="11"/>
    </row>
    <row r="477" ht="13.5" customHeight="1">
      <c r="A477" s="11"/>
      <c r="B477" s="177" t="s">
        <v>103</v>
      </c>
      <c r="C477" s="500">
        <v>150.0</v>
      </c>
      <c r="D477" s="712">
        <f t="shared" si="37"/>
        <v>150</v>
      </c>
      <c r="E477" s="441" t="s">
        <v>18</v>
      </c>
      <c r="F477" s="1"/>
      <c r="G477" s="11"/>
      <c r="H477" s="11"/>
      <c r="I477" s="11"/>
      <c r="J477" s="11"/>
      <c r="K477" s="11"/>
      <c r="L477" s="11"/>
      <c r="M477" s="755"/>
      <c r="N477" s="177" t="s">
        <v>103</v>
      </c>
      <c r="O477" s="500">
        <v>150.0</v>
      </c>
      <c r="P477" s="712">
        <f t="shared" si="38"/>
        <v>150</v>
      </c>
      <c r="Q477" s="441" t="s">
        <v>18</v>
      </c>
      <c r="R477" s="1"/>
      <c r="S477" s="11"/>
      <c r="T477" s="11"/>
      <c r="U477" s="11"/>
      <c r="V477" s="11"/>
      <c r="W477" s="11"/>
      <c r="X477" s="11"/>
    </row>
    <row r="478" ht="13.5" customHeight="1">
      <c r="A478" s="11"/>
      <c r="B478" s="177" t="s">
        <v>357</v>
      </c>
      <c r="C478" s="500">
        <v>150.0</v>
      </c>
      <c r="D478" s="712">
        <f t="shared" si="37"/>
        <v>150</v>
      </c>
      <c r="E478" s="441" t="s">
        <v>18</v>
      </c>
      <c r="F478" s="1"/>
      <c r="G478" s="11"/>
      <c r="H478" s="11"/>
      <c r="I478" s="11"/>
      <c r="J478" s="11"/>
      <c r="K478" s="11"/>
      <c r="L478" s="11"/>
      <c r="M478" s="755"/>
      <c r="N478" s="177" t="s">
        <v>357</v>
      </c>
      <c r="O478" s="500">
        <v>150.0</v>
      </c>
      <c r="P478" s="712">
        <f t="shared" si="38"/>
        <v>150</v>
      </c>
      <c r="Q478" s="441" t="s">
        <v>18</v>
      </c>
      <c r="R478" s="1"/>
      <c r="S478" s="11"/>
      <c r="T478" s="11"/>
      <c r="U478" s="11"/>
      <c r="V478" s="11"/>
      <c r="W478" s="11"/>
      <c r="X478" s="11"/>
    </row>
    <row r="479" ht="13.5" customHeight="1">
      <c r="A479" s="11"/>
      <c r="B479" s="177" t="s">
        <v>1204</v>
      </c>
      <c r="C479" s="500">
        <v>75.0</v>
      </c>
      <c r="D479" s="712">
        <f t="shared" si="37"/>
        <v>75</v>
      </c>
      <c r="E479" s="441" t="s">
        <v>18</v>
      </c>
      <c r="F479" s="1"/>
      <c r="G479" s="11"/>
      <c r="H479" s="11"/>
      <c r="I479" s="11"/>
      <c r="J479" s="11"/>
      <c r="K479" s="11"/>
      <c r="L479" s="11"/>
      <c r="M479" s="755"/>
      <c r="N479" s="177" t="s">
        <v>1204</v>
      </c>
      <c r="O479" s="500">
        <v>75.0</v>
      </c>
      <c r="P479" s="712">
        <f t="shared" si="38"/>
        <v>75</v>
      </c>
      <c r="Q479" s="441" t="s">
        <v>18</v>
      </c>
      <c r="R479" s="1"/>
      <c r="S479" s="11"/>
      <c r="T479" s="11"/>
      <c r="U479" s="11"/>
      <c r="V479" s="11"/>
      <c r="W479" s="11"/>
      <c r="X479" s="11"/>
    </row>
    <row r="480" ht="13.5" customHeight="1">
      <c r="A480" s="11"/>
      <c r="B480" s="208" t="s">
        <v>193</v>
      </c>
      <c r="C480" s="684">
        <v>1.0</v>
      </c>
      <c r="D480" s="724">
        <f t="shared" si="37"/>
        <v>1</v>
      </c>
      <c r="E480" s="475" t="s">
        <v>5</v>
      </c>
      <c r="F480" s="1"/>
      <c r="G480" s="11"/>
      <c r="H480" s="11"/>
      <c r="I480" s="11"/>
      <c r="J480" s="11"/>
      <c r="K480" s="11"/>
      <c r="L480" s="11"/>
      <c r="M480" s="755"/>
      <c r="N480" s="208" t="s">
        <v>193</v>
      </c>
      <c r="O480" s="684">
        <v>1.0</v>
      </c>
      <c r="P480" s="724">
        <f t="shared" si="38"/>
        <v>1</v>
      </c>
      <c r="Q480" s="475" t="s">
        <v>5</v>
      </c>
      <c r="R480" s="1"/>
      <c r="S480" s="11"/>
      <c r="T480" s="11"/>
      <c r="U480" s="11"/>
      <c r="V480" s="11"/>
      <c r="W480" s="11"/>
      <c r="X480" s="11"/>
    </row>
    <row r="481" ht="13.5" customHeight="1">
      <c r="A481" s="11"/>
      <c r="B481" s="302" t="s">
        <v>49</v>
      </c>
      <c r="C481" s="303">
        <v>43485.0</v>
      </c>
      <c r="D481" s="303">
        <v>43485.0</v>
      </c>
      <c r="E481" s="1"/>
      <c r="F481" s="1"/>
      <c r="G481" s="11"/>
      <c r="H481" s="11"/>
      <c r="I481" s="11"/>
      <c r="J481" s="11"/>
      <c r="K481" s="11"/>
      <c r="L481" s="11"/>
      <c r="M481" s="755"/>
      <c r="N481" s="302" t="s">
        <v>49</v>
      </c>
      <c r="O481" s="303">
        <v>43485.0</v>
      </c>
      <c r="P481" s="303">
        <v>43485.0</v>
      </c>
      <c r="Q481" s="11"/>
      <c r="R481" s="11"/>
      <c r="S481" s="11"/>
      <c r="T481" s="11"/>
      <c r="U481" s="11"/>
      <c r="V481" s="11"/>
      <c r="W481" s="11"/>
      <c r="X481" s="11"/>
    </row>
    <row r="482" ht="13.5" customHeight="1">
      <c r="A482" s="11"/>
      <c r="B482" s="302" t="s">
        <v>50</v>
      </c>
      <c r="C482" s="303">
        <v>43559.0</v>
      </c>
      <c r="D482" s="303">
        <v>43559.0</v>
      </c>
      <c r="E482" s="1"/>
      <c r="F482" s="1"/>
      <c r="G482" s="11"/>
      <c r="H482" s="11"/>
      <c r="I482" s="11"/>
      <c r="J482" s="11"/>
      <c r="K482" s="11"/>
      <c r="L482" s="11"/>
      <c r="M482" s="755"/>
      <c r="N482" s="302" t="s">
        <v>50</v>
      </c>
      <c r="O482" s="303">
        <v>43559.0</v>
      </c>
      <c r="P482" s="303">
        <v>43559.0</v>
      </c>
      <c r="Q482" s="11"/>
      <c r="R482" s="11"/>
      <c r="S482" s="11"/>
      <c r="T482" s="11"/>
      <c r="U482" s="11"/>
      <c r="V482" s="11"/>
      <c r="W482" s="11"/>
      <c r="X482" s="11"/>
    </row>
    <row r="483" ht="13.5" customHeight="1">
      <c r="A483" s="11"/>
      <c r="B483" s="11"/>
      <c r="C483" s="11"/>
      <c r="D483" s="11"/>
      <c r="E483" s="11"/>
      <c r="F483" s="11"/>
      <c r="G483" s="11"/>
      <c r="H483" s="11"/>
      <c r="I483" s="11"/>
      <c r="J483" s="11"/>
      <c r="K483" s="11"/>
      <c r="L483" s="11"/>
      <c r="M483" s="755"/>
      <c r="N483" s="11"/>
      <c r="O483" s="11"/>
      <c r="P483" s="11"/>
      <c r="Q483" s="11"/>
      <c r="R483" s="11"/>
      <c r="S483" s="11"/>
      <c r="T483" s="11"/>
      <c r="U483" s="11"/>
      <c r="V483" s="11"/>
      <c r="W483" s="11"/>
      <c r="X483" s="11"/>
    </row>
    <row r="484" ht="13.5" customHeight="1">
      <c r="A484" s="11"/>
      <c r="B484" s="220" t="s">
        <v>42</v>
      </c>
      <c r="C484" s="220" t="s">
        <v>725</v>
      </c>
      <c r="D484" s="11"/>
      <c r="E484" s="11"/>
      <c r="F484" s="11"/>
      <c r="G484" s="11"/>
      <c r="H484" s="11"/>
      <c r="I484" s="11"/>
      <c r="J484" s="11"/>
      <c r="K484" s="11"/>
      <c r="L484" s="11"/>
      <c r="M484" s="755"/>
      <c r="N484" s="11"/>
      <c r="O484" s="11"/>
      <c r="P484" s="11"/>
      <c r="Q484" s="11"/>
      <c r="R484" s="11"/>
      <c r="S484" s="11"/>
      <c r="T484" s="11"/>
      <c r="U484" s="11"/>
      <c r="V484" s="11"/>
      <c r="W484" s="11"/>
      <c r="X484" s="11"/>
    </row>
    <row r="485" ht="13.5" customHeight="1">
      <c r="A485" s="11"/>
      <c r="B485" s="11"/>
      <c r="C485" s="11"/>
      <c r="D485" s="11"/>
      <c r="E485" s="11"/>
      <c r="F485" s="11"/>
      <c r="G485" s="11"/>
      <c r="H485" s="11"/>
      <c r="I485" s="11"/>
      <c r="J485" s="11"/>
      <c r="K485" s="11"/>
      <c r="L485" s="11"/>
      <c r="M485" s="755"/>
      <c r="N485" s="11"/>
      <c r="O485" s="11"/>
      <c r="P485" s="11"/>
      <c r="Q485" s="11"/>
      <c r="R485" s="11"/>
      <c r="S485" s="11"/>
      <c r="T485" s="11"/>
      <c r="U485" s="11"/>
      <c r="V485" s="11"/>
      <c r="W485" s="11"/>
      <c r="X485" s="11"/>
    </row>
    <row r="486" ht="13.5" customHeight="1">
      <c r="A486" s="11"/>
      <c r="B486" s="11"/>
      <c r="C486" s="11"/>
      <c r="D486" s="11"/>
      <c r="E486" s="11"/>
      <c r="F486" s="11"/>
      <c r="G486" s="11"/>
      <c r="H486" s="11"/>
      <c r="I486" s="11"/>
      <c r="J486" s="11"/>
      <c r="K486" s="11"/>
      <c r="L486" s="11"/>
      <c r="M486" s="755"/>
      <c r="N486" s="11"/>
      <c r="O486" s="11"/>
      <c r="P486" s="11"/>
      <c r="Q486" s="11"/>
      <c r="R486" s="11"/>
      <c r="S486" s="11"/>
      <c r="T486" s="11"/>
      <c r="U486" s="11"/>
      <c r="V486" s="11"/>
      <c r="W486" s="11"/>
      <c r="X486" s="11"/>
    </row>
    <row r="487" ht="13.5" customHeight="1">
      <c r="A487" s="11"/>
      <c r="B487" s="11"/>
      <c r="C487" s="11"/>
      <c r="D487" s="11"/>
      <c r="E487" s="11"/>
      <c r="F487" s="11"/>
      <c r="G487" s="11"/>
      <c r="H487" s="11"/>
      <c r="I487" s="11"/>
      <c r="J487" s="11"/>
      <c r="K487" s="11"/>
      <c r="L487" s="11"/>
      <c r="M487" s="755"/>
      <c r="N487" s="11"/>
      <c r="O487" s="11"/>
      <c r="P487" s="11"/>
      <c r="Q487" s="11"/>
      <c r="R487" s="11"/>
      <c r="S487" s="11"/>
      <c r="T487" s="11"/>
      <c r="U487" s="11"/>
      <c r="V487" s="11"/>
      <c r="W487" s="11"/>
      <c r="X487" s="11"/>
    </row>
    <row r="488" ht="13.5" customHeight="1">
      <c r="A488" s="11"/>
      <c r="B488" s="11"/>
      <c r="C488" s="11"/>
      <c r="D488" s="11"/>
      <c r="E488" s="11"/>
      <c r="F488" s="11"/>
      <c r="G488" s="11"/>
      <c r="H488" s="11"/>
      <c r="I488" s="11"/>
      <c r="J488" s="11"/>
      <c r="K488" s="11"/>
      <c r="L488" s="11"/>
      <c r="M488" s="755"/>
      <c r="N488" s="11"/>
      <c r="O488" s="11"/>
      <c r="P488" s="11"/>
      <c r="Q488" s="11"/>
      <c r="R488" s="11"/>
      <c r="S488" s="11"/>
      <c r="T488" s="11"/>
      <c r="U488" s="11"/>
      <c r="V488" s="11"/>
      <c r="W488" s="11"/>
      <c r="X488" s="11"/>
    </row>
    <row r="489" ht="13.5" customHeight="1">
      <c r="A489" s="11"/>
      <c r="B489" s="4" t="s">
        <v>409</v>
      </c>
      <c r="C489" s="5"/>
      <c r="D489" s="5"/>
      <c r="E489" s="6"/>
      <c r="F489" s="11"/>
      <c r="G489" s="11"/>
      <c r="H489" s="11"/>
      <c r="I489" s="11"/>
      <c r="J489" s="11"/>
      <c r="K489" s="11"/>
      <c r="L489" s="11"/>
      <c r="M489" s="755"/>
      <c r="N489" s="11"/>
      <c r="O489" s="11"/>
      <c r="P489" s="11"/>
      <c r="Q489" s="11"/>
      <c r="R489" s="11"/>
      <c r="S489" s="11"/>
      <c r="T489" s="11"/>
      <c r="U489" s="11"/>
      <c r="V489" s="11"/>
      <c r="W489" s="11"/>
      <c r="X489" s="11"/>
    </row>
    <row r="490" ht="13.5" customHeight="1">
      <c r="A490" s="11"/>
      <c r="B490" s="1287" t="s">
        <v>1</v>
      </c>
      <c r="C490" s="1288">
        <v>100.0</v>
      </c>
      <c r="D490" s="26">
        <v>60.0</v>
      </c>
      <c r="E490" s="810" t="s">
        <v>190</v>
      </c>
      <c r="F490" s="11"/>
      <c r="G490" s="11"/>
      <c r="H490" s="11"/>
      <c r="I490" s="11"/>
      <c r="J490" s="11"/>
      <c r="K490" s="11"/>
      <c r="L490" s="11"/>
      <c r="M490" s="755"/>
      <c r="N490" s="11"/>
      <c r="O490" s="11"/>
      <c r="P490" s="11"/>
      <c r="Q490" s="11"/>
      <c r="R490" s="11"/>
      <c r="S490" s="11"/>
      <c r="T490" s="11"/>
      <c r="U490" s="11"/>
      <c r="V490" s="11"/>
      <c r="W490" s="11"/>
      <c r="X490" s="11"/>
    </row>
    <row r="491" ht="13.5" customHeight="1">
      <c r="A491" s="11"/>
      <c r="B491" s="827" t="s">
        <v>805</v>
      </c>
      <c r="C491" s="817">
        <v>13.0</v>
      </c>
      <c r="D491" s="1292">
        <f t="shared" ref="D491:D512" si="39">(C491*D490)/C490</f>
        <v>7.8</v>
      </c>
      <c r="E491" s="819" t="s">
        <v>14</v>
      </c>
      <c r="F491" s="11"/>
      <c r="G491" s="11"/>
      <c r="H491" s="11"/>
      <c r="I491" s="11"/>
      <c r="J491" s="11"/>
      <c r="K491" s="11"/>
      <c r="L491" s="11"/>
      <c r="M491" s="755"/>
      <c r="N491" s="11"/>
      <c r="O491" s="11"/>
      <c r="P491" s="11"/>
      <c r="Q491" s="11"/>
      <c r="R491" s="11"/>
      <c r="S491" s="11"/>
      <c r="T491" s="11"/>
      <c r="U491" s="11"/>
      <c r="V491" s="11"/>
      <c r="W491" s="11"/>
      <c r="X491" s="11"/>
    </row>
    <row r="492" ht="13.5" customHeight="1">
      <c r="A492" s="11"/>
      <c r="B492" s="833" t="s">
        <v>31</v>
      </c>
      <c r="C492" s="835">
        <v>1350.0</v>
      </c>
      <c r="D492" s="835">
        <f t="shared" si="39"/>
        <v>810</v>
      </c>
      <c r="E492" s="837" t="s">
        <v>18</v>
      </c>
      <c r="F492" s="11"/>
      <c r="G492" s="11"/>
      <c r="H492" s="11"/>
      <c r="I492" s="11"/>
      <c r="J492" s="11"/>
      <c r="K492" s="11"/>
      <c r="L492" s="11"/>
      <c r="M492" s="755"/>
      <c r="N492" s="11"/>
      <c r="O492" s="11"/>
      <c r="P492" s="11"/>
      <c r="Q492" s="11"/>
      <c r="R492" s="11"/>
      <c r="S492" s="11"/>
      <c r="T492" s="11"/>
      <c r="U492" s="11"/>
      <c r="V492" s="11"/>
      <c r="W492" s="11"/>
      <c r="X492" s="11"/>
    </row>
    <row r="493" ht="13.5" customHeight="1">
      <c r="A493" s="11"/>
      <c r="B493" s="357" t="s">
        <v>824</v>
      </c>
      <c r="C493" s="839">
        <v>0.5</v>
      </c>
      <c r="D493" s="835">
        <f t="shared" si="39"/>
        <v>0.3</v>
      </c>
      <c r="E493" s="773" t="s">
        <v>5</v>
      </c>
      <c r="F493" s="11"/>
      <c r="G493" s="11"/>
      <c r="H493" s="11"/>
      <c r="I493" s="11"/>
      <c r="J493" s="11"/>
      <c r="K493" s="11"/>
      <c r="L493" s="11"/>
      <c r="M493" s="755"/>
      <c r="N493" s="11"/>
      <c r="O493" s="11"/>
      <c r="P493" s="11"/>
      <c r="Q493" s="11"/>
      <c r="R493" s="11"/>
      <c r="S493" s="11"/>
      <c r="T493" s="11"/>
      <c r="U493" s="11"/>
      <c r="V493" s="11"/>
      <c r="W493" s="11"/>
      <c r="X493" s="11"/>
    </row>
    <row r="494" ht="13.5" customHeight="1">
      <c r="A494" s="11"/>
      <c r="B494" s="341" t="s">
        <v>243</v>
      </c>
      <c r="C494" s="321">
        <v>80.0</v>
      </c>
      <c r="D494" s="835">
        <f t="shared" si="39"/>
        <v>48</v>
      </c>
      <c r="E494" s="769" t="s">
        <v>5</v>
      </c>
      <c r="F494" s="11"/>
      <c r="G494" s="11"/>
      <c r="H494" s="11"/>
      <c r="I494" s="11"/>
      <c r="J494" s="11"/>
      <c r="K494" s="11"/>
      <c r="L494" s="11"/>
      <c r="M494" s="755"/>
      <c r="N494" s="11"/>
      <c r="O494" s="11"/>
      <c r="P494" s="11"/>
      <c r="Q494" s="11"/>
      <c r="R494" s="11"/>
      <c r="S494" s="11"/>
      <c r="T494" s="11"/>
      <c r="U494" s="11"/>
      <c r="V494" s="11"/>
      <c r="W494" s="11"/>
      <c r="X494" s="11"/>
    </row>
    <row r="495" ht="13.5" customHeight="1">
      <c r="A495" s="11"/>
      <c r="B495" s="341" t="s">
        <v>828</v>
      </c>
      <c r="C495" s="321">
        <v>500.0</v>
      </c>
      <c r="D495" s="835">
        <f t="shared" si="39"/>
        <v>300</v>
      </c>
      <c r="E495" s="769" t="s">
        <v>18</v>
      </c>
      <c r="F495" s="11"/>
      <c r="G495" s="11"/>
      <c r="H495" s="11"/>
      <c r="I495" s="11"/>
      <c r="J495" s="11"/>
      <c r="K495" s="11"/>
      <c r="L495" s="11"/>
      <c r="M495" s="755"/>
      <c r="N495" s="11"/>
      <c r="O495" s="11"/>
      <c r="P495" s="11"/>
      <c r="Q495" s="11"/>
      <c r="R495" s="11"/>
      <c r="S495" s="11"/>
      <c r="T495" s="11"/>
      <c r="U495" s="11"/>
      <c r="V495" s="11"/>
      <c r="W495" s="11"/>
      <c r="X495" s="11"/>
    </row>
    <row r="496" ht="13.5" customHeight="1">
      <c r="A496" s="11"/>
      <c r="B496" s="341" t="s">
        <v>83</v>
      </c>
      <c r="C496" s="321">
        <v>200.0</v>
      </c>
      <c r="D496" s="835">
        <f t="shared" si="39"/>
        <v>120</v>
      </c>
      <c r="E496" s="769" t="s">
        <v>18</v>
      </c>
      <c r="F496" s="11"/>
      <c r="G496" s="11"/>
      <c r="H496" s="11"/>
      <c r="I496" s="11"/>
      <c r="J496" s="11"/>
      <c r="K496" s="11"/>
      <c r="L496" s="11"/>
      <c r="M496" s="755"/>
      <c r="N496" s="11"/>
      <c r="O496" s="11"/>
      <c r="P496" s="11"/>
      <c r="Q496" s="11"/>
      <c r="R496" s="11"/>
      <c r="S496" s="11"/>
      <c r="T496" s="11"/>
      <c r="U496" s="11"/>
      <c r="V496" s="11"/>
      <c r="W496" s="11"/>
      <c r="X496" s="11"/>
    </row>
    <row r="497" ht="13.5" customHeight="1">
      <c r="A497" s="11"/>
      <c r="B497" s="341" t="s">
        <v>103</v>
      </c>
      <c r="C497" s="321">
        <v>75.0</v>
      </c>
      <c r="D497" s="835">
        <f t="shared" si="39"/>
        <v>45</v>
      </c>
      <c r="E497" s="769" t="s">
        <v>18</v>
      </c>
      <c r="F497" s="11"/>
      <c r="G497" s="11"/>
      <c r="H497" s="11"/>
      <c r="I497" s="11"/>
      <c r="J497" s="11"/>
      <c r="K497" s="11"/>
      <c r="L497" s="11"/>
      <c r="M497" s="755"/>
      <c r="N497" s="11"/>
      <c r="O497" s="11"/>
      <c r="P497" s="11"/>
      <c r="Q497" s="11"/>
      <c r="R497" s="11"/>
      <c r="S497" s="11"/>
      <c r="T497" s="11"/>
      <c r="U497" s="11"/>
      <c r="V497" s="11"/>
      <c r="W497" s="11"/>
      <c r="X497" s="11"/>
    </row>
    <row r="498" ht="13.5" customHeight="1">
      <c r="A498" s="11"/>
      <c r="B498" s="358" t="s">
        <v>52</v>
      </c>
      <c r="C498" s="318">
        <v>200.0</v>
      </c>
      <c r="D498" s="828">
        <f t="shared" si="39"/>
        <v>120</v>
      </c>
      <c r="E498" s="775" t="s">
        <v>18</v>
      </c>
      <c r="F498" s="11"/>
      <c r="G498" s="11"/>
      <c r="H498" s="11"/>
      <c r="I498" s="11"/>
      <c r="J498" s="11"/>
      <c r="K498" s="11"/>
      <c r="L498" s="11"/>
      <c r="M498" s="755"/>
      <c r="N498" s="11"/>
      <c r="O498" s="11"/>
      <c r="P498" s="11"/>
      <c r="Q498" s="11"/>
      <c r="R498" s="11"/>
      <c r="S498" s="11"/>
      <c r="T498" s="11"/>
      <c r="U498" s="11"/>
      <c r="V498" s="11"/>
      <c r="W498" s="11"/>
      <c r="X498" s="11"/>
    </row>
    <row r="499" ht="13.5" customHeight="1">
      <c r="A499" s="11"/>
      <c r="B499" s="365" t="s">
        <v>831</v>
      </c>
      <c r="C499" s="328">
        <v>5.0</v>
      </c>
      <c r="D499" s="817">
        <f t="shared" si="39"/>
        <v>3</v>
      </c>
      <c r="E499" s="844" t="s">
        <v>14</v>
      </c>
      <c r="F499" s="11"/>
      <c r="G499" s="11"/>
      <c r="H499" s="11"/>
      <c r="I499" s="11"/>
      <c r="J499" s="11"/>
      <c r="K499" s="11"/>
      <c r="L499" s="11"/>
      <c r="M499" s="755"/>
      <c r="N499" s="11"/>
      <c r="O499" s="11"/>
      <c r="P499" s="11"/>
      <c r="Q499" s="11"/>
      <c r="R499" s="11"/>
      <c r="S499" s="11"/>
      <c r="T499" s="11"/>
      <c r="U499" s="11"/>
      <c r="V499" s="11"/>
      <c r="W499" s="11"/>
      <c r="X499" s="11"/>
    </row>
    <row r="500" ht="13.5" customHeight="1">
      <c r="A500" s="11"/>
      <c r="B500" s="333" t="s">
        <v>39</v>
      </c>
      <c r="C500" s="316">
        <v>200.0</v>
      </c>
      <c r="D500" s="1292">
        <f t="shared" si="39"/>
        <v>120</v>
      </c>
      <c r="E500" s="772" t="s">
        <v>18</v>
      </c>
      <c r="F500" s="11"/>
      <c r="G500" s="11"/>
      <c r="H500" s="11"/>
      <c r="I500" s="11"/>
      <c r="J500" s="11"/>
      <c r="K500" s="11"/>
      <c r="L500" s="11"/>
      <c r="M500" s="755"/>
      <c r="N500" s="11"/>
      <c r="O500" s="11"/>
      <c r="P500" s="11"/>
      <c r="Q500" s="11"/>
      <c r="R500" s="11"/>
      <c r="S500" s="11"/>
      <c r="T500" s="11"/>
      <c r="U500" s="11"/>
      <c r="V500" s="11"/>
      <c r="W500" s="11"/>
      <c r="X500" s="11"/>
    </row>
    <row r="501" ht="13.5" customHeight="1">
      <c r="A501" s="11"/>
      <c r="B501" s="341" t="s">
        <v>149</v>
      </c>
      <c r="C501" s="321">
        <v>500.0</v>
      </c>
      <c r="D501" s="835">
        <f t="shared" si="39"/>
        <v>300</v>
      </c>
      <c r="E501" s="769" t="s">
        <v>18</v>
      </c>
      <c r="F501" s="11"/>
      <c r="G501" s="11"/>
      <c r="H501" s="11"/>
      <c r="I501" s="11"/>
      <c r="J501" s="11"/>
      <c r="K501" s="11"/>
      <c r="L501" s="11"/>
      <c r="M501" s="755"/>
      <c r="N501" s="11"/>
      <c r="O501" s="11"/>
      <c r="P501" s="11"/>
      <c r="Q501" s="11"/>
      <c r="R501" s="11"/>
      <c r="S501" s="11"/>
      <c r="T501" s="11"/>
      <c r="U501" s="11"/>
      <c r="V501" s="11"/>
      <c r="W501" s="11"/>
      <c r="X501" s="11"/>
    </row>
    <row r="502" ht="13.5" customHeight="1">
      <c r="A502" s="11"/>
      <c r="B502" s="358" t="s">
        <v>841</v>
      </c>
      <c r="C502" s="318">
        <v>150.0</v>
      </c>
      <c r="D502" s="828">
        <f t="shared" si="39"/>
        <v>90</v>
      </c>
      <c r="E502" s="775" t="s">
        <v>18</v>
      </c>
      <c r="F502" s="11"/>
      <c r="G502" s="11"/>
      <c r="H502" s="11"/>
      <c r="I502" s="11"/>
      <c r="J502" s="11"/>
      <c r="K502" s="11"/>
      <c r="L502" s="11"/>
      <c r="M502" s="755"/>
      <c r="N502" s="11"/>
      <c r="O502" s="11"/>
      <c r="P502" s="11"/>
      <c r="Q502" s="11"/>
      <c r="R502" s="11"/>
      <c r="S502" s="11"/>
      <c r="T502" s="11"/>
      <c r="U502" s="11"/>
      <c r="V502" s="11"/>
      <c r="W502" s="11"/>
      <c r="X502" s="11"/>
    </row>
    <row r="503" ht="15.75" customHeight="1">
      <c r="A503" s="11"/>
      <c r="B503" s="357" t="s">
        <v>91</v>
      </c>
      <c r="C503" s="839">
        <v>2.5</v>
      </c>
      <c r="D503" s="1292">
        <f t="shared" si="39"/>
        <v>1.5</v>
      </c>
      <c r="E503" s="773" t="s">
        <v>5</v>
      </c>
      <c r="F503" s="11"/>
      <c r="G503" s="11"/>
      <c r="H503" s="11"/>
      <c r="I503" s="11"/>
      <c r="J503" s="11"/>
      <c r="K503" s="11"/>
      <c r="L503" s="11"/>
      <c r="M503" s="755"/>
      <c r="N503" s="11"/>
      <c r="O503" s="11"/>
      <c r="P503" s="11"/>
      <c r="Q503" s="11"/>
      <c r="R503" s="11"/>
      <c r="S503" s="11"/>
      <c r="T503" s="11"/>
      <c r="U503" s="11"/>
      <c r="V503" s="11"/>
      <c r="W503" s="11"/>
      <c r="X503" s="11"/>
    </row>
    <row r="504" ht="15.0" customHeight="1">
      <c r="A504" s="11"/>
      <c r="B504" s="341" t="s">
        <v>844</v>
      </c>
      <c r="C504" s="321">
        <v>25.0</v>
      </c>
      <c r="D504" s="835">
        <f t="shared" si="39"/>
        <v>15</v>
      </c>
      <c r="E504" s="769" t="s">
        <v>18</v>
      </c>
      <c r="F504" s="11"/>
      <c r="G504" s="11"/>
      <c r="H504" s="11"/>
      <c r="I504" s="11"/>
      <c r="J504" s="11"/>
      <c r="K504" s="11"/>
      <c r="L504" s="11"/>
      <c r="M504" s="755"/>
      <c r="N504" s="11"/>
      <c r="O504" s="11"/>
      <c r="P504" s="11"/>
      <c r="Q504" s="11"/>
      <c r="R504" s="11"/>
      <c r="S504" s="11"/>
      <c r="T504" s="11"/>
      <c r="U504" s="11"/>
      <c r="V504" s="11"/>
      <c r="W504" s="11"/>
      <c r="X504" s="11"/>
    </row>
    <row r="505" ht="15.0" customHeight="1">
      <c r="A505" s="11"/>
      <c r="B505" s="341" t="s">
        <v>97</v>
      </c>
      <c r="C505" s="321">
        <v>100.0</v>
      </c>
      <c r="D505" s="835">
        <f t="shared" si="39"/>
        <v>60</v>
      </c>
      <c r="E505" s="769" t="s">
        <v>18</v>
      </c>
      <c r="F505" s="11"/>
      <c r="G505" s="11"/>
      <c r="H505" s="11"/>
      <c r="I505" s="11"/>
      <c r="J505" s="11"/>
      <c r="K505" s="11"/>
      <c r="L505" s="11"/>
      <c r="M505" s="755"/>
      <c r="N505" s="11"/>
      <c r="O505" s="11"/>
      <c r="P505" s="11"/>
      <c r="Q505" s="11"/>
      <c r="R505" s="11"/>
      <c r="S505" s="11"/>
      <c r="T505" s="11"/>
      <c r="U505" s="11"/>
      <c r="V505" s="11"/>
      <c r="W505" s="11"/>
      <c r="X505" s="11"/>
    </row>
    <row r="506" ht="15.75" customHeight="1">
      <c r="A506" s="11"/>
      <c r="B506" s="341" t="s">
        <v>98</v>
      </c>
      <c r="C506" s="321">
        <v>150.0</v>
      </c>
      <c r="D506" s="835">
        <f t="shared" si="39"/>
        <v>90</v>
      </c>
      <c r="E506" s="769" t="s">
        <v>18</v>
      </c>
      <c r="F506" s="11"/>
      <c r="G506" s="11"/>
      <c r="H506" s="11"/>
      <c r="I506" s="11"/>
      <c r="J506" s="11"/>
      <c r="K506" s="11"/>
      <c r="L506" s="11"/>
      <c r="M506" s="755"/>
      <c r="N506" s="11"/>
      <c r="O506" s="11"/>
      <c r="P506" s="11"/>
      <c r="Q506" s="11"/>
      <c r="R506" s="11"/>
      <c r="S506" s="11"/>
      <c r="T506" s="11"/>
      <c r="U506" s="11"/>
      <c r="V506" s="11"/>
      <c r="W506" s="11"/>
      <c r="X506" s="11"/>
    </row>
    <row r="507" ht="15.75" customHeight="1">
      <c r="A507" s="11"/>
      <c r="B507" s="349" t="s">
        <v>847</v>
      </c>
      <c r="C507" s="355">
        <v>100.0</v>
      </c>
      <c r="D507" s="835">
        <f t="shared" si="39"/>
        <v>60</v>
      </c>
      <c r="E507" s="854" t="s">
        <v>18</v>
      </c>
      <c r="F507" s="11"/>
      <c r="G507" s="11"/>
      <c r="H507" s="11"/>
      <c r="I507" s="11"/>
      <c r="J507" s="11"/>
      <c r="K507" s="11"/>
      <c r="L507" s="11"/>
      <c r="M507" s="755"/>
      <c r="N507" s="11"/>
      <c r="O507" s="11"/>
      <c r="P507" s="11"/>
      <c r="Q507" s="11"/>
      <c r="R507" s="11"/>
      <c r="S507" s="11"/>
      <c r="T507" s="11"/>
      <c r="U507" s="11"/>
      <c r="V507" s="11"/>
      <c r="W507" s="11"/>
      <c r="X507" s="11"/>
    </row>
    <row r="508" ht="15.0" customHeight="1">
      <c r="A508" s="11"/>
      <c r="B508" s="341" t="s">
        <v>103</v>
      </c>
      <c r="C508" s="321">
        <v>75.0</v>
      </c>
      <c r="D508" s="828">
        <f t="shared" si="39"/>
        <v>45</v>
      </c>
      <c r="E508" s="769" t="s">
        <v>18</v>
      </c>
      <c r="F508" s="11"/>
      <c r="G508" s="11"/>
      <c r="H508" s="11"/>
      <c r="I508" s="11"/>
      <c r="J508" s="11"/>
      <c r="K508" s="11"/>
      <c r="L508" s="11"/>
      <c r="M508" s="755"/>
      <c r="N508" s="11"/>
      <c r="O508" s="11"/>
      <c r="P508" s="11"/>
      <c r="Q508" s="11"/>
      <c r="R508" s="11"/>
      <c r="S508" s="11"/>
      <c r="T508" s="11"/>
      <c r="U508" s="11"/>
      <c r="V508" s="11"/>
      <c r="W508" s="11"/>
      <c r="X508" s="11"/>
    </row>
    <row r="509" ht="15.0" customHeight="1">
      <c r="A509" s="11"/>
      <c r="B509" s="333" t="s">
        <v>850</v>
      </c>
      <c r="C509" s="316">
        <v>5.0</v>
      </c>
      <c r="D509" s="1292">
        <f t="shared" si="39"/>
        <v>3</v>
      </c>
      <c r="E509" s="772" t="s">
        <v>14</v>
      </c>
      <c r="F509" s="11"/>
      <c r="G509" s="11"/>
      <c r="H509" s="11"/>
      <c r="I509" s="11"/>
      <c r="J509" s="11"/>
      <c r="K509" s="11"/>
      <c r="L509" s="11"/>
      <c r="M509" s="755"/>
      <c r="N509" s="11"/>
      <c r="O509" s="11"/>
      <c r="P509" s="11"/>
      <c r="Q509" s="11"/>
      <c r="R509" s="11"/>
      <c r="S509" s="11"/>
      <c r="T509" s="11"/>
      <c r="U509" s="11"/>
      <c r="V509" s="11"/>
      <c r="W509" s="11"/>
      <c r="X509" s="11"/>
    </row>
    <row r="510" ht="15.0" customHeight="1">
      <c r="A510" s="11"/>
      <c r="B510" s="341" t="s">
        <v>854</v>
      </c>
      <c r="C510" s="321">
        <v>5.0</v>
      </c>
      <c r="D510" s="835">
        <f t="shared" si="39"/>
        <v>3</v>
      </c>
      <c r="E510" s="769" t="s">
        <v>14</v>
      </c>
      <c r="F510" s="11"/>
      <c r="G510" s="11"/>
      <c r="H510" s="11"/>
      <c r="I510" s="11"/>
      <c r="J510" s="11"/>
      <c r="K510" s="11"/>
      <c r="L510" s="11"/>
      <c r="M510" s="755"/>
      <c r="N510" s="11"/>
      <c r="O510" s="11"/>
      <c r="P510" s="11"/>
      <c r="Q510" s="11"/>
      <c r="R510" s="11"/>
      <c r="S510" s="11"/>
      <c r="T510" s="11"/>
      <c r="U510" s="11"/>
      <c r="V510" s="11"/>
      <c r="W510" s="11"/>
      <c r="X510" s="11"/>
    </row>
    <row r="511" ht="15.0" customHeight="1">
      <c r="A511" s="11"/>
      <c r="B511" s="358" t="s">
        <v>856</v>
      </c>
      <c r="C511" s="318">
        <v>0.75</v>
      </c>
      <c r="D511" s="828">
        <f t="shared" si="39"/>
        <v>0.45</v>
      </c>
      <c r="E511" s="775" t="s">
        <v>14</v>
      </c>
      <c r="F511" s="11"/>
      <c r="G511" s="11"/>
      <c r="H511" s="11"/>
      <c r="I511" s="11"/>
      <c r="J511" s="11"/>
      <c r="K511" s="11"/>
      <c r="L511" s="11"/>
      <c r="M511" s="755"/>
      <c r="N511" s="11"/>
      <c r="O511" s="11"/>
      <c r="P511" s="11"/>
      <c r="Q511" s="11"/>
      <c r="R511" s="11"/>
      <c r="S511" s="11"/>
      <c r="T511" s="11"/>
      <c r="U511" s="11"/>
      <c r="V511" s="11"/>
      <c r="W511" s="11"/>
      <c r="X511" s="11"/>
    </row>
    <row r="512" ht="15.0" customHeight="1">
      <c r="A512" s="11"/>
      <c r="B512" s="325" t="s">
        <v>114</v>
      </c>
      <c r="C512" s="1319">
        <v>2.5</v>
      </c>
      <c r="D512" s="1320">
        <f t="shared" si="39"/>
        <v>1.5</v>
      </c>
      <c r="E512" s="1322" t="s">
        <v>5</v>
      </c>
      <c r="F512" s="11"/>
      <c r="G512" s="11"/>
      <c r="H512" s="11"/>
      <c r="I512" s="11"/>
      <c r="J512" s="11"/>
      <c r="K512" s="11"/>
      <c r="L512" s="11"/>
      <c r="M512" s="755"/>
      <c r="N512" s="11"/>
      <c r="O512" s="11"/>
      <c r="P512" s="11"/>
      <c r="Q512" s="11"/>
      <c r="R512" s="11"/>
      <c r="S512" s="11"/>
      <c r="T512" s="11"/>
      <c r="U512" s="11"/>
      <c r="V512" s="11"/>
      <c r="W512" s="11"/>
      <c r="X512" s="11"/>
    </row>
    <row r="513" ht="15.0" customHeight="1">
      <c r="A513" s="11"/>
      <c r="B513" s="302" t="s">
        <v>49</v>
      </c>
      <c r="C513" s="303"/>
      <c r="D513" s="303">
        <v>43559.0</v>
      </c>
      <c r="E513" s="11"/>
      <c r="F513" s="11"/>
      <c r="G513" s="11"/>
      <c r="H513" s="11"/>
      <c r="I513" s="11"/>
      <c r="J513" s="11"/>
      <c r="K513" s="11"/>
      <c r="L513" s="11"/>
      <c r="M513" s="755"/>
      <c r="N513" s="11"/>
      <c r="O513" s="11"/>
      <c r="P513" s="11"/>
      <c r="Q513" s="11"/>
      <c r="R513" s="11"/>
      <c r="S513" s="11"/>
      <c r="T513" s="11"/>
      <c r="U513" s="11"/>
      <c r="V513" s="11"/>
      <c r="W513" s="11"/>
      <c r="X513" s="11"/>
    </row>
    <row r="514" ht="15.0" customHeight="1">
      <c r="A514" s="11"/>
      <c r="B514" s="302" t="s">
        <v>50</v>
      </c>
      <c r="C514" s="303"/>
      <c r="D514" s="303">
        <v>43559.0</v>
      </c>
      <c r="E514" s="11"/>
      <c r="F514" s="11"/>
      <c r="G514" s="11"/>
      <c r="H514" s="11"/>
      <c r="I514" s="11"/>
      <c r="J514" s="11"/>
      <c r="K514" s="11"/>
      <c r="L514" s="11"/>
      <c r="M514" s="755"/>
      <c r="N514" s="11"/>
      <c r="O514" s="11"/>
      <c r="P514" s="11"/>
      <c r="Q514" s="11"/>
      <c r="R514" s="11"/>
      <c r="S514" s="11"/>
      <c r="T514" s="11"/>
      <c r="U514" s="11"/>
      <c r="V514" s="11"/>
      <c r="W514" s="11"/>
      <c r="X514" s="11"/>
    </row>
    <row r="515" ht="15.0" customHeight="1">
      <c r="A515" s="11"/>
      <c r="B515" s="11"/>
      <c r="C515" s="11"/>
      <c r="D515" s="11"/>
      <c r="E515" s="11"/>
      <c r="F515" s="11"/>
      <c r="G515" s="11"/>
      <c r="H515" s="11"/>
      <c r="I515" s="11"/>
      <c r="J515" s="11"/>
      <c r="K515" s="11"/>
      <c r="L515" s="11"/>
      <c r="M515" s="755"/>
      <c r="N515" s="11"/>
      <c r="O515" s="11"/>
      <c r="P515" s="11"/>
      <c r="Q515" s="11"/>
      <c r="R515" s="11"/>
      <c r="S515" s="11"/>
      <c r="T515" s="11"/>
      <c r="U515" s="11"/>
      <c r="V515" s="11"/>
      <c r="W515" s="11"/>
      <c r="X515" s="11"/>
    </row>
    <row r="516" ht="15.0" customHeight="1">
      <c r="A516" s="11"/>
      <c r="B516" s="220" t="s">
        <v>42</v>
      </c>
      <c r="C516" s="220" t="s">
        <v>725</v>
      </c>
      <c r="D516" s="11"/>
      <c r="E516" s="11"/>
      <c r="F516" s="11"/>
      <c r="G516" s="11"/>
      <c r="H516" s="11"/>
      <c r="I516" s="11"/>
      <c r="J516" s="11"/>
      <c r="K516" s="11"/>
      <c r="L516" s="11"/>
      <c r="M516" s="755"/>
      <c r="N516" s="11"/>
      <c r="O516" s="11"/>
      <c r="P516" s="11"/>
      <c r="Q516" s="11"/>
      <c r="R516" s="11"/>
      <c r="S516" s="11"/>
      <c r="T516" s="11"/>
      <c r="U516" s="11"/>
      <c r="V516" s="11"/>
      <c r="W516" s="11"/>
      <c r="X516" s="11"/>
    </row>
    <row r="517" ht="15.75" customHeight="1">
      <c r="A517" s="11"/>
      <c r="B517" s="11"/>
      <c r="C517" s="11"/>
      <c r="D517" s="11"/>
      <c r="E517" s="11"/>
      <c r="F517" s="11"/>
      <c r="G517" s="11"/>
      <c r="H517" s="11"/>
      <c r="I517" s="11"/>
      <c r="J517" s="11"/>
      <c r="K517" s="11"/>
      <c r="L517" s="11"/>
      <c r="M517" s="755"/>
      <c r="N517" s="11"/>
      <c r="O517" s="11"/>
      <c r="P517" s="11"/>
      <c r="Q517" s="11"/>
      <c r="R517" s="11"/>
      <c r="S517" s="11"/>
      <c r="T517" s="11"/>
      <c r="U517" s="11"/>
      <c r="V517" s="11"/>
      <c r="W517" s="11"/>
      <c r="X517" s="11"/>
    </row>
    <row r="518" ht="15.0" customHeight="1">
      <c r="A518" s="11"/>
      <c r="B518" s="11"/>
      <c r="C518" s="11"/>
      <c r="D518" s="11"/>
      <c r="E518" s="11"/>
      <c r="F518" s="11"/>
      <c r="G518" s="11"/>
      <c r="H518" s="11"/>
      <c r="I518" s="11"/>
      <c r="J518" s="11"/>
      <c r="K518" s="11"/>
      <c r="L518" s="11"/>
      <c r="M518" s="755"/>
      <c r="N518" s="11"/>
      <c r="O518" s="11"/>
      <c r="P518" s="11"/>
      <c r="Q518" s="11"/>
      <c r="R518" s="11"/>
      <c r="S518" s="11"/>
      <c r="T518" s="11"/>
      <c r="U518" s="11"/>
      <c r="V518" s="11"/>
      <c r="W518" s="11"/>
      <c r="X518" s="11"/>
    </row>
    <row r="519" ht="15.0" customHeight="1">
      <c r="A519" s="11"/>
      <c r="B519" s="11"/>
      <c r="C519" s="11"/>
      <c r="D519" s="11"/>
      <c r="E519" s="11"/>
      <c r="F519" s="11"/>
      <c r="G519" s="11"/>
      <c r="H519" s="11"/>
      <c r="I519" s="11"/>
      <c r="J519" s="11"/>
      <c r="K519" s="11"/>
      <c r="L519" s="11"/>
      <c r="M519" s="755"/>
      <c r="N519" s="11"/>
      <c r="O519" s="11"/>
      <c r="P519" s="11"/>
      <c r="Q519" s="11"/>
      <c r="R519" s="11"/>
      <c r="S519" s="11"/>
      <c r="T519" s="11"/>
      <c r="U519" s="11"/>
      <c r="V519" s="11"/>
      <c r="W519" s="11"/>
      <c r="X519" s="11"/>
    </row>
    <row r="520" ht="15.75" customHeight="1">
      <c r="A520" s="11"/>
      <c r="B520" s="11"/>
      <c r="C520" s="11"/>
      <c r="D520" s="11"/>
      <c r="E520" s="11"/>
      <c r="F520" s="11"/>
      <c r="G520" s="11"/>
      <c r="H520" s="11"/>
      <c r="I520" s="11"/>
      <c r="J520" s="11"/>
      <c r="K520" s="11"/>
      <c r="L520" s="11"/>
      <c r="M520" s="755"/>
      <c r="N520" s="11"/>
      <c r="O520" s="11"/>
      <c r="P520" s="11"/>
      <c r="Q520" s="11"/>
      <c r="R520" s="11"/>
      <c r="S520" s="11"/>
      <c r="T520" s="11"/>
      <c r="U520" s="11"/>
      <c r="V520" s="11"/>
      <c r="W520" s="11"/>
      <c r="X520" s="11"/>
    </row>
    <row r="521" ht="13.5" customHeight="1">
      <c r="A521" s="11"/>
      <c r="B521" s="11"/>
      <c r="C521" s="11"/>
      <c r="D521" s="11"/>
      <c r="E521" s="11"/>
      <c r="F521" s="11"/>
      <c r="G521" s="11"/>
      <c r="H521" s="11"/>
      <c r="I521" s="11"/>
      <c r="J521" s="11"/>
      <c r="K521" s="11"/>
      <c r="L521" s="11"/>
      <c r="M521" s="755"/>
      <c r="N521" s="11"/>
      <c r="O521" s="11"/>
      <c r="P521" s="11"/>
      <c r="Q521" s="11"/>
      <c r="R521" s="11"/>
      <c r="S521" s="11"/>
      <c r="T521" s="11"/>
      <c r="U521" s="11"/>
      <c r="V521" s="11"/>
      <c r="W521" s="11"/>
      <c r="X521" s="11"/>
    </row>
    <row r="522" ht="13.5" customHeight="1">
      <c r="A522" s="11"/>
      <c r="B522" s="1086" t="s">
        <v>1500</v>
      </c>
      <c r="C522" s="18"/>
      <c r="D522" s="18"/>
      <c r="E522" s="19"/>
      <c r="F522" s="11"/>
      <c r="G522" s="11"/>
      <c r="H522" s="11"/>
      <c r="I522" s="11"/>
      <c r="J522" s="11"/>
      <c r="K522" s="11"/>
      <c r="L522" s="11"/>
      <c r="M522" s="755"/>
      <c r="N522" s="11"/>
      <c r="O522" s="11"/>
      <c r="P522" s="11"/>
      <c r="Q522" s="11"/>
      <c r="R522" s="11"/>
      <c r="S522" s="11"/>
      <c r="T522" s="11"/>
      <c r="U522" s="11"/>
      <c r="V522" s="11"/>
      <c r="W522" s="11"/>
      <c r="X522" s="11"/>
    </row>
    <row r="523" ht="13.5" customHeight="1">
      <c r="A523" s="11"/>
      <c r="B523" s="1328" t="s">
        <v>1</v>
      </c>
      <c r="C523" s="363">
        <v>100.0</v>
      </c>
      <c r="D523" s="1329">
        <v>3.0</v>
      </c>
      <c r="E523" s="1330" t="s">
        <v>5</v>
      </c>
      <c r="F523" s="11"/>
      <c r="G523" s="11"/>
      <c r="H523" s="11"/>
      <c r="I523" s="11"/>
      <c r="J523" s="11"/>
      <c r="K523" s="11"/>
      <c r="L523" s="11"/>
      <c r="M523" s="755"/>
      <c r="N523" s="11"/>
      <c r="O523" s="11"/>
      <c r="P523" s="11"/>
      <c r="Q523" s="11"/>
      <c r="R523" s="11"/>
      <c r="S523" s="11"/>
      <c r="T523" s="11"/>
      <c r="U523" s="11"/>
      <c r="V523" s="11"/>
      <c r="W523" s="11"/>
      <c r="X523" s="11"/>
    </row>
    <row r="524" ht="13.5" customHeight="1">
      <c r="A524" s="11"/>
      <c r="B524" s="157" t="s">
        <v>792</v>
      </c>
      <c r="C524" s="839">
        <v>4.5</v>
      </c>
      <c r="D524" s="158">
        <f t="shared" ref="D524:D549" si="40">(C524*D523)/C523</f>
        <v>0.135</v>
      </c>
      <c r="E524" s="1055" t="s">
        <v>14</v>
      </c>
      <c r="F524" s="11"/>
      <c r="G524" s="11"/>
      <c r="H524" s="11"/>
      <c r="I524" s="11"/>
      <c r="J524" s="11"/>
      <c r="K524" s="11"/>
      <c r="L524" s="11"/>
      <c r="M524" s="755"/>
      <c r="N524" s="11"/>
      <c r="O524" s="11"/>
      <c r="P524" s="11"/>
      <c r="Q524" s="11"/>
      <c r="R524" s="11"/>
      <c r="S524" s="11"/>
      <c r="T524" s="11"/>
      <c r="U524" s="11"/>
      <c r="V524" s="11"/>
      <c r="W524" s="11"/>
      <c r="X524" s="11"/>
    </row>
    <row r="525" ht="13.5" customHeight="1">
      <c r="A525" s="11"/>
      <c r="B525" s="177" t="s">
        <v>52</v>
      </c>
      <c r="C525" s="321">
        <v>150.0</v>
      </c>
      <c r="D525" s="201">
        <f t="shared" si="40"/>
        <v>4.5</v>
      </c>
      <c r="E525" s="774" t="s">
        <v>18</v>
      </c>
      <c r="F525" s="11"/>
      <c r="G525" s="11"/>
      <c r="H525" s="11"/>
      <c r="I525" s="11"/>
      <c r="J525" s="11"/>
      <c r="K525" s="11"/>
      <c r="L525" s="11"/>
      <c r="M525" s="755"/>
      <c r="N525" s="11"/>
      <c r="O525" s="11"/>
      <c r="P525" s="11"/>
      <c r="Q525" s="11"/>
      <c r="R525" s="11"/>
      <c r="S525" s="11"/>
      <c r="T525" s="11"/>
      <c r="U525" s="11"/>
      <c r="V525" s="11"/>
      <c r="W525" s="11"/>
      <c r="X525" s="11"/>
    </row>
    <row r="526" ht="13.5" customHeight="1">
      <c r="A526" s="11"/>
      <c r="B526" s="177" t="s">
        <v>31</v>
      </c>
      <c r="C526" s="321">
        <v>1000.0</v>
      </c>
      <c r="D526" s="201">
        <f t="shared" si="40"/>
        <v>30</v>
      </c>
      <c r="E526" s="774" t="s">
        <v>18</v>
      </c>
      <c r="F526" s="11"/>
      <c r="G526" s="11"/>
      <c r="H526" s="11"/>
      <c r="I526" s="11"/>
      <c r="J526" s="11"/>
      <c r="K526" s="11"/>
      <c r="L526" s="11"/>
      <c r="M526" s="755"/>
      <c r="N526" s="11"/>
      <c r="O526" s="11"/>
      <c r="P526" s="11"/>
      <c r="Q526" s="11"/>
      <c r="R526" s="11"/>
      <c r="S526" s="11"/>
      <c r="T526" s="11"/>
      <c r="U526" s="11"/>
      <c r="V526" s="11"/>
      <c r="W526" s="11"/>
      <c r="X526" s="11"/>
    </row>
    <row r="527" ht="13.5" customHeight="1">
      <c r="A527" s="11"/>
      <c r="B527" s="262" t="s">
        <v>59</v>
      </c>
      <c r="C527" s="355">
        <v>50.0</v>
      </c>
      <c r="D527" s="265">
        <f t="shared" si="40"/>
        <v>1.5</v>
      </c>
      <c r="E527" s="793" t="s">
        <v>5</v>
      </c>
      <c r="F527" s="11"/>
      <c r="G527" s="11"/>
      <c r="H527" s="11"/>
      <c r="I527" s="11"/>
      <c r="J527" s="11"/>
      <c r="K527" s="11"/>
      <c r="L527" s="11"/>
      <c r="M527" s="755"/>
      <c r="N527" s="11"/>
      <c r="O527" s="11"/>
      <c r="P527" s="11"/>
      <c r="Q527" s="11"/>
      <c r="R527" s="11"/>
      <c r="S527" s="11"/>
      <c r="T527" s="11"/>
      <c r="U527" s="11"/>
      <c r="V527" s="11"/>
      <c r="W527" s="11"/>
      <c r="X527" s="11"/>
    </row>
    <row r="528" ht="13.5" customHeight="1">
      <c r="A528" s="11"/>
      <c r="B528" s="333" t="s">
        <v>83</v>
      </c>
      <c r="C528" s="316">
        <v>500.0</v>
      </c>
      <c r="D528" s="164">
        <f t="shared" si="40"/>
        <v>15</v>
      </c>
      <c r="E528" s="733" t="s">
        <v>18</v>
      </c>
      <c r="F528" s="11"/>
      <c r="G528" s="11"/>
      <c r="H528" s="11"/>
      <c r="I528" s="11"/>
      <c r="J528" s="11"/>
      <c r="K528" s="11"/>
      <c r="L528" s="11"/>
      <c r="M528" s="755"/>
      <c r="N528" s="11"/>
      <c r="O528" s="11"/>
      <c r="P528" s="11"/>
      <c r="Q528" s="11"/>
      <c r="R528" s="11"/>
      <c r="S528" s="11"/>
      <c r="T528" s="11"/>
      <c r="U528" s="11"/>
      <c r="V528" s="11"/>
      <c r="W528" s="11"/>
      <c r="X528" s="11"/>
    </row>
    <row r="529" ht="13.5" customHeight="1">
      <c r="A529" s="11"/>
      <c r="B529" s="208" t="s">
        <v>292</v>
      </c>
      <c r="C529" s="318">
        <v>3.0</v>
      </c>
      <c r="D529" s="257">
        <f t="shared" si="40"/>
        <v>0.09</v>
      </c>
      <c r="E529" s="1052" t="s">
        <v>14</v>
      </c>
      <c r="F529" s="11"/>
      <c r="G529" s="11"/>
      <c r="H529" s="11"/>
      <c r="I529" s="11"/>
      <c r="J529" s="11"/>
      <c r="K529" s="11"/>
      <c r="L529" s="11"/>
      <c r="M529" s="755"/>
      <c r="N529" s="11"/>
      <c r="O529" s="11"/>
      <c r="P529" s="11"/>
      <c r="Q529" s="11"/>
      <c r="R529" s="11"/>
      <c r="S529" s="11"/>
      <c r="T529" s="11"/>
      <c r="U529" s="11"/>
      <c r="V529" s="11"/>
      <c r="W529" s="11"/>
      <c r="X529" s="11"/>
    </row>
    <row r="530" ht="13.5" customHeight="1">
      <c r="A530" s="11"/>
      <c r="B530" s="157" t="s">
        <v>1250</v>
      </c>
      <c r="C530" s="839">
        <v>2.5</v>
      </c>
      <c r="D530" s="1335">
        <f t="shared" si="40"/>
        <v>0.075</v>
      </c>
      <c r="E530" s="1055" t="s">
        <v>14</v>
      </c>
      <c r="F530" s="11"/>
      <c r="G530" s="11"/>
      <c r="H530" s="11"/>
      <c r="I530" s="11"/>
      <c r="J530" s="11"/>
      <c r="K530" s="11"/>
      <c r="L530" s="11"/>
      <c r="M530" s="755"/>
      <c r="N530" s="11"/>
      <c r="O530" s="11"/>
      <c r="P530" s="11"/>
      <c r="Q530" s="11"/>
      <c r="R530" s="11"/>
      <c r="S530" s="11"/>
      <c r="T530" s="11"/>
      <c r="U530" s="11"/>
      <c r="V530" s="11"/>
      <c r="W530" s="11"/>
      <c r="X530" s="11"/>
    </row>
    <row r="531" ht="13.5" customHeight="1">
      <c r="A531" s="11"/>
      <c r="B531" s="177" t="s">
        <v>1252</v>
      </c>
      <c r="C531" s="321">
        <v>10.0</v>
      </c>
      <c r="D531" s="1340">
        <f t="shared" si="40"/>
        <v>0.3</v>
      </c>
      <c r="E531" s="774" t="s">
        <v>14</v>
      </c>
      <c r="F531" s="11"/>
      <c r="G531" s="11"/>
      <c r="H531" s="11"/>
      <c r="I531" s="11"/>
      <c r="J531" s="11"/>
      <c r="K531" s="11"/>
      <c r="L531" s="11"/>
      <c r="M531" s="755"/>
      <c r="N531" s="11"/>
      <c r="O531" s="11"/>
      <c r="P531" s="11"/>
      <c r="Q531" s="11"/>
      <c r="R531" s="11"/>
      <c r="S531" s="11"/>
      <c r="T531" s="11"/>
      <c r="U531" s="11"/>
      <c r="V531" s="11"/>
      <c r="W531" s="11"/>
      <c r="X531" s="11"/>
    </row>
    <row r="532" ht="15.75" customHeight="1">
      <c r="A532" s="11"/>
      <c r="B532" s="177" t="s">
        <v>1253</v>
      </c>
      <c r="C532" s="321">
        <v>2.5</v>
      </c>
      <c r="D532" s="1340">
        <f t="shared" si="40"/>
        <v>0.075</v>
      </c>
      <c r="E532" s="774" t="s">
        <v>14</v>
      </c>
      <c r="F532" s="11"/>
      <c r="G532" s="11"/>
      <c r="H532" s="11"/>
      <c r="I532" s="11"/>
      <c r="J532" s="11"/>
      <c r="K532" s="11"/>
      <c r="L532" s="11"/>
      <c r="M532" s="755"/>
      <c r="N532" s="11"/>
      <c r="O532" s="11"/>
      <c r="P532" s="11"/>
      <c r="Q532" s="11"/>
      <c r="R532" s="11"/>
      <c r="S532" s="11"/>
      <c r="T532" s="11"/>
      <c r="U532" s="11"/>
      <c r="V532" s="11"/>
      <c r="W532" s="11"/>
      <c r="X532" s="11"/>
    </row>
    <row r="533" ht="15.0" customHeight="1">
      <c r="A533" s="11"/>
      <c r="B533" s="262" t="s">
        <v>1165</v>
      </c>
      <c r="C533" s="355">
        <v>12.5</v>
      </c>
      <c r="D533" s="1348">
        <f t="shared" si="40"/>
        <v>0.375</v>
      </c>
      <c r="E533" s="793" t="s">
        <v>14</v>
      </c>
      <c r="F533" s="11"/>
      <c r="G533" s="11"/>
      <c r="H533" s="11"/>
      <c r="I533" s="11"/>
      <c r="J533" s="11"/>
      <c r="K533" s="11"/>
      <c r="L533" s="11"/>
      <c r="M533" s="755"/>
      <c r="N533" s="11"/>
      <c r="O533" s="11"/>
      <c r="P533" s="11"/>
      <c r="Q533" s="11"/>
      <c r="R533" s="11"/>
      <c r="S533" s="11"/>
      <c r="T533" s="11"/>
      <c r="U533" s="11"/>
      <c r="V533" s="11"/>
      <c r="W533" s="11"/>
      <c r="X533" s="11"/>
    </row>
    <row r="534" ht="15.0" customHeight="1">
      <c r="A534" s="11"/>
      <c r="B534" s="163" t="s">
        <v>173</v>
      </c>
      <c r="C534" s="316">
        <v>1000.0</v>
      </c>
      <c r="D534" s="526">
        <f t="shared" si="40"/>
        <v>30</v>
      </c>
      <c r="E534" s="733" t="s">
        <v>18</v>
      </c>
      <c r="F534" s="11"/>
      <c r="G534" s="11"/>
      <c r="H534" s="11"/>
      <c r="I534" s="11"/>
      <c r="J534" s="11"/>
      <c r="K534" s="11"/>
      <c r="L534" s="11"/>
      <c r="M534" s="755"/>
      <c r="N534" s="11"/>
      <c r="O534" s="11"/>
      <c r="P534" s="11"/>
      <c r="Q534" s="11"/>
      <c r="R534" s="11"/>
      <c r="S534" s="11"/>
      <c r="T534" s="11"/>
      <c r="U534" s="11"/>
      <c r="V534" s="11"/>
      <c r="W534" s="11"/>
      <c r="X534" s="11"/>
    </row>
    <row r="535" ht="13.5" customHeight="1">
      <c r="A535" s="11"/>
      <c r="B535" s="208" t="s">
        <v>80</v>
      </c>
      <c r="C535" s="318">
        <v>3.2</v>
      </c>
      <c r="D535" s="257">
        <f t="shared" si="40"/>
        <v>0.096</v>
      </c>
      <c r="E535" s="1052" t="s">
        <v>14</v>
      </c>
      <c r="F535" s="11"/>
      <c r="G535" s="11"/>
      <c r="H535" s="11"/>
      <c r="I535" s="11"/>
      <c r="J535" s="11"/>
      <c r="K535" s="11"/>
      <c r="L535" s="11"/>
      <c r="M535" s="755"/>
      <c r="N535" s="11"/>
      <c r="O535" s="11"/>
      <c r="P535" s="11"/>
      <c r="Q535" s="11"/>
      <c r="R535" s="11"/>
      <c r="S535" s="11"/>
      <c r="T535" s="11"/>
      <c r="U535" s="11"/>
      <c r="V535" s="11"/>
      <c r="W535" s="11"/>
      <c r="X535" s="11"/>
    </row>
    <row r="536" ht="13.5" customHeight="1">
      <c r="A536" s="11"/>
      <c r="B536" s="157" t="s">
        <v>1326</v>
      </c>
      <c r="C536" s="839">
        <v>3.5</v>
      </c>
      <c r="D536" s="253">
        <f t="shared" si="40"/>
        <v>0.105</v>
      </c>
      <c r="E536" s="1055" t="s">
        <v>9</v>
      </c>
      <c r="F536" s="11"/>
      <c r="G536" s="11"/>
      <c r="H536" s="11"/>
      <c r="I536" s="11"/>
      <c r="J536" s="11"/>
      <c r="K536" s="11"/>
      <c r="L536" s="11"/>
      <c r="M536" s="755"/>
      <c r="N536" s="11"/>
      <c r="O536" s="11"/>
      <c r="P536" s="11"/>
      <c r="Q536" s="11"/>
      <c r="R536" s="11"/>
      <c r="S536" s="11"/>
      <c r="T536" s="11"/>
      <c r="U536" s="11"/>
      <c r="V536" s="11"/>
      <c r="W536" s="11"/>
      <c r="X536" s="11"/>
    </row>
    <row r="537" ht="15.0" customHeight="1">
      <c r="A537" s="11"/>
      <c r="B537" s="208" t="s">
        <v>1329</v>
      </c>
      <c r="C537" s="318">
        <v>3.2</v>
      </c>
      <c r="D537" s="257">
        <f t="shared" si="40"/>
        <v>0.096</v>
      </c>
      <c r="E537" s="1052" t="s">
        <v>14</v>
      </c>
      <c r="F537" s="11"/>
      <c r="G537" s="11"/>
      <c r="H537" s="11"/>
      <c r="I537" s="11"/>
      <c r="J537" s="11"/>
      <c r="K537" s="11"/>
      <c r="L537" s="11"/>
      <c r="M537" s="755"/>
      <c r="N537" s="11"/>
      <c r="O537" s="11"/>
      <c r="P537" s="11"/>
      <c r="Q537" s="11"/>
      <c r="R537" s="11"/>
      <c r="S537" s="11"/>
      <c r="T537" s="11"/>
      <c r="U537" s="11"/>
      <c r="V537" s="11"/>
      <c r="W537" s="11"/>
      <c r="X537" s="11"/>
    </row>
    <row r="538" ht="13.5" customHeight="1">
      <c r="A538" s="11"/>
      <c r="B538" s="157" t="s">
        <v>34</v>
      </c>
      <c r="C538" s="839">
        <v>1.0</v>
      </c>
      <c r="D538" s="253">
        <f t="shared" si="40"/>
        <v>0.03</v>
      </c>
      <c r="E538" s="1055" t="s">
        <v>5</v>
      </c>
      <c r="F538" s="11"/>
      <c r="G538" s="11"/>
      <c r="H538" s="11"/>
      <c r="I538" s="11"/>
      <c r="J538" s="11"/>
      <c r="K538" s="11"/>
      <c r="L538" s="11"/>
      <c r="M538" s="755"/>
      <c r="N538" s="11"/>
      <c r="O538" s="11"/>
      <c r="P538" s="11"/>
      <c r="Q538" s="11"/>
      <c r="R538" s="11"/>
      <c r="S538" s="11"/>
      <c r="T538" s="11"/>
      <c r="U538" s="11"/>
      <c r="V538" s="11"/>
      <c r="W538" s="11"/>
      <c r="X538" s="11"/>
    </row>
    <row r="539" ht="15.0" customHeight="1">
      <c r="A539" s="11"/>
      <c r="B539" s="177" t="s">
        <v>97</v>
      </c>
      <c r="C539" s="321">
        <v>125.0</v>
      </c>
      <c r="D539" s="265">
        <f t="shared" si="40"/>
        <v>3.75</v>
      </c>
      <c r="E539" s="774" t="s">
        <v>18</v>
      </c>
      <c r="F539" s="11"/>
      <c r="G539" s="11"/>
      <c r="H539" s="11"/>
      <c r="I539" s="11"/>
      <c r="J539" s="11"/>
      <c r="K539" s="11"/>
      <c r="L539" s="11"/>
      <c r="M539" s="755"/>
      <c r="N539" s="11"/>
      <c r="O539" s="11"/>
      <c r="P539" s="11"/>
      <c r="Q539" s="11"/>
      <c r="R539" s="11"/>
      <c r="S539" s="11"/>
      <c r="T539" s="11"/>
      <c r="U539" s="11"/>
      <c r="V539" s="11"/>
      <c r="W539" s="11"/>
      <c r="X539" s="11"/>
    </row>
    <row r="540" ht="13.5" customHeight="1">
      <c r="A540" s="11"/>
      <c r="B540" s="177" t="s">
        <v>390</v>
      </c>
      <c r="C540" s="321">
        <v>80.0</v>
      </c>
      <c r="D540" s="265">
        <f t="shared" si="40"/>
        <v>2.4</v>
      </c>
      <c r="E540" s="774" t="s">
        <v>18</v>
      </c>
      <c r="F540" s="11"/>
      <c r="G540" s="11"/>
      <c r="H540" s="11"/>
      <c r="I540" s="11"/>
      <c r="J540" s="11"/>
      <c r="K540" s="11"/>
      <c r="L540" s="11"/>
      <c r="M540" s="755"/>
      <c r="N540" s="11"/>
      <c r="O540" s="11"/>
      <c r="P540" s="11"/>
      <c r="Q540" s="11"/>
      <c r="R540" s="11"/>
      <c r="S540" s="11"/>
      <c r="T540" s="11"/>
      <c r="U540" s="11"/>
      <c r="V540" s="11"/>
      <c r="W540" s="11"/>
      <c r="X540" s="11"/>
    </row>
    <row r="541" ht="13.5" customHeight="1">
      <c r="A541" s="11"/>
      <c r="B541" s="177" t="s">
        <v>101</v>
      </c>
      <c r="C541" s="321">
        <v>0.5</v>
      </c>
      <c r="D541" s="265">
        <f t="shared" si="40"/>
        <v>0.015</v>
      </c>
      <c r="E541" s="774" t="s">
        <v>5</v>
      </c>
      <c r="F541" s="11"/>
      <c r="G541" s="11"/>
      <c r="H541" s="11"/>
      <c r="I541" s="11"/>
      <c r="J541" s="11"/>
      <c r="K541" s="11"/>
      <c r="L541" s="11"/>
      <c r="M541" s="755"/>
      <c r="N541" s="11"/>
      <c r="O541" s="11"/>
      <c r="P541" s="11"/>
      <c r="Q541" s="11"/>
      <c r="R541" s="11"/>
      <c r="S541" s="11"/>
      <c r="T541" s="11"/>
      <c r="U541" s="11"/>
      <c r="V541" s="11"/>
      <c r="W541" s="11"/>
      <c r="X541" s="11"/>
    </row>
    <row r="542" ht="13.5" customHeight="1">
      <c r="A542" s="11"/>
      <c r="B542" s="177" t="s">
        <v>103</v>
      </c>
      <c r="C542" s="321">
        <v>300.0</v>
      </c>
      <c r="D542" s="265">
        <f t="shared" si="40"/>
        <v>9</v>
      </c>
      <c r="E542" s="774" t="s">
        <v>18</v>
      </c>
      <c r="F542" s="11"/>
      <c r="G542" s="11"/>
      <c r="H542" s="11"/>
      <c r="I542" s="11"/>
      <c r="J542" s="11"/>
      <c r="K542" s="11"/>
      <c r="L542" s="11"/>
      <c r="M542" s="755"/>
      <c r="N542" s="11"/>
      <c r="O542" s="11"/>
      <c r="P542" s="11"/>
      <c r="Q542" s="11"/>
      <c r="R542" s="11"/>
      <c r="S542" s="11"/>
      <c r="T542" s="11"/>
      <c r="U542" s="11"/>
      <c r="V542" s="11"/>
      <c r="W542" s="11"/>
      <c r="X542" s="11"/>
    </row>
    <row r="543" ht="13.5" customHeight="1">
      <c r="A543" s="11"/>
      <c r="B543" s="177" t="s">
        <v>149</v>
      </c>
      <c r="C543" s="321">
        <v>200.0</v>
      </c>
      <c r="D543" s="265">
        <f t="shared" si="40"/>
        <v>6</v>
      </c>
      <c r="E543" s="774" t="s">
        <v>18</v>
      </c>
      <c r="F543" s="11"/>
      <c r="G543" s="11"/>
      <c r="H543" s="11"/>
      <c r="I543" s="11"/>
      <c r="J543" s="11"/>
      <c r="K543" s="11"/>
      <c r="L543" s="11"/>
      <c r="M543" s="755"/>
      <c r="N543" s="11"/>
      <c r="O543" s="11"/>
      <c r="P543" s="11"/>
      <c r="Q543" s="11"/>
      <c r="R543" s="11"/>
      <c r="S543" s="11"/>
      <c r="T543" s="11"/>
      <c r="U543" s="11"/>
      <c r="V543" s="11"/>
      <c r="W543" s="11"/>
      <c r="X543" s="11"/>
    </row>
    <row r="544" ht="13.5" customHeight="1">
      <c r="A544" s="11"/>
      <c r="B544" s="177" t="s">
        <v>1253</v>
      </c>
      <c r="C544" s="321">
        <v>2.5</v>
      </c>
      <c r="D544" s="265">
        <f t="shared" si="40"/>
        <v>0.075</v>
      </c>
      <c r="E544" s="774" t="s">
        <v>14</v>
      </c>
      <c r="F544" s="11"/>
      <c r="G544" s="11"/>
      <c r="H544" s="11"/>
      <c r="I544" s="11"/>
      <c r="J544" s="11"/>
      <c r="K544" s="11"/>
      <c r="L544" s="11"/>
      <c r="M544" s="755"/>
      <c r="N544" s="11"/>
      <c r="O544" s="11"/>
      <c r="P544" s="11"/>
      <c r="Q544" s="11"/>
      <c r="R544" s="11"/>
      <c r="S544" s="11"/>
      <c r="T544" s="11"/>
      <c r="U544" s="11"/>
      <c r="V544" s="11"/>
      <c r="W544" s="11"/>
      <c r="X544" s="11"/>
    </row>
    <row r="545" ht="13.5" customHeight="1">
      <c r="A545" s="11"/>
      <c r="B545" s="177" t="s">
        <v>1250</v>
      </c>
      <c r="C545" s="321">
        <v>2.5</v>
      </c>
      <c r="D545" s="265">
        <f t="shared" si="40"/>
        <v>0.075</v>
      </c>
      <c r="E545" s="774" t="s">
        <v>14</v>
      </c>
      <c r="F545" s="11"/>
      <c r="G545" s="11"/>
      <c r="H545" s="11"/>
      <c r="I545" s="11"/>
      <c r="J545" s="11"/>
      <c r="K545" s="11"/>
      <c r="L545" s="11"/>
      <c r="M545" s="755"/>
      <c r="N545" s="11"/>
      <c r="O545" s="11"/>
      <c r="P545" s="11"/>
      <c r="Q545" s="11"/>
      <c r="R545" s="11"/>
      <c r="S545" s="11"/>
      <c r="T545" s="11"/>
      <c r="U545" s="11"/>
      <c r="V545" s="11"/>
      <c r="W545" s="11"/>
      <c r="X545" s="11"/>
    </row>
    <row r="546" ht="13.5" customHeight="1">
      <c r="A546" s="11"/>
      <c r="B546" s="177" t="s">
        <v>79</v>
      </c>
      <c r="C546" s="321">
        <v>2.5</v>
      </c>
      <c r="D546" s="265">
        <f t="shared" si="40"/>
        <v>0.075</v>
      </c>
      <c r="E546" s="774" t="s">
        <v>14</v>
      </c>
      <c r="F546" s="11"/>
      <c r="G546" s="11"/>
      <c r="H546" s="11"/>
      <c r="I546" s="11"/>
      <c r="J546" s="11"/>
      <c r="K546" s="11"/>
      <c r="L546" s="11"/>
      <c r="M546" s="755"/>
      <c r="N546" s="11"/>
      <c r="O546" s="11"/>
      <c r="P546" s="11"/>
      <c r="Q546" s="11"/>
      <c r="R546" s="11"/>
      <c r="S546" s="11"/>
      <c r="T546" s="11"/>
      <c r="U546" s="11"/>
      <c r="V546" s="11"/>
      <c r="W546" s="11"/>
      <c r="X546" s="11"/>
    </row>
    <row r="547" ht="13.5" customHeight="1">
      <c r="A547" s="11"/>
      <c r="B547" s="177" t="s">
        <v>1526</v>
      </c>
      <c r="C547" s="321">
        <v>400.0</v>
      </c>
      <c r="D547" s="265">
        <f t="shared" si="40"/>
        <v>12</v>
      </c>
      <c r="E547" s="774" t="s">
        <v>18</v>
      </c>
      <c r="F547" s="11"/>
      <c r="G547" s="11"/>
      <c r="H547" s="11"/>
      <c r="I547" s="11"/>
      <c r="J547" s="11"/>
      <c r="K547" s="11"/>
      <c r="L547" s="11"/>
      <c r="M547" s="755"/>
      <c r="N547" s="11"/>
      <c r="O547" s="11"/>
      <c r="P547" s="11"/>
      <c r="Q547" s="11"/>
      <c r="R547" s="11"/>
      <c r="S547" s="11"/>
      <c r="T547" s="11"/>
      <c r="U547" s="11"/>
      <c r="V547" s="11"/>
      <c r="W547" s="11"/>
      <c r="X547" s="11"/>
    </row>
    <row r="548" ht="13.5" customHeight="1">
      <c r="A548" s="11"/>
      <c r="B548" s="262" t="s">
        <v>1261</v>
      </c>
      <c r="C548" s="355">
        <v>1200.0</v>
      </c>
      <c r="D548" s="265">
        <f t="shared" si="40"/>
        <v>36</v>
      </c>
      <c r="E548" s="793" t="s">
        <v>18</v>
      </c>
      <c r="F548" s="11"/>
      <c r="G548" s="11"/>
      <c r="H548" s="11"/>
      <c r="I548" s="11"/>
      <c r="J548" s="11"/>
      <c r="K548" s="11"/>
      <c r="L548" s="11"/>
      <c r="M548" s="755"/>
      <c r="N548" s="11"/>
      <c r="O548" s="11"/>
      <c r="P548" s="11"/>
      <c r="Q548" s="11"/>
      <c r="R548" s="11"/>
      <c r="S548" s="11"/>
      <c r="T548" s="11"/>
      <c r="U548" s="11"/>
      <c r="V548" s="11"/>
      <c r="W548" s="11"/>
      <c r="X548" s="11"/>
    </row>
    <row r="549" ht="13.5" customHeight="1">
      <c r="A549" s="11"/>
      <c r="B549" s="458" t="s">
        <v>114</v>
      </c>
      <c r="C549" s="363">
        <v>2.5</v>
      </c>
      <c r="D549" s="608">
        <f t="shared" si="40"/>
        <v>0.075</v>
      </c>
      <c r="E549" s="782" t="s">
        <v>5</v>
      </c>
      <c r="F549" s="11"/>
      <c r="G549" s="11"/>
      <c r="H549" s="11"/>
      <c r="I549" s="11"/>
      <c r="J549" s="11"/>
      <c r="K549" s="11"/>
      <c r="L549" s="11"/>
      <c r="M549" s="755"/>
      <c r="N549" s="11"/>
      <c r="O549" s="11"/>
      <c r="P549" s="11"/>
      <c r="Q549" s="11"/>
      <c r="R549" s="11"/>
      <c r="S549" s="11"/>
      <c r="T549" s="11"/>
      <c r="U549" s="11"/>
      <c r="V549" s="11"/>
      <c r="W549" s="11"/>
      <c r="X549" s="11"/>
    </row>
    <row r="550" ht="13.5" customHeight="1">
      <c r="A550" s="11"/>
      <c r="B550" s="302" t="s">
        <v>49</v>
      </c>
      <c r="C550" s="303"/>
      <c r="D550" s="303">
        <v>43559.0</v>
      </c>
      <c r="E550" s="11"/>
      <c r="F550" s="11"/>
      <c r="G550" s="11"/>
      <c r="H550" s="11"/>
      <c r="I550" s="11"/>
      <c r="J550" s="11"/>
      <c r="K550" s="11"/>
      <c r="L550" s="11"/>
      <c r="M550" s="755"/>
      <c r="N550" s="11"/>
      <c r="O550" s="11"/>
      <c r="P550" s="11"/>
      <c r="Q550" s="11"/>
      <c r="R550" s="11"/>
      <c r="S550" s="11"/>
      <c r="T550" s="11"/>
      <c r="U550" s="11"/>
      <c r="V550" s="11"/>
      <c r="W550" s="11"/>
      <c r="X550" s="11"/>
    </row>
    <row r="551" ht="13.5" customHeight="1">
      <c r="A551" s="11"/>
      <c r="B551" s="302" t="s">
        <v>50</v>
      </c>
      <c r="C551" s="303"/>
      <c r="D551" s="303">
        <v>43579.0</v>
      </c>
      <c r="E551" s="11"/>
      <c r="F551" s="11"/>
      <c r="G551" s="11"/>
      <c r="H551" s="11"/>
      <c r="I551" s="11"/>
      <c r="J551" s="11"/>
      <c r="K551" s="11"/>
      <c r="L551" s="11"/>
      <c r="M551" s="755"/>
      <c r="N551" s="11"/>
      <c r="O551" s="11"/>
      <c r="P551" s="11"/>
      <c r="Q551" s="11"/>
      <c r="R551" s="11"/>
      <c r="S551" s="11"/>
      <c r="T551" s="11"/>
      <c r="U551" s="11"/>
      <c r="V551" s="11"/>
      <c r="W551" s="11"/>
      <c r="X551" s="11"/>
    </row>
    <row r="552" ht="13.5" customHeight="1">
      <c r="A552" s="11"/>
      <c r="B552" s="11"/>
      <c r="C552" s="11"/>
      <c r="D552" s="11"/>
      <c r="E552" s="11"/>
      <c r="F552" s="11"/>
      <c r="G552" s="11"/>
      <c r="H552" s="11"/>
      <c r="I552" s="11"/>
      <c r="J552" s="11"/>
      <c r="K552" s="11"/>
      <c r="L552" s="11"/>
      <c r="M552" s="755"/>
      <c r="N552" s="11"/>
      <c r="O552" s="11"/>
      <c r="P552" s="11"/>
      <c r="Q552" s="11"/>
      <c r="R552" s="11"/>
      <c r="S552" s="11"/>
      <c r="T552" s="11"/>
      <c r="U552" s="11"/>
      <c r="V552" s="11"/>
      <c r="W552" s="11"/>
      <c r="X552" s="11"/>
    </row>
    <row r="553" ht="13.5" customHeight="1">
      <c r="A553" s="11"/>
      <c r="B553" s="220" t="s">
        <v>42</v>
      </c>
      <c r="C553" s="220" t="s">
        <v>725</v>
      </c>
      <c r="D553" s="11"/>
      <c r="E553" s="11"/>
      <c r="F553" s="11"/>
      <c r="G553" s="11"/>
      <c r="H553" s="11"/>
      <c r="I553" s="11"/>
      <c r="J553" s="11"/>
      <c r="K553" s="11"/>
      <c r="L553" s="11"/>
      <c r="M553" s="755"/>
      <c r="N553" s="11"/>
      <c r="O553" s="11"/>
      <c r="P553" s="11"/>
      <c r="Q553" s="11"/>
      <c r="R553" s="11"/>
      <c r="S553" s="11"/>
      <c r="T553" s="11"/>
      <c r="U553" s="11"/>
      <c r="V553" s="11"/>
      <c r="W553" s="11"/>
      <c r="X553" s="11"/>
    </row>
    <row r="554" ht="13.5" customHeight="1">
      <c r="A554" s="11"/>
      <c r="B554" s="11"/>
      <c r="C554" s="11"/>
      <c r="D554" s="11"/>
      <c r="E554" s="11"/>
      <c r="F554" s="11"/>
      <c r="G554" s="11"/>
      <c r="H554" s="11"/>
      <c r="I554" s="11"/>
      <c r="J554" s="11"/>
      <c r="K554" s="11"/>
      <c r="L554" s="11"/>
      <c r="M554" s="755"/>
      <c r="N554" s="11"/>
      <c r="O554" s="11"/>
      <c r="P554" s="11"/>
      <c r="Q554" s="11"/>
      <c r="R554" s="11"/>
      <c r="S554" s="11"/>
      <c r="T554" s="11"/>
      <c r="U554" s="11"/>
      <c r="V554" s="11"/>
      <c r="W554" s="11"/>
      <c r="X554" s="11"/>
    </row>
    <row r="555" ht="13.5" customHeight="1">
      <c r="A555" s="11"/>
      <c r="B555" s="11"/>
      <c r="C555" s="11"/>
      <c r="D555" s="11"/>
      <c r="E555" s="11"/>
      <c r="F555" s="11"/>
      <c r="G555" s="11"/>
      <c r="H555" s="11"/>
      <c r="I555" s="11"/>
      <c r="J555" s="11"/>
      <c r="K555" s="11"/>
      <c r="L555" s="11"/>
      <c r="M555" s="755"/>
      <c r="N555" s="11"/>
      <c r="O555" s="11"/>
      <c r="P555" s="11"/>
      <c r="Q555" s="11"/>
      <c r="R555" s="11"/>
      <c r="S555" s="11"/>
      <c r="T555" s="11"/>
      <c r="U555" s="11"/>
      <c r="V555" s="11"/>
      <c r="W555" s="11"/>
      <c r="X555" s="11"/>
    </row>
    <row r="556" ht="13.5" customHeight="1">
      <c r="A556" s="11"/>
      <c r="B556" s="11"/>
      <c r="C556" s="11"/>
      <c r="D556" s="11"/>
      <c r="E556" s="11"/>
      <c r="F556" s="11"/>
      <c r="G556" s="11"/>
      <c r="H556" s="11"/>
      <c r="I556" s="11"/>
      <c r="J556" s="11"/>
      <c r="K556" s="11"/>
      <c r="L556" s="11"/>
      <c r="M556" s="755"/>
      <c r="N556" s="11"/>
      <c r="O556" s="11"/>
      <c r="P556" s="11"/>
      <c r="Q556" s="11"/>
      <c r="R556" s="11"/>
      <c r="S556" s="11"/>
      <c r="T556" s="11"/>
      <c r="U556" s="11"/>
      <c r="V556" s="11"/>
      <c r="W556" s="11"/>
      <c r="X556" s="11"/>
    </row>
    <row r="557" ht="13.5" customHeight="1">
      <c r="A557" s="11"/>
      <c r="B557" s="577" t="s">
        <v>224</v>
      </c>
      <c r="C557" s="18"/>
      <c r="D557" s="18"/>
      <c r="E557" s="19"/>
      <c r="F557" s="1"/>
      <c r="G557" s="11"/>
      <c r="H557" s="11"/>
      <c r="I557" s="11"/>
      <c r="J557" s="11"/>
      <c r="K557" s="11"/>
      <c r="L557" s="11"/>
      <c r="M557" s="755"/>
      <c r="N557" s="11"/>
      <c r="O557" s="11"/>
      <c r="P557" s="11"/>
      <c r="Q557" s="11"/>
      <c r="R557" s="11"/>
      <c r="S557" s="11"/>
      <c r="T557" s="11"/>
      <c r="U557" s="11"/>
      <c r="V557" s="11"/>
      <c r="W557" s="11"/>
      <c r="X557" s="11"/>
    </row>
    <row r="558" ht="13.5" customHeight="1">
      <c r="A558" s="11"/>
      <c r="B558" s="51" t="s">
        <v>1</v>
      </c>
      <c r="C558" s="53">
        <v>12.0</v>
      </c>
      <c r="D558" s="513">
        <v>30.0</v>
      </c>
      <c r="E558" s="514" t="s">
        <v>5</v>
      </c>
      <c r="F558" s="1"/>
      <c r="G558" s="11"/>
      <c r="H558" s="11"/>
      <c r="I558" s="11"/>
      <c r="J558" s="11"/>
      <c r="K558" s="11"/>
      <c r="L558" s="11"/>
      <c r="M558" s="755"/>
      <c r="N558" s="11"/>
      <c r="O558" s="11"/>
      <c r="P558" s="11"/>
      <c r="Q558" s="11"/>
      <c r="R558" s="11"/>
      <c r="S558" s="11"/>
      <c r="T558" s="11"/>
      <c r="U558" s="11"/>
      <c r="V558" s="11"/>
      <c r="W558" s="11"/>
      <c r="X558" s="11"/>
    </row>
    <row r="559" ht="13.5" customHeight="1">
      <c r="A559" s="11"/>
      <c r="B559" s="68" t="s">
        <v>1443</v>
      </c>
      <c r="C559" s="210">
        <v>2.0</v>
      </c>
      <c r="D559" s="155">
        <f t="shared" ref="D559:D569" si="41">(C559*D558)/C558</f>
        <v>5</v>
      </c>
      <c r="E559" s="216" t="s">
        <v>366</v>
      </c>
      <c r="F559" s="1100" t="s">
        <v>1540</v>
      </c>
      <c r="G559" s="11"/>
      <c r="H559" s="11"/>
      <c r="I559" s="11"/>
      <c r="J559" s="11"/>
      <c r="K559" s="11"/>
      <c r="L559" s="11"/>
      <c r="M559" s="755"/>
      <c r="N559" s="11"/>
      <c r="O559" s="11"/>
      <c r="P559" s="11"/>
      <c r="Q559" s="11"/>
      <c r="R559" s="11"/>
      <c r="S559" s="11"/>
      <c r="T559" s="11"/>
      <c r="U559" s="11"/>
      <c r="V559" s="11"/>
      <c r="W559" s="11"/>
      <c r="X559" s="11"/>
    </row>
    <row r="560" ht="13.5" customHeight="1">
      <c r="A560" s="11"/>
      <c r="B560" s="93" t="s">
        <v>79</v>
      </c>
      <c r="C560" s="247">
        <v>2.0</v>
      </c>
      <c r="D560" s="78">
        <f t="shared" si="41"/>
        <v>5</v>
      </c>
      <c r="E560" s="249" t="s">
        <v>366</v>
      </c>
      <c r="F560" s="47"/>
      <c r="G560" s="11"/>
      <c r="H560" s="11"/>
      <c r="I560" s="11"/>
      <c r="J560" s="11"/>
      <c r="K560" s="11"/>
      <c r="L560" s="11"/>
      <c r="M560" s="755"/>
      <c r="N560" s="11"/>
      <c r="O560" s="11"/>
      <c r="P560" s="11"/>
      <c r="Q560" s="11"/>
      <c r="R560" s="11"/>
      <c r="S560" s="11"/>
      <c r="T560" s="11"/>
      <c r="U560" s="11"/>
      <c r="V560" s="11"/>
      <c r="W560" s="11"/>
      <c r="X560" s="11"/>
    </row>
    <row r="561" ht="13.5" customHeight="1">
      <c r="A561" s="11"/>
      <c r="B561" s="93" t="s">
        <v>1546</v>
      </c>
      <c r="C561" s="247">
        <v>8.0</v>
      </c>
      <c r="D561" s="78">
        <f t="shared" si="41"/>
        <v>20</v>
      </c>
      <c r="E561" s="249" t="s">
        <v>526</v>
      </c>
      <c r="F561" s="47"/>
      <c r="G561" s="11"/>
      <c r="H561" s="11"/>
      <c r="I561" s="11"/>
      <c r="J561" s="11"/>
      <c r="K561" s="11"/>
      <c r="L561" s="11"/>
      <c r="M561" s="755"/>
      <c r="N561" s="11"/>
      <c r="O561" s="11"/>
      <c r="P561" s="11"/>
      <c r="Q561" s="11"/>
      <c r="R561" s="11"/>
      <c r="S561" s="11"/>
      <c r="T561" s="11"/>
      <c r="U561" s="11"/>
      <c r="V561" s="11"/>
      <c r="W561" s="11"/>
      <c r="X561" s="11"/>
    </row>
    <row r="562" ht="13.5" customHeight="1">
      <c r="A562" s="11"/>
      <c r="B562" s="93" t="s">
        <v>39</v>
      </c>
      <c r="C562" s="247">
        <v>120.0</v>
      </c>
      <c r="D562" s="78">
        <f t="shared" si="41"/>
        <v>300</v>
      </c>
      <c r="E562" s="249" t="s">
        <v>18</v>
      </c>
      <c r="F562" s="47"/>
      <c r="G562" s="11"/>
      <c r="H562" s="11"/>
      <c r="I562" s="11"/>
      <c r="J562" s="11"/>
      <c r="K562" s="11"/>
      <c r="L562" s="11"/>
      <c r="M562" s="755"/>
      <c r="N562" s="11"/>
      <c r="O562" s="11"/>
      <c r="P562" s="11"/>
      <c r="Q562" s="11"/>
      <c r="R562" s="11"/>
      <c r="S562" s="11"/>
      <c r="T562" s="11"/>
      <c r="U562" s="11"/>
      <c r="V562" s="11"/>
      <c r="W562" s="11"/>
      <c r="X562" s="11"/>
    </row>
    <row r="563" ht="13.5" customHeight="1">
      <c r="A563" s="11"/>
      <c r="B563" s="93" t="s">
        <v>52</v>
      </c>
      <c r="C563" s="247">
        <v>15.0</v>
      </c>
      <c r="D563" s="78">
        <f t="shared" si="41"/>
        <v>37.5</v>
      </c>
      <c r="E563" s="249" t="s">
        <v>18</v>
      </c>
      <c r="F563" s="47"/>
      <c r="G563" s="11"/>
      <c r="H563" s="11"/>
      <c r="I563" s="11"/>
      <c r="J563" s="11"/>
      <c r="K563" s="11"/>
      <c r="L563" s="11"/>
      <c r="M563" s="755"/>
      <c r="N563" s="11"/>
      <c r="O563" s="11"/>
      <c r="P563" s="11"/>
      <c r="Q563" s="11"/>
      <c r="R563" s="11"/>
      <c r="S563" s="11"/>
      <c r="T563" s="11"/>
      <c r="U563" s="11"/>
      <c r="V563" s="11"/>
      <c r="W563" s="11"/>
      <c r="X563" s="11"/>
    </row>
    <row r="564" ht="13.5" customHeight="1">
      <c r="A564" s="11"/>
      <c r="B564" s="105" t="s">
        <v>1552</v>
      </c>
      <c r="C564" s="522">
        <v>100.0</v>
      </c>
      <c r="D564" s="56">
        <f t="shared" si="41"/>
        <v>250</v>
      </c>
      <c r="E564" s="518" t="s">
        <v>18</v>
      </c>
      <c r="F564" s="76"/>
      <c r="G564" s="11"/>
      <c r="H564" s="11"/>
      <c r="I564" s="11"/>
      <c r="J564" s="11"/>
      <c r="K564" s="11"/>
      <c r="L564" s="11"/>
      <c r="M564" s="755"/>
      <c r="N564" s="11"/>
      <c r="O564" s="11"/>
      <c r="P564" s="11"/>
      <c r="Q564" s="11"/>
      <c r="R564" s="11"/>
      <c r="S564" s="11"/>
      <c r="T564" s="11"/>
      <c r="U564" s="11"/>
      <c r="V564" s="11"/>
      <c r="W564" s="11"/>
      <c r="X564" s="11"/>
    </row>
    <row r="565" ht="13.5" customHeight="1">
      <c r="A565" s="11"/>
      <c r="B565" s="68" t="s">
        <v>743</v>
      </c>
      <c r="C565" s="210">
        <v>200.0</v>
      </c>
      <c r="D565" s="155">
        <f t="shared" si="41"/>
        <v>500</v>
      </c>
      <c r="E565" s="216" t="s">
        <v>82</v>
      </c>
      <c r="F565" s="1"/>
      <c r="G565" s="11"/>
      <c r="H565" s="11"/>
      <c r="I565" s="11"/>
      <c r="J565" s="11"/>
      <c r="K565" s="11"/>
      <c r="L565" s="11"/>
      <c r="M565" s="755"/>
      <c r="N565" s="11"/>
      <c r="O565" s="11"/>
      <c r="P565" s="11"/>
      <c r="Q565" s="11"/>
      <c r="R565" s="11"/>
      <c r="S565" s="11"/>
      <c r="T565" s="11"/>
      <c r="U565" s="11"/>
      <c r="V565" s="11"/>
      <c r="W565" s="11"/>
      <c r="X565" s="11"/>
    </row>
    <row r="566" ht="13.5" customHeight="1">
      <c r="A566" s="11"/>
      <c r="B566" s="93" t="s">
        <v>97</v>
      </c>
      <c r="C566" s="247">
        <v>15.0</v>
      </c>
      <c r="D566" s="78">
        <f t="shared" si="41"/>
        <v>37.5</v>
      </c>
      <c r="E566" s="249" t="s">
        <v>18</v>
      </c>
      <c r="F566" s="1"/>
      <c r="G566" s="11"/>
      <c r="H566" s="11"/>
      <c r="I566" s="11"/>
      <c r="J566" s="11"/>
      <c r="K566" s="11"/>
      <c r="L566" s="11"/>
      <c r="M566" s="755"/>
      <c r="N566" s="11"/>
      <c r="O566" s="11"/>
      <c r="P566" s="11"/>
      <c r="Q566" s="11"/>
      <c r="R566" s="11"/>
      <c r="S566" s="11"/>
      <c r="T566" s="11"/>
      <c r="U566" s="11"/>
      <c r="V566" s="11"/>
      <c r="W566" s="11"/>
      <c r="X566" s="11"/>
    </row>
    <row r="567" ht="13.5" customHeight="1">
      <c r="A567" s="11"/>
      <c r="B567" s="93" t="s">
        <v>1555</v>
      </c>
      <c r="C567" s="247">
        <v>10.0</v>
      </c>
      <c r="D567" s="78">
        <f t="shared" si="41"/>
        <v>25</v>
      </c>
      <c r="E567" s="249" t="s">
        <v>82</v>
      </c>
      <c r="F567" s="1"/>
      <c r="G567" s="11"/>
      <c r="H567" s="11"/>
      <c r="I567" s="11"/>
      <c r="J567" s="11"/>
      <c r="K567" s="11"/>
      <c r="L567" s="11"/>
      <c r="M567" s="755"/>
      <c r="N567" s="11"/>
      <c r="O567" s="11"/>
      <c r="P567" s="11"/>
      <c r="Q567" s="11"/>
      <c r="R567" s="11"/>
      <c r="S567" s="11"/>
      <c r="T567" s="11"/>
      <c r="U567" s="11"/>
      <c r="V567" s="11"/>
      <c r="W567" s="11"/>
      <c r="X567" s="11"/>
    </row>
    <row r="568" ht="13.5" customHeight="1">
      <c r="A568" s="11"/>
      <c r="B568" s="93" t="s">
        <v>193</v>
      </c>
      <c r="C568" s="247">
        <v>0.5</v>
      </c>
      <c r="D568" s="78">
        <f t="shared" si="41"/>
        <v>1.25</v>
      </c>
      <c r="E568" s="249" t="s">
        <v>1557</v>
      </c>
      <c r="F568" s="1"/>
      <c r="G568" s="11"/>
      <c r="H568" s="11"/>
      <c r="I568" s="11"/>
      <c r="J568" s="11"/>
      <c r="K568" s="11"/>
      <c r="L568" s="11"/>
      <c r="M568" s="755"/>
      <c r="N568" s="11"/>
      <c r="O568" s="11"/>
      <c r="P568" s="11"/>
      <c r="Q568" s="11"/>
      <c r="R568" s="11"/>
      <c r="S568" s="11"/>
      <c r="T568" s="11"/>
      <c r="U568" s="11"/>
      <c r="V568" s="11"/>
      <c r="W568" s="11"/>
      <c r="X568" s="11"/>
    </row>
    <row r="569" ht="13.5" customHeight="1">
      <c r="A569" s="11"/>
      <c r="B569" s="93" t="s">
        <v>103</v>
      </c>
      <c r="C569" s="247">
        <v>20.0</v>
      </c>
      <c r="D569" s="78">
        <f t="shared" si="41"/>
        <v>50</v>
      </c>
      <c r="E569" s="249" t="s">
        <v>18</v>
      </c>
      <c r="F569" s="1"/>
      <c r="G569" s="11"/>
      <c r="H569" s="11"/>
      <c r="I569" s="11"/>
      <c r="J569" s="11"/>
      <c r="K569" s="11"/>
      <c r="L569" s="11"/>
      <c r="M569" s="755"/>
      <c r="N569" s="11"/>
      <c r="O569" s="11"/>
      <c r="P569" s="11"/>
      <c r="Q569" s="11"/>
      <c r="R569" s="11"/>
      <c r="S569" s="11"/>
      <c r="T569" s="11"/>
      <c r="U569" s="11"/>
      <c r="V569" s="11"/>
      <c r="W569" s="11"/>
      <c r="X569" s="11"/>
    </row>
    <row r="570" ht="13.5" customHeight="1">
      <c r="A570" s="11"/>
      <c r="B570" s="93" t="s">
        <v>1558</v>
      </c>
      <c r="C570" s="247">
        <v>5.0</v>
      </c>
      <c r="D570" s="78">
        <f t="shared" ref="D570:D571" si="42">(C570*D568)/C568</f>
        <v>12.5</v>
      </c>
      <c r="E570" s="249" t="s">
        <v>18</v>
      </c>
      <c r="F570" s="1"/>
      <c r="G570" s="11"/>
      <c r="H570" s="11"/>
      <c r="I570" s="11"/>
      <c r="J570" s="11"/>
      <c r="K570" s="11"/>
      <c r="L570" s="11"/>
      <c r="M570" s="755"/>
      <c r="N570" s="11"/>
      <c r="O570" s="11"/>
      <c r="P570" s="11"/>
      <c r="Q570" s="11"/>
      <c r="R570" s="11"/>
      <c r="S570" s="11"/>
      <c r="T570" s="11"/>
      <c r="U570" s="11"/>
      <c r="V570" s="11"/>
      <c r="W570" s="11"/>
      <c r="X570" s="11"/>
    </row>
    <row r="571" ht="13.5" customHeight="1">
      <c r="A571" s="11"/>
      <c r="B571" s="105" t="s">
        <v>1559</v>
      </c>
      <c r="C571" s="522">
        <v>150.0</v>
      </c>
      <c r="D571" s="56">
        <f t="shared" si="42"/>
        <v>375</v>
      </c>
      <c r="E571" s="518" t="s">
        <v>18</v>
      </c>
      <c r="F571" s="1"/>
      <c r="G571" s="11"/>
      <c r="H571" s="11"/>
      <c r="I571" s="11"/>
      <c r="J571" s="11"/>
      <c r="K571" s="11"/>
      <c r="L571" s="11"/>
      <c r="M571" s="755"/>
      <c r="N571" s="11"/>
      <c r="O571" s="11"/>
      <c r="P571" s="11"/>
      <c r="Q571" s="11"/>
      <c r="R571" s="11"/>
      <c r="S571" s="11"/>
      <c r="T571" s="11"/>
      <c r="U571" s="11"/>
      <c r="V571" s="11"/>
      <c r="W571" s="11"/>
      <c r="X571" s="11"/>
    </row>
    <row r="572" ht="13.5" customHeight="1">
      <c r="A572" s="11"/>
      <c r="B572" s="220" t="s">
        <v>42</v>
      </c>
      <c r="C572" s="220" t="s">
        <v>725</v>
      </c>
      <c r="D572" s="1"/>
      <c r="E572" s="1"/>
      <c r="F572" s="1"/>
      <c r="G572" s="11"/>
      <c r="H572" s="11"/>
      <c r="I572" s="11"/>
      <c r="J572" s="11"/>
      <c r="K572" s="11"/>
      <c r="L572" s="11"/>
      <c r="M572" s="755"/>
      <c r="N572" s="11"/>
      <c r="O572" s="11"/>
      <c r="P572" s="11"/>
      <c r="Q572" s="11"/>
      <c r="R572" s="11"/>
      <c r="S572" s="11"/>
      <c r="T572" s="11"/>
      <c r="U572" s="11"/>
      <c r="V572" s="11"/>
      <c r="W572" s="11"/>
      <c r="X572" s="11"/>
    </row>
    <row r="573" ht="13.5" customHeight="1">
      <c r="A573" s="11"/>
      <c r="B573" s="203" t="s">
        <v>120</v>
      </c>
      <c r="C573" s="1363">
        <v>43614.0</v>
      </c>
      <c r="D573" s="1"/>
      <c r="E573" s="1"/>
      <c r="F573" s="1"/>
      <c r="G573" s="11"/>
      <c r="H573" s="11"/>
      <c r="I573" s="11"/>
      <c r="J573" s="11"/>
      <c r="K573" s="11"/>
      <c r="L573" s="11"/>
      <c r="M573" s="755"/>
      <c r="N573" s="11"/>
      <c r="O573" s="11"/>
      <c r="P573" s="11"/>
      <c r="Q573" s="11"/>
      <c r="R573" s="11"/>
      <c r="S573" s="11"/>
      <c r="T573" s="11"/>
      <c r="U573" s="11"/>
      <c r="V573" s="11"/>
      <c r="W573" s="11"/>
      <c r="X573" s="11"/>
    </row>
    <row r="574" ht="15.0" customHeight="1">
      <c r="A574" s="11"/>
      <c r="B574" s="203" t="s">
        <v>50</v>
      </c>
      <c r="C574" s="1363">
        <v>43614.0</v>
      </c>
      <c r="D574" s="1"/>
      <c r="E574" s="1"/>
      <c r="F574" s="1"/>
      <c r="G574" s="11"/>
      <c r="H574" s="11"/>
      <c r="I574" s="11"/>
      <c r="J574" s="11"/>
      <c r="K574" s="11"/>
      <c r="L574" s="11"/>
      <c r="M574" s="755"/>
      <c r="N574" s="11"/>
      <c r="O574" s="11"/>
      <c r="P574" s="11"/>
      <c r="Q574" s="11"/>
      <c r="R574" s="11"/>
      <c r="S574" s="11"/>
      <c r="T574" s="11"/>
      <c r="U574" s="11"/>
      <c r="V574" s="11"/>
      <c r="W574" s="11"/>
      <c r="X574" s="11"/>
    </row>
    <row r="575" ht="13.5" customHeight="1">
      <c r="A575" s="11"/>
      <c r="B575" s="11"/>
      <c r="C575" s="11"/>
      <c r="D575" s="11"/>
      <c r="E575" s="11"/>
      <c r="F575" s="11"/>
      <c r="G575" s="11"/>
      <c r="H575" s="11"/>
      <c r="I575" s="11"/>
      <c r="J575" s="11"/>
      <c r="K575" s="11"/>
      <c r="L575" s="11"/>
      <c r="M575" s="755"/>
      <c r="N575" s="11"/>
      <c r="O575" s="11"/>
      <c r="P575" s="11"/>
      <c r="Q575" s="11"/>
      <c r="R575" s="11"/>
      <c r="S575" s="11"/>
      <c r="T575" s="11"/>
      <c r="U575" s="11"/>
      <c r="V575" s="11"/>
      <c r="W575" s="11"/>
      <c r="X575" s="11"/>
    </row>
    <row r="576" ht="13.5" customHeight="1">
      <c r="A576" s="11"/>
      <c r="B576" s="11"/>
      <c r="C576" s="11"/>
      <c r="D576" s="11"/>
      <c r="E576" s="11"/>
      <c r="F576" s="11"/>
      <c r="G576" s="11"/>
      <c r="H576" s="11"/>
      <c r="I576" s="11"/>
      <c r="J576" s="11"/>
      <c r="K576" s="11"/>
      <c r="L576" s="11"/>
      <c r="M576" s="755"/>
      <c r="N576" s="11"/>
      <c r="O576" s="11"/>
      <c r="P576" s="11"/>
      <c r="Q576" s="11"/>
      <c r="R576" s="11"/>
      <c r="S576" s="11"/>
      <c r="T576" s="11"/>
      <c r="U576" s="11"/>
      <c r="V576" s="11"/>
      <c r="W576" s="11"/>
      <c r="X576" s="11"/>
    </row>
    <row r="577" ht="13.5" customHeight="1">
      <c r="A577" s="11"/>
      <c r="B577" s="11"/>
      <c r="C577" s="11"/>
      <c r="D577" s="11"/>
      <c r="E577" s="11"/>
      <c r="F577" s="11"/>
      <c r="G577" s="11"/>
      <c r="H577" s="11"/>
      <c r="I577" s="11"/>
      <c r="J577" s="11"/>
      <c r="K577" s="11"/>
      <c r="L577" s="11"/>
      <c r="M577" s="755"/>
      <c r="N577" s="11"/>
      <c r="O577" s="11"/>
      <c r="P577" s="11"/>
      <c r="Q577" s="11"/>
      <c r="R577" s="11"/>
      <c r="S577" s="11"/>
      <c r="T577" s="11"/>
      <c r="U577" s="11"/>
      <c r="V577" s="11"/>
      <c r="W577" s="11"/>
      <c r="X577" s="11"/>
    </row>
    <row r="578" ht="13.5" customHeight="1">
      <c r="A578" s="11"/>
      <c r="B578" s="11"/>
      <c r="C578" s="11"/>
      <c r="D578" s="11"/>
      <c r="E578" s="11"/>
      <c r="F578" s="11"/>
      <c r="G578" s="11"/>
      <c r="H578" s="11"/>
      <c r="I578" s="11"/>
      <c r="J578" s="11"/>
      <c r="K578" s="11"/>
      <c r="L578" s="11"/>
      <c r="M578" s="755"/>
      <c r="N578" s="11"/>
      <c r="O578" s="11"/>
      <c r="P578" s="11"/>
      <c r="Q578" s="11"/>
      <c r="R578" s="11"/>
      <c r="S578" s="11"/>
      <c r="T578" s="11"/>
      <c r="U578" s="11"/>
      <c r="V578" s="11"/>
      <c r="W578" s="11"/>
      <c r="X578" s="11"/>
    </row>
    <row r="579" ht="13.5" customHeight="1">
      <c r="A579" s="11"/>
      <c r="B579" s="656" t="s">
        <v>1572</v>
      </c>
      <c r="C579" s="18"/>
      <c r="D579" s="18"/>
      <c r="E579" s="19"/>
      <c r="F579" s="11"/>
      <c r="G579" s="11"/>
      <c r="H579" s="11"/>
      <c r="I579" s="11"/>
      <c r="J579" s="11"/>
      <c r="K579" s="11"/>
      <c r="L579" s="11"/>
      <c r="M579" s="755"/>
      <c r="N579" s="11"/>
      <c r="O579" s="11"/>
      <c r="P579" s="11"/>
      <c r="Q579" s="11"/>
      <c r="R579" s="11"/>
      <c r="S579" s="11"/>
      <c r="T579" s="11"/>
      <c r="U579" s="11"/>
      <c r="V579" s="11"/>
      <c r="W579" s="11"/>
      <c r="X579" s="11"/>
    </row>
    <row r="580" ht="13.5" customHeight="1">
      <c r="A580" s="11"/>
      <c r="B580" s="262" t="s">
        <v>1</v>
      </c>
      <c r="C580" s="383">
        <v>100.0</v>
      </c>
      <c r="D580" s="383">
        <v>25.0</v>
      </c>
      <c r="E580" s="267" t="s">
        <v>5</v>
      </c>
      <c r="F580" s="11"/>
      <c r="G580" s="11"/>
      <c r="H580" s="11"/>
      <c r="I580" s="11"/>
      <c r="J580" s="11"/>
      <c r="K580" s="11"/>
      <c r="L580" s="11"/>
      <c r="M580" s="755"/>
      <c r="N580" s="11"/>
      <c r="O580" s="11"/>
      <c r="P580" s="11"/>
      <c r="Q580" s="11"/>
      <c r="R580" s="11"/>
      <c r="S580" s="11"/>
      <c r="T580" s="11"/>
      <c r="U580" s="11"/>
      <c r="V580" s="11"/>
      <c r="W580" s="11"/>
      <c r="X580" s="11"/>
    </row>
    <row r="581" ht="13.5" customHeight="1">
      <c r="A581" s="11"/>
      <c r="B581" s="163" t="s">
        <v>1575</v>
      </c>
      <c r="C581" s="285">
        <v>12.0</v>
      </c>
      <c r="D581" s="285">
        <f t="shared" ref="D581:D601" si="43">(C581*D580)/C580</f>
        <v>3</v>
      </c>
      <c r="E581" s="169" t="s">
        <v>366</v>
      </c>
      <c r="F581" s="11"/>
      <c r="G581" s="11"/>
      <c r="H581" s="11"/>
      <c r="I581" s="11"/>
      <c r="J581" s="11"/>
      <c r="K581" s="11"/>
      <c r="L581" s="11"/>
      <c r="M581" s="755"/>
      <c r="N581" s="11"/>
      <c r="O581" s="11"/>
      <c r="P581" s="11"/>
      <c r="Q581" s="11"/>
      <c r="R581" s="11"/>
      <c r="S581" s="11"/>
      <c r="T581" s="11"/>
      <c r="U581" s="11"/>
      <c r="V581" s="11"/>
      <c r="W581" s="11"/>
      <c r="X581" s="11"/>
    </row>
    <row r="582" ht="13.5" customHeight="1">
      <c r="A582" s="11"/>
      <c r="B582" s="177" t="s">
        <v>1117</v>
      </c>
      <c r="C582" s="198">
        <v>3.0</v>
      </c>
      <c r="D582" s="198">
        <f t="shared" si="43"/>
        <v>0.75</v>
      </c>
      <c r="E582" s="204" t="s">
        <v>366</v>
      </c>
      <c r="F582" s="11"/>
      <c r="G582" s="11"/>
      <c r="H582" s="11"/>
      <c r="I582" s="11"/>
      <c r="J582" s="11"/>
      <c r="K582" s="11"/>
      <c r="L582" s="11"/>
      <c r="M582" s="755"/>
      <c r="N582" s="11"/>
      <c r="O582" s="11"/>
      <c r="P582" s="11"/>
      <c r="Q582" s="11"/>
      <c r="R582" s="11"/>
      <c r="S582" s="11"/>
      <c r="T582" s="11"/>
      <c r="U582" s="11"/>
      <c r="V582" s="11"/>
      <c r="W582" s="11"/>
      <c r="X582" s="11"/>
    </row>
    <row r="583" ht="13.5" customHeight="1">
      <c r="A583" s="11"/>
      <c r="B583" s="177" t="s">
        <v>52</v>
      </c>
      <c r="C583" s="198">
        <v>100.0</v>
      </c>
      <c r="D583" s="198">
        <f t="shared" si="43"/>
        <v>25</v>
      </c>
      <c r="E583" s="204" t="s">
        <v>18</v>
      </c>
      <c r="F583" s="11"/>
      <c r="G583" s="11"/>
      <c r="H583" s="11"/>
      <c r="I583" s="11"/>
      <c r="J583" s="11"/>
      <c r="K583" s="11"/>
      <c r="L583" s="11"/>
      <c r="M583" s="755"/>
      <c r="N583" s="11"/>
      <c r="O583" s="11"/>
      <c r="P583" s="11"/>
      <c r="Q583" s="11"/>
      <c r="R583" s="11"/>
      <c r="S583" s="11"/>
      <c r="T583" s="11"/>
      <c r="U583" s="11"/>
      <c r="V583" s="11"/>
      <c r="W583" s="11"/>
      <c r="X583" s="11"/>
    </row>
    <row r="584" ht="13.5" customHeight="1">
      <c r="A584" s="11"/>
      <c r="B584" s="208" t="s">
        <v>31</v>
      </c>
      <c r="C584" s="211">
        <v>1300.0</v>
      </c>
      <c r="D584" s="211">
        <f t="shared" si="43"/>
        <v>325</v>
      </c>
      <c r="E584" s="212" t="s">
        <v>18</v>
      </c>
      <c r="F584" s="11"/>
      <c r="G584" s="11"/>
      <c r="H584" s="11"/>
      <c r="I584" s="11"/>
      <c r="J584" s="11"/>
      <c r="K584" s="11"/>
      <c r="L584" s="11"/>
      <c r="M584" s="755"/>
      <c r="N584" s="11"/>
      <c r="O584" s="11"/>
      <c r="P584" s="11"/>
      <c r="Q584" s="11"/>
      <c r="R584" s="11"/>
      <c r="S584" s="11"/>
      <c r="T584" s="11"/>
      <c r="U584" s="11"/>
      <c r="V584" s="11"/>
      <c r="W584" s="11"/>
      <c r="X584" s="11"/>
    </row>
    <row r="585" ht="13.5" customHeight="1">
      <c r="A585" s="11"/>
      <c r="B585" s="157" t="s">
        <v>1578</v>
      </c>
      <c r="C585" s="390">
        <v>2.0</v>
      </c>
      <c r="D585" s="390">
        <f t="shared" si="43"/>
        <v>0.5</v>
      </c>
      <c r="E585" s="159" t="s">
        <v>5</v>
      </c>
      <c r="F585" s="11"/>
      <c r="G585" s="11"/>
      <c r="H585" s="11"/>
      <c r="I585" s="11"/>
      <c r="J585" s="11"/>
      <c r="K585" s="11"/>
      <c r="L585" s="11"/>
      <c r="M585" s="755"/>
      <c r="N585" s="11"/>
      <c r="O585" s="11"/>
      <c r="P585" s="11"/>
      <c r="Q585" s="11"/>
      <c r="R585" s="11"/>
      <c r="S585" s="11"/>
      <c r="T585" s="11"/>
      <c r="U585" s="11"/>
      <c r="V585" s="11"/>
      <c r="W585" s="11"/>
      <c r="X585" s="11"/>
    </row>
    <row r="586" ht="13.5" customHeight="1">
      <c r="A586" s="11"/>
      <c r="B586" s="262" t="s">
        <v>95</v>
      </c>
      <c r="C586" s="383">
        <v>25.0</v>
      </c>
      <c r="D586" s="198">
        <f t="shared" si="43"/>
        <v>6.25</v>
      </c>
      <c r="E586" s="204" t="s">
        <v>18</v>
      </c>
      <c r="F586" s="11"/>
      <c r="G586" s="11"/>
      <c r="H586" s="11"/>
      <c r="I586" s="11"/>
      <c r="J586" s="11"/>
      <c r="K586" s="11"/>
      <c r="L586" s="11"/>
      <c r="M586" s="755"/>
      <c r="N586" s="11"/>
      <c r="O586" s="11"/>
      <c r="P586" s="11"/>
      <c r="Q586" s="11"/>
      <c r="R586" s="11"/>
      <c r="S586" s="11"/>
      <c r="T586" s="11"/>
      <c r="U586" s="11"/>
      <c r="V586" s="11"/>
      <c r="W586" s="11"/>
      <c r="X586" s="11"/>
    </row>
    <row r="587" ht="13.5" customHeight="1">
      <c r="A587" s="11"/>
      <c r="B587" s="262" t="s">
        <v>1581</v>
      </c>
      <c r="C587" s="383">
        <v>25.0</v>
      </c>
      <c r="D587" s="198">
        <f t="shared" si="43"/>
        <v>6.25</v>
      </c>
      <c r="E587" s="204" t="s">
        <v>18</v>
      </c>
      <c r="F587" s="11"/>
      <c r="G587" s="11"/>
      <c r="H587" s="11"/>
      <c r="I587" s="11"/>
      <c r="J587" s="11"/>
      <c r="K587" s="11"/>
      <c r="L587" s="11"/>
      <c r="M587" s="755"/>
      <c r="N587" s="11"/>
      <c r="O587" s="11"/>
      <c r="P587" s="11"/>
      <c r="Q587" s="11"/>
      <c r="R587" s="11"/>
      <c r="S587" s="11"/>
      <c r="T587" s="11"/>
      <c r="U587" s="11"/>
      <c r="V587" s="11"/>
      <c r="W587" s="11"/>
      <c r="X587" s="11"/>
    </row>
    <row r="588" ht="13.5" customHeight="1">
      <c r="A588" s="11"/>
      <c r="B588" s="262" t="s">
        <v>497</v>
      </c>
      <c r="C588" s="383">
        <v>20.0</v>
      </c>
      <c r="D588" s="198">
        <f t="shared" si="43"/>
        <v>5</v>
      </c>
      <c r="E588" s="204" t="s">
        <v>18</v>
      </c>
      <c r="F588" s="11"/>
      <c r="G588" s="11"/>
      <c r="H588" s="11"/>
      <c r="I588" s="11"/>
      <c r="J588" s="11"/>
      <c r="K588" s="11"/>
      <c r="L588" s="11"/>
      <c r="M588" s="755"/>
      <c r="N588" s="11"/>
      <c r="O588" s="11"/>
      <c r="P588" s="11"/>
      <c r="Q588" s="11"/>
      <c r="R588" s="11"/>
      <c r="S588" s="11"/>
      <c r="T588" s="11"/>
      <c r="U588" s="11"/>
      <c r="V588" s="11"/>
      <c r="W588" s="11"/>
      <c r="X588" s="11"/>
    </row>
    <row r="589" ht="13.5" customHeight="1">
      <c r="A589" s="11"/>
      <c r="B589" s="177" t="s">
        <v>98</v>
      </c>
      <c r="C589" s="198">
        <v>200.0</v>
      </c>
      <c r="D589" s="198">
        <f t="shared" si="43"/>
        <v>50</v>
      </c>
      <c r="E589" s="204" t="s">
        <v>18</v>
      </c>
      <c r="F589" s="11"/>
      <c r="G589" s="11"/>
      <c r="H589" s="11"/>
      <c r="I589" s="11"/>
      <c r="J589" s="11"/>
      <c r="K589" s="11"/>
      <c r="L589" s="11"/>
      <c r="M589" s="755"/>
      <c r="N589" s="11"/>
      <c r="O589" s="11"/>
      <c r="P589" s="11"/>
      <c r="Q589" s="11"/>
      <c r="R589" s="11"/>
      <c r="S589" s="11"/>
      <c r="T589" s="11"/>
      <c r="U589" s="11"/>
      <c r="V589" s="11"/>
      <c r="W589" s="11"/>
      <c r="X589" s="11"/>
    </row>
    <row r="590" ht="13.5" customHeight="1">
      <c r="A590" s="11"/>
      <c r="B590" s="262" t="s">
        <v>96</v>
      </c>
      <c r="C590" s="383">
        <v>10.0</v>
      </c>
      <c r="D590" s="198">
        <f t="shared" si="43"/>
        <v>2.5</v>
      </c>
      <c r="E590" s="204" t="s">
        <v>18</v>
      </c>
      <c r="F590" s="11"/>
      <c r="G590" s="11"/>
      <c r="H590" s="11"/>
      <c r="I590" s="11"/>
      <c r="J590" s="11"/>
      <c r="K590" s="11"/>
      <c r="L590" s="11"/>
      <c r="M590" s="755"/>
      <c r="N590" s="11"/>
      <c r="O590" s="11"/>
      <c r="P590" s="11"/>
      <c r="Q590" s="11"/>
      <c r="R590" s="11"/>
      <c r="S590" s="11"/>
      <c r="T590" s="11"/>
      <c r="U590" s="11"/>
      <c r="V590" s="11"/>
      <c r="W590" s="11"/>
      <c r="X590" s="11"/>
    </row>
    <row r="591" ht="13.5" customHeight="1">
      <c r="A591" s="11"/>
      <c r="B591" s="262" t="s">
        <v>1038</v>
      </c>
      <c r="C591" s="383">
        <v>25.0</v>
      </c>
      <c r="D591" s="198">
        <f t="shared" si="43"/>
        <v>6.25</v>
      </c>
      <c r="E591" s="204" t="s">
        <v>18</v>
      </c>
      <c r="F591" s="11"/>
      <c r="G591" s="11"/>
      <c r="H591" s="11"/>
      <c r="I591" s="11"/>
      <c r="J591" s="11"/>
      <c r="K591" s="11"/>
      <c r="L591" s="11"/>
      <c r="M591" s="755"/>
      <c r="N591" s="11"/>
      <c r="O591" s="11"/>
      <c r="P591" s="11"/>
      <c r="Q591" s="11"/>
      <c r="R591" s="11"/>
      <c r="S591" s="11"/>
      <c r="T591" s="11"/>
      <c r="U591" s="11"/>
      <c r="V591" s="11"/>
      <c r="W591" s="11"/>
      <c r="X591" s="11"/>
    </row>
    <row r="592" ht="13.5" customHeight="1">
      <c r="A592" s="11"/>
      <c r="B592" s="262" t="s">
        <v>103</v>
      </c>
      <c r="C592" s="383">
        <v>150.0</v>
      </c>
      <c r="D592" s="383">
        <f t="shared" si="43"/>
        <v>37.5</v>
      </c>
      <c r="E592" s="267" t="s">
        <v>18</v>
      </c>
      <c r="F592" s="11"/>
      <c r="G592" s="11"/>
      <c r="H592" s="11"/>
      <c r="I592" s="11"/>
      <c r="J592" s="11"/>
      <c r="K592" s="11"/>
      <c r="L592" s="11"/>
      <c r="M592" s="755"/>
      <c r="N592" s="11"/>
      <c r="O592" s="11"/>
      <c r="P592" s="11"/>
      <c r="Q592" s="11"/>
      <c r="R592" s="11"/>
      <c r="S592" s="11"/>
      <c r="T592" s="11"/>
      <c r="U592" s="11"/>
      <c r="V592" s="11"/>
      <c r="W592" s="11"/>
      <c r="X592" s="11"/>
    </row>
    <row r="593" ht="13.5" customHeight="1">
      <c r="A593" s="11"/>
      <c r="B593" s="163" t="s">
        <v>369</v>
      </c>
      <c r="C593" s="285">
        <v>750.0</v>
      </c>
      <c r="D593" s="285">
        <f t="shared" si="43"/>
        <v>187.5</v>
      </c>
      <c r="E593" s="169" t="s">
        <v>18</v>
      </c>
      <c r="F593" s="11"/>
      <c r="G593" s="11"/>
      <c r="H593" s="11"/>
      <c r="I593" s="11"/>
      <c r="J593" s="11"/>
      <c r="K593" s="11"/>
      <c r="L593" s="11"/>
      <c r="M593" s="755"/>
      <c r="N593" s="11"/>
      <c r="O593" s="11"/>
      <c r="P593" s="11"/>
      <c r="Q593" s="11"/>
      <c r="R593" s="11"/>
      <c r="S593" s="11"/>
      <c r="T593" s="11"/>
      <c r="U593" s="11"/>
      <c r="V593" s="11"/>
      <c r="W593" s="11"/>
      <c r="X593" s="11"/>
    </row>
    <row r="594" ht="13.5" customHeight="1">
      <c r="A594" s="11"/>
      <c r="B594" s="177" t="s">
        <v>149</v>
      </c>
      <c r="C594" s="198">
        <v>1500.0</v>
      </c>
      <c r="D594" s="198">
        <f t="shared" si="43"/>
        <v>375</v>
      </c>
      <c r="E594" s="204" t="s">
        <v>18</v>
      </c>
      <c r="F594" s="11"/>
      <c r="G594" s="11"/>
      <c r="H594" s="11"/>
      <c r="I594" s="11"/>
      <c r="J594" s="11"/>
      <c r="K594" s="11"/>
      <c r="L594" s="11"/>
      <c r="M594" s="755"/>
      <c r="N594" s="11"/>
      <c r="O594" s="11"/>
      <c r="P594" s="11"/>
      <c r="Q594" s="11"/>
      <c r="R594" s="11"/>
      <c r="S594" s="11"/>
      <c r="T594" s="11"/>
      <c r="U594" s="11"/>
      <c r="V594" s="11"/>
      <c r="W594" s="11"/>
      <c r="X594" s="11"/>
    </row>
    <row r="595" ht="13.5" customHeight="1">
      <c r="A595" s="11"/>
      <c r="B595" s="262" t="s">
        <v>1586</v>
      </c>
      <c r="C595" s="383">
        <v>400.0</v>
      </c>
      <c r="D595" s="383">
        <f t="shared" si="43"/>
        <v>100</v>
      </c>
      <c r="E595" s="267" t="s">
        <v>18</v>
      </c>
      <c r="F595" s="11"/>
      <c r="G595" s="11"/>
      <c r="H595" s="11"/>
      <c r="I595" s="11"/>
      <c r="J595" s="11"/>
      <c r="K595" s="11"/>
      <c r="L595" s="11"/>
      <c r="M595" s="755"/>
      <c r="N595" s="11"/>
      <c r="O595" s="11"/>
      <c r="P595" s="11"/>
      <c r="Q595" s="11"/>
      <c r="R595" s="11"/>
      <c r="S595" s="11"/>
      <c r="T595" s="11"/>
      <c r="U595" s="11"/>
      <c r="V595" s="11"/>
      <c r="W595" s="11"/>
      <c r="X595" s="11"/>
    </row>
    <row r="596" ht="13.5" customHeight="1">
      <c r="A596" s="11"/>
      <c r="B596" s="163" t="s">
        <v>1091</v>
      </c>
      <c r="C596" s="285">
        <v>100.0</v>
      </c>
      <c r="D596" s="285">
        <f t="shared" si="43"/>
        <v>25</v>
      </c>
      <c r="E596" s="169" t="s">
        <v>18</v>
      </c>
      <c r="F596" s="11"/>
      <c r="G596" s="11"/>
      <c r="H596" s="11"/>
      <c r="I596" s="11"/>
      <c r="J596" s="11"/>
      <c r="K596" s="11"/>
      <c r="L596" s="11"/>
      <c r="M596" s="755"/>
      <c r="N596" s="11"/>
      <c r="O596" s="11"/>
      <c r="P596" s="11"/>
      <c r="Q596" s="11"/>
      <c r="R596" s="11"/>
      <c r="S596" s="11"/>
      <c r="T596" s="11"/>
      <c r="U596" s="11"/>
      <c r="V596" s="11"/>
      <c r="W596" s="11"/>
      <c r="X596" s="11"/>
    </row>
    <row r="597" ht="13.5" customHeight="1">
      <c r="A597" s="11"/>
      <c r="B597" s="177" t="s">
        <v>1092</v>
      </c>
      <c r="C597" s="198">
        <v>25.0</v>
      </c>
      <c r="D597" s="198">
        <f t="shared" si="43"/>
        <v>6.25</v>
      </c>
      <c r="E597" s="204" t="s">
        <v>366</v>
      </c>
      <c r="F597" s="11"/>
      <c r="G597" s="11"/>
      <c r="H597" s="11"/>
      <c r="I597" s="11"/>
      <c r="J597" s="11"/>
      <c r="K597" s="11"/>
      <c r="L597" s="11"/>
      <c r="M597" s="755"/>
      <c r="N597" s="11"/>
      <c r="O597" s="11"/>
      <c r="P597" s="11"/>
      <c r="Q597" s="11"/>
      <c r="R597" s="11"/>
      <c r="S597" s="11"/>
      <c r="T597" s="11"/>
      <c r="U597" s="11"/>
      <c r="V597" s="11"/>
      <c r="W597" s="11"/>
      <c r="X597" s="11"/>
    </row>
    <row r="598" ht="13.5" customHeight="1">
      <c r="A598" s="11"/>
      <c r="B598" s="208" t="s">
        <v>1590</v>
      </c>
      <c r="C598" s="211">
        <v>200.0</v>
      </c>
      <c r="D598" s="211">
        <f t="shared" si="43"/>
        <v>50</v>
      </c>
      <c r="E598" s="212" t="s">
        <v>18</v>
      </c>
      <c r="F598" s="11"/>
      <c r="G598" s="11"/>
      <c r="H598" s="11"/>
      <c r="I598" s="11"/>
      <c r="J598" s="11"/>
      <c r="K598" s="11"/>
      <c r="L598" s="11"/>
      <c r="M598" s="755"/>
      <c r="N598" s="11"/>
      <c r="O598" s="11"/>
      <c r="P598" s="11"/>
      <c r="Q598" s="11"/>
      <c r="R598" s="11"/>
      <c r="S598" s="11"/>
      <c r="T598" s="11"/>
      <c r="U598" s="11"/>
      <c r="V598" s="11"/>
      <c r="W598" s="11"/>
      <c r="X598" s="11"/>
    </row>
    <row r="599" ht="15.0" customHeight="1">
      <c r="A599" s="11"/>
      <c r="B599" s="251" t="s">
        <v>1591</v>
      </c>
      <c r="C599" s="1005">
        <v>150.0</v>
      </c>
      <c r="D599" s="1005">
        <f t="shared" si="43"/>
        <v>37.5</v>
      </c>
      <c r="E599" s="255" t="s">
        <v>18</v>
      </c>
      <c r="F599" s="11"/>
      <c r="G599" s="11"/>
      <c r="H599" s="11"/>
      <c r="I599" s="11"/>
      <c r="J599" s="11"/>
      <c r="K599" s="11"/>
      <c r="L599" s="11"/>
      <c r="M599" s="755"/>
      <c r="N599" s="11"/>
      <c r="O599" s="11"/>
      <c r="P599" s="11"/>
      <c r="Q599" s="11"/>
      <c r="R599" s="11"/>
      <c r="S599" s="11"/>
      <c r="T599" s="11"/>
      <c r="U599" s="11"/>
      <c r="V599" s="11"/>
      <c r="W599" s="11"/>
      <c r="X599" s="11"/>
    </row>
    <row r="600" ht="13.5" customHeight="1">
      <c r="A600" s="11"/>
      <c r="B600" s="163" t="s">
        <v>1096</v>
      </c>
      <c r="C600" s="285">
        <v>4.0</v>
      </c>
      <c r="D600" s="285">
        <f t="shared" si="43"/>
        <v>1</v>
      </c>
      <c r="E600" s="169" t="s">
        <v>366</v>
      </c>
      <c r="F600" s="11"/>
      <c r="G600" s="11"/>
      <c r="H600" s="11"/>
      <c r="I600" s="11"/>
      <c r="J600" s="11"/>
      <c r="K600" s="11"/>
      <c r="L600" s="11"/>
      <c r="M600" s="755"/>
      <c r="N600" s="11"/>
      <c r="O600" s="11"/>
      <c r="P600" s="11"/>
      <c r="Q600" s="11"/>
      <c r="R600" s="11"/>
      <c r="S600" s="11"/>
      <c r="T600" s="11"/>
      <c r="U600" s="11"/>
      <c r="V600" s="11"/>
      <c r="W600" s="11"/>
      <c r="X600" s="11"/>
    </row>
    <row r="601" ht="13.5" customHeight="1">
      <c r="A601" s="11"/>
      <c r="B601" s="208" t="s">
        <v>1098</v>
      </c>
      <c r="C601" s="318">
        <v>12.0</v>
      </c>
      <c r="D601" s="211">
        <f t="shared" si="43"/>
        <v>3</v>
      </c>
      <c r="E601" s="212" t="s">
        <v>5</v>
      </c>
      <c r="F601" s="11"/>
      <c r="G601" s="11"/>
      <c r="H601" s="11"/>
      <c r="I601" s="11"/>
      <c r="J601" s="11"/>
      <c r="K601" s="11"/>
      <c r="L601" s="11"/>
      <c r="M601" s="755"/>
      <c r="N601" s="11"/>
      <c r="O601" s="11"/>
      <c r="P601" s="11"/>
      <c r="Q601" s="11"/>
      <c r="R601" s="11"/>
      <c r="S601" s="11"/>
      <c r="T601" s="11"/>
      <c r="U601" s="11"/>
      <c r="V601" s="11"/>
      <c r="W601" s="11"/>
      <c r="X601" s="11"/>
    </row>
    <row r="602" ht="13.5" customHeight="1">
      <c r="A602" s="11"/>
      <c r="B602" s="220" t="s">
        <v>42</v>
      </c>
      <c r="C602" s="11"/>
      <c r="D602" s="11"/>
      <c r="E602" s="11"/>
      <c r="F602" s="11"/>
      <c r="G602" s="11"/>
      <c r="H602" s="11"/>
      <c r="I602" s="11"/>
      <c r="J602" s="11"/>
      <c r="K602" s="11"/>
      <c r="L602" s="11"/>
      <c r="M602" s="755"/>
      <c r="N602" s="11"/>
      <c r="O602" s="11"/>
      <c r="P602" s="11"/>
      <c r="Q602" s="11"/>
      <c r="R602" s="11"/>
      <c r="S602" s="11"/>
      <c r="T602" s="11"/>
      <c r="U602" s="11"/>
      <c r="V602" s="11"/>
      <c r="W602" s="11"/>
      <c r="X602" s="11"/>
    </row>
    <row r="603" ht="13.5" customHeight="1">
      <c r="A603" s="11"/>
      <c r="B603" s="203" t="s">
        <v>120</v>
      </c>
      <c r="C603" s="11"/>
      <c r="D603" s="11"/>
      <c r="E603" s="11"/>
      <c r="F603" s="11"/>
      <c r="G603" s="11"/>
      <c r="H603" s="11"/>
      <c r="I603" s="11"/>
      <c r="J603" s="11"/>
      <c r="K603" s="11"/>
      <c r="L603" s="11"/>
      <c r="M603" s="755"/>
      <c r="N603" s="11"/>
      <c r="O603" s="11"/>
      <c r="P603" s="11"/>
      <c r="Q603" s="11"/>
      <c r="R603" s="11"/>
      <c r="S603" s="11"/>
      <c r="T603" s="11"/>
      <c r="U603" s="11"/>
      <c r="V603" s="11"/>
      <c r="W603" s="11"/>
      <c r="X603" s="11"/>
    </row>
    <row r="604" ht="13.5" customHeight="1">
      <c r="A604" s="11"/>
      <c r="B604" s="203" t="s">
        <v>50</v>
      </c>
      <c r="C604" s="11"/>
      <c r="D604" s="11"/>
      <c r="E604" s="11"/>
      <c r="F604" s="11"/>
      <c r="G604" s="11"/>
      <c r="H604" s="11"/>
      <c r="I604" s="11"/>
      <c r="J604" s="11"/>
      <c r="K604" s="11"/>
      <c r="L604" s="11"/>
      <c r="M604" s="755"/>
      <c r="N604" s="11"/>
      <c r="O604" s="11"/>
      <c r="P604" s="11"/>
      <c r="Q604" s="11"/>
      <c r="R604" s="11"/>
      <c r="S604" s="11"/>
      <c r="T604" s="11"/>
      <c r="U604" s="11"/>
      <c r="V604" s="11"/>
      <c r="W604" s="11"/>
      <c r="X604" s="11"/>
    </row>
    <row r="605" ht="13.5" customHeight="1">
      <c r="A605" s="11"/>
      <c r="B605" s="11"/>
      <c r="C605" s="11"/>
      <c r="D605" s="11"/>
      <c r="E605" s="11"/>
      <c r="F605" s="11"/>
      <c r="G605" s="11"/>
      <c r="H605" s="11"/>
      <c r="I605" s="11"/>
      <c r="J605" s="11"/>
      <c r="K605" s="11"/>
      <c r="L605" s="11"/>
      <c r="M605" s="755"/>
      <c r="N605" s="11"/>
      <c r="O605" s="11"/>
      <c r="P605" s="11"/>
      <c r="Q605" s="11"/>
      <c r="R605" s="11"/>
      <c r="S605" s="11"/>
      <c r="T605" s="11"/>
      <c r="U605" s="11"/>
      <c r="V605" s="11"/>
      <c r="W605" s="11"/>
      <c r="X605" s="11"/>
    </row>
    <row r="606" ht="13.5" customHeight="1">
      <c r="A606" s="11"/>
      <c r="B606" s="11"/>
      <c r="C606" s="11"/>
      <c r="D606" s="11"/>
      <c r="E606" s="11"/>
      <c r="F606" s="11"/>
      <c r="G606" s="11"/>
      <c r="H606" s="11"/>
      <c r="I606" s="11"/>
      <c r="J606" s="11"/>
      <c r="K606" s="11"/>
      <c r="L606" s="11"/>
      <c r="M606" s="755"/>
      <c r="N606" s="11"/>
      <c r="O606" s="11"/>
      <c r="P606" s="11"/>
      <c r="Q606" s="11"/>
      <c r="R606" s="11"/>
      <c r="S606" s="11"/>
      <c r="T606" s="11"/>
      <c r="U606" s="11"/>
      <c r="V606" s="11"/>
      <c r="W606" s="11"/>
      <c r="X606" s="11"/>
    </row>
    <row r="607" ht="13.5" customHeight="1">
      <c r="A607" s="11"/>
      <c r="B607" s="1382" t="s">
        <v>1595</v>
      </c>
      <c r="C607" s="18"/>
      <c r="D607" s="18"/>
      <c r="E607" s="19"/>
      <c r="F607" s="11"/>
      <c r="G607" s="11"/>
      <c r="H607" s="11"/>
      <c r="I607" s="11"/>
      <c r="J607" s="11"/>
      <c r="K607" s="11"/>
      <c r="L607" s="11"/>
      <c r="M607" s="755"/>
      <c r="N607" s="11"/>
      <c r="O607" s="11"/>
      <c r="P607" s="11"/>
      <c r="Q607" s="11"/>
      <c r="R607" s="11"/>
      <c r="S607" s="11"/>
      <c r="T607" s="11"/>
      <c r="U607" s="11"/>
      <c r="V607" s="11"/>
      <c r="W607" s="11"/>
      <c r="X607" s="11"/>
    </row>
    <row r="608" ht="13.5" customHeight="1">
      <c r="A608" s="11"/>
      <c r="B608" s="1011" t="s">
        <v>1</v>
      </c>
      <c r="C608" s="1383">
        <v>100.0</v>
      </c>
      <c r="D608" s="1384">
        <v>40.0</v>
      </c>
      <c r="E608" s="1088" t="s">
        <v>5</v>
      </c>
      <c r="F608" s="11"/>
      <c r="G608" s="11"/>
      <c r="H608" s="11"/>
      <c r="I608" s="11"/>
      <c r="J608" s="11"/>
      <c r="K608" s="11"/>
      <c r="L608" s="11"/>
      <c r="M608" s="755"/>
      <c r="N608" s="11"/>
      <c r="O608" s="11"/>
      <c r="P608" s="11"/>
      <c r="Q608" s="11"/>
      <c r="R608" s="11"/>
      <c r="S608" s="11"/>
      <c r="T608" s="11"/>
      <c r="U608" s="11"/>
      <c r="V608" s="11"/>
      <c r="W608" s="11"/>
      <c r="X608" s="11"/>
    </row>
    <row r="609" ht="13.5" customHeight="1">
      <c r="A609" s="11"/>
      <c r="B609" s="177" t="s">
        <v>1596</v>
      </c>
      <c r="C609" s="1385">
        <v>10.0</v>
      </c>
      <c r="D609" s="712">
        <f t="shared" ref="D609:D634" si="44">(C609*D608)/C608</f>
        <v>4</v>
      </c>
      <c r="E609" s="441" t="s">
        <v>366</v>
      </c>
      <c r="F609" s="11"/>
      <c r="G609" s="11"/>
      <c r="H609" s="11"/>
      <c r="I609" s="11"/>
      <c r="J609" s="11"/>
      <c r="K609" s="11"/>
      <c r="L609" s="11"/>
      <c r="M609" s="755"/>
      <c r="N609" s="11"/>
      <c r="O609" s="11"/>
      <c r="P609" s="11"/>
      <c r="Q609" s="11"/>
      <c r="R609" s="11"/>
      <c r="S609" s="11"/>
      <c r="T609" s="11"/>
      <c r="U609" s="11"/>
      <c r="V609" s="11"/>
      <c r="W609" s="11"/>
      <c r="X609" s="11"/>
    </row>
    <row r="610" ht="13.5" customHeight="1">
      <c r="A610" s="11"/>
      <c r="B610" s="177" t="s">
        <v>52</v>
      </c>
      <c r="C610" s="1385">
        <v>150.0</v>
      </c>
      <c r="D610" s="712">
        <f t="shared" si="44"/>
        <v>60</v>
      </c>
      <c r="E610" s="441" t="s">
        <v>18</v>
      </c>
      <c r="F610" s="11"/>
      <c r="G610" s="11"/>
      <c r="H610" s="11"/>
      <c r="I610" s="11"/>
      <c r="J610" s="11"/>
      <c r="K610" s="11"/>
      <c r="L610" s="11"/>
      <c r="M610" s="755"/>
      <c r="N610" s="11"/>
      <c r="O610" s="11"/>
      <c r="P610" s="11"/>
      <c r="Q610" s="11"/>
      <c r="R610" s="11"/>
      <c r="S610" s="11"/>
      <c r="T610" s="11"/>
      <c r="U610" s="11"/>
      <c r="V610" s="11"/>
      <c r="W610" s="11"/>
      <c r="X610" s="11"/>
    </row>
    <row r="611" ht="13.5" customHeight="1">
      <c r="A611" s="11"/>
      <c r="B611" s="177" t="s">
        <v>31</v>
      </c>
      <c r="C611" s="1385">
        <v>1000.0</v>
      </c>
      <c r="D611" s="712">
        <f t="shared" si="44"/>
        <v>400</v>
      </c>
      <c r="E611" s="441" t="s">
        <v>18</v>
      </c>
      <c r="F611" s="11"/>
      <c r="G611" s="11"/>
      <c r="H611" s="11"/>
      <c r="I611" s="11"/>
      <c r="J611" s="11"/>
      <c r="K611" s="11"/>
      <c r="L611" s="11"/>
      <c r="M611" s="755"/>
      <c r="N611" s="11"/>
      <c r="O611" s="11"/>
      <c r="P611" s="11"/>
      <c r="Q611" s="11"/>
      <c r="R611" s="11"/>
      <c r="S611" s="11"/>
      <c r="T611" s="11"/>
      <c r="U611" s="11"/>
      <c r="V611" s="11"/>
      <c r="W611" s="11"/>
      <c r="X611" s="11"/>
    </row>
    <row r="612" ht="13.5" customHeight="1">
      <c r="A612" s="11"/>
      <c r="B612" s="262" t="s">
        <v>59</v>
      </c>
      <c r="C612" s="1386">
        <v>55.0</v>
      </c>
      <c r="D612" s="1267">
        <f t="shared" si="44"/>
        <v>22</v>
      </c>
      <c r="E612" s="1268" t="s">
        <v>5</v>
      </c>
      <c r="F612" s="11"/>
      <c r="G612" s="11"/>
      <c r="H612" s="11"/>
      <c r="I612" s="11"/>
      <c r="J612" s="11"/>
      <c r="K612" s="11"/>
      <c r="L612" s="11"/>
      <c r="M612" s="755"/>
      <c r="N612" s="11"/>
      <c r="O612" s="11"/>
      <c r="P612" s="11"/>
      <c r="Q612" s="11"/>
      <c r="R612" s="11"/>
      <c r="S612" s="11"/>
      <c r="T612" s="11"/>
      <c r="U612" s="11"/>
      <c r="V612" s="11"/>
      <c r="W612" s="11"/>
      <c r="X612" s="11"/>
    </row>
    <row r="613" ht="13.5" customHeight="1">
      <c r="A613" s="11"/>
      <c r="B613" s="333" t="s">
        <v>1598</v>
      </c>
      <c r="C613" s="1387">
        <v>500.0</v>
      </c>
      <c r="D613" s="722">
        <f t="shared" si="44"/>
        <v>200</v>
      </c>
      <c r="E613" s="432" t="s">
        <v>18</v>
      </c>
      <c r="F613" s="11"/>
      <c r="G613" s="11"/>
      <c r="H613" s="11"/>
      <c r="I613" s="11"/>
      <c r="J613" s="11"/>
      <c r="K613" s="11"/>
      <c r="L613" s="11"/>
      <c r="M613" s="755"/>
      <c r="N613" s="11"/>
      <c r="O613" s="11"/>
      <c r="P613" s="11"/>
      <c r="Q613" s="11"/>
      <c r="R613" s="11"/>
      <c r="S613" s="11"/>
      <c r="T613" s="11"/>
      <c r="U613" s="11"/>
      <c r="V613" s="11"/>
      <c r="W613" s="11"/>
      <c r="X613" s="11"/>
    </row>
    <row r="614" ht="13.5" customHeight="1">
      <c r="A614" s="11"/>
      <c r="B614" s="208" t="s">
        <v>292</v>
      </c>
      <c r="C614" s="1388">
        <v>2.5</v>
      </c>
      <c r="D614" s="724">
        <f t="shared" si="44"/>
        <v>1</v>
      </c>
      <c r="E614" s="475" t="s">
        <v>366</v>
      </c>
      <c r="F614" s="11"/>
      <c r="G614" s="11"/>
      <c r="H614" s="11"/>
      <c r="I614" s="11"/>
      <c r="J614" s="11"/>
      <c r="K614" s="11"/>
      <c r="L614" s="11"/>
      <c r="M614" s="755"/>
      <c r="N614" s="11"/>
      <c r="O614" s="11"/>
      <c r="P614" s="11"/>
      <c r="Q614" s="11"/>
      <c r="R614" s="11"/>
      <c r="S614" s="11"/>
      <c r="T614" s="11"/>
      <c r="U614" s="11"/>
      <c r="V614" s="11"/>
      <c r="W614" s="11"/>
      <c r="X614" s="11"/>
    </row>
    <row r="615" ht="13.5" customHeight="1">
      <c r="A615" s="11"/>
      <c r="B615" s="157" t="s">
        <v>1250</v>
      </c>
      <c r="C615" s="1389">
        <v>2.5</v>
      </c>
      <c r="D615" s="1390">
        <f t="shared" si="44"/>
        <v>1</v>
      </c>
      <c r="E615" s="437" t="s">
        <v>366</v>
      </c>
      <c r="F615" s="11"/>
      <c r="G615" s="11"/>
      <c r="H615" s="11"/>
      <c r="I615" s="11"/>
      <c r="J615" s="11"/>
      <c r="K615" s="11"/>
      <c r="L615" s="11"/>
      <c r="M615" s="755"/>
      <c r="N615" s="11"/>
      <c r="O615" s="11"/>
      <c r="P615" s="11"/>
      <c r="Q615" s="11"/>
      <c r="R615" s="11"/>
      <c r="S615" s="11"/>
      <c r="T615" s="11"/>
      <c r="U615" s="11"/>
      <c r="V615" s="11"/>
      <c r="W615" s="11"/>
      <c r="X615" s="11"/>
    </row>
    <row r="616" ht="13.5" customHeight="1">
      <c r="A616" s="11"/>
      <c r="B616" s="177" t="s">
        <v>1252</v>
      </c>
      <c r="C616" s="1385">
        <v>10.0</v>
      </c>
      <c r="D616" s="712">
        <f t="shared" si="44"/>
        <v>4</v>
      </c>
      <c r="E616" s="441" t="s">
        <v>366</v>
      </c>
      <c r="F616" s="11"/>
      <c r="G616" s="11"/>
      <c r="H616" s="11"/>
      <c r="I616" s="11"/>
      <c r="J616" s="11"/>
      <c r="K616" s="11"/>
      <c r="L616" s="11"/>
      <c r="M616" s="755"/>
      <c r="N616" s="11"/>
      <c r="O616" s="11"/>
      <c r="P616" s="11"/>
      <c r="Q616" s="11"/>
      <c r="R616" s="11"/>
      <c r="S616" s="11"/>
      <c r="T616" s="11"/>
      <c r="U616" s="11"/>
      <c r="V616" s="11"/>
      <c r="W616" s="11"/>
      <c r="X616" s="11"/>
    </row>
    <row r="617" ht="13.5" customHeight="1">
      <c r="A617" s="11"/>
      <c r="B617" s="177" t="s">
        <v>1253</v>
      </c>
      <c r="C617" s="1385">
        <v>2.5</v>
      </c>
      <c r="D617" s="712">
        <f t="shared" si="44"/>
        <v>1</v>
      </c>
      <c r="E617" s="441" t="s">
        <v>366</v>
      </c>
      <c r="F617" s="11"/>
      <c r="G617" s="11"/>
      <c r="H617" s="11"/>
      <c r="I617" s="11"/>
      <c r="J617" s="11"/>
      <c r="K617" s="11"/>
      <c r="L617" s="11"/>
      <c r="M617" s="755"/>
      <c r="N617" s="11"/>
      <c r="O617" s="11"/>
      <c r="P617" s="11"/>
      <c r="Q617" s="11"/>
      <c r="R617" s="11"/>
      <c r="S617" s="11"/>
      <c r="T617" s="11"/>
      <c r="U617" s="11"/>
      <c r="V617" s="11"/>
      <c r="W617" s="11"/>
      <c r="X617" s="11"/>
    </row>
    <row r="618" ht="13.5" customHeight="1">
      <c r="A618" s="11"/>
      <c r="B618" s="262" t="s">
        <v>1165</v>
      </c>
      <c r="C618" s="1386">
        <v>12.5</v>
      </c>
      <c r="D618" s="1267">
        <f t="shared" si="44"/>
        <v>5</v>
      </c>
      <c r="E618" s="1268" t="s">
        <v>366</v>
      </c>
      <c r="F618" s="11"/>
      <c r="G618" s="11"/>
      <c r="H618" s="11"/>
      <c r="I618" s="11"/>
      <c r="J618" s="11"/>
      <c r="K618" s="11"/>
      <c r="L618" s="11"/>
      <c r="M618" s="755"/>
      <c r="N618" s="11"/>
      <c r="O618" s="11"/>
      <c r="P618" s="11"/>
      <c r="Q618" s="11"/>
      <c r="R618" s="11"/>
      <c r="S618" s="11"/>
      <c r="T618" s="11"/>
      <c r="U618" s="11"/>
      <c r="V618" s="11"/>
      <c r="W618" s="11"/>
      <c r="X618" s="11"/>
    </row>
    <row r="619" ht="13.5" customHeight="1">
      <c r="A619" s="11"/>
      <c r="B619" s="163" t="s">
        <v>1601</v>
      </c>
      <c r="C619" s="1387">
        <v>1000.0</v>
      </c>
      <c r="D619" s="1391">
        <f t="shared" si="44"/>
        <v>400</v>
      </c>
      <c r="E619" s="432" t="s">
        <v>18</v>
      </c>
      <c r="F619" s="11"/>
      <c r="G619" s="11"/>
      <c r="H619" s="11"/>
      <c r="I619" s="11"/>
      <c r="J619" s="11"/>
      <c r="K619" s="11"/>
      <c r="L619" s="11"/>
      <c r="M619" s="755"/>
      <c r="N619" s="11"/>
      <c r="O619" s="11"/>
      <c r="P619" s="11"/>
      <c r="Q619" s="11"/>
      <c r="R619" s="11"/>
      <c r="S619" s="11"/>
      <c r="T619" s="11"/>
      <c r="U619" s="11"/>
      <c r="V619" s="11"/>
      <c r="W619" s="11"/>
      <c r="X619" s="11"/>
    </row>
    <row r="620" ht="13.5" customHeight="1">
      <c r="A620" s="11"/>
      <c r="B620" s="177" t="s">
        <v>1602</v>
      </c>
      <c r="C620" s="1385">
        <v>1.0</v>
      </c>
      <c r="D620" s="1267">
        <f t="shared" si="44"/>
        <v>0.4</v>
      </c>
      <c r="E620" s="441" t="s">
        <v>366</v>
      </c>
      <c r="F620" s="11"/>
      <c r="G620" s="11"/>
      <c r="H620" s="11"/>
      <c r="I620" s="11"/>
      <c r="J620" s="11"/>
      <c r="K620" s="11"/>
      <c r="L620" s="11"/>
      <c r="M620" s="755"/>
      <c r="N620" s="11"/>
      <c r="O620" s="11"/>
      <c r="P620" s="11"/>
      <c r="Q620" s="11"/>
      <c r="R620" s="11"/>
      <c r="S620" s="11"/>
      <c r="T620" s="11"/>
      <c r="U620" s="11"/>
      <c r="V620" s="11"/>
      <c r="W620" s="11"/>
      <c r="X620" s="11"/>
    </row>
    <row r="621" ht="15.0" customHeight="1">
      <c r="A621" s="11"/>
      <c r="B621" s="177" t="s">
        <v>1603</v>
      </c>
      <c r="C621" s="1385">
        <v>4.0</v>
      </c>
      <c r="D621" s="1267">
        <f t="shared" si="44"/>
        <v>1.6</v>
      </c>
      <c r="E621" s="441" t="s">
        <v>9</v>
      </c>
      <c r="F621" s="11"/>
      <c r="G621" s="11"/>
      <c r="H621" s="11"/>
      <c r="I621" s="11"/>
      <c r="J621" s="11"/>
      <c r="K621" s="11"/>
      <c r="L621" s="11"/>
      <c r="M621" s="755"/>
      <c r="N621" s="11"/>
      <c r="O621" s="11"/>
      <c r="P621" s="11"/>
      <c r="Q621" s="11"/>
      <c r="R621" s="11"/>
      <c r="S621" s="11"/>
      <c r="T621" s="11"/>
      <c r="U621" s="11"/>
      <c r="V621" s="11"/>
      <c r="W621" s="11"/>
      <c r="X621" s="11"/>
    </row>
    <row r="622" ht="13.5" customHeight="1">
      <c r="A622" s="11"/>
      <c r="B622" s="208" t="s">
        <v>80</v>
      </c>
      <c r="C622" s="1388">
        <v>1.25</v>
      </c>
      <c r="D622" s="724">
        <f t="shared" si="44"/>
        <v>0.5</v>
      </c>
      <c r="E622" s="475" t="s">
        <v>366</v>
      </c>
      <c r="F622" s="11"/>
      <c r="G622" s="11"/>
      <c r="H622" s="11"/>
      <c r="I622" s="11"/>
      <c r="J622" s="11"/>
      <c r="K622" s="11"/>
      <c r="L622" s="11"/>
      <c r="M622" s="755"/>
      <c r="N622" s="11"/>
      <c r="O622" s="11"/>
      <c r="P622" s="11"/>
      <c r="Q622" s="11"/>
      <c r="R622" s="11"/>
      <c r="S622" s="11"/>
      <c r="T622" s="11"/>
      <c r="U622" s="11"/>
      <c r="V622" s="11"/>
      <c r="W622" s="11"/>
      <c r="X622" s="11"/>
    </row>
    <row r="623" ht="13.5" customHeight="1">
      <c r="A623" s="11"/>
      <c r="B623" s="157" t="s">
        <v>34</v>
      </c>
      <c r="C623" s="1389">
        <v>1000.0</v>
      </c>
      <c r="D623" s="1392">
        <f t="shared" si="44"/>
        <v>400</v>
      </c>
      <c r="E623" s="437" t="s">
        <v>82</v>
      </c>
      <c r="F623" s="11"/>
      <c r="G623" s="11"/>
      <c r="H623" s="11"/>
      <c r="I623" s="11"/>
      <c r="J623" s="11"/>
      <c r="K623" s="11"/>
      <c r="L623" s="11"/>
      <c r="M623" s="755"/>
      <c r="N623" s="11"/>
      <c r="O623" s="11"/>
      <c r="P623" s="11"/>
      <c r="Q623" s="11"/>
      <c r="R623" s="11"/>
      <c r="S623" s="11"/>
      <c r="T623" s="11"/>
      <c r="U623" s="11"/>
      <c r="V623" s="11"/>
      <c r="W623" s="11"/>
      <c r="X623" s="11"/>
    </row>
    <row r="624" ht="13.5" customHeight="1">
      <c r="A624" s="11"/>
      <c r="B624" s="177" t="s">
        <v>97</v>
      </c>
      <c r="C624" s="1385">
        <v>125.0</v>
      </c>
      <c r="D624" s="1267">
        <f t="shared" si="44"/>
        <v>50</v>
      </c>
      <c r="E624" s="441" t="s">
        <v>18</v>
      </c>
      <c r="F624" s="11"/>
      <c r="G624" s="11"/>
      <c r="H624" s="11"/>
      <c r="I624" s="11"/>
      <c r="J624" s="11"/>
      <c r="K624" s="11"/>
      <c r="L624" s="11"/>
      <c r="M624" s="755"/>
      <c r="N624" s="11"/>
      <c r="O624" s="11"/>
      <c r="P624" s="11"/>
      <c r="Q624" s="11"/>
      <c r="R624" s="11"/>
      <c r="S624" s="11"/>
      <c r="T624" s="11"/>
      <c r="U624" s="11"/>
      <c r="V624" s="11"/>
      <c r="W624" s="11"/>
      <c r="X624" s="11"/>
    </row>
    <row r="625" ht="13.5" customHeight="1">
      <c r="A625" s="11"/>
      <c r="B625" s="177" t="s">
        <v>1604</v>
      </c>
      <c r="C625" s="1385">
        <v>80.0</v>
      </c>
      <c r="D625" s="1267">
        <f t="shared" si="44"/>
        <v>32</v>
      </c>
      <c r="E625" s="441" t="s">
        <v>18</v>
      </c>
      <c r="F625" s="11"/>
      <c r="G625" s="11"/>
      <c r="H625" s="11"/>
      <c r="I625" s="11"/>
      <c r="J625" s="11"/>
      <c r="K625" s="11"/>
      <c r="L625" s="11"/>
      <c r="M625" s="755"/>
      <c r="N625" s="11"/>
      <c r="O625" s="11"/>
      <c r="P625" s="11"/>
      <c r="Q625" s="11"/>
      <c r="R625" s="11"/>
      <c r="S625" s="11"/>
      <c r="T625" s="11"/>
      <c r="U625" s="11"/>
      <c r="V625" s="11"/>
      <c r="W625" s="11"/>
      <c r="X625" s="11"/>
    </row>
    <row r="626" ht="13.5" customHeight="1">
      <c r="A626" s="11"/>
      <c r="B626" s="177" t="s">
        <v>1605</v>
      </c>
      <c r="C626" s="1385">
        <v>500.0</v>
      </c>
      <c r="D626" s="1267">
        <f t="shared" si="44"/>
        <v>200</v>
      </c>
      <c r="E626" s="441" t="s">
        <v>82</v>
      </c>
      <c r="F626" s="11"/>
      <c r="G626" s="11"/>
      <c r="H626" s="11"/>
      <c r="I626" s="11"/>
      <c r="J626" s="11"/>
      <c r="K626" s="11"/>
      <c r="L626" s="11"/>
      <c r="M626" s="755"/>
      <c r="N626" s="11"/>
      <c r="O626" s="11"/>
      <c r="P626" s="11"/>
      <c r="Q626" s="11"/>
      <c r="R626" s="11"/>
      <c r="S626" s="11"/>
      <c r="T626" s="11"/>
      <c r="U626" s="11"/>
      <c r="V626" s="11"/>
      <c r="W626" s="11"/>
      <c r="X626" s="11"/>
    </row>
    <row r="627" ht="15.0" customHeight="1">
      <c r="A627" s="11"/>
      <c r="B627" s="177" t="s">
        <v>1606</v>
      </c>
      <c r="C627" s="1385">
        <v>150.0</v>
      </c>
      <c r="D627" s="1267">
        <f t="shared" si="44"/>
        <v>60</v>
      </c>
      <c r="E627" s="441" t="s">
        <v>18</v>
      </c>
      <c r="F627" s="11"/>
      <c r="G627" s="11"/>
      <c r="H627" s="11"/>
      <c r="I627" s="11"/>
      <c r="J627" s="11"/>
      <c r="K627" s="11"/>
      <c r="L627" s="11"/>
      <c r="M627" s="755"/>
      <c r="N627" s="11"/>
      <c r="O627" s="11"/>
      <c r="P627" s="11"/>
      <c r="Q627" s="11"/>
      <c r="R627" s="11"/>
      <c r="S627" s="11"/>
      <c r="T627" s="11"/>
      <c r="U627" s="11"/>
      <c r="V627" s="11"/>
      <c r="W627" s="11"/>
      <c r="X627" s="11"/>
    </row>
    <row r="628" ht="13.5" customHeight="1">
      <c r="A628" s="11"/>
      <c r="B628" s="177" t="s">
        <v>103</v>
      </c>
      <c r="C628" s="1385">
        <v>200.0</v>
      </c>
      <c r="D628" s="1267">
        <f t="shared" si="44"/>
        <v>80</v>
      </c>
      <c r="E628" s="441" t="s">
        <v>18</v>
      </c>
      <c r="F628" s="11"/>
      <c r="G628" s="11"/>
      <c r="H628" s="11"/>
      <c r="I628" s="11"/>
      <c r="J628" s="11"/>
      <c r="K628" s="11"/>
      <c r="L628" s="11"/>
      <c r="M628" s="755"/>
      <c r="N628" s="11"/>
      <c r="O628" s="11"/>
      <c r="P628" s="11"/>
      <c r="Q628" s="11"/>
      <c r="R628" s="11"/>
      <c r="S628" s="11"/>
      <c r="T628" s="11"/>
      <c r="U628" s="11"/>
      <c r="V628" s="11"/>
      <c r="W628" s="11"/>
      <c r="X628" s="11"/>
    </row>
    <row r="629" ht="15.0" customHeight="1">
      <c r="A629" s="11"/>
      <c r="B629" s="177" t="s">
        <v>149</v>
      </c>
      <c r="C629" s="1385">
        <v>200.0</v>
      </c>
      <c r="D629" s="1267">
        <f t="shared" si="44"/>
        <v>80</v>
      </c>
      <c r="E629" s="441" t="s">
        <v>18</v>
      </c>
      <c r="F629" s="11"/>
      <c r="G629" s="11"/>
      <c r="H629" s="11"/>
      <c r="I629" s="11"/>
      <c r="J629" s="11"/>
      <c r="K629" s="11"/>
      <c r="L629" s="11"/>
      <c r="M629" s="755"/>
      <c r="N629" s="11"/>
      <c r="O629" s="11"/>
      <c r="P629" s="11"/>
      <c r="Q629" s="11"/>
      <c r="R629" s="11"/>
      <c r="S629" s="11"/>
      <c r="T629" s="11"/>
      <c r="U629" s="11"/>
      <c r="V629" s="11"/>
      <c r="W629" s="11"/>
      <c r="X629" s="11"/>
    </row>
    <row r="630" ht="13.5" customHeight="1">
      <c r="A630" s="11"/>
      <c r="B630" s="177" t="s">
        <v>1608</v>
      </c>
      <c r="C630" s="1385">
        <v>2.5</v>
      </c>
      <c r="D630" s="1267">
        <f t="shared" si="44"/>
        <v>1</v>
      </c>
      <c r="E630" s="441" t="s">
        <v>366</v>
      </c>
      <c r="F630" s="11"/>
      <c r="G630" s="11"/>
      <c r="H630" s="11"/>
      <c r="I630" s="11"/>
      <c r="J630" s="11"/>
      <c r="K630" s="11"/>
      <c r="L630" s="11"/>
      <c r="M630" s="755"/>
      <c r="N630" s="11"/>
      <c r="O630" s="11"/>
      <c r="P630" s="11"/>
      <c r="Q630" s="11"/>
      <c r="R630" s="11"/>
      <c r="S630" s="11"/>
      <c r="T630" s="11"/>
      <c r="U630" s="11"/>
      <c r="V630" s="11"/>
      <c r="W630" s="11"/>
      <c r="X630" s="11"/>
    </row>
    <row r="631" ht="13.5" customHeight="1">
      <c r="A631" s="11"/>
      <c r="B631" s="177" t="s">
        <v>1609</v>
      </c>
      <c r="C631" s="1385">
        <v>2.5</v>
      </c>
      <c r="D631" s="1267">
        <f t="shared" si="44"/>
        <v>1</v>
      </c>
      <c r="E631" s="441" t="s">
        <v>366</v>
      </c>
      <c r="F631" s="11"/>
      <c r="G631" s="11"/>
      <c r="H631" s="11"/>
      <c r="I631" s="11"/>
      <c r="J631" s="11"/>
      <c r="K631" s="11"/>
      <c r="L631" s="11"/>
      <c r="M631" s="755"/>
      <c r="N631" s="11"/>
      <c r="O631" s="11"/>
      <c r="P631" s="11"/>
      <c r="Q631" s="11"/>
      <c r="R631" s="11"/>
      <c r="S631" s="11"/>
      <c r="T631" s="11"/>
      <c r="U631" s="11"/>
      <c r="V631" s="11"/>
      <c r="W631" s="11"/>
      <c r="X631" s="11"/>
    </row>
    <row r="632" ht="13.5" customHeight="1">
      <c r="A632" s="11"/>
      <c r="B632" s="177" t="s">
        <v>1610</v>
      </c>
      <c r="C632" s="1385">
        <v>2.5</v>
      </c>
      <c r="D632" s="1267">
        <f t="shared" si="44"/>
        <v>1</v>
      </c>
      <c r="E632" s="441" t="s">
        <v>366</v>
      </c>
      <c r="F632" s="11"/>
      <c r="G632" s="11"/>
      <c r="H632" s="11"/>
      <c r="I632" s="11"/>
      <c r="J632" s="11"/>
      <c r="K632" s="11"/>
      <c r="L632" s="11"/>
      <c r="M632" s="755"/>
      <c r="N632" s="11"/>
      <c r="O632" s="11"/>
      <c r="P632" s="11"/>
      <c r="Q632" s="11"/>
      <c r="R632" s="11"/>
      <c r="S632" s="11"/>
      <c r="T632" s="11"/>
      <c r="U632" s="11"/>
      <c r="V632" s="11"/>
      <c r="W632" s="11"/>
      <c r="X632" s="11"/>
    </row>
    <row r="633" ht="13.5" customHeight="1">
      <c r="A633" s="11"/>
      <c r="B633" s="262" t="s">
        <v>1611</v>
      </c>
      <c r="C633" s="1386">
        <v>1000.0</v>
      </c>
      <c r="D633" s="1267">
        <f t="shared" si="44"/>
        <v>400</v>
      </c>
      <c r="E633" s="1268" t="s">
        <v>18</v>
      </c>
      <c r="F633" s="11"/>
      <c r="G633" s="11"/>
      <c r="H633" s="11"/>
      <c r="I633" s="11"/>
      <c r="J633" s="11"/>
      <c r="K633" s="11"/>
      <c r="L633" s="11"/>
      <c r="M633" s="755"/>
      <c r="N633" s="11"/>
      <c r="O633" s="11"/>
      <c r="P633" s="11"/>
      <c r="Q633" s="11"/>
      <c r="R633" s="11"/>
      <c r="S633" s="11"/>
      <c r="T633" s="11"/>
      <c r="U633" s="11"/>
      <c r="V633" s="11"/>
      <c r="W633" s="11"/>
      <c r="X633" s="11"/>
    </row>
    <row r="634" ht="13.5" customHeight="1">
      <c r="A634" s="11"/>
      <c r="B634" s="458" t="s">
        <v>114</v>
      </c>
      <c r="C634" s="1393">
        <v>2.5</v>
      </c>
      <c r="D634" s="780">
        <f t="shared" si="44"/>
        <v>1</v>
      </c>
      <c r="E634" s="1394" t="s">
        <v>5</v>
      </c>
      <c r="F634" s="11"/>
      <c r="G634" s="11"/>
      <c r="H634" s="11"/>
      <c r="I634" s="11"/>
      <c r="J634" s="11"/>
      <c r="K634" s="11"/>
      <c r="L634" s="11"/>
      <c r="M634" s="755"/>
      <c r="N634" s="11"/>
      <c r="O634" s="11"/>
      <c r="P634" s="11"/>
      <c r="Q634" s="11"/>
      <c r="R634" s="11"/>
      <c r="S634" s="11"/>
      <c r="T634" s="11"/>
      <c r="U634" s="11"/>
      <c r="V634" s="11"/>
      <c r="W634" s="11"/>
      <c r="X634" s="11"/>
    </row>
    <row r="635" ht="13.5" customHeight="1">
      <c r="A635" s="11"/>
      <c r="B635" s="220" t="s">
        <v>42</v>
      </c>
      <c r="C635" s="11"/>
      <c r="D635" s="11"/>
      <c r="E635" s="11"/>
      <c r="F635" s="11"/>
      <c r="G635" s="11"/>
      <c r="H635" s="11"/>
      <c r="I635" s="11"/>
      <c r="J635" s="11"/>
      <c r="K635" s="11"/>
      <c r="L635" s="11"/>
      <c r="M635" s="755"/>
      <c r="N635" s="11"/>
      <c r="O635" s="11"/>
      <c r="P635" s="11"/>
      <c r="Q635" s="11"/>
      <c r="R635" s="11"/>
      <c r="S635" s="11"/>
      <c r="T635" s="11"/>
      <c r="U635" s="11"/>
      <c r="V635" s="11"/>
      <c r="W635" s="11"/>
      <c r="X635" s="11"/>
    </row>
    <row r="636" ht="13.5" customHeight="1">
      <c r="A636" s="11"/>
      <c r="B636" s="203" t="s">
        <v>120</v>
      </c>
      <c r="C636" s="11"/>
      <c r="D636" s="11"/>
      <c r="E636" s="11"/>
      <c r="F636" s="11"/>
      <c r="G636" s="11"/>
      <c r="H636" s="11"/>
      <c r="I636" s="11"/>
      <c r="J636" s="11"/>
      <c r="K636" s="11"/>
      <c r="L636" s="11"/>
      <c r="M636" s="755"/>
      <c r="N636" s="11"/>
      <c r="O636" s="11"/>
      <c r="P636" s="11"/>
      <c r="Q636" s="11"/>
      <c r="R636" s="11"/>
      <c r="S636" s="11"/>
      <c r="T636" s="11"/>
      <c r="U636" s="11"/>
      <c r="V636" s="11"/>
      <c r="W636" s="11"/>
      <c r="X636" s="11"/>
    </row>
    <row r="637" ht="13.5" customHeight="1">
      <c r="A637" s="11"/>
      <c r="B637" s="203" t="s">
        <v>50</v>
      </c>
      <c r="C637" s="11"/>
      <c r="D637" s="11"/>
      <c r="E637" s="11"/>
      <c r="F637" s="11"/>
      <c r="G637" s="11"/>
      <c r="H637" s="11"/>
      <c r="I637" s="11"/>
      <c r="J637" s="11"/>
      <c r="K637" s="11"/>
      <c r="L637" s="11"/>
      <c r="M637" s="755"/>
      <c r="N637" s="11"/>
      <c r="O637" s="11"/>
      <c r="P637" s="11"/>
      <c r="Q637" s="11"/>
      <c r="R637" s="11"/>
      <c r="S637" s="11"/>
      <c r="T637" s="11"/>
      <c r="U637" s="11"/>
      <c r="V637" s="11"/>
      <c r="W637" s="11"/>
      <c r="X637" s="11"/>
    </row>
    <row r="638" ht="13.5" customHeight="1">
      <c r="A638" s="11"/>
      <c r="B638" s="11"/>
      <c r="C638" s="11"/>
      <c r="D638" s="11"/>
      <c r="E638" s="11"/>
      <c r="F638" s="11"/>
      <c r="G638" s="11"/>
      <c r="H638" s="11"/>
      <c r="I638" s="11"/>
      <c r="J638" s="11"/>
      <c r="K638" s="11"/>
      <c r="L638" s="11"/>
      <c r="M638" s="755"/>
      <c r="N638" s="11"/>
      <c r="O638" s="11"/>
      <c r="P638" s="11"/>
      <c r="Q638" s="11"/>
      <c r="R638" s="11"/>
      <c r="S638" s="11"/>
      <c r="T638" s="11"/>
      <c r="U638" s="11"/>
      <c r="V638" s="11"/>
      <c r="W638" s="11"/>
      <c r="X638" s="11"/>
    </row>
    <row r="639" ht="13.5" customHeight="1">
      <c r="A639" s="11"/>
      <c r="B639" s="11"/>
      <c r="C639" s="11"/>
      <c r="D639" s="11"/>
      <c r="E639" s="11"/>
      <c r="F639" s="11"/>
      <c r="G639" s="11"/>
      <c r="H639" s="11"/>
      <c r="I639" s="11"/>
      <c r="J639" s="11"/>
      <c r="K639" s="11"/>
      <c r="L639" s="11"/>
      <c r="M639" s="755"/>
      <c r="N639" s="11"/>
      <c r="O639" s="11"/>
      <c r="P639" s="11"/>
      <c r="Q639" s="11"/>
      <c r="R639" s="11"/>
      <c r="S639" s="11"/>
      <c r="T639" s="11"/>
      <c r="U639" s="11"/>
      <c r="V639" s="11"/>
      <c r="W639" s="11"/>
      <c r="X639" s="11"/>
    </row>
    <row r="640" ht="13.5" customHeight="1">
      <c r="A640" s="11"/>
      <c r="B640" s="766" t="s">
        <v>1612</v>
      </c>
      <c r="C640" s="18"/>
      <c r="D640" s="18"/>
      <c r="E640" s="19"/>
      <c r="F640" s="11"/>
      <c r="G640" s="11"/>
      <c r="H640" s="11"/>
      <c r="I640" s="11"/>
      <c r="J640" s="11"/>
      <c r="K640" s="11"/>
      <c r="L640" s="11"/>
      <c r="M640" s="755"/>
      <c r="N640" s="11"/>
      <c r="O640" s="11"/>
      <c r="P640" s="11"/>
      <c r="Q640" s="11"/>
      <c r="R640" s="11"/>
      <c r="S640" s="11"/>
      <c r="T640" s="11"/>
      <c r="U640" s="11"/>
      <c r="V640" s="11"/>
      <c r="W640" s="11"/>
      <c r="X640" s="11"/>
    </row>
    <row r="641" ht="13.5" customHeight="1">
      <c r="A641" s="11"/>
      <c r="B641" s="360" t="s">
        <v>1</v>
      </c>
      <c r="C641" s="1395">
        <v>45.0</v>
      </c>
      <c r="D641" s="1396">
        <v>30.0</v>
      </c>
      <c r="E641" s="1397" t="s">
        <v>5</v>
      </c>
      <c r="F641" s="11"/>
      <c r="G641" s="11"/>
      <c r="H641" s="11"/>
      <c r="I641" s="11"/>
      <c r="J641" s="11"/>
      <c r="K641" s="11"/>
      <c r="L641" s="11"/>
      <c r="M641" s="755"/>
      <c r="N641" s="11"/>
      <c r="O641" s="11"/>
      <c r="P641" s="11"/>
      <c r="Q641" s="11"/>
      <c r="R641" s="11"/>
      <c r="S641" s="11"/>
      <c r="T641" s="11"/>
      <c r="U641" s="11"/>
      <c r="V641" s="11"/>
      <c r="W641" s="11"/>
      <c r="X641" s="11"/>
    </row>
    <row r="642" ht="13.5" customHeight="1">
      <c r="A642" s="11"/>
      <c r="B642" s="68" t="s">
        <v>491</v>
      </c>
      <c r="C642" s="210">
        <v>0.3</v>
      </c>
      <c r="D642" s="722">
        <f t="shared" ref="D642:D665" si="45">(C642*D641)/C641</f>
        <v>0.2</v>
      </c>
      <c r="E642" s="1398" t="s">
        <v>5</v>
      </c>
      <c r="F642" s="11"/>
      <c r="G642" s="11"/>
      <c r="H642" s="11"/>
      <c r="I642" s="11"/>
      <c r="J642" s="11"/>
      <c r="K642" s="11"/>
      <c r="L642" s="11"/>
      <c r="M642" s="755"/>
      <c r="N642" s="11"/>
      <c r="O642" s="11"/>
      <c r="P642" s="11"/>
      <c r="Q642" s="11"/>
      <c r="R642" s="11"/>
      <c r="S642" s="11"/>
      <c r="T642" s="11"/>
      <c r="U642" s="11"/>
      <c r="V642" s="11"/>
      <c r="W642" s="11"/>
      <c r="X642" s="11"/>
    </row>
    <row r="643" ht="13.5" customHeight="1">
      <c r="A643" s="11"/>
      <c r="B643" s="93" t="s">
        <v>1205</v>
      </c>
      <c r="C643" s="247">
        <v>150.0</v>
      </c>
      <c r="D643" s="712">
        <f t="shared" si="45"/>
        <v>100</v>
      </c>
      <c r="E643" s="1399" t="s">
        <v>18</v>
      </c>
      <c r="F643" s="11"/>
      <c r="G643" s="11"/>
      <c r="H643" s="11"/>
      <c r="I643" s="11"/>
      <c r="J643" s="11"/>
      <c r="K643" s="11"/>
      <c r="L643" s="11"/>
      <c r="M643" s="755"/>
      <c r="N643" s="11"/>
      <c r="O643" s="11"/>
      <c r="P643" s="11"/>
      <c r="Q643" s="11"/>
      <c r="R643" s="11"/>
      <c r="S643" s="11"/>
      <c r="T643" s="11"/>
      <c r="U643" s="11"/>
      <c r="V643" s="11"/>
      <c r="W643" s="11"/>
      <c r="X643" s="11"/>
    </row>
    <row r="644" ht="13.5" customHeight="1">
      <c r="A644" s="11"/>
      <c r="B644" s="93" t="s">
        <v>1615</v>
      </c>
      <c r="C644" s="247">
        <v>100.0</v>
      </c>
      <c r="D644" s="712">
        <f t="shared" si="45"/>
        <v>66.66666667</v>
      </c>
      <c r="E644" s="1399" t="s">
        <v>18</v>
      </c>
      <c r="F644" s="11"/>
      <c r="G644" s="11"/>
      <c r="H644" s="11"/>
      <c r="I644" s="11"/>
      <c r="J644" s="11"/>
      <c r="K644" s="11"/>
      <c r="L644" s="11"/>
      <c r="M644" s="755"/>
      <c r="N644" s="11"/>
      <c r="O644" s="11"/>
      <c r="P644" s="11"/>
      <c r="Q644" s="11"/>
      <c r="R644" s="11"/>
      <c r="S644" s="11"/>
      <c r="T644" s="11"/>
      <c r="U644" s="11"/>
      <c r="V644" s="11"/>
      <c r="W644" s="11"/>
      <c r="X644" s="11"/>
    </row>
    <row r="645" ht="13.5" customHeight="1">
      <c r="A645" s="11"/>
      <c r="B645" s="93" t="s">
        <v>97</v>
      </c>
      <c r="C645" s="247">
        <v>30.0</v>
      </c>
      <c r="D645" s="712">
        <f t="shared" si="45"/>
        <v>20</v>
      </c>
      <c r="E645" s="1399" t="s">
        <v>18</v>
      </c>
      <c r="F645" s="11"/>
      <c r="G645" s="11"/>
      <c r="H645" s="11"/>
      <c r="I645" s="11"/>
      <c r="J645" s="11"/>
      <c r="K645" s="11"/>
      <c r="L645" s="11"/>
      <c r="M645" s="755"/>
      <c r="N645" s="11"/>
      <c r="O645" s="11"/>
      <c r="P645" s="11"/>
      <c r="Q645" s="11"/>
      <c r="R645" s="11"/>
      <c r="S645" s="11"/>
      <c r="T645" s="11"/>
      <c r="U645" s="11"/>
      <c r="V645" s="11"/>
      <c r="W645" s="11"/>
      <c r="X645" s="11"/>
    </row>
    <row r="646" ht="13.5" customHeight="1">
      <c r="A646" s="11"/>
      <c r="B646" s="93" t="s">
        <v>98</v>
      </c>
      <c r="C646" s="247">
        <v>50.0</v>
      </c>
      <c r="D646" s="712">
        <f t="shared" si="45"/>
        <v>33.33333333</v>
      </c>
      <c r="E646" s="1399" t="s">
        <v>18</v>
      </c>
      <c r="F646" s="11"/>
      <c r="G646" s="11"/>
      <c r="H646" s="11"/>
      <c r="I646" s="11"/>
      <c r="J646" s="11"/>
      <c r="K646" s="11"/>
      <c r="L646" s="11"/>
      <c r="M646" s="755"/>
      <c r="N646" s="11"/>
      <c r="O646" s="11"/>
      <c r="P646" s="11"/>
      <c r="Q646" s="11"/>
      <c r="R646" s="11"/>
      <c r="S646" s="11"/>
      <c r="T646" s="11"/>
      <c r="U646" s="11"/>
      <c r="V646" s="11"/>
      <c r="W646" s="11"/>
      <c r="X646" s="11"/>
    </row>
    <row r="647" ht="13.5" customHeight="1">
      <c r="A647" s="11"/>
      <c r="B647" s="93" t="s">
        <v>1617</v>
      </c>
      <c r="C647" s="247">
        <v>250.0</v>
      </c>
      <c r="D647" s="712">
        <f t="shared" si="45"/>
        <v>166.6666667</v>
      </c>
      <c r="E647" s="1399" t="s">
        <v>18</v>
      </c>
      <c r="F647" s="11"/>
      <c r="G647" s="11"/>
      <c r="H647" s="11"/>
      <c r="I647" s="11"/>
      <c r="J647" s="11"/>
      <c r="K647" s="11"/>
      <c r="L647" s="11"/>
      <c r="M647" s="755"/>
      <c r="N647" s="11"/>
      <c r="O647" s="11"/>
      <c r="P647" s="11"/>
      <c r="Q647" s="11"/>
      <c r="R647" s="11"/>
      <c r="S647" s="11"/>
      <c r="T647" s="11"/>
      <c r="U647" s="11"/>
      <c r="V647" s="11"/>
      <c r="W647" s="11"/>
      <c r="X647" s="11"/>
    </row>
    <row r="648" ht="13.5" customHeight="1">
      <c r="A648" s="11"/>
      <c r="B648" s="93" t="s">
        <v>1204</v>
      </c>
      <c r="C648" s="247">
        <v>30.0</v>
      </c>
      <c r="D648" s="712">
        <f t="shared" si="45"/>
        <v>20</v>
      </c>
      <c r="E648" s="1399" t="s">
        <v>18</v>
      </c>
      <c r="F648" s="11"/>
      <c r="G648" s="11"/>
      <c r="H648" s="11"/>
      <c r="I648" s="11"/>
      <c r="J648" s="11"/>
      <c r="K648" s="11"/>
      <c r="L648" s="11"/>
      <c r="M648" s="755"/>
      <c r="N648" s="11"/>
      <c r="O648" s="11"/>
      <c r="P648" s="11"/>
      <c r="Q648" s="11"/>
      <c r="R648" s="11"/>
      <c r="S648" s="11"/>
      <c r="T648" s="11"/>
      <c r="U648" s="11"/>
      <c r="V648" s="11"/>
      <c r="W648" s="11"/>
      <c r="X648" s="11"/>
    </row>
    <row r="649" ht="13.5" customHeight="1">
      <c r="A649" s="11"/>
      <c r="B649" s="93" t="s">
        <v>1618</v>
      </c>
      <c r="C649" s="247">
        <v>200.0</v>
      </c>
      <c r="D649" s="712">
        <f t="shared" si="45"/>
        <v>133.3333333</v>
      </c>
      <c r="E649" s="1399" t="s">
        <v>18</v>
      </c>
      <c r="F649" s="11"/>
      <c r="G649" s="11"/>
      <c r="H649" s="11"/>
      <c r="I649" s="11"/>
      <c r="J649" s="11"/>
      <c r="K649" s="11"/>
      <c r="L649" s="11"/>
      <c r="M649" s="755"/>
      <c r="N649" s="11"/>
      <c r="O649" s="11"/>
      <c r="P649" s="11"/>
      <c r="Q649" s="11"/>
      <c r="R649" s="11"/>
      <c r="S649" s="11"/>
      <c r="T649" s="11"/>
      <c r="U649" s="11"/>
      <c r="V649" s="11"/>
      <c r="W649" s="11"/>
      <c r="X649" s="11"/>
    </row>
    <row r="650" ht="13.5" customHeight="1">
      <c r="A650" s="11"/>
      <c r="B650" s="93" t="s">
        <v>1244</v>
      </c>
      <c r="C650" s="247">
        <v>50.0</v>
      </c>
      <c r="D650" s="712">
        <f t="shared" si="45"/>
        <v>33.33333333</v>
      </c>
      <c r="E650" s="1399" t="s">
        <v>18</v>
      </c>
      <c r="F650" s="11"/>
      <c r="G650" s="11"/>
      <c r="H650" s="11"/>
      <c r="I650" s="11"/>
      <c r="J650" s="11"/>
      <c r="K650" s="11"/>
      <c r="L650" s="11"/>
      <c r="M650" s="755"/>
      <c r="N650" s="11"/>
      <c r="O650" s="11"/>
      <c r="P650" s="11"/>
      <c r="Q650" s="11"/>
      <c r="R650" s="11"/>
      <c r="S650" s="11"/>
      <c r="T650" s="11"/>
      <c r="U650" s="11"/>
      <c r="V650" s="11"/>
      <c r="W650" s="11"/>
      <c r="X650" s="11"/>
    </row>
    <row r="651" ht="13.5" customHeight="1">
      <c r="A651" s="11"/>
      <c r="B651" s="93" t="s">
        <v>1243</v>
      </c>
      <c r="C651" s="247">
        <v>25.0</v>
      </c>
      <c r="D651" s="712">
        <f t="shared" si="45"/>
        <v>16.66666667</v>
      </c>
      <c r="E651" s="1399" t="s">
        <v>18</v>
      </c>
      <c r="F651" s="11"/>
      <c r="G651" s="11"/>
      <c r="H651" s="11"/>
      <c r="I651" s="11"/>
      <c r="J651" s="11"/>
      <c r="K651" s="11"/>
      <c r="L651" s="11"/>
      <c r="M651" s="755"/>
      <c r="N651" s="11"/>
      <c r="O651" s="11"/>
      <c r="P651" s="11"/>
      <c r="Q651" s="11"/>
      <c r="R651" s="11"/>
      <c r="S651" s="11"/>
      <c r="T651" s="11"/>
      <c r="U651" s="11"/>
      <c r="V651" s="11"/>
      <c r="W651" s="11"/>
      <c r="X651" s="11"/>
    </row>
    <row r="652" ht="13.5" customHeight="1">
      <c r="A652" s="11"/>
      <c r="B652" s="93" t="s">
        <v>149</v>
      </c>
      <c r="C652" s="247">
        <v>100.0</v>
      </c>
      <c r="D652" s="712">
        <f t="shared" si="45"/>
        <v>66.66666667</v>
      </c>
      <c r="E652" s="1399" t="s">
        <v>18</v>
      </c>
      <c r="F652" s="11"/>
      <c r="G652" s="11"/>
      <c r="H652" s="11"/>
      <c r="I652" s="11"/>
      <c r="J652" s="11"/>
      <c r="K652" s="11"/>
      <c r="L652" s="11"/>
      <c r="M652" s="755"/>
      <c r="N652" s="11"/>
      <c r="O652" s="11"/>
      <c r="P652" s="11"/>
      <c r="Q652" s="11"/>
      <c r="R652" s="11"/>
      <c r="S652" s="11"/>
      <c r="T652" s="11"/>
      <c r="U652" s="11"/>
      <c r="V652" s="11"/>
      <c r="W652" s="11"/>
      <c r="X652" s="11"/>
    </row>
    <row r="653" ht="13.5" customHeight="1">
      <c r="A653" s="11"/>
      <c r="B653" s="93" t="s">
        <v>103</v>
      </c>
      <c r="C653" s="247">
        <v>10.0</v>
      </c>
      <c r="D653" s="712">
        <f t="shared" si="45"/>
        <v>6.666666667</v>
      </c>
      <c r="E653" s="1399" t="s">
        <v>18</v>
      </c>
      <c r="F653" s="11"/>
      <c r="G653" s="11"/>
      <c r="H653" s="11"/>
      <c r="I653" s="11"/>
      <c r="J653" s="11"/>
      <c r="K653" s="11"/>
      <c r="L653" s="11"/>
      <c r="M653" s="755"/>
      <c r="N653" s="11"/>
      <c r="O653" s="11"/>
      <c r="P653" s="11"/>
      <c r="Q653" s="11"/>
      <c r="R653" s="11"/>
      <c r="S653" s="11"/>
      <c r="T653" s="11"/>
      <c r="U653" s="11"/>
      <c r="V653" s="11"/>
      <c r="W653" s="11"/>
      <c r="X653" s="11"/>
    </row>
    <row r="654" ht="13.5" customHeight="1">
      <c r="A654" s="11"/>
      <c r="B654" s="93" t="s">
        <v>1619</v>
      </c>
      <c r="C654" s="247">
        <v>0.8</v>
      </c>
      <c r="D654" s="712">
        <f t="shared" si="45"/>
        <v>0.5333333333</v>
      </c>
      <c r="E654" s="1399" t="s">
        <v>366</v>
      </c>
      <c r="F654" s="11"/>
      <c r="G654" s="11"/>
      <c r="H654" s="11"/>
      <c r="I654" s="11"/>
      <c r="J654" s="11"/>
      <c r="K654" s="11"/>
      <c r="L654" s="11"/>
      <c r="M654" s="755"/>
      <c r="N654" s="11"/>
      <c r="O654" s="11"/>
      <c r="P654" s="11"/>
      <c r="Q654" s="11"/>
      <c r="R654" s="11"/>
      <c r="S654" s="11"/>
      <c r="T654" s="11"/>
      <c r="U654" s="11"/>
      <c r="V654" s="11"/>
      <c r="W654" s="11"/>
      <c r="X654" s="11"/>
    </row>
    <row r="655" ht="13.5" customHeight="1">
      <c r="A655" s="11"/>
      <c r="B655" s="105" t="s">
        <v>1620</v>
      </c>
      <c r="C655" s="522">
        <v>4.0</v>
      </c>
      <c r="D655" s="724">
        <f t="shared" si="45"/>
        <v>2.666666667</v>
      </c>
      <c r="E655" s="1403" t="s">
        <v>999</v>
      </c>
      <c r="F655" s="11"/>
      <c r="G655" s="11"/>
      <c r="H655" s="11"/>
      <c r="I655" s="11"/>
      <c r="J655" s="11"/>
      <c r="K655" s="11"/>
      <c r="L655" s="11"/>
      <c r="M655" s="755"/>
      <c r="N655" s="11"/>
      <c r="O655" s="11"/>
      <c r="P655" s="11"/>
      <c r="Q655" s="11"/>
      <c r="R655" s="11"/>
      <c r="S655" s="11"/>
      <c r="T655" s="11"/>
      <c r="U655" s="11"/>
      <c r="V655" s="11"/>
      <c r="W655" s="11"/>
      <c r="X655" s="11"/>
    </row>
    <row r="656" ht="13.5" customHeight="1">
      <c r="A656" s="11"/>
      <c r="B656" s="68" t="s">
        <v>792</v>
      </c>
      <c r="C656" s="210">
        <v>2.0</v>
      </c>
      <c r="D656" s="722">
        <f t="shared" si="45"/>
        <v>1.333333333</v>
      </c>
      <c r="E656" s="1398" t="s">
        <v>366</v>
      </c>
      <c r="F656" s="11"/>
      <c r="G656" s="11"/>
      <c r="H656" s="11"/>
      <c r="I656" s="11"/>
      <c r="J656" s="11"/>
      <c r="K656" s="11"/>
      <c r="L656" s="11"/>
      <c r="M656" s="755"/>
      <c r="N656" s="11"/>
      <c r="O656" s="11"/>
      <c r="P656" s="11"/>
      <c r="Q656" s="11"/>
      <c r="R656" s="11"/>
      <c r="S656" s="11"/>
      <c r="T656" s="11"/>
      <c r="U656" s="11"/>
      <c r="V656" s="11"/>
      <c r="W656" s="11"/>
      <c r="X656" s="11"/>
    </row>
    <row r="657" ht="13.5" customHeight="1">
      <c r="A657" s="11"/>
      <c r="B657" s="93" t="s">
        <v>1165</v>
      </c>
      <c r="C657" s="247">
        <v>6.0</v>
      </c>
      <c r="D657" s="712">
        <f t="shared" si="45"/>
        <v>4</v>
      </c>
      <c r="E657" s="1399" t="s">
        <v>366</v>
      </c>
      <c r="F657" s="11"/>
      <c r="G657" s="11"/>
      <c r="H657" s="11"/>
      <c r="I657" s="11"/>
      <c r="J657" s="11"/>
      <c r="K657" s="11"/>
      <c r="L657" s="11"/>
      <c r="M657" s="755"/>
      <c r="N657" s="11"/>
      <c r="O657" s="11"/>
      <c r="P657" s="11"/>
      <c r="Q657" s="11"/>
      <c r="R657" s="11"/>
      <c r="S657" s="11"/>
      <c r="T657" s="11"/>
      <c r="U657" s="11"/>
      <c r="V657" s="11"/>
      <c r="W657" s="11"/>
      <c r="X657" s="11"/>
    </row>
    <row r="658" ht="13.5" customHeight="1">
      <c r="A658" s="11"/>
      <c r="B658" s="93" t="s">
        <v>1250</v>
      </c>
      <c r="C658" s="247">
        <v>4.0</v>
      </c>
      <c r="D658" s="712">
        <f t="shared" si="45"/>
        <v>2.666666667</v>
      </c>
      <c r="E658" s="1399" t="s">
        <v>366</v>
      </c>
      <c r="F658" s="11"/>
      <c r="G658" s="11"/>
      <c r="H658" s="11"/>
      <c r="I658" s="11"/>
      <c r="J658" s="11"/>
      <c r="K658" s="11"/>
      <c r="L658" s="11"/>
      <c r="M658" s="755"/>
      <c r="N658" s="11"/>
      <c r="O658" s="11"/>
      <c r="P658" s="11"/>
      <c r="Q658" s="11"/>
      <c r="R658" s="11"/>
      <c r="S658" s="11"/>
      <c r="T658" s="11"/>
      <c r="U658" s="11"/>
      <c r="V658" s="11"/>
      <c r="W658" s="11"/>
      <c r="X658" s="11"/>
    </row>
    <row r="659" ht="13.5" customHeight="1">
      <c r="A659" s="11"/>
      <c r="B659" s="93" t="s">
        <v>1621</v>
      </c>
      <c r="C659" s="247">
        <v>8.0</v>
      </c>
      <c r="D659" s="712">
        <f t="shared" si="45"/>
        <v>5.333333333</v>
      </c>
      <c r="E659" s="1399" t="s">
        <v>366</v>
      </c>
      <c r="F659" s="11"/>
      <c r="G659" s="11"/>
      <c r="H659" s="11"/>
      <c r="I659" s="11"/>
      <c r="J659" s="11"/>
      <c r="K659" s="11"/>
      <c r="L659" s="11"/>
      <c r="M659" s="755"/>
      <c r="N659" s="11"/>
      <c r="O659" s="11"/>
      <c r="P659" s="11"/>
      <c r="Q659" s="11"/>
      <c r="R659" s="11"/>
      <c r="S659" s="11"/>
      <c r="T659" s="11"/>
      <c r="U659" s="11"/>
      <c r="V659" s="11"/>
      <c r="W659" s="11"/>
      <c r="X659" s="11"/>
    </row>
    <row r="660" ht="13.5" customHeight="1">
      <c r="A660" s="11"/>
      <c r="B660" s="93" t="s">
        <v>80</v>
      </c>
      <c r="C660" s="247">
        <v>1.4</v>
      </c>
      <c r="D660" s="712">
        <f t="shared" si="45"/>
        <v>0.9333333333</v>
      </c>
      <c r="E660" s="1399" t="s">
        <v>366</v>
      </c>
      <c r="F660" s="11"/>
      <c r="G660" s="11"/>
      <c r="H660" s="11"/>
      <c r="I660" s="11"/>
      <c r="J660" s="11"/>
      <c r="K660" s="11"/>
      <c r="L660" s="11"/>
      <c r="M660" s="755"/>
      <c r="N660" s="11"/>
      <c r="O660" s="11"/>
      <c r="P660" s="11"/>
      <c r="Q660" s="11"/>
      <c r="R660" s="11"/>
      <c r="S660" s="11"/>
      <c r="T660" s="11"/>
      <c r="U660" s="11"/>
      <c r="V660" s="11"/>
      <c r="W660" s="11"/>
      <c r="X660" s="11"/>
    </row>
    <row r="661" ht="15.0" customHeight="1">
      <c r="A661" s="11"/>
      <c r="B661" s="105" t="s">
        <v>31</v>
      </c>
      <c r="C661" s="522">
        <v>540.0</v>
      </c>
      <c r="D661" s="724">
        <f t="shared" si="45"/>
        <v>360</v>
      </c>
      <c r="E661" s="1403" t="s">
        <v>18</v>
      </c>
      <c r="F661" s="11"/>
      <c r="G661" s="11"/>
      <c r="H661" s="11"/>
      <c r="I661" s="11"/>
      <c r="J661" s="11"/>
      <c r="K661" s="11"/>
      <c r="L661" s="11"/>
      <c r="M661" s="755"/>
      <c r="N661" s="11"/>
      <c r="O661" s="11"/>
      <c r="P661" s="11"/>
      <c r="Q661" s="11"/>
      <c r="R661" s="11"/>
      <c r="S661" s="11"/>
      <c r="T661" s="11"/>
      <c r="U661" s="11"/>
      <c r="V661" s="11"/>
      <c r="W661" s="11"/>
      <c r="X661" s="11"/>
    </row>
    <row r="662" ht="13.5" customHeight="1">
      <c r="A662" s="11"/>
      <c r="B662" s="119" t="s">
        <v>491</v>
      </c>
      <c r="C662" s="523">
        <v>0.3</v>
      </c>
      <c r="D662" s="1390">
        <f t="shared" si="45"/>
        <v>0.2</v>
      </c>
      <c r="E662" s="1405" t="s">
        <v>5</v>
      </c>
      <c r="F662" s="11"/>
      <c r="G662" s="11"/>
      <c r="H662" s="11"/>
      <c r="I662" s="11"/>
      <c r="J662" s="11"/>
      <c r="K662" s="11"/>
      <c r="L662" s="11"/>
      <c r="M662" s="755"/>
      <c r="N662" s="11"/>
      <c r="O662" s="11"/>
      <c r="P662" s="11"/>
      <c r="Q662" s="11"/>
      <c r="R662" s="11"/>
      <c r="S662" s="11"/>
      <c r="T662" s="11"/>
      <c r="U662" s="11"/>
      <c r="V662" s="11"/>
      <c r="W662" s="11"/>
      <c r="X662" s="11"/>
    </row>
    <row r="663" ht="13.5" customHeight="1">
      <c r="A663" s="11"/>
      <c r="B663" s="93" t="s">
        <v>1348</v>
      </c>
      <c r="C663" s="247">
        <v>40.0</v>
      </c>
      <c r="D663" s="712">
        <f t="shared" si="45"/>
        <v>26.66666667</v>
      </c>
      <c r="E663" s="1399" t="s">
        <v>82</v>
      </c>
      <c r="F663" s="11"/>
      <c r="G663" s="11"/>
      <c r="H663" s="11"/>
      <c r="I663" s="11"/>
      <c r="J663" s="11"/>
      <c r="K663" s="11"/>
      <c r="L663" s="11"/>
      <c r="M663" s="755"/>
      <c r="N663" s="11"/>
      <c r="O663" s="11"/>
      <c r="P663" s="11"/>
      <c r="Q663" s="11"/>
      <c r="R663" s="11"/>
      <c r="S663" s="11"/>
      <c r="T663" s="11"/>
      <c r="U663" s="11"/>
      <c r="V663" s="11"/>
      <c r="W663" s="11"/>
      <c r="X663" s="11"/>
    </row>
    <row r="664" ht="15.0" customHeight="1">
      <c r="A664" s="11"/>
      <c r="B664" s="93" t="s">
        <v>1622</v>
      </c>
      <c r="C664" s="247">
        <v>10.0</v>
      </c>
      <c r="D664" s="712">
        <f t="shared" si="45"/>
        <v>6.666666667</v>
      </c>
      <c r="E664" s="1399" t="s">
        <v>18</v>
      </c>
      <c r="F664" s="11"/>
      <c r="G664" s="11"/>
      <c r="H664" s="11"/>
      <c r="I664" s="11"/>
      <c r="J664" s="11"/>
      <c r="K664" s="11"/>
      <c r="L664" s="11"/>
      <c r="M664" s="755"/>
      <c r="N664" s="11"/>
      <c r="O664" s="11"/>
      <c r="P664" s="11"/>
      <c r="Q664" s="11"/>
      <c r="R664" s="11"/>
      <c r="S664" s="11"/>
      <c r="T664" s="11"/>
      <c r="U664" s="11"/>
      <c r="V664" s="11"/>
      <c r="W664" s="11"/>
      <c r="X664" s="11"/>
    </row>
    <row r="665" ht="13.5" customHeight="1">
      <c r="A665" s="11"/>
      <c r="B665" s="105" t="s">
        <v>1623</v>
      </c>
      <c r="C665" s="522">
        <v>10.0</v>
      </c>
      <c r="D665" s="724">
        <f t="shared" si="45"/>
        <v>6.666666667</v>
      </c>
      <c r="E665" s="1403" t="s">
        <v>18</v>
      </c>
      <c r="F665" s="11"/>
      <c r="G665" s="11"/>
      <c r="H665" s="11"/>
      <c r="I665" s="11"/>
      <c r="J665" s="11"/>
      <c r="K665" s="11"/>
      <c r="L665" s="11"/>
      <c r="M665" s="755"/>
      <c r="N665" s="11"/>
      <c r="O665" s="11"/>
      <c r="P665" s="11"/>
      <c r="Q665" s="11"/>
      <c r="R665" s="11"/>
      <c r="S665" s="11"/>
      <c r="T665" s="11"/>
      <c r="U665" s="11"/>
      <c r="V665" s="11"/>
      <c r="W665" s="11"/>
      <c r="X665" s="11"/>
    </row>
    <row r="666" ht="13.5" customHeight="1">
      <c r="A666" s="11"/>
      <c r="B666" s="220" t="s">
        <v>42</v>
      </c>
      <c r="C666" s="11"/>
      <c r="D666" s="11"/>
      <c r="E666" s="11"/>
      <c r="F666" s="11"/>
      <c r="G666" s="11"/>
      <c r="H666" s="11"/>
      <c r="I666" s="11"/>
      <c r="J666" s="11"/>
      <c r="K666" s="11"/>
      <c r="L666" s="11"/>
      <c r="M666" s="755"/>
      <c r="N666" s="11"/>
      <c r="O666" s="11"/>
      <c r="P666" s="11"/>
      <c r="Q666" s="11"/>
      <c r="R666" s="11"/>
      <c r="S666" s="11"/>
      <c r="T666" s="11"/>
      <c r="U666" s="11"/>
      <c r="V666" s="11"/>
      <c r="W666" s="11"/>
      <c r="X666" s="11"/>
    </row>
    <row r="667" ht="13.5" customHeight="1">
      <c r="A667" s="11"/>
      <c r="B667" s="203" t="s">
        <v>120</v>
      </c>
      <c r="C667" s="11"/>
      <c r="D667" s="11"/>
      <c r="E667" s="11"/>
      <c r="F667" s="11"/>
      <c r="G667" s="11"/>
      <c r="H667" s="11"/>
      <c r="I667" s="11"/>
      <c r="J667" s="11"/>
      <c r="K667" s="11"/>
      <c r="L667" s="11"/>
      <c r="M667" s="755"/>
      <c r="N667" s="11"/>
      <c r="O667" s="11"/>
      <c r="P667" s="11"/>
      <c r="Q667" s="11"/>
      <c r="R667" s="11"/>
      <c r="S667" s="11"/>
      <c r="T667" s="11"/>
      <c r="U667" s="11"/>
      <c r="V667" s="11"/>
      <c r="W667" s="11"/>
      <c r="X667" s="11"/>
    </row>
    <row r="668" ht="13.5" customHeight="1">
      <c r="A668" s="11"/>
      <c r="B668" s="203" t="s">
        <v>50</v>
      </c>
      <c r="C668" s="11"/>
      <c r="D668" s="11"/>
      <c r="E668" s="11"/>
      <c r="F668" s="11"/>
      <c r="G668" s="11"/>
      <c r="H668" s="11"/>
      <c r="I668" s="11"/>
      <c r="J668" s="11"/>
      <c r="K668" s="11"/>
      <c r="L668" s="11"/>
      <c r="M668" s="755"/>
      <c r="N668" s="11"/>
      <c r="O668" s="11"/>
      <c r="P668" s="11"/>
      <c r="Q668" s="11"/>
      <c r="R668" s="11"/>
      <c r="S668" s="11"/>
      <c r="T668" s="11"/>
      <c r="U668" s="11"/>
      <c r="V668" s="11"/>
      <c r="W668" s="11"/>
      <c r="X668" s="11"/>
    </row>
    <row r="669" ht="13.5" customHeight="1">
      <c r="A669" s="11"/>
      <c r="B669" s="11"/>
      <c r="C669" s="11"/>
      <c r="D669" s="11"/>
      <c r="E669" s="11"/>
      <c r="F669" s="11"/>
      <c r="G669" s="11"/>
      <c r="H669" s="11"/>
      <c r="I669" s="11"/>
      <c r="J669" s="11"/>
      <c r="K669" s="11"/>
      <c r="L669" s="11"/>
      <c r="M669" s="755"/>
      <c r="N669" s="11"/>
      <c r="O669" s="11"/>
      <c r="P669" s="11"/>
      <c r="Q669" s="11"/>
      <c r="R669" s="11"/>
      <c r="S669" s="11"/>
      <c r="T669" s="11"/>
      <c r="U669" s="11"/>
      <c r="V669" s="11"/>
      <c r="W669" s="11"/>
      <c r="X669" s="11"/>
    </row>
    <row r="670" ht="13.5" customHeight="1">
      <c r="A670" s="11"/>
      <c r="B670" s="11"/>
      <c r="C670" s="11"/>
      <c r="D670" s="11"/>
      <c r="E670" s="11"/>
      <c r="F670" s="11"/>
      <c r="G670" s="11"/>
      <c r="H670" s="11"/>
      <c r="I670" s="11"/>
      <c r="J670" s="11"/>
      <c r="K670" s="11"/>
      <c r="L670" s="11"/>
      <c r="M670" s="755"/>
      <c r="N670" s="11"/>
      <c r="O670" s="11"/>
      <c r="P670" s="11"/>
      <c r="Q670" s="11"/>
      <c r="R670" s="11"/>
      <c r="S670" s="11"/>
      <c r="T670" s="11"/>
      <c r="U670" s="11"/>
      <c r="V670" s="11"/>
      <c r="W670" s="11"/>
      <c r="X670" s="11"/>
    </row>
    <row r="671" ht="13.5" customHeight="1">
      <c r="A671" s="11"/>
      <c r="B671" s="1086" t="s">
        <v>1624</v>
      </c>
      <c r="C671" s="18"/>
      <c r="D671" s="18"/>
      <c r="E671" s="19"/>
      <c r="F671" s="1"/>
      <c r="G671" s="11"/>
      <c r="H671" s="11"/>
      <c r="I671" s="11"/>
      <c r="J671" s="11"/>
      <c r="K671" s="11"/>
      <c r="L671" s="11"/>
      <c r="M671" s="755"/>
      <c r="N671" s="11"/>
      <c r="O671" s="11"/>
      <c r="P671" s="11"/>
      <c r="Q671" s="11"/>
      <c r="R671" s="11"/>
      <c r="S671" s="11"/>
      <c r="T671" s="11"/>
      <c r="U671" s="11"/>
      <c r="V671" s="11"/>
      <c r="W671" s="11"/>
      <c r="X671" s="11"/>
    </row>
    <row r="672" ht="13.5" customHeight="1">
      <c r="A672" s="11"/>
      <c r="B672" s="1011" t="s">
        <v>1</v>
      </c>
      <c r="C672" s="26">
        <v>100.0</v>
      </c>
      <c r="D672" s="1013">
        <v>18.0</v>
      </c>
      <c r="E672" s="1015" t="s">
        <v>5</v>
      </c>
      <c r="F672" s="610" t="s">
        <v>1625</v>
      </c>
      <c r="G672" s="11"/>
      <c r="H672" s="11"/>
      <c r="I672" s="11"/>
      <c r="J672" s="11"/>
      <c r="K672" s="11"/>
      <c r="L672" s="11"/>
      <c r="M672" s="755"/>
      <c r="N672" s="11"/>
      <c r="O672" s="11"/>
      <c r="P672" s="11"/>
      <c r="Q672" s="11"/>
      <c r="R672" s="11"/>
      <c r="S672" s="11"/>
      <c r="T672" s="11"/>
      <c r="U672" s="11"/>
      <c r="V672" s="11"/>
      <c r="W672" s="11"/>
      <c r="X672" s="11"/>
    </row>
    <row r="673" ht="13.5" customHeight="1">
      <c r="A673" s="11"/>
      <c r="B673" s="177" t="s">
        <v>792</v>
      </c>
      <c r="C673" s="321">
        <v>8.0</v>
      </c>
      <c r="D673" s="198">
        <f>(C673*D672)/C672</f>
        <v>1.44</v>
      </c>
      <c r="E673" s="204" t="s">
        <v>14</v>
      </c>
      <c r="F673" s="47"/>
      <c r="G673" s="11"/>
      <c r="H673" s="11"/>
      <c r="I673" s="11"/>
      <c r="J673" s="11"/>
      <c r="K673" s="11"/>
      <c r="L673" s="11"/>
      <c r="M673" s="755"/>
      <c r="N673" s="11"/>
      <c r="O673" s="11"/>
      <c r="P673" s="11"/>
      <c r="Q673" s="11"/>
      <c r="R673" s="11"/>
      <c r="S673" s="11"/>
      <c r="T673" s="11"/>
      <c r="U673" s="11"/>
      <c r="V673" s="11"/>
      <c r="W673" s="11"/>
      <c r="X673" s="11"/>
    </row>
    <row r="674" ht="13.5" customHeight="1">
      <c r="A674" s="11"/>
      <c r="B674" s="177" t="s">
        <v>31</v>
      </c>
      <c r="C674" s="321">
        <v>1000.0</v>
      </c>
      <c r="D674" s="198">
        <f>(C674*D690)/C690</f>
        <v>180</v>
      </c>
      <c r="E674" s="204" t="s">
        <v>18</v>
      </c>
      <c r="F674" s="47"/>
      <c r="G674" s="11"/>
      <c r="H674" s="11"/>
      <c r="I674" s="11"/>
      <c r="J674" s="11"/>
      <c r="K674" s="11"/>
      <c r="L674" s="11"/>
      <c r="M674" s="755"/>
      <c r="N674" s="11"/>
      <c r="O674" s="11"/>
      <c r="P674" s="11"/>
      <c r="Q674" s="11"/>
      <c r="R674" s="11"/>
      <c r="S674" s="11"/>
      <c r="T674" s="11"/>
      <c r="U674" s="11"/>
      <c r="V674" s="11"/>
      <c r="W674" s="11"/>
      <c r="X674" s="11"/>
    </row>
    <row r="675" ht="13.5" customHeight="1">
      <c r="A675" s="11"/>
      <c r="B675" s="262" t="s">
        <v>59</v>
      </c>
      <c r="C675" s="355">
        <v>65.0</v>
      </c>
      <c r="D675" s="383">
        <f t="shared" ref="D675:D689" si="46">(C675*D674)/C674</f>
        <v>11.7</v>
      </c>
      <c r="E675" s="267" t="s">
        <v>5</v>
      </c>
      <c r="F675" s="76"/>
      <c r="G675" s="11"/>
      <c r="H675" s="11"/>
      <c r="I675" s="11"/>
      <c r="J675" s="11"/>
      <c r="K675" s="11"/>
      <c r="L675" s="11"/>
      <c r="M675" s="755"/>
      <c r="N675" s="11"/>
      <c r="O675" s="11"/>
      <c r="P675" s="11"/>
      <c r="Q675" s="11"/>
      <c r="R675" s="11"/>
      <c r="S675" s="11"/>
      <c r="T675" s="11"/>
      <c r="U675" s="11"/>
      <c r="V675" s="11"/>
      <c r="W675" s="11"/>
      <c r="X675" s="11"/>
    </row>
    <row r="676" ht="13.5" customHeight="1">
      <c r="A676" s="11"/>
      <c r="B676" s="163" t="s">
        <v>1250</v>
      </c>
      <c r="C676" s="316">
        <v>4.0</v>
      </c>
      <c r="D676" s="314">
        <f t="shared" si="46"/>
        <v>0.72</v>
      </c>
      <c r="E676" s="169" t="s">
        <v>14</v>
      </c>
      <c r="F676" s="610" t="s">
        <v>1629</v>
      </c>
      <c r="G676" s="11"/>
      <c r="H676" s="11"/>
      <c r="I676" s="11"/>
      <c r="J676" s="11"/>
      <c r="K676" s="11"/>
      <c r="L676" s="11"/>
      <c r="M676" s="755"/>
      <c r="N676" s="11"/>
      <c r="O676" s="11"/>
      <c r="P676" s="11"/>
      <c r="Q676" s="11"/>
      <c r="R676" s="11"/>
      <c r="S676" s="11"/>
      <c r="T676" s="11"/>
      <c r="U676" s="11"/>
      <c r="V676" s="11"/>
      <c r="W676" s="11"/>
      <c r="X676" s="11"/>
    </row>
    <row r="677" ht="13.5" customHeight="1">
      <c r="A677" s="11"/>
      <c r="B677" s="177" t="s">
        <v>1167</v>
      </c>
      <c r="C677" s="321">
        <v>3.0</v>
      </c>
      <c r="D677" s="383">
        <f t="shared" si="46"/>
        <v>0.54</v>
      </c>
      <c r="E677" s="204" t="s">
        <v>14</v>
      </c>
      <c r="F677" s="47"/>
      <c r="G677" s="11"/>
      <c r="H677" s="11"/>
      <c r="I677" s="11"/>
      <c r="J677" s="11"/>
      <c r="K677" s="11"/>
      <c r="L677" s="11"/>
      <c r="M677" s="755"/>
      <c r="N677" s="11"/>
      <c r="O677" s="11"/>
      <c r="P677" s="11"/>
      <c r="Q677" s="11"/>
      <c r="R677" s="11"/>
      <c r="S677" s="11"/>
      <c r="T677" s="11"/>
      <c r="U677" s="11"/>
      <c r="V677" s="11"/>
      <c r="W677" s="11"/>
      <c r="X677" s="11"/>
    </row>
    <row r="678" ht="13.5" customHeight="1">
      <c r="A678" s="11"/>
      <c r="B678" s="177" t="s">
        <v>1169</v>
      </c>
      <c r="C678" s="321">
        <v>10.0</v>
      </c>
      <c r="D678" s="383">
        <f t="shared" si="46"/>
        <v>1.8</v>
      </c>
      <c r="E678" s="204" t="s">
        <v>14</v>
      </c>
      <c r="F678" s="47"/>
      <c r="G678" s="11"/>
      <c r="H678" s="11"/>
      <c r="I678" s="11"/>
      <c r="J678" s="11"/>
      <c r="K678" s="11"/>
      <c r="L678" s="11"/>
      <c r="M678" s="755"/>
      <c r="N678" s="11"/>
      <c r="O678" s="11"/>
      <c r="P678" s="11"/>
      <c r="Q678" s="11"/>
      <c r="R678" s="11"/>
      <c r="S678" s="11"/>
      <c r="T678" s="11"/>
      <c r="U678" s="11"/>
      <c r="V678" s="11"/>
      <c r="W678" s="11"/>
      <c r="X678" s="11"/>
    </row>
    <row r="679" ht="13.5" customHeight="1">
      <c r="A679" s="11"/>
      <c r="B679" s="208" t="s">
        <v>1165</v>
      </c>
      <c r="C679" s="318">
        <v>9.0</v>
      </c>
      <c r="D679" s="211">
        <f t="shared" si="46"/>
        <v>1.62</v>
      </c>
      <c r="E679" s="212" t="s">
        <v>14</v>
      </c>
      <c r="F679" s="76"/>
      <c r="G679" s="11"/>
      <c r="H679" s="11"/>
      <c r="I679" s="11"/>
      <c r="J679" s="11"/>
      <c r="K679" s="11"/>
      <c r="L679" s="11"/>
      <c r="M679" s="755"/>
      <c r="N679" s="11"/>
      <c r="O679" s="11"/>
      <c r="P679" s="11"/>
      <c r="Q679" s="11"/>
      <c r="R679" s="11"/>
      <c r="S679" s="11"/>
      <c r="T679" s="11"/>
      <c r="U679" s="11"/>
      <c r="V679" s="11"/>
      <c r="W679" s="11"/>
      <c r="X679" s="11"/>
    </row>
    <row r="680" ht="13.5" customHeight="1">
      <c r="A680" s="11"/>
      <c r="B680" s="157" t="s">
        <v>173</v>
      </c>
      <c r="C680" s="839">
        <v>1000.0</v>
      </c>
      <c r="D680" s="1005">
        <f t="shared" si="46"/>
        <v>180</v>
      </c>
      <c r="E680" s="159" t="s">
        <v>18</v>
      </c>
      <c r="F680" s="610" t="s">
        <v>1632</v>
      </c>
      <c r="G680" s="11"/>
      <c r="H680" s="11"/>
      <c r="I680" s="11"/>
      <c r="J680" s="11"/>
      <c r="K680" s="11"/>
      <c r="L680" s="11"/>
      <c r="M680" s="755"/>
      <c r="N680" s="11"/>
      <c r="O680" s="11"/>
      <c r="P680" s="11"/>
      <c r="Q680" s="11"/>
      <c r="R680" s="11"/>
      <c r="S680" s="11"/>
      <c r="T680" s="11"/>
      <c r="U680" s="11"/>
      <c r="V680" s="11"/>
      <c r="W680" s="11"/>
      <c r="X680" s="11"/>
    </row>
    <row r="681" ht="13.5" customHeight="1">
      <c r="A681" s="11"/>
      <c r="B681" s="262" t="s">
        <v>80</v>
      </c>
      <c r="C681" s="355">
        <v>3.2</v>
      </c>
      <c r="D681" s="383">
        <f t="shared" si="46"/>
        <v>0.576</v>
      </c>
      <c r="E681" s="267" t="s">
        <v>14</v>
      </c>
      <c r="F681" s="76"/>
      <c r="G681" s="11"/>
      <c r="H681" s="11"/>
      <c r="I681" s="11"/>
      <c r="J681" s="11"/>
      <c r="K681" s="11"/>
      <c r="L681" s="11"/>
      <c r="M681" s="755"/>
      <c r="N681" s="11"/>
      <c r="O681" s="11"/>
      <c r="P681" s="11"/>
      <c r="Q681" s="11"/>
      <c r="R681" s="11"/>
      <c r="S681" s="11"/>
      <c r="T681" s="11"/>
      <c r="U681" s="11"/>
      <c r="V681" s="11"/>
      <c r="W681" s="11"/>
      <c r="X681" s="11"/>
    </row>
    <row r="682" ht="13.5" customHeight="1">
      <c r="A682" s="11"/>
      <c r="B682" s="163" t="s">
        <v>34</v>
      </c>
      <c r="C682" s="316">
        <v>1.5</v>
      </c>
      <c r="D682" s="285">
        <f t="shared" si="46"/>
        <v>0.27</v>
      </c>
      <c r="E682" s="169" t="s">
        <v>5</v>
      </c>
      <c r="F682" s="610" t="s">
        <v>1633</v>
      </c>
      <c r="G682" s="11"/>
      <c r="H682" s="11"/>
      <c r="I682" s="11"/>
      <c r="J682" s="11"/>
      <c r="K682" s="11"/>
      <c r="L682" s="11"/>
      <c r="M682" s="755"/>
      <c r="N682" s="11"/>
      <c r="O682" s="11"/>
      <c r="P682" s="11"/>
      <c r="Q682" s="11"/>
      <c r="R682" s="11"/>
      <c r="S682" s="11"/>
      <c r="T682" s="11"/>
      <c r="U682" s="11"/>
      <c r="V682" s="11"/>
      <c r="W682" s="11"/>
      <c r="X682" s="11"/>
    </row>
    <row r="683" ht="13.5" customHeight="1">
      <c r="A683" s="11"/>
      <c r="B683" s="177" t="s">
        <v>97</v>
      </c>
      <c r="C683" s="321">
        <v>125.0</v>
      </c>
      <c r="D683" s="198">
        <f t="shared" si="46"/>
        <v>22.5</v>
      </c>
      <c r="E683" s="204" t="s">
        <v>18</v>
      </c>
      <c r="F683" s="47"/>
      <c r="G683" s="11"/>
      <c r="H683" s="11"/>
      <c r="I683" s="11"/>
      <c r="J683" s="11"/>
      <c r="K683" s="11"/>
      <c r="L683" s="11"/>
      <c r="M683" s="755"/>
      <c r="N683" s="11"/>
      <c r="O683" s="11"/>
      <c r="P683" s="11"/>
      <c r="Q683" s="11"/>
      <c r="R683" s="11"/>
      <c r="S683" s="11"/>
      <c r="T683" s="11"/>
      <c r="U683" s="11"/>
      <c r="V683" s="11"/>
      <c r="W683" s="11"/>
      <c r="X683" s="11"/>
    </row>
    <row r="684" ht="13.5" customHeight="1">
      <c r="A684" s="11"/>
      <c r="B684" s="177" t="s">
        <v>390</v>
      </c>
      <c r="C684" s="321">
        <v>80.0</v>
      </c>
      <c r="D684" s="198">
        <f t="shared" si="46"/>
        <v>14.4</v>
      </c>
      <c r="E684" s="204" t="s">
        <v>18</v>
      </c>
      <c r="F684" s="47"/>
      <c r="G684" s="11"/>
      <c r="H684" s="11"/>
      <c r="I684" s="11"/>
      <c r="J684" s="11"/>
      <c r="K684" s="11"/>
      <c r="L684" s="11"/>
      <c r="M684" s="755"/>
      <c r="N684" s="11"/>
      <c r="O684" s="11"/>
      <c r="P684" s="11"/>
      <c r="Q684" s="11"/>
      <c r="R684" s="11"/>
      <c r="S684" s="11"/>
      <c r="T684" s="11"/>
      <c r="U684" s="11"/>
      <c r="V684" s="11"/>
      <c r="W684" s="11"/>
      <c r="X684" s="11"/>
    </row>
    <row r="685" ht="13.5" customHeight="1">
      <c r="A685" s="11"/>
      <c r="B685" s="177" t="s">
        <v>101</v>
      </c>
      <c r="C685" s="321">
        <v>0.5</v>
      </c>
      <c r="D685" s="198">
        <f t="shared" si="46"/>
        <v>0.09</v>
      </c>
      <c r="E685" s="204" t="s">
        <v>5</v>
      </c>
      <c r="F685" s="47"/>
      <c r="G685" s="11"/>
      <c r="H685" s="11"/>
      <c r="I685" s="11"/>
      <c r="J685" s="11"/>
      <c r="K685" s="11"/>
      <c r="L685" s="11"/>
      <c r="M685" s="755"/>
      <c r="N685" s="11"/>
      <c r="O685" s="11"/>
      <c r="P685" s="11"/>
      <c r="Q685" s="11"/>
      <c r="R685" s="11"/>
      <c r="S685" s="11"/>
      <c r="T685" s="11"/>
      <c r="U685" s="11"/>
      <c r="V685" s="11"/>
      <c r="W685" s="11"/>
      <c r="X685" s="11"/>
    </row>
    <row r="686" ht="13.5" customHeight="1">
      <c r="A686" s="11"/>
      <c r="B686" s="177" t="s">
        <v>1345</v>
      </c>
      <c r="C686" s="321">
        <v>50.0</v>
      </c>
      <c r="D686" s="198">
        <f t="shared" si="46"/>
        <v>9</v>
      </c>
      <c r="E686" s="204" t="s">
        <v>18</v>
      </c>
      <c r="F686" s="47"/>
      <c r="G686" s="11"/>
      <c r="H686" s="11"/>
      <c r="I686" s="11"/>
      <c r="J686" s="11"/>
      <c r="K686" s="11"/>
      <c r="L686" s="11"/>
      <c r="M686" s="755"/>
      <c r="N686" s="11"/>
      <c r="O686" s="11"/>
      <c r="P686" s="11"/>
      <c r="Q686" s="11"/>
      <c r="R686" s="11"/>
      <c r="S686" s="11"/>
      <c r="T686" s="11"/>
      <c r="U686" s="11"/>
      <c r="V686" s="11"/>
      <c r="W686" s="11"/>
      <c r="X686" s="11"/>
    </row>
    <row r="687" ht="13.5" customHeight="1">
      <c r="A687" s="11"/>
      <c r="B687" s="177" t="s">
        <v>103</v>
      </c>
      <c r="C687" s="321">
        <v>300.0</v>
      </c>
      <c r="D687" s="198">
        <f t="shared" si="46"/>
        <v>54</v>
      </c>
      <c r="E687" s="204" t="s">
        <v>18</v>
      </c>
      <c r="F687" s="47"/>
      <c r="G687" s="11"/>
      <c r="H687" s="11"/>
      <c r="I687" s="11"/>
      <c r="J687" s="11"/>
      <c r="K687" s="11"/>
      <c r="L687" s="11"/>
      <c r="M687" s="755"/>
      <c r="N687" s="11"/>
      <c r="O687" s="11"/>
      <c r="P687" s="11"/>
      <c r="Q687" s="11"/>
      <c r="R687" s="11"/>
      <c r="S687" s="11"/>
      <c r="T687" s="11"/>
      <c r="U687" s="11"/>
      <c r="V687" s="11"/>
      <c r="W687" s="11"/>
      <c r="X687" s="11"/>
    </row>
    <row r="688" ht="13.5" customHeight="1">
      <c r="A688" s="11"/>
      <c r="B688" s="177" t="s">
        <v>1634</v>
      </c>
      <c r="C688" s="321">
        <v>200.0</v>
      </c>
      <c r="D688" s="198">
        <f t="shared" si="46"/>
        <v>36</v>
      </c>
      <c r="E688" s="204" t="s">
        <v>18</v>
      </c>
      <c r="F688" s="47"/>
      <c r="G688" s="11"/>
      <c r="H688" s="11"/>
      <c r="I688" s="11"/>
      <c r="J688" s="11"/>
      <c r="K688" s="11"/>
      <c r="L688" s="11"/>
      <c r="M688" s="755"/>
      <c r="N688" s="11"/>
      <c r="O688" s="11"/>
      <c r="P688" s="11"/>
      <c r="Q688" s="11"/>
      <c r="R688" s="11"/>
      <c r="S688" s="11"/>
      <c r="T688" s="11"/>
      <c r="U688" s="11"/>
      <c r="V688" s="11"/>
      <c r="W688" s="11"/>
      <c r="X688" s="11"/>
    </row>
    <row r="689" ht="20.25" customHeight="1">
      <c r="A689" s="11"/>
      <c r="B689" s="341" t="s">
        <v>360</v>
      </c>
      <c r="C689" s="321">
        <v>350.0</v>
      </c>
      <c r="D689" s="198">
        <f t="shared" si="46"/>
        <v>63</v>
      </c>
      <c r="E689" s="204" t="s">
        <v>18</v>
      </c>
      <c r="F689" s="47"/>
      <c r="G689" s="11"/>
      <c r="H689" s="11"/>
      <c r="I689" s="11"/>
      <c r="J689" s="11"/>
      <c r="K689" s="11"/>
      <c r="L689" s="11"/>
      <c r="M689" s="755"/>
      <c r="N689" s="11"/>
      <c r="O689" s="11"/>
      <c r="P689" s="11"/>
      <c r="Q689" s="11"/>
      <c r="R689" s="11"/>
      <c r="S689" s="11"/>
      <c r="T689" s="11"/>
      <c r="U689" s="11"/>
      <c r="V689" s="11"/>
      <c r="W689" s="11"/>
      <c r="X689" s="11"/>
    </row>
    <row r="690" ht="15.0" customHeight="1">
      <c r="A690" s="11"/>
      <c r="B690" s="177" t="s">
        <v>52</v>
      </c>
      <c r="C690" s="321">
        <v>150.0</v>
      </c>
      <c r="D690" s="198">
        <f t="shared" ref="D690:D691" si="47">(C690*D673)/C673</f>
        <v>27</v>
      </c>
      <c r="E690" s="204" t="s">
        <v>18</v>
      </c>
      <c r="F690" s="47"/>
      <c r="G690" s="11"/>
      <c r="H690" s="11"/>
      <c r="I690" s="11"/>
      <c r="J690" s="11"/>
      <c r="K690" s="11"/>
      <c r="L690" s="11"/>
      <c r="M690" s="755"/>
      <c r="N690" s="11"/>
      <c r="O690" s="11"/>
      <c r="P690" s="11"/>
      <c r="Q690" s="11"/>
      <c r="R690" s="11"/>
      <c r="S690" s="11"/>
      <c r="T690" s="11"/>
      <c r="U690" s="11"/>
      <c r="V690" s="11"/>
      <c r="W690" s="11"/>
      <c r="X690" s="11"/>
    </row>
    <row r="691" ht="13.5" customHeight="1">
      <c r="A691" s="11"/>
      <c r="B691" s="177" t="s">
        <v>112</v>
      </c>
      <c r="C691" s="321">
        <v>150.0</v>
      </c>
      <c r="D691" s="198">
        <f t="shared" si="47"/>
        <v>27</v>
      </c>
      <c r="E691" s="204" t="s">
        <v>1638</v>
      </c>
      <c r="F691" s="47"/>
      <c r="G691" s="11"/>
      <c r="H691" s="11"/>
      <c r="I691" s="11"/>
      <c r="J691" s="11"/>
      <c r="K691" s="11"/>
      <c r="L691" s="11"/>
      <c r="M691" s="755"/>
      <c r="N691" s="11"/>
      <c r="O691" s="11"/>
      <c r="P691" s="11"/>
      <c r="Q691" s="11"/>
      <c r="R691" s="11"/>
      <c r="S691" s="11"/>
      <c r="T691" s="11"/>
      <c r="U691" s="11"/>
      <c r="V691" s="11"/>
      <c r="W691" s="11"/>
      <c r="X691" s="11"/>
    </row>
    <row r="692" ht="13.5" customHeight="1">
      <c r="A692" s="11"/>
      <c r="B692" s="177" t="s">
        <v>1639</v>
      </c>
      <c r="C692" s="321">
        <v>4.0</v>
      </c>
      <c r="D692" s="198">
        <f>(C692*D690)/C690</f>
        <v>0.72</v>
      </c>
      <c r="E692" s="204" t="s">
        <v>14</v>
      </c>
      <c r="F692" s="47"/>
      <c r="G692" s="11"/>
      <c r="H692" s="11"/>
      <c r="I692" s="11"/>
      <c r="J692" s="11"/>
      <c r="K692" s="11"/>
      <c r="L692" s="11"/>
      <c r="M692" s="755"/>
      <c r="N692" s="11"/>
      <c r="O692" s="11"/>
      <c r="P692" s="11"/>
      <c r="Q692" s="11"/>
      <c r="R692" s="11"/>
      <c r="S692" s="11"/>
      <c r="T692" s="11"/>
      <c r="U692" s="11"/>
      <c r="V692" s="11"/>
      <c r="W692" s="11"/>
      <c r="X692" s="11"/>
    </row>
    <row r="693" ht="15.0" customHeight="1">
      <c r="A693" s="11"/>
      <c r="B693" s="208" t="s">
        <v>1261</v>
      </c>
      <c r="C693" s="318">
        <v>1000.0</v>
      </c>
      <c r="D693" s="211">
        <f t="shared" ref="D693:D694" si="48">(C693*D674)/C674</f>
        <v>180</v>
      </c>
      <c r="E693" s="212" t="s">
        <v>18</v>
      </c>
      <c r="F693" s="47"/>
      <c r="G693" s="11"/>
      <c r="H693" s="11"/>
      <c r="I693" s="11"/>
      <c r="J693" s="11"/>
      <c r="K693" s="11"/>
      <c r="L693" s="11"/>
      <c r="M693" s="755"/>
      <c r="N693" s="11"/>
      <c r="O693" s="11"/>
      <c r="P693" s="11"/>
      <c r="Q693" s="11"/>
      <c r="R693" s="11"/>
      <c r="S693" s="11"/>
      <c r="T693" s="11"/>
      <c r="U693" s="11"/>
      <c r="V693" s="11"/>
      <c r="W693" s="11"/>
      <c r="X693" s="11"/>
    </row>
    <row r="694" ht="13.5" customHeight="1">
      <c r="A694" s="11"/>
      <c r="B694" s="458" t="s">
        <v>114</v>
      </c>
      <c r="C694" s="363">
        <v>2.5</v>
      </c>
      <c r="D694" s="460">
        <f t="shared" si="48"/>
        <v>0.45</v>
      </c>
      <c r="E694" s="463" t="s">
        <v>5</v>
      </c>
      <c r="F694" s="76"/>
      <c r="G694" s="11"/>
      <c r="H694" s="11"/>
      <c r="I694" s="11"/>
      <c r="J694" s="11"/>
      <c r="K694" s="11"/>
      <c r="L694" s="11"/>
      <c r="M694" s="755"/>
      <c r="N694" s="11"/>
      <c r="O694" s="11"/>
      <c r="P694" s="11"/>
      <c r="Q694" s="11"/>
      <c r="R694" s="11"/>
      <c r="S694" s="11"/>
      <c r="T694" s="11"/>
      <c r="U694" s="11"/>
      <c r="V694" s="11"/>
      <c r="W694" s="11"/>
      <c r="X694" s="11"/>
    </row>
    <row r="695" ht="13.5" customHeight="1">
      <c r="A695" s="11"/>
      <c r="B695" s="220" t="s">
        <v>42</v>
      </c>
      <c r="C695" s="615"/>
      <c r="D695" s="615"/>
      <c r="E695" s="1"/>
      <c r="F695" s="995"/>
      <c r="G695" s="11"/>
      <c r="H695" s="11"/>
      <c r="I695" s="11"/>
      <c r="J695" s="11"/>
      <c r="K695" s="11"/>
      <c r="L695" s="11"/>
      <c r="M695" s="755"/>
      <c r="N695" s="11"/>
      <c r="O695" s="11"/>
      <c r="P695" s="11"/>
      <c r="Q695" s="11"/>
      <c r="R695" s="11"/>
      <c r="S695" s="11"/>
      <c r="T695" s="11"/>
      <c r="U695" s="11"/>
      <c r="V695" s="11"/>
      <c r="W695" s="11"/>
      <c r="X695" s="11"/>
    </row>
    <row r="696" ht="13.5" customHeight="1">
      <c r="A696" s="11"/>
      <c r="B696" s="203" t="s">
        <v>120</v>
      </c>
      <c r="C696" s="11"/>
      <c r="D696" s="11"/>
      <c r="E696" s="11"/>
      <c r="F696" s="11"/>
      <c r="G696" s="11"/>
      <c r="H696" s="11"/>
      <c r="I696" s="11"/>
      <c r="J696" s="11"/>
      <c r="K696" s="11"/>
      <c r="L696" s="11"/>
      <c r="M696" s="755"/>
      <c r="N696" s="11"/>
      <c r="O696" s="11"/>
      <c r="P696" s="11"/>
      <c r="Q696" s="11"/>
      <c r="R696" s="11"/>
      <c r="S696" s="11"/>
      <c r="T696" s="11"/>
      <c r="U696" s="11"/>
      <c r="V696" s="11"/>
      <c r="W696" s="11"/>
      <c r="X696" s="11"/>
    </row>
    <row r="697" ht="13.5" customHeight="1">
      <c r="A697" s="11"/>
      <c r="B697" s="203" t="s">
        <v>50</v>
      </c>
      <c r="C697" s="11"/>
      <c r="D697" s="11"/>
      <c r="E697" s="11"/>
      <c r="F697" s="11"/>
      <c r="G697" s="11"/>
      <c r="H697" s="11"/>
      <c r="I697" s="11"/>
      <c r="J697" s="11"/>
      <c r="K697" s="11"/>
      <c r="L697" s="11"/>
      <c r="M697" s="755"/>
      <c r="N697" s="11"/>
      <c r="O697" s="11"/>
      <c r="P697" s="11"/>
      <c r="Q697" s="11"/>
      <c r="R697" s="11"/>
      <c r="S697" s="11"/>
      <c r="T697" s="11"/>
      <c r="U697" s="11"/>
      <c r="V697" s="11"/>
      <c r="W697" s="11"/>
      <c r="X697" s="11"/>
    </row>
    <row r="698" ht="13.5" customHeight="1">
      <c r="A698" s="11"/>
      <c r="B698" s="11"/>
      <c r="C698" s="11"/>
      <c r="D698" s="11"/>
      <c r="E698" s="11"/>
      <c r="F698" s="11"/>
      <c r="G698" s="11"/>
      <c r="H698" s="11"/>
      <c r="I698" s="11"/>
      <c r="J698" s="11"/>
      <c r="K698" s="11"/>
      <c r="L698" s="11"/>
      <c r="M698" s="755"/>
      <c r="N698" s="11"/>
      <c r="O698" s="11"/>
      <c r="P698" s="11"/>
      <c r="Q698" s="11"/>
      <c r="R698" s="11"/>
      <c r="S698" s="11"/>
      <c r="T698" s="11"/>
      <c r="U698" s="11"/>
      <c r="V698" s="11"/>
      <c r="W698" s="11"/>
      <c r="X698" s="11"/>
    </row>
    <row r="699" ht="13.5" customHeight="1">
      <c r="A699" s="11"/>
      <c r="B699" s="11"/>
      <c r="C699" s="11"/>
      <c r="D699" s="11"/>
      <c r="E699" s="11"/>
      <c r="F699" s="11"/>
      <c r="G699" s="11"/>
      <c r="H699" s="11"/>
      <c r="I699" s="11"/>
      <c r="J699" s="11"/>
      <c r="K699" s="11"/>
      <c r="L699" s="11"/>
      <c r="M699" s="755"/>
      <c r="N699" s="11"/>
      <c r="O699" s="11"/>
      <c r="P699" s="11"/>
      <c r="Q699" s="11"/>
      <c r="R699" s="11"/>
      <c r="S699" s="11"/>
      <c r="T699" s="11"/>
      <c r="U699" s="11"/>
      <c r="V699" s="11"/>
      <c r="W699" s="11"/>
      <c r="X699" s="11"/>
    </row>
    <row r="700" ht="13.5" customHeight="1">
      <c r="A700" s="11"/>
      <c r="B700" s="11"/>
      <c r="C700" s="11"/>
      <c r="D700" s="11"/>
      <c r="E700" s="11"/>
      <c r="F700" s="11"/>
      <c r="G700" s="11"/>
      <c r="H700" s="11"/>
      <c r="I700" s="11"/>
      <c r="J700" s="11"/>
      <c r="K700" s="11"/>
      <c r="L700" s="11"/>
      <c r="M700" s="755"/>
      <c r="N700" s="11"/>
      <c r="O700" s="11"/>
      <c r="P700" s="11"/>
      <c r="Q700" s="11"/>
      <c r="R700" s="11"/>
      <c r="S700" s="11"/>
      <c r="T700" s="11"/>
      <c r="U700" s="11"/>
      <c r="V700" s="11"/>
      <c r="W700" s="11"/>
      <c r="X700" s="11"/>
    </row>
    <row r="701" ht="13.5" customHeight="1">
      <c r="A701" s="11"/>
      <c r="B701" s="11"/>
      <c r="C701" s="11"/>
      <c r="D701" s="11"/>
      <c r="E701" s="11"/>
      <c r="F701" s="11"/>
      <c r="G701" s="11"/>
      <c r="H701" s="11"/>
      <c r="I701" s="11"/>
      <c r="J701" s="11"/>
      <c r="K701" s="11"/>
      <c r="L701" s="11"/>
      <c r="M701" s="755"/>
      <c r="N701" s="11"/>
      <c r="O701" s="11"/>
      <c r="P701" s="11"/>
      <c r="Q701" s="11"/>
      <c r="R701" s="11"/>
      <c r="S701" s="11"/>
      <c r="T701" s="11"/>
      <c r="U701" s="11"/>
      <c r="V701" s="11"/>
      <c r="W701" s="11"/>
      <c r="X701" s="11"/>
    </row>
    <row r="702" ht="13.5" customHeight="1">
      <c r="A702" s="11"/>
      <c r="B702" s="11"/>
      <c r="C702" s="11"/>
      <c r="D702" s="11"/>
      <c r="E702" s="11"/>
      <c r="F702" s="11"/>
      <c r="G702" s="11"/>
      <c r="H702" s="11"/>
      <c r="I702" s="11"/>
      <c r="J702" s="11"/>
      <c r="K702" s="11"/>
      <c r="L702" s="11"/>
      <c r="M702" s="755"/>
      <c r="N702" s="11"/>
      <c r="O702" s="11"/>
      <c r="P702" s="11"/>
      <c r="Q702" s="11"/>
      <c r="R702" s="11"/>
      <c r="S702" s="11"/>
      <c r="T702" s="11"/>
      <c r="U702" s="11"/>
      <c r="V702" s="11"/>
      <c r="W702" s="11"/>
      <c r="X702" s="11"/>
    </row>
    <row r="703" ht="13.5" customHeight="1">
      <c r="A703" s="11"/>
      <c r="B703" s="11"/>
      <c r="C703" s="11"/>
      <c r="D703" s="11"/>
      <c r="E703" s="11"/>
      <c r="F703" s="11"/>
      <c r="G703" s="11"/>
      <c r="H703" s="11"/>
      <c r="I703" s="11"/>
      <c r="J703" s="11"/>
      <c r="K703" s="11"/>
      <c r="L703" s="11"/>
      <c r="M703" s="755"/>
      <c r="N703" s="11"/>
      <c r="O703" s="11"/>
      <c r="P703" s="11"/>
      <c r="Q703" s="11"/>
      <c r="R703" s="11"/>
      <c r="S703" s="11"/>
      <c r="T703" s="11"/>
      <c r="U703" s="11"/>
      <c r="V703" s="11"/>
      <c r="W703" s="11"/>
      <c r="X703" s="11"/>
    </row>
    <row r="704" ht="13.5" customHeight="1">
      <c r="A704" s="11"/>
      <c r="B704" s="11"/>
      <c r="C704" s="11"/>
      <c r="D704" s="11"/>
      <c r="E704" s="11"/>
      <c r="F704" s="11"/>
      <c r="G704" s="11"/>
      <c r="H704" s="11"/>
      <c r="I704" s="11"/>
      <c r="J704" s="11"/>
      <c r="K704" s="11"/>
      <c r="L704" s="11"/>
      <c r="M704" s="755"/>
      <c r="N704" s="11"/>
      <c r="O704" s="11"/>
      <c r="P704" s="11"/>
      <c r="Q704" s="11"/>
      <c r="R704" s="11"/>
      <c r="S704" s="11"/>
      <c r="T704" s="11"/>
      <c r="U704" s="11"/>
      <c r="V704" s="11"/>
      <c r="W704" s="11"/>
      <c r="X704" s="11"/>
    </row>
    <row r="705" ht="13.5" customHeight="1">
      <c r="A705" s="11"/>
      <c r="B705" s="11"/>
      <c r="C705" s="11"/>
      <c r="D705" s="11"/>
      <c r="E705" s="11"/>
      <c r="F705" s="11"/>
      <c r="G705" s="11"/>
      <c r="H705" s="11"/>
      <c r="I705" s="11"/>
      <c r="J705" s="11"/>
      <c r="K705" s="11"/>
      <c r="L705" s="11"/>
      <c r="M705" s="755"/>
      <c r="N705" s="11"/>
      <c r="O705" s="11"/>
      <c r="P705" s="11"/>
      <c r="Q705" s="11"/>
      <c r="R705" s="11"/>
      <c r="S705" s="11"/>
      <c r="T705" s="11"/>
      <c r="U705" s="11"/>
      <c r="V705" s="11"/>
      <c r="W705" s="11"/>
      <c r="X705" s="11"/>
    </row>
    <row r="706" ht="13.5" customHeight="1">
      <c r="A706" s="11"/>
      <c r="B706" s="11"/>
      <c r="C706" s="11"/>
      <c r="D706" s="11"/>
      <c r="E706" s="11"/>
      <c r="F706" s="11"/>
      <c r="G706" s="11"/>
      <c r="H706" s="11"/>
      <c r="I706" s="11"/>
      <c r="J706" s="11"/>
      <c r="K706" s="11"/>
      <c r="L706" s="11"/>
      <c r="M706" s="755"/>
      <c r="N706" s="11"/>
      <c r="O706" s="11"/>
      <c r="P706" s="11"/>
      <c r="Q706" s="11"/>
      <c r="R706" s="11"/>
      <c r="S706" s="11"/>
      <c r="T706" s="11"/>
      <c r="U706" s="11"/>
      <c r="V706" s="11"/>
      <c r="W706" s="11"/>
      <c r="X706" s="11"/>
    </row>
    <row r="707" ht="13.5" customHeight="1">
      <c r="A707" s="11"/>
      <c r="B707" s="11"/>
      <c r="C707" s="11"/>
      <c r="D707" s="11"/>
      <c r="E707" s="11"/>
      <c r="F707" s="11"/>
      <c r="G707" s="11"/>
      <c r="H707" s="11"/>
      <c r="I707" s="11"/>
      <c r="J707" s="11"/>
      <c r="K707" s="11"/>
      <c r="L707" s="11"/>
      <c r="M707" s="755"/>
      <c r="N707" s="11"/>
      <c r="O707" s="11"/>
      <c r="P707" s="11"/>
      <c r="Q707" s="11"/>
      <c r="R707" s="11"/>
      <c r="S707" s="11"/>
      <c r="T707" s="11"/>
      <c r="U707" s="11"/>
      <c r="V707" s="11"/>
      <c r="W707" s="11"/>
      <c r="X707" s="11"/>
    </row>
    <row r="708" ht="13.5" customHeight="1">
      <c r="A708" s="11"/>
      <c r="B708" s="11"/>
      <c r="C708" s="11"/>
      <c r="D708" s="11"/>
      <c r="E708" s="11"/>
      <c r="F708" s="11"/>
      <c r="G708" s="11"/>
      <c r="H708" s="11"/>
      <c r="I708" s="11"/>
      <c r="J708" s="11"/>
      <c r="K708" s="11"/>
      <c r="L708" s="11"/>
      <c r="M708" s="755"/>
      <c r="N708" s="11"/>
      <c r="O708" s="11"/>
      <c r="P708" s="11"/>
      <c r="Q708" s="11"/>
      <c r="R708" s="11"/>
      <c r="S708" s="11"/>
      <c r="T708" s="11"/>
      <c r="U708" s="11"/>
      <c r="V708" s="11"/>
      <c r="W708" s="11"/>
      <c r="X708" s="11"/>
    </row>
    <row r="709" ht="13.5" customHeight="1">
      <c r="A709" s="11"/>
      <c r="B709" s="11"/>
      <c r="C709" s="11"/>
      <c r="D709" s="11"/>
      <c r="E709" s="11"/>
      <c r="F709" s="11"/>
      <c r="G709" s="11"/>
      <c r="H709" s="11"/>
      <c r="I709" s="11"/>
      <c r="J709" s="11"/>
      <c r="K709" s="11"/>
      <c r="L709" s="11"/>
      <c r="M709" s="755"/>
      <c r="N709" s="11"/>
      <c r="O709" s="11"/>
      <c r="P709" s="11"/>
      <c r="Q709" s="11"/>
      <c r="R709" s="11"/>
      <c r="S709" s="11"/>
      <c r="T709" s="11"/>
      <c r="U709" s="11"/>
      <c r="V709" s="11"/>
      <c r="W709" s="11"/>
      <c r="X709" s="11"/>
    </row>
    <row r="710" ht="13.5" customHeight="1">
      <c r="A710" s="11"/>
      <c r="B710" s="11"/>
      <c r="C710" s="11"/>
      <c r="D710" s="11"/>
      <c r="E710" s="11"/>
      <c r="F710" s="11"/>
      <c r="G710" s="11"/>
      <c r="H710" s="11"/>
      <c r="I710" s="11"/>
      <c r="J710" s="11"/>
      <c r="K710" s="11"/>
      <c r="L710" s="11"/>
      <c r="M710" s="755"/>
      <c r="N710" s="11"/>
      <c r="O710" s="11"/>
      <c r="P710" s="11"/>
      <c r="Q710" s="11"/>
      <c r="R710" s="11"/>
      <c r="S710" s="11"/>
      <c r="T710" s="11"/>
      <c r="U710" s="11"/>
      <c r="V710" s="11"/>
      <c r="W710" s="11"/>
      <c r="X710" s="11"/>
    </row>
    <row r="711" ht="13.5" customHeight="1">
      <c r="A711" s="11"/>
      <c r="B711" s="11"/>
      <c r="C711" s="11"/>
      <c r="D711" s="11"/>
      <c r="E711" s="11"/>
      <c r="F711" s="11"/>
      <c r="G711" s="11"/>
      <c r="H711" s="11"/>
      <c r="I711" s="11"/>
      <c r="J711" s="11"/>
      <c r="K711" s="11"/>
      <c r="L711" s="11"/>
      <c r="M711" s="755"/>
      <c r="N711" s="11"/>
      <c r="O711" s="11"/>
      <c r="P711" s="11"/>
      <c r="Q711" s="11"/>
      <c r="R711" s="11"/>
      <c r="S711" s="11"/>
      <c r="T711" s="11"/>
      <c r="U711" s="11"/>
      <c r="V711" s="11"/>
      <c r="W711" s="11"/>
      <c r="X711" s="11"/>
    </row>
    <row r="712" ht="13.5" customHeight="1">
      <c r="A712" s="11"/>
      <c r="B712" s="11"/>
      <c r="C712" s="11"/>
      <c r="D712" s="11"/>
      <c r="E712" s="11"/>
      <c r="F712" s="11"/>
      <c r="G712" s="11"/>
      <c r="H712" s="11"/>
      <c r="I712" s="11"/>
      <c r="J712" s="11"/>
      <c r="K712" s="11"/>
      <c r="L712" s="11"/>
      <c r="M712" s="755"/>
      <c r="N712" s="11"/>
      <c r="O712" s="11"/>
      <c r="P712" s="11"/>
      <c r="Q712" s="11"/>
      <c r="R712" s="11"/>
      <c r="S712" s="11"/>
      <c r="T712" s="11"/>
      <c r="U712" s="11"/>
      <c r="V712" s="11"/>
      <c r="W712" s="11"/>
      <c r="X712" s="11"/>
    </row>
    <row r="713" ht="13.5" customHeight="1">
      <c r="A713" s="11"/>
      <c r="B713" s="11"/>
      <c r="C713" s="11"/>
      <c r="D713" s="11"/>
      <c r="E713" s="11"/>
      <c r="F713" s="11"/>
      <c r="G713" s="11"/>
      <c r="H713" s="11"/>
      <c r="I713" s="11"/>
      <c r="J713" s="11"/>
      <c r="K713" s="11"/>
      <c r="L713" s="11"/>
      <c r="M713" s="755"/>
      <c r="N713" s="11"/>
      <c r="O713" s="11"/>
      <c r="P713" s="11"/>
      <c r="Q713" s="11"/>
      <c r="R713" s="11"/>
      <c r="S713" s="11"/>
      <c r="T713" s="11"/>
      <c r="U713" s="11"/>
      <c r="V713" s="11"/>
      <c r="W713" s="11"/>
      <c r="X713" s="11"/>
    </row>
    <row r="714" ht="13.5" customHeight="1">
      <c r="A714" s="11"/>
      <c r="B714" s="11"/>
      <c r="C714" s="11"/>
      <c r="D714" s="11"/>
      <c r="E714" s="11"/>
      <c r="F714" s="11"/>
      <c r="G714" s="11"/>
      <c r="H714" s="11"/>
      <c r="I714" s="11"/>
      <c r="J714" s="11"/>
      <c r="K714" s="11"/>
      <c r="L714" s="11"/>
      <c r="M714" s="755"/>
      <c r="N714" s="11"/>
      <c r="O714" s="11"/>
      <c r="P714" s="11"/>
      <c r="Q714" s="11"/>
      <c r="R714" s="11"/>
      <c r="S714" s="11"/>
      <c r="T714" s="11"/>
      <c r="U714" s="11"/>
      <c r="V714" s="11"/>
      <c r="W714" s="11"/>
      <c r="X714" s="11"/>
    </row>
    <row r="715" ht="13.5" customHeight="1">
      <c r="A715" s="11"/>
      <c r="B715" s="11"/>
      <c r="C715" s="11"/>
      <c r="D715" s="11"/>
      <c r="E715" s="11"/>
      <c r="F715" s="11"/>
      <c r="G715" s="11"/>
      <c r="H715" s="11"/>
      <c r="I715" s="11"/>
      <c r="J715" s="11"/>
      <c r="K715" s="11"/>
      <c r="L715" s="11"/>
      <c r="M715" s="755"/>
      <c r="N715" s="11"/>
      <c r="O715" s="11"/>
      <c r="P715" s="11"/>
      <c r="Q715" s="11"/>
      <c r="R715" s="11"/>
      <c r="S715" s="11"/>
      <c r="T715" s="11"/>
      <c r="U715" s="11"/>
      <c r="V715" s="11"/>
      <c r="W715" s="11"/>
      <c r="X715" s="11"/>
    </row>
    <row r="716" ht="13.5" customHeight="1">
      <c r="A716" s="11"/>
      <c r="B716" s="11"/>
      <c r="C716" s="11"/>
      <c r="D716" s="11"/>
      <c r="E716" s="11"/>
      <c r="F716" s="11"/>
      <c r="G716" s="11"/>
      <c r="H716" s="11"/>
      <c r="I716" s="11"/>
      <c r="J716" s="11"/>
      <c r="K716" s="11"/>
      <c r="L716" s="11"/>
      <c r="M716" s="755"/>
      <c r="N716" s="11"/>
      <c r="O716" s="11"/>
      <c r="P716" s="11"/>
      <c r="Q716" s="11"/>
      <c r="R716" s="11"/>
      <c r="S716" s="11"/>
      <c r="T716" s="11"/>
      <c r="U716" s="11"/>
      <c r="V716" s="11"/>
      <c r="W716" s="11"/>
      <c r="X716" s="11"/>
    </row>
    <row r="717" ht="13.5" customHeight="1">
      <c r="A717" s="11"/>
      <c r="B717" s="11"/>
      <c r="C717" s="11"/>
      <c r="D717" s="11"/>
      <c r="E717" s="11"/>
      <c r="F717" s="11"/>
      <c r="G717" s="11"/>
      <c r="H717" s="11"/>
      <c r="I717" s="11"/>
      <c r="J717" s="11"/>
      <c r="K717" s="11"/>
      <c r="L717" s="11"/>
      <c r="M717" s="755"/>
      <c r="N717" s="11"/>
      <c r="O717" s="11"/>
      <c r="P717" s="11"/>
      <c r="Q717" s="11"/>
      <c r="R717" s="11"/>
      <c r="S717" s="11"/>
      <c r="T717" s="11"/>
      <c r="U717" s="11"/>
      <c r="V717" s="11"/>
      <c r="W717" s="11"/>
      <c r="X717" s="11"/>
    </row>
    <row r="718" ht="13.5" customHeight="1">
      <c r="A718" s="11"/>
      <c r="B718" s="11"/>
      <c r="C718" s="11"/>
      <c r="D718" s="11"/>
      <c r="E718" s="11"/>
      <c r="F718" s="11"/>
      <c r="G718" s="11"/>
      <c r="H718" s="11"/>
      <c r="I718" s="11"/>
      <c r="J718" s="11"/>
      <c r="K718" s="11"/>
      <c r="L718" s="11"/>
      <c r="M718" s="755"/>
      <c r="N718" s="11"/>
      <c r="O718" s="11"/>
      <c r="P718" s="11"/>
      <c r="Q718" s="11"/>
      <c r="R718" s="11"/>
      <c r="S718" s="11"/>
      <c r="T718" s="11"/>
      <c r="U718" s="11"/>
      <c r="V718" s="11"/>
      <c r="W718" s="11"/>
      <c r="X718" s="11"/>
    </row>
    <row r="719" ht="13.5" customHeight="1">
      <c r="A719" s="11"/>
      <c r="B719" s="11"/>
      <c r="C719" s="11"/>
      <c r="D719" s="11"/>
      <c r="E719" s="11"/>
      <c r="F719" s="11"/>
      <c r="G719" s="11"/>
      <c r="H719" s="11"/>
      <c r="I719" s="11"/>
      <c r="J719" s="11"/>
      <c r="K719" s="11"/>
      <c r="L719" s="11"/>
      <c r="M719" s="755"/>
      <c r="N719" s="11"/>
      <c r="O719" s="11"/>
      <c r="P719" s="11"/>
      <c r="Q719" s="11"/>
      <c r="R719" s="11"/>
      <c r="S719" s="11"/>
      <c r="T719" s="11"/>
      <c r="U719" s="11"/>
      <c r="V719" s="11"/>
      <c r="W719" s="11"/>
      <c r="X719" s="11"/>
    </row>
    <row r="720" ht="13.5" customHeight="1">
      <c r="A720" s="11"/>
      <c r="B720" s="11"/>
      <c r="C720" s="11"/>
      <c r="D720" s="11"/>
      <c r="E720" s="11"/>
      <c r="F720" s="11"/>
      <c r="G720" s="11"/>
      <c r="H720" s="11"/>
      <c r="I720" s="11"/>
      <c r="J720" s="11"/>
      <c r="K720" s="11"/>
      <c r="L720" s="11"/>
      <c r="M720" s="755"/>
      <c r="N720" s="11"/>
      <c r="O720" s="11"/>
      <c r="P720" s="11"/>
      <c r="Q720" s="11"/>
      <c r="R720" s="11"/>
      <c r="S720" s="11"/>
      <c r="T720" s="11"/>
      <c r="U720" s="11"/>
      <c r="V720" s="11"/>
      <c r="W720" s="11"/>
      <c r="X720" s="11"/>
    </row>
    <row r="721" ht="13.5" customHeight="1">
      <c r="A721" s="11"/>
      <c r="B721" s="11"/>
      <c r="C721" s="11"/>
      <c r="D721" s="11"/>
      <c r="E721" s="11"/>
      <c r="F721" s="11"/>
      <c r="G721" s="11"/>
      <c r="H721" s="11"/>
      <c r="I721" s="11"/>
      <c r="J721" s="11"/>
      <c r="K721" s="11"/>
      <c r="L721" s="11"/>
      <c r="M721" s="755"/>
      <c r="N721" s="11"/>
      <c r="O721" s="11"/>
      <c r="P721" s="11"/>
      <c r="Q721" s="11"/>
      <c r="R721" s="11"/>
      <c r="S721" s="11"/>
      <c r="T721" s="11"/>
      <c r="U721" s="11"/>
      <c r="V721" s="11"/>
      <c r="W721" s="11"/>
      <c r="X721" s="11"/>
    </row>
    <row r="722" ht="13.5" customHeight="1">
      <c r="A722" s="11"/>
      <c r="B722" s="11"/>
      <c r="C722" s="11"/>
      <c r="D722" s="11"/>
      <c r="E722" s="11"/>
      <c r="F722" s="11"/>
      <c r="G722" s="11"/>
      <c r="H722" s="11"/>
      <c r="I722" s="11"/>
      <c r="J722" s="11"/>
      <c r="K722" s="11"/>
      <c r="L722" s="11"/>
      <c r="M722" s="755"/>
      <c r="N722" s="11"/>
      <c r="O722" s="11"/>
      <c r="P722" s="11"/>
      <c r="Q722" s="11"/>
      <c r="R722" s="11"/>
      <c r="S722" s="11"/>
      <c r="T722" s="11"/>
      <c r="U722" s="11"/>
      <c r="V722" s="11"/>
      <c r="W722" s="11"/>
      <c r="X722" s="11"/>
    </row>
    <row r="723" ht="13.5" customHeight="1">
      <c r="A723" s="11"/>
      <c r="B723" s="11"/>
      <c r="C723" s="11"/>
      <c r="D723" s="11"/>
      <c r="E723" s="11"/>
      <c r="F723" s="11"/>
      <c r="G723" s="11"/>
      <c r="H723" s="11"/>
      <c r="I723" s="11"/>
      <c r="J723" s="11"/>
      <c r="K723" s="11"/>
      <c r="L723" s="11"/>
      <c r="M723" s="755"/>
      <c r="N723" s="11"/>
      <c r="O723" s="11"/>
      <c r="P723" s="11"/>
      <c r="Q723" s="11"/>
      <c r="R723" s="11"/>
      <c r="S723" s="11"/>
      <c r="T723" s="11"/>
      <c r="U723" s="11"/>
      <c r="V723" s="11"/>
      <c r="W723" s="11"/>
      <c r="X723" s="11"/>
    </row>
    <row r="724" ht="15.0" customHeight="1">
      <c r="A724" s="11"/>
      <c r="B724" s="11"/>
      <c r="C724" s="11"/>
      <c r="D724" s="11"/>
      <c r="E724" s="11"/>
      <c r="F724" s="11"/>
      <c r="G724" s="11"/>
      <c r="H724" s="11"/>
      <c r="I724" s="11"/>
      <c r="J724" s="11"/>
      <c r="K724" s="11"/>
      <c r="L724" s="11"/>
      <c r="M724" s="755"/>
      <c r="N724" s="11"/>
      <c r="O724" s="11"/>
      <c r="P724" s="11"/>
      <c r="Q724" s="11"/>
      <c r="R724" s="11"/>
      <c r="S724" s="11"/>
      <c r="T724" s="11"/>
      <c r="U724" s="11"/>
      <c r="V724" s="11"/>
      <c r="W724" s="11"/>
      <c r="X724" s="11"/>
    </row>
    <row r="725" ht="15.75" customHeight="1">
      <c r="A725" s="11"/>
      <c r="B725" s="11"/>
      <c r="C725" s="11"/>
      <c r="D725" s="11"/>
      <c r="E725" s="11"/>
      <c r="F725" s="11"/>
      <c r="G725" s="11"/>
      <c r="H725" s="11"/>
      <c r="I725" s="11"/>
      <c r="J725" s="11"/>
      <c r="K725" s="11"/>
      <c r="L725" s="11"/>
      <c r="M725" s="755"/>
      <c r="N725" s="11"/>
      <c r="O725" s="11"/>
      <c r="P725" s="11"/>
      <c r="Q725" s="11"/>
      <c r="R725" s="11"/>
      <c r="S725" s="11"/>
      <c r="T725" s="11"/>
      <c r="U725" s="11"/>
      <c r="V725" s="11"/>
      <c r="W725" s="11"/>
      <c r="X725" s="11"/>
    </row>
    <row r="726" ht="13.5" customHeight="1">
      <c r="A726" s="11"/>
      <c r="B726" s="11"/>
      <c r="C726" s="11"/>
      <c r="D726" s="11"/>
      <c r="E726" s="11"/>
      <c r="F726" s="11"/>
      <c r="G726" s="11"/>
      <c r="H726" s="11"/>
      <c r="I726" s="11"/>
      <c r="J726" s="11"/>
      <c r="K726" s="11"/>
      <c r="L726" s="11"/>
      <c r="M726" s="755"/>
      <c r="N726" s="11"/>
      <c r="O726" s="11"/>
      <c r="P726" s="11"/>
      <c r="Q726" s="11"/>
      <c r="R726" s="11"/>
      <c r="S726" s="11"/>
      <c r="T726" s="11"/>
      <c r="U726" s="11"/>
      <c r="V726" s="11"/>
      <c r="W726" s="11"/>
      <c r="X726" s="11"/>
    </row>
    <row r="727" ht="13.5" customHeight="1">
      <c r="A727" s="11"/>
      <c r="B727" s="11"/>
      <c r="C727" s="11"/>
      <c r="D727" s="11"/>
      <c r="E727" s="11"/>
      <c r="F727" s="11"/>
      <c r="G727" s="11"/>
      <c r="H727" s="11"/>
      <c r="I727" s="11"/>
      <c r="J727" s="11"/>
      <c r="K727" s="11"/>
      <c r="L727" s="11"/>
      <c r="M727" s="755"/>
      <c r="N727" s="11"/>
      <c r="O727" s="11"/>
      <c r="P727" s="11"/>
      <c r="Q727" s="11"/>
      <c r="R727" s="11"/>
      <c r="S727" s="11"/>
      <c r="T727" s="11"/>
      <c r="U727" s="11"/>
      <c r="V727" s="11"/>
      <c r="W727" s="11"/>
      <c r="X727" s="11"/>
    </row>
    <row r="728" ht="13.5" customHeight="1">
      <c r="A728" s="11"/>
      <c r="B728" s="11"/>
      <c r="C728" s="11"/>
      <c r="D728" s="11"/>
      <c r="E728" s="11"/>
      <c r="F728" s="11"/>
      <c r="G728" s="11"/>
      <c r="H728" s="11"/>
      <c r="I728" s="11"/>
      <c r="J728" s="11"/>
      <c r="K728" s="11"/>
      <c r="L728" s="11"/>
      <c r="M728" s="755"/>
      <c r="N728" s="11"/>
      <c r="O728" s="11"/>
      <c r="P728" s="11"/>
      <c r="Q728" s="11"/>
      <c r="R728" s="11"/>
      <c r="S728" s="11"/>
      <c r="T728" s="11"/>
      <c r="U728" s="11"/>
      <c r="V728" s="11"/>
      <c r="W728" s="11"/>
      <c r="X728" s="11"/>
    </row>
    <row r="729" ht="13.5" customHeight="1">
      <c r="A729" s="11"/>
      <c r="B729" s="11"/>
      <c r="C729" s="11"/>
      <c r="D729" s="11"/>
      <c r="E729" s="11"/>
      <c r="F729" s="11"/>
      <c r="G729" s="11"/>
      <c r="H729" s="11"/>
      <c r="I729" s="11"/>
      <c r="J729" s="11"/>
      <c r="K729" s="11"/>
      <c r="L729" s="11"/>
      <c r="M729" s="755"/>
      <c r="N729" s="11"/>
      <c r="O729" s="11"/>
      <c r="P729" s="11"/>
      <c r="Q729" s="11"/>
      <c r="R729" s="11"/>
      <c r="S729" s="11"/>
      <c r="T729" s="11"/>
      <c r="U729" s="11"/>
      <c r="V729" s="11"/>
      <c r="W729" s="11"/>
      <c r="X729" s="11"/>
    </row>
    <row r="730" ht="15.0" customHeight="1">
      <c r="A730" s="11"/>
      <c r="B730" s="11"/>
      <c r="C730" s="11"/>
      <c r="D730" s="11"/>
      <c r="E730" s="11"/>
      <c r="F730" s="11"/>
      <c r="G730" s="11"/>
      <c r="H730" s="11"/>
      <c r="I730" s="11"/>
      <c r="J730" s="11"/>
      <c r="K730" s="11"/>
      <c r="L730" s="11"/>
      <c r="M730" s="755"/>
      <c r="N730" s="11"/>
      <c r="O730" s="11"/>
      <c r="P730" s="11"/>
      <c r="Q730" s="11"/>
      <c r="R730" s="11"/>
      <c r="S730" s="11"/>
      <c r="T730" s="11"/>
      <c r="U730" s="11"/>
      <c r="V730" s="11"/>
      <c r="W730" s="11"/>
      <c r="X730" s="11"/>
    </row>
    <row r="731" ht="13.5" customHeight="1">
      <c r="A731" s="11"/>
      <c r="B731" s="11"/>
      <c r="C731" s="11"/>
      <c r="D731" s="11"/>
      <c r="E731" s="11"/>
      <c r="F731" s="11"/>
      <c r="G731" s="11"/>
      <c r="H731" s="11"/>
      <c r="I731" s="11"/>
      <c r="J731" s="11"/>
      <c r="K731" s="11"/>
      <c r="L731" s="11"/>
      <c r="M731" s="755"/>
      <c r="N731" s="11"/>
      <c r="O731" s="11"/>
      <c r="P731" s="11"/>
      <c r="Q731" s="11"/>
      <c r="R731" s="11"/>
      <c r="S731" s="11"/>
      <c r="T731" s="11"/>
      <c r="U731" s="11"/>
      <c r="V731" s="11"/>
      <c r="W731" s="11"/>
      <c r="X731" s="11"/>
    </row>
    <row r="732" ht="15.0" customHeight="1">
      <c r="A732" s="11"/>
      <c r="B732" s="11"/>
      <c r="C732" s="11"/>
      <c r="D732" s="11"/>
      <c r="E732" s="11"/>
      <c r="F732" s="11"/>
      <c r="G732" s="11"/>
      <c r="H732" s="11"/>
      <c r="I732" s="11"/>
      <c r="J732" s="11"/>
      <c r="K732" s="11"/>
      <c r="L732" s="11"/>
      <c r="M732" s="755"/>
      <c r="N732" s="11"/>
      <c r="O732" s="11"/>
      <c r="P732" s="11"/>
      <c r="Q732" s="11"/>
      <c r="R732" s="11"/>
      <c r="S732" s="11"/>
      <c r="T732" s="11"/>
      <c r="U732" s="11"/>
      <c r="V732" s="11"/>
      <c r="W732" s="11"/>
      <c r="X732" s="11"/>
    </row>
    <row r="733" ht="13.5" customHeight="1">
      <c r="A733" s="11"/>
      <c r="B733" s="11"/>
      <c r="C733" s="11"/>
      <c r="D733" s="11"/>
      <c r="E733" s="11"/>
      <c r="F733" s="11"/>
      <c r="G733" s="11"/>
      <c r="H733" s="11"/>
      <c r="I733" s="11"/>
      <c r="J733" s="11"/>
      <c r="K733" s="11"/>
      <c r="L733" s="11"/>
      <c r="M733" s="755"/>
      <c r="N733" s="11"/>
      <c r="O733" s="11"/>
      <c r="P733" s="11"/>
      <c r="Q733" s="11"/>
      <c r="R733" s="11"/>
      <c r="S733" s="11"/>
      <c r="T733" s="11"/>
      <c r="U733" s="11"/>
      <c r="V733" s="11"/>
      <c r="W733" s="11"/>
      <c r="X733" s="11"/>
    </row>
    <row r="734" ht="13.5" customHeight="1">
      <c r="A734" s="11"/>
      <c r="B734" s="11"/>
      <c r="C734" s="11"/>
      <c r="D734" s="11"/>
      <c r="E734" s="11"/>
      <c r="F734" s="11"/>
      <c r="G734" s="11"/>
      <c r="H734" s="11"/>
      <c r="I734" s="11"/>
      <c r="J734" s="11"/>
      <c r="K734" s="11"/>
      <c r="L734" s="11"/>
      <c r="M734" s="755"/>
      <c r="N734" s="11"/>
      <c r="O734" s="11"/>
      <c r="P734" s="11"/>
      <c r="Q734" s="11"/>
      <c r="R734" s="11"/>
      <c r="S734" s="11"/>
      <c r="T734" s="11"/>
      <c r="U734" s="11"/>
      <c r="V734" s="11"/>
      <c r="W734" s="11"/>
      <c r="X734" s="11"/>
    </row>
    <row r="735" ht="13.5" customHeight="1">
      <c r="A735" s="11"/>
      <c r="B735" s="11"/>
      <c r="C735" s="11"/>
      <c r="D735" s="11"/>
      <c r="E735" s="11"/>
      <c r="F735" s="11"/>
      <c r="G735" s="11"/>
      <c r="H735" s="11"/>
      <c r="I735" s="11"/>
      <c r="J735" s="11"/>
      <c r="K735" s="11"/>
      <c r="L735" s="11"/>
      <c r="M735" s="755"/>
      <c r="N735" s="11"/>
      <c r="O735" s="11"/>
      <c r="P735" s="11"/>
      <c r="Q735" s="11"/>
      <c r="R735" s="11"/>
      <c r="S735" s="11"/>
      <c r="T735" s="11"/>
      <c r="U735" s="11"/>
      <c r="V735" s="11"/>
      <c r="W735" s="11"/>
      <c r="X735" s="11"/>
    </row>
    <row r="736" ht="13.5" customHeight="1">
      <c r="A736" s="11"/>
      <c r="B736" s="11"/>
      <c r="C736" s="11"/>
      <c r="D736" s="11"/>
      <c r="E736" s="11"/>
      <c r="F736" s="11"/>
      <c r="G736" s="11"/>
      <c r="H736" s="11"/>
      <c r="I736" s="11"/>
      <c r="J736" s="11"/>
      <c r="K736" s="11"/>
      <c r="L736" s="11"/>
      <c r="M736" s="755"/>
      <c r="N736" s="11"/>
      <c r="O736" s="11"/>
      <c r="P736" s="11"/>
      <c r="Q736" s="11"/>
      <c r="R736" s="11"/>
      <c r="S736" s="11"/>
      <c r="T736" s="11"/>
      <c r="U736" s="11"/>
      <c r="V736" s="11"/>
      <c r="W736" s="11"/>
      <c r="X736" s="11"/>
    </row>
    <row r="737" ht="13.5" customHeight="1">
      <c r="A737" s="11"/>
      <c r="B737" s="11"/>
      <c r="C737" s="11"/>
      <c r="D737" s="11"/>
      <c r="E737" s="11"/>
      <c r="F737" s="11"/>
      <c r="G737" s="11"/>
      <c r="H737" s="11"/>
      <c r="I737" s="11"/>
      <c r="J737" s="11"/>
      <c r="K737" s="11"/>
      <c r="L737" s="11"/>
      <c r="M737" s="755"/>
      <c r="N737" s="11"/>
      <c r="O737" s="11"/>
      <c r="P737" s="11"/>
      <c r="Q737" s="11"/>
      <c r="R737" s="11"/>
      <c r="S737" s="11"/>
      <c r="T737" s="11"/>
      <c r="U737" s="11"/>
      <c r="V737" s="11"/>
      <c r="W737" s="11"/>
      <c r="X737" s="11"/>
    </row>
    <row r="738" ht="13.5" customHeight="1">
      <c r="A738" s="11"/>
      <c r="B738" s="11"/>
      <c r="C738" s="11"/>
      <c r="D738" s="11"/>
      <c r="E738" s="11"/>
      <c r="F738" s="11"/>
      <c r="G738" s="11"/>
      <c r="H738" s="11"/>
      <c r="I738" s="11"/>
      <c r="J738" s="11"/>
      <c r="K738" s="11"/>
      <c r="L738" s="11"/>
      <c r="M738" s="755"/>
      <c r="N738" s="11"/>
      <c r="O738" s="11"/>
      <c r="P738" s="11"/>
      <c r="Q738" s="11"/>
      <c r="R738" s="11"/>
      <c r="S738" s="11"/>
      <c r="T738" s="11"/>
      <c r="U738" s="11"/>
      <c r="V738" s="11"/>
      <c r="W738" s="11"/>
      <c r="X738" s="11"/>
    </row>
    <row r="739" ht="13.5" customHeight="1">
      <c r="A739" s="11"/>
      <c r="B739" s="11"/>
      <c r="C739" s="11"/>
      <c r="D739" s="11"/>
      <c r="E739" s="11"/>
      <c r="F739" s="11"/>
      <c r="G739" s="11"/>
      <c r="H739" s="11"/>
      <c r="I739" s="11"/>
      <c r="J739" s="11"/>
      <c r="K739" s="11"/>
      <c r="L739" s="11"/>
      <c r="M739" s="755"/>
      <c r="N739" s="11"/>
      <c r="O739" s="11"/>
      <c r="P739" s="11"/>
      <c r="Q739" s="11"/>
      <c r="R739" s="11"/>
      <c r="S739" s="11"/>
      <c r="T739" s="11"/>
      <c r="U739" s="11"/>
      <c r="V739" s="11"/>
      <c r="W739" s="11"/>
      <c r="X739" s="11"/>
    </row>
    <row r="740" ht="13.5" customHeight="1">
      <c r="A740" s="11"/>
      <c r="B740" s="11"/>
      <c r="C740" s="11"/>
      <c r="D740" s="11"/>
      <c r="E740" s="11"/>
      <c r="F740" s="11"/>
      <c r="G740" s="11"/>
      <c r="H740" s="11"/>
      <c r="I740" s="11"/>
      <c r="J740" s="11"/>
      <c r="K740" s="11"/>
      <c r="L740" s="11"/>
      <c r="M740" s="755"/>
      <c r="N740" s="11"/>
      <c r="O740" s="11"/>
      <c r="P740" s="11"/>
      <c r="Q740" s="11"/>
      <c r="R740" s="11"/>
      <c r="S740" s="11"/>
      <c r="T740" s="11"/>
      <c r="U740" s="11"/>
      <c r="V740" s="11"/>
      <c r="W740" s="11"/>
      <c r="X740" s="11"/>
    </row>
    <row r="741" ht="13.5" customHeight="1">
      <c r="A741" s="11"/>
      <c r="B741" s="11"/>
      <c r="C741" s="11"/>
      <c r="D741" s="11"/>
      <c r="E741" s="11"/>
      <c r="F741" s="11"/>
      <c r="G741" s="11"/>
      <c r="H741" s="11"/>
      <c r="I741" s="11"/>
      <c r="J741" s="11"/>
      <c r="K741" s="11"/>
      <c r="L741" s="11"/>
      <c r="M741" s="755"/>
      <c r="N741" s="11"/>
      <c r="O741" s="11"/>
      <c r="P741" s="11"/>
      <c r="Q741" s="11"/>
      <c r="R741" s="11"/>
      <c r="S741" s="11"/>
      <c r="T741" s="11"/>
      <c r="U741" s="11"/>
      <c r="V741" s="11"/>
      <c r="W741" s="11"/>
      <c r="X741" s="11"/>
    </row>
    <row r="742" ht="13.5" customHeight="1">
      <c r="A742" s="11"/>
      <c r="B742" s="11"/>
      <c r="C742" s="11"/>
      <c r="D742" s="11"/>
      <c r="E742" s="11"/>
      <c r="F742" s="11"/>
      <c r="G742" s="11"/>
      <c r="H742" s="11"/>
      <c r="I742" s="11"/>
      <c r="J742" s="11"/>
      <c r="K742" s="11"/>
      <c r="L742" s="11"/>
      <c r="M742" s="755"/>
      <c r="N742" s="11"/>
      <c r="O742" s="11"/>
      <c r="P742" s="11"/>
      <c r="Q742" s="11"/>
      <c r="R742" s="11"/>
      <c r="S742" s="11"/>
      <c r="T742" s="11"/>
      <c r="U742" s="11"/>
      <c r="V742" s="11"/>
      <c r="W742" s="11"/>
      <c r="X742" s="11"/>
    </row>
    <row r="743" ht="13.5" customHeight="1">
      <c r="A743" s="11"/>
      <c r="B743" s="11"/>
      <c r="C743" s="11"/>
      <c r="D743" s="11"/>
      <c r="E743" s="11"/>
      <c r="F743" s="11"/>
      <c r="G743" s="11"/>
      <c r="H743" s="11"/>
      <c r="I743" s="11"/>
      <c r="J743" s="11"/>
      <c r="K743" s="11"/>
      <c r="L743" s="11"/>
      <c r="M743" s="755"/>
      <c r="N743" s="11"/>
      <c r="O743" s="11"/>
      <c r="P743" s="11"/>
      <c r="Q743" s="11"/>
      <c r="R743" s="11"/>
      <c r="S743" s="11"/>
      <c r="T743" s="11"/>
      <c r="U743" s="11"/>
      <c r="V743" s="11"/>
      <c r="W743" s="11"/>
      <c r="X743" s="11"/>
    </row>
    <row r="744" ht="13.5" customHeight="1">
      <c r="A744" s="11"/>
      <c r="B744" s="11"/>
      <c r="C744" s="11"/>
      <c r="D744" s="11"/>
      <c r="E744" s="11"/>
      <c r="F744" s="11"/>
      <c r="G744" s="11"/>
      <c r="H744" s="11"/>
      <c r="I744" s="11"/>
      <c r="J744" s="11"/>
      <c r="K744" s="11"/>
      <c r="L744" s="11"/>
      <c r="M744" s="755"/>
      <c r="N744" s="11"/>
      <c r="O744" s="11"/>
      <c r="P744" s="11"/>
      <c r="Q744" s="11"/>
      <c r="R744" s="11"/>
      <c r="S744" s="11"/>
      <c r="T744" s="11"/>
      <c r="U744" s="11"/>
      <c r="V744" s="11"/>
      <c r="W744" s="11"/>
      <c r="X744" s="11"/>
    </row>
    <row r="745" ht="13.5" customHeight="1">
      <c r="A745" s="11"/>
      <c r="B745" s="11"/>
      <c r="C745" s="11"/>
      <c r="D745" s="11"/>
      <c r="E745" s="11"/>
      <c r="F745" s="11"/>
      <c r="G745" s="11"/>
      <c r="H745" s="11"/>
      <c r="I745" s="11"/>
      <c r="J745" s="11"/>
      <c r="K745" s="11"/>
      <c r="L745" s="11"/>
      <c r="M745" s="755"/>
      <c r="N745" s="11"/>
      <c r="O745" s="11"/>
      <c r="P745" s="11"/>
      <c r="Q745" s="11"/>
      <c r="R745" s="11"/>
      <c r="S745" s="11"/>
      <c r="T745" s="11"/>
      <c r="U745" s="11"/>
      <c r="V745" s="11"/>
      <c r="W745" s="11"/>
      <c r="X745" s="11"/>
    </row>
    <row r="746" ht="13.5" customHeight="1">
      <c r="A746" s="11"/>
      <c r="B746" s="11"/>
      <c r="C746" s="11"/>
      <c r="D746" s="11"/>
      <c r="E746" s="11"/>
      <c r="F746" s="11"/>
      <c r="G746" s="11"/>
      <c r="H746" s="11"/>
      <c r="I746" s="11"/>
      <c r="J746" s="11"/>
      <c r="K746" s="11"/>
      <c r="L746" s="11"/>
      <c r="M746" s="755"/>
      <c r="N746" s="11"/>
      <c r="O746" s="11"/>
      <c r="P746" s="11"/>
      <c r="Q746" s="11"/>
      <c r="R746" s="11"/>
      <c r="S746" s="11"/>
      <c r="T746" s="11"/>
      <c r="U746" s="11"/>
      <c r="V746" s="11"/>
      <c r="W746" s="11"/>
      <c r="X746" s="11"/>
    </row>
    <row r="747" ht="13.5" customHeight="1">
      <c r="A747" s="11"/>
      <c r="B747" s="11"/>
      <c r="C747" s="11"/>
      <c r="D747" s="11"/>
      <c r="E747" s="11"/>
      <c r="F747" s="11"/>
      <c r="G747" s="11"/>
      <c r="H747" s="11"/>
      <c r="I747" s="11"/>
      <c r="J747" s="11"/>
      <c r="K747" s="11"/>
      <c r="L747" s="11"/>
      <c r="M747" s="755"/>
      <c r="N747" s="11"/>
      <c r="O747" s="11"/>
      <c r="P747" s="11"/>
      <c r="Q747" s="11"/>
      <c r="R747" s="11"/>
      <c r="S747" s="11"/>
      <c r="T747" s="11"/>
      <c r="U747" s="11"/>
      <c r="V747" s="11"/>
      <c r="W747" s="11"/>
      <c r="X747" s="11"/>
    </row>
    <row r="748" ht="13.5" customHeight="1">
      <c r="A748" s="11"/>
      <c r="B748" s="11"/>
      <c r="C748" s="11"/>
      <c r="D748" s="11"/>
      <c r="E748" s="11"/>
      <c r="F748" s="11"/>
      <c r="G748" s="11"/>
      <c r="H748" s="11"/>
      <c r="I748" s="11"/>
      <c r="J748" s="11"/>
      <c r="K748" s="11"/>
      <c r="L748" s="11"/>
      <c r="M748" s="755"/>
      <c r="N748" s="11"/>
      <c r="O748" s="11"/>
      <c r="P748" s="11"/>
      <c r="Q748" s="11"/>
      <c r="R748" s="11"/>
      <c r="S748" s="11"/>
      <c r="T748" s="11"/>
      <c r="U748" s="11"/>
      <c r="V748" s="11"/>
      <c r="W748" s="11"/>
      <c r="X748" s="11"/>
    </row>
    <row r="749" ht="13.5" customHeight="1">
      <c r="A749" s="11"/>
      <c r="B749" s="11"/>
      <c r="C749" s="11"/>
      <c r="D749" s="11"/>
      <c r="E749" s="11"/>
      <c r="F749" s="11"/>
      <c r="G749" s="11"/>
      <c r="H749" s="11"/>
      <c r="I749" s="11"/>
      <c r="J749" s="11"/>
      <c r="K749" s="11"/>
      <c r="L749" s="11"/>
      <c r="M749" s="755"/>
      <c r="N749" s="11"/>
      <c r="O749" s="11"/>
      <c r="P749" s="11"/>
      <c r="Q749" s="11"/>
      <c r="R749" s="11"/>
      <c r="S749" s="11"/>
      <c r="T749" s="11"/>
      <c r="U749" s="11"/>
      <c r="V749" s="11"/>
      <c r="W749" s="11"/>
      <c r="X749" s="11"/>
    </row>
    <row r="750" ht="13.5" customHeight="1">
      <c r="A750" s="11"/>
      <c r="B750" s="11"/>
      <c r="C750" s="11"/>
      <c r="D750" s="11"/>
      <c r="E750" s="11"/>
      <c r="F750" s="11"/>
      <c r="G750" s="11"/>
      <c r="H750" s="11"/>
      <c r="I750" s="11"/>
      <c r="J750" s="11"/>
      <c r="K750" s="11"/>
      <c r="L750" s="11"/>
      <c r="M750" s="755"/>
      <c r="N750" s="11"/>
      <c r="O750" s="11"/>
      <c r="P750" s="11"/>
      <c r="Q750" s="11"/>
      <c r="R750" s="11"/>
      <c r="S750" s="11"/>
      <c r="T750" s="11"/>
      <c r="U750" s="11"/>
      <c r="V750" s="11"/>
      <c r="W750" s="11"/>
      <c r="X750" s="11"/>
    </row>
    <row r="751" ht="13.5" customHeight="1">
      <c r="A751" s="11"/>
      <c r="B751" s="11"/>
      <c r="C751" s="11"/>
      <c r="D751" s="11"/>
      <c r="E751" s="11"/>
      <c r="F751" s="11"/>
      <c r="G751" s="11"/>
      <c r="H751" s="11"/>
      <c r="I751" s="11"/>
      <c r="J751" s="11"/>
      <c r="K751" s="11"/>
      <c r="L751" s="11"/>
      <c r="M751" s="755"/>
      <c r="N751" s="11"/>
      <c r="O751" s="11"/>
      <c r="P751" s="11"/>
      <c r="Q751" s="11"/>
      <c r="R751" s="11"/>
      <c r="S751" s="11"/>
      <c r="T751" s="11"/>
      <c r="U751" s="11"/>
      <c r="V751" s="11"/>
      <c r="W751" s="11"/>
      <c r="X751" s="11"/>
    </row>
    <row r="752" ht="13.5" customHeight="1">
      <c r="A752" s="11"/>
      <c r="B752" s="11"/>
      <c r="C752" s="11"/>
      <c r="D752" s="11"/>
      <c r="E752" s="11"/>
      <c r="F752" s="11"/>
      <c r="G752" s="11"/>
      <c r="H752" s="11"/>
      <c r="I752" s="11"/>
      <c r="J752" s="11"/>
      <c r="K752" s="11"/>
      <c r="L752" s="11"/>
      <c r="M752" s="755"/>
      <c r="N752" s="11"/>
      <c r="O752" s="11"/>
      <c r="P752" s="11"/>
      <c r="Q752" s="11"/>
      <c r="R752" s="11"/>
      <c r="S752" s="11"/>
      <c r="T752" s="11"/>
      <c r="U752" s="11"/>
      <c r="V752" s="11"/>
      <c r="W752" s="11"/>
      <c r="X752" s="11"/>
    </row>
    <row r="753" ht="13.5" customHeight="1">
      <c r="A753" s="11"/>
      <c r="B753" s="11"/>
      <c r="C753" s="11"/>
      <c r="D753" s="11"/>
      <c r="E753" s="11"/>
      <c r="F753" s="11"/>
      <c r="G753" s="11"/>
      <c r="H753" s="11"/>
      <c r="I753" s="11"/>
      <c r="J753" s="11"/>
      <c r="K753" s="11"/>
      <c r="L753" s="11"/>
      <c r="M753" s="755"/>
      <c r="N753" s="11"/>
      <c r="O753" s="11"/>
      <c r="P753" s="11"/>
      <c r="Q753" s="11"/>
      <c r="R753" s="11"/>
      <c r="S753" s="11"/>
      <c r="T753" s="11"/>
      <c r="U753" s="11"/>
      <c r="V753" s="11"/>
      <c r="W753" s="11"/>
      <c r="X753" s="11"/>
    </row>
    <row r="754" ht="13.5" customHeight="1">
      <c r="A754" s="11"/>
      <c r="B754" s="11"/>
      <c r="C754" s="11"/>
      <c r="D754" s="11"/>
      <c r="E754" s="11"/>
      <c r="F754" s="11"/>
      <c r="G754" s="11"/>
      <c r="H754" s="11"/>
      <c r="I754" s="11"/>
      <c r="J754" s="11"/>
      <c r="K754" s="11"/>
      <c r="L754" s="11"/>
      <c r="M754" s="755"/>
      <c r="N754" s="11"/>
      <c r="O754" s="11"/>
      <c r="P754" s="11"/>
      <c r="Q754" s="11"/>
      <c r="R754" s="11"/>
      <c r="S754" s="11"/>
      <c r="T754" s="11"/>
      <c r="U754" s="11"/>
      <c r="V754" s="11"/>
      <c r="W754" s="11"/>
      <c r="X754" s="11"/>
    </row>
    <row r="755" ht="13.5" customHeight="1">
      <c r="A755" s="11"/>
      <c r="B755" s="11"/>
      <c r="C755" s="11"/>
      <c r="D755" s="11"/>
      <c r="E755" s="11"/>
      <c r="F755" s="11"/>
      <c r="G755" s="11"/>
      <c r="H755" s="11"/>
      <c r="I755" s="11"/>
      <c r="J755" s="11"/>
      <c r="K755" s="11"/>
      <c r="L755" s="11"/>
      <c r="M755" s="755"/>
      <c r="N755" s="11"/>
      <c r="O755" s="11"/>
      <c r="P755" s="11"/>
      <c r="Q755" s="11"/>
      <c r="R755" s="11"/>
      <c r="S755" s="11"/>
      <c r="T755" s="11"/>
      <c r="U755" s="11"/>
      <c r="V755" s="11"/>
      <c r="W755" s="11"/>
      <c r="X755" s="11"/>
    </row>
    <row r="756" ht="13.5" customHeight="1">
      <c r="A756" s="11"/>
      <c r="B756" s="11"/>
      <c r="C756" s="11"/>
      <c r="D756" s="11"/>
      <c r="E756" s="11"/>
      <c r="F756" s="11"/>
      <c r="G756" s="11"/>
      <c r="H756" s="11"/>
      <c r="I756" s="11"/>
      <c r="J756" s="11"/>
      <c r="K756" s="11"/>
      <c r="L756" s="11"/>
      <c r="M756" s="755"/>
      <c r="N756" s="11"/>
      <c r="O756" s="11"/>
      <c r="P756" s="11"/>
      <c r="Q756" s="11"/>
      <c r="R756" s="11"/>
      <c r="S756" s="11"/>
      <c r="T756" s="11"/>
      <c r="U756" s="11"/>
      <c r="V756" s="11"/>
      <c r="W756" s="11"/>
      <c r="X756" s="11"/>
    </row>
    <row r="757" ht="13.5" customHeight="1">
      <c r="A757" s="11"/>
      <c r="B757" s="11"/>
      <c r="C757" s="11"/>
      <c r="D757" s="11"/>
      <c r="E757" s="11"/>
      <c r="F757" s="11"/>
      <c r="G757" s="11"/>
      <c r="H757" s="11"/>
      <c r="I757" s="11"/>
      <c r="J757" s="11"/>
      <c r="K757" s="11"/>
      <c r="L757" s="11"/>
      <c r="M757" s="755"/>
      <c r="N757" s="11"/>
      <c r="O757" s="11"/>
      <c r="P757" s="11"/>
      <c r="Q757" s="11"/>
      <c r="R757" s="11"/>
      <c r="S757" s="11"/>
      <c r="T757" s="11"/>
      <c r="U757" s="11"/>
      <c r="V757" s="11"/>
      <c r="W757" s="11"/>
      <c r="X757" s="11"/>
    </row>
    <row r="758" ht="13.5" customHeight="1">
      <c r="A758" s="11"/>
      <c r="B758" s="11"/>
      <c r="C758" s="11"/>
      <c r="D758" s="11"/>
      <c r="E758" s="11"/>
      <c r="F758" s="11"/>
      <c r="G758" s="11"/>
      <c r="H758" s="11"/>
      <c r="I758" s="11"/>
      <c r="J758" s="11"/>
      <c r="K758" s="11"/>
      <c r="L758" s="11"/>
      <c r="M758" s="755"/>
      <c r="N758" s="11"/>
      <c r="O758" s="11"/>
      <c r="P758" s="11"/>
      <c r="Q758" s="11"/>
      <c r="R758" s="11"/>
      <c r="S758" s="11"/>
      <c r="T758" s="11"/>
      <c r="U758" s="11"/>
      <c r="V758" s="11"/>
      <c r="W758" s="11"/>
      <c r="X758" s="11"/>
    </row>
    <row r="759" ht="13.5" customHeight="1">
      <c r="A759" s="11"/>
      <c r="B759" s="11"/>
      <c r="C759" s="11"/>
      <c r="D759" s="11"/>
      <c r="E759" s="11"/>
      <c r="F759" s="11"/>
      <c r="G759" s="11"/>
      <c r="H759" s="11"/>
      <c r="I759" s="11"/>
      <c r="J759" s="11"/>
      <c r="K759" s="11"/>
      <c r="L759" s="11"/>
      <c r="M759" s="755"/>
      <c r="N759" s="11"/>
      <c r="O759" s="11"/>
      <c r="P759" s="11"/>
      <c r="Q759" s="11"/>
      <c r="R759" s="11"/>
      <c r="S759" s="11"/>
      <c r="T759" s="11"/>
      <c r="U759" s="11"/>
      <c r="V759" s="11"/>
      <c r="W759" s="11"/>
      <c r="X759" s="11"/>
    </row>
    <row r="760" ht="13.5" customHeight="1">
      <c r="A760" s="11"/>
      <c r="B760" s="11"/>
      <c r="C760" s="11"/>
      <c r="D760" s="11"/>
      <c r="E760" s="11"/>
      <c r="F760" s="11"/>
      <c r="G760" s="11"/>
      <c r="H760" s="11"/>
      <c r="I760" s="11"/>
      <c r="J760" s="11"/>
      <c r="K760" s="11"/>
      <c r="L760" s="11"/>
      <c r="M760" s="755"/>
      <c r="N760" s="11"/>
      <c r="O760" s="11"/>
      <c r="P760" s="11"/>
      <c r="Q760" s="11"/>
      <c r="R760" s="11"/>
      <c r="S760" s="11"/>
      <c r="T760" s="11"/>
      <c r="U760" s="11"/>
      <c r="V760" s="11"/>
      <c r="W760" s="11"/>
      <c r="X760" s="11"/>
    </row>
    <row r="761" ht="13.5" customHeight="1">
      <c r="A761" s="11"/>
      <c r="B761" s="11"/>
      <c r="C761" s="11"/>
      <c r="D761" s="11"/>
      <c r="E761" s="11"/>
      <c r="F761" s="11"/>
      <c r="G761" s="11"/>
      <c r="H761" s="11"/>
      <c r="I761" s="11"/>
      <c r="J761" s="11"/>
      <c r="K761" s="11"/>
      <c r="L761" s="11"/>
      <c r="M761" s="755"/>
      <c r="N761" s="11"/>
      <c r="O761" s="11"/>
      <c r="P761" s="11"/>
      <c r="Q761" s="11"/>
      <c r="R761" s="11"/>
      <c r="S761" s="11"/>
      <c r="T761" s="11"/>
      <c r="U761" s="11"/>
      <c r="V761" s="11"/>
      <c r="W761" s="11"/>
      <c r="X761" s="11"/>
    </row>
    <row r="762" ht="13.5" customHeight="1">
      <c r="A762" s="11"/>
      <c r="B762" s="11"/>
      <c r="C762" s="11"/>
      <c r="D762" s="11"/>
      <c r="E762" s="11"/>
      <c r="F762" s="11"/>
      <c r="G762" s="11"/>
      <c r="H762" s="11"/>
      <c r="I762" s="11"/>
      <c r="J762" s="11"/>
      <c r="K762" s="11"/>
      <c r="L762" s="11"/>
      <c r="M762" s="755"/>
      <c r="N762" s="11"/>
      <c r="O762" s="11"/>
      <c r="P762" s="11"/>
      <c r="Q762" s="11"/>
      <c r="R762" s="11"/>
      <c r="S762" s="11"/>
      <c r="T762" s="11"/>
      <c r="U762" s="11"/>
      <c r="V762" s="11"/>
      <c r="W762" s="11"/>
      <c r="X762" s="11"/>
    </row>
    <row r="763" ht="15.0" customHeight="1">
      <c r="A763" s="11"/>
      <c r="B763" s="11"/>
      <c r="C763" s="11"/>
      <c r="D763" s="11"/>
      <c r="E763" s="11"/>
      <c r="F763" s="11"/>
      <c r="G763" s="11"/>
      <c r="H763" s="11"/>
      <c r="I763" s="11"/>
      <c r="J763" s="11"/>
      <c r="K763" s="11"/>
      <c r="L763" s="11"/>
      <c r="M763" s="755"/>
      <c r="N763" s="11"/>
      <c r="O763" s="11"/>
      <c r="P763" s="11"/>
      <c r="Q763" s="11"/>
      <c r="R763" s="11"/>
      <c r="S763" s="11"/>
      <c r="T763" s="11"/>
      <c r="U763" s="11"/>
      <c r="V763" s="11"/>
      <c r="W763" s="11"/>
      <c r="X763" s="11"/>
    </row>
    <row r="764" ht="13.5" customHeight="1">
      <c r="A764" s="11"/>
      <c r="B764" s="11"/>
      <c r="C764" s="11"/>
      <c r="D764" s="11"/>
      <c r="E764" s="11"/>
      <c r="F764" s="11"/>
      <c r="G764" s="11"/>
      <c r="H764" s="11"/>
      <c r="I764" s="11"/>
      <c r="J764" s="11"/>
      <c r="K764" s="11"/>
      <c r="L764" s="11"/>
      <c r="M764" s="755"/>
      <c r="N764" s="11"/>
      <c r="O764" s="11"/>
      <c r="P764" s="11"/>
      <c r="Q764" s="11"/>
      <c r="R764" s="11"/>
      <c r="S764" s="11"/>
      <c r="T764" s="11"/>
      <c r="U764" s="11"/>
      <c r="V764" s="11"/>
      <c r="W764" s="11"/>
      <c r="X764" s="11"/>
    </row>
    <row r="765" ht="13.5" customHeight="1">
      <c r="A765" s="11"/>
      <c r="B765" s="11"/>
      <c r="C765" s="11"/>
      <c r="D765" s="11"/>
      <c r="E765" s="11"/>
      <c r="F765" s="11"/>
      <c r="G765" s="11"/>
      <c r="H765" s="11"/>
      <c r="I765" s="11"/>
      <c r="J765" s="11"/>
      <c r="K765" s="11"/>
      <c r="L765" s="11"/>
      <c r="M765" s="755"/>
      <c r="N765" s="11"/>
      <c r="O765" s="11"/>
      <c r="P765" s="11"/>
      <c r="Q765" s="11"/>
      <c r="R765" s="11"/>
      <c r="S765" s="11"/>
      <c r="T765" s="11"/>
      <c r="U765" s="11"/>
      <c r="V765" s="11"/>
      <c r="W765" s="11"/>
      <c r="X765" s="11"/>
    </row>
    <row r="766" ht="13.5" customHeight="1">
      <c r="A766" s="11"/>
      <c r="B766" s="11"/>
      <c r="C766" s="11"/>
      <c r="D766" s="11"/>
      <c r="E766" s="11"/>
      <c r="F766" s="11"/>
      <c r="G766" s="11"/>
      <c r="H766" s="11"/>
      <c r="I766" s="11"/>
      <c r="J766" s="11"/>
      <c r="K766" s="11"/>
      <c r="L766" s="11"/>
      <c r="M766" s="755"/>
      <c r="N766" s="11"/>
      <c r="O766" s="11"/>
      <c r="P766" s="11"/>
      <c r="Q766" s="11"/>
      <c r="R766" s="11"/>
      <c r="S766" s="11"/>
      <c r="T766" s="11"/>
      <c r="U766" s="11"/>
      <c r="V766" s="11"/>
      <c r="W766" s="11"/>
      <c r="X766" s="11"/>
    </row>
    <row r="767" ht="15.0" customHeight="1">
      <c r="A767" s="11"/>
      <c r="B767" s="11"/>
      <c r="C767" s="11"/>
      <c r="D767" s="11"/>
      <c r="E767" s="11"/>
      <c r="F767" s="11"/>
      <c r="G767" s="11"/>
      <c r="H767" s="11"/>
      <c r="I767" s="11"/>
      <c r="J767" s="11"/>
      <c r="K767" s="11"/>
      <c r="L767" s="11"/>
      <c r="M767" s="755"/>
      <c r="N767" s="11"/>
      <c r="O767" s="11"/>
      <c r="P767" s="11"/>
      <c r="Q767" s="11"/>
      <c r="R767" s="11"/>
      <c r="S767" s="11"/>
      <c r="T767" s="11"/>
      <c r="U767" s="11"/>
      <c r="V767" s="11"/>
      <c r="W767" s="11"/>
      <c r="X767" s="11"/>
    </row>
    <row r="768" ht="13.5" customHeight="1">
      <c r="A768" s="11"/>
      <c r="B768" s="11"/>
      <c r="C768" s="11"/>
      <c r="D768" s="11"/>
      <c r="E768" s="11"/>
      <c r="F768" s="11"/>
      <c r="G768" s="11"/>
      <c r="H768" s="11"/>
      <c r="I768" s="11"/>
      <c r="J768" s="11"/>
      <c r="K768" s="11"/>
      <c r="L768" s="11"/>
      <c r="M768" s="755"/>
      <c r="N768" s="11"/>
      <c r="O768" s="11"/>
      <c r="P768" s="11"/>
      <c r="Q768" s="11"/>
      <c r="R768" s="11"/>
      <c r="S768" s="11"/>
      <c r="T768" s="11"/>
      <c r="U768" s="11"/>
      <c r="V768" s="11"/>
      <c r="W768" s="11"/>
      <c r="X768" s="11"/>
    </row>
    <row r="769" ht="15.0" customHeight="1">
      <c r="A769" s="11"/>
      <c r="B769" s="11"/>
      <c r="C769" s="11"/>
      <c r="D769" s="11"/>
      <c r="E769" s="11"/>
      <c r="F769" s="11"/>
      <c r="G769" s="11"/>
      <c r="H769" s="11"/>
      <c r="I769" s="11"/>
      <c r="J769" s="11"/>
      <c r="K769" s="11"/>
      <c r="L769" s="11"/>
      <c r="M769" s="755"/>
      <c r="N769" s="11"/>
      <c r="O769" s="11"/>
      <c r="P769" s="11"/>
      <c r="Q769" s="11"/>
      <c r="R769" s="11"/>
      <c r="S769" s="11"/>
      <c r="T769" s="11"/>
      <c r="U769" s="11"/>
      <c r="V769" s="11"/>
      <c r="W769" s="11"/>
      <c r="X769" s="11"/>
    </row>
    <row r="770" ht="13.5" customHeight="1">
      <c r="A770" s="11"/>
      <c r="B770" s="11"/>
      <c r="C770" s="11"/>
      <c r="D770" s="11"/>
      <c r="E770" s="11"/>
      <c r="F770" s="11"/>
      <c r="G770" s="11"/>
      <c r="H770" s="11"/>
      <c r="I770" s="11"/>
      <c r="J770" s="11"/>
      <c r="K770" s="11"/>
      <c r="L770" s="11"/>
      <c r="M770" s="755"/>
      <c r="N770" s="11"/>
      <c r="O770" s="11"/>
      <c r="P770" s="11"/>
      <c r="Q770" s="11"/>
      <c r="R770" s="11"/>
      <c r="S770" s="11"/>
      <c r="T770" s="11"/>
      <c r="U770" s="11"/>
      <c r="V770" s="11"/>
      <c r="W770" s="11"/>
      <c r="X770" s="11"/>
    </row>
    <row r="771" ht="13.5" customHeight="1">
      <c r="A771" s="11"/>
      <c r="B771" s="11"/>
      <c r="C771" s="11"/>
      <c r="D771" s="11"/>
      <c r="E771" s="11"/>
      <c r="F771" s="11"/>
      <c r="G771" s="11"/>
      <c r="H771" s="11"/>
      <c r="I771" s="11"/>
      <c r="J771" s="11"/>
      <c r="K771" s="11"/>
      <c r="L771" s="11"/>
      <c r="M771" s="755"/>
      <c r="N771" s="11"/>
      <c r="O771" s="11"/>
      <c r="P771" s="11"/>
      <c r="Q771" s="11"/>
      <c r="R771" s="11"/>
      <c r="S771" s="11"/>
      <c r="T771" s="11"/>
      <c r="U771" s="11"/>
      <c r="V771" s="11"/>
      <c r="W771" s="11"/>
      <c r="X771" s="11"/>
    </row>
    <row r="772" ht="13.5" customHeight="1">
      <c r="A772" s="11"/>
      <c r="B772" s="11"/>
      <c r="C772" s="11"/>
      <c r="D772" s="11"/>
      <c r="E772" s="11"/>
      <c r="F772" s="11"/>
      <c r="G772" s="11"/>
      <c r="H772" s="11"/>
      <c r="I772" s="11"/>
      <c r="J772" s="11"/>
      <c r="K772" s="11"/>
      <c r="L772" s="11"/>
      <c r="M772" s="755"/>
      <c r="N772" s="11"/>
      <c r="O772" s="11"/>
      <c r="P772" s="11"/>
      <c r="Q772" s="11"/>
      <c r="R772" s="11"/>
      <c r="S772" s="11"/>
      <c r="T772" s="11"/>
      <c r="U772" s="11"/>
      <c r="V772" s="11"/>
      <c r="W772" s="11"/>
      <c r="X772" s="11"/>
    </row>
    <row r="773" ht="13.5" customHeight="1">
      <c r="A773" s="11"/>
      <c r="B773" s="11"/>
      <c r="C773" s="11"/>
      <c r="D773" s="11"/>
      <c r="E773" s="11"/>
      <c r="F773" s="11"/>
      <c r="G773" s="11"/>
      <c r="H773" s="11"/>
      <c r="I773" s="11"/>
      <c r="J773" s="11"/>
      <c r="K773" s="11"/>
      <c r="L773" s="11"/>
      <c r="M773" s="755"/>
      <c r="N773" s="11"/>
      <c r="O773" s="11"/>
      <c r="P773" s="11"/>
      <c r="Q773" s="11"/>
      <c r="R773" s="11"/>
      <c r="S773" s="11"/>
      <c r="T773" s="11"/>
      <c r="U773" s="11"/>
      <c r="V773" s="11"/>
      <c r="W773" s="11"/>
      <c r="X773" s="11"/>
    </row>
    <row r="774" ht="13.5" customHeight="1">
      <c r="A774" s="11"/>
      <c r="B774" s="11"/>
      <c r="C774" s="11"/>
      <c r="D774" s="11"/>
      <c r="E774" s="11"/>
      <c r="F774" s="11"/>
      <c r="G774" s="11"/>
      <c r="H774" s="11"/>
      <c r="I774" s="11"/>
      <c r="J774" s="11"/>
      <c r="K774" s="11"/>
      <c r="L774" s="11"/>
      <c r="M774" s="755"/>
      <c r="N774" s="11"/>
      <c r="O774" s="11"/>
      <c r="P774" s="11"/>
      <c r="Q774" s="11"/>
      <c r="R774" s="11"/>
      <c r="S774" s="11"/>
      <c r="T774" s="11"/>
      <c r="U774" s="11"/>
      <c r="V774" s="11"/>
      <c r="W774" s="11"/>
      <c r="X774" s="11"/>
    </row>
    <row r="775" ht="13.5" customHeight="1">
      <c r="A775" s="11"/>
      <c r="B775" s="11"/>
      <c r="C775" s="11"/>
      <c r="D775" s="11"/>
      <c r="E775" s="11"/>
      <c r="F775" s="11"/>
      <c r="G775" s="11"/>
      <c r="H775" s="11"/>
      <c r="I775" s="11"/>
      <c r="J775" s="11"/>
      <c r="K775" s="11"/>
      <c r="L775" s="11"/>
      <c r="M775" s="755"/>
      <c r="N775" s="11"/>
      <c r="O775" s="11"/>
      <c r="P775" s="11"/>
      <c r="Q775" s="11"/>
      <c r="R775" s="11"/>
      <c r="S775" s="11"/>
      <c r="T775" s="11"/>
      <c r="U775" s="11"/>
      <c r="V775" s="11"/>
      <c r="W775" s="11"/>
      <c r="X775" s="11"/>
    </row>
    <row r="776" ht="13.5" customHeight="1">
      <c r="A776" s="11"/>
      <c r="B776" s="11"/>
      <c r="C776" s="11"/>
      <c r="D776" s="11"/>
      <c r="E776" s="11"/>
      <c r="F776" s="11"/>
      <c r="G776" s="11"/>
      <c r="H776" s="11"/>
      <c r="I776" s="11"/>
      <c r="J776" s="11"/>
      <c r="K776" s="11"/>
      <c r="L776" s="11"/>
      <c r="M776" s="755"/>
      <c r="N776" s="11"/>
      <c r="O776" s="11"/>
      <c r="P776" s="11"/>
      <c r="Q776" s="11"/>
      <c r="R776" s="11"/>
      <c r="S776" s="11"/>
      <c r="T776" s="11"/>
      <c r="U776" s="11"/>
      <c r="V776" s="11"/>
      <c r="W776" s="11"/>
      <c r="X776" s="11"/>
    </row>
    <row r="777" ht="13.5" customHeight="1">
      <c r="A777" s="11"/>
      <c r="B777" s="11"/>
      <c r="C777" s="11"/>
      <c r="D777" s="11"/>
      <c r="E777" s="11"/>
      <c r="F777" s="11"/>
      <c r="G777" s="11"/>
      <c r="H777" s="11"/>
      <c r="I777" s="11"/>
      <c r="J777" s="11"/>
      <c r="K777" s="11"/>
      <c r="L777" s="11"/>
      <c r="M777" s="755"/>
      <c r="N777" s="11"/>
      <c r="O777" s="11"/>
      <c r="P777" s="11"/>
      <c r="Q777" s="11"/>
      <c r="R777" s="11"/>
      <c r="S777" s="11"/>
      <c r="T777" s="11"/>
      <c r="U777" s="11"/>
      <c r="V777" s="11"/>
      <c r="W777" s="11"/>
      <c r="X777" s="11"/>
    </row>
    <row r="778" ht="13.5" customHeight="1">
      <c r="A778" s="11"/>
      <c r="B778" s="11"/>
      <c r="C778" s="11"/>
      <c r="D778" s="11"/>
      <c r="E778" s="11"/>
      <c r="F778" s="11"/>
      <c r="G778" s="11"/>
      <c r="H778" s="11"/>
      <c r="I778" s="11"/>
      <c r="J778" s="11"/>
      <c r="K778" s="11"/>
      <c r="L778" s="11"/>
      <c r="M778" s="755"/>
      <c r="N778" s="11"/>
      <c r="O778" s="11"/>
      <c r="P778" s="11"/>
      <c r="Q778" s="11"/>
      <c r="R778" s="11"/>
      <c r="S778" s="11"/>
      <c r="T778" s="11"/>
      <c r="U778" s="11"/>
      <c r="V778" s="11"/>
      <c r="W778" s="11"/>
      <c r="X778" s="11"/>
    </row>
    <row r="779" ht="13.5" customHeight="1">
      <c r="A779" s="11"/>
      <c r="B779" s="11"/>
      <c r="C779" s="11"/>
      <c r="D779" s="11"/>
      <c r="E779" s="11"/>
      <c r="F779" s="11"/>
      <c r="G779" s="11"/>
      <c r="H779" s="11"/>
      <c r="I779" s="11"/>
      <c r="J779" s="11"/>
      <c r="K779" s="11"/>
      <c r="L779" s="11"/>
      <c r="M779" s="755"/>
      <c r="N779" s="11"/>
      <c r="O779" s="11"/>
      <c r="P779" s="11"/>
      <c r="Q779" s="11"/>
      <c r="R779" s="11"/>
      <c r="S779" s="11"/>
      <c r="T779" s="11"/>
      <c r="U779" s="11"/>
      <c r="V779" s="11"/>
      <c r="W779" s="11"/>
      <c r="X779" s="11"/>
    </row>
    <row r="780" ht="13.5" customHeight="1">
      <c r="A780" s="11"/>
      <c r="B780" s="11"/>
      <c r="C780" s="11"/>
      <c r="D780" s="11"/>
      <c r="E780" s="11"/>
      <c r="F780" s="11"/>
      <c r="G780" s="11"/>
      <c r="H780" s="11"/>
      <c r="I780" s="11"/>
      <c r="J780" s="11"/>
      <c r="K780" s="11"/>
      <c r="L780" s="11"/>
      <c r="M780" s="755"/>
      <c r="N780" s="11"/>
      <c r="O780" s="11"/>
      <c r="P780" s="11"/>
      <c r="Q780" s="11"/>
      <c r="R780" s="11"/>
      <c r="S780" s="11"/>
      <c r="T780" s="11"/>
      <c r="U780" s="11"/>
      <c r="V780" s="11"/>
      <c r="W780" s="11"/>
      <c r="X780" s="11"/>
    </row>
    <row r="781" ht="13.5" customHeight="1">
      <c r="A781" s="11"/>
      <c r="B781" s="11"/>
      <c r="C781" s="11"/>
      <c r="D781" s="11"/>
      <c r="E781" s="11"/>
      <c r="F781" s="11"/>
      <c r="G781" s="11"/>
      <c r="H781" s="11"/>
      <c r="I781" s="11"/>
      <c r="J781" s="11"/>
      <c r="K781" s="11"/>
      <c r="L781" s="11"/>
      <c r="M781" s="755"/>
      <c r="N781" s="11"/>
      <c r="O781" s="11"/>
      <c r="P781" s="11"/>
      <c r="Q781" s="11"/>
      <c r="R781" s="11"/>
      <c r="S781" s="11"/>
      <c r="T781" s="11"/>
      <c r="U781" s="11"/>
      <c r="V781" s="11"/>
      <c r="W781" s="11"/>
      <c r="X781" s="11"/>
    </row>
    <row r="782" ht="13.5" customHeight="1">
      <c r="A782" s="11"/>
      <c r="B782" s="11"/>
      <c r="C782" s="11"/>
      <c r="D782" s="11"/>
      <c r="E782" s="11"/>
      <c r="F782" s="11"/>
      <c r="G782" s="11"/>
      <c r="H782" s="11"/>
      <c r="I782" s="11"/>
      <c r="J782" s="11"/>
      <c r="K782" s="11"/>
      <c r="L782" s="11"/>
      <c r="M782" s="755"/>
      <c r="N782" s="11"/>
      <c r="O782" s="11"/>
      <c r="P782" s="11"/>
      <c r="Q782" s="11"/>
      <c r="R782" s="11"/>
      <c r="S782" s="11"/>
      <c r="T782" s="11"/>
      <c r="U782" s="11"/>
      <c r="V782" s="11"/>
      <c r="W782" s="11"/>
      <c r="X782" s="11"/>
    </row>
    <row r="783" ht="13.5" customHeight="1">
      <c r="A783" s="11"/>
      <c r="B783" s="11"/>
      <c r="C783" s="11"/>
      <c r="D783" s="11"/>
      <c r="E783" s="11"/>
      <c r="F783" s="11"/>
      <c r="G783" s="11"/>
      <c r="H783" s="11"/>
      <c r="I783" s="11"/>
      <c r="J783" s="11"/>
      <c r="K783" s="11"/>
      <c r="L783" s="11"/>
      <c r="M783" s="755"/>
      <c r="N783" s="11"/>
      <c r="O783" s="11"/>
      <c r="P783" s="11"/>
      <c r="Q783" s="11"/>
      <c r="R783" s="11"/>
      <c r="S783" s="11"/>
      <c r="T783" s="11"/>
      <c r="U783" s="11"/>
      <c r="V783" s="11"/>
      <c r="W783" s="11"/>
      <c r="X783" s="11"/>
    </row>
    <row r="784" ht="13.5" customHeight="1">
      <c r="A784" s="11"/>
      <c r="B784" s="11"/>
      <c r="C784" s="11"/>
      <c r="D784" s="11"/>
      <c r="E784" s="11"/>
      <c r="F784" s="11"/>
      <c r="G784" s="11"/>
      <c r="H784" s="11"/>
      <c r="I784" s="11"/>
      <c r="J784" s="11"/>
      <c r="K784" s="11"/>
      <c r="L784" s="11"/>
      <c r="M784" s="755"/>
      <c r="N784" s="11"/>
      <c r="O784" s="11"/>
      <c r="P784" s="11"/>
      <c r="Q784" s="11"/>
      <c r="R784" s="11"/>
      <c r="S784" s="11"/>
      <c r="T784" s="11"/>
      <c r="U784" s="11"/>
      <c r="V784" s="11"/>
      <c r="W784" s="11"/>
      <c r="X784" s="11"/>
    </row>
    <row r="785" ht="13.5" customHeight="1">
      <c r="A785" s="11"/>
      <c r="B785" s="11"/>
      <c r="C785" s="11"/>
      <c r="D785" s="11"/>
      <c r="E785" s="11"/>
      <c r="F785" s="11"/>
      <c r="G785" s="11"/>
      <c r="H785" s="11"/>
      <c r="I785" s="11"/>
      <c r="J785" s="11"/>
      <c r="K785" s="11"/>
      <c r="L785" s="11"/>
      <c r="M785" s="755"/>
      <c r="N785" s="11"/>
      <c r="O785" s="11"/>
      <c r="P785" s="11"/>
      <c r="Q785" s="11"/>
      <c r="R785" s="11"/>
      <c r="S785" s="11"/>
      <c r="T785" s="11"/>
      <c r="U785" s="11"/>
      <c r="V785" s="11"/>
      <c r="W785" s="11"/>
      <c r="X785" s="11"/>
    </row>
    <row r="786" ht="13.5" customHeight="1">
      <c r="A786" s="11"/>
      <c r="B786" s="11"/>
      <c r="C786" s="11"/>
      <c r="D786" s="11"/>
      <c r="E786" s="11"/>
      <c r="F786" s="11"/>
      <c r="G786" s="11"/>
      <c r="H786" s="11"/>
      <c r="I786" s="11"/>
      <c r="J786" s="11"/>
      <c r="K786" s="11"/>
      <c r="L786" s="11"/>
      <c r="M786" s="755"/>
      <c r="N786" s="11"/>
      <c r="O786" s="11"/>
      <c r="P786" s="11"/>
      <c r="Q786" s="11"/>
      <c r="R786" s="11"/>
      <c r="S786" s="11"/>
      <c r="T786" s="11"/>
      <c r="U786" s="11"/>
      <c r="V786" s="11"/>
      <c r="W786" s="11"/>
      <c r="X786" s="11"/>
    </row>
    <row r="787" ht="13.5" customHeight="1">
      <c r="A787" s="11"/>
      <c r="B787" s="11"/>
      <c r="C787" s="11"/>
      <c r="D787" s="11"/>
      <c r="E787" s="11"/>
      <c r="F787" s="11"/>
      <c r="G787" s="11"/>
      <c r="H787" s="11"/>
      <c r="I787" s="11"/>
      <c r="J787" s="11"/>
      <c r="K787" s="11"/>
      <c r="L787" s="11"/>
      <c r="M787" s="755"/>
      <c r="N787" s="11"/>
      <c r="O787" s="11"/>
      <c r="P787" s="11"/>
      <c r="Q787" s="11"/>
      <c r="R787" s="11"/>
      <c r="S787" s="11"/>
      <c r="T787" s="11"/>
      <c r="U787" s="11"/>
      <c r="V787" s="11"/>
      <c r="W787" s="11"/>
      <c r="X787" s="11"/>
    </row>
    <row r="788" ht="13.5" customHeight="1">
      <c r="A788" s="11"/>
      <c r="B788" s="11"/>
      <c r="C788" s="11"/>
      <c r="D788" s="11"/>
      <c r="E788" s="11"/>
      <c r="F788" s="11"/>
      <c r="G788" s="11"/>
      <c r="H788" s="11"/>
      <c r="I788" s="11"/>
      <c r="J788" s="11"/>
      <c r="K788" s="11"/>
      <c r="L788" s="11"/>
      <c r="M788" s="755"/>
      <c r="N788" s="11"/>
      <c r="O788" s="11"/>
      <c r="P788" s="11"/>
      <c r="Q788" s="11"/>
      <c r="R788" s="11"/>
      <c r="S788" s="11"/>
      <c r="T788" s="11"/>
      <c r="U788" s="11"/>
      <c r="V788" s="11"/>
      <c r="W788" s="11"/>
      <c r="X788" s="11"/>
    </row>
    <row r="789" ht="13.5" customHeight="1">
      <c r="A789" s="11"/>
      <c r="B789" s="11"/>
      <c r="C789" s="11"/>
      <c r="D789" s="11"/>
      <c r="E789" s="11"/>
      <c r="F789" s="11"/>
      <c r="G789" s="11"/>
      <c r="H789" s="11"/>
      <c r="I789" s="11"/>
      <c r="J789" s="11"/>
      <c r="K789" s="11"/>
      <c r="L789" s="11"/>
      <c r="M789" s="755"/>
      <c r="N789" s="11"/>
      <c r="O789" s="11"/>
      <c r="P789" s="11"/>
      <c r="Q789" s="11"/>
      <c r="R789" s="11"/>
      <c r="S789" s="11"/>
      <c r="T789" s="11"/>
      <c r="U789" s="11"/>
      <c r="V789" s="11"/>
      <c r="W789" s="11"/>
      <c r="X789" s="11"/>
    </row>
    <row r="790" ht="13.5" customHeight="1">
      <c r="A790" s="11"/>
      <c r="B790" s="11"/>
      <c r="C790" s="11"/>
      <c r="D790" s="11"/>
      <c r="E790" s="11"/>
      <c r="F790" s="11"/>
      <c r="G790" s="11"/>
      <c r="H790" s="11"/>
      <c r="I790" s="11"/>
      <c r="J790" s="11"/>
      <c r="K790" s="11"/>
      <c r="L790" s="11"/>
      <c r="M790" s="755"/>
      <c r="N790" s="11"/>
      <c r="O790" s="11"/>
      <c r="P790" s="11"/>
      <c r="Q790" s="11"/>
      <c r="R790" s="11"/>
      <c r="S790" s="11"/>
      <c r="T790" s="11"/>
      <c r="U790" s="11"/>
      <c r="V790" s="11"/>
      <c r="W790" s="11"/>
      <c r="X790" s="11"/>
    </row>
    <row r="791" ht="13.5" customHeight="1">
      <c r="A791" s="11"/>
      <c r="B791" s="11"/>
      <c r="C791" s="11"/>
      <c r="D791" s="11"/>
      <c r="E791" s="11"/>
      <c r="F791" s="11"/>
      <c r="G791" s="11"/>
      <c r="H791" s="11"/>
      <c r="I791" s="11"/>
      <c r="J791" s="11"/>
      <c r="K791" s="11"/>
      <c r="L791" s="11"/>
      <c r="M791" s="755"/>
      <c r="N791" s="11"/>
      <c r="O791" s="11"/>
      <c r="P791" s="11"/>
      <c r="Q791" s="11"/>
      <c r="R791" s="11"/>
      <c r="S791" s="11"/>
      <c r="T791" s="11"/>
      <c r="U791" s="11"/>
      <c r="V791" s="11"/>
      <c r="W791" s="11"/>
      <c r="X791" s="11"/>
    </row>
    <row r="792" ht="13.5" customHeight="1">
      <c r="A792" s="11"/>
      <c r="B792" s="11"/>
      <c r="C792" s="11"/>
      <c r="D792" s="11"/>
      <c r="E792" s="11"/>
      <c r="F792" s="11"/>
      <c r="G792" s="11"/>
      <c r="H792" s="11"/>
      <c r="I792" s="11"/>
      <c r="J792" s="11"/>
      <c r="K792" s="11"/>
      <c r="L792" s="11"/>
      <c r="M792" s="755"/>
      <c r="N792" s="11"/>
      <c r="O792" s="11"/>
      <c r="P792" s="11"/>
      <c r="Q792" s="11"/>
      <c r="R792" s="11"/>
      <c r="S792" s="11"/>
      <c r="T792" s="11"/>
      <c r="U792" s="11"/>
      <c r="V792" s="11"/>
      <c r="W792" s="11"/>
      <c r="X792" s="11"/>
    </row>
    <row r="793" ht="13.5" customHeight="1">
      <c r="A793" s="11"/>
      <c r="B793" s="11"/>
      <c r="C793" s="11"/>
      <c r="D793" s="11"/>
      <c r="E793" s="11"/>
      <c r="F793" s="11"/>
      <c r="G793" s="11"/>
      <c r="H793" s="11"/>
      <c r="I793" s="11"/>
      <c r="J793" s="11"/>
      <c r="K793" s="11"/>
      <c r="L793" s="11"/>
      <c r="M793" s="755"/>
      <c r="N793" s="11"/>
      <c r="O793" s="11"/>
      <c r="P793" s="11"/>
      <c r="Q793" s="11"/>
      <c r="R793" s="11"/>
      <c r="S793" s="11"/>
      <c r="T793" s="11"/>
      <c r="U793" s="11"/>
      <c r="V793" s="11"/>
      <c r="W793" s="11"/>
      <c r="X793" s="11"/>
    </row>
    <row r="794" ht="13.5" customHeight="1">
      <c r="A794" s="11"/>
      <c r="B794" s="11"/>
      <c r="C794" s="11"/>
      <c r="D794" s="11"/>
      <c r="E794" s="11"/>
      <c r="F794" s="11"/>
      <c r="G794" s="11"/>
      <c r="H794" s="11"/>
      <c r="I794" s="11"/>
      <c r="J794" s="11"/>
      <c r="K794" s="11"/>
      <c r="L794" s="11"/>
      <c r="M794" s="755"/>
      <c r="N794" s="11"/>
      <c r="O794" s="11"/>
      <c r="P794" s="11"/>
      <c r="Q794" s="11"/>
      <c r="R794" s="11"/>
      <c r="S794" s="11"/>
      <c r="T794" s="11"/>
      <c r="U794" s="11"/>
      <c r="V794" s="11"/>
      <c r="W794" s="11"/>
      <c r="X794" s="11"/>
    </row>
    <row r="795" ht="15.0" customHeight="1">
      <c r="A795" s="11"/>
      <c r="B795" s="11"/>
      <c r="C795" s="11"/>
      <c r="D795" s="11"/>
      <c r="E795" s="11"/>
      <c r="F795" s="11"/>
      <c r="G795" s="11"/>
      <c r="H795" s="11"/>
      <c r="I795" s="11"/>
      <c r="J795" s="11"/>
      <c r="K795" s="11"/>
      <c r="L795" s="11"/>
      <c r="M795" s="755"/>
      <c r="N795" s="11"/>
      <c r="O795" s="11"/>
      <c r="P795" s="11"/>
      <c r="Q795" s="11"/>
      <c r="R795" s="11"/>
      <c r="S795" s="11"/>
      <c r="T795" s="11"/>
      <c r="U795" s="11"/>
      <c r="V795" s="11"/>
      <c r="W795" s="11"/>
      <c r="X795" s="11"/>
    </row>
    <row r="796" ht="13.5" customHeight="1">
      <c r="A796" s="11"/>
      <c r="B796" s="11"/>
      <c r="C796" s="11"/>
      <c r="D796" s="11"/>
      <c r="E796" s="11"/>
      <c r="F796" s="11"/>
      <c r="G796" s="11"/>
      <c r="H796" s="11"/>
      <c r="I796" s="11"/>
      <c r="J796" s="11"/>
      <c r="K796" s="11"/>
      <c r="L796" s="11"/>
      <c r="M796" s="755"/>
      <c r="N796" s="11"/>
      <c r="O796" s="11"/>
      <c r="P796" s="11"/>
      <c r="Q796" s="11"/>
      <c r="R796" s="11"/>
      <c r="S796" s="11"/>
      <c r="T796" s="11"/>
      <c r="U796" s="11"/>
      <c r="V796" s="11"/>
      <c r="W796" s="11"/>
      <c r="X796" s="11"/>
    </row>
    <row r="797" ht="13.5" customHeight="1">
      <c r="A797" s="11"/>
      <c r="B797" s="11"/>
      <c r="C797" s="11"/>
      <c r="D797" s="11"/>
      <c r="E797" s="11"/>
      <c r="F797" s="11"/>
      <c r="G797" s="11"/>
      <c r="H797" s="11"/>
      <c r="I797" s="11"/>
      <c r="J797" s="11"/>
      <c r="K797" s="11"/>
      <c r="L797" s="11"/>
      <c r="M797" s="755"/>
      <c r="N797" s="11"/>
      <c r="O797" s="11"/>
      <c r="P797" s="11"/>
      <c r="Q797" s="11"/>
      <c r="R797" s="11"/>
      <c r="S797" s="11"/>
      <c r="T797" s="11"/>
      <c r="U797" s="11"/>
      <c r="V797" s="11"/>
      <c r="W797" s="11"/>
      <c r="X797" s="11"/>
    </row>
    <row r="798" ht="13.5" customHeight="1">
      <c r="A798" s="11"/>
      <c r="B798" s="11"/>
      <c r="C798" s="11"/>
      <c r="D798" s="11"/>
      <c r="E798" s="11"/>
      <c r="F798" s="11"/>
      <c r="G798" s="11"/>
      <c r="H798" s="11"/>
      <c r="I798" s="11"/>
      <c r="J798" s="11"/>
      <c r="K798" s="11"/>
      <c r="L798" s="11"/>
      <c r="M798" s="755"/>
      <c r="N798" s="11"/>
      <c r="O798" s="11"/>
      <c r="P798" s="11"/>
      <c r="Q798" s="11"/>
      <c r="R798" s="11"/>
      <c r="S798" s="11"/>
      <c r="T798" s="11"/>
      <c r="U798" s="11"/>
      <c r="V798" s="11"/>
      <c r="W798" s="11"/>
      <c r="X798" s="11"/>
    </row>
    <row r="799" ht="15.0" customHeight="1">
      <c r="A799" s="11"/>
      <c r="B799" s="11"/>
      <c r="C799" s="11"/>
      <c r="D799" s="11"/>
      <c r="E799" s="11"/>
      <c r="F799" s="11"/>
      <c r="G799" s="11"/>
      <c r="H799" s="11"/>
      <c r="I799" s="11"/>
      <c r="J799" s="11"/>
      <c r="K799" s="11"/>
      <c r="L799" s="11"/>
      <c r="M799" s="755"/>
      <c r="N799" s="11"/>
      <c r="O799" s="11"/>
      <c r="P799" s="11"/>
      <c r="Q799" s="11"/>
      <c r="R799" s="11"/>
      <c r="S799" s="11"/>
      <c r="T799" s="11"/>
      <c r="U799" s="11"/>
      <c r="V799" s="11"/>
      <c r="W799" s="11"/>
      <c r="X799" s="11"/>
    </row>
    <row r="800" ht="13.5" customHeight="1">
      <c r="A800" s="11"/>
      <c r="B800" s="11"/>
      <c r="C800" s="11"/>
      <c r="D800" s="11"/>
      <c r="E800" s="11"/>
      <c r="F800" s="11"/>
      <c r="G800" s="11"/>
      <c r="H800" s="11"/>
      <c r="I800" s="11"/>
      <c r="J800" s="11"/>
      <c r="K800" s="11"/>
      <c r="L800" s="11"/>
      <c r="M800" s="755"/>
      <c r="N800" s="11"/>
      <c r="O800" s="11"/>
      <c r="P800" s="11"/>
      <c r="Q800" s="11"/>
      <c r="R800" s="11"/>
      <c r="S800" s="11"/>
      <c r="T800" s="11"/>
      <c r="U800" s="11"/>
      <c r="V800" s="11"/>
      <c r="W800" s="11"/>
      <c r="X800" s="11"/>
    </row>
    <row r="801" ht="13.5" customHeight="1">
      <c r="A801" s="11"/>
      <c r="B801" s="11"/>
      <c r="C801" s="11"/>
      <c r="D801" s="11"/>
      <c r="E801" s="11"/>
      <c r="F801" s="11"/>
      <c r="G801" s="11"/>
      <c r="H801" s="11"/>
      <c r="I801" s="11"/>
      <c r="J801" s="11"/>
      <c r="K801" s="11"/>
      <c r="L801" s="11"/>
      <c r="M801" s="755"/>
      <c r="N801" s="11"/>
      <c r="O801" s="11"/>
      <c r="P801" s="11"/>
      <c r="Q801" s="11"/>
      <c r="R801" s="11"/>
      <c r="S801" s="11"/>
      <c r="T801" s="11"/>
      <c r="U801" s="11"/>
      <c r="V801" s="11"/>
      <c r="W801" s="11"/>
      <c r="X801" s="11"/>
    </row>
    <row r="802" ht="13.5" customHeight="1">
      <c r="A802" s="11"/>
      <c r="B802" s="11"/>
      <c r="C802" s="11"/>
      <c r="D802" s="11"/>
      <c r="E802" s="11"/>
      <c r="F802" s="11"/>
      <c r="G802" s="11"/>
      <c r="H802" s="11"/>
      <c r="I802" s="11"/>
      <c r="J802" s="11"/>
      <c r="K802" s="11"/>
      <c r="L802" s="11"/>
      <c r="M802" s="755"/>
      <c r="N802" s="11"/>
      <c r="O802" s="11"/>
      <c r="P802" s="11"/>
      <c r="Q802" s="11"/>
      <c r="R802" s="11"/>
      <c r="S802" s="11"/>
      <c r="T802" s="11"/>
      <c r="U802" s="11"/>
      <c r="V802" s="11"/>
      <c r="W802" s="11"/>
      <c r="X802" s="11"/>
    </row>
    <row r="803" ht="13.5" customHeight="1">
      <c r="A803" s="11"/>
      <c r="B803" s="11"/>
      <c r="C803" s="11"/>
      <c r="D803" s="11"/>
      <c r="E803" s="11"/>
      <c r="F803" s="11"/>
      <c r="G803" s="11"/>
      <c r="H803" s="11"/>
      <c r="I803" s="11"/>
      <c r="J803" s="11"/>
      <c r="K803" s="11"/>
      <c r="L803" s="11"/>
      <c r="M803" s="755"/>
      <c r="N803" s="11"/>
      <c r="O803" s="11"/>
      <c r="P803" s="11"/>
      <c r="Q803" s="11"/>
      <c r="R803" s="11"/>
      <c r="S803" s="11"/>
      <c r="T803" s="11"/>
      <c r="U803" s="11"/>
      <c r="V803" s="11"/>
      <c r="W803" s="11"/>
      <c r="X803" s="11"/>
    </row>
    <row r="804" ht="13.5" customHeight="1">
      <c r="A804" s="11"/>
      <c r="B804" s="11"/>
      <c r="C804" s="11"/>
      <c r="D804" s="11"/>
      <c r="E804" s="11"/>
      <c r="F804" s="11"/>
      <c r="G804" s="11"/>
      <c r="H804" s="11"/>
      <c r="I804" s="11"/>
      <c r="J804" s="11"/>
      <c r="K804" s="11"/>
      <c r="L804" s="11"/>
      <c r="M804" s="755"/>
      <c r="N804" s="11"/>
      <c r="O804" s="11"/>
      <c r="P804" s="11"/>
      <c r="Q804" s="11"/>
      <c r="R804" s="11"/>
      <c r="S804" s="11"/>
      <c r="T804" s="11"/>
      <c r="U804" s="11"/>
      <c r="V804" s="11"/>
      <c r="W804" s="11"/>
      <c r="X804" s="11"/>
    </row>
    <row r="805" ht="13.5" customHeight="1">
      <c r="A805" s="11"/>
      <c r="B805" s="11"/>
      <c r="C805" s="11"/>
      <c r="D805" s="11"/>
      <c r="E805" s="11"/>
      <c r="F805" s="11"/>
      <c r="G805" s="11"/>
      <c r="H805" s="11"/>
      <c r="I805" s="11"/>
      <c r="J805" s="11"/>
      <c r="K805" s="11"/>
      <c r="L805" s="11"/>
      <c r="M805" s="755"/>
      <c r="N805" s="11"/>
      <c r="O805" s="11"/>
      <c r="P805" s="11"/>
      <c r="Q805" s="11"/>
      <c r="R805" s="11"/>
      <c r="S805" s="11"/>
      <c r="T805" s="11"/>
      <c r="U805" s="11"/>
      <c r="V805" s="11"/>
      <c r="W805" s="11"/>
      <c r="X805" s="11"/>
    </row>
    <row r="806" ht="13.5" customHeight="1">
      <c r="A806" s="11"/>
      <c r="B806" s="11"/>
      <c r="C806" s="11"/>
      <c r="D806" s="11"/>
      <c r="E806" s="11"/>
      <c r="F806" s="11"/>
      <c r="G806" s="11"/>
      <c r="H806" s="11"/>
      <c r="I806" s="11"/>
      <c r="J806" s="11"/>
      <c r="K806" s="11"/>
      <c r="L806" s="11"/>
      <c r="M806" s="755"/>
      <c r="N806" s="11"/>
      <c r="O806" s="11"/>
      <c r="P806" s="11"/>
      <c r="Q806" s="11"/>
      <c r="R806" s="11"/>
      <c r="S806" s="11"/>
      <c r="T806" s="11"/>
      <c r="U806" s="11"/>
      <c r="V806" s="11"/>
      <c r="W806" s="11"/>
      <c r="X806" s="11"/>
    </row>
    <row r="807" ht="15.0" customHeight="1">
      <c r="A807" s="11"/>
      <c r="B807" s="11"/>
      <c r="C807" s="11"/>
      <c r="D807" s="11"/>
      <c r="E807" s="11"/>
      <c r="F807" s="11"/>
      <c r="G807" s="11"/>
      <c r="H807" s="11"/>
      <c r="I807" s="11"/>
      <c r="J807" s="11"/>
      <c r="K807" s="11"/>
      <c r="L807" s="11"/>
      <c r="M807" s="755"/>
      <c r="N807" s="11"/>
      <c r="O807" s="11"/>
      <c r="P807" s="11"/>
      <c r="Q807" s="11"/>
      <c r="R807" s="11"/>
      <c r="S807" s="11"/>
      <c r="T807" s="11"/>
      <c r="U807" s="11"/>
      <c r="V807" s="11"/>
      <c r="W807" s="11"/>
      <c r="X807" s="11"/>
    </row>
    <row r="808" ht="13.5" customHeight="1">
      <c r="A808" s="11"/>
      <c r="B808" s="11"/>
      <c r="C808" s="11"/>
      <c r="D808" s="11"/>
      <c r="E808" s="11"/>
      <c r="F808" s="11"/>
      <c r="G808" s="11"/>
      <c r="H808" s="11"/>
      <c r="I808" s="11"/>
      <c r="J808" s="11"/>
      <c r="K808" s="11"/>
      <c r="L808" s="11"/>
      <c r="M808" s="755"/>
      <c r="N808" s="11"/>
      <c r="O808" s="11"/>
      <c r="P808" s="11"/>
      <c r="Q808" s="11"/>
      <c r="R808" s="11"/>
      <c r="S808" s="11"/>
      <c r="T808" s="11"/>
      <c r="U808" s="11"/>
      <c r="V808" s="11"/>
      <c r="W808" s="11"/>
      <c r="X808" s="11"/>
    </row>
    <row r="809" ht="13.5" customHeight="1">
      <c r="A809" s="11"/>
      <c r="B809" s="11"/>
      <c r="C809" s="11"/>
      <c r="D809" s="11"/>
      <c r="E809" s="11"/>
      <c r="F809" s="11"/>
      <c r="G809" s="11"/>
      <c r="H809" s="11"/>
      <c r="I809" s="11"/>
      <c r="J809" s="11"/>
      <c r="K809" s="11"/>
      <c r="L809" s="11"/>
      <c r="M809" s="755"/>
      <c r="N809" s="11"/>
      <c r="O809" s="11"/>
      <c r="P809" s="11"/>
      <c r="Q809" s="11"/>
      <c r="R809" s="11"/>
      <c r="S809" s="11"/>
      <c r="T809" s="11"/>
      <c r="U809" s="11"/>
      <c r="V809" s="11"/>
      <c r="W809" s="11"/>
      <c r="X809" s="11"/>
    </row>
    <row r="810" ht="13.5" customHeight="1">
      <c r="A810" s="11"/>
      <c r="B810" s="11"/>
      <c r="C810" s="11"/>
      <c r="D810" s="11"/>
      <c r="E810" s="11"/>
      <c r="F810" s="11"/>
      <c r="G810" s="11"/>
      <c r="H810" s="11"/>
      <c r="I810" s="11"/>
      <c r="J810" s="11"/>
      <c r="K810" s="11"/>
      <c r="L810" s="11"/>
      <c r="M810" s="755"/>
      <c r="N810" s="11"/>
      <c r="O810" s="11"/>
      <c r="P810" s="11"/>
      <c r="Q810" s="11"/>
      <c r="R810" s="11"/>
      <c r="S810" s="11"/>
      <c r="T810" s="11"/>
      <c r="U810" s="11"/>
      <c r="V810" s="11"/>
      <c r="W810" s="11"/>
      <c r="X810" s="11"/>
    </row>
    <row r="811" ht="15.0" customHeight="1">
      <c r="A811" s="11"/>
      <c r="B811" s="11"/>
      <c r="C811" s="11"/>
      <c r="D811" s="11"/>
      <c r="E811" s="11"/>
      <c r="F811" s="11"/>
      <c r="G811" s="11"/>
      <c r="H811" s="11"/>
      <c r="I811" s="11"/>
      <c r="J811" s="11"/>
      <c r="K811" s="11"/>
      <c r="L811" s="11"/>
      <c r="M811" s="755"/>
      <c r="N811" s="11"/>
      <c r="O811" s="11"/>
      <c r="P811" s="11"/>
      <c r="Q811" s="11"/>
      <c r="R811" s="11"/>
      <c r="S811" s="11"/>
      <c r="T811" s="11"/>
      <c r="U811" s="11"/>
      <c r="V811" s="11"/>
      <c r="W811" s="11"/>
      <c r="X811" s="11"/>
    </row>
    <row r="812" ht="13.5" customHeight="1">
      <c r="A812" s="11"/>
      <c r="B812" s="11"/>
      <c r="C812" s="11"/>
      <c r="D812" s="11"/>
      <c r="E812" s="11"/>
      <c r="F812" s="11"/>
      <c r="G812" s="11"/>
      <c r="H812" s="11"/>
      <c r="I812" s="11"/>
      <c r="J812" s="11"/>
      <c r="K812" s="11"/>
      <c r="L812" s="11"/>
      <c r="M812" s="755"/>
      <c r="N812" s="11"/>
      <c r="O812" s="11"/>
      <c r="P812" s="11"/>
      <c r="Q812" s="11"/>
      <c r="R812" s="11"/>
      <c r="S812" s="11"/>
      <c r="T812" s="11"/>
      <c r="U812" s="11"/>
      <c r="V812" s="11"/>
      <c r="W812" s="11"/>
      <c r="X812" s="11"/>
    </row>
    <row r="813" ht="13.5" customHeight="1">
      <c r="A813" s="11"/>
      <c r="B813" s="11"/>
      <c r="C813" s="11"/>
      <c r="D813" s="11"/>
      <c r="E813" s="11"/>
      <c r="F813" s="11"/>
      <c r="G813" s="11"/>
      <c r="H813" s="11"/>
      <c r="I813" s="11"/>
      <c r="J813" s="11"/>
      <c r="K813" s="11"/>
      <c r="L813" s="11"/>
      <c r="M813" s="755"/>
      <c r="N813" s="11"/>
      <c r="O813" s="11"/>
      <c r="P813" s="11"/>
      <c r="Q813" s="11"/>
      <c r="R813" s="11"/>
      <c r="S813" s="11"/>
      <c r="T813" s="11"/>
      <c r="U813" s="11"/>
      <c r="V813" s="11"/>
      <c r="W813" s="11"/>
      <c r="X813" s="11"/>
    </row>
    <row r="814" ht="13.5" customHeight="1">
      <c r="A814" s="11"/>
      <c r="B814" s="11"/>
      <c r="C814" s="11"/>
      <c r="D814" s="11"/>
      <c r="E814" s="11"/>
      <c r="F814" s="11"/>
      <c r="G814" s="11"/>
      <c r="H814" s="11"/>
      <c r="I814" s="11"/>
      <c r="J814" s="11"/>
      <c r="K814" s="11"/>
      <c r="L814" s="11"/>
      <c r="M814" s="755"/>
      <c r="N814" s="11"/>
      <c r="O814" s="11"/>
      <c r="P814" s="11"/>
      <c r="Q814" s="11"/>
      <c r="R814" s="11"/>
      <c r="S814" s="11"/>
      <c r="T814" s="11"/>
      <c r="U814" s="11"/>
      <c r="V814" s="11"/>
      <c r="W814" s="11"/>
      <c r="X814" s="11"/>
    </row>
    <row r="815" ht="13.5" customHeight="1">
      <c r="A815" s="11"/>
      <c r="B815" s="11"/>
      <c r="C815" s="11"/>
      <c r="D815" s="11"/>
      <c r="E815" s="11"/>
      <c r="F815" s="11"/>
      <c r="G815" s="11"/>
      <c r="H815" s="11"/>
      <c r="I815" s="11"/>
      <c r="J815" s="11"/>
      <c r="K815" s="11"/>
      <c r="L815" s="11"/>
      <c r="M815" s="755"/>
      <c r="N815" s="11"/>
      <c r="O815" s="11"/>
      <c r="P815" s="11"/>
      <c r="Q815" s="11"/>
      <c r="R815" s="11"/>
      <c r="S815" s="11"/>
      <c r="T815" s="11"/>
      <c r="U815" s="11"/>
      <c r="V815" s="11"/>
      <c r="W815" s="11"/>
      <c r="X815" s="11"/>
    </row>
    <row r="816" ht="13.5" customHeight="1">
      <c r="A816" s="11"/>
      <c r="B816" s="11"/>
      <c r="C816" s="11"/>
      <c r="D816" s="11"/>
      <c r="E816" s="11"/>
      <c r="F816" s="11"/>
      <c r="G816" s="11"/>
      <c r="H816" s="11"/>
      <c r="I816" s="11"/>
      <c r="J816" s="11"/>
      <c r="K816" s="11"/>
      <c r="L816" s="11"/>
      <c r="M816" s="755"/>
      <c r="N816" s="11"/>
      <c r="O816" s="11"/>
      <c r="P816" s="11"/>
      <c r="Q816" s="11"/>
      <c r="R816" s="11"/>
      <c r="S816" s="11"/>
      <c r="T816" s="11"/>
      <c r="U816" s="11"/>
      <c r="V816" s="11"/>
      <c r="W816" s="11"/>
      <c r="X816" s="11"/>
    </row>
    <row r="817" ht="13.5" customHeight="1">
      <c r="A817" s="11"/>
      <c r="B817" s="11"/>
      <c r="C817" s="11"/>
      <c r="D817" s="11"/>
      <c r="E817" s="11"/>
      <c r="F817" s="11"/>
      <c r="G817" s="11"/>
      <c r="H817" s="11"/>
      <c r="I817" s="11"/>
      <c r="J817" s="11"/>
      <c r="K817" s="11"/>
      <c r="L817" s="11"/>
      <c r="M817" s="755"/>
      <c r="N817" s="11"/>
      <c r="O817" s="11"/>
      <c r="P817" s="11"/>
      <c r="Q817" s="11"/>
      <c r="R817" s="11"/>
      <c r="S817" s="11"/>
      <c r="T817" s="11"/>
      <c r="U817" s="11"/>
      <c r="V817" s="11"/>
      <c r="W817" s="11"/>
      <c r="X817" s="11"/>
    </row>
    <row r="818" ht="13.5" customHeight="1">
      <c r="A818" s="11"/>
      <c r="B818" s="11"/>
      <c r="C818" s="11"/>
      <c r="D818" s="11"/>
      <c r="E818" s="11"/>
      <c r="F818" s="11"/>
      <c r="G818" s="11"/>
      <c r="H818" s="11"/>
      <c r="I818" s="11"/>
      <c r="J818" s="11"/>
      <c r="K818" s="11"/>
      <c r="L818" s="11"/>
      <c r="M818" s="755"/>
      <c r="N818" s="11"/>
      <c r="O818" s="11"/>
      <c r="P818" s="11"/>
      <c r="Q818" s="11"/>
      <c r="R818" s="11"/>
      <c r="S818" s="11"/>
      <c r="T818" s="11"/>
      <c r="U818" s="11"/>
      <c r="V818" s="11"/>
      <c r="W818" s="11"/>
      <c r="X818" s="11"/>
    </row>
    <row r="819" ht="13.5" customHeight="1">
      <c r="A819" s="11"/>
      <c r="B819" s="11"/>
      <c r="C819" s="11"/>
      <c r="D819" s="11"/>
      <c r="E819" s="11"/>
      <c r="F819" s="11"/>
      <c r="G819" s="11"/>
      <c r="H819" s="11"/>
      <c r="I819" s="11"/>
      <c r="J819" s="11"/>
      <c r="K819" s="11"/>
      <c r="L819" s="11"/>
      <c r="M819" s="755"/>
      <c r="N819" s="11"/>
      <c r="O819" s="11"/>
      <c r="P819" s="11"/>
      <c r="Q819" s="11"/>
      <c r="R819" s="11"/>
      <c r="S819" s="11"/>
      <c r="T819" s="11"/>
      <c r="U819" s="11"/>
      <c r="V819" s="11"/>
      <c r="W819" s="11"/>
      <c r="X819" s="11"/>
    </row>
    <row r="820" ht="13.5" customHeight="1">
      <c r="A820" s="11"/>
      <c r="B820" s="11"/>
      <c r="C820" s="11"/>
      <c r="D820" s="11"/>
      <c r="E820" s="11"/>
      <c r="F820" s="11"/>
      <c r="G820" s="11"/>
      <c r="H820" s="11"/>
      <c r="I820" s="11"/>
      <c r="J820" s="11"/>
      <c r="K820" s="11"/>
      <c r="L820" s="11"/>
      <c r="M820" s="755"/>
      <c r="N820" s="11"/>
      <c r="O820" s="11"/>
      <c r="P820" s="11"/>
      <c r="Q820" s="11"/>
      <c r="R820" s="11"/>
      <c r="S820" s="11"/>
      <c r="T820" s="11"/>
      <c r="U820" s="11"/>
      <c r="V820" s="11"/>
      <c r="W820" s="11"/>
      <c r="X820" s="11"/>
    </row>
    <row r="821" ht="13.5" customHeight="1">
      <c r="A821" s="11"/>
      <c r="B821" s="11"/>
      <c r="C821" s="11"/>
      <c r="D821" s="11"/>
      <c r="E821" s="11"/>
      <c r="F821" s="11"/>
      <c r="G821" s="11"/>
      <c r="H821" s="11"/>
      <c r="I821" s="11"/>
      <c r="J821" s="11"/>
      <c r="K821" s="11"/>
      <c r="L821" s="11"/>
      <c r="M821" s="755"/>
      <c r="N821" s="11"/>
      <c r="O821" s="11"/>
      <c r="P821" s="11"/>
      <c r="Q821" s="11"/>
      <c r="R821" s="11"/>
      <c r="S821" s="11"/>
      <c r="T821" s="11"/>
      <c r="U821" s="11"/>
      <c r="V821" s="11"/>
      <c r="W821" s="11"/>
      <c r="X821" s="11"/>
    </row>
    <row r="822" ht="13.5" customHeight="1">
      <c r="A822" s="11"/>
      <c r="B822" s="11"/>
      <c r="C822" s="11"/>
      <c r="D822" s="11"/>
      <c r="E822" s="11"/>
      <c r="F822" s="11"/>
      <c r="G822" s="11"/>
      <c r="H822" s="11"/>
      <c r="I822" s="11"/>
      <c r="J822" s="11"/>
      <c r="K822" s="11"/>
      <c r="L822" s="11"/>
      <c r="M822" s="755"/>
      <c r="N822" s="11"/>
      <c r="O822" s="11"/>
      <c r="P822" s="11"/>
      <c r="Q822" s="11"/>
      <c r="R822" s="11"/>
      <c r="S822" s="11"/>
      <c r="T822" s="11"/>
      <c r="U822" s="11"/>
      <c r="V822" s="11"/>
      <c r="W822" s="11"/>
      <c r="X822" s="11"/>
    </row>
    <row r="823" ht="13.5" customHeight="1">
      <c r="A823" s="11"/>
      <c r="B823" s="11"/>
      <c r="C823" s="11"/>
      <c r="D823" s="11"/>
      <c r="E823" s="11"/>
      <c r="F823" s="11"/>
      <c r="G823" s="11"/>
      <c r="H823" s="11"/>
      <c r="I823" s="11"/>
      <c r="J823" s="11"/>
      <c r="K823" s="11"/>
      <c r="L823" s="11"/>
      <c r="M823" s="755"/>
      <c r="N823" s="11"/>
      <c r="O823" s="11"/>
      <c r="P823" s="11"/>
      <c r="Q823" s="11"/>
      <c r="R823" s="11"/>
      <c r="S823" s="11"/>
      <c r="T823" s="11"/>
      <c r="U823" s="11"/>
      <c r="V823" s="11"/>
      <c r="W823" s="11"/>
      <c r="X823" s="11"/>
    </row>
    <row r="824" ht="13.5" customHeight="1">
      <c r="A824" s="11"/>
      <c r="B824" s="11"/>
      <c r="C824" s="11"/>
      <c r="D824" s="11"/>
      <c r="E824" s="11"/>
      <c r="F824" s="11"/>
      <c r="G824" s="11"/>
      <c r="H824" s="11"/>
      <c r="I824" s="11"/>
      <c r="J824" s="11"/>
      <c r="K824" s="11"/>
      <c r="L824" s="11"/>
      <c r="M824" s="755"/>
      <c r="N824" s="11"/>
      <c r="O824" s="11"/>
      <c r="P824" s="11"/>
      <c r="Q824" s="11"/>
      <c r="R824" s="11"/>
      <c r="S824" s="11"/>
      <c r="T824" s="11"/>
      <c r="U824" s="11"/>
      <c r="V824" s="11"/>
      <c r="W824" s="11"/>
      <c r="X824" s="11"/>
    </row>
    <row r="825" ht="13.5" customHeight="1">
      <c r="A825" s="11"/>
      <c r="B825" s="11"/>
      <c r="C825" s="11"/>
      <c r="D825" s="11"/>
      <c r="E825" s="11"/>
      <c r="F825" s="11"/>
      <c r="G825" s="11"/>
      <c r="H825" s="11"/>
      <c r="I825" s="11"/>
      <c r="J825" s="11"/>
      <c r="K825" s="11"/>
      <c r="L825" s="11"/>
      <c r="M825" s="755"/>
      <c r="N825" s="11"/>
      <c r="O825" s="11"/>
      <c r="P825" s="11"/>
      <c r="Q825" s="11"/>
      <c r="R825" s="11"/>
      <c r="S825" s="11"/>
      <c r="T825" s="11"/>
      <c r="U825" s="11"/>
      <c r="V825" s="11"/>
      <c r="W825" s="11"/>
      <c r="X825" s="11"/>
    </row>
    <row r="826" ht="13.5" customHeight="1">
      <c r="A826" s="11"/>
      <c r="B826" s="11"/>
      <c r="C826" s="11"/>
      <c r="D826" s="11"/>
      <c r="E826" s="11"/>
      <c r="F826" s="11"/>
      <c r="G826" s="11"/>
      <c r="H826" s="11"/>
      <c r="I826" s="11"/>
      <c r="J826" s="11"/>
      <c r="K826" s="11"/>
      <c r="L826" s="11"/>
      <c r="M826" s="755"/>
      <c r="N826" s="11"/>
      <c r="O826" s="11"/>
      <c r="P826" s="11"/>
      <c r="Q826" s="11"/>
      <c r="R826" s="11"/>
      <c r="S826" s="11"/>
      <c r="T826" s="11"/>
      <c r="U826" s="11"/>
      <c r="V826" s="11"/>
      <c r="W826" s="11"/>
      <c r="X826" s="11"/>
    </row>
    <row r="827" ht="13.5" customHeight="1">
      <c r="A827" s="11"/>
      <c r="B827" s="11"/>
      <c r="C827" s="11"/>
      <c r="D827" s="11"/>
      <c r="E827" s="11"/>
      <c r="F827" s="11"/>
      <c r="G827" s="11"/>
      <c r="H827" s="11"/>
      <c r="I827" s="11"/>
      <c r="J827" s="11"/>
      <c r="K827" s="11"/>
      <c r="L827" s="11"/>
      <c r="M827" s="755"/>
      <c r="N827" s="11"/>
      <c r="O827" s="11"/>
      <c r="P827" s="11"/>
      <c r="Q827" s="11"/>
      <c r="R827" s="11"/>
      <c r="S827" s="11"/>
      <c r="T827" s="11"/>
      <c r="U827" s="11"/>
      <c r="V827" s="11"/>
      <c r="W827" s="11"/>
      <c r="X827" s="11"/>
    </row>
    <row r="828" ht="13.5" customHeight="1">
      <c r="A828" s="11"/>
      <c r="B828" s="11"/>
      <c r="C828" s="11"/>
      <c r="D828" s="11"/>
      <c r="E828" s="11"/>
      <c r="F828" s="11"/>
      <c r="G828" s="11"/>
      <c r="H828" s="11"/>
      <c r="I828" s="11"/>
      <c r="J828" s="11"/>
      <c r="K828" s="11"/>
      <c r="L828" s="11"/>
      <c r="M828" s="755"/>
      <c r="N828" s="11"/>
      <c r="O828" s="11"/>
      <c r="P828" s="11"/>
      <c r="Q828" s="11"/>
      <c r="R828" s="11"/>
      <c r="S828" s="11"/>
      <c r="T828" s="11"/>
      <c r="U828" s="11"/>
      <c r="V828" s="11"/>
      <c r="W828" s="11"/>
      <c r="X828" s="11"/>
    </row>
    <row r="829" ht="13.5" customHeight="1">
      <c r="A829" s="11"/>
      <c r="B829" s="11"/>
      <c r="C829" s="11"/>
      <c r="D829" s="11"/>
      <c r="E829" s="11"/>
      <c r="F829" s="11"/>
      <c r="G829" s="11"/>
      <c r="H829" s="11"/>
      <c r="I829" s="11"/>
      <c r="J829" s="11"/>
      <c r="K829" s="11"/>
      <c r="L829" s="11"/>
      <c r="M829" s="755"/>
      <c r="N829" s="11"/>
      <c r="O829" s="11"/>
      <c r="P829" s="11"/>
      <c r="Q829" s="11"/>
      <c r="R829" s="11"/>
      <c r="S829" s="11"/>
      <c r="T829" s="11"/>
      <c r="U829" s="11"/>
      <c r="V829" s="11"/>
      <c r="W829" s="11"/>
      <c r="X829" s="11"/>
    </row>
    <row r="830" ht="13.5" customHeight="1">
      <c r="A830" s="11"/>
      <c r="B830" s="11"/>
      <c r="C830" s="11"/>
      <c r="D830" s="11"/>
      <c r="E830" s="11"/>
      <c r="F830" s="11"/>
      <c r="G830" s="11"/>
      <c r="H830" s="11"/>
      <c r="I830" s="11"/>
      <c r="J830" s="11"/>
      <c r="K830" s="11"/>
      <c r="L830" s="11"/>
      <c r="M830" s="755"/>
      <c r="N830" s="11"/>
      <c r="O830" s="11"/>
      <c r="P830" s="11"/>
      <c r="Q830" s="11"/>
      <c r="R830" s="11"/>
      <c r="S830" s="11"/>
      <c r="T830" s="11"/>
      <c r="U830" s="11"/>
      <c r="V830" s="11"/>
      <c r="W830" s="11"/>
      <c r="X830" s="11"/>
    </row>
    <row r="831" ht="13.5" customHeight="1">
      <c r="A831" s="11"/>
      <c r="B831" s="11"/>
      <c r="C831" s="11"/>
      <c r="D831" s="11"/>
      <c r="E831" s="11"/>
      <c r="F831" s="11"/>
      <c r="G831" s="11"/>
      <c r="H831" s="11"/>
      <c r="I831" s="11"/>
      <c r="J831" s="11"/>
      <c r="K831" s="11"/>
      <c r="L831" s="11"/>
      <c r="M831" s="755"/>
      <c r="N831" s="11"/>
      <c r="O831" s="11"/>
      <c r="P831" s="11"/>
      <c r="Q831" s="11"/>
      <c r="R831" s="11"/>
      <c r="S831" s="11"/>
      <c r="T831" s="11"/>
      <c r="U831" s="11"/>
      <c r="V831" s="11"/>
      <c r="W831" s="11"/>
      <c r="X831" s="11"/>
    </row>
    <row r="832" ht="13.5" customHeight="1">
      <c r="A832" s="11"/>
      <c r="B832" s="11"/>
      <c r="C832" s="11"/>
      <c r="D832" s="11"/>
      <c r="E832" s="11"/>
      <c r="F832" s="11"/>
      <c r="G832" s="11"/>
      <c r="H832" s="11"/>
      <c r="I832" s="11"/>
      <c r="J832" s="11"/>
      <c r="K832" s="11"/>
      <c r="L832" s="11"/>
      <c r="M832" s="755"/>
      <c r="N832" s="11"/>
      <c r="O832" s="11"/>
      <c r="P832" s="11"/>
      <c r="Q832" s="11"/>
      <c r="R832" s="11"/>
      <c r="S832" s="11"/>
      <c r="T832" s="11"/>
      <c r="U832" s="11"/>
      <c r="V832" s="11"/>
      <c r="W832" s="11"/>
      <c r="X832" s="11"/>
    </row>
    <row r="833" ht="13.5" customHeight="1">
      <c r="A833" s="11"/>
      <c r="B833" s="11"/>
      <c r="C833" s="11"/>
      <c r="D833" s="11"/>
      <c r="E833" s="11"/>
      <c r="F833" s="11"/>
      <c r="G833" s="11"/>
      <c r="H833" s="11"/>
      <c r="I833" s="11"/>
      <c r="J833" s="11"/>
      <c r="K833" s="11"/>
      <c r="L833" s="11"/>
      <c r="M833" s="755"/>
      <c r="N833" s="11"/>
      <c r="O833" s="11"/>
      <c r="P833" s="11"/>
      <c r="Q833" s="11"/>
      <c r="R833" s="11"/>
      <c r="S833" s="11"/>
      <c r="T833" s="11"/>
      <c r="U833" s="11"/>
      <c r="V833" s="11"/>
      <c r="W833" s="11"/>
      <c r="X833" s="11"/>
    </row>
    <row r="834" ht="13.5" customHeight="1">
      <c r="A834" s="11"/>
      <c r="B834" s="11"/>
      <c r="C834" s="11"/>
      <c r="D834" s="11"/>
      <c r="E834" s="11"/>
      <c r="F834" s="11"/>
      <c r="G834" s="11"/>
      <c r="H834" s="11"/>
      <c r="I834" s="11"/>
      <c r="J834" s="11"/>
      <c r="K834" s="11"/>
      <c r="L834" s="11"/>
      <c r="M834" s="755"/>
      <c r="N834" s="11"/>
      <c r="O834" s="11"/>
      <c r="P834" s="11"/>
      <c r="Q834" s="11"/>
      <c r="R834" s="11"/>
      <c r="S834" s="11"/>
      <c r="T834" s="11"/>
      <c r="U834" s="11"/>
      <c r="V834" s="11"/>
      <c r="W834" s="11"/>
      <c r="X834" s="11"/>
    </row>
    <row r="835" ht="13.5" customHeight="1">
      <c r="A835" s="11"/>
      <c r="B835" s="11"/>
      <c r="C835" s="11"/>
      <c r="D835" s="11"/>
      <c r="E835" s="11"/>
      <c r="F835" s="11"/>
      <c r="G835" s="11"/>
      <c r="H835" s="11"/>
      <c r="I835" s="11"/>
      <c r="J835" s="11"/>
      <c r="K835" s="11"/>
      <c r="L835" s="11"/>
      <c r="M835" s="755"/>
      <c r="N835" s="11"/>
      <c r="O835" s="11"/>
      <c r="P835" s="11"/>
      <c r="Q835" s="11"/>
      <c r="R835" s="11"/>
      <c r="S835" s="11"/>
      <c r="T835" s="11"/>
      <c r="U835" s="11"/>
      <c r="V835" s="11"/>
      <c r="W835" s="11"/>
      <c r="X835" s="11"/>
    </row>
    <row r="836" ht="13.5" customHeight="1">
      <c r="A836" s="11"/>
      <c r="B836" s="11"/>
      <c r="C836" s="11"/>
      <c r="D836" s="11"/>
      <c r="E836" s="11"/>
      <c r="F836" s="11"/>
      <c r="G836" s="11"/>
      <c r="H836" s="11"/>
      <c r="I836" s="11"/>
      <c r="J836" s="11"/>
      <c r="K836" s="11"/>
      <c r="L836" s="11"/>
      <c r="M836" s="755"/>
      <c r="N836" s="11"/>
      <c r="O836" s="11"/>
      <c r="P836" s="11"/>
      <c r="Q836" s="11"/>
      <c r="R836" s="11"/>
      <c r="S836" s="11"/>
      <c r="T836" s="11"/>
      <c r="U836" s="11"/>
      <c r="V836" s="11"/>
      <c r="W836" s="11"/>
      <c r="X836" s="11"/>
    </row>
    <row r="837" ht="13.5" customHeight="1">
      <c r="A837" s="11"/>
      <c r="B837" s="11"/>
      <c r="C837" s="11"/>
      <c r="D837" s="11"/>
      <c r="E837" s="11"/>
      <c r="F837" s="11"/>
      <c r="G837" s="11"/>
      <c r="H837" s="11"/>
      <c r="I837" s="11"/>
      <c r="J837" s="11"/>
      <c r="K837" s="11"/>
      <c r="L837" s="11"/>
      <c r="M837" s="755"/>
      <c r="N837" s="11"/>
      <c r="O837" s="11"/>
      <c r="P837" s="11"/>
      <c r="Q837" s="11"/>
      <c r="R837" s="11"/>
      <c r="S837" s="11"/>
      <c r="T837" s="11"/>
      <c r="U837" s="11"/>
      <c r="V837" s="11"/>
      <c r="W837" s="11"/>
      <c r="X837" s="11"/>
    </row>
    <row r="838" ht="13.5" customHeight="1">
      <c r="A838" s="11"/>
      <c r="B838" s="11"/>
      <c r="C838" s="11"/>
      <c r="D838" s="11"/>
      <c r="E838" s="11"/>
      <c r="F838" s="11"/>
      <c r="G838" s="11"/>
      <c r="H838" s="11"/>
      <c r="I838" s="11"/>
      <c r="J838" s="11"/>
      <c r="K838" s="11"/>
      <c r="L838" s="11"/>
      <c r="M838" s="755"/>
      <c r="N838" s="11"/>
      <c r="O838" s="11"/>
      <c r="P838" s="11"/>
      <c r="Q838" s="11"/>
      <c r="R838" s="11"/>
      <c r="S838" s="11"/>
      <c r="T838" s="11"/>
      <c r="U838" s="11"/>
      <c r="V838" s="11"/>
      <c r="W838" s="11"/>
      <c r="X838" s="11"/>
    </row>
    <row r="839" ht="13.5" customHeight="1">
      <c r="A839" s="11"/>
      <c r="B839" s="11"/>
      <c r="C839" s="11"/>
      <c r="D839" s="11"/>
      <c r="E839" s="11"/>
      <c r="F839" s="11"/>
      <c r="G839" s="11"/>
      <c r="H839" s="11"/>
      <c r="I839" s="11"/>
      <c r="J839" s="11"/>
      <c r="K839" s="11"/>
      <c r="L839" s="11"/>
      <c r="M839" s="755"/>
      <c r="N839" s="11"/>
      <c r="O839" s="11"/>
      <c r="P839" s="11"/>
      <c r="Q839" s="11"/>
      <c r="R839" s="11"/>
      <c r="S839" s="11"/>
      <c r="T839" s="11"/>
      <c r="U839" s="11"/>
      <c r="V839" s="11"/>
      <c r="W839" s="11"/>
      <c r="X839" s="11"/>
    </row>
    <row r="840" ht="13.5" customHeight="1">
      <c r="A840" s="11"/>
      <c r="B840" s="11"/>
      <c r="C840" s="11"/>
      <c r="D840" s="11"/>
      <c r="E840" s="11"/>
      <c r="F840" s="11"/>
      <c r="G840" s="11"/>
      <c r="H840" s="11"/>
      <c r="I840" s="11"/>
      <c r="J840" s="11"/>
      <c r="K840" s="11"/>
      <c r="L840" s="11"/>
      <c r="M840" s="755"/>
      <c r="N840" s="11"/>
      <c r="O840" s="11"/>
      <c r="P840" s="11"/>
      <c r="Q840" s="11"/>
      <c r="R840" s="11"/>
      <c r="S840" s="11"/>
      <c r="T840" s="11"/>
      <c r="U840" s="11"/>
      <c r="V840" s="11"/>
      <c r="W840" s="11"/>
      <c r="X840" s="11"/>
    </row>
    <row r="841" ht="13.5" customHeight="1">
      <c r="A841" s="11"/>
      <c r="B841" s="11"/>
      <c r="C841" s="11"/>
      <c r="D841" s="11"/>
      <c r="E841" s="11"/>
      <c r="F841" s="11"/>
      <c r="G841" s="11"/>
      <c r="H841" s="11"/>
      <c r="I841" s="11"/>
      <c r="J841" s="11"/>
      <c r="K841" s="11"/>
      <c r="L841" s="11"/>
      <c r="M841" s="755"/>
      <c r="N841" s="11"/>
      <c r="O841" s="11"/>
      <c r="P841" s="11"/>
      <c r="Q841" s="11"/>
      <c r="R841" s="11"/>
      <c r="S841" s="11"/>
      <c r="T841" s="11"/>
      <c r="U841" s="11"/>
      <c r="V841" s="11"/>
      <c r="W841" s="11"/>
      <c r="X841" s="11"/>
    </row>
    <row r="842" ht="15.0" customHeight="1">
      <c r="A842" s="11"/>
      <c r="B842" s="11"/>
      <c r="C842" s="11"/>
      <c r="D842" s="11"/>
      <c r="E842" s="11"/>
      <c r="F842" s="11"/>
      <c r="G842" s="11"/>
      <c r="H842" s="11"/>
      <c r="I842" s="11"/>
      <c r="J842" s="11"/>
      <c r="K842" s="11"/>
      <c r="L842" s="11"/>
      <c r="M842" s="755"/>
      <c r="N842" s="11"/>
      <c r="O842" s="11"/>
      <c r="P842" s="11"/>
      <c r="Q842" s="11"/>
      <c r="R842" s="11"/>
      <c r="S842" s="11"/>
      <c r="T842" s="11"/>
      <c r="U842" s="11"/>
      <c r="V842" s="11"/>
      <c r="W842" s="11"/>
      <c r="X842" s="11"/>
    </row>
    <row r="843" ht="13.5" customHeight="1">
      <c r="A843" s="11"/>
      <c r="B843" s="11"/>
      <c r="C843" s="11"/>
      <c r="D843" s="11"/>
      <c r="E843" s="11"/>
      <c r="F843" s="11"/>
      <c r="G843" s="11"/>
      <c r="H843" s="11"/>
      <c r="I843" s="11"/>
      <c r="J843" s="11"/>
      <c r="K843" s="11"/>
      <c r="L843" s="11"/>
      <c r="M843" s="755"/>
      <c r="N843" s="11"/>
      <c r="O843" s="11"/>
      <c r="P843" s="11"/>
      <c r="Q843" s="11"/>
      <c r="R843" s="11"/>
      <c r="S843" s="11"/>
      <c r="T843" s="11"/>
      <c r="U843" s="11"/>
      <c r="V843" s="11"/>
      <c r="W843" s="11"/>
      <c r="X843" s="11"/>
    </row>
    <row r="844" ht="13.5" customHeight="1">
      <c r="A844" s="11"/>
      <c r="B844" s="11"/>
      <c r="C844" s="11"/>
      <c r="D844" s="11"/>
      <c r="E844" s="11"/>
      <c r="F844" s="11"/>
      <c r="G844" s="11"/>
      <c r="H844" s="11"/>
      <c r="I844" s="11"/>
      <c r="J844" s="11"/>
      <c r="K844" s="11"/>
      <c r="L844" s="11"/>
      <c r="M844" s="755"/>
      <c r="N844" s="11"/>
      <c r="O844" s="11"/>
      <c r="P844" s="11"/>
      <c r="Q844" s="11"/>
      <c r="R844" s="11"/>
      <c r="S844" s="11"/>
      <c r="T844" s="11"/>
      <c r="U844" s="11"/>
      <c r="V844" s="11"/>
      <c r="W844" s="11"/>
      <c r="X844" s="11"/>
    </row>
    <row r="845" ht="15.0" customHeight="1">
      <c r="A845" s="11"/>
      <c r="B845" s="11"/>
      <c r="C845" s="11"/>
      <c r="D845" s="11"/>
      <c r="E845" s="11"/>
      <c r="F845" s="11"/>
      <c r="G845" s="11"/>
      <c r="H845" s="11"/>
      <c r="I845" s="11"/>
      <c r="J845" s="11"/>
      <c r="K845" s="11"/>
      <c r="L845" s="11"/>
      <c r="M845" s="755"/>
      <c r="N845" s="11"/>
      <c r="O845" s="11"/>
      <c r="P845" s="11"/>
      <c r="Q845" s="11"/>
      <c r="R845" s="11"/>
      <c r="S845" s="11"/>
      <c r="T845" s="11"/>
      <c r="U845" s="11"/>
      <c r="V845" s="11"/>
      <c r="W845" s="11"/>
      <c r="X845" s="11"/>
    </row>
    <row r="846" ht="13.5" customHeight="1">
      <c r="A846" s="11"/>
      <c r="B846" s="11"/>
      <c r="C846" s="11"/>
      <c r="D846" s="11"/>
      <c r="E846" s="11"/>
      <c r="F846" s="11"/>
      <c r="G846" s="11"/>
      <c r="H846" s="11"/>
      <c r="I846" s="11"/>
      <c r="J846" s="11"/>
      <c r="K846" s="11"/>
      <c r="L846" s="11"/>
      <c r="M846" s="755"/>
      <c r="N846" s="11"/>
      <c r="O846" s="11"/>
      <c r="P846" s="11"/>
      <c r="Q846" s="11"/>
      <c r="R846" s="11"/>
      <c r="S846" s="11"/>
      <c r="T846" s="11"/>
      <c r="U846" s="11"/>
      <c r="V846" s="11"/>
      <c r="W846" s="11"/>
      <c r="X846" s="11"/>
    </row>
    <row r="847" ht="13.5" customHeight="1">
      <c r="A847" s="11"/>
      <c r="B847" s="11"/>
      <c r="C847" s="11"/>
      <c r="D847" s="11"/>
      <c r="E847" s="11"/>
      <c r="F847" s="11"/>
      <c r="G847" s="11"/>
      <c r="H847" s="11"/>
      <c r="I847" s="11"/>
      <c r="J847" s="11"/>
      <c r="K847" s="11"/>
      <c r="L847" s="11"/>
      <c r="M847" s="755"/>
      <c r="N847" s="11"/>
      <c r="O847" s="11"/>
      <c r="P847" s="11"/>
      <c r="Q847" s="11"/>
      <c r="R847" s="11"/>
      <c r="S847" s="11"/>
      <c r="T847" s="11"/>
      <c r="U847" s="11"/>
      <c r="V847" s="11"/>
      <c r="W847" s="11"/>
      <c r="X847" s="11"/>
    </row>
    <row r="848" ht="13.5" customHeight="1">
      <c r="A848" s="11"/>
      <c r="B848" s="11"/>
      <c r="C848" s="11"/>
      <c r="D848" s="11"/>
      <c r="E848" s="11"/>
      <c r="F848" s="11"/>
      <c r="G848" s="11"/>
      <c r="H848" s="11"/>
      <c r="I848" s="11"/>
      <c r="J848" s="11"/>
      <c r="K848" s="11"/>
      <c r="L848" s="11"/>
      <c r="M848" s="755"/>
      <c r="N848" s="11"/>
      <c r="O848" s="11"/>
      <c r="P848" s="11"/>
      <c r="Q848" s="11"/>
      <c r="R848" s="11"/>
      <c r="S848" s="11"/>
      <c r="T848" s="11"/>
      <c r="U848" s="11"/>
      <c r="V848" s="11"/>
      <c r="W848" s="11"/>
      <c r="X848" s="11"/>
    </row>
    <row r="849" ht="13.5" customHeight="1">
      <c r="A849" s="11"/>
      <c r="B849" s="11"/>
      <c r="C849" s="11"/>
      <c r="D849" s="11"/>
      <c r="E849" s="11"/>
      <c r="F849" s="11"/>
      <c r="G849" s="11"/>
      <c r="H849" s="11"/>
      <c r="I849" s="11"/>
      <c r="J849" s="11"/>
      <c r="K849" s="11"/>
      <c r="L849" s="11"/>
      <c r="M849" s="755"/>
      <c r="N849" s="11"/>
      <c r="O849" s="11"/>
      <c r="P849" s="11"/>
      <c r="Q849" s="11"/>
      <c r="R849" s="11"/>
      <c r="S849" s="11"/>
      <c r="T849" s="11"/>
      <c r="U849" s="11"/>
      <c r="V849" s="11"/>
      <c r="W849" s="11"/>
      <c r="X849" s="11"/>
    </row>
    <row r="850" ht="13.5" customHeight="1">
      <c r="A850" s="11"/>
      <c r="B850" s="11"/>
      <c r="C850" s="11"/>
      <c r="D850" s="11"/>
      <c r="E850" s="11"/>
      <c r="F850" s="11"/>
      <c r="G850" s="11"/>
      <c r="H850" s="11"/>
      <c r="I850" s="11"/>
      <c r="J850" s="11"/>
      <c r="K850" s="11"/>
      <c r="L850" s="11"/>
      <c r="M850" s="755"/>
      <c r="N850" s="11"/>
      <c r="O850" s="11"/>
      <c r="P850" s="11"/>
      <c r="Q850" s="11"/>
      <c r="R850" s="11"/>
      <c r="S850" s="11"/>
      <c r="T850" s="11"/>
      <c r="U850" s="11"/>
      <c r="V850" s="11"/>
      <c r="W850" s="11"/>
      <c r="X850" s="11"/>
    </row>
    <row r="851" ht="13.5" customHeight="1">
      <c r="A851" s="11"/>
      <c r="B851" s="11"/>
      <c r="C851" s="11"/>
      <c r="D851" s="11"/>
      <c r="E851" s="11"/>
      <c r="F851" s="11"/>
      <c r="G851" s="11"/>
      <c r="H851" s="11"/>
      <c r="I851" s="11"/>
      <c r="J851" s="11"/>
      <c r="K851" s="11"/>
      <c r="L851" s="11"/>
      <c r="M851" s="755"/>
      <c r="N851" s="11"/>
      <c r="O851" s="11"/>
      <c r="P851" s="11"/>
      <c r="Q851" s="11"/>
      <c r="R851" s="11"/>
      <c r="S851" s="11"/>
      <c r="T851" s="11"/>
      <c r="U851" s="11"/>
      <c r="V851" s="11"/>
      <c r="W851" s="11"/>
      <c r="X851" s="11"/>
    </row>
    <row r="852" ht="13.5" customHeight="1">
      <c r="A852" s="11"/>
      <c r="B852" s="11"/>
      <c r="C852" s="11"/>
      <c r="D852" s="11"/>
      <c r="E852" s="11"/>
      <c r="F852" s="11"/>
      <c r="G852" s="11"/>
      <c r="H852" s="11"/>
      <c r="I852" s="11"/>
      <c r="J852" s="11"/>
      <c r="K852" s="11"/>
      <c r="L852" s="11"/>
      <c r="M852" s="755"/>
      <c r="N852" s="11"/>
      <c r="O852" s="11"/>
      <c r="P852" s="11"/>
      <c r="Q852" s="11"/>
      <c r="R852" s="11"/>
      <c r="S852" s="11"/>
      <c r="T852" s="11"/>
      <c r="U852" s="11"/>
      <c r="V852" s="11"/>
      <c r="W852" s="11"/>
      <c r="X852" s="11"/>
    </row>
    <row r="853" ht="13.5" customHeight="1">
      <c r="A853" s="11"/>
      <c r="B853" s="11"/>
      <c r="C853" s="11"/>
      <c r="D853" s="11"/>
      <c r="E853" s="11"/>
      <c r="F853" s="11"/>
      <c r="G853" s="11"/>
      <c r="H853" s="11"/>
      <c r="I853" s="11"/>
      <c r="J853" s="11"/>
      <c r="K853" s="11"/>
      <c r="L853" s="11"/>
      <c r="M853" s="755"/>
      <c r="N853" s="11"/>
      <c r="O853" s="11"/>
      <c r="P853" s="11"/>
      <c r="Q853" s="11"/>
      <c r="R853" s="11"/>
      <c r="S853" s="11"/>
      <c r="T853" s="11"/>
      <c r="U853" s="11"/>
      <c r="V853" s="11"/>
      <c r="W853" s="11"/>
      <c r="X853" s="11"/>
    </row>
    <row r="854" ht="13.5" customHeight="1">
      <c r="A854" s="11"/>
      <c r="B854" s="11"/>
      <c r="C854" s="11"/>
      <c r="D854" s="11"/>
      <c r="E854" s="11"/>
      <c r="F854" s="11"/>
      <c r="G854" s="11"/>
      <c r="H854" s="11"/>
      <c r="I854" s="11"/>
      <c r="J854" s="11"/>
      <c r="K854" s="11"/>
      <c r="L854" s="11"/>
      <c r="M854" s="755"/>
      <c r="N854" s="11"/>
      <c r="O854" s="11"/>
      <c r="P854" s="11"/>
      <c r="Q854" s="11"/>
      <c r="R854" s="11"/>
      <c r="S854" s="11"/>
      <c r="T854" s="11"/>
      <c r="U854" s="11"/>
      <c r="V854" s="11"/>
      <c r="W854" s="11"/>
      <c r="X854" s="11"/>
    </row>
    <row r="855" ht="13.5" customHeight="1">
      <c r="A855" s="11"/>
      <c r="B855" s="11"/>
      <c r="C855" s="11"/>
      <c r="D855" s="11"/>
      <c r="E855" s="11"/>
      <c r="F855" s="11"/>
      <c r="G855" s="11"/>
      <c r="H855" s="11"/>
      <c r="I855" s="11"/>
      <c r="J855" s="11"/>
      <c r="K855" s="11"/>
      <c r="L855" s="11"/>
      <c r="M855" s="755"/>
      <c r="N855" s="11"/>
      <c r="O855" s="11"/>
      <c r="P855" s="11"/>
      <c r="Q855" s="11"/>
      <c r="R855" s="11"/>
      <c r="S855" s="11"/>
      <c r="T855" s="11"/>
      <c r="U855" s="11"/>
      <c r="V855" s="11"/>
      <c r="W855" s="11"/>
      <c r="X855" s="11"/>
    </row>
    <row r="856" ht="13.5" customHeight="1">
      <c r="A856" s="11"/>
      <c r="B856" s="11"/>
      <c r="C856" s="11"/>
      <c r="D856" s="11"/>
      <c r="E856" s="11"/>
      <c r="F856" s="11"/>
      <c r="G856" s="11"/>
      <c r="H856" s="11"/>
      <c r="I856" s="11"/>
      <c r="J856" s="11"/>
      <c r="K856" s="11"/>
      <c r="L856" s="11"/>
      <c r="M856" s="755"/>
      <c r="N856" s="11"/>
      <c r="O856" s="11"/>
      <c r="P856" s="11"/>
      <c r="Q856" s="11"/>
      <c r="R856" s="11"/>
      <c r="S856" s="11"/>
      <c r="T856" s="11"/>
      <c r="U856" s="11"/>
      <c r="V856" s="11"/>
      <c r="W856" s="11"/>
      <c r="X856" s="11"/>
    </row>
    <row r="857" ht="13.5" customHeight="1">
      <c r="A857" s="11"/>
      <c r="B857" s="11"/>
      <c r="C857" s="11"/>
      <c r="D857" s="11"/>
      <c r="E857" s="11"/>
      <c r="F857" s="11"/>
      <c r="G857" s="11"/>
      <c r="H857" s="11"/>
      <c r="I857" s="11"/>
      <c r="J857" s="11"/>
      <c r="K857" s="11"/>
      <c r="L857" s="11"/>
      <c r="M857" s="755"/>
      <c r="N857" s="11"/>
      <c r="O857" s="11"/>
      <c r="P857" s="11"/>
      <c r="Q857" s="11"/>
      <c r="R857" s="11"/>
      <c r="S857" s="11"/>
      <c r="T857" s="11"/>
      <c r="U857" s="11"/>
      <c r="V857" s="11"/>
      <c r="W857" s="11"/>
      <c r="X857" s="11"/>
    </row>
    <row r="858" ht="13.5" customHeight="1">
      <c r="A858" s="11"/>
      <c r="B858" s="11"/>
      <c r="C858" s="11"/>
      <c r="D858" s="11"/>
      <c r="E858" s="11"/>
      <c r="F858" s="11"/>
      <c r="G858" s="11"/>
      <c r="H858" s="11"/>
      <c r="I858" s="11"/>
      <c r="J858" s="11"/>
      <c r="K858" s="11"/>
      <c r="L858" s="11"/>
      <c r="M858" s="755"/>
      <c r="N858" s="11"/>
      <c r="O858" s="11"/>
      <c r="P858" s="11"/>
      <c r="Q858" s="11"/>
      <c r="R858" s="11"/>
      <c r="S858" s="11"/>
      <c r="T858" s="11"/>
      <c r="U858" s="11"/>
      <c r="V858" s="11"/>
      <c r="W858" s="11"/>
      <c r="X858" s="11"/>
    </row>
    <row r="859" ht="13.5" customHeight="1">
      <c r="A859" s="11"/>
      <c r="B859" s="11"/>
      <c r="C859" s="11"/>
      <c r="D859" s="11"/>
      <c r="E859" s="11"/>
      <c r="F859" s="11"/>
      <c r="G859" s="11"/>
      <c r="H859" s="11"/>
      <c r="I859" s="11"/>
      <c r="J859" s="11"/>
      <c r="K859" s="11"/>
      <c r="L859" s="11"/>
      <c r="M859" s="755"/>
      <c r="N859" s="11"/>
      <c r="O859" s="11"/>
      <c r="P859" s="11"/>
      <c r="Q859" s="11"/>
      <c r="R859" s="11"/>
      <c r="S859" s="11"/>
      <c r="T859" s="11"/>
      <c r="U859" s="11"/>
      <c r="V859" s="11"/>
      <c r="W859" s="11"/>
      <c r="X859" s="11"/>
    </row>
    <row r="860" ht="13.5" customHeight="1">
      <c r="A860" s="11"/>
      <c r="B860" s="11"/>
      <c r="C860" s="11"/>
      <c r="D860" s="11"/>
      <c r="E860" s="11"/>
      <c r="F860" s="11"/>
      <c r="G860" s="11"/>
      <c r="H860" s="11"/>
      <c r="I860" s="11"/>
      <c r="J860" s="11"/>
      <c r="K860" s="11"/>
      <c r="L860" s="11"/>
      <c r="M860" s="755"/>
      <c r="N860" s="11"/>
      <c r="O860" s="11"/>
      <c r="P860" s="11"/>
      <c r="Q860" s="11"/>
      <c r="R860" s="11"/>
      <c r="S860" s="11"/>
      <c r="T860" s="11"/>
      <c r="U860" s="11"/>
      <c r="V860" s="11"/>
      <c r="W860" s="11"/>
      <c r="X860" s="11"/>
    </row>
    <row r="861" ht="13.5" customHeight="1">
      <c r="A861" s="11"/>
      <c r="B861" s="11"/>
      <c r="C861" s="11"/>
      <c r="D861" s="11"/>
      <c r="E861" s="11"/>
      <c r="F861" s="11"/>
      <c r="G861" s="11"/>
      <c r="H861" s="11"/>
      <c r="I861" s="11"/>
      <c r="J861" s="11"/>
      <c r="K861" s="11"/>
      <c r="L861" s="11"/>
      <c r="M861" s="755"/>
      <c r="N861" s="11"/>
      <c r="O861" s="11"/>
      <c r="P861" s="11"/>
      <c r="Q861" s="11"/>
      <c r="R861" s="11"/>
      <c r="S861" s="11"/>
      <c r="T861" s="11"/>
      <c r="U861" s="11"/>
      <c r="V861" s="11"/>
      <c r="W861" s="11"/>
      <c r="X861" s="11"/>
    </row>
    <row r="862" ht="13.5" customHeight="1">
      <c r="A862" s="11"/>
      <c r="B862" s="11"/>
      <c r="C862" s="11"/>
      <c r="D862" s="11"/>
      <c r="E862" s="11"/>
      <c r="F862" s="11"/>
      <c r="G862" s="11"/>
      <c r="H862" s="11"/>
      <c r="I862" s="11"/>
      <c r="J862" s="11"/>
      <c r="K862" s="11"/>
      <c r="L862" s="11"/>
      <c r="M862" s="755"/>
      <c r="N862" s="11"/>
      <c r="O862" s="11"/>
      <c r="P862" s="11"/>
      <c r="Q862" s="11"/>
      <c r="R862" s="11"/>
      <c r="S862" s="11"/>
      <c r="T862" s="11"/>
      <c r="U862" s="11"/>
      <c r="V862" s="11"/>
      <c r="W862" s="11"/>
      <c r="X862" s="11"/>
    </row>
    <row r="863" ht="13.5" customHeight="1">
      <c r="A863" s="11"/>
      <c r="B863" s="11"/>
      <c r="C863" s="11"/>
      <c r="D863" s="11"/>
      <c r="E863" s="11"/>
      <c r="F863" s="11"/>
      <c r="G863" s="11"/>
      <c r="H863" s="11"/>
      <c r="I863" s="11"/>
      <c r="J863" s="11"/>
      <c r="K863" s="11"/>
      <c r="L863" s="11"/>
      <c r="M863" s="755"/>
      <c r="N863" s="11"/>
      <c r="O863" s="11"/>
      <c r="P863" s="11"/>
      <c r="Q863" s="11"/>
      <c r="R863" s="11"/>
      <c r="S863" s="11"/>
      <c r="T863" s="11"/>
      <c r="U863" s="11"/>
      <c r="V863" s="11"/>
      <c r="W863" s="11"/>
      <c r="X863" s="11"/>
    </row>
    <row r="864" ht="13.5" customHeight="1">
      <c r="A864" s="11"/>
      <c r="B864" s="11"/>
      <c r="C864" s="11"/>
      <c r="D864" s="11"/>
      <c r="E864" s="11"/>
      <c r="F864" s="11"/>
      <c r="G864" s="11"/>
      <c r="H864" s="11"/>
      <c r="I864" s="11"/>
      <c r="J864" s="11"/>
      <c r="K864" s="11"/>
      <c r="L864" s="11"/>
      <c r="M864" s="755"/>
      <c r="N864" s="11"/>
      <c r="O864" s="11"/>
      <c r="P864" s="11"/>
      <c r="Q864" s="11"/>
      <c r="R864" s="11"/>
      <c r="S864" s="11"/>
      <c r="T864" s="11"/>
      <c r="U864" s="11"/>
      <c r="V864" s="11"/>
      <c r="W864" s="11"/>
      <c r="X864" s="11"/>
    </row>
    <row r="865" ht="13.5" customHeight="1">
      <c r="A865" s="11"/>
      <c r="B865" s="11"/>
      <c r="C865" s="11"/>
      <c r="D865" s="11"/>
      <c r="E865" s="11"/>
      <c r="F865" s="11"/>
      <c r="G865" s="11"/>
      <c r="H865" s="11"/>
      <c r="I865" s="11"/>
      <c r="J865" s="11"/>
      <c r="K865" s="11"/>
      <c r="L865" s="11"/>
      <c r="M865" s="755"/>
      <c r="N865" s="11"/>
      <c r="O865" s="11"/>
      <c r="P865" s="11"/>
      <c r="Q865" s="11"/>
      <c r="R865" s="11"/>
      <c r="S865" s="11"/>
      <c r="T865" s="11"/>
      <c r="U865" s="11"/>
      <c r="V865" s="11"/>
      <c r="W865" s="11"/>
      <c r="X865" s="11"/>
    </row>
    <row r="866" ht="13.5" customHeight="1">
      <c r="A866" s="11"/>
      <c r="B866" s="11"/>
      <c r="C866" s="11"/>
      <c r="D866" s="11"/>
      <c r="E866" s="11"/>
      <c r="F866" s="11"/>
      <c r="G866" s="11"/>
      <c r="H866" s="11"/>
      <c r="I866" s="11"/>
      <c r="J866" s="11"/>
      <c r="K866" s="11"/>
      <c r="L866" s="11"/>
      <c r="M866" s="755"/>
      <c r="N866" s="11"/>
      <c r="O866" s="11"/>
      <c r="P866" s="11"/>
      <c r="Q866" s="11"/>
      <c r="R866" s="11"/>
      <c r="S866" s="11"/>
      <c r="T866" s="11"/>
      <c r="U866" s="11"/>
      <c r="V866" s="11"/>
      <c r="W866" s="11"/>
      <c r="X866" s="11"/>
    </row>
    <row r="867" ht="13.5" customHeight="1">
      <c r="A867" s="11"/>
      <c r="B867" s="11"/>
      <c r="C867" s="11"/>
      <c r="D867" s="11"/>
      <c r="E867" s="11"/>
      <c r="F867" s="11"/>
      <c r="G867" s="11"/>
      <c r="H867" s="11"/>
      <c r="I867" s="11"/>
      <c r="J867" s="11"/>
      <c r="K867" s="11"/>
      <c r="L867" s="11"/>
      <c r="M867" s="755"/>
      <c r="N867" s="11"/>
      <c r="O867" s="11"/>
      <c r="P867" s="11"/>
      <c r="Q867" s="11"/>
      <c r="R867" s="11"/>
      <c r="S867" s="11"/>
      <c r="T867" s="11"/>
      <c r="U867" s="11"/>
      <c r="V867" s="11"/>
      <c r="W867" s="11"/>
      <c r="X867" s="11"/>
    </row>
    <row r="868" ht="13.5" customHeight="1">
      <c r="A868" s="11"/>
      <c r="B868" s="11"/>
      <c r="C868" s="11"/>
      <c r="D868" s="11"/>
      <c r="E868" s="11"/>
      <c r="F868" s="11"/>
      <c r="G868" s="11"/>
      <c r="H868" s="11"/>
      <c r="I868" s="11"/>
      <c r="J868" s="11"/>
      <c r="K868" s="11"/>
      <c r="L868" s="11"/>
      <c r="M868" s="755"/>
      <c r="N868" s="11"/>
      <c r="O868" s="11"/>
      <c r="P868" s="11"/>
      <c r="Q868" s="11"/>
      <c r="R868" s="11"/>
      <c r="S868" s="11"/>
      <c r="T868" s="11"/>
      <c r="U868" s="11"/>
      <c r="V868" s="11"/>
      <c r="W868" s="11"/>
      <c r="X868" s="11"/>
    </row>
    <row r="869" ht="13.5" customHeight="1">
      <c r="A869" s="11"/>
      <c r="B869" s="11"/>
      <c r="C869" s="11"/>
      <c r="D869" s="11"/>
      <c r="E869" s="11"/>
      <c r="F869" s="11"/>
      <c r="G869" s="11"/>
      <c r="H869" s="11"/>
      <c r="I869" s="11"/>
      <c r="J869" s="11"/>
      <c r="K869" s="11"/>
      <c r="L869" s="11"/>
      <c r="M869" s="755"/>
      <c r="N869" s="11"/>
      <c r="O869" s="11"/>
      <c r="P869" s="11"/>
      <c r="Q869" s="11"/>
      <c r="R869" s="11"/>
      <c r="S869" s="11"/>
      <c r="T869" s="11"/>
      <c r="U869" s="11"/>
      <c r="V869" s="11"/>
      <c r="W869" s="11"/>
      <c r="X869" s="11"/>
    </row>
    <row r="870" ht="13.5" customHeight="1">
      <c r="A870" s="11"/>
      <c r="B870" s="11"/>
      <c r="C870" s="11"/>
      <c r="D870" s="11"/>
      <c r="E870" s="11"/>
      <c r="F870" s="11"/>
      <c r="G870" s="11"/>
      <c r="H870" s="11"/>
      <c r="I870" s="11"/>
      <c r="J870" s="11"/>
      <c r="K870" s="11"/>
      <c r="L870" s="11"/>
      <c r="M870" s="755"/>
      <c r="N870" s="11"/>
      <c r="O870" s="11"/>
      <c r="P870" s="11"/>
      <c r="Q870" s="11"/>
      <c r="R870" s="11"/>
      <c r="S870" s="11"/>
      <c r="T870" s="11"/>
      <c r="U870" s="11"/>
      <c r="V870" s="11"/>
      <c r="W870" s="11"/>
      <c r="X870" s="11"/>
    </row>
    <row r="871" ht="13.5" customHeight="1">
      <c r="A871" s="11"/>
      <c r="B871" s="11"/>
      <c r="C871" s="11"/>
      <c r="D871" s="11"/>
      <c r="E871" s="11"/>
      <c r="F871" s="11"/>
      <c r="G871" s="11"/>
      <c r="H871" s="11"/>
      <c r="I871" s="11"/>
      <c r="J871" s="11"/>
      <c r="K871" s="11"/>
      <c r="L871" s="11"/>
      <c r="M871" s="755"/>
      <c r="N871" s="11"/>
      <c r="O871" s="11"/>
      <c r="P871" s="11"/>
      <c r="Q871" s="11"/>
      <c r="R871" s="11"/>
      <c r="S871" s="11"/>
      <c r="T871" s="11"/>
      <c r="U871" s="11"/>
      <c r="V871" s="11"/>
      <c r="W871" s="11"/>
      <c r="X871" s="11"/>
    </row>
    <row r="872" ht="13.5" customHeight="1">
      <c r="A872" s="11"/>
      <c r="B872" s="11"/>
      <c r="C872" s="11"/>
      <c r="D872" s="11"/>
      <c r="E872" s="11"/>
      <c r="F872" s="11"/>
      <c r="G872" s="11"/>
      <c r="H872" s="11"/>
      <c r="I872" s="11"/>
      <c r="J872" s="11"/>
      <c r="K872" s="11"/>
      <c r="L872" s="11"/>
      <c r="M872" s="755"/>
      <c r="N872" s="11"/>
      <c r="O872" s="11"/>
      <c r="P872" s="11"/>
      <c r="Q872" s="11"/>
      <c r="R872" s="11"/>
      <c r="S872" s="11"/>
      <c r="T872" s="11"/>
      <c r="U872" s="11"/>
      <c r="V872" s="11"/>
      <c r="W872" s="11"/>
      <c r="X872" s="11"/>
    </row>
    <row r="873" ht="13.5" customHeight="1">
      <c r="A873" s="11"/>
      <c r="B873" s="11"/>
      <c r="C873" s="11"/>
      <c r="D873" s="11"/>
      <c r="E873" s="11"/>
      <c r="F873" s="11"/>
      <c r="G873" s="11"/>
      <c r="H873" s="11"/>
      <c r="I873" s="11"/>
      <c r="J873" s="11"/>
      <c r="K873" s="11"/>
      <c r="L873" s="11"/>
      <c r="M873" s="755"/>
      <c r="N873" s="11"/>
      <c r="O873" s="11"/>
      <c r="P873" s="11"/>
      <c r="Q873" s="11"/>
      <c r="R873" s="11"/>
      <c r="S873" s="11"/>
      <c r="T873" s="11"/>
      <c r="U873" s="11"/>
      <c r="V873" s="11"/>
      <c r="W873" s="11"/>
      <c r="X873" s="11"/>
    </row>
    <row r="874" ht="13.5" customHeight="1">
      <c r="A874" s="11"/>
      <c r="B874" s="11"/>
      <c r="C874" s="11"/>
      <c r="D874" s="11"/>
      <c r="E874" s="11"/>
      <c r="F874" s="11"/>
      <c r="G874" s="11"/>
      <c r="H874" s="11"/>
      <c r="I874" s="11"/>
      <c r="J874" s="11"/>
      <c r="K874" s="11"/>
      <c r="L874" s="11"/>
      <c r="M874" s="755"/>
      <c r="N874" s="11"/>
      <c r="O874" s="11"/>
      <c r="P874" s="11"/>
      <c r="Q874" s="11"/>
      <c r="R874" s="11"/>
      <c r="S874" s="11"/>
      <c r="T874" s="11"/>
      <c r="U874" s="11"/>
      <c r="V874" s="11"/>
      <c r="W874" s="11"/>
      <c r="X874" s="11"/>
    </row>
    <row r="875" ht="13.5" customHeight="1">
      <c r="A875" s="11"/>
      <c r="B875" s="11"/>
      <c r="C875" s="11"/>
      <c r="D875" s="11"/>
      <c r="E875" s="11"/>
      <c r="F875" s="11"/>
      <c r="G875" s="11"/>
      <c r="H875" s="11"/>
      <c r="I875" s="11"/>
      <c r="J875" s="11"/>
      <c r="K875" s="11"/>
      <c r="L875" s="11"/>
      <c r="M875" s="755"/>
      <c r="N875" s="11"/>
      <c r="O875" s="11"/>
      <c r="P875" s="11"/>
      <c r="Q875" s="11"/>
      <c r="R875" s="11"/>
      <c r="S875" s="11"/>
      <c r="T875" s="11"/>
      <c r="U875" s="11"/>
      <c r="V875" s="11"/>
      <c r="W875" s="11"/>
      <c r="X875" s="11"/>
    </row>
    <row r="876" ht="13.5" customHeight="1">
      <c r="A876" s="11"/>
      <c r="B876" s="11"/>
      <c r="C876" s="11"/>
      <c r="D876" s="11"/>
      <c r="E876" s="11"/>
      <c r="F876" s="11"/>
      <c r="G876" s="11"/>
      <c r="H876" s="11"/>
      <c r="I876" s="11"/>
      <c r="J876" s="11"/>
      <c r="K876" s="11"/>
      <c r="L876" s="11"/>
      <c r="M876" s="755"/>
      <c r="N876" s="11"/>
      <c r="O876" s="11"/>
      <c r="P876" s="11"/>
      <c r="Q876" s="11"/>
      <c r="R876" s="11"/>
      <c r="S876" s="11"/>
      <c r="T876" s="11"/>
      <c r="U876" s="11"/>
      <c r="V876" s="11"/>
      <c r="W876" s="11"/>
      <c r="X876" s="11"/>
    </row>
    <row r="877" ht="13.5" customHeight="1">
      <c r="A877" s="11"/>
      <c r="B877" s="11"/>
      <c r="C877" s="11"/>
      <c r="D877" s="11"/>
      <c r="E877" s="11"/>
      <c r="F877" s="11"/>
      <c r="G877" s="11"/>
      <c r="H877" s="11"/>
      <c r="I877" s="11"/>
      <c r="J877" s="11"/>
      <c r="K877" s="11"/>
      <c r="L877" s="11"/>
      <c r="M877" s="755"/>
      <c r="N877" s="11"/>
      <c r="O877" s="11"/>
      <c r="P877" s="11"/>
      <c r="Q877" s="11"/>
      <c r="R877" s="11"/>
      <c r="S877" s="11"/>
      <c r="T877" s="11"/>
      <c r="U877" s="11"/>
      <c r="V877" s="11"/>
      <c r="W877" s="11"/>
      <c r="X877" s="11"/>
    </row>
    <row r="878" ht="13.5" customHeight="1">
      <c r="A878" s="11"/>
      <c r="B878" s="11"/>
      <c r="C878" s="11"/>
      <c r="D878" s="11"/>
      <c r="E878" s="11"/>
      <c r="F878" s="11"/>
      <c r="G878" s="11"/>
      <c r="H878" s="11"/>
      <c r="I878" s="11"/>
      <c r="J878" s="11"/>
      <c r="K878" s="11"/>
      <c r="L878" s="11"/>
      <c r="M878" s="755"/>
      <c r="N878" s="11"/>
      <c r="O878" s="11"/>
      <c r="P878" s="11"/>
      <c r="Q878" s="11"/>
      <c r="R878" s="11"/>
      <c r="S878" s="11"/>
      <c r="T878" s="11"/>
      <c r="U878" s="11"/>
      <c r="V878" s="11"/>
      <c r="W878" s="11"/>
      <c r="X878" s="11"/>
    </row>
    <row r="879" ht="13.5" customHeight="1">
      <c r="A879" s="11"/>
      <c r="B879" s="11"/>
      <c r="C879" s="11"/>
      <c r="D879" s="11"/>
      <c r="E879" s="11"/>
      <c r="F879" s="11"/>
      <c r="G879" s="11"/>
      <c r="H879" s="11"/>
      <c r="I879" s="11"/>
      <c r="J879" s="11"/>
      <c r="K879" s="11"/>
      <c r="L879" s="11"/>
      <c r="M879" s="755"/>
      <c r="N879" s="11"/>
      <c r="O879" s="11"/>
      <c r="P879" s="11"/>
      <c r="Q879" s="11"/>
      <c r="R879" s="11"/>
      <c r="S879" s="11"/>
      <c r="T879" s="11"/>
      <c r="U879" s="11"/>
      <c r="V879" s="11"/>
      <c r="W879" s="11"/>
      <c r="X879" s="11"/>
    </row>
    <row r="880" ht="15.0" customHeight="1">
      <c r="A880" s="11"/>
      <c r="B880" s="11"/>
      <c r="C880" s="11"/>
      <c r="D880" s="11"/>
      <c r="E880" s="11"/>
      <c r="F880" s="11"/>
      <c r="G880" s="11"/>
      <c r="H880" s="11"/>
      <c r="I880" s="11"/>
      <c r="J880" s="11"/>
      <c r="K880" s="11"/>
      <c r="L880" s="11"/>
      <c r="M880" s="755"/>
      <c r="N880" s="11"/>
      <c r="O880" s="11"/>
      <c r="P880" s="11"/>
      <c r="Q880" s="11"/>
      <c r="R880" s="11"/>
      <c r="S880" s="11"/>
      <c r="T880" s="11"/>
      <c r="U880" s="11"/>
      <c r="V880" s="11"/>
      <c r="W880" s="11"/>
      <c r="X880" s="11"/>
    </row>
    <row r="881" ht="13.5" customHeight="1">
      <c r="A881" s="11"/>
      <c r="B881" s="11"/>
      <c r="C881" s="11"/>
      <c r="D881" s="11"/>
      <c r="E881" s="11"/>
      <c r="F881" s="11"/>
      <c r="G881" s="11"/>
      <c r="H881" s="11"/>
      <c r="I881" s="11"/>
      <c r="J881" s="11"/>
      <c r="K881" s="11"/>
      <c r="L881" s="11"/>
      <c r="M881" s="755"/>
      <c r="N881" s="11"/>
      <c r="O881" s="11"/>
      <c r="P881" s="11"/>
      <c r="Q881" s="11"/>
      <c r="R881" s="11"/>
      <c r="S881" s="11"/>
      <c r="T881" s="11"/>
      <c r="U881" s="11"/>
      <c r="V881" s="11"/>
      <c r="W881" s="11"/>
      <c r="X881" s="11"/>
    </row>
    <row r="882" ht="13.5" customHeight="1">
      <c r="A882" s="11"/>
      <c r="B882" s="11"/>
      <c r="C882" s="11"/>
      <c r="D882" s="11"/>
      <c r="E882" s="11"/>
      <c r="F882" s="11"/>
      <c r="G882" s="11"/>
      <c r="H882" s="11"/>
      <c r="I882" s="11"/>
      <c r="J882" s="11"/>
      <c r="K882" s="11"/>
      <c r="L882" s="11"/>
      <c r="M882" s="755"/>
      <c r="N882" s="11"/>
      <c r="O882" s="11"/>
      <c r="P882" s="11"/>
      <c r="Q882" s="11"/>
      <c r="R882" s="11"/>
      <c r="S882" s="11"/>
      <c r="T882" s="11"/>
      <c r="U882" s="11"/>
      <c r="V882" s="11"/>
      <c r="W882" s="11"/>
      <c r="X882" s="11"/>
    </row>
    <row r="883" ht="15.0" customHeight="1">
      <c r="A883" s="11"/>
      <c r="B883" s="11"/>
      <c r="C883" s="11"/>
      <c r="D883" s="11"/>
      <c r="E883" s="11"/>
      <c r="F883" s="11"/>
      <c r="G883" s="11"/>
      <c r="H883" s="11"/>
      <c r="I883" s="11"/>
      <c r="J883" s="11"/>
      <c r="K883" s="11"/>
      <c r="L883" s="11"/>
      <c r="M883" s="755"/>
      <c r="N883" s="11"/>
      <c r="O883" s="11"/>
      <c r="P883" s="11"/>
      <c r="Q883" s="11"/>
      <c r="R883" s="11"/>
      <c r="S883" s="11"/>
      <c r="T883" s="11"/>
      <c r="U883" s="11"/>
      <c r="V883" s="11"/>
      <c r="W883" s="11"/>
      <c r="X883" s="11"/>
    </row>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3">
    <mergeCell ref="F21:F24"/>
    <mergeCell ref="F35:F38"/>
    <mergeCell ref="F39:F43"/>
    <mergeCell ref="F44:F45"/>
    <mergeCell ref="J50:M50"/>
    <mergeCell ref="B4:E4"/>
    <mergeCell ref="F6:F9"/>
    <mergeCell ref="F10:F13"/>
    <mergeCell ref="F14:F18"/>
    <mergeCell ref="F19:F20"/>
    <mergeCell ref="B30:E31"/>
    <mergeCell ref="B33:E33"/>
    <mergeCell ref="B50:E50"/>
    <mergeCell ref="A52:A55"/>
    <mergeCell ref="F52:F61"/>
    <mergeCell ref="N52:N61"/>
    <mergeCell ref="F63:F65"/>
    <mergeCell ref="N63:N65"/>
    <mergeCell ref="N66:N74"/>
    <mergeCell ref="F66:F74"/>
    <mergeCell ref="B80:E80"/>
    <mergeCell ref="F83:F85"/>
    <mergeCell ref="F88:F90"/>
    <mergeCell ref="F91:F95"/>
    <mergeCell ref="B100:E100"/>
    <mergeCell ref="F102:F105"/>
    <mergeCell ref="F106:F107"/>
    <mergeCell ref="F108:F113"/>
    <mergeCell ref="F114:F119"/>
    <mergeCell ref="B124:E124"/>
    <mergeCell ref="A126:A131"/>
    <mergeCell ref="F126:F131"/>
    <mergeCell ref="A132:A137"/>
    <mergeCell ref="F132:F137"/>
    <mergeCell ref="F139:F146"/>
    <mergeCell ref="F147:F149"/>
    <mergeCell ref="F153:F154"/>
    <mergeCell ref="F155:F157"/>
    <mergeCell ref="B162:E162"/>
    <mergeCell ref="F163:F169"/>
    <mergeCell ref="F170:F173"/>
    <mergeCell ref="F174:F176"/>
    <mergeCell ref="F181:F183"/>
    <mergeCell ref="B188:E188"/>
    <mergeCell ref="J188:M188"/>
    <mergeCell ref="F190:F193"/>
    <mergeCell ref="F195:F205"/>
    <mergeCell ref="F364:F367"/>
    <mergeCell ref="F368:F369"/>
    <mergeCell ref="F370:F373"/>
    <mergeCell ref="F374:F377"/>
    <mergeCell ref="F378:F388"/>
    <mergeCell ref="B392:E392"/>
    <mergeCell ref="F394:F397"/>
    <mergeCell ref="F398:F402"/>
    <mergeCell ref="B409:E409"/>
    <mergeCell ref="B430:E430"/>
    <mergeCell ref="F432:F433"/>
    <mergeCell ref="F434:F439"/>
    <mergeCell ref="F441:F446"/>
    <mergeCell ref="F452:F453"/>
    <mergeCell ref="F676:F679"/>
    <mergeCell ref="F680:F681"/>
    <mergeCell ref="F682:F694"/>
    <mergeCell ref="B557:E557"/>
    <mergeCell ref="F559:F564"/>
    <mergeCell ref="B579:E579"/>
    <mergeCell ref="B607:E607"/>
    <mergeCell ref="B640:E640"/>
    <mergeCell ref="B671:E671"/>
    <mergeCell ref="F672:F675"/>
    <mergeCell ref="F206:F207"/>
    <mergeCell ref="B213:E213"/>
    <mergeCell ref="F215:F217"/>
    <mergeCell ref="F218:F220"/>
    <mergeCell ref="B225:E225"/>
    <mergeCell ref="F227:F230"/>
    <mergeCell ref="F231:F234"/>
    <mergeCell ref="B316:E316"/>
    <mergeCell ref="B337:E337"/>
    <mergeCell ref="B362:E362"/>
    <mergeCell ref="F235:F239"/>
    <mergeCell ref="B245:E245"/>
    <mergeCell ref="F247:F250"/>
    <mergeCell ref="F251:F258"/>
    <mergeCell ref="F259:F261"/>
    <mergeCell ref="F262:F277"/>
    <mergeCell ref="B287:E287"/>
    <mergeCell ref="F339:F342"/>
    <mergeCell ref="F344:F354"/>
    <mergeCell ref="F355:F356"/>
    <mergeCell ref="J362:M362"/>
    <mergeCell ref="F278:F282"/>
    <mergeCell ref="F289:F292"/>
    <mergeCell ref="F293:F300"/>
    <mergeCell ref="F301:F303"/>
    <mergeCell ref="F304:F311"/>
    <mergeCell ref="F318:F321"/>
    <mergeCell ref="F322:F331"/>
    <mergeCell ref="B463:E463"/>
    <mergeCell ref="N463:Q463"/>
    <mergeCell ref="B489:E489"/>
    <mergeCell ref="B522:E522"/>
  </mergeCells>
  <hyperlinks>
    <hyperlink display="Back" location="'Recipe Index'!X45" ref="B27"/>
    <hyperlink display="Home" location="'Recipe Index'!C5" ref="C27"/>
    <hyperlink display="Back" location="'Recipe Index'!X45" ref="B46"/>
    <hyperlink display="Home" location="'Recipe Index'!C5" ref="C46"/>
    <hyperlink display="Back" location="'Recipe Index'!Y38" ref="B76"/>
    <hyperlink display="HOME" location="'Recipe Index'!B1" ref="C76"/>
    <hyperlink display="Back" location="'Recipe Index'!X45" ref="B96"/>
    <hyperlink display="Home" location="'Recipe Index'!C5" ref="C96"/>
    <hyperlink display="Back" location="'Recipe Index'!X45" ref="B120"/>
    <hyperlink display="Home" location="'Recipe Index'!C5" ref="C120"/>
    <hyperlink display="Back" location="'Recipe Index'!X45" ref="B158"/>
    <hyperlink display="Home" location="'Recipe Index'!C5" ref="C158"/>
    <hyperlink display="Back" location="'Recipe Index'!X45" ref="B184"/>
    <hyperlink display="Home" location="'Recipe Index'!C5" ref="C184"/>
    <hyperlink display="Back" location="'Recipe Index'!X45" ref="B209"/>
    <hyperlink display="Home" location="'Recipe Index'!C5" ref="C209"/>
    <hyperlink display="Back" location="'Recipe Index'!X45" ref="J210"/>
    <hyperlink display="Home" location="'Recipe Index'!C5" ref="K210"/>
    <hyperlink display="Back" location="'Recipe Index'!X45" ref="B221"/>
    <hyperlink display="Home" location="'Recipe Index'!C5" ref="C221"/>
    <hyperlink display="Back" location="'Recipe Index'!X45" ref="B241"/>
    <hyperlink display="Home" location="'Recipe Index'!C5" ref="C241"/>
    <hyperlink display="Back" location="'Recipe Index'!X45" ref="B283"/>
    <hyperlink display="Home" location="'Recipe Index'!C5" ref="C283"/>
    <hyperlink display="Back" location="'Recipe Index'!X45" ref="B312"/>
    <hyperlink display="Home" location="'Recipe Index'!C5" ref="C312"/>
    <hyperlink display="Back" location="'Recipe Index'!X45" ref="B333"/>
    <hyperlink display="Home" location="'Recipe Index'!C5" ref="C333"/>
    <hyperlink display="Back" location="'Recipe Index'!X45" ref="B358"/>
    <hyperlink display="Home" location="'Recipe Index'!C5" ref="C358"/>
    <hyperlink display="Back" location="'Recipe Index'!X45" ref="J384"/>
    <hyperlink display="Home" location="'Recipe Index'!C5" ref="K384"/>
    <hyperlink display="Back" location="'Recipe Index'!X45" ref="B390"/>
    <hyperlink display="Home" location="'Recipe Index'!C5" ref="C390"/>
    <hyperlink display="Back" location="'Recipe Index'!X45" ref="B406"/>
    <hyperlink display="Home" location="'Recipe Index'!C5" ref="C406"/>
    <hyperlink display="Back" location="'Recipe Index'!X45" ref="B428"/>
    <hyperlink display="Home" location="'Recipe Index'!C5" ref="C428"/>
    <hyperlink display="Back" location="'Recipe Index'!X45" ref="B454"/>
    <hyperlink display="Home" location="'Recipe Index'!C5" ref="C454"/>
    <hyperlink display="Back" location="'Recipe Index'!X45" ref="B484"/>
    <hyperlink display="Home" location="'Recipe Index'!C5" ref="C484"/>
    <hyperlink display="Back" location="'Recipe Index'!X45" ref="B516"/>
    <hyperlink display="Home" location="'Recipe Index'!C5" ref="C516"/>
    <hyperlink display="Back" location="'Recipe Index'!X45" ref="B553"/>
    <hyperlink display="Home" location="'Recipe Index'!C5" ref="C553"/>
    <hyperlink display="Back" location="'Recipe Index'!X45" ref="B572"/>
    <hyperlink display="Home" location="'Recipe Index'!C5" ref="C572"/>
    <hyperlink display="Back" location="'Recipe Index'!X45" ref="B602"/>
    <hyperlink display="Back" location="'Recipe Index'!X45" ref="B635"/>
    <hyperlink display="Back" location="'Recipe Index'!X45" ref="B666"/>
    <hyperlink display="Back" location="'Recipe Index'!X45" ref="B695"/>
  </hyperlinks>
  <printOptions/>
  <pageMargins bottom="0.0" footer="0.0" header="0.0" left="0.0" right="0.0" top="0.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29.75"/>
    <col customWidth="1" min="2" max="2" width="10.25"/>
    <col customWidth="1" min="3" max="3" width="12.0"/>
    <col customWidth="1" min="4" max="4" width="8.25"/>
    <col customWidth="1" min="5" max="5" width="31.38"/>
    <col customWidth="1" min="6" max="6" width="25.0"/>
    <col customWidth="1" min="7" max="11" width="9.25"/>
    <col customWidth="1" min="12" max="26" width="14.38"/>
  </cols>
  <sheetData>
    <row r="1" ht="14.25" customHeight="1">
      <c r="A1" s="209" t="s">
        <v>484</v>
      </c>
      <c r="B1" s="18"/>
      <c r="C1" s="18"/>
      <c r="D1" s="19"/>
      <c r="E1" s="207"/>
      <c r="F1" s="920"/>
      <c r="G1" s="1"/>
      <c r="H1" s="1"/>
      <c r="I1" s="1"/>
      <c r="J1" s="1"/>
      <c r="K1" s="1"/>
    </row>
    <row r="2" ht="14.25" customHeight="1">
      <c r="A2" s="68" t="s">
        <v>1</v>
      </c>
      <c r="B2" s="210">
        <v>100.0</v>
      </c>
      <c r="C2" s="210">
        <v>60.0</v>
      </c>
      <c r="D2" s="216" t="s">
        <v>5</v>
      </c>
      <c r="E2" s="921"/>
      <c r="F2" s="920"/>
      <c r="G2" s="1"/>
      <c r="H2" s="1"/>
      <c r="I2" s="1"/>
      <c r="J2" s="1"/>
      <c r="K2" s="1"/>
    </row>
    <row r="3" ht="14.25" customHeight="1">
      <c r="A3" s="105" t="s">
        <v>314</v>
      </c>
      <c r="B3" s="522">
        <v>21.0</v>
      </c>
      <c r="C3" s="522">
        <f t="shared" ref="C3:C5" si="1">(B3*C2)/B2</f>
        <v>12.6</v>
      </c>
      <c r="D3" s="518" t="s">
        <v>14</v>
      </c>
      <c r="E3" s="921"/>
      <c r="F3" s="920"/>
      <c r="G3" s="1"/>
      <c r="H3" s="1"/>
      <c r="I3" s="1"/>
      <c r="J3" s="1"/>
      <c r="K3" s="1"/>
    </row>
    <row r="4" ht="14.25" customHeight="1">
      <c r="A4" s="68" t="s">
        <v>1033</v>
      </c>
      <c r="B4" s="210">
        <v>14.0</v>
      </c>
      <c r="C4" s="210">
        <f t="shared" si="1"/>
        <v>8.4</v>
      </c>
      <c r="D4" s="216" t="s">
        <v>14</v>
      </c>
      <c r="E4" s="922" t="s">
        <v>1034</v>
      </c>
      <c r="F4" s="920"/>
      <c r="G4" s="1"/>
      <c r="H4" s="1"/>
      <c r="I4" s="1"/>
      <c r="J4" s="1"/>
      <c r="K4" s="1"/>
    </row>
    <row r="5" ht="16.5" customHeight="1">
      <c r="A5" s="93" t="s">
        <v>1035</v>
      </c>
      <c r="B5" s="247">
        <v>7.0</v>
      </c>
      <c r="C5" s="247">
        <f t="shared" si="1"/>
        <v>4.2</v>
      </c>
      <c r="D5" s="249" t="s">
        <v>14</v>
      </c>
      <c r="E5" s="63"/>
      <c r="F5" s="920"/>
      <c r="G5" s="1"/>
      <c r="H5" s="1"/>
      <c r="I5" s="1"/>
      <c r="J5" s="1"/>
      <c r="K5" s="1"/>
    </row>
    <row r="6" ht="14.25" customHeight="1">
      <c r="A6" s="93" t="s">
        <v>59</v>
      </c>
      <c r="B6" s="923">
        <v>72.44897959183673</v>
      </c>
      <c r="C6" s="923">
        <f>+IF(C4&lt;10,5.5*C4,IF(C4&gt;=15,5*C4,(5+(15-C4)*0.1)*C4))</f>
        <v>46.2</v>
      </c>
      <c r="D6" s="249" t="s">
        <v>5</v>
      </c>
      <c r="E6" s="63"/>
      <c r="F6" s="920"/>
      <c r="G6" s="1"/>
      <c r="H6" s="1"/>
      <c r="I6" s="1"/>
      <c r="J6" s="1"/>
      <c r="K6" s="1"/>
    </row>
    <row r="7" ht="14.25" customHeight="1">
      <c r="A7" s="105" t="s">
        <v>31</v>
      </c>
      <c r="B7" s="522">
        <v>300.0</v>
      </c>
      <c r="C7" s="522">
        <f>(B7*C5)/B5</f>
        <v>180</v>
      </c>
      <c r="D7" s="518" t="s">
        <v>18</v>
      </c>
      <c r="E7" s="102"/>
      <c r="F7" s="920"/>
      <c r="G7" s="1"/>
      <c r="H7" s="1"/>
      <c r="I7" s="1"/>
      <c r="J7" s="1"/>
      <c r="K7" s="1"/>
    </row>
    <row r="8" ht="14.25" customHeight="1">
      <c r="A8" s="68" t="s">
        <v>80</v>
      </c>
      <c r="B8" s="210">
        <v>35.0</v>
      </c>
      <c r="C8" s="210">
        <f t="shared" ref="C8:C13" si="2">(B8*C7)/B7</f>
        <v>21</v>
      </c>
      <c r="D8" s="216" t="s">
        <v>14</v>
      </c>
      <c r="E8" s="922" t="s">
        <v>1042</v>
      </c>
      <c r="F8" s="920"/>
      <c r="G8" s="1"/>
      <c r="H8" s="1"/>
      <c r="I8" s="1"/>
      <c r="J8" s="1"/>
      <c r="K8" s="1"/>
    </row>
    <row r="9" ht="15.75" customHeight="1">
      <c r="A9" s="105" t="s">
        <v>59</v>
      </c>
      <c r="B9" s="522">
        <v>4.5</v>
      </c>
      <c r="C9" s="522">
        <f t="shared" si="2"/>
        <v>2.7</v>
      </c>
      <c r="D9" s="518" t="s">
        <v>5</v>
      </c>
      <c r="E9" s="102"/>
      <c r="F9" s="920"/>
      <c r="G9" s="1"/>
      <c r="H9" s="1"/>
      <c r="I9" s="1"/>
      <c r="J9" s="1"/>
      <c r="K9" s="1"/>
    </row>
    <row r="10" ht="14.25" customHeight="1">
      <c r="A10" s="68" t="s">
        <v>1044</v>
      </c>
      <c r="B10" s="541">
        <v>2.0</v>
      </c>
      <c r="C10" s="541">
        <f t="shared" si="2"/>
        <v>1.2</v>
      </c>
      <c r="D10" s="216" t="s">
        <v>5</v>
      </c>
      <c r="E10" s="194" t="s">
        <v>1045</v>
      </c>
      <c r="F10" s="920"/>
      <c r="G10" s="1"/>
      <c r="H10" s="1"/>
      <c r="I10" s="1"/>
      <c r="J10" s="1"/>
      <c r="K10" s="1"/>
    </row>
    <row r="11" ht="15.75" customHeight="1">
      <c r="A11" s="93" t="s">
        <v>100</v>
      </c>
      <c r="B11" s="247">
        <v>250.0</v>
      </c>
      <c r="C11" s="247">
        <f t="shared" si="2"/>
        <v>150</v>
      </c>
      <c r="D11" s="249" t="s">
        <v>18</v>
      </c>
      <c r="E11" s="63"/>
      <c r="F11" s="920"/>
      <c r="G11" s="1"/>
      <c r="H11" s="1"/>
      <c r="I11" s="1"/>
      <c r="J11" s="1"/>
      <c r="K11" s="1"/>
    </row>
    <row r="12" ht="15.0" customHeight="1">
      <c r="A12" s="93" t="s">
        <v>746</v>
      </c>
      <c r="B12" s="247">
        <v>500.0</v>
      </c>
      <c r="C12" s="247">
        <f t="shared" si="2"/>
        <v>300</v>
      </c>
      <c r="D12" s="249" t="s">
        <v>18</v>
      </c>
      <c r="E12" s="63"/>
      <c r="F12" s="920"/>
      <c r="G12" s="1"/>
      <c r="H12" s="1"/>
      <c r="I12" s="1"/>
      <c r="J12" s="1"/>
      <c r="K12" s="1"/>
    </row>
    <row r="13" ht="14.25" customHeight="1">
      <c r="A13" s="138" t="s">
        <v>1046</v>
      </c>
      <c r="B13" s="239">
        <v>500.0</v>
      </c>
      <c r="C13" s="239">
        <f t="shared" si="2"/>
        <v>300</v>
      </c>
      <c r="D13" s="242" t="s">
        <v>18</v>
      </c>
      <c r="E13" s="63"/>
      <c r="F13" s="920"/>
      <c r="G13" s="1"/>
      <c r="H13" s="1"/>
      <c r="I13" s="1"/>
      <c r="J13" s="1"/>
      <c r="K13" s="1"/>
    </row>
    <row r="14" ht="14.25" customHeight="1">
      <c r="A14" s="105" t="s">
        <v>1047</v>
      </c>
      <c r="B14" s="522">
        <v>1.0</v>
      </c>
      <c r="C14" s="522">
        <f>(B14*C15)/B15</f>
        <v>0.6</v>
      </c>
      <c r="D14" s="518" t="s">
        <v>14</v>
      </c>
      <c r="E14" s="102"/>
      <c r="F14" s="920"/>
      <c r="G14" s="1"/>
      <c r="H14" s="1"/>
      <c r="I14" s="1"/>
      <c r="J14" s="1"/>
      <c r="K14" s="1"/>
    </row>
    <row r="15" ht="14.25" customHeight="1">
      <c r="A15" s="68" t="s">
        <v>17</v>
      </c>
      <c r="B15" s="210">
        <v>200.0</v>
      </c>
      <c r="C15" s="210">
        <f t="shared" ref="C15:C16" si="3">(B15*C13)/B13</f>
        <v>120</v>
      </c>
      <c r="D15" s="216" t="s">
        <v>18</v>
      </c>
      <c r="E15" s="549"/>
      <c r="F15" s="920"/>
      <c r="G15" s="1"/>
      <c r="H15" s="1"/>
      <c r="I15" s="1"/>
      <c r="J15" s="1"/>
      <c r="K15" s="1"/>
    </row>
    <row r="16" ht="14.25" customHeight="1">
      <c r="A16" s="149" t="s">
        <v>1049</v>
      </c>
      <c r="B16" s="272">
        <v>1.0</v>
      </c>
      <c r="C16" s="272">
        <f t="shared" si="3"/>
        <v>0.6</v>
      </c>
      <c r="D16" s="288" t="s">
        <v>18</v>
      </c>
      <c r="E16" s="925"/>
      <c r="F16" s="920"/>
      <c r="G16" s="1"/>
      <c r="H16" s="1"/>
      <c r="I16" s="1"/>
      <c r="J16" s="1"/>
      <c r="K16" s="1"/>
    </row>
    <row r="17" ht="14.25" customHeight="1">
      <c r="A17" s="926" t="s">
        <v>119</v>
      </c>
      <c r="B17" s="258" t="s">
        <v>47</v>
      </c>
      <c r="C17" s="1"/>
      <c r="D17" s="1"/>
      <c r="E17" s="1"/>
      <c r="F17" s="920"/>
      <c r="G17" s="1"/>
      <c r="H17" s="1"/>
      <c r="I17" s="1"/>
      <c r="J17" s="1"/>
      <c r="K17" s="1"/>
    </row>
    <row r="18" ht="14.25" customHeight="1">
      <c r="A18" s="302" t="s">
        <v>49</v>
      </c>
      <c r="B18" s="303">
        <v>41066.0</v>
      </c>
      <c r="C18" s="1"/>
      <c r="D18" s="1"/>
      <c r="E18" s="1"/>
      <c r="F18" s="920"/>
      <c r="G18" s="1"/>
      <c r="H18" s="1"/>
      <c r="I18" s="1"/>
      <c r="J18" s="1"/>
      <c r="K18" s="1"/>
    </row>
    <row r="19" ht="14.25" customHeight="1">
      <c r="A19" s="811" t="s">
        <v>1052</v>
      </c>
      <c r="B19" s="303">
        <v>41685.0</v>
      </c>
      <c r="C19" s="1"/>
      <c r="D19" s="1"/>
      <c r="E19" s="1"/>
      <c r="F19" s="920"/>
      <c r="G19" s="1"/>
      <c r="H19" s="1"/>
      <c r="I19" s="1"/>
      <c r="J19" s="1"/>
      <c r="K19" s="1"/>
    </row>
    <row r="20" ht="14.25" customHeight="1">
      <c r="A20" s="1"/>
      <c r="B20" s="1"/>
      <c r="C20" s="1"/>
      <c r="D20" s="1"/>
      <c r="E20" s="1"/>
      <c r="F20" s="920"/>
      <c r="G20" s="1"/>
      <c r="H20" s="1"/>
      <c r="I20" s="1"/>
      <c r="J20" s="1"/>
      <c r="K20" s="1"/>
    </row>
    <row r="21" ht="14.25" customHeight="1">
      <c r="A21" s="16" t="s">
        <v>426</v>
      </c>
      <c r="B21" s="18"/>
      <c r="C21" s="18"/>
      <c r="D21" s="19"/>
      <c r="E21" s="1"/>
      <c r="F21" s="920"/>
      <c r="G21" s="1"/>
      <c r="H21" s="1"/>
      <c r="I21" s="1"/>
      <c r="J21" s="1"/>
      <c r="K21" s="1"/>
    </row>
    <row r="22" ht="14.25" customHeight="1">
      <c r="A22" s="157" t="s">
        <v>140</v>
      </c>
      <c r="B22" s="390">
        <v>10.0</v>
      </c>
      <c r="C22" s="498">
        <v>9.0</v>
      </c>
      <c r="D22" s="159" t="s">
        <v>14</v>
      </c>
      <c r="E22" s="1"/>
      <c r="F22" s="920"/>
      <c r="G22" s="1"/>
      <c r="H22" s="1"/>
      <c r="I22" s="1"/>
      <c r="J22" s="1"/>
      <c r="K22" s="1"/>
    </row>
    <row r="23" ht="14.25" customHeight="1">
      <c r="A23" s="928" t="s">
        <v>1054</v>
      </c>
      <c r="B23" s="929">
        <f t="shared" ref="B23:C23" si="4">+IF(B22&lt;=10,(5+0.1*B22)*B22, 6*B22)</f>
        <v>60</v>
      </c>
      <c r="C23" s="930">
        <f t="shared" si="4"/>
        <v>53.1</v>
      </c>
      <c r="D23" s="931" t="s">
        <v>5</v>
      </c>
      <c r="E23" s="1"/>
      <c r="F23" s="920"/>
      <c r="G23" s="1"/>
      <c r="H23" s="1"/>
      <c r="I23" s="1"/>
      <c r="J23" s="1"/>
      <c r="K23" s="1"/>
    </row>
    <row r="24" ht="14.25" customHeight="1">
      <c r="A24" s="177" t="s">
        <v>13</v>
      </c>
      <c r="B24" s="198">
        <v>18.0</v>
      </c>
      <c r="C24" s="581">
        <f>(B24*C22)/B22</f>
        <v>16.2</v>
      </c>
      <c r="D24" s="204" t="s">
        <v>14</v>
      </c>
      <c r="E24" s="1"/>
      <c r="F24" s="920"/>
      <c r="G24" s="1"/>
      <c r="H24" s="1"/>
      <c r="I24" s="1"/>
      <c r="J24" s="1"/>
      <c r="K24" s="1"/>
    </row>
    <row r="25" ht="14.25" customHeight="1">
      <c r="A25" s="177" t="s">
        <v>1060</v>
      </c>
      <c r="B25" s="198">
        <v>5.0</v>
      </c>
      <c r="C25" s="581">
        <f t="shared" ref="C25:C27" si="5">(B25*C24)/B24</f>
        <v>4.5</v>
      </c>
      <c r="D25" s="204" t="s">
        <v>5</v>
      </c>
      <c r="E25" s="1"/>
      <c r="F25" s="920"/>
      <c r="G25" s="1"/>
      <c r="H25" s="1"/>
      <c r="I25" s="1"/>
      <c r="J25" s="1"/>
      <c r="K25" s="1"/>
    </row>
    <row r="26" ht="14.25" customHeight="1">
      <c r="A26" s="177" t="s">
        <v>746</v>
      </c>
      <c r="B26" s="198">
        <v>250.0</v>
      </c>
      <c r="C26" s="581">
        <f t="shared" si="5"/>
        <v>225</v>
      </c>
      <c r="D26" s="204" t="s">
        <v>18</v>
      </c>
      <c r="E26" s="1"/>
      <c r="F26" s="920"/>
      <c r="G26" s="1"/>
      <c r="H26" s="1"/>
      <c r="I26" s="1"/>
      <c r="J26" s="1"/>
      <c r="K26" s="1"/>
    </row>
    <row r="27" ht="14.25" customHeight="1">
      <c r="A27" s="177" t="s">
        <v>1046</v>
      </c>
      <c r="B27" s="198">
        <v>250.0</v>
      </c>
      <c r="C27" s="581">
        <f t="shared" si="5"/>
        <v>225</v>
      </c>
      <c r="D27" s="204" t="s">
        <v>18</v>
      </c>
      <c r="E27" s="1"/>
      <c r="F27" s="920"/>
      <c r="G27" s="1"/>
      <c r="H27" s="1"/>
      <c r="I27" s="1"/>
      <c r="J27" s="1"/>
      <c r="K27" s="1"/>
    </row>
    <row r="28" ht="14.25" customHeight="1">
      <c r="A28" s="262" t="s">
        <v>59</v>
      </c>
      <c r="B28" s="923">
        <f t="shared" ref="B28:C28" si="6">+IF(B22&lt;10,4*B22,IF(B22&gt;=15,3.5*B22,(3.5+(15-B22)*0.1)*B22))</f>
        <v>40</v>
      </c>
      <c r="C28" s="923">
        <f t="shared" si="6"/>
        <v>36</v>
      </c>
      <c r="D28" s="267" t="s">
        <v>5</v>
      </c>
      <c r="E28" s="1"/>
      <c r="F28" s="920"/>
      <c r="G28" s="1"/>
      <c r="H28" s="1"/>
      <c r="I28" s="1"/>
      <c r="J28" s="1"/>
      <c r="K28" s="1"/>
    </row>
    <row r="29" ht="14.25" customHeight="1">
      <c r="A29" s="890" t="s">
        <v>17</v>
      </c>
      <c r="B29" s="932">
        <v>60.0</v>
      </c>
      <c r="C29" s="933">
        <f>(B29*C27)/B27</f>
        <v>54</v>
      </c>
      <c r="D29" s="892" t="s">
        <v>18</v>
      </c>
      <c r="E29" s="934" t="s">
        <v>1061</v>
      </c>
      <c r="F29" s="920"/>
      <c r="G29" s="1"/>
      <c r="H29" s="1"/>
      <c r="I29" s="1"/>
      <c r="J29" s="1"/>
      <c r="K29" s="1"/>
    </row>
    <row r="30" ht="14.25" customHeight="1">
      <c r="A30" s="936" t="s">
        <v>1062</v>
      </c>
      <c r="B30" s="939">
        <f t="shared" ref="B30:C30" si="7">B23*1.25</f>
        <v>75</v>
      </c>
      <c r="C30" s="941">
        <f t="shared" si="7"/>
        <v>66.375</v>
      </c>
      <c r="D30" s="942" t="s">
        <v>82</v>
      </c>
      <c r="E30" s="681" t="s">
        <v>1064</v>
      </c>
      <c r="F30" s="920"/>
      <c r="G30" s="1"/>
      <c r="H30" s="1"/>
      <c r="I30" s="1"/>
      <c r="J30" s="1"/>
      <c r="K30" s="1"/>
    </row>
    <row r="31" ht="14.25" customHeight="1">
      <c r="A31" s="943" t="s">
        <v>1067</v>
      </c>
      <c r="B31" s="944">
        <v>5.0</v>
      </c>
      <c r="C31" s="945">
        <f>C23*0.1</f>
        <v>5.31</v>
      </c>
      <c r="D31" s="946" t="s">
        <v>82</v>
      </c>
      <c r="E31" s="102"/>
      <c r="F31" s="920"/>
      <c r="G31" s="1"/>
      <c r="H31" s="1"/>
      <c r="I31" s="1"/>
      <c r="J31" s="1"/>
      <c r="K31" s="1"/>
    </row>
    <row r="32" ht="14.25" customHeight="1">
      <c r="A32" s="947" t="s">
        <v>1070</v>
      </c>
      <c r="B32" s="948">
        <f t="shared" ref="B32:C32" si="8">B23*1.25</f>
        <v>75</v>
      </c>
      <c r="C32" s="949">
        <f t="shared" si="8"/>
        <v>66.375</v>
      </c>
      <c r="D32" s="950" t="s">
        <v>82</v>
      </c>
      <c r="E32" s="681" t="s">
        <v>1074</v>
      </c>
      <c r="F32" s="920"/>
      <c r="G32" s="1"/>
      <c r="H32" s="1"/>
      <c r="I32" s="1"/>
      <c r="J32" s="1"/>
      <c r="K32" s="1"/>
    </row>
    <row r="33" ht="14.25" customHeight="1">
      <c r="A33" s="951" t="s">
        <v>1075</v>
      </c>
      <c r="B33" s="952">
        <v>5.0</v>
      </c>
      <c r="C33" s="953">
        <f>C23*0.1</f>
        <v>5.31</v>
      </c>
      <c r="D33" s="954" t="s">
        <v>82</v>
      </c>
      <c r="E33" s="102"/>
      <c r="F33" s="920"/>
      <c r="G33" s="1"/>
      <c r="H33" s="1"/>
      <c r="I33" s="1"/>
      <c r="J33" s="1"/>
      <c r="K33" s="1"/>
    </row>
    <row r="34" ht="14.25" customHeight="1">
      <c r="A34" s="955" t="s">
        <v>1079</v>
      </c>
      <c r="B34" s="956">
        <v>100.0</v>
      </c>
      <c r="C34" s="957">
        <f>(B34*C32)/B32</f>
        <v>88.5</v>
      </c>
      <c r="D34" s="958" t="s">
        <v>82</v>
      </c>
      <c r="E34" s="681" t="s">
        <v>1080</v>
      </c>
      <c r="F34" s="920"/>
      <c r="G34" s="1"/>
      <c r="H34" s="1"/>
      <c r="I34" s="1"/>
      <c r="J34" s="1"/>
      <c r="K34" s="1"/>
    </row>
    <row r="35" ht="14.25" customHeight="1">
      <c r="A35" s="959" t="s">
        <v>1081</v>
      </c>
      <c r="B35" s="960">
        <v>125.0</v>
      </c>
      <c r="C35" s="961">
        <f t="shared" ref="C35:C37" si="9">(B35*C34)/B34</f>
        <v>110.625</v>
      </c>
      <c r="D35" s="962" t="s">
        <v>82</v>
      </c>
      <c r="E35" s="63"/>
      <c r="F35" s="920"/>
      <c r="G35" s="1"/>
      <c r="H35" s="1"/>
      <c r="I35" s="1"/>
      <c r="J35" s="1"/>
      <c r="K35" s="1"/>
    </row>
    <row r="36" ht="14.25" customHeight="1">
      <c r="A36" s="963" t="s">
        <v>31</v>
      </c>
      <c r="B36" s="964">
        <v>60.0</v>
      </c>
      <c r="C36" s="965">
        <f t="shared" si="9"/>
        <v>53.1</v>
      </c>
      <c r="D36" s="966" t="s">
        <v>18</v>
      </c>
      <c r="E36" s="63"/>
      <c r="F36" s="920"/>
      <c r="G36" s="1"/>
      <c r="H36" s="1"/>
      <c r="I36" s="1"/>
      <c r="J36" s="1"/>
      <c r="K36" s="1"/>
    </row>
    <row r="37" ht="14.25" customHeight="1">
      <c r="A37" s="967" t="s">
        <v>80</v>
      </c>
      <c r="B37" s="968">
        <v>20.0</v>
      </c>
      <c r="C37" s="969">
        <f t="shared" si="9"/>
        <v>17.7</v>
      </c>
      <c r="D37" s="970" t="s">
        <v>14</v>
      </c>
      <c r="E37" s="102"/>
      <c r="F37" s="920"/>
      <c r="G37" s="1"/>
      <c r="H37" s="1"/>
      <c r="I37" s="1"/>
      <c r="J37" s="1"/>
      <c r="K37" s="1"/>
    </row>
    <row r="38" ht="14.25" customHeight="1">
      <c r="A38" s="88" t="s">
        <v>49</v>
      </c>
      <c r="B38" s="972">
        <v>40787.0</v>
      </c>
      <c r="C38" s="1"/>
      <c r="D38" s="193"/>
      <c r="E38" s="1"/>
      <c r="F38" s="920"/>
      <c r="G38" s="1"/>
      <c r="H38" s="1"/>
      <c r="I38" s="1"/>
      <c r="J38" s="1"/>
      <c r="K38" s="1"/>
    </row>
    <row r="39" ht="14.25" customHeight="1">
      <c r="A39" s="305" t="s">
        <v>50</v>
      </c>
      <c r="B39" s="974">
        <v>43226.0</v>
      </c>
      <c r="C39" s="1"/>
      <c r="D39" s="193"/>
      <c r="E39" s="1"/>
      <c r="F39" s="920"/>
      <c r="G39" s="1"/>
      <c r="H39" s="1"/>
      <c r="I39" s="1"/>
      <c r="J39" s="1"/>
      <c r="K39" s="1"/>
    </row>
    <row r="40" ht="14.25" customHeight="1">
      <c r="A40" s="926" t="s">
        <v>119</v>
      </c>
      <c r="B40" s="258" t="s">
        <v>47</v>
      </c>
      <c r="C40" s="1"/>
      <c r="D40" s="193"/>
      <c r="E40" s="1"/>
      <c r="F40" s="920"/>
      <c r="G40" s="1"/>
      <c r="H40" s="1"/>
      <c r="I40" s="1"/>
      <c r="J40" s="1"/>
      <c r="K40" s="1"/>
    </row>
    <row r="41" ht="14.25" customHeight="1">
      <c r="A41" s="1"/>
      <c r="B41" s="1"/>
      <c r="C41" s="1"/>
      <c r="D41" s="1"/>
      <c r="E41" s="1"/>
      <c r="F41" s="920"/>
      <c r="G41" s="1"/>
      <c r="H41" s="1"/>
      <c r="I41" s="1"/>
      <c r="J41" s="1"/>
      <c r="K41" s="1"/>
    </row>
    <row r="42" ht="14.25" customHeight="1">
      <c r="A42" s="209" t="s">
        <v>285</v>
      </c>
      <c r="B42" s="18"/>
      <c r="C42" s="18"/>
      <c r="D42" s="19"/>
      <c r="E42" s="207"/>
      <c r="F42" s="920"/>
      <c r="G42" s="1"/>
      <c r="H42" s="1"/>
      <c r="I42" s="1"/>
      <c r="J42" s="1"/>
      <c r="K42" s="1"/>
    </row>
    <row r="43" ht="14.25" customHeight="1">
      <c r="A43" s="977" t="s">
        <v>1</v>
      </c>
      <c r="B43" s="978">
        <v>100.0</v>
      </c>
      <c r="C43" s="978">
        <v>60.0</v>
      </c>
      <c r="D43" s="979" t="s">
        <v>5</v>
      </c>
      <c r="E43" s="194" t="s">
        <v>1100</v>
      </c>
      <c r="F43" s="920"/>
      <c r="G43" s="1"/>
      <c r="H43" s="1"/>
      <c r="I43" s="1"/>
      <c r="J43" s="1"/>
      <c r="K43" s="1"/>
    </row>
    <row r="44" ht="14.25" customHeight="1">
      <c r="A44" s="93" t="s">
        <v>1102</v>
      </c>
      <c r="B44" s="247">
        <v>16.0</v>
      </c>
      <c r="C44" s="247">
        <f t="shared" ref="C44:C54" si="10">(B44*C43)/B43</f>
        <v>9.6</v>
      </c>
      <c r="D44" s="249" t="s">
        <v>14</v>
      </c>
      <c r="E44" s="63"/>
      <c r="F44" s="920"/>
      <c r="G44" s="1"/>
      <c r="H44" s="1"/>
      <c r="I44" s="1"/>
      <c r="J44" s="1"/>
      <c r="K44" s="1"/>
    </row>
    <row r="45" ht="14.25" customHeight="1">
      <c r="A45" s="93" t="s">
        <v>1104</v>
      </c>
      <c r="B45" s="247">
        <v>1.6</v>
      </c>
      <c r="C45" s="247">
        <f t="shared" si="10"/>
        <v>0.96</v>
      </c>
      <c r="D45" s="249" t="s">
        <v>5</v>
      </c>
      <c r="E45" s="63"/>
      <c r="F45" s="920"/>
      <c r="G45" s="1"/>
      <c r="H45" s="1"/>
      <c r="I45" s="1"/>
      <c r="J45" s="1"/>
      <c r="K45" s="1"/>
    </row>
    <row r="46" ht="14.25" customHeight="1">
      <c r="A46" s="93" t="s">
        <v>59</v>
      </c>
      <c r="B46" s="247">
        <v>65.0</v>
      </c>
      <c r="C46" s="247">
        <f t="shared" si="10"/>
        <v>39</v>
      </c>
      <c r="D46" s="249" t="s">
        <v>5</v>
      </c>
      <c r="E46" s="63"/>
      <c r="F46" s="920"/>
      <c r="G46" s="1"/>
      <c r="H46" s="1"/>
      <c r="I46" s="1"/>
      <c r="J46" s="1"/>
      <c r="K46" s="1"/>
    </row>
    <row r="47" ht="14.25" customHeight="1">
      <c r="A47" s="138" t="s">
        <v>31</v>
      </c>
      <c r="B47" s="239">
        <v>250.0</v>
      </c>
      <c r="C47" s="239">
        <f t="shared" si="10"/>
        <v>150</v>
      </c>
      <c r="D47" s="242" t="s">
        <v>18</v>
      </c>
      <c r="E47" s="63"/>
      <c r="F47" s="920"/>
      <c r="G47" s="1"/>
      <c r="H47" s="1"/>
      <c r="I47" s="1"/>
      <c r="J47" s="1"/>
      <c r="K47" s="1"/>
    </row>
    <row r="48" ht="19.5" customHeight="1">
      <c r="A48" s="983" t="s">
        <v>17</v>
      </c>
      <c r="B48" s="984">
        <v>150.0</v>
      </c>
      <c r="C48" s="984">
        <f t="shared" si="10"/>
        <v>90</v>
      </c>
      <c r="D48" s="987" t="s">
        <v>18</v>
      </c>
      <c r="E48" s="63"/>
      <c r="F48" s="920"/>
      <c r="G48" s="1"/>
      <c r="H48" s="1"/>
      <c r="I48" s="1"/>
      <c r="J48" s="1"/>
      <c r="K48" s="1"/>
    </row>
    <row r="49" ht="14.25" customHeight="1">
      <c r="A49" s="988" t="s">
        <v>1108</v>
      </c>
      <c r="B49" s="989">
        <v>125.0</v>
      </c>
      <c r="C49" s="989">
        <f t="shared" si="10"/>
        <v>75</v>
      </c>
      <c r="D49" s="990" t="s">
        <v>82</v>
      </c>
      <c r="E49" s="102"/>
      <c r="F49" s="920"/>
      <c r="G49" s="1"/>
      <c r="H49" s="1"/>
      <c r="I49" s="1"/>
      <c r="J49" s="1"/>
      <c r="K49" s="1"/>
    </row>
    <row r="50" ht="14.25" customHeight="1">
      <c r="A50" s="119" t="s">
        <v>80</v>
      </c>
      <c r="B50" s="523">
        <v>30.0</v>
      </c>
      <c r="C50" s="523">
        <f t="shared" si="10"/>
        <v>18</v>
      </c>
      <c r="D50" s="520" t="s">
        <v>14</v>
      </c>
      <c r="E50" s="194" t="s">
        <v>1111</v>
      </c>
      <c r="F50" s="920"/>
      <c r="G50" s="1"/>
      <c r="H50" s="1"/>
      <c r="I50" s="1"/>
      <c r="J50" s="1"/>
      <c r="K50" s="1"/>
    </row>
    <row r="51" ht="14.25" customHeight="1">
      <c r="A51" s="417" t="s">
        <v>59</v>
      </c>
      <c r="B51" s="541">
        <v>7.5</v>
      </c>
      <c r="C51" s="239">
        <f t="shared" si="10"/>
        <v>4.5</v>
      </c>
      <c r="D51" s="543" t="s">
        <v>14</v>
      </c>
      <c r="E51" s="102"/>
      <c r="F51" s="920"/>
      <c r="G51" s="1"/>
      <c r="H51" s="1"/>
      <c r="I51" s="1"/>
      <c r="J51" s="1"/>
      <c r="K51" s="1"/>
    </row>
    <row r="52" ht="14.25" customHeight="1">
      <c r="A52" s="68" t="s">
        <v>1112</v>
      </c>
      <c r="B52" s="210">
        <v>0.5</v>
      </c>
      <c r="C52" s="976">
        <f t="shared" si="10"/>
        <v>0.3</v>
      </c>
      <c r="D52" s="216" t="s">
        <v>5</v>
      </c>
      <c r="E52" s="194" t="s">
        <v>1113</v>
      </c>
      <c r="F52" s="920"/>
      <c r="G52" s="1"/>
      <c r="H52" s="1"/>
      <c r="I52" s="1"/>
      <c r="J52" s="1"/>
      <c r="K52" s="1"/>
    </row>
    <row r="53" ht="14.25" customHeight="1">
      <c r="A53" s="93" t="s">
        <v>1114</v>
      </c>
      <c r="B53" s="247">
        <v>0.5</v>
      </c>
      <c r="C53" s="992">
        <f t="shared" si="10"/>
        <v>0.3</v>
      </c>
      <c r="D53" s="249" t="s">
        <v>14</v>
      </c>
      <c r="E53" s="63"/>
      <c r="F53" s="920"/>
      <c r="G53" s="1"/>
      <c r="H53" s="1"/>
      <c r="I53" s="1"/>
      <c r="J53" s="1"/>
      <c r="K53" s="1"/>
    </row>
    <row r="54" ht="14.25" customHeight="1">
      <c r="A54" s="105" t="s">
        <v>1046</v>
      </c>
      <c r="B54" s="522">
        <v>1.0</v>
      </c>
      <c r="C54" s="981">
        <f t="shared" si="10"/>
        <v>0.6</v>
      </c>
      <c r="D54" s="518" t="s">
        <v>14</v>
      </c>
      <c r="E54" s="102"/>
      <c r="F54" s="920"/>
      <c r="G54" s="1"/>
      <c r="H54" s="1"/>
      <c r="I54" s="1"/>
      <c r="J54" s="1"/>
      <c r="K54" s="1"/>
    </row>
    <row r="55" ht="15.75" customHeight="1">
      <c r="A55" s="926" t="s">
        <v>119</v>
      </c>
      <c r="B55" s="258" t="s">
        <v>47</v>
      </c>
      <c r="C55" s="995"/>
      <c r="D55" s="1"/>
      <c r="E55" s="1"/>
      <c r="F55" s="920"/>
      <c r="G55" s="1"/>
      <c r="H55" s="1"/>
      <c r="I55" s="1"/>
      <c r="J55" s="1"/>
      <c r="K55" s="1"/>
    </row>
    <row r="56" ht="14.25" customHeight="1">
      <c r="A56" s="90" t="s">
        <v>120</v>
      </c>
      <c r="B56" s="308">
        <v>40927.0</v>
      </c>
      <c r="C56" s="1"/>
      <c r="D56" s="1"/>
      <c r="E56" s="1"/>
      <c r="F56" s="920"/>
      <c r="G56" s="1"/>
      <c r="H56" s="1"/>
      <c r="I56" s="1"/>
      <c r="J56" s="1"/>
      <c r="K56" s="1"/>
    </row>
    <row r="57" ht="14.25" customHeight="1">
      <c r="A57" s="305" t="s">
        <v>50</v>
      </c>
      <c r="B57" s="308">
        <v>41655.0</v>
      </c>
      <c r="C57" s="1"/>
      <c r="D57" s="1"/>
      <c r="E57" s="1"/>
      <c r="F57" s="920"/>
      <c r="G57" s="1"/>
      <c r="H57" s="1"/>
      <c r="I57" s="1"/>
      <c r="J57" s="1"/>
      <c r="K57" s="1"/>
    </row>
    <row r="58" ht="14.25" customHeight="1">
      <c r="A58" s="1"/>
      <c r="B58" s="1"/>
      <c r="C58" s="1"/>
      <c r="D58" s="1"/>
      <c r="E58" s="1"/>
      <c r="F58" s="920"/>
      <c r="G58" s="1"/>
      <c r="H58" s="1"/>
      <c r="I58" s="1"/>
      <c r="J58" s="1"/>
      <c r="K58" s="1"/>
    </row>
    <row r="59" ht="14.25" customHeight="1">
      <c r="A59" s="511" t="s">
        <v>395</v>
      </c>
      <c r="B59" s="18"/>
      <c r="C59" s="18"/>
      <c r="D59" s="19"/>
      <c r="E59" s="207"/>
      <c r="F59" s="920"/>
      <c r="G59" s="1"/>
      <c r="H59" s="1"/>
      <c r="I59" s="1"/>
      <c r="J59" s="1"/>
      <c r="K59" s="1"/>
    </row>
    <row r="60" ht="14.25" customHeight="1">
      <c r="A60" s="51" t="s">
        <v>1</v>
      </c>
      <c r="B60" s="53">
        <v>100.0</v>
      </c>
      <c r="C60" s="53">
        <v>60.0</v>
      </c>
      <c r="D60" s="514" t="s">
        <v>5</v>
      </c>
      <c r="E60" s="999"/>
      <c r="F60" s="920"/>
      <c r="G60" s="1"/>
      <c r="H60" s="1"/>
      <c r="I60" s="1"/>
      <c r="J60" s="1"/>
      <c r="K60" s="1"/>
    </row>
    <row r="61" ht="14.25" customHeight="1">
      <c r="A61" s="68" t="s">
        <v>53</v>
      </c>
      <c r="B61" s="210">
        <v>25.0</v>
      </c>
      <c r="C61" s="210">
        <f t="shared" ref="C61:C71" si="11">(B61*C60)/B60</f>
        <v>15</v>
      </c>
      <c r="D61" s="216" t="s">
        <v>14</v>
      </c>
      <c r="E61" s="194" t="s">
        <v>1122</v>
      </c>
      <c r="F61" s="920"/>
      <c r="G61" s="1"/>
      <c r="H61" s="1"/>
      <c r="I61" s="1"/>
      <c r="J61" s="1"/>
      <c r="K61" s="1"/>
    </row>
    <row r="62" ht="14.25" customHeight="1">
      <c r="A62" s="93" t="s">
        <v>59</v>
      </c>
      <c r="B62" s="247">
        <v>62.5</v>
      </c>
      <c r="C62" s="247">
        <f t="shared" si="11"/>
        <v>37.5</v>
      </c>
      <c r="D62" s="249" t="s">
        <v>5</v>
      </c>
      <c r="E62" s="63"/>
      <c r="F62" s="920"/>
      <c r="G62" s="1"/>
      <c r="H62" s="1"/>
      <c r="I62" s="1"/>
      <c r="J62" s="1"/>
      <c r="K62" s="1"/>
    </row>
    <row r="63" ht="14.25" customHeight="1">
      <c r="A63" s="93" t="s">
        <v>31</v>
      </c>
      <c r="B63" s="247">
        <v>375.0</v>
      </c>
      <c r="C63" s="247">
        <f t="shared" si="11"/>
        <v>225</v>
      </c>
      <c r="D63" s="249" t="s">
        <v>18</v>
      </c>
      <c r="E63" s="63"/>
      <c r="F63" s="920"/>
      <c r="G63" s="1"/>
      <c r="H63" s="1"/>
      <c r="I63" s="1"/>
      <c r="J63" s="1"/>
      <c r="K63" s="1"/>
    </row>
    <row r="64" ht="14.25" customHeight="1">
      <c r="A64" s="138" t="s">
        <v>91</v>
      </c>
      <c r="B64" s="239">
        <v>1.0</v>
      </c>
      <c r="C64" s="239">
        <f t="shared" si="11"/>
        <v>0.6</v>
      </c>
      <c r="D64" s="242" t="s">
        <v>5</v>
      </c>
      <c r="E64" s="63"/>
      <c r="F64" s="920"/>
      <c r="G64" s="1"/>
      <c r="H64" s="1"/>
      <c r="I64" s="1"/>
      <c r="J64" s="1"/>
      <c r="K64" s="1"/>
    </row>
    <row r="65" ht="14.25" customHeight="1">
      <c r="A65" s="105" t="s">
        <v>1125</v>
      </c>
      <c r="B65" s="522">
        <v>12.5</v>
      </c>
      <c r="C65" s="522">
        <f t="shared" si="11"/>
        <v>7.5</v>
      </c>
      <c r="D65" s="518" t="s">
        <v>82</v>
      </c>
      <c r="E65" s="102"/>
      <c r="F65" s="920"/>
      <c r="G65" s="1"/>
      <c r="H65" s="1"/>
      <c r="I65" s="1"/>
      <c r="J65" s="1"/>
      <c r="K65" s="1"/>
    </row>
    <row r="66" ht="14.25" customHeight="1">
      <c r="A66" s="68" t="s">
        <v>743</v>
      </c>
      <c r="B66" s="210">
        <v>0.5</v>
      </c>
      <c r="C66" s="210">
        <f t="shared" si="11"/>
        <v>0.3</v>
      </c>
      <c r="D66" s="216" t="s">
        <v>5</v>
      </c>
      <c r="E66" s="194" t="s">
        <v>1127</v>
      </c>
      <c r="F66" s="920"/>
      <c r="G66" s="1"/>
      <c r="H66" s="1"/>
      <c r="I66" s="1"/>
      <c r="J66" s="1"/>
      <c r="K66" s="1"/>
    </row>
    <row r="67" ht="14.25" customHeight="1">
      <c r="A67" s="93" t="s">
        <v>96</v>
      </c>
      <c r="B67" s="247">
        <v>100.0</v>
      </c>
      <c r="C67" s="247">
        <f t="shared" si="11"/>
        <v>60</v>
      </c>
      <c r="D67" s="249" t="s">
        <v>18</v>
      </c>
      <c r="E67" s="63"/>
      <c r="F67" s="920"/>
      <c r="G67" s="1"/>
      <c r="H67" s="1"/>
      <c r="I67" s="1"/>
      <c r="J67" s="1"/>
      <c r="K67" s="1"/>
    </row>
    <row r="68" ht="14.25" customHeight="1">
      <c r="A68" s="105" t="s">
        <v>95</v>
      </c>
      <c r="B68" s="522">
        <v>200.0</v>
      </c>
      <c r="C68" s="522">
        <f t="shared" si="11"/>
        <v>120</v>
      </c>
      <c r="D68" s="518" t="s">
        <v>18</v>
      </c>
      <c r="E68" s="102"/>
      <c r="F68" s="920"/>
      <c r="G68" s="1"/>
      <c r="H68" s="1"/>
      <c r="I68" s="1"/>
      <c r="J68" s="1"/>
      <c r="K68" s="1"/>
    </row>
    <row r="69" ht="14.25" customHeight="1">
      <c r="A69" s="68" t="s">
        <v>13</v>
      </c>
      <c r="B69" s="210">
        <v>25.0</v>
      </c>
      <c r="C69" s="210">
        <f t="shared" si="11"/>
        <v>15</v>
      </c>
      <c r="D69" s="216" t="s">
        <v>14</v>
      </c>
      <c r="E69" s="194" t="s">
        <v>1128</v>
      </c>
      <c r="F69" s="920"/>
      <c r="G69" s="1"/>
      <c r="H69" s="1"/>
      <c r="I69" s="1"/>
      <c r="J69" s="1"/>
      <c r="K69" s="1"/>
    </row>
    <row r="70" ht="14.25" customHeight="1">
      <c r="A70" s="138" t="s">
        <v>59</v>
      </c>
      <c r="B70" s="239">
        <v>12.5</v>
      </c>
      <c r="C70" s="239">
        <f t="shared" si="11"/>
        <v>7.5</v>
      </c>
      <c r="D70" s="242" t="s">
        <v>5</v>
      </c>
      <c r="E70" s="102"/>
      <c r="F70" s="920"/>
      <c r="G70" s="1"/>
      <c r="H70" s="1"/>
      <c r="I70" s="1"/>
      <c r="J70" s="1"/>
      <c r="K70" s="1"/>
    </row>
    <row r="71" ht="14.25" customHeight="1">
      <c r="A71" s="68" t="s">
        <v>743</v>
      </c>
      <c r="B71" s="210">
        <v>1.5</v>
      </c>
      <c r="C71" s="210">
        <f t="shared" si="11"/>
        <v>0.9</v>
      </c>
      <c r="D71" s="216" t="s">
        <v>5</v>
      </c>
      <c r="E71" s="140" t="s">
        <v>1129</v>
      </c>
      <c r="F71" s="920"/>
      <c r="G71" s="1"/>
      <c r="H71" s="1"/>
      <c r="I71" s="1"/>
      <c r="J71" s="1"/>
      <c r="K71" s="1"/>
    </row>
    <row r="72" ht="14.25" customHeight="1">
      <c r="A72" s="93" t="s">
        <v>884</v>
      </c>
      <c r="B72" s="247">
        <v>100.0</v>
      </c>
      <c r="C72" s="247">
        <f t="shared" ref="C72:C74" si="12">(B72*C66)/B66</f>
        <v>60</v>
      </c>
      <c r="D72" s="249" t="s">
        <v>18</v>
      </c>
      <c r="F72" s="920"/>
      <c r="G72" s="1"/>
      <c r="H72" s="1"/>
      <c r="I72" s="1"/>
      <c r="J72" s="1"/>
      <c r="K72" s="1"/>
    </row>
    <row r="73" ht="14.25" customHeight="1">
      <c r="A73" s="93" t="s">
        <v>749</v>
      </c>
      <c r="B73" s="247">
        <v>500.0</v>
      </c>
      <c r="C73" s="247">
        <f t="shared" si="12"/>
        <v>300</v>
      </c>
      <c r="D73" s="249" t="s">
        <v>18</v>
      </c>
      <c r="F73" s="920"/>
      <c r="G73" s="1"/>
      <c r="H73" s="1"/>
      <c r="I73" s="1"/>
      <c r="J73" s="1"/>
      <c r="K73" s="1"/>
    </row>
    <row r="74" ht="14.25" customHeight="1">
      <c r="A74" s="93" t="s">
        <v>1132</v>
      </c>
      <c r="B74" s="247">
        <v>500.0</v>
      </c>
      <c r="C74" s="247">
        <f t="shared" si="12"/>
        <v>300</v>
      </c>
      <c r="D74" s="249" t="s">
        <v>18</v>
      </c>
      <c r="F74" s="920"/>
      <c r="G74" s="1"/>
      <c r="H74" s="1"/>
      <c r="I74" s="1"/>
      <c r="J74" s="1"/>
      <c r="K74" s="1"/>
    </row>
    <row r="75" ht="14.25" customHeight="1">
      <c r="A75" s="93" t="s">
        <v>1046</v>
      </c>
      <c r="B75" s="247">
        <v>500.0</v>
      </c>
      <c r="C75" s="247">
        <f t="shared" ref="C75:C76" si="13">(B75*C74)/B74</f>
        <v>300</v>
      </c>
      <c r="D75" s="249" t="s">
        <v>18</v>
      </c>
      <c r="F75" s="920"/>
      <c r="G75" s="1"/>
      <c r="H75" s="1"/>
      <c r="I75" s="1"/>
      <c r="J75" s="1"/>
      <c r="K75" s="1"/>
    </row>
    <row r="76" ht="14.25" customHeight="1">
      <c r="A76" s="105" t="s">
        <v>1133</v>
      </c>
      <c r="B76" s="522">
        <v>0.5</v>
      </c>
      <c r="C76" s="522">
        <f t="shared" si="13"/>
        <v>0.3</v>
      </c>
      <c r="D76" s="518" t="s">
        <v>14</v>
      </c>
      <c r="E76" s="104"/>
      <c r="F76" s="920"/>
      <c r="G76" s="1"/>
      <c r="H76" s="1"/>
      <c r="I76" s="1"/>
      <c r="J76" s="1"/>
      <c r="K76" s="1"/>
    </row>
    <row r="77" ht="14.25" customHeight="1">
      <c r="A77" s="149" t="s">
        <v>17</v>
      </c>
      <c r="B77" s="272">
        <v>150.0</v>
      </c>
      <c r="C77" s="272">
        <f>(B77*C75)/B75</f>
        <v>90</v>
      </c>
      <c r="D77" s="288" t="s">
        <v>18</v>
      </c>
      <c r="E77" s="1004" t="s">
        <v>1134</v>
      </c>
      <c r="F77" s="920"/>
      <c r="G77" s="1"/>
      <c r="H77" s="1"/>
      <c r="I77" s="1"/>
      <c r="J77" s="1"/>
      <c r="K77" s="1"/>
    </row>
    <row r="78" ht="14.25" customHeight="1">
      <c r="A78" s="926" t="s">
        <v>119</v>
      </c>
      <c r="B78" s="258" t="s">
        <v>47</v>
      </c>
      <c r="C78" s="1"/>
      <c r="D78" s="1"/>
      <c r="E78" s="847"/>
      <c r="F78" s="920"/>
      <c r="G78" s="1"/>
      <c r="H78" s="1"/>
      <c r="I78" s="1"/>
      <c r="J78" s="1"/>
      <c r="K78" s="1"/>
    </row>
    <row r="79" ht="14.25" customHeight="1">
      <c r="A79" s="203" t="s">
        <v>502</v>
      </c>
      <c r="B79" s="303">
        <v>41066.0</v>
      </c>
      <c r="C79" s="1"/>
      <c r="D79" s="1"/>
      <c r="E79" s="1"/>
      <c r="F79" s="920"/>
      <c r="G79" s="1"/>
      <c r="H79" s="1"/>
      <c r="I79" s="1"/>
      <c r="J79" s="1"/>
      <c r="K79" s="1"/>
    </row>
    <row r="80" ht="14.25" customHeight="1">
      <c r="A80" s="203" t="s">
        <v>50</v>
      </c>
      <c r="B80" s="303">
        <v>41495.0</v>
      </c>
      <c r="C80" s="1"/>
      <c r="D80" s="1"/>
      <c r="E80" s="1"/>
      <c r="F80" s="920"/>
      <c r="G80" s="1"/>
      <c r="H80" s="1"/>
      <c r="I80" s="1"/>
      <c r="J80" s="1"/>
      <c r="K80" s="1"/>
    </row>
    <row r="81" ht="14.25" customHeight="1">
      <c r="A81" s="1"/>
      <c r="B81" s="1"/>
      <c r="C81" s="1"/>
      <c r="D81" s="1"/>
      <c r="E81" s="1"/>
      <c r="F81" s="920"/>
      <c r="G81" s="1"/>
      <c r="H81" s="1"/>
      <c r="I81" s="1"/>
      <c r="J81" s="1"/>
      <c r="K81" s="1"/>
    </row>
    <row r="82" ht="14.25" customHeight="1">
      <c r="A82" s="927" t="s">
        <v>263</v>
      </c>
      <c r="B82" s="5"/>
      <c r="C82" s="5"/>
      <c r="D82" s="6"/>
      <c r="E82" s="831"/>
      <c r="F82" s="920"/>
      <c r="G82" s="1"/>
      <c r="H82" s="1"/>
      <c r="I82" s="1"/>
      <c r="J82" s="1"/>
      <c r="K82" s="1"/>
    </row>
    <row r="83" ht="14.25" customHeight="1">
      <c r="A83" s="68" t="s">
        <v>1</v>
      </c>
      <c r="B83" s="210">
        <v>70.0</v>
      </c>
      <c r="C83" s="210">
        <v>70.0</v>
      </c>
      <c r="D83" s="216" t="s">
        <v>5</v>
      </c>
      <c r="E83" s="312"/>
      <c r="F83" s="920"/>
      <c r="G83" s="1"/>
      <c r="H83" s="1"/>
      <c r="I83" s="1"/>
      <c r="J83" s="1"/>
      <c r="K83" s="1"/>
    </row>
    <row r="84" ht="14.25" customHeight="1">
      <c r="A84" s="93" t="s">
        <v>34</v>
      </c>
      <c r="B84" s="247">
        <v>3.5</v>
      </c>
      <c r="C84" s="247">
        <f t="shared" ref="C84:C85" si="14">(B84*C83)/B83</f>
        <v>3.5</v>
      </c>
      <c r="D84" s="249" t="s">
        <v>5</v>
      </c>
      <c r="E84" s="312"/>
      <c r="F84" s="920"/>
      <c r="G84" s="1"/>
      <c r="H84" s="1"/>
      <c r="I84" s="1"/>
      <c r="J84" s="1"/>
      <c r="K84" s="1"/>
    </row>
    <row r="85" ht="14.25" customHeight="1">
      <c r="A85" s="93" t="s">
        <v>1136</v>
      </c>
      <c r="B85" s="247">
        <v>10.5</v>
      </c>
      <c r="C85" s="247">
        <f t="shared" si="14"/>
        <v>10.5</v>
      </c>
      <c r="D85" s="249" t="s">
        <v>14</v>
      </c>
      <c r="E85" s="312"/>
      <c r="F85" s="920"/>
      <c r="G85" s="1"/>
      <c r="H85" s="1"/>
      <c r="I85" s="1"/>
      <c r="J85" s="1"/>
      <c r="K85" s="1"/>
    </row>
    <row r="86" ht="14.25" customHeight="1">
      <c r="A86" s="93" t="s">
        <v>1137</v>
      </c>
      <c r="B86" s="247">
        <v>0.56</v>
      </c>
      <c r="C86" s="247">
        <f>(B86*C88)/B88</f>
        <v>0.56</v>
      </c>
      <c r="D86" s="249" t="s">
        <v>14</v>
      </c>
      <c r="E86" s="312"/>
      <c r="F86" s="920"/>
      <c r="G86" s="1"/>
      <c r="H86" s="1"/>
      <c r="I86" s="1"/>
      <c r="J86" s="1"/>
      <c r="K86" s="1"/>
    </row>
    <row r="87" ht="14.25" customHeight="1">
      <c r="A87" s="93" t="s">
        <v>971</v>
      </c>
      <c r="B87" s="247">
        <v>150.0</v>
      </c>
      <c r="C87" s="247">
        <f>(B87*C85)/B85</f>
        <v>150</v>
      </c>
      <c r="D87" s="249" t="s">
        <v>18</v>
      </c>
      <c r="E87" s="312"/>
      <c r="F87" s="920"/>
      <c r="G87" s="1"/>
      <c r="H87" s="1"/>
      <c r="I87" s="1"/>
      <c r="J87" s="1"/>
      <c r="K87" s="1"/>
    </row>
    <row r="88" ht="14.25" customHeight="1">
      <c r="A88" s="93" t="s">
        <v>1138</v>
      </c>
      <c r="B88" s="247">
        <v>150.0</v>
      </c>
      <c r="C88" s="247">
        <f t="shared" ref="C88:C97" si="15">(B88*C87)/B87</f>
        <v>150</v>
      </c>
      <c r="D88" s="249" t="s">
        <v>18</v>
      </c>
      <c r="E88" s="312"/>
      <c r="F88" s="920"/>
      <c r="G88" s="1"/>
      <c r="H88" s="1"/>
      <c r="I88" s="1"/>
      <c r="J88" s="1"/>
      <c r="K88" s="1"/>
    </row>
    <row r="89" ht="14.25" customHeight="1">
      <c r="A89" s="105" t="s">
        <v>1046</v>
      </c>
      <c r="B89" s="522">
        <v>300.0</v>
      </c>
      <c r="C89" s="522">
        <f t="shared" si="15"/>
        <v>300</v>
      </c>
      <c r="D89" s="518" t="s">
        <v>18</v>
      </c>
      <c r="E89" s="312"/>
      <c r="F89" s="920"/>
      <c r="G89" s="1"/>
      <c r="H89" s="1"/>
      <c r="I89" s="1"/>
      <c r="J89" s="1"/>
      <c r="K89" s="1"/>
    </row>
    <row r="90" ht="14.25" customHeight="1">
      <c r="A90" s="1009" t="s">
        <v>1140</v>
      </c>
      <c r="B90" s="1010">
        <v>35.0</v>
      </c>
      <c r="C90" s="1010">
        <f t="shared" si="15"/>
        <v>35</v>
      </c>
      <c r="D90" s="1012" t="s">
        <v>5</v>
      </c>
      <c r="E90" s="312" t="s">
        <v>1142</v>
      </c>
      <c r="F90" s="920"/>
      <c r="G90" s="1"/>
      <c r="H90" s="1"/>
      <c r="I90" s="1"/>
      <c r="J90" s="1"/>
      <c r="K90" s="1"/>
    </row>
    <row r="91" ht="14.25" customHeight="1">
      <c r="A91" s="1014" t="s">
        <v>1143</v>
      </c>
      <c r="B91" s="1016">
        <v>30.0</v>
      </c>
      <c r="C91" s="1019">
        <f t="shared" si="15"/>
        <v>30</v>
      </c>
      <c r="D91" s="1020" t="s">
        <v>5</v>
      </c>
      <c r="E91" s="312" t="s">
        <v>1145</v>
      </c>
      <c r="F91" s="920"/>
      <c r="G91" s="1"/>
      <c r="H91" s="1"/>
      <c r="I91" s="1"/>
      <c r="J91" s="1"/>
      <c r="K91" s="1"/>
    </row>
    <row r="92" ht="14.25" customHeight="1">
      <c r="A92" s="93" t="s">
        <v>13</v>
      </c>
      <c r="B92" s="247">
        <v>18.9</v>
      </c>
      <c r="C92" s="247">
        <f t="shared" si="15"/>
        <v>18.9</v>
      </c>
      <c r="D92" s="249" t="s">
        <v>14</v>
      </c>
      <c r="E92" s="312"/>
      <c r="F92" s="920"/>
      <c r="G92" s="1"/>
      <c r="H92" s="1"/>
      <c r="I92" s="1"/>
      <c r="J92" s="1"/>
      <c r="K92" s="1"/>
    </row>
    <row r="93" ht="14.25" customHeight="1">
      <c r="A93" s="138" t="s">
        <v>31</v>
      </c>
      <c r="B93" s="239">
        <v>56.0</v>
      </c>
      <c r="C93" s="239">
        <f t="shared" si="15"/>
        <v>56</v>
      </c>
      <c r="D93" s="242" t="s">
        <v>18</v>
      </c>
      <c r="E93" s="312"/>
      <c r="F93" s="920"/>
      <c r="G93" s="1"/>
      <c r="H93" s="1"/>
      <c r="I93" s="1"/>
      <c r="J93" s="1"/>
      <c r="K93" s="1"/>
    </row>
    <row r="94" ht="14.25" customHeight="1">
      <c r="A94" s="173" t="s">
        <v>17</v>
      </c>
      <c r="B94" s="545">
        <v>70.0</v>
      </c>
      <c r="C94" s="545">
        <f t="shared" si="15"/>
        <v>70</v>
      </c>
      <c r="D94" s="547" t="s">
        <v>18</v>
      </c>
      <c r="E94" s="312"/>
      <c r="F94" s="920"/>
      <c r="G94" s="1"/>
      <c r="H94" s="1"/>
      <c r="I94" s="1"/>
      <c r="J94" s="1"/>
      <c r="K94" s="1"/>
    </row>
    <row r="95" ht="14.25" customHeight="1">
      <c r="A95" s="119" t="s">
        <v>1148</v>
      </c>
      <c r="B95" s="523">
        <v>2.1</v>
      </c>
      <c r="C95" s="523">
        <f t="shared" si="15"/>
        <v>2.1</v>
      </c>
      <c r="D95" s="520" t="s">
        <v>14</v>
      </c>
      <c r="E95" s="312"/>
      <c r="F95" s="920"/>
      <c r="G95" s="1"/>
      <c r="H95" s="1"/>
      <c r="I95" s="1"/>
      <c r="J95" s="1"/>
      <c r="K95" s="1"/>
    </row>
    <row r="96" ht="14.25" customHeight="1">
      <c r="A96" s="93" t="s">
        <v>157</v>
      </c>
      <c r="B96" s="247">
        <v>7.0</v>
      </c>
      <c r="C96" s="247">
        <f t="shared" si="15"/>
        <v>7</v>
      </c>
      <c r="D96" s="249" t="s">
        <v>5</v>
      </c>
      <c r="E96" s="312"/>
      <c r="F96" s="920"/>
      <c r="G96" s="1"/>
      <c r="H96" s="1"/>
      <c r="I96" s="1"/>
      <c r="J96" s="1"/>
      <c r="K96" s="1"/>
    </row>
    <row r="97" ht="14.25" customHeight="1">
      <c r="A97" s="105" t="s">
        <v>13</v>
      </c>
      <c r="B97" s="522">
        <v>0.49</v>
      </c>
      <c r="C97" s="522">
        <f t="shared" si="15"/>
        <v>0.49</v>
      </c>
      <c r="D97" s="518" t="s">
        <v>14</v>
      </c>
      <c r="E97" s="1022"/>
      <c r="F97" s="920"/>
      <c r="G97" s="1"/>
      <c r="H97" s="1"/>
      <c r="I97" s="1"/>
      <c r="J97" s="1"/>
      <c r="K97" s="1"/>
    </row>
    <row r="98" ht="14.25" customHeight="1">
      <c r="A98" s="83" t="s">
        <v>119</v>
      </c>
      <c r="B98" s="258" t="s">
        <v>47</v>
      </c>
      <c r="C98" s="1"/>
      <c r="D98" s="1"/>
      <c r="E98" s="1"/>
      <c r="F98" s="920"/>
      <c r="G98" s="1"/>
      <c r="H98" s="1"/>
      <c r="I98" s="1"/>
      <c r="J98" s="1"/>
      <c r="K98" s="1"/>
    </row>
    <row r="99" ht="14.25" customHeight="1">
      <c r="A99" s="550" t="s">
        <v>502</v>
      </c>
      <c r="B99" s="1023"/>
      <c r="C99" s="1"/>
      <c r="D99" s="1"/>
      <c r="E99" s="1"/>
      <c r="F99" s="920"/>
      <c r="G99" s="1"/>
      <c r="H99" s="1"/>
      <c r="I99" s="1"/>
      <c r="J99" s="1"/>
      <c r="K99" s="1"/>
    </row>
    <row r="100" ht="14.25" customHeight="1">
      <c r="A100" s="1024" t="s">
        <v>50</v>
      </c>
      <c r="B100" s="1023">
        <v>41147.0</v>
      </c>
      <c r="C100" s="1"/>
      <c r="D100" s="1"/>
      <c r="E100" s="1"/>
      <c r="F100" s="920"/>
      <c r="G100" s="1"/>
      <c r="H100" s="1"/>
      <c r="I100" s="1"/>
      <c r="J100" s="1"/>
      <c r="K100" s="1"/>
    </row>
    <row r="101" ht="14.25" customHeight="1">
      <c r="A101" s="1"/>
      <c r="B101" s="1"/>
      <c r="C101" s="1"/>
      <c r="D101" s="1"/>
      <c r="E101" s="1"/>
      <c r="F101" s="920"/>
      <c r="G101" s="1"/>
      <c r="H101" s="1"/>
      <c r="I101" s="1"/>
      <c r="J101" s="1"/>
      <c r="K101" s="1"/>
    </row>
    <row r="102" ht="14.25" customHeight="1">
      <c r="A102" s="16" t="s">
        <v>458</v>
      </c>
      <c r="B102" s="18"/>
      <c r="C102" s="18"/>
      <c r="D102" s="19"/>
      <c r="E102" s="1"/>
      <c r="F102" s="920"/>
      <c r="G102" s="1"/>
      <c r="H102" s="1"/>
      <c r="I102" s="1"/>
      <c r="J102" s="1"/>
      <c r="K102" s="1"/>
    </row>
    <row r="103" ht="14.25" customHeight="1">
      <c r="A103" s="163" t="s">
        <v>140</v>
      </c>
      <c r="B103" s="285">
        <v>10.0</v>
      </c>
      <c r="C103" s="1025">
        <v>2.0</v>
      </c>
      <c r="D103" s="169" t="s">
        <v>14</v>
      </c>
      <c r="E103" s="922" t="s">
        <v>1151</v>
      </c>
      <c r="F103" s="920"/>
      <c r="G103" s="1"/>
      <c r="H103" s="1"/>
      <c r="I103" s="1"/>
      <c r="J103" s="1"/>
      <c r="K103" s="1"/>
    </row>
    <row r="104" ht="14.25" customHeight="1">
      <c r="A104" s="208" t="s">
        <v>743</v>
      </c>
      <c r="B104" s="211">
        <v>4.0</v>
      </c>
      <c r="C104" s="586">
        <f>(B104*C103)/B103</f>
        <v>0.8</v>
      </c>
      <c r="D104" s="212" t="s">
        <v>5</v>
      </c>
      <c r="E104" s="63"/>
      <c r="F104" s="920"/>
      <c r="G104" s="1"/>
      <c r="H104" s="1"/>
      <c r="I104" s="1"/>
      <c r="J104" s="1"/>
      <c r="K104" s="1"/>
    </row>
    <row r="105" ht="14.25" customHeight="1">
      <c r="A105" s="1026" t="s">
        <v>1054</v>
      </c>
      <c r="B105" s="1027">
        <f t="shared" ref="B105:C105" si="16">+IF(B103&lt;=10,(5.5+0.05*B103)*B103, 6*B103)</f>
        <v>60</v>
      </c>
      <c r="C105" s="1028">
        <f t="shared" si="16"/>
        <v>11.2</v>
      </c>
      <c r="D105" s="1029" t="s">
        <v>5</v>
      </c>
      <c r="E105" s="102"/>
      <c r="F105" s="920"/>
      <c r="G105" s="1"/>
      <c r="H105" s="1"/>
      <c r="I105" s="1"/>
      <c r="J105" s="1"/>
      <c r="K105" s="1"/>
    </row>
    <row r="106" ht="14.25" customHeight="1">
      <c r="A106" s="163" t="s">
        <v>13</v>
      </c>
      <c r="B106" s="285">
        <v>18.0</v>
      </c>
      <c r="C106" s="1025">
        <f>(B106*C103)/B103</f>
        <v>3.6</v>
      </c>
      <c r="D106" s="169" t="s">
        <v>14</v>
      </c>
      <c r="E106" s="922" t="s">
        <v>1153</v>
      </c>
      <c r="F106" s="920"/>
      <c r="G106" s="1"/>
      <c r="H106" s="1"/>
      <c r="I106" s="1"/>
      <c r="J106" s="1"/>
      <c r="K106" s="1"/>
    </row>
    <row r="107" ht="14.25" customHeight="1">
      <c r="A107" s="208" t="s">
        <v>157</v>
      </c>
      <c r="B107" s="604">
        <f t="shared" ref="B107:C107" si="17">+IF(B103&lt;10,4*B103,IF(B103&gt;=15,3.5*B103,(3.5+(15-B103)*0.1)*B103))</f>
        <v>40</v>
      </c>
      <c r="C107" s="604">
        <f t="shared" si="17"/>
        <v>8</v>
      </c>
      <c r="D107" s="212" t="s">
        <v>5</v>
      </c>
      <c r="E107" s="102"/>
      <c r="F107" s="920"/>
      <c r="G107" s="1"/>
      <c r="H107" s="1"/>
      <c r="I107" s="1"/>
      <c r="J107" s="1"/>
      <c r="K107" s="1"/>
    </row>
    <row r="108" ht="14.25" customHeight="1">
      <c r="A108" s="157" t="s">
        <v>91</v>
      </c>
      <c r="B108" s="390">
        <v>2.0</v>
      </c>
      <c r="C108" s="498">
        <f t="shared" ref="C108:C121" si="18">(B108*C106)/B106</f>
        <v>0.4</v>
      </c>
      <c r="D108" s="159" t="s">
        <v>5</v>
      </c>
      <c r="E108" s="922" t="s">
        <v>1157</v>
      </c>
      <c r="F108" s="920"/>
      <c r="G108" s="1"/>
      <c r="H108" s="1"/>
      <c r="I108" s="1"/>
      <c r="J108" s="1"/>
      <c r="K108" s="1"/>
    </row>
    <row r="109" ht="14.25" customHeight="1">
      <c r="A109" s="177" t="s">
        <v>1114</v>
      </c>
      <c r="B109" s="198">
        <v>250.0</v>
      </c>
      <c r="C109" s="581">
        <f t="shared" si="18"/>
        <v>50</v>
      </c>
      <c r="D109" s="204" t="s">
        <v>18</v>
      </c>
      <c r="E109" s="63"/>
      <c r="F109" s="920"/>
      <c r="G109" s="1"/>
      <c r="H109" s="1"/>
      <c r="I109" s="1"/>
      <c r="J109" s="1"/>
      <c r="K109" s="1"/>
    </row>
    <row r="110" ht="14.25" customHeight="1">
      <c r="A110" s="177" t="s">
        <v>1046</v>
      </c>
      <c r="B110" s="198">
        <v>500.0</v>
      </c>
      <c r="C110" s="581">
        <f t="shared" si="18"/>
        <v>100</v>
      </c>
      <c r="D110" s="204" t="s">
        <v>18</v>
      </c>
      <c r="E110" s="102"/>
      <c r="F110" s="920"/>
      <c r="G110" s="1"/>
      <c r="H110" s="1"/>
      <c r="I110" s="1"/>
      <c r="J110" s="1"/>
      <c r="K110" s="1"/>
    </row>
    <row r="111" ht="14.25" customHeight="1">
      <c r="A111" s="1030" t="s">
        <v>31</v>
      </c>
      <c r="B111" s="1031">
        <v>90.0</v>
      </c>
      <c r="C111" s="1031">
        <f t="shared" si="18"/>
        <v>18</v>
      </c>
      <c r="D111" s="1032" t="s">
        <v>18</v>
      </c>
      <c r="E111" s="681" t="s">
        <v>1061</v>
      </c>
      <c r="F111" s="920"/>
      <c r="G111" s="1"/>
      <c r="H111" s="1"/>
      <c r="I111" s="1"/>
      <c r="J111" s="1"/>
      <c r="K111" s="1"/>
    </row>
    <row r="112" ht="14.25" customHeight="1">
      <c r="A112" s="1033" t="s">
        <v>569</v>
      </c>
      <c r="B112" s="1034">
        <v>4.0</v>
      </c>
      <c r="C112" s="1034">
        <f t="shared" si="18"/>
        <v>0.8</v>
      </c>
      <c r="D112" s="1035" t="s">
        <v>82</v>
      </c>
      <c r="E112" s="63"/>
      <c r="F112" s="920"/>
      <c r="G112" s="1"/>
      <c r="H112" s="1"/>
      <c r="I112" s="1"/>
      <c r="J112" s="1"/>
      <c r="K112" s="1"/>
    </row>
    <row r="113" ht="14.25" customHeight="1">
      <c r="A113" s="1036" t="s">
        <v>17</v>
      </c>
      <c r="B113" s="1037">
        <v>90.0</v>
      </c>
      <c r="C113" s="1038">
        <f t="shared" si="18"/>
        <v>18</v>
      </c>
      <c r="D113" s="1039" t="s">
        <v>18</v>
      </c>
      <c r="E113" s="102"/>
      <c r="F113" s="920"/>
      <c r="G113" s="1"/>
      <c r="H113" s="1"/>
      <c r="I113" s="1"/>
      <c r="J113" s="1"/>
      <c r="K113" s="1"/>
    </row>
    <row r="114" ht="14.25" customHeight="1">
      <c r="A114" s="1040" t="s">
        <v>1062</v>
      </c>
      <c r="B114" s="1041">
        <f>B105*1.25</f>
        <v>75</v>
      </c>
      <c r="C114" s="1042">
        <f t="shared" si="18"/>
        <v>15</v>
      </c>
      <c r="D114" s="1043" t="s">
        <v>82</v>
      </c>
      <c r="E114" s="681" t="s">
        <v>1064</v>
      </c>
      <c r="F114" s="920"/>
      <c r="G114" s="1"/>
      <c r="H114" s="1"/>
      <c r="I114" s="1"/>
      <c r="J114" s="1"/>
      <c r="K114" s="1"/>
    </row>
    <row r="115" ht="14.25" customHeight="1">
      <c r="A115" s="943" t="s">
        <v>1067</v>
      </c>
      <c r="B115" s="944">
        <v>5.0</v>
      </c>
      <c r="C115" s="945">
        <f t="shared" si="18"/>
        <v>1</v>
      </c>
      <c r="D115" s="946" t="s">
        <v>82</v>
      </c>
      <c r="E115" s="102"/>
      <c r="F115" s="920"/>
      <c r="G115" s="1"/>
      <c r="H115" s="1"/>
      <c r="I115" s="1"/>
      <c r="J115" s="1"/>
      <c r="K115" s="1"/>
    </row>
    <row r="116" ht="14.25" customHeight="1">
      <c r="A116" s="1044" t="s">
        <v>1070</v>
      </c>
      <c r="B116" s="1046">
        <f>B105*1.25</f>
        <v>75</v>
      </c>
      <c r="C116" s="1048">
        <f t="shared" si="18"/>
        <v>15</v>
      </c>
      <c r="D116" s="1049" t="s">
        <v>82</v>
      </c>
      <c r="E116" s="681" t="s">
        <v>1074</v>
      </c>
      <c r="F116" s="920"/>
      <c r="G116" s="1"/>
      <c r="H116" s="1"/>
      <c r="I116" s="1"/>
      <c r="J116" s="1"/>
      <c r="K116" s="1"/>
    </row>
    <row r="117" ht="14.25" customHeight="1">
      <c r="A117" s="1050" t="s">
        <v>1075</v>
      </c>
      <c r="B117" s="1051">
        <v>5.0</v>
      </c>
      <c r="C117" s="1053">
        <f t="shared" si="18"/>
        <v>1</v>
      </c>
      <c r="D117" s="1054" t="s">
        <v>82</v>
      </c>
      <c r="E117" s="102"/>
      <c r="F117" s="920"/>
      <c r="G117" s="1"/>
      <c r="H117" s="1"/>
      <c r="I117" s="1"/>
      <c r="J117" s="1"/>
      <c r="K117" s="1"/>
    </row>
    <row r="118" ht="14.25" customHeight="1">
      <c r="A118" s="955" t="s">
        <v>1079</v>
      </c>
      <c r="B118" s="956">
        <v>100.0</v>
      </c>
      <c r="C118" s="957">
        <f t="shared" si="18"/>
        <v>20</v>
      </c>
      <c r="D118" s="958" t="s">
        <v>82</v>
      </c>
      <c r="E118" s="1056" t="s">
        <v>1080</v>
      </c>
      <c r="F118" s="920"/>
      <c r="G118" s="1"/>
      <c r="H118" s="1"/>
      <c r="I118" s="1"/>
      <c r="J118" s="1"/>
      <c r="K118" s="1"/>
    </row>
    <row r="119" ht="14.25" customHeight="1">
      <c r="A119" s="959" t="s">
        <v>1081</v>
      </c>
      <c r="B119" s="960">
        <v>125.0</v>
      </c>
      <c r="C119" s="961">
        <f t="shared" si="18"/>
        <v>25</v>
      </c>
      <c r="D119" s="962" t="s">
        <v>82</v>
      </c>
      <c r="F119" s="920"/>
      <c r="G119" s="1"/>
      <c r="H119" s="1"/>
      <c r="I119" s="1"/>
      <c r="J119" s="1"/>
      <c r="K119" s="1"/>
    </row>
    <row r="120" ht="15.0" customHeight="1">
      <c r="A120" s="959" t="s">
        <v>31</v>
      </c>
      <c r="B120" s="960">
        <v>90.0</v>
      </c>
      <c r="C120" s="961">
        <f t="shared" si="18"/>
        <v>18</v>
      </c>
      <c r="D120" s="962" t="s">
        <v>18</v>
      </c>
      <c r="F120" s="920"/>
      <c r="G120" s="1"/>
      <c r="H120" s="1"/>
      <c r="I120" s="1"/>
      <c r="J120" s="1"/>
      <c r="K120" s="1"/>
    </row>
    <row r="121" ht="14.25" customHeight="1">
      <c r="A121" s="959" t="s">
        <v>80</v>
      </c>
      <c r="B121" s="960">
        <v>22.0</v>
      </c>
      <c r="C121" s="961">
        <f t="shared" si="18"/>
        <v>4.4</v>
      </c>
      <c r="D121" s="962" t="s">
        <v>14</v>
      </c>
      <c r="F121" s="920"/>
      <c r="G121" s="1"/>
      <c r="H121" s="1"/>
      <c r="I121" s="1"/>
      <c r="J121" s="1"/>
      <c r="K121" s="1"/>
    </row>
    <row r="122" ht="14.25" customHeight="1">
      <c r="A122" s="967" t="s">
        <v>157</v>
      </c>
      <c r="B122" s="968">
        <f t="shared" ref="B122:C122" si="19">+IF(B103&lt;10,3.75*B103,IF(B103&gt;=15,3.25*B103,(3.25+(15-B103)*0.1)*B103))</f>
        <v>37.5</v>
      </c>
      <c r="C122" s="969">
        <f t="shared" si="19"/>
        <v>7.5</v>
      </c>
      <c r="D122" s="970" t="s">
        <v>5</v>
      </c>
      <c r="E122" s="104"/>
      <c r="F122" s="920"/>
      <c r="G122" s="1"/>
      <c r="H122" s="1"/>
      <c r="I122" s="1"/>
      <c r="J122" s="1"/>
      <c r="K122" s="1"/>
    </row>
    <row r="123" ht="14.25" customHeight="1">
      <c r="A123" s="1057" t="s">
        <v>1180</v>
      </c>
      <c r="B123" s="5"/>
      <c r="C123" s="5"/>
      <c r="D123" s="6"/>
      <c r="E123" s="1"/>
      <c r="F123" s="920"/>
      <c r="G123" s="1"/>
      <c r="H123" s="1"/>
      <c r="I123" s="1"/>
      <c r="J123" s="1"/>
      <c r="K123" s="1"/>
    </row>
    <row r="124" ht="14.25" customHeight="1">
      <c r="A124" s="102"/>
      <c r="B124" s="104"/>
      <c r="C124" s="104"/>
      <c r="D124" s="106"/>
      <c r="E124" s="1"/>
      <c r="F124" s="920"/>
      <c r="G124" s="1"/>
      <c r="H124" s="1"/>
      <c r="I124" s="1"/>
      <c r="J124" s="1"/>
      <c r="K124" s="1"/>
    </row>
    <row r="125" ht="14.25" customHeight="1">
      <c r="A125" s="88" t="s">
        <v>49</v>
      </c>
      <c r="B125" s="972">
        <v>41686.0</v>
      </c>
      <c r="C125" s="926" t="s">
        <v>119</v>
      </c>
      <c r="D125" s="258" t="s">
        <v>47</v>
      </c>
      <c r="E125" s="1"/>
      <c r="F125" s="920"/>
      <c r="G125" s="1"/>
      <c r="H125" s="1"/>
      <c r="I125" s="1"/>
      <c r="J125" s="1"/>
      <c r="K125" s="1"/>
    </row>
    <row r="126" ht="14.25" customHeight="1">
      <c r="A126" s="305" t="s">
        <v>50</v>
      </c>
      <c r="B126" s="974">
        <v>41771.0</v>
      </c>
      <c r="C126" s="1"/>
      <c r="D126" s="1"/>
      <c r="E126" s="1"/>
      <c r="F126" s="920"/>
      <c r="G126" s="1"/>
      <c r="H126" s="1"/>
      <c r="I126" s="1"/>
      <c r="J126" s="1"/>
      <c r="K126" s="1"/>
    </row>
    <row r="127" ht="14.25" customHeight="1">
      <c r="A127" s="206" t="s">
        <v>515</v>
      </c>
      <c r="B127" s="5"/>
      <c r="C127" s="5"/>
      <c r="D127" s="6"/>
      <c r="E127" s="1"/>
      <c r="F127" s="920"/>
      <c r="G127" s="1"/>
      <c r="H127" s="1"/>
      <c r="I127" s="1"/>
      <c r="J127" s="1"/>
      <c r="K127" s="1"/>
    </row>
    <row r="128" ht="14.25" customHeight="1">
      <c r="A128" s="51" t="s">
        <v>1</v>
      </c>
      <c r="B128" s="53">
        <v>100.0</v>
      </c>
      <c r="C128" s="53">
        <v>100.0</v>
      </c>
      <c r="D128" s="514" t="s">
        <v>5</v>
      </c>
      <c r="E128" s="763"/>
      <c r="F128" s="920"/>
      <c r="G128" s="1"/>
      <c r="H128" s="1"/>
      <c r="I128" s="1"/>
      <c r="J128" s="1"/>
      <c r="K128" s="1"/>
    </row>
    <row r="129" ht="14.25" customHeight="1">
      <c r="A129" s="1058" t="s">
        <v>1186</v>
      </c>
      <c r="B129" s="1059">
        <v>15.0</v>
      </c>
      <c r="C129" s="1059">
        <f t="shared" ref="C129:C142" si="20">(B129*C128)/B128</f>
        <v>15</v>
      </c>
      <c r="D129" s="216" t="s">
        <v>366</v>
      </c>
      <c r="E129" s="194" t="s">
        <v>1188</v>
      </c>
      <c r="F129" s="920"/>
      <c r="G129" s="1"/>
      <c r="H129" s="1"/>
      <c r="I129" s="1"/>
      <c r="J129" s="1"/>
      <c r="K129" s="1"/>
    </row>
    <row r="130" ht="14.25" customHeight="1">
      <c r="A130" s="1061" t="s">
        <v>984</v>
      </c>
      <c r="B130" s="1062">
        <v>70.0</v>
      </c>
      <c r="C130" s="1062">
        <f t="shared" si="20"/>
        <v>70</v>
      </c>
      <c r="D130" s="249" t="s">
        <v>5</v>
      </c>
      <c r="E130" s="63"/>
      <c r="F130" s="920"/>
      <c r="G130" s="1"/>
      <c r="H130" s="1"/>
      <c r="I130" s="1"/>
      <c r="J130" s="1"/>
      <c r="K130" s="1"/>
    </row>
    <row r="131" ht="14.25" customHeight="1">
      <c r="A131" s="1063" t="s">
        <v>31</v>
      </c>
      <c r="B131" s="1064">
        <v>100.0</v>
      </c>
      <c r="C131" s="1064">
        <f t="shared" si="20"/>
        <v>100</v>
      </c>
      <c r="D131" s="242" t="s">
        <v>18</v>
      </c>
      <c r="E131" s="102"/>
      <c r="F131" s="920"/>
      <c r="G131" s="1"/>
      <c r="H131" s="1"/>
      <c r="I131" s="1"/>
      <c r="J131" s="1"/>
      <c r="K131" s="1"/>
    </row>
    <row r="132" ht="14.25" customHeight="1">
      <c r="A132" s="1058" t="s">
        <v>80</v>
      </c>
      <c r="B132" s="1059">
        <v>20.0</v>
      </c>
      <c r="C132" s="1059">
        <f t="shared" si="20"/>
        <v>20</v>
      </c>
      <c r="D132" s="216" t="s">
        <v>366</v>
      </c>
      <c r="E132" s="194" t="s">
        <v>1190</v>
      </c>
      <c r="F132" s="920"/>
      <c r="G132" s="1"/>
      <c r="H132" s="1"/>
      <c r="I132" s="1"/>
      <c r="J132" s="1"/>
      <c r="K132" s="1"/>
    </row>
    <row r="133" ht="14.25" customHeight="1">
      <c r="A133" s="1065" t="s">
        <v>59</v>
      </c>
      <c r="B133" s="1066">
        <v>2.0</v>
      </c>
      <c r="C133" s="1066">
        <f t="shared" si="20"/>
        <v>2</v>
      </c>
      <c r="D133" s="518" t="s">
        <v>5</v>
      </c>
      <c r="E133" s="102"/>
      <c r="F133" s="920"/>
      <c r="G133" s="1"/>
      <c r="H133" s="1"/>
      <c r="I133" s="1"/>
      <c r="J133" s="1"/>
      <c r="K133" s="1"/>
    </row>
    <row r="134" ht="14.25" customHeight="1">
      <c r="A134" s="1067" t="s">
        <v>1191</v>
      </c>
      <c r="B134" s="1068">
        <v>20.0</v>
      </c>
      <c r="C134" s="1068">
        <f t="shared" si="20"/>
        <v>20</v>
      </c>
      <c r="D134" s="520" t="s">
        <v>999</v>
      </c>
      <c r="E134" s="194" t="s">
        <v>1193</v>
      </c>
      <c r="F134" s="920"/>
      <c r="G134" s="1"/>
      <c r="H134" s="1"/>
      <c r="I134" s="1"/>
      <c r="J134" s="1"/>
      <c r="K134" s="1"/>
    </row>
    <row r="135" ht="14.25" customHeight="1">
      <c r="A135" s="1061" t="s">
        <v>1194</v>
      </c>
      <c r="B135" s="1062">
        <v>6.0</v>
      </c>
      <c r="C135" s="1062">
        <f t="shared" si="20"/>
        <v>6</v>
      </c>
      <c r="D135" s="249" t="s">
        <v>366</v>
      </c>
      <c r="E135" s="63"/>
      <c r="F135" s="920"/>
      <c r="G135" s="1"/>
      <c r="H135" s="1"/>
      <c r="I135" s="1"/>
      <c r="J135" s="1"/>
      <c r="K135" s="1"/>
    </row>
    <row r="136" ht="14.25" customHeight="1">
      <c r="A136" s="1061" t="s">
        <v>102</v>
      </c>
      <c r="B136" s="1062">
        <v>200.0</v>
      </c>
      <c r="C136" s="1062">
        <f t="shared" si="20"/>
        <v>200</v>
      </c>
      <c r="D136" s="249" t="s">
        <v>18</v>
      </c>
      <c r="E136" s="63"/>
      <c r="F136" s="920"/>
      <c r="G136" s="1"/>
      <c r="H136" s="1"/>
      <c r="I136" s="1"/>
      <c r="J136" s="1"/>
      <c r="K136" s="1"/>
    </row>
    <row r="137" ht="14.25" customHeight="1">
      <c r="A137" s="1065" t="s">
        <v>1195</v>
      </c>
      <c r="B137" s="1066">
        <v>40.0</v>
      </c>
      <c r="C137" s="1066">
        <f t="shared" si="20"/>
        <v>40</v>
      </c>
      <c r="D137" s="518" t="s">
        <v>18</v>
      </c>
      <c r="E137" s="102"/>
      <c r="F137" s="920"/>
      <c r="G137" s="1"/>
      <c r="H137" s="1"/>
      <c r="I137" s="1"/>
      <c r="J137" s="1"/>
      <c r="K137" s="1"/>
    </row>
    <row r="138" ht="14.25" customHeight="1">
      <c r="A138" s="1058" t="s">
        <v>743</v>
      </c>
      <c r="B138" s="1059">
        <v>2.0</v>
      </c>
      <c r="C138" s="1059">
        <f t="shared" si="20"/>
        <v>2</v>
      </c>
      <c r="D138" s="216" t="s">
        <v>5</v>
      </c>
      <c r="E138" s="194" t="s">
        <v>1196</v>
      </c>
      <c r="F138" s="920"/>
      <c r="G138" s="1"/>
      <c r="H138" s="1"/>
      <c r="I138" s="1"/>
      <c r="J138" s="1"/>
      <c r="K138" s="1"/>
    </row>
    <row r="139" ht="14.25" customHeight="1">
      <c r="A139" s="1061" t="s">
        <v>971</v>
      </c>
      <c r="B139" s="1062">
        <v>500.0</v>
      </c>
      <c r="C139" s="1062">
        <f t="shared" si="20"/>
        <v>500</v>
      </c>
      <c r="D139" s="249" t="s">
        <v>18</v>
      </c>
      <c r="E139" s="63"/>
      <c r="F139" s="920"/>
      <c r="G139" s="1"/>
      <c r="H139" s="1"/>
      <c r="I139" s="1"/>
      <c r="J139" s="1"/>
      <c r="K139" s="1"/>
    </row>
    <row r="140" ht="14.25" customHeight="1">
      <c r="A140" s="1063" t="s">
        <v>1046</v>
      </c>
      <c r="B140" s="1064">
        <v>500.0</v>
      </c>
      <c r="C140" s="1064">
        <f t="shared" si="20"/>
        <v>500</v>
      </c>
      <c r="D140" s="242" t="s">
        <v>18</v>
      </c>
      <c r="E140" s="63"/>
      <c r="F140" s="920"/>
      <c r="G140" s="1"/>
      <c r="H140" s="1"/>
      <c r="I140" s="1"/>
      <c r="J140" s="1"/>
      <c r="K140" s="1"/>
    </row>
    <row r="141" ht="14.25" customHeight="1">
      <c r="A141" s="1065" t="s">
        <v>1199</v>
      </c>
      <c r="B141" s="1066">
        <v>0.5</v>
      </c>
      <c r="C141" s="1066">
        <f t="shared" si="20"/>
        <v>0.5</v>
      </c>
      <c r="D141" s="518" t="s">
        <v>18</v>
      </c>
      <c r="E141" s="102"/>
      <c r="F141" s="920"/>
      <c r="G141" s="1"/>
      <c r="H141" s="1"/>
      <c r="I141" s="1"/>
      <c r="J141" s="1"/>
      <c r="K141" s="1"/>
    </row>
    <row r="142" ht="14.25" customHeight="1">
      <c r="A142" s="105" t="s">
        <v>1049</v>
      </c>
      <c r="B142" s="522">
        <v>8.0</v>
      </c>
      <c r="C142" s="522">
        <f t="shared" si="20"/>
        <v>8</v>
      </c>
      <c r="D142" s="518" t="s">
        <v>18</v>
      </c>
      <c r="E142" s="925"/>
      <c r="F142" s="920"/>
      <c r="G142" s="1"/>
      <c r="H142" s="1"/>
      <c r="I142" s="1"/>
      <c r="J142" s="1"/>
      <c r="K142" s="1"/>
    </row>
    <row r="143" ht="14.25" customHeight="1">
      <c r="A143" s="926" t="s">
        <v>119</v>
      </c>
      <c r="B143" s="258" t="s">
        <v>47</v>
      </c>
      <c r="C143" s="1"/>
      <c r="D143" s="1"/>
      <c r="E143" s="1"/>
      <c r="F143" s="920"/>
      <c r="G143" s="1"/>
      <c r="H143" s="1"/>
      <c r="I143" s="1"/>
      <c r="J143" s="1"/>
      <c r="K143" s="1"/>
    </row>
    <row r="144" ht="14.25" customHeight="1">
      <c r="A144" s="550" t="s">
        <v>49</v>
      </c>
      <c r="B144" s="1023">
        <v>41401.0</v>
      </c>
      <c r="C144" s="1"/>
      <c r="D144" s="1"/>
      <c r="E144" s="1"/>
      <c r="F144" s="920"/>
      <c r="G144" s="1"/>
      <c r="H144" s="1"/>
      <c r="I144" s="1"/>
      <c r="J144" s="1"/>
      <c r="K144" s="1"/>
    </row>
    <row r="145" ht="14.25" customHeight="1">
      <c r="A145" s="1024" t="s">
        <v>50</v>
      </c>
      <c r="B145" s="1023"/>
      <c r="C145" s="1"/>
      <c r="D145" s="1"/>
      <c r="E145" s="1"/>
      <c r="F145" s="920"/>
      <c r="G145" s="1"/>
      <c r="H145" s="1"/>
      <c r="I145" s="1"/>
      <c r="J145" s="1"/>
      <c r="K145" s="1"/>
    </row>
    <row r="146" ht="14.25" customHeight="1">
      <c r="A146" s="1"/>
      <c r="B146" s="1"/>
      <c r="C146" s="1"/>
      <c r="D146" s="1"/>
      <c r="E146" s="1"/>
      <c r="F146" s="920"/>
      <c r="G146" s="1"/>
      <c r="H146" s="1"/>
      <c r="I146" s="1"/>
      <c r="J146" s="1"/>
      <c r="K146" s="1"/>
    </row>
    <row r="147" ht="14.25" customHeight="1">
      <c r="A147" s="1"/>
      <c r="B147" s="1"/>
      <c r="C147" s="1"/>
      <c r="D147" s="1"/>
      <c r="E147" s="1"/>
      <c r="F147" s="920"/>
      <c r="G147" s="1"/>
      <c r="H147" s="1"/>
      <c r="I147" s="1"/>
      <c r="J147" s="1"/>
      <c r="K147" s="1"/>
    </row>
    <row r="148" ht="14.25" customHeight="1">
      <c r="A148" s="1"/>
      <c r="B148" s="1"/>
      <c r="C148" s="1"/>
      <c r="D148" s="1"/>
      <c r="E148" s="1"/>
      <c r="F148" s="920"/>
      <c r="G148" s="1"/>
      <c r="H148" s="1"/>
      <c r="I148" s="1"/>
      <c r="J148" s="1"/>
      <c r="K148" s="1"/>
    </row>
    <row r="149" ht="14.25" customHeight="1">
      <c r="A149" s="1"/>
      <c r="B149" s="1"/>
      <c r="C149" s="1"/>
      <c r="D149" s="1"/>
      <c r="E149" s="1"/>
      <c r="F149" s="920"/>
      <c r="G149" s="1"/>
      <c r="H149" s="1"/>
      <c r="I149" s="1"/>
      <c r="J149" s="1"/>
      <c r="K149" s="1"/>
    </row>
    <row r="150" ht="14.25" customHeight="1">
      <c r="A150" s="1"/>
      <c r="B150" s="1"/>
      <c r="C150" s="1"/>
      <c r="D150" s="1"/>
      <c r="E150" s="1"/>
      <c r="F150" s="920"/>
      <c r="G150" s="1"/>
      <c r="H150" s="1"/>
      <c r="I150" s="1"/>
      <c r="J150" s="1"/>
      <c r="K150" s="1"/>
    </row>
    <row r="151" ht="14.25" customHeight="1">
      <c r="A151" s="1"/>
      <c r="B151" s="1"/>
      <c r="C151" s="1"/>
      <c r="D151" s="1"/>
      <c r="E151" s="1"/>
      <c r="F151" s="920"/>
      <c r="G151" s="1"/>
      <c r="H151" s="1"/>
      <c r="I151" s="1"/>
      <c r="J151" s="1"/>
      <c r="K151" s="1"/>
    </row>
    <row r="152" ht="14.25" customHeight="1">
      <c r="A152" s="1"/>
      <c r="B152" s="1"/>
      <c r="C152" s="1"/>
      <c r="D152" s="1"/>
      <c r="E152" s="1"/>
      <c r="F152" s="920"/>
      <c r="G152" s="1"/>
      <c r="H152" s="1"/>
      <c r="I152" s="1"/>
      <c r="J152" s="1"/>
      <c r="K152" s="1"/>
    </row>
    <row r="153" ht="14.25" customHeight="1">
      <c r="A153" s="1"/>
      <c r="B153" s="1"/>
      <c r="C153" s="1"/>
      <c r="D153" s="1"/>
      <c r="E153" s="1"/>
      <c r="F153" s="920"/>
      <c r="G153" s="1"/>
      <c r="H153" s="1"/>
      <c r="I153" s="1"/>
      <c r="J153" s="1"/>
      <c r="K153" s="1"/>
    </row>
    <row r="154" ht="14.25" customHeight="1">
      <c r="A154" s="1"/>
      <c r="B154" s="1"/>
      <c r="C154" s="1"/>
      <c r="D154" s="1"/>
      <c r="E154" s="1"/>
      <c r="F154" s="920"/>
      <c r="G154" s="1"/>
      <c r="H154" s="1"/>
      <c r="I154" s="1"/>
      <c r="J154" s="1"/>
      <c r="K154" s="1"/>
    </row>
    <row r="155" ht="14.25" customHeight="1">
      <c r="A155" s="1"/>
      <c r="B155" s="1"/>
      <c r="C155" s="1"/>
      <c r="D155" s="1"/>
      <c r="E155" s="1"/>
      <c r="F155" s="920"/>
      <c r="G155" s="1"/>
      <c r="H155" s="1"/>
      <c r="I155" s="1"/>
      <c r="J155" s="1"/>
      <c r="K155" s="1"/>
    </row>
    <row r="156" ht="14.25" customHeight="1">
      <c r="A156" s="1"/>
      <c r="B156" s="1"/>
      <c r="C156" s="1"/>
      <c r="D156" s="1"/>
      <c r="E156" s="1"/>
      <c r="F156" s="920"/>
      <c r="G156" s="1"/>
      <c r="H156" s="1"/>
      <c r="I156" s="1"/>
      <c r="J156" s="1"/>
      <c r="K156" s="1"/>
    </row>
    <row r="157" ht="14.25" customHeight="1">
      <c r="A157" s="1"/>
      <c r="B157" s="1"/>
      <c r="C157" s="1"/>
      <c r="D157" s="1"/>
      <c r="E157" s="1"/>
      <c r="F157" s="920"/>
      <c r="G157" s="1"/>
      <c r="H157" s="1"/>
      <c r="I157" s="1"/>
      <c r="J157" s="1"/>
      <c r="K157" s="1"/>
    </row>
    <row r="158" ht="14.25" customHeight="1">
      <c r="A158" s="1"/>
      <c r="B158" s="1"/>
      <c r="C158" s="1"/>
      <c r="D158" s="1"/>
      <c r="E158" s="1"/>
      <c r="F158" s="920"/>
      <c r="G158" s="1"/>
      <c r="H158" s="1"/>
      <c r="I158" s="1"/>
      <c r="J158" s="1"/>
      <c r="K158" s="1"/>
    </row>
    <row r="159" ht="14.25" customHeight="1">
      <c r="A159" s="1"/>
      <c r="B159" s="1"/>
      <c r="C159" s="1"/>
      <c r="D159" s="1"/>
      <c r="E159" s="1"/>
      <c r="F159" s="920"/>
      <c r="G159" s="1"/>
      <c r="H159" s="1"/>
      <c r="I159" s="1"/>
      <c r="J159" s="1"/>
      <c r="K159" s="1"/>
    </row>
    <row r="160" ht="14.25" customHeight="1">
      <c r="A160" s="1"/>
      <c r="B160" s="1"/>
      <c r="C160" s="1"/>
      <c r="D160" s="1"/>
      <c r="E160" s="1"/>
      <c r="F160" s="920"/>
      <c r="G160" s="1"/>
      <c r="H160" s="1"/>
      <c r="I160" s="1"/>
      <c r="J160" s="1"/>
      <c r="K160" s="1"/>
    </row>
    <row r="161" ht="14.25" customHeight="1">
      <c r="A161" s="1"/>
      <c r="B161" s="1"/>
      <c r="C161" s="1"/>
      <c r="D161" s="1"/>
      <c r="E161" s="1"/>
      <c r="F161" s="920"/>
      <c r="G161" s="1"/>
      <c r="H161" s="1"/>
      <c r="I161" s="1"/>
      <c r="J161" s="1"/>
      <c r="K161" s="1"/>
    </row>
    <row r="162" ht="14.25" customHeight="1">
      <c r="A162" s="1"/>
      <c r="B162" s="1"/>
      <c r="C162" s="1"/>
      <c r="D162" s="1"/>
      <c r="E162" s="1"/>
      <c r="F162" s="920"/>
      <c r="G162" s="1"/>
      <c r="H162" s="1"/>
      <c r="I162" s="1"/>
      <c r="J162" s="1"/>
      <c r="K162" s="1"/>
    </row>
    <row r="163" ht="14.25" customHeight="1">
      <c r="A163" s="1"/>
      <c r="B163" s="1"/>
      <c r="C163" s="1"/>
      <c r="D163" s="1"/>
      <c r="E163" s="1"/>
      <c r="F163" s="920"/>
      <c r="G163" s="1"/>
      <c r="H163" s="1"/>
      <c r="I163" s="1"/>
      <c r="J163" s="1"/>
      <c r="K163" s="1"/>
    </row>
    <row r="164" ht="14.25" customHeight="1">
      <c r="A164" s="1"/>
      <c r="B164" s="1"/>
      <c r="C164" s="1"/>
      <c r="D164" s="1"/>
      <c r="E164" s="1"/>
      <c r="F164" s="920"/>
      <c r="G164" s="1"/>
      <c r="H164" s="1"/>
      <c r="I164" s="1"/>
      <c r="J164" s="1"/>
      <c r="K164" s="1"/>
    </row>
    <row r="165" ht="14.25" customHeight="1">
      <c r="A165" s="1"/>
      <c r="B165" s="1"/>
      <c r="C165" s="1"/>
      <c r="D165" s="1"/>
      <c r="E165" s="1"/>
      <c r="F165" s="920"/>
      <c r="G165" s="1"/>
      <c r="H165" s="1"/>
      <c r="I165" s="1"/>
      <c r="J165" s="1"/>
      <c r="K165" s="1"/>
    </row>
    <row r="166" ht="14.25" customHeight="1">
      <c r="A166" s="1"/>
      <c r="B166" s="1"/>
      <c r="C166" s="1"/>
      <c r="D166" s="1"/>
      <c r="E166" s="1"/>
      <c r="F166" s="920"/>
      <c r="G166" s="1"/>
      <c r="H166" s="1"/>
      <c r="I166" s="1"/>
      <c r="J166" s="1"/>
      <c r="K166" s="1"/>
    </row>
    <row r="167" ht="14.25" customHeight="1">
      <c r="A167" s="1"/>
      <c r="B167" s="1"/>
      <c r="C167" s="1"/>
      <c r="D167" s="1"/>
      <c r="E167" s="1"/>
      <c r="F167" s="920"/>
      <c r="G167" s="1"/>
      <c r="H167" s="1"/>
      <c r="I167" s="1"/>
      <c r="J167" s="1"/>
      <c r="K167" s="1"/>
    </row>
    <row r="168" ht="14.25" customHeight="1">
      <c r="A168" s="1"/>
      <c r="B168" s="1"/>
      <c r="C168" s="1"/>
      <c r="D168" s="1"/>
      <c r="E168" s="1"/>
      <c r="F168" s="920"/>
      <c r="G168" s="1"/>
      <c r="H168" s="1"/>
      <c r="I168" s="1"/>
      <c r="J168" s="1"/>
      <c r="K168" s="1"/>
    </row>
    <row r="169" ht="14.25" customHeight="1">
      <c r="A169" s="1"/>
      <c r="B169" s="1"/>
      <c r="C169" s="1"/>
      <c r="D169" s="1"/>
      <c r="E169" s="1"/>
      <c r="F169" s="920"/>
      <c r="G169" s="1"/>
      <c r="H169" s="1"/>
      <c r="I169" s="1"/>
      <c r="J169" s="1"/>
      <c r="K169" s="1"/>
    </row>
    <row r="170" ht="14.25" customHeight="1">
      <c r="A170" s="1"/>
      <c r="B170" s="1"/>
      <c r="C170" s="1"/>
      <c r="D170" s="1"/>
      <c r="E170" s="1"/>
      <c r="F170" s="920"/>
      <c r="G170" s="1"/>
      <c r="H170" s="1"/>
      <c r="I170" s="1"/>
      <c r="J170" s="1"/>
      <c r="K170" s="1"/>
    </row>
    <row r="171" ht="14.25" customHeight="1">
      <c r="A171" s="1"/>
      <c r="B171" s="1"/>
      <c r="C171" s="1"/>
      <c r="D171" s="1"/>
      <c r="E171" s="1"/>
      <c r="F171" s="920"/>
      <c r="G171" s="1"/>
      <c r="H171" s="1"/>
      <c r="I171" s="1"/>
      <c r="J171" s="1"/>
      <c r="K171" s="1"/>
    </row>
    <row r="172" ht="14.25" customHeight="1">
      <c r="A172" s="1"/>
      <c r="B172" s="1"/>
      <c r="C172" s="1"/>
      <c r="D172" s="1"/>
      <c r="E172" s="1"/>
      <c r="F172" s="920"/>
      <c r="G172" s="1"/>
      <c r="H172" s="1"/>
      <c r="I172" s="1"/>
      <c r="J172" s="1"/>
      <c r="K172" s="1"/>
    </row>
    <row r="173" ht="14.25" customHeight="1">
      <c r="A173" s="1"/>
      <c r="B173" s="1"/>
      <c r="C173" s="1"/>
      <c r="D173" s="1"/>
      <c r="E173" s="1"/>
      <c r="F173" s="920"/>
      <c r="G173" s="1"/>
      <c r="H173" s="1"/>
      <c r="I173" s="1"/>
      <c r="J173" s="1"/>
      <c r="K173" s="1"/>
    </row>
    <row r="174" ht="14.25" customHeight="1">
      <c r="A174" s="1"/>
      <c r="B174" s="1"/>
      <c r="C174" s="1"/>
      <c r="D174" s="1"/>
      <c r="E174" s="1"/>
      <c r="F174" s="920"/>
      <c r="G174" s="1"/>
      <c r="H174" s="1"/>
      <c r="I174" s="1"/>
      <c r="J174" s="1"/>
      <c r="K174" s="1"/>
    </row>
    <row r="175" ht="14.25" customHeight="1">
      <c r="A175" s="1"/>
      <c r="B175" s="1"/>
      <c r="C175" s="1"/>
      <c r="D175" s="1"/>
      <c r="E175" s="1"/>
      <c r="F175" s="920"/>
      <c r="G175" s="1"/>
      <c r="H175" s="1"/>
      <c r="I175" s="1"/>
      <c r="J175" s="1"/>
      <c r="K175" s="1"/>
    </row>
    <row r="176" ht="19.5" customHeight="1">
      <c r="A176" s="1"/>
      <c r="B176" s="1"/>
      <c r="C176" s="1"/>
      <c r="D176" s="1"/>
      <c r="E176" s="1"/>
      <c r="F176" s="920"/>
      <c r="G176" s="1"/>
      <c r="H176" s="1"/>
      <c r="I176" s="1"/>
      <c r="J176" s="1"/>
      <c r="K176" s="1"/>
    </row>
    <row r="177" ht="16.5" customHeight="1">
      <c r="A177" s="1"/>
      <c r="B177" s="1"/>
      <c r="C177" s="1"/>
      <c r="D177" s="1"/>
      <c r="E177" s="1"/>
      <c r="F177" s="920"/>
      <c r="G177" s="1"/>
      <c r="H177" s="1"/>
      <c r="I177" s="1"/>
      <c r="J177" s="1"/>
      <c r="K177" s="1"/>
    </row>
    <row r="178" ht="14.25" customHeight="1">
      <c r="A178" s="1"/>
      <c r="B178" s="1"/>
      <c r="C178" s="1"/>
      <c r="D178" s="1"/>
      <c r="E178" s="1"/>
      <c r="F178" s="920"/>
      <c r="G178" s="1"/>
      <c r="H178" s="1"/>
      <c r="I178" s="1"/>
      <c r="J178" s="1"/>
      <c r="K178" s="1"/>
    </row>
    <row r="179" ht="14.25" customHeight="1">
      <c r="A179" s="1"/>
      <c r="B179" s="1"/>
      <c r="C179" s="1"/>
      <c r="D179" s="1"/>
      <c r="E179" s="1"/>
      <c r="F179" s="920"/>
      <c r="G179" s="1"/>
      <c r="H179" s="1"/>
      <c r="I179" s="1"/>
      <c r="J179" s="1"/>
      <c r="K179" s="1"/>
    </row>
    <row r="180" ht="14.25" customHeight="1">
      <c r="A180" s="1"/>
      <c r="B180" s="1"/>
      <c r="C180" s="1"/>
      <c r="D180" s="1"/>
      <c r="E180" s="1"/>
      <c r="F180" s="920"/>
      <c r="G180" s="1"/>
      <c r="H180" s="1"/>
      <c r="I180" s="1"/>
      <c r="J180" s="1"/>
      <c r="K180" s="1"/>
    </row>
    <row r="181" ht="14.25" customHeight="1">
      <c r="A181" s="1"/>
      <c r="B181" s="1"/>
      <c r="C181" s="1"/>
      <c r="D181" s="1"/>
      <c r="E181" s="1"/>
      <c r="F181" s="920"/>
      <c r="G181" s="1"/>
      <c r="H181" s="1"/>
      <c r="I181" s="1"/>
      <c r="J181" s="1"/>
      <c r="K181" s="1"/>
    </row>
    <row r="182" ht="14.25" customHeight="1">
      <c r="A182" s="1"/>
      <c r="B182" s="1"/>
      <c r="C182" s="1"/>
      <c r="D182" s="1"/>
      <c r="E182" s="1"/>
      <c r="F182" s="920"/>
      <c r="G182" s="1"/>
      <c r="H182" s="1"/>
      <c r="I182" s="1"/>
      <c r="J182" s="1"/>
      <c r="K182" s="1"/>
    </row>
    <row r="183" ht="14.25" customHeight="1">
      <c r="A183" s="1"/>
      <c r="B183" s="1"/>
      <c r="C183" s="1"/>
      <c r="D183" s="1"/>
      <c r="E183" s="1"/>
      <c r="F183" s="920"/>
      <c r="G183" s="1"/>
      <c r="H183" s="1"/>
      <c r="I183" s="1"/>
      <c r="J183" s="1"/>
      <c r="K183" s="1"/>
    </row>
    <row r="184" ht="14.25" customHeight="1">
      <c r="A184" s="1"/>
      <c r="B184" s="1"/>
      <c r="C184" s="1"/>
      <c r="D184" s="1"/>
      <c r="E184" s="1"/>
      <c r="F184" s="920"/>
      <c r="G184" s="1"/>
      <c r="H184" s="1"/>
      <c r="I184" s="1"/>
      <c r="J184" s="1"/>
      <c r="K184" s="1"/>
    </row>
    <row r="185" ht="14.25" customHeight="1">
      <c r="A185" s="1"/>
      <c r="B185" s="1"/>
      <c r="C185" s="1"/>
      <c r="D185" s="1"/>
      <c r="E185" s="1"/>
      <c r="F185" s="920"/>
      <c r="G185" s="1"/>
      <c r="H185" s="1"/>
      <c r="I185" s="1"/>
      <c r="J185" s="1"/>
      <c r="K185" s="1"/>
    </row>
    <row r="186" ht="14.25" customHeight="1">
      <c r="A186" s="1"/>
      <c r="B186" s="1"/>
      <c r="C186" s="1"/>
      <c r="D186" s="1"/>
      <c r="E186" s="1"/>
      <c r="F186" s="920"/>
      <c r="G186" s="1"/>
      <c r="H186" s="1"/>
      <c r="I186" s="1"/>
      <c r="J186" s="1"/>
      <c r="K186" s="1"/>
    </row>
    <row r="187" ht="14.25" customHeight="1">
      <c r="A187" s="1"/>
      <c r="B187" s="1"/>
      <c r="C187" s="1"/>
      <c r="D187" s="1"/>
      <c r="E187" s="1"/>
      <c r="F187" s="920"/>
      <c r="G187" s="1"/>
      <c r="H187" s="1"/>
      <c r="I187" s="1"/>
      <c r="J187" s="1"/>
      <c r="K187" s="1"/>
    </row>
    <row r="188" ht="14.25" customHeight="1">
      <c r="A188" s="1"/>
      <c r="B188" s="1"/>
      <c r="C188" s="1"/>
      <c r="D188" s="1"/>
      <c r="E188" s="1"/>
      <c r="F188" s="920"/>
      <c r="G188" s="1"/>
      <c r="H188" s="1"/>
      <c r="I188" s="1"/>
      <c r="J188" s="1"/>
      <c r="K188" s="1"/>
    </row>
    <row r="189" ht="14.25" customHeight="1">
      <c r="A189" s="1"/>
      <c r="B189" s="1"/>
      <c r="C189" s="1"/>
      <c r="D189" s="1"/>
      <c r="E189" s="1"/>
      <c r="F189" s="920"/>
      <c r="G189" s="1"/>
      <c r="H189" s="1"/>
      <c r="I189" s="1"/>
      <c r="J189" s="1"/>
      <c r="K189" s="1"/>
    </row>
    <row r="190" ht="14.25" customHeight="1">
      <c r="A190" s="1"/>
      <c r="B190" s="1"/>
      <c r="C190" s="1"/>
      <c r="D190" s="1"/>
      <c r="E190" s="1"/>
      <c r="F190" s="920"/>
      <c r="G190" s="1"/>
      <c r="H190" s="1"/>
      <c r="I190" s="1"/>
      <c r="J190" s="1"/>
      <c r="K190" s="1"/>
    </row>
    <row r="191" ht="14.25" customHeight="1">
      <c r="A191" s="1"/>
      <c r="B191" s="1"/>
      <c r="C191" s="1"/>
      <c r="D191" s="1"/>
      <c r="E191" s="1"/>
      <c r="F191" s="920"/>
      <c r="G191" s="1"/>
      <c r="H191" s="1"/>
      <c r="I191" s="1"/>
      <c r="J191" s="1"/>
      <c r="K191" s="1"/>
    </row>
    <row r="192" ht="14.25" customHeight="1">
      <c r="A192" s="1"/>
      <c r="B192" s="1"/>
      <c r="C192" s="1"/>
      <c r="D192" s="1"/>
      <c r="E192" s="1"/>
      <c r="F192" s="920"/>
      <c r="G192" s="1"/>
      <c r="H192" s="1"/>
      <c r="I192" s="1"/>
      <c r="J192" s="1"/>
      <c r="K192" s="1"/>
    </row>
    <row r="193" ht="14.25" customHeight="1">
      <c r="A193" s="1"/>
      <c r="B193" s="1"/>
      <c r="C193" s="1"/>
      <c r="D193" s="1"/>
      <c r="E193" s="1"/>
      <c r="F193" s="920"/>
      <c r="G193" s="1"/>
      <c r="H193" s="1"/>
      <c r="I193" s="1"/>
      <c r="J193" s="1"/>
      <c r="K193" s="1"/>
    </row>
    <row r="194" ht="14.25" customHeight="1">
      <c r="A194" s="1"/>
      <c r="B194" s="1"/>
      <c r="C194" s="1"/>
      <c r="D194" s="1"/>
      <c r="E194" s="1"/>
      <c r="F194" s="920"/>
      <c r="G194" s="1"/>
      <c r="H194" s="1"/>
      <c r="I194" s="1"/>
      <c r="J194" s="1"/>
      <c r="K194" s="1"/>
    </row>
    <row r="195" ht="14.25" customHeight="1">
      <c r="A195" s="1"/>
      <c r="B195" s="1"/>
      <c r="C195" s="1"/>
      <c r="D195" s="1"/>
      <c r="E195" s="1"/>
      <c r="F195" s="920"/>
      <c r="G195" s="1"/>
      <c r="H195" s="1"/>
      <c r="I195" s="1"/>
      <c r="J195" s="1"/>
      <c r="K195" s="1"/>
    </row>
    <row r="196" ht="14.25" customHeight="1">
      <c r="A196" s="1"/>
      <c r="B196" s="1"/>
      <c r="C196" s="1"/>
      <c r="D196" s="1"/>
      <c r="E196" s="1"/>
      <c r="F196" s="920"/>
      <c r="G196" s="1"/>
      <c r="H196" s="1"/>
      <c r="I196" s="1"/>
      <c r="J196" s="1"/>
      <c r="K196" s="1"/>
    </row>
    <row r="197" ht="14.25" customHeight="1">
      <c r="A197" s="1"/>
      <c r="B197" s="1"/>
      <c r="C197" s="1"/>
      <c r="D197" s="1"/>
      <c r="E197" s="1"/>
      <c r="F197" s="920"/>
      <c r="G197" s="1"/>
      <c r="H197" s="1"/>
      <c r="I197" s="1"/>
      <c r="J197" s="1"/>
      <c r="K197" s="1"/>
    </row>
    <row r="198" ht="14.25" customHeight="1">
      <c r="A198" s="1"/>
      <c r="B198" s="1"/>
      <c r="C198" s="1"/>
      <c r="D198" s="1"/>
      <c r="E198" s="1"/>
      <c r="F198" s="920"/>
      <c r="G198" s="1"/>
      <c r="H198" s="1"/>
      <c r="I198" s="1"/>
      <c r="J198" s="1"/>
      <c r="K198" s="1"/>
    </row>
    <row r="199" ht="14.25" customHeight="1">
      <c r="A199" s="1"/>
      <c r="B199" s="1"/>
      <c r="C199" s="1"/>
      <c r="D199" s="1"/>
      <c r="E199" s="1"/>
      <c r="F199" s="920"/>
      <c r="G199" s="1"/>
      <c r="H199" s="1"/>
      <c r="I199" s="1"/>
      <c r="J199" s="1"/>
      <c r="K199" s="1"/>
    </row>
    <row r="200" ht="14.25" customHeight="1">
      <c r="A200" s="1"/>
      <c r="B200" s="1"/>
      <c r="C200" s="1"/>
      <c r="D200" s="1"/>
      <c r="E200" s="1"/>
      <c r="F200" s="920"/>
      <c r="G200" s="1"/>
      <c r="H200" s="1"/>
      <c r="I200" s="1"/>
      <c r="J200" s="1"/>
      <c r="K200" s="1"/>
    </row>
    <row r="201" ht="14.25" customHeight="1">
      <c r="A201" s="1"/>
      <c r="B201" s="1"/>
      <c r="C201" s="1"/>
      <c r="D201" s="1"/>
      <c r="E201" s="1"/>
      <c r="F201" s="920"/>
      <c r="G201" s="1"/>
      <c r="H201" s="1"/>
      <c r="I201" s="1"/>
      <c r="J201" s="1"/>
      <c r="K201" s="1"/>
    </row>
    <row r="202" ht="14.25" customHeight="1">
      <c r="A202" s="1"/>
      <c r="B202" s="1"/>
      <c r="C202" s="1"/>
      <c r="D202" s="1"/>
      <c r="E202" s="1"/>
      <c r="F202" s="920"/>
      <c r="G202" s="1"/>
      <c r="H202" s="1"/>
      <c r="I202" s="1"/>
      <c r="J202" s="1"/>
      <c r="K202" s="1"/>
    </row>
    <row r="203" ht="14.25" customHeight="1">
      <c r="A203" s="1"/>
      <c r="B203" s="1"/>
      <c r="C203" s="1"/>
      <c r="D203" s="1"/>
      <c r="E203" s="1"/>
      <c r="F203" s="920"/>
      <c r="G203" s="1"/>
      <c r="H203" s="1"/>
      <c r="I203" s="1"/>
      <c r="J203" s="1"/>
      <c r="K203" s="1"/>
    </row>
    <row r="204" ht="14.25" customHeight="1">
      <c r="A204" s="1"/>
      <c r="B204" s="1"/>
      <c r="C204" s="1"/>
      <c r="D204" s="1"/>
      <c r="E204" s="1"/>
      <c r="F204" s="920"/>
      <c r="G204" s="1"/>
      <c r="H204" s="1"/>
      <c r="I204" s="1"/>
      <c r="J204" s="1"/>
      <c r="K204" s="1"/>
    </row>
    <row r="205" ht="14.25" customHeight="1">
      <c r="A205" s="1"/>
      <c r="B205" s="1"/>
      <c r="C205" s="1"/>
      <c r="D205" s="1"/>
      <c r="E205" s="1"/>
      <c r="F205" s="920"/>
      <c r="G205" s="1"/>
      <c r="H205" s="1"/>
      <c r="I205" s="1"/>
      <c r="J205" s="1"/>
      <c r="K205" s="1"/>
    </row>
    <row r="206" ht="14.25" customHeight="1">
      <c r="A206" s="1"/>
      <c r="B206" s="1"/>
      <c r="C206" s="1"/>
      <c r="D206" s="1"/>
      <c r="E206" s="1"/>
      <c r="F206" s="920"/>
      <c r="G206" s="1"/>
      <c r="H206" s="1"/>
      <c r="I206" s="1"/>
      <c r="J206" s="1"/>
      <c r="K206" s="1"/>
    </row>
    <row r="207" ht="14.25" customHeight="1">
      <c r="A207" s="1"/>
      <c r="B207" s="1"/>
      <c r="C207" s="1"/>
      <c r="D207" s="1"/>
      <c r="E207" s="1"/>
      <c r="F207" s="920"/>
      <c r="G207" s="1"/>
      <c r="H207" s="1"/>
      <c r="I207" s="1"/>
      <c r="J207" s="1"/>
      <c r="K207" s="1"/>
    </row>
    <row r="208" ht="14.25" customHeight="1">
      <c r="A208" s="1"/>
      <c r="B208" s="1"/>
      <c r="C208" s="1"/>
      <c r="D208" s="1"/>
      <c r="E208" s="1"/>
      <c r="F208" s="920"/>
      <c r="G208" s="1"/>
      <c r="H208" s="1"/>
      <c r="I208" s="1"/>
      <c r="J208" s="1"/>
      <c r="K208" s="1"/>
    </row>
    <row r="209" ht="14.25" customHeight="1">
      <c r="A209" s="1"/>
      <c r="B209" s="1"/>
      <c r="C209" s="1"/>
      <c r="D209" s="1"/>
      <c r="E209" s="1"/>
      <c r="F209" s="920"/>
      <c r="G209" s="1"/>
      <c r="H209" s="1"/>
      <c r="I209" s="1"/>
      <c r="J209" s="1"/>
      <c r="K209" s="1"/>
    </row>
    <row r="210" ht="14.25" customHeight="1">
      <c r="A210" s="1"/>
      <c r="B210" s="1"/>
      <c r="C210" s="1"/>
      <c r="D210" s="1"/>
      <c r="E210" s="1"/>
      <c r="F210" s="920"/>
      <c r="G210" s="1"/>
      <c r="H210" s="1"/>
      <c r="I210" s="1"/>
      <c r="J210" s="1"/>
      <c r="K210" s="1"/>
    </row>
    <row r="211" ht="14.25" customHeight="1">
      <c r="A211" s="1"/>
      <c r="B211" s="1"/>
      <c r="C211" s="1"/>
      <c r="D211" s="1"/>
      <c r="E211" s="1"/>
      <c r="F211" s="920"/>
      <c r="G211" s="1"/>
      <c r="H211" s="1"/>
      <c r="I211" s="1"/>
      <c r="J211" s="1"/>
      <c r="K211" s="1"/>
    </row>
    <row r="212" ht="14.25" customHeight="1">
      <c r="A212" s="1"/>
      <c r="B212" s="1"/>
      <c r="C212" s="1"/>
      <c r="D212" s="1"/>
      <c r="E212" s="1"/>
      <c r="F212" s="920"/>
      <c r="G212" s="1"/>
      <c r="H212" s="1"/>
      <c r="I212" s="1"/>
      <c r="J212" s="1"/>
      <c r="K212" s="1"/>
    </row>
    <row r="213" ht="14.25" customHeight="1">
      <c r="A213" s="1"/>
      <c r="B213" s="1"/>
      <c r="C213" s="1"/>
      <c r="D213" s="1"/>
      <c r="E213" s="1"/>
      <c r="F213" s="920"/>
      <c r="G213" s="1"/>
      <c r="H213" s="1"/>
      <c r="I213" s="1"/>
      <c r="J213" s="1"/>
      <c r="K213" s="1"/>
    </row>
    <row r="214" ht="14.25" customHeight="1">
      <c r="A214" s="1"/>
      <c r="B214" s="1"/>
      <c r="C214" s="1"/>
      <c r="D214" s="1"/>
      <c r="E214" s="1"/>
      <c r="F214" s="920"/>
      <c r="G214" s="1"/>
      <c r="H214" s="1"/>
      <c r="I214" s="1"/>
      <c r="J214" s="1"/>
      <c r="K214" s="1"/>
    </row>
    <row r="215" ht="14.25" customHeight="1">
      <c r="A215" s="1"/>
      <c r="B215" s="1"/>
      <c r="C215" s="1"/>
      <c r="D215" s="1"/>
      <c r="E215" s="1"/>
      <c r="F215" s="920"/>
      <c r="G215" s="1"/>
      <c r="H215" s="1"/>
      <c r="I215" s="1"/>
      <c r="J215" s="1"/>
      <c r="K215" s="1"/>
    </row>
    <row r="216" ht="14.25" customHeight="1">
      <c r="A216" s="1"/>
      <c r="B216" s="1"/>
      <c r="C216" s="1"/>
      <c r="D216" s="1"/>
      <c r="E216" s="1"/>
      <c r="F216" s="920"/>
      <c r="G216" s="1"/>
      <c r="H216" s="1"/>
      <c r="I216" s="1"/>
      <c r="J216" s="1"/>
      <c r="K216" s="1"/>
    </row>
    <row r="217" ht="14.25" customHeight="1">
      <c r="A217" s="1"/>
      <c r="B217" s="1"/>
      <c r="C217" s="1"/>
      <c r="D217" s="1"/>
      <c r="E217" s="1"/>
      <c r="F217" s="920"/>
      <c r="G217" s="1"/>
      <c r="H217" s="1"/>
      <c r="I217" s="1"/>
      <c r="J217" s="1"/>
      <c r="K217" s="1"/>
    </row>
    <row r="218" ht="14.25" customHeight="1">
      <c r="A218" s="1"/>
      <c r="B218" s="1"/>
      <c r="C218" s="1"/>
      <c r="D218" s="1"/>
      <c r="E218" s="1"/>
      <c r="F218" s="920"/>
      <c r="G218" s="1"/>
      <c r="H218" s="1"/>
      <c r="I218" s="1"/>
      <c r="J218" s="1"/>
      <c r="K218" s="1"/>
    </row>
    <row r="219" ht="14.25" customHeight="1">
      <c r="A219" s="1"/>
      <c r="B219" s="1"/>
      <c r="C219" s="1"/>
      <c r="D219" s="1"/>
      <c r="E219" s="1"/>
      <c r="F219" s="920"/>
      <c r="G219" s="1"/>
      <c r="H219" s="1"/>
      <c r="I219" s="1"/>
      <c r="J219" s="1"/>
      <c r="K219" s="1"/>
    </row>
    <row r="220" ht="14.25" customHeight="1">
      <c r="A220" s="1"/>
      <c r="B220" s="1"/>
      <c r="C220" s="1"/>
      <c r="D220" s="1"/>
      <c r="E220" s="1"/>
      <c r="F220" s="920"/>
      <c r="G220" s="1"/>
      <c r="H220" s="1"/>
      <c r="I220" s="1"/>
      <c r="J220" s="1"/>
      <c r="K220" s="1"/>
    </row>
    <row r="221" ht="14.25" customHeight="1">
      <c r="A221" s="1"/>
      <c r="B221" s="1"/>
      <c r="C221" s="1"/>
      <c r="D221" s="1"/>
      <c r="E221" s="1"/>
      <c r="F221" s="920"/>
      <c r="G221" s="1"/>
      <c r="H221" s="1"/>
      <c r="I221" s="1"/>
      <c r="J221" s="1"/>
      <c r="K221" s="1"/>
    </row>
    <row r="222" ht="14.25" customHeight="1">
      <c r="A222" s="1"/>
      <c r="B222" s="1"/>
      <c r="C222" s="1"/>
      <c r="D222" s="1"/>
      <c r="E222" s="1"/>
      <c r="F222" s="920"/>
      <c r="G222" s="1"/>
      <c r="H222" s="1"/>
      <c r="I222" s="1"/>
      <c r="J222" s="1"/>
      <c r="K222" s="1"/>
    </row>
    <row r="223" ht="14.25" customHeight="1">
      <c r="A223" s="1"/>
      <c r="B223" s="1"/>
      <c r="C223" s="1"/>
      <c r="D223" s="1"/>
      <c r="E223" s="1"/>
      <c r="F223" s="920"/>
      <c r="G223" s="1"/>
      <c r="H223" s="1"/>
      <c r="I223" s="1"/>
      <c r="J223" s="1"/>
      <c r="K223" s="1"/>
    </row>
    <row r="224" ht="14.25" customHeight="1">
      <c r="A224" s="1"/>
      <c r="B224" s="1"/>
      <c r="C224" s="1"/>
      <c r="D224" s="1"/>
      <c r="E224" s="1"/>
      <c r="F224" s="920"/>
      <c r="G224" s="1"/>
      <c r="H224" s="1"/>
      <c r="I224" s="1"/>
      <c r="J224" s="1"/>
      <c r="K224" s="1"/>
    </row>
    <row r="225" ht="14.25" customHeight="1">
      <c r="A225" s="1"/>
      <c r="B225" s="1"/>
      <c r="C225" s="1"/>
      <c r="D225" s="1"/>
      <c r="E225" s="1"/>
      <c r="F225" s="920"/>
      <c r="G225" s="1"/>
      <c r="H225" s="1"/>
      <c r="I225" s="1"/>
      <c r="J225" s="1"/>
      <c r="K225" s="1"/>
    </row>
    <row r="226" ht="14.25" customHeight="1">
      <c r="A226" s="1"/>
      <c r="B226" s="1"/>
      <c r="C226" s="1"/>
      <c r="D226" s="1"/>
      <c r="E226" s="1"/>
      <c r="F226" s="920"/>
      <c r="G226" s="1"/>
      <c r="H226" s="1"/>
      <c r="I226" s="1"/>
      <c r="J226" s="1"/>
      <c r="K226" s="1"/>
    </row>
    <row r="227" ht="14.25" customHeight="1">
      <c r="A227" s="1"/>
      <c r="B227" s="1"/>
      <c r="C227" s="1"/>
      <c r="D227" s="1"/>
      <c r="E227" s="1"/>
      <c r="F227" s="920"/>
      <c r="G227" s="1"/>
      <c r="H227" s="1"/>
      <c r="I227" s="1"/>
      <c r="J227" s="1"/>
      <c r="K227" s="1"/>
    </row>
    <row r="228" ht="14.25" customHeight="1">
      <c r="A228" s="1"/>
      <c r="B228" s="1"/>
      <c r="C228" s="1"/>
      <c r="D228" s="1"/>
      <c r="E228" s="1"/>
      <c r="F228" s="920"/>
      <c r="G228" s="1"/>
      <c r="H228" s="1"/>
      <c r="I228" s="1"/>
      <c r="J228" s="1"/>
      <c r="K228" s="1"/>
    </row>
    <row r="229" ht="14.25" customHeight="1">
      <c r="A229" s="1"/>
      <c r="B229" s="1"/>
      <c r="C229" s="1"/>
      <c r="D229" s="1"/>
      <c r="E229" s="1"/>
      <c r="F229" s="920"/>
      <c r="G229" s="1"/>
      <c r="H229" s="1"/>
      <c r="I229" s="1"/>
      <c r="J229" s="1"/>
      <c r="K229" s="1"/>
    </row>
    <row r="230" ht="14.25" customHeight="1">
      <c r="A230" s="1"/>
      <c r="B230" s="1"/>
      <c r="C230" s="1"/>
      <c r="D230" s="1"/>
      <c r="E230" s="1"/>
      <c r="F230" s="920"/>
      <c r="G230" s="1"/>
      <c r="H230" s="1"/>
      <c r="I230" s="1"/>
      <c r="J230" s="1"/>
      <c r="K230" s="1"/>
    </row>
    <row r="231" ht="14.25" customHeight="1">
      <c r="A231" s="1"/>
      <c r="B231" s="1"/>
      <c r="C231" s="1"/>
      <c r="D231" s="1"/>
      <c r="E231" s="1"/>
      <c r="F231" s="920"/>
      <c r="G231" s="1"/>
      <c r="H231" s="1"/>
      <c r="I231" s="1"/>
      <c r="J231" s="1"/>
      <c r="K231" s="1"/>
    </row>
    <row r="232" ht="14.25" customHeight="1">
      <c r="A232" s="1"/>
      <c r="B232" s="1"/>
      <c r="C232" s="1"/>
      <c r="D232" s="1"/>
      <c r="E232" s="1"/>
      <c r="F232" s="920"/>
      <c r="G232" s="1"/>
      <c r="H232" s="1"/>
      <c r="I232" s="1"/>
      <c r="J232" s="1"/>
      <c r="K232" s="1"/>
    </row>
    <row r="233" ht="14.25" customHeight="1">
      <c r="A233" s="1"/>
      <c r="B233" s="1"/>
      <c r="C233" s="1"/>
      <c r="D233" s="1"/>
      <c r="E233" s="1"/>
      <c r="F233" s="920"/>
      <c r="G233" s="1"/>
      <c r="H233" s="1"/>
      <c r="I233" s="1"/>
      <c r="J233" s="1"/>
      <c r="K233" s="1"/>
    </row>
    <row r="234" ht="14.25" customHeight="1">
      <c r="A234" s="1"/>
      <c r="B234" s="1"/>
      <c r="C234" s="1"/>
      <c r="D234" s="1"/>
      <c r="E234" s="1"/>
      <c r="F234" s="920"/>
      <c r="G234" s="1"/>
      <c r="H234" s="1"/>
      <c r="I234" s="1"/>
      <c r="J234" s="1"/>
      <c r="K234" s="1"/>
    </row>
    <row r="235" ht="14.25" customHeight="1">
      <c r="A235" s="1"/>
      <c r="B235" s="1"/>
      <c r="C235" s="1"/>
      <c r="D235" s="1"/>
      <c r="E235" s="1"/>
      <c r="F235" s="920"/>
      <c r="G235" s="1"/>
      <c r="H235" s="1"/>
      <c r="I235" s="1"/>
      <c r="J235" s="1"/>
      <c r="K235" s="1"/>
    </row>
    <row r="236" ht="14.25" customHeight="1">
      <c r="A236" s="1"/>
      <c r="B236" s="1"/>
      <c r="C236" s="1"/>
      <c r="D236" s="1"/>
      <c r="E236" s="1"/>
      <c r="F236" s="920"/>
      <c r="G236" s="1"/>
      <c r="H236" s="1"/>
      <c r="I236" s="1"/>
      <c r="J236" s="1"/>
      <c r="K236" s="1"/>
    </row>
    <row r="237" ht="14.25" customHeight="1">
      <c r="A237" s="1"/>
      <c r="B237" s="1"/>
      <c r="C237" s="1"/>
      <c r="D237" s="1"/>
      <c r="E237" s="1"/>
      <c r="F237" s="920"/>
      <c r="G237" s="1"/>
      <c r="H237" s="1"/>
      <c r="I237" s="1"/>
      <c r="J237" s="1"/>
      <c r="K237" s="1"/>
    </row>
    <row r="238" ht="14.25" customHeight="1">
      <c r="A238" s="1"/>
      <c r="B238" s="1"/>
      <c r="C238" s="1"/>
      <c r="D238" s="1"/>
      <c r="E238" s="1"/>
      <c r="F238" s="920"/>
      <c r="G238" s="1"/>
      <c r="H238" s="1"/>
      <c r="I238" s="1"/>
      <c r="J238" s="1"/>
      <c r="K238" s="1"/>
    </row>
    <row r="239" ht="14.25" customHeight="1">
      <c r="A239" s="1"/>
      <c r="B239" s="1"/>
      <c r="C239" s="1"/>
      <c r="D239" s="1"/>
      <c r="E239" s="1"/>
      <c r="F239" s="920"/>
      <c r="G239" s="1"/>
      <c r="H239" s="1"/>
      <c r="I239" s="1"/>
      <c r="J239" s="1"/>
      <c r="K239" s="1"/>
    </row>
    <row r="240" ht="14.25" customHeight="1">
      <c r="A240" s="1"/>
      <c r="B240" s="1"/>
      <c r="C240" s="1"/>
      <c r="D240" s="1"/>
      <c r="E240" s="1"/>
      <c r="F240" s="920"/>
      <c r="G240" s="1"/>
      <c r="H240" s="1"/>
      <c r="I240" s="1"/>
      <c r="J240" s="1"/>
      <c r="K240" s="1"/>
    </row>
    <row r="241" ht="14.25" customHeight="1">
      <c r="A241" s="1"/>
      <c r="B241" s="1"/>
      <c r="C241" s="1"/>
      <c r="D241" s="1"/>
      <c r="E241" s="1"/>
      <c r="F241" s="920"/>
      <c r="G241" s="1"/>
      <c r="H241" s="1"/>
      <c r="I241" s="1"/>
      <c r="J241" s="1"/>
      <c r="K241" s="1"/>
    </row>
    <row r="242" ht="14.25" customHeight="1">
      <c r="A242" s="1"/>
      <c r="B242" s="1"/>
      <c r="C242" s="1"/>
      <c r="D242" s="1"/>
      <c r="E242" s="1"/>
      <c r="F242" s="920"/>
      <c r="G242" s="1"/>
      <c r="H242" s="1"/>
      <c r="I242" s="1"/>
      <c r="J242" s="1"/>
      <c r="K242" s="1"/>
    </row>
    <row r="243" ht="14.25" customHeight="1">
      <c r="A243" s="1"/>
      <c r="B243" s="1"/>
      <c r="C243" s="1"/>
      <c r="D243" s="1"/>
      <c r="E243" s="1"/>
      <c r="F243" s="920"/>
      <c r="G243" s="1"/>
      <c r="H243" s="1"/>
      <c r="I243" s="1"/>
      <c r="J243" s="1"/>
      <c r="K243" s="1"/>
    </row>
    <row r="244" ht="14.25" customHeight="1">
      <c r="A244" s="1"/>
      <c r="B244" s="1"/>
      <c r="C244" s="1"/>
      <c r="D244" s="1"/>
      <c r="E244" s="1"/>
      <c r="F244" s="920"/>
      <c r="G244" s="1"/>
      <c r="H244" s="1"/>
      <c r="I244" s="1"/>
      <c r="J244" s="1"/>
      <c r="K244" s="1"/>
    </row>
    <row r="245" ht="14.25" customHeight="1">
      <c r="A245" s="1"/>
      <c r="B245" s="1"/>
      <c r="C245" s="1"/>
      <c r="D245" s="1"/>
      <c r="E245" s="1"/>
      <c r="F245" s="920"/>
      <c r="G245" s="1"/>
      <c r="H245" s="1"/>
      <c r="I245" s="1"/>
      <c r="J245" s="1"/>
      <c r="K245" s="1"/>
    </row>
    <row r="246" ht="14.25" customHeight="1">
      <c r="A246" s="1"/>
      <c r="B246" s="1"/>
      <c r="C246" s="1"/>
      <c r="D246" s="1"/>
      <c r="E246" s="1"/>
      <c r="F246" s="920"/>
      <c r="G246" s="1"/>
      <c r="H246" s="1"/>
      <c r="I246" s="1"/>
      <c r="J246" s="1"/>
      <c r="K246" s="1"/>
    </row>
    <row r="247" ht="14.25" customHeight="1">
      <c r="A247" s="1"/>
      <c r="B247" s="1"/>
      <c r="C247" s="1"/>
      <c r="D247" s="1"/>
      <c r="E247" s="1"/>
      <c r="F247" s="920"/>
      <c r="G247" s="1"/>
      <c r="H247" s="1"/>
      <c r="I247" s="1"/>
      <c r="J247" s="1"/>
      <c r="K247" s="1"/>
    </row>
    <row r="248" ht="14.25" customHeight="1">
      <c r="A248" s="1"/>
      <c r="B248" s="1"/>
      <c r="C248" s="1"/>
      <c r="D248" s="1"/>
      <c r="E248" s="1"/>
      <c r="F248" s="920"/>
      <c r="G248" s="1"/>
      <c r="H248" s="1"/>
      <c r="I248" s="1"/>
      <c r="J248" s="1"/>
      <c r="K248" s="1"/>
    </row>
    <row r="249" ht="14.25" customHeight="1">
      <c r="A249" s="1"/>
      <c r="B249" s="1"/>
      <c r="C249" s="1"/>
      <c r="D249" s="1"/>
      <c r="E249" s="1"/>
      <c r="F249" s="920"/>
      <c r="G249" s="1"/>
      <c r="H249" s="1"/>
      <c r="I249" s="1"/>
      <c r="J249" s="1"/>
      <c r="K249" s="1"/>
    </row>
    <row r="250" ht="14.25" customHeight="1">
      <c r="A250" s="1"/>
      <c r="B250" s="1"/>
      <c r="C250" s="1"/>
      <c r="D250" s="1"/>
      <c r="E250" s="1"/>
      <c r="F250" s="920"/>
      <c r="G250" s="1"/>
      <c r="H250" s="1"/>
      <c r="I250" s="1"/>
      <c r="J250" s="1"/>
      <c r="K250" s="1"/>
    </row>
    <row r="251" ht="14.25" customHeight="1">
      <c r="A251" s="1"/>
      <c r="B251" s="1"/>
      <c r="C251" s="1"/>
      <c r="D251" s="1"/>
      <c r="E251" s="1"/>
      <c r="F251" s="920"/>
      <c r="G251" s="1"/>
      <c r="H251" s="1"/>
      <c r="I251" s="1"/>
      <c r="J251" s="1"/>
      <c r="K251" s="1"/>
    </row>
    <row r="252" ht="14.25" customHeight="1">
      <c r="A252" s="1"/>
      <c r="B252" s="1"/>
      <c r="C252" s="1"/>
      <c r="D252" s="1"/>
      <c r="E252" s="1"/>
      <c r="F252" s="920"/>
      <c r="G252" s="1"/>
      <c r="H252" s="1"/>
      <c r="I252" s="1"/>
      <c r="J252" s="1"/>
      <c r="K252" s="1"/>
    </row>
    <row r="253" ht="14.25" customHeight="1">
      <c r="A253" s="1"/>
      <c r="B253" s="1"/>
      <c r="C253" s="1"/>
      <c r="D253" s="1"/>
      <c r="E253" s="1"/>
      <c r="F253" s="920"/>
      <c r="G253" s="1"/>
      <c r="H253" s="1"/>
      <c r="I253" s="1"/>
      <c r="J253" s="1"/>
      <c r="K253" s="1"/>
    </row>
    <row r="254" ht="14.25" customHeight="1">
      <c r="A254" s="1"/>
      <c r="B254" s="1"/>
      <c r="C254" s="1"/>
      <c r="D254" s="1"/>
      <c r="E254" s="1"/>
      <c r="F254" s="920"/>
      <c r="G254" s="1"/>
      <c r="H254" s="1"/>
      <c r="I254" s="1"/>
      <c r="J254" s="1"/>
      <c r="K254" s="1"/>
    </row>
    <row r="255" ht="14.25" customHeight="1">
      <c r="A255" s="1"/>
      <c r="B255" s="1"/>
      <c r="C255" s="1"/>
      <c r="D255" s="1"/>
      <c r="E255" s="1"/>
      <c r="F255" s="920"/>
      <c r="G255" s="1"/>
      <c r="H255" s="1"/>
      <c r="I255" s="1"/>
      <c r="J255" s="1"/>
      <c r="K255" s="1"/>
    </row>
    <row r="256" ht="14.25" customHeight="1">
      <c r="A256" s="1"/>
      <c r="B256" s="1"/>
      <c r="C256" s="1"/>
      <c r="D256" s="1"/>
      <c r="E256" s="1"/>
      <c r="F256" s="920"/>
      <c r="G256" s="1"/>
      <c r="H256" s="1"/>
      <c r="I256" s="1"/>
      <c r="J256" s="1"/>
      <c r="K256" s="1"/>
    </row>
    <row r="257" ht="14.25" customHeight="1">
      <c r="A257" s="1"/>
      <c r="B257" s="1"/>
      <c r="C257" s="1"/>
      <c r="D257" s="1"/>
      <c r="E257" s="1"/>
      <c r="F257" s="920"/>
      <c r="G257" s="1"/>
      <c r="H257" s="1"/>
      <c r="I257" s="1"/>
      <c r="J257" s="1"/>
      <c r="K257" s="1"/>
    </row>
    <row r="258" ht="14.25" customHeight="1">
      <c r="A258" s="1"/>
      <c r="B258" s="1"/>
      <c r="C258" s="1"/>
      <c r="D258" s="1"/>
      <c r="E258" s="1"/>
      <c r="F258" s="920"/>
      <c r="G258" s="1"/>
      <c r="H258" s="1"/>
      <c r="I258" s="1"/>
      <c r="J258" s="1"/>
      <c r="K258" s="1"/>
    </row>
    <row r="259" ht="14.25" customHeight="1">
      <c r="A259" s="1"/>
      <c r="B259" s="1"/>
      <c r="C259" s="1"/>
      <c r="D259" s="1"/>
      <c r="E259" s="1"/>
      <c r="F259" s="920"/>
      <c r="G259" s="1"/>
      <c r="H259" s="1"/>
      <c r="I259" s="1"/>
      <c r="J259" s="1"/>
      <c r="K259" s="1"/>
    </row>
    <row r="260" ht="14.25" customHeight="1">
      <c r="A260" s="1"/>
      <c r="B260" s="1"/>
      <c r="C260" s="1"/>
      <c r="D260" s="1"/>
      <c r="E260" s="1"/>
      <c r="F260" s="920"/>
      <c r="G260" s="1"/>
      <c r="H260" s="1"/>
      <c r="I260" s="1"/>
      <c r="J260" s="1"/>
      <c r="K260" s="1"/>
    </row>
    <row r="261" ht="14.25" customHeight="1">
      <c r="A261" s="1"/>
      <c r="B261" s="1"/>
      <c r="C261" s="1"/>
      <c r="D261" s="1"/>
      <c r="E261" s="1"/>
      <c r="F261" s="920"/>
      <c r="G261" s="1"/>
      <c r="H261" s="1"/>
      <c r="I261" s="1"/>
      <c r="J261" s="1"/>
      <c r="K261" s="1"/>
    </row>
    <row r="262" ht="15.0" customHeight="1">
      <c r="A262" s="1"/>
      <c r="B262" s="1"/>
      <c r="C262" s="1"/>
      <c r="D262" s="1"/>
      <c r="E262" s="1"/>
      <c r="F262" s="920"/>
      <c r="G262" s="1"/>
      <c r="H262" s="1"/>
      <c r="I262" s="1"/>
      <c r="J262" s="1"/>
      <c r="K262" s="1"/>
    </row>
    <row r="263" ht="14.25" customHeight="1">
      <c r="A263" s="1"/>
      <c r="B263" s="1"/>
      <c r="C263" s="1"/>
      <c r="D263" s="1"/>
      <c r="E263" s="1"/>
      <c r="F263" s="920"/>
      <c r="G263" s="1"/>
      <c r="H263" s="1"/>
      <c r="I263" s="1"/>
      <c r="J263" s="1"/>
      <c r="K263" s="1"/>
    </row>
    <row r="264" ht="14.25" customHeight="1">
      <c r="A264" s="1"/>
      <c r="B264" s="1"/>
      <c r="C264" s="1"/>
      <c r="D264" s="1"/>
      <c r="E264" s="1"/>
      <c r="F264" s="920"/>
      <c r="G264" s="1"/>
      <c r="H264" s="1"/>
      <c r="I264" s="1"/>
      <c r="J264" s="1"/>
      <c r="K264" s="1"/>
    </row>
    <row r="265" ht="14.25" customHeight="1">
      <c r="A265" s="1"/>
      <c r="B265" s="1"/>
      <c r="C265" s="1"/>
      <c r="D265" s="1"/>
      <c r="E265" s="1"/>
      <c r="F265" s="920"/>
      <c r="G265" s="1"/>
      <c r="H265" s="1"/>
      <c r="I265" s="1"/>
      <c r="J265" s="1"/>
      <c r="K265" s="1"/>
    </row>
    <row r="266" ht="14.25" customHeight="1">
      <c r="A266" s="1"/>
      <c r="B266" s="1"/>
      <c r="C266" s="1"/>
      <c r="D266" s="1"/>
      <c r="E266" s="1"/>
      <c r="F266" s="920"/>
      <c r="G266" s="1"/>
      <c r="H266" s="1"/>
      <c r="I266" s="1"/>
      <c r="J266" s="1"/>
      <c r="K266" s="1"/>
    </row>
    <row r="267" ht="14.25" customHeight="1">
      <c r="A267" s="1"/>
      <c r="B267" s="1"/>
      <c r="C267" s="1"/>
      <c r="D267" s="1"/>
      <c r="E267" s="1"/>
      <c r="F267" s="920"/>
      <c r="G267" s="1"/>
      <c r="H267" s="1"/>
      <c r="I267" s="1"/>
      <c r="J267" s="1"/>
      <c r="K267" s="1"/>
    </row>
    <row r="268" ht="15.0" customHeight="1">
      <c r="A268" s="1"/>
      <c r="B268" s="1"/>
      <c r="C268" s="1"/>
      <c r="D268" s="1"/>
      <c r="E268" s="1"/>
      <c r="F268" s="920"/>
      <c r="G268" s="1"/>
      <c r="H268" s="1"/>
      <c r="I268" s="1"/>
      <c r="J268" s="1"/>
      <c r="K268" s="1"/>
    </row>
    <row r="269" ht="14.25" customHeight="1">
      <c r="A269" s="1"/>
      <c r="B269" s="1"/>
      <c r="C269" s="1"/>
      <c r="D269" s="1"/>
      <c r="E269" s="1"/>
      <c r="F269" s="920"/>
      <c r="G269" s="1"/>
      <c r="H269" s="1"/>
      <c r="I269" s="1"/>
      <c r="J269" s="1"/>
      <c r="K269" s="1"/>
    </row>
    <row r="270" ht="14.25" customHeight="1">
      <c r="A270" s="1"/>
      <c r="B270" s="1"/>
      <c r="C270" s="1"/>
      <c r="D270" s="1"/>
      <c r="E270" s="1"/>
      <c r="F270" s="920"/>
      <c r="G270" s="1"/>
      <c r="H270" s="1"/>
      <c r="I270" s="1"/>
      <c r="J270" s="1"/>
      <c r="K270" s="1"/>
    </row>
    <row r="271" ht="14.25" customHeight="1">
      <c r="A271" s="1"/>
      <c r="B271" s="1"/>
      <c r="C271" s="1"/>
      <c r="D271" s="1"/>
      <c r="E271" s="1"/>
      <c r="F271" s="920"/>
      <c r="G271" s="1"/>
      <c r="H271" s="1"/>
      <c r="I271" s="1"/>
      <c r="J271" s="1"/>
      <c r="K271" s="1"/>
    </row>
    <row r="272" ht="14.25" customHeight="1">
      <c r="A272" s="1"/>
      <c r="B272" s="1"/>
      <c r="C272" s="1"/>
      <c r="D272" s="1"/>
      <c r="E272" s="1"/>
      <c r="F272" s="920"/>
      <c r="G272" s="1"/>
      <c r="H272" s="1"/>
      <c r="I272" s="1"/>
      <c r="J272" s="1"/>
      <c r="K272" s="1"/>
    </row>
    <row r="273" ht="14.25" customHeight="1">
      <c r="A273" s="1"/>
      <c r="B273" s="1"/>
      <c r="C273" s="1"/>
      <c r="D273" s="1"/>
      <c r="E273" s="1"/>
      <c r="F273" s="920"/>
      <c r="G273" s="1"/>
      <c r="H273" s="1"/>
      <c r="I273" s="1"/>
      <c r="J273" s="1"/>
      <c r="K273" s="1"/>
    </row>
    <row r="274" ht="14.25" customHeight="1">
      <c r="A274" s="1"/>
      <c r="B274" s="1"/>
      <c r="C274" s="1"/>
      <c r="D274" s="1"/>
      <c r="E274" s="1"/>
      <c r="F274" s="920"/>
      <c r="G274" s="1"/>
      <c r="H274" s="1"/>
      <c r="I274" s="1"/>
      <c r="J274" s="1"/>
      <c r="K274" s="1"/>
    </row>
    <row r="275" ht="14.25" customHeight="1">
      <c r="A275" s="1"/>
      <c r="B275" s="1"/>
      <c r="C275" s="1"/>
      <c r="D275" s="1"/>
      <c r="E275" s="1"/>
      <c r="F275" s="920"/>
      <c r="G275" s="1"/>
      <c r="H275" s="1"/>
      <c r="I275" s="1"/>
      <c r="J275" s="1"/>
      <c r="K275" s="1"/>
    </row>
    <row r="276" ht="14.25" customHeight="1">
      <c r="A276" s="1"/>
      <c r="B276" s="1"/>
      <c r="C276" s="1"/>
      <c r="D276" s="1"/>
      <c r="E276" s="1"/>
      <c r="F276" s="920"/>
      <c r="G276" s="1"/>
      <c r="H276" s="1"/>
      <c r="I276" s="1"/>
      <c r="J276" s="1"/>
      <c r="K276" s="1"/>
    </row>
    <row r="277" ht="14.25" customHeight="1">
      <c r="A277" s="1"/>
      <c r="B277" s="1"/>
      <c r="C277" s="1"/>
      <c r="D277" s="1"/>
      <c r="E277" s="1"/>
      <c r="F277" s="920"/>
      <c r="G277" s="1"/>
      <c r="H277" s="1"/>
      <c r="I277" s="1"/>
      <c r="J277" s="1"/>
      <c r="K277" s="1"/>
    </row>
    <row r="278" ht="14.25" customHeight="1">
      <c r="A278" s="1"/>
      <c r="B278" s="1"/>
      <c r="C278" s="1"/>
      <c r="D278" s="1"/>
      <c r="E278" s="1"/>
      <c r="F278" s="920"/>
      <c r="G278" s="1"/>
      <c r="H278" s="1"/>
      <c r="I278" s="1"/>
      <c r="J278" s="1"/>
      <c r="K278" s="1"/>
    </row>
    <row r="279" ht="14.25" customHeight="1">
      <c r="A279" s="1"/>
      <c r="B279" s="1"/>
      <c r="C279" s="1"/>
      <c r="D279" s="1"/>
      <c r="E279" s="1"/>
      <c r="F279" s="920"/>
      <c r="G279" s="1"/>
      <c r="H279" s="1"/>
      <c r="I279" s="1"/>
      <c r="J279" s="1"/>
      <c r="K279" s="1"/>
    </row>
    <row r="280" ht="14.25" customHeight="1">
      <c r="A280" s="1"/>
      <c r="B280" s="1"/>
      <c r="C280" s="1"/>
      <c r="D280" s="1"/>
      <c r="E280" s="1"/>
      <c r="F280" s="920"/>
      <c r="G280" s="1"/>
      <c r="H280" s="1"/>
      <c r="I280" s="1"/>
      <c r="J280" s="1"/>
      <c r="K280" s="1"/>
    </row>
    <row r="281" ht="14.25" customHeight="1">
      <c r="A281" s="1"/>
      <c r="B281" s="1"/>
      <c r="C281" s="1"/>
      <c r="D281" s="1"/>
      <c r="E281" s="1"/>
      <c r="F281" s="920"/>
      <c r="G281" s="1"/>
      <c r="H281" s="1"/>
      <c r="I281" s="1"/>
      <c r="J281" s="1"/>
      <c r="K281" s="1"/>
    </row>
    <row r="282" ht="14.25" customHeight="1">
      <c r="A282" s="1"/>
      <c r="B282" s="1"/>
      <c r="C282" s="1"/>
      <c r="D282" s="1"/>
      <c r="E282" s="1"/>
      <c r="F282" s="920"/>
      <c r="G282" s="1"/>
      <c r="H282" s="1"/>
      <c r="I282" s="1"/>
      <c r="J282" s="1"/>
      <c r="K282" s="1"/>
    </row>
    <row r="283" ht="14.25" customHeight="1">
      <c r="A283" s="1"/>
      <c r="B283" s="1"/>
      <c r="C283" s="1"/>
      <c r="D283" s="1"/>
      <c r="E283" s="1"/>
      <c r="F283" s="920"/>
      <c r="G283" s="1"/>
      <c r="H283" s="1"/>
      <c r="I283" s="1"/>
      <c r="J283" s="1"/>
      <c r="K283" s="1"/>
    </row>
    <row r="284" ht="14.25" customHeight="1">
      <c r="A284" s="1"/>
      <c r="B284" s="1"/>
      <c r="C284" s="1"/>
      <c r="D284" s="1"/>
      <c r="E284" s="1"/>
      <c r="F284" s="920"/>
      <c r="G284" s="1"/>
      <c r="H284" s="1"/>
      <c r="I284" s="1"/>
      <c r="J284" s="1"/>
      <c r="K284" s="1"/>
    </row>
    <row r="285" ht="14.25" customHeight="1">
      <c r="A285" s="1"/>
      <c r="B285" s="1"/>
      <c r="C285" s="1"/>
      <c r="D285" s="1"/>
      <c r="E285" s="1"/>
      <c r="F285" s="920"/>
      <c r="G285" s="1"/>
      <c r="H285" s="1"/>
      <c r="I285" s="1"/>
      <c r="J285" s="1"/>
      <c r="K285" s="1"/>
    </row>
    <row r="286" ht="14.25" customHeight="1">
      <c r="A286" s="1"/>
      <c r="B286" s="1"/>
      <c r="C286" s="1"/>
      <c r="D286" s="1"/>
      <c r="E286" s="1"/>
      <c r="F286" s="920"/>
      <c r="G286" s="1"/>
      <c r="H286" s="1"/>
      <c r="I286" s="1"/>
      <c r="J286" s="1"/>
      <c r="K286" s="1"/>
    </row>
    <row r="287" ht="14.25" customHeight="1">
      <c r="A287" s="1"/>
      <c r="B287" s="1"/>
      <c r="C287" s="1"/>
      <c r="D287" s="1"/>
      <c r="E287" s="1"/>
      <c r="F287" s="920"/>
      <c r="G287" s="1"/>
      <c r="H287" s="1"/>
      <c r="I287" s="1"/>
      <c r="J287" s="1"/>
      <c r="K287" s="1"/>
    </row>
    <row r="288" ht="14.25" customHeight="1">
      <c r="A288" s="1"/>
      <c r="B288" s="1"/>
      <c r="C288" s="1"/>
      <c r="D288" s="1"/>
      <c r="E288" s="1"/>
      <c r="F288" s="920"/>
      <c r="G288" s="1"/>
      <c r="H288" s="1"/>
      <c r="I288" s="1"/>
      <c r="J288" s="1"/>
      <c r="K288" s="1"/>
    </row>
    <row r="289" ht="14.25" customHeight="1">
      <c r="A289" s="1"/>
      <c r="B289" s="1"/>
      <c r="C289" s="1"/>
      <c r="D289" s="1"/>
      <c r="E289" s="1"/>
      <c r="F289" s="920"/>
      <c r="G289" s="1"/>
      <c r="H289" s="1"/>
      <c r="I289" s="1"/>
      <c r="J289" s="1"/>
      <c r="K289" s="1"/>
    </row>
    <row r="290" ht="14.25" customHeight="1">
      <c r="A290" s="1"/>
      <c r="B290" s="1"/>
      <c r="C290" s="1"/>
      <c r="D290" s="1"/>
      <c r="E290" s="1"/>
      <c r="F290" s="920"/>
      <c r="G290" s="1"/>
      <c r="H290" s="1"/>
      <c r="I290" s="1"/>
      <c r="J290" s="1"/>
      <c r="K290" s="1"/>
    </row>
    <row r="291" ht="14.25" customHeight="1">
      <c r="A291" s="1"/>
      <c r="B291" s="1"/>
      <c r="C291" s="1"/>
      <c r="D291" s="1"/>
      <c r="E291" s="1"/>
      <c r="F291" s="920"/>
      <c r="G291" s="1"/>
      <c r="H291" s="1"/>
      <c r="I291" s="1"/>
      <c r="J291" s="1"/>
      <c r="K291" s="1"/>
    </row>
    <row r="292" ht="14.25" customHeight="1">
      <c r="A292" s="1"/>
      <c r="B292" s="1"/>
      <c r="C292" s="1"/>
      <c r="D292" s="1"/>
      <c r="E292" s="1"/>
      <c r="F292" s="920"/>
      <c r="G292" s="1"/>
      <c r="H292" s="1"/>
      <c r="I292" s="1"/>
      <c r="J292" s="1"/>
      <c r="K292" s="1"/>
    </row>
    <row r="293" ht="14.25" customHeight="1">
      <c r="A293" s="1"/>
      <c r="B293" s="1"/>
      <c r="C293" s="1"/>
      <c r="D293" s="1"/>
      <c r="E293" s="1"/>
      <c r="F293" s="920"/>
      <c r="G293" s="1"/>
      <c r="H293" s="1"/>
      <c r="I293" s="1"/>
      <c r="J293" s="1"/>
      <c r="K293" s="1"/>
    </row>
    <row r="294" ht="14.25" customHeight="1">
      <c r="A294" s="1"/>
      <c r="B294" s="1"/>
      <c r="C294" s="1"/>
      <c r="D294" s="1"/>
      <c r="E294" s="1"/>
      <c r="F294" s="920"/>
      <c r="G294" s="1"/>
      <c r="H294" s="1"/>
      <c r="I294" s="1"/>
      <c r="J294" s="1"/>
      <c r="K294" s="1"/>
    </row>
    <row r="295" ht="14.25" customHeight="1">
      <c r="A295" s="1"/>
      <c r="B295" s="1"/>
      <c r="C295" s="1"/>
      <c r="D295" s="1"/>
      <c r="E295" s="1"/>
      <c r="F295" s="920"/>
      <c r="G295" s="1"/>
      <c r="H295" s="1"/>
      <c r="I295" s="1"/>
      <c r="J295" s="1"/>
      <c r="K295" s="1"/>
    </row>
    <row r="296" ht="14.25" customHeight="1">
      <c r="A296" s="1"/>
      <c r="B296" s="1"/>
      <c r="C296" s="1"/>
      <c r="D296" s="1"/>
      <c r="E296" s="1"/>
      <c r="F296" s="920"/>
      <c r="G296" s="1"/>
      <c r="H296" s="1"/>
      <c r="I296" s="1"/>
      <c r="J296" s="1"/>
      <c r="K296" s="1"/>
    </row>
    <row r="297" ht="14.25" customHeight="1">
      <c r="A297" s="1"/>
      <c r="B297" s="1"/>
      <c r="C297" s="1"/>
      <c r="D297" s="1"/>
      <c r="E297" s="1"/>
      <c r="F297" s="920"/>
      <c r="G297" s="1"/>
      <c r="H297" s="1"/>
      <c r="I297" s="1"/>
      <c r="J297" s="1"/>
      <c r="K297" s="1"/>
    </row>
    <row r="298" ht="14.25" customHeight="1">
      <c r="A298" s="1"/>
      <c r="B298" s="1"/>
      <c r="C298" s="1"/>
      <c r="D298" s="1"/>
      <c r="E298" s="1"/>
      <c r="F298" s="920"/>
      <c r="G298" s="1"/>
      <c r="H298" s="1"/>
      <c r="I298" s="1"/>
      <c r="J298" s="1"/>
      <c r="K298" s="1"/>
    </row>
    <row r="299" ht="15.0" customHeight="1">
      <c r="A299" s="1"/>
      <c r="B299" s="1"/>
      <c r="C299" s="1"/>
      <c r="D299" s="1"/>
      <c r="E299" s="1"/>
      <c r="F299" s="920"/>
      <c r="G299" s="1"/>
      <c r="H299" s="1"/>
      <c r="I299" s="1"/>
      <c r="J299" s="1"/>
      <c r="K299" s="1"/>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1:D1"/>
    <mergeCell ref="E4:E7"/>
    <mergeCell ref="E8:E9"/>
    <mergeCell ref="E10:E14"/>
    <mergeCell ref="A21:D21"/>
    <mergeCell ref="E30:E31"/>
    <mergeCell ref="E32:E33"/>
    <mergeCell ref="E34:E37"/>
    <mergeCell ref="A42:D42"/>
    <mergeCell ref="E43:E49"/>
    <mergeCell ref="E50:E51"/>
    <mergeCell ref="E52:E54"/>
    <mergeCell ref="A59:D59"/>
    <mergeCell ref="E61:E65"/>
    <mergeCell ref="E66:E68"/>
    <mergeCell ref="E69:E70"/>
    <mergeCell ref="E71:E76"/>
    <mergeCell ref="A82:D82"/>
    <mergeCell ref="A102:D102"/>
    <mergeCell ref="E103:E105"/>
    <mergeCell ref="E106:E107"/>
    <mergeCell ref="E129:E131"/>
    <mergeCell ref="E132:E133"/>
    <mergeCell ref="E134:E137"/>
    <mergeCell ref="E138:E141"/>
    <mergeCell ref="E108:E110"/>
    <mergeCell ref="E111:E113"/>
    <mergeCell ref="E114:E115"/>
    <mergeCell ref="E116:E117"/>
    <mergeCell ref="E118:E122"/>
    <mergeCell ref="A123:D124"/>
    <mergeCell ref="A127:D127"/>
  </mergeCells>
  <hyperlinks>
    <hyperlink display="BACK" location="'Recipe Index'!CE54" ref="A17"/>
    <hyperlink display="HOME" location="'Recipe Index'!B5" ref="B17"/>
    <hyperlink display="BACK" location="'Recipe Index'!CE54" ref="A40"/>
    <hyperlink display="HOME" location="'Recipe Index'!B5" ref="B40"/>
    <hyperlink display="BACK" location="'Recipe Index'!CE54" ref="A55"/>
    <hyperlink display="HOME" location="'Recipe Index'!B5" ref="B55"/>
    <hyperlink display="BACK" location="'Recipe Index'!CE54" ref="A78"/>
    <hyperlink display="HOME" location="'Recipe Index'!B5" ref="B78"/>
    <hyperlink display="BACK" location="'Recipe Index'!CE54" ref="A98"/>
    <hyperlink display="HOME" location="'Recipe Index'!B5" ref="B98"/>
    <hyperlink display="BACK" location="'Recipe Index'!CE54" ref="C125"/>
    <hyperlink display="HOME" location="'Recipe Index'!B5" ref="D125"/>
    <hyperlink display="BACK" location="'Recipe Index'!CE54" ref="A143"/>
    <hyperlink display="HOME" location="'Recipe Index'!B5" ref="B143"/>
  </hyperlink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35.75"/>
    <col customWidth="1" min="2" max="2" width="10.25"/>
    <col customWidth="1" min="3" max="3" width="7.75"/>
    <col customWidth="1" min="4" max="4" width="5.25"/>
    <col customWidth="1" min="5" max="5" width="59.75"/>
    <col customWidth="1" min="6" max="6" width="28.75"/>
    <col customWidth="1" min="7" max="7" width="10.25"/>
    <col customWidth="1" min="8" max="8" width="11.38"/>
    <col customWidth="1" min="9" max="9" width="5.25"/>
    <col customWidth="1" min="10" max="10" width="39.0"/>
    <col customWidth="1" min="11" max="11" width="13.38"/>
    <col customWidth="1" min="12" max="14" width="9.25"/>
    <col customWidth="1" min="15" max="26" width="14.38"/>
  </cols>
  <sheetData>
    <row r="1" ht="14.25" customHeight="1">
      <c r="A1" s="206" t="s">
        <v>255</v>
      </c>
      <c r="B1" s="5"/>
      <c r="C1" s="5"/>
      <c r="D1" s="6"/>
      <c r="E1" s="1112"/>
      <c r="F1" s="1"/>
      <c r="G1" s="1"/>
      <c r="H1" s="1"/>
      <c r="I1" s="1"/>
      <c r="J1" s="1"/>
      <c r="K1" s="1"/>
      <c r="L1" s="1"/>
      <c r="M1" s="1"/>
      <c r="N1" s="1"/>
    </row>
    <row r="2" ht="14.25" customHeight="1">
      <c r="A2" s="51" t="s">
        <v>1</v>
      </c>
      <c r="B2" s="190">
        <v>100.0</v>
      </c>
      <c r="C2" s="513">
        <v>180.0</v>
      </c>
      <c r="D2" s="125" t="s">
        <v>5</v>
      </c>
      <c r="E2" s="1114"/>
      <c r="F2" s="1"/>
      <c r="G2" s="1"/>
      <c r="H2" s="1"/>
      <c r="I2" s="1"/>
      <c r="J2" s="1"/>
      <c r="K2" s="1"/>
      <c r="L2" s="1"/>
      <c r="M2" s="1"/>
      <c r="N2" s="1"/>
    </row>
    <row r="3" ht="14.25" customHeight="1">
      <c r="A3" s="68" t="s">
        <v>91</v>
      </c>
      <c r="B3" s="145">
        <v>2.5</v>
      </c>
      <c r="C3" s="155">
        <f t="shared" ref="C3:C21" si="1">(B3*C2)/B2</f>
        <v>4.5</v>
      </c>
      <c r="D3" s="137" t="s">
        <v>5</v>
      </c>
      <c r="E3" s="264" t="s">
        <v>1245</v>
      </c>
      <c r="F3" s="1"/>
      <c r="G3" s="1"/>
      <c r="H3" s="1"/>
      <c r="I3" s="1"/>
      <c r="J3" s="1"/>
      <c r="K3" s="1"/>
      <c r="L3" s="1"/>
      <c r="M3" s="1"/>
      <c r="N3" s="1"/>
    </row>
    <row r="4" ht="14.25" customHeight="1">
      <c r="A4" s="93" t="s">
        <v>98</v>
      </c>
      <c r="B4" s="195">
        <v>250.0</v>
      </c>
      <c r="C4" s="78">
        <f t="shared" si="1"/>
        <v>450</v>
      </c>
      <c r="D4" s="165" t="s">
        <v>18</v>
      </c>
      <c r="E4" s="66"/>
      <c r="F4" s="1"/>
      <c r="G4" s="1"/>
      <c r="H4" s="1"/>
      <c r="I4" s="1"/>
      <c r="J4" s="1"/>
      <c r="K4" s="1"/>
      <c r="L4" s="1"/>
      <c r="M4" s="1"/>
      <c r="N4" s="1"/>
    </row>
    <row r="5" ht="14.25" customHeight="1">
      <c r="A5" s="93" t="s">
        <v>101</v>
      </c>
      <c r="B5" s="195">
        <v>3.0</v>
      </c>
      <c r="C5" s="78">
        <f t="shared" si="1"/>
        <v>5.4</v>
      </c>
      <c r="D5" s="165" t="s">
        <v>5</v>
      </c>
      <c r="E5" s="66"/>
      <c r="F5" s="1"/>
      <c r="G5" s="1"/>
      <c r="H5" s="1"/>
      <c r="I5" s="1"/>
      <c r="J5" s="1"/>
      <c r="K5" s="1"/>
      <c r="L5" s="1"/>
      <c r="M5" s="1"/>
      <c r="N5" s="1"/>
    </row>
    <row r="6" ht="14.25" customHeight="1">
      <c r="A6" s="93" t="s">
        <v>179</v>
      </c>
      <c r="B6" s="195">
        <v>300.0</v>
      </c>
      <c r="C6" s="78">
        <f t="shared" si="1"/>
        <v>540</v>
      </c>
      <c r="D6" s="165" t="s">
        <v>18</v>
      </c>
      <c r="E6" s="66"/>
      <c r="F6" s="1"/>
      <c r="G6" s="1"/>
      <c r="H6" s="1"/>
      <c r="I6" s="1"/>
      <c r="J6" s="1"/>
      <c r="K6" s="1"/>
      <c r="L6" s="1"/>
      <c r="M6" s="1"/>
      <c r="N6" s="1"/>
    </row>
    <row r="7" ht="14.25" customHeight="1">
      <c r="A7" s="138" t="s">
        <v>92</v>
      </c>
      <c r="B7" s="279">
        <v>600.0</v>
      </c>
      <c r="C7" s="146">
        <f t="shared" si="1"/>
        <v>1080</v>
      </c>
      <c r="D7" s="281" t="s">
        <v>18</v>
      </c>
      <c r="E7" s="106"/>
      <c r="F7" s="1"/>
      <c r="G7" s="1"/>
      <c r="H7" s="1"/>
      <c r="I7" s="1"/>
      <c r="J7" s="1"/>
      <c r="K7" s="1"/>
      <c r="L7" s="1"/>
      <c r="M7" s="1"/>
      <c r="N7" s="1"/>
    </row>
    <row r="8" ht="14.25" customHeight="1">
      <c r="A8" s="68" t="s">
        <v>350</v>
      </c>
      <c r="B8" s="145">
        <v>5.0</v>
      </c>
      <c r="C8" s="155">
        <f t="shared" si="1"/>
        <v>9</v>
      </c>
      <c r="D8" s="137" t="s">
        <v>14</v>
      </c>
      <c r="E8" s="264" t="s">
        <v>1251</v>
      </c>
      <c r="F8" s="1"/>
      <c r="G8" s="1"/>
      <c r="H8" s="1"/>
      <c r="I8" s="1"/>
      <c r="J8" s="1"/>
      <c r="K8" s="1"/>
      <c r="L8" s="1"/>
      <c r="M8" s="1"/>
      <c r="N8" s="1"/>
    </row>
    <row r="9" ht="14.25" customHeight="1">
      <c r="A9" s="93" t="s">
        <v>858</v>
      </c>
      <c r="B9" s="195">
        <v>20.0</v>
      </c>
      <c r="C9" s="78">
        <f t="shared" si="1"/>
        <v>36</v>
      </c>
      <c r="D9" s="165" t="s">
        <v>999</v>
      </c>
      <c r="E9" s="66"/>
      <c r="F9" s="1"/>
      <c r="G9" s="1"/>
      <c r="H9" s="1"/>
      <c r="I9" s="1"/>
      <c r="J9" s="1"/>
      <c r="K9" s="1"/>
      <c r="L9" s="1"/>
      <c r="M9" s="1"/>
      <c r="N9" s="1"/>
    </row>
    <row r="10" ht="14.25" customHeight="1">
      <c r="A10" s="93" t="s">
        <v>321</v>
      </c>
      <c r="B10" s="195">
        <v>150.0</v>
      </c>
      <c r="C10" s="78">
        <f t="shared" si="1"/>
        <v>270</v>
      </c>
      <c r="D10" s="165" t="s">
        <v>18</v>
      </c>
      <c r="E10" s="66"/>
      <c r="F10" s="1"/>
      <c r="G10" s="1"/>
      <c r="H10" s="1"/>
      <c r="I10" s="1"/>
      <c r="J10" s="1"/>
      <c r="K10" s="1"/>
      <c r="L10" s="1"/>
      <c r="M10" s="1"/>
      <c r="N10" s="1"/>
    </row>
    <row r="11" ht="14.25" customHeight="1">
      <c r="A11" s="93" t="s">
        <v>1038</v>
      </c>
      <c r="B11" s="195">
        <v>20.0</v>
      </c>
      <c r="C11" s="78">
        <f t="shared" si="1"/>
        <v>36</v>
      </c>
      <c r="D11" s="165" t="s">
        <v>18</v>
      </c>
      <c r="E11" s="66"/>
      <c r="F11" s="1"/>
      <c r="G11" s="1"/>
      <c r="H11" s="1"/>
      <c r="I11" s="1"/>
      <c r="J11" s="1"/>
      <c r="K11" s="1"/>
      <c r="L11" s="1"/>
      <c r="M11" s="1"/>
      <c r="N11" s="1"/>
    </row>
    <row r="12" ht="14.25" customHeight="1">
      <c r="A12" s="93" t="s">
        <v>210</v>
      </c>
      <c r="B12" s="195">
        <v>20.0</v>
      </c>
      <c r="C12" s="78">
        <f t="shared" si="1"/>
        <v>36</v>
      </c>
      <c r="D12" s="165" t="s">
        <v>18</v>
      </c>
      <c r="E12" s="66"/>
      <c r="F12" s="1"/>
      <c r="G12" s="1"/>
      <c r="H12" s="1"/>
      <c r="I12" s="1"/>
      <c r="J12" s="1"/>
      <c r="K12" s="1"/>
      <c r="L12" s="1"/>
      <c r="M12" s="1"/>
      <c r="N12" s="1"/>
    </row>
    <row r="13" ht="14.25" customHeight="1">
      <c r="A13" s="105" t="s">
        <v>95</v>
      </c>
      <c r="B13" s="200">
        <v>30.0</v>
      </c>
      <c r="C13" s="56">
        <f t="shared" si="1"/>
        <v>54</v>
      </c>
      <c r="D13" s="172" t="s">
        <v>18</v>
      </c>
      <c r="E13" s="106"/>
      <c r="F13" s="1"/>
      <c r="G13" s="1"/>
      <c r="H13" s="1"/>
      <c r="I13" s="1"/>
      <c r="J13" s="1"/>
      <c r="K13" s="1"/>
      <c r="L13" s="1"/>
      <c r="M13" s="1"/>
      <c r="N13" s="1"/>
    </row>
    <row r="14" ht="14.25" customHeight="1">
      <c r="A14" s="119" t="s">
        <v>882</v>
      </c>
      <c r="B14" s="238">
        <v>25.0</v>
      </c>
      <c r="C14" s="129">
        <f t="shared" si="1"/>
        <v>45</v>
      </c>
      <c r="D14" s="176" t="s">
        <v>5</v>
      </c>
      <c r="E14" s="44" t="s">
        <v>1256</v>
      </c>
      <c r="F14" s="1"/>
      <c r="G14" s="1"/>
      <c r="H14" s="1"/>
      <c r="I14" s="1"/>
      <c r="J14" s="1"/>
      <c r="K14" s="1"/>
      <c r="L14" s="1"/>
      <c r="M14" s="1"/>
      <c r="N14" s="1"/>
    </row>
    <row r="15" ht="14.25" customHeight="1">
      <c r="A15" s="93" t="s">
        <v>13</v>
      </c>
      <c r="B15" s="195">
        <v>0.6</v>
      </c>
      <c r="C15" s="78">
        <f t="shared" si="1"/>
        <v>1.08</v>
      </c>
      <c r="D15" s="165" t="s">
        <v>14</v>
      </c>
      <c r="E15" s="47"/>
      <c r="F15" s="1"/>
      <c r="G15" s="1"/>
      <c r="H15" s="1"/>
      <c r="I15" s="1"/>
      <c r="J15" s="1"/>
      <c r="K15" s="1"/>
      <c r="L15" s="1"/>
      <c r="M15" s="1"/>
      <c r="N15" s="1"/>
    </row>
    <row r="16" ht="14.25" customHeight="1">
      <c r="A16" s="105" t="s">
        <v>31</v>
      </c>
      <c r="B16" s="200">
        <v>1450.0</v>
      </c>
      <c r="C16" s="56">
        <f t="shared" si="1"/>
        <v>2610</v>
      </c>
      <c r="D16" s="172" t="s">
        <v>18</v>
      </c>
      <c r="E16" s="76"/>
      <c r="F16" s="1"/>
      <c r="G16" s="1"/>
      <c r="H16" s="1"/>
      <c r="I16" s="1"/>
      <c r="J16" s="1"/>
      <c r="K16" s="1"/>
      <c r="L16" s="1"/>
      <c r="M16" s="1"/>
      <c r="N16" s="1"/>
    </row>
    <row r="17" ht="14.25" customHeight="1">
      <c r="A17" s="119" t="s">
        <v>1258</v>
      </c>
      <c r="B17" s="238">
        <v>50.0</v>
      </c>
      <c r="C17" s="542">
        <f t="shared" si="1"/>
        <v>90</v>
      </c>
      <c r="D17" s="176" t="s">
        <v>14</v>
      </c>
      <c r="E17" s="44" t="s">
        <v>1259</v>
      </c>
      <c r="F17" s="1"/>
      <c r="G17" s="1"/>
      <c r="H17" s="1"/>
      <c r="I17" s="1"/>
      <c r="J17" s="1"/>
      <c r="K17" s="1"/>
      <c r="L17" s="1"/>
      <c r="M17" s="1"/>
      <c r="N17" s="1"/>
    </row>
    <row r="18" ht="14.25" customHeight="1">
      <c r="A18" s="93" t="s">
        <v>1260</v>
      </c>
      <c r="B18" s="195">
        <v>25.0</v>
      </c>
      <c r="C18" s="146">
        <f t="shared" si="1"/>
        <v>45</v>
      </c>
      <c r="D18" s="165" t="s">
        <v>14</v>
      </c>
      <c r="E18" s="47"/>
      <c r="F18" s="1"/>
      <c r="G18" s="1"/>
      <c r="H18" s="1"/>
      <c r="I18" s="1"/>
      <c r="J18" s="1"/>
      <c r="K18" s="1"/>
      <c r="L18" s="1"/>
      <c r="M18" s="1"/>
      <c r="N18" s="1"/>
    </row>
    <row r="19" ht="14.25" customHeight="1">
      <c r="A19" s="105" t="s">
        <v>1262</v>
      </c>
      <c r="B19" s="200">
        <v>12.5</v>
      </c>
      <c r="C19" s="56">
        <f t="shared" si="1"/>
        <v>22.5</v>
      </c>
      <c r="D19" s="172" t="s">
        <v>14</v>
      </c>
      <c r="E19" s="76"/>
      <c r="F19" s="1"/>
      <c r="G19" s="1"/>
      <c r="H19" s="1"/>
      <c r="I19" s="1"/>
      <c r="J19" s="1"/>
      <c r="K19" s="1"/>
      <c r="L19" s="1"/>
      <c r="M19" s="1"/>
      <c r="N19" s="1"/>
    </row>
    <row r="20" ht="14.25" customHeight="1">
      <c r="A20" s="93" t="s">
        <v>1264</v>
      </c>
      <c r="B20" s="195">
        <v>250.0</v>
      </c>
      <c r="C20" s="146">
        <f t="shared" si="1"/>
        <v>450</v>
      </c>
      <c r="D20" s="165" t="s">
        <v>82</v>
      </c>
      <c r="E20" s="44" t="s">
        <v>204</v>
      </c>
      <c r="F20" s="1"/>
      <c r="G20" s="1"/>
      <c r="H20" s="1"/>
      <c r="I20" s="1"/>
      <c r="J20" s="1"/>
      <c r="K20" s="1"/>
      <c r="L20" s="1"/>
      <c r="M20" s="1"/>
      <c r="N20" s="1"/>
    </row>
    <row r="21" ht="14.25" customHeight="1">
      <c r="A21" s="105" t="s">
        <v>114</v>
      </c>
      <c r="B21" s="200">
        <v>3.0</v>
      </c>
      <c r="C21" s="56">
        <f t="shared" si="1"/>
        <v>5.4</v>
      </c>
      <c r="D21" s="172" t="s">
        <v>5</v>
      </c>
      <c r="E21" s="76"/>
      <c r="F21" s="1"/>
      <c r="G21" s="1"/>
      <c r="H21" s="1"/>
      <c r="I21" s="1"/>
      <c r="J21" s="1"/>
      <c r="K21" s="1"/>
      <c r="L21" s="1"/>
      <c r="M21" s="1"/>
      <c r="N21" s="1"/>
    </row>
    <row r="22" ht="14.25" customHeight="1">
      <c r="A22" s="203" t="s">
        <v>49</v>
      </c>
      <c r="B22" s="340">
        <v>41399.0</v>
      </c>
      <c r="C22" s="184"/>
      <c r="D22" s="108"/>
      <c r="E22" s="1"/>
      <c r="F22" s="1"/>
      <c r="G22" s="1"/>
      <c r="H22" s="1"/>
      <c r="I22" s="1"/>
      <c r="J22" s="1"/>
      <c r="K22" s="1"/>
      <c r="L22" s="1"/>
      <c r="M22" s="1"/>
      <c r="N22" s="1"/>
    </row>
    <row r="23" ht="14.25" customHeight="1">
      <c r="A23" s="342" t="s">
        <v>50</v>
      </c>
      <c r="B23" s="340">
        <v>41751.0</v>
      </c>
      <c r="C23" s="184"/>
      <c r="D23" s="108"/>
      <c r="E23" s="1"/>
      <c r="F23" s="1"/>
      <c r="G23" s="1"/>
      <c r="H23" s="1"/>
      <c r="I23" s="1"/>
      <c r="J23" s="1"/>
      <c r="K23" s="1"/>
      <c r="L23" s="1"/>
      <c r="M23" s="1"/>
      <c r="N23" s="1"/>
    </row>
    <row r="24" ht="14.25" customHeight="1">
      <c r="A24" s="1135" t="s">
        <v>119</v>
      </c>
      <c r="B24" s="1137" t="s">
        <v>725</v>
      </c>
      <c r="C24" s="184"/>
      <c r="D24" s="108"/>
      <c r="E24" s="1"/>
      <c r="F24" s="1"/>
      <c r="G24" s="1"/>
      <c r="H24" s="1"/>
      <c r="I24" s="1"/>
      <c r="J24" s="1"/>
      <c r="K24" s="1"/>
      <c r="L24" s="1"/>
      <c r="M24" s="1"/>
      <c r="N24" s="1"/>
    </row>
    <row r="25" ht="14.25" customHeight="1">
      <c r="A25" s="1"/>
      <c r="B25" s="107"/>
      <c r="C25" s="184"/>
      <c r="D25" s="108"/>
      <c r="E25" s="1"/>
      <c r="F25" s="1"/>
      <c r="G25" s="1"/>
      <c r="H25" s="1"/>
      <c r="I25" s="1"/>
      <c r="J25" s="1"/>
      <c r="K25" s="1"/>
      <c r="L25" s="1"/>
      <c r="M25" s="1"/>
      <c r="N25" s="1"/>
    </row>
    <row r="26" ht="14.25" customHeight="1">
      <c r="A26" s="209" t="s">
        <v>276</v>
      </c>
      <c r="B26" s="18"/>
      <c r="C26" s="18"/>
      <c r="D26" s="19"/>
      <c r="E26" s="207"/>
      <c r="F26" s="1"/>
      <c r="G26" s="1"/>
      <c r="H26" s="1"/>
      <c r="I26" s="1"/>
      <c r="J26" s="1"/>
      <c r="K26" s="1"/>
      <c r="L26" s="1"/>
      <c r="M26" s="1"/>
      <c r="N26" s="1"/>
    </row>
    <row r="27" ht="14.25" customHeight="1">
      <c r="A27" s="51" t="s">
        <v>1</v>
      </c>
      <c r="B27" s="190">
        <v>60.0</v>
      </c>
      <c r="C27" s="513">
        <v>10.0</v>
      </c>
      <c r="D27" s="125" t="s">
        <v>5</v>
      </c>
      <c r="E27" s="207"/>
      <c r="F27" s="1"/>
      <c r="G27" s="1"/>
      <c r="H27" s="1"/>
      <c r="I27" s="1"/>
      <c r="J27" s="1"/>
      <c r="K27" s="1"/>
      <c r="L27" s="1"/>
      <c r="M27" s="1"/>
      <c r="N27" s="1"/>
    </row>
    <row r="28" ht="14.25" customHeight="1">
      <c r="A28" s="68" t="s">
        <v>743</v>
      </c>
      <c r="B28" s="145">
        <v>2.0</v>
      </c>
      <c r="C28" s="155">
        <f t="shared" ref="C28:C39" si="2">(B28*C27)/B27</f>
        <v>0.3333333333</v>
      </c>
      <c r="D28" s="137" t="s">
        <v>5</v>
      </c>
      <c r="E28" s="44" t="s">
        <v>1276</v>
      </c>
      <c r="F28" s="1"/>
      <c r="G28" s="1"/>
      <c r="H28" s="1"/>
      <c r="I28" s="1"/>
      <c r="J28" s="1"/>
      <c r="K28" s="1"/>
      <c r="L28" s="1"/>
      <c r="M28" s="1"/>
      <c r="N28" s="1"/>
    </row>
    <row r="29" ht="14.25" customHeight="1">
      <c r="A29" s="93" t="s">
        <v>1136</v>
      </c>
      <c r="B29" s="195">
        <v>10.0</v>
      </c>
      <c r="C29" s="78">
        <f t="shared" si="2"/>
        <v>1.666666667</v>
      </c>
      <c r="D29" s="165" t="s">
        <v>14</v>
      </c>
      <c r="E29" s="47"/>
      <c r="F29" s="1"/>
      <c r="G29" s="1"/>
      <c r="H29" s="1"/>
      <c r="I29" s="1"/>
      <c r="J29" s="1"/>
      <c r="K29" s="1"/>
      <c r="L29" s="1"/>
      <c r="M29" s="1"/>
      <c r="N29" s="1"/>
    </row>
    <row r="30" ht="14.25" customHeight="1">
      <c r="A30" s="93" t="s">
        <v>1138</v>
      </c>
      <c r="B30" s="195">
        <v>300.0</v>
      </c>
      <c r="C30" s="78">
        <f t="shared" si="2"/>
        <v>50</v>
      </c>
      <c r="D30" s="165" t="s">
        <v>18</v>
      </c>
      <c r="E30" s="47"/>
      <c r="F30" s="1"/>
      <c r="G30" s="1"/>
      <c r="H30" s="1"/>
      <c r="I30" s="1"/>
      <c r="J30" s="1"/>
      <c r="K30" s="1"/>
      <c r="L30" s="1"/>
      <c r="M30" s="1"/>
      <c r="N30" s="1"/>
    </row>
    <row r="31" ht="14.25" customHeight="1">
      <c r="A31" s="105" t="s">
        <v>1046</v>
      </c>
      <c r="B31" s="200">
        <v>300.0</v>
      </c>
      <c r="C31" s="56">
        <f t="shared" si="2"/>
        <v>50</v>
      </c>
      <c r="D31" s="172" t="s">
        <v>18</v>
      </c>
      <c r="E31" s="76"/>
      <c r="F31" s="1"/>
      <c r="G31" s="1"/>
      <c r="H31" s="1"/>
      <c r="I31" s="1"/>
      <c r="J31" s="1"/>
      <c r="K31" s="1"/>
      <c r="L31" s="1"/>
      <c r="M31" s="1"/>
      <c r="N31" s="1"/>
    </row>
    <row r="32" ht="14.25" customHeight="1">
      <c r="A32" s="1145" t="s">
        <v>1140</v>
      </c>
      <c r="B32" s="1149">
        <v>35.0</v>
      </c>
      <c r="C32" s="1168">
        <f t="shared" si="2"/>
        <v>5.833333333</v>
      </c>
      <c r="D32" s="1170" t="s">
        <v>5</v>
      </c>
      <c r="E32" s="1004" t="s">
        <v>1294</v>
      </c>
      <c r="F32" s="1"/>
      <c r="G32" s="1"/>
      <c r="H32" s="1"/>
      <c r="I32" s="1"/>
      <c r="J32" s="1"/>
      <c r="K32" s="1"/>
      <c r="L32" s="1"/>
      <c r="M32" s="1"/>
      <c r="N32" s="1"/>
    </row>
    <row r="33" ht="14.25" customHeight="1">
      <c r="A33" s="1175" t="s">
        <v>1140</v>
      </c>
      <c r="B33" s="1178">
        <v>30.0</v>
      </c>
      <c r="C33" s="1179">
        <f t="shared" si="2"/>
        <v>5</v>
      </c>
      <c r="D33" s="1180" t="s">
        <v>5</v>
      </c>
      <c r="E33" s="1004" t="s">
        <v>1297</v>
      </c>
      <c r="F33" s="1"/>
      <c r="G33" s="1"/>
      <c r="H33" s="1"/>
      <c r="I33" s="1"/>
      <c r="J33" s="1"/>
      <c r="K33" s="1"/>
      <c r="L33" s="1"/>
      <c r="M33" s="1"/>
      <c r="N33" s="1"/>
    </row>
    <row r="34" ht="14.25" customHeight="1">
      <c r="A34" s="68" t="s">
        <v>80</v>
      </c>
      <c r="B34" s="145">
        <v>24.0</v>
      </c>
      <c r="C34" s="155">
        <f t="shared" si="2"/>
        <v>4</v>
      </c>
      <c r="D34" s="137" t="s">
        <v>14</v>
      </c>
      <c r="E34" s="264" t="s">
        <v>1301</v>
      </c>
      <c r="F34" s="1"/>
      <c r="G34" s="1"/>
      <c r="H34" s="1"/>
      <c r="I34" s="1"/>
      <c r="J34" s="1"/>
      <c r="K34" s="1"/>
      <c r="L34" s="1"/>
      <c r="M34" s="1"/>
      <c r="N34" s="1"/>
    </row>
    <row r="35" ht="14.25" customHeight="1">
      <c r="A35" s="138" t="s">
        <v>59</v>
      </c>
      <c r="B35" s="279">
        <v>2.5</v>
      </c>
      <c r="C35" s="146">
        <f t="shared" si="2"/>
        <v>0.4166666667</v>
      </c>
      <c r="D35" s="281" t="s">
        <v>5</v>
      </c>
      <c r="E35" s="106"/>
      <c r="F35" s="1"/>
      <c r="G35" s="1"/>
      <c r="H35" s="1"/>
      <c r="I35" s="1"/>
      <c r="J35" s="1"/>
      <c r="K35" s="1"/>
      <c r="L35" s="1"/>
      <c r="M35" s="1"/>
      <c r="N35" s="1"/>
    </row>
    <row r="36" ht="14.25" customHeight="1">
      <c r="A36" s="68" t="s">
        <v>963</v>
      </c>
      <c r="B36" s="145">
        <v>10.0</v>
      </c>
      <c r="C36" s="155">
        <f t="shared" si="2"/>
        <v>1.666666667</v>
      </c>
      <c r="D36" s="137" t="s">
        <v>1305</v>
      </c>
      <c r="E36" s="264" t="s">
        <v>1306</v>
      </c>
      <c r="F36" s="1"/>
      <c r="G36" s="1"/>
      <c r="H36" s="1"/>
      <c r="I36" s="1"/>
      <c r="J36" s="1"/>
      <c r="K36" s="1"/>
      <c r="L36" s="1"/>
      <c r="M36" s="1"/>
      <c r="N36" s="1"/>
    </row>
    <row r="37" ht="14.25" customHeight="1">
      <c r="A37" s="93" t="s">
        <v>1308</v>
      </c>
      <c r="B37" s="195">
        <v>60.0</v>
      </c>
      <c r="C37" s="78">
        <f t="shared" si="2"/>
        <v>10</v>
      </c>
      <c r="D37" s="165" t="s">
        <v>18</v>
      </c>
      <c r="E37" s="66"/>
      <c r="F37" s="1"/>
      <c r="G37" s="1"/>
      <c r="H37" s="1"/>
      <c r="I37" s="1"/>
      <c r="J37" s="1"/>
      <c r="K37" s="1"/>
      <c r="L37" s="1"/>
      <c r="M37" s="1"/>
      <c r="N37" s="1"/>
    </row>
    <row r="38" ht="14.25" customHeight="1">
      <c r="A38" s="105" t="s">
        <v>1309</v>
      </c>
      <c r="B38" s="200">
        <v>2.5</v>
      </c>
      <c r="C38" s="56">
        <f t="shared" si="2"/>
        <v>0.4166666667</v>
      </c>
      <c r="D38" s="172" t="s">
        <v>5</v>
      </c>
      <c r="E38" s="106"/>
      <c r="F38" s="1"/>
      <c r="G38" s="1"/>
      <c r="H38" s="1"/>
      <c r="I38" s="1"/>
      <c r="J38" s="1"/>
      <c r="K38" s="1"/>
      <c r="L38" s="1"/>
      <c r="M38" s="1"/>
      <c r="N38" s="1"/>
    </row>
    <row r="39" ht="14.25" customHeight="1">
      <c r="A39" s="149" t="s">
        <v>34</v>
      </c>
      <c r="B39" s="152">
        <v>2.0</v>
      </c>
      <c r="C39" s="274">
        <f t="shared" si="2"/>
        <v>0.3333333333</v>
      </c>
      <c r="D39" s="156" t="s">
        <v>5</v>
      </c>
      <c r="E39" s="1186"/>
      <c r="F39" s="1"/>
      <c r="G39" s="1"/>
      <c r="H39" s="1"/>
      <c r="I39" s="1"/>
      <c r="J39" s="1"/>
      <c r="K39" s="1"/>
      <c r="L39" s="1"/>
      <c r="M39" s="1"/>
      <c r="N39" s="1"/>
    </row>
    <row r="40" ht="14.25" customHeight="1">
      <c r="A40" s="1187" t="s">
        <v>119</v>
      </c>
      <c r="B40" s="818" t="s">
        <v>47</v>
      </c>
      <c r="C40" s="184"/>
      <c r="D40" s="108"/>
      <c r="E40" s="1"/>
      <c r="F40" s="1"/>
      <c r="G40" s="1"/>
      <c r="H40" s="1"/>
      <c r="I40" s="1"/>
      <c r="J40" s="1"/>
      <c r="K40" s="1"/>
      <c r="L40" s="1"/>
      <c r="M40" s="1"/>
      <c r="N40" s="1"/>
    </row>
    <row r="41" ht="14.25" customHeight="1">
      <c r="A41" s="90" t="s">
        <v>120</v>
      </c>
      <c r="B41" s="1188">
        <v>41119.0</v>
      </c>
      <c r="C41" s="184"/>
      <c r="D41" s="108"/>
      <c r="E41" s="1"/>
      <c r="F41" s="1"/>
      <c r="G41" s="1"/>
      <c r="H41" s="1"/>
      <c r="I41" s="1"/>
      <c r="J41" s="1"/>
      <c r="K41" s="1"/>
      <c r="L41" s="1"/>
      <c r="M41" s="1"/>
      <c r="N41" s="1"/>
    </row>
    <row r="42" ht="14.25" customHeight="1">
      <c r="A42" s="305" t="s">
        <v>50</v>
      </c>
      <c r="B42" s="1188">
        <v>41119.0</v>
      </c>
      <c r="C42" s="184"/>
      <c r="D42" s="108"/>
      <c r="E42" s="1"/>
      <c r="F42" s="1"/>
      <c r="G42" s="1"/>
      <c r="H42" s="1"/>
      <c r="I42" s="1"/>
      <c r="J42" s="1"/>
      <c r="K42" s="1"/>
      <c r="L42" s="1"/>
      <c r="M42" s="1"/>
      <c r="N42" s="1"/>
    </row>
    <row r="43" ht="14.25" customHeight="1">
      <c r="A43" s="1"/>
      <c r="B43" s="107"/>
      <c r="C43" s="184"/>
      <c r="D43" s="108"/>
      <c r="E43" s="1"/>
      <c r="F43" s="1"/>
      <c r="G43" s="1"/>
      <c r="H43" s="1"/>
      <c r="I43" s="1"/>
      <c r="J43" s="1"/>
      <c r="K43" s="1"/>
      <c r="L43" s="1"/>
      <c r="M43" s="1"/>
      <c r="N43" s="1"/>
    </row>
    <row r="44" ht="14.25" customHeight="1">
      <c r="A44" s="927" t="s">
        <v>302</v>
      </c>
      <c r="B44" s="5"/>
      <c r="C44" s="5"/>
      <c r="D44" s="6"/>
      <c r="E44" s="207"/>
      <c r="F44" s="1"/>
      <c r="G44" s="1"/>
      <c r="H44" s="1"/>
      <c r="I44" s="1"/>
      <c r="J44" s="1"/>
      <c r="K44" s="1"/>
      <c r="L44" s="1"/>
      <c r="M44" s="1"/>
      <c r="N44" s="1"/>
    </row>
    <row r="45" ht="14.25" customHeight="1">
      <c r="A45" s="51" t="s">
        <v>1</v>
      </c>
      <c r="B45" s="190">
        <v>100.0</v>
      </c>
      <c r="C45" s="513">
        <v>60.0</v>
      </c>
      <c r="D45" s="125" t="s">
        <v>5</v>
      </c>
      <c r="E45" s="207"/>
      <c r="F45" s="1"/>
      <c r="G45" s="1"/>
      <c r="H45" s="1"/>
      <c r="I45" s="1"/>
      <c r="J45" s="1"/>
      <c r="K45" s="1"/>
      <c r="L45" s="1"/>
      <c r="M45" s="1"/>
      <c r="N45" s="1"/>
    </row>
    <row r="46" ht="14.25" customHeight="1">
      <c r="A46" s="68" t="s">
        <v>34</v>
      </c>
      <c r="B46" s="145">
        <v>8.0</v>
      </c>
      <c r="C46" s="155">
        <f t="shared" ref="C46:C50" si="3">(B46*C45)/B45</f>
        <v>4.8</v>
      </c>
      <c r="D46" s="137" t="s">
        <v>5</v>
      </c>
      <c r="E46" s="140" t="s">
        <v>1320</v>
      </c>
      <c r="F46" s="1"/>
      <c r="G46" s="1"/>
      <c r="H46" s="1"/>
      <c r="I46" s="1"/>
      <c r="J46" s="1"/>
      <c r="K46" s="1"/>
      <c r="L46" s="1"/>
      <c r="M46" s="1"/>
      <c r="N46" s="1"/>
    </row>
    <row r="47" ht="14.25" customHeight="1">
      <c r="A47" s="93" t="s">
        <v>1136</v>
      </c>
      <c r="B47" s="195">
        <v>12.5</v>
      </c>
      <c r="C47" s="78">
        <f t="shared" si="3"/>
        <v>7.5</v>
      </c>
      <c r="D47" s="165" t="s">
        <v>14</v>
      </c>
      <c r="F47" s="1"/>
      <c r="G47" s="1"/>
      <c r="H47" s="1"/>
      <c r="I47" s="1"/>
      <c r="J47" s="1"/>
      <c r="K47" s="1"/>
      <c r="L47" s="1"/>
      <c r="M47" s="1"/>
      <c r="N47" s="1"/>
    </row>
    <row r="48" ht="14.25" customHeight="1">
      <c r="A48" s="93" t="s">
        <v>1322</v>
      </c>
      <c r="B48" s="195">
        <v>250.0</v>
      </c>
      <c r="C48" s="78">
        <f t="shared" si="3"/>
        <v>150</v>
      </c>
      <c r="D48" s="165" t="s">
        <v>18</v>
      </c>
      <c r="F48" s="1"/>
      <c r="G48" s="1"/>
      <c r="H48" s="1"/>
      <c r="I48" s="1"/>
      <c r="J48" s="1"/>
      <c r="K48" s="1"/>
      <c r="L48" s="1"/>
      <c r="M48" s="1"/>
      <c r="N48" s="1"/>
    </row>
    <row r="49" ht="14.25" customHeight="1">
      <c r="A49" s="93" t="s">
        <v>1046</v>
      </c>
      <c r="B49" s="195">
        <v>500.0</v>
      </c>
      <c r="C49" s="78">
        <f t="shared" si="3"/>
        <v>300</v>
      </c>
      <c r="D49" s="165" t="s">
        <v>18</v>
      </c>
      <c r="F49" s="1"/>
      <c r="G49" s="1"/>
      <c r="H49" s="1"/>
      <c r="I49" s="1"/>
      <c r="J49" s="1"/>
      <c r="K49" s="1"/>
      <c r="L49" s="1"/>
      <c r="M49" s="1"/>
      <c r="N49" s="1"/>
    </row>
    <row r="50" ht="14.25" customHeight="1">
      <c r="A50" s="138" t="s">
        <v>1324</v>
      </c>
      <c r="B50" s="279">
        <v>0.75</v>
      </c>
      <c r="C50" s="146">
        <f t="shared" si="3"/>
        <v>0.45</v>
      </c>
      <c r="D50" s="281" t="s">
        <v>14</v>
      </c>
      <c r="E50" s="104"/>
      <c r="F50" s="1"/>
      <c r="G50" s="1"/>
      <c r="H50" s="1"/>
      <c r="I50" s="1"/>
      <c r="J50" s="1"/>
      <c r="K50" s="1"/>
      <c r="L50" s="1"/>
      <c r="M50" s="1"/>
      <c r="N50" s="1"/>
    </row>
    <row r="51" ht="15.0" customHeight="1">
      <c r="A51" s="68" t="s">
        <v>1140</v>
      </c>
      <c r="B51" s="1192">
        <f t="shared" ref="B51:C51" si="4">+IF(B47&lt;10,4*B47,IF(B47&gt;=15,3.5*B47,(3.5+(15-B47)*0.1)*B47))</f>
        <v>46.875</v>
      </c>
      <c r="C51" s="1193">
        <f t="shared" si="4"/>
        <v>30</v>
      </c>
      <c r="D51" s="137" t="s">
        <v>5</v>
      </c>
      <c r="E51" s="140" t="s">
        <v>1337</v>
      </c>
      <c r="F51" s="1"/>
      <c r="G51" s="1"/>
      <c r="H51" s="1"/>
      <c r="I51" s="1"/>
      <c r="J51" s="1"/>
      <c r="K51" s="1"/>
      <c r="L51" s="1"/>
      <c r="M51" s="1"/>
      <c r="N51" s="1"/>
    </row>
    <row r="52" ht="14.25" customHeight="1">
      <c r="A52" s="93" t="s">
        <v>13</v>
      </c>
      <c r="B52" s="195">
        <v>25.0</v>
      </c>
      <c r="C52" s="78">
        <f>(B52*C49)/B49</f>
        <v>15</v>
      </c>
      <c r="D52" s="165" t="s">
        <v>14</v>
      </c>
      <c r="F52" s="1"/>
      <c r="G52" s="1"/>
      <c r="H52" s="1"/>
      <c r="I52" s="1"/>
      <c r="J52" s="1"/>
      <c r="K52" s="1"/>
      <c r="L52" s="1"/>
      <c r="M52" s="1"/>
      <c r="N52" s="1"/>
    </row>
    <row r="53" ht="14.25" customHeight="1">
      <c r="A53" s="105" t="s">
        <v>31</v>
      </c>
      <c r="B53" s="200">
        <v>100.0</v>
      </c>
      <c r="C53" s="56">
        <f t="shared" ref="C53:C57" si="5">(B53*C52)/B52</f>
        <v>60</v>
      </c>
      <c r="D53" s="172" t="s">
        <v>18</v>
      </c>
      <c r="E53" s="104"/>
      <c r="F53" s="1"/>
      <c r="G53" s="1"/>
      <c r="H53" s="1"/>
      <c r="I53" s="1"/>
      <c r="J53" s="1"/>
      <c r="K53" s="1"/>
      <c r="L53" s="1"/>
      <c r="M53" s="1"/>
      <c r="N53" s="1"/>
    </row>
    <row r="54" ht="14.25" customHeight="1">
      <c r="A54" s="68" t="s">
        <v>17</v>
      </c>
      <c r="B54" s="145">
        <v>100.0</v>
      </c>
      <c r="C54" s="155">
        <f t="shared" si="5"/>
        <v>60</v>
      </c>
      <c r="D54" s="137" t="s">
        <v>18</v>
      </c>
      <c r="E54" s="140" t="s">
        <v>1339</v>
      </c>
      <c r="F54" s="1"/>
      <c r="G54" s="1"/>
      <c r="H54" s="1"/>
      <c r="I54" s="1"/>
      <c r="J54" s="1"/>
      <c r="K54" s="1"/>
      <c r="L54" s="1"/>
      <c r="M54" s="1"/>
      <c r="N54" s="1"/>
    </row>
    <row r="55" ht="14.25" customHeight="1">
      <c r="A55" s="93" t="s">
        <v>1148</v>
      </c>
      <c r="B55" s="195">
        <v>8.0</v>
      </c>
      <c r="C55" s="78">
        <f t="shared" si="5"/>
        <v>4.8</v>
      </c>
      <c r="D55" s="165" t="s">
        <v>14</v>
      </c>
      <c r="F55" s="1"/>
      <c r="G55" s="1"/>
      <c r="H55" s="1"/>
      <c r="I55" s="1"/>
      <c r="J55" s="1"/>
      <c r="K55" s="1"/>
      <c r="L55" s="1"/>
      <c r="M55" s="1"/>
      <c r="N55" s="1"/>
    </row>
    <row r="56" ht="14.25" customHeight="1">
      <c r="A56" s="93" t="s">
        <v>13</v>
      </c>
      <c r="B56" s="195">
        <v>6.0</v>
      </c>
      <c r="C56" s="78">
        <f t="shared" si="5"/>
        <v>3.6</v>
      </c>
      <c r="D56" s="165" t="s">
        <v>14</v>
      </c>
      <c r="F56" s="1"/>
      <c r="G56" s="1"/>
      <c r="H56" s="1"/>
      <c r="I56" s="1"/>
      <c r="J56" s="1"/>
      <c r="K56" s="1"/>
      <c r="L56" s="1"/>
      <c r="M56" s="1"/>
      <c r="N56" s="1"/>
    </row>
    <row r="57" ht="14.25" customHeight="1">
      <c r="A57" s="105" t="s">
        <v>157</v>
      </c>
      <c r="B57" s="200">
        <v>14.0</v>
      </c>
      <c r="C57" s="56">
        <f t="shared" si="5"/>
        <v>8.4</v>
      </c>
      <c r="D57" s="172" t="s">
        <v>5</v>
      </c>
      <c r="E57" s="104"/>
      <c r="F57" s="1"/>
      <c r="G57" s="1"/>
      <c r="H57" s="1"/>
      <c r="I57" s="1"/>
      <c r="J57" s="1"/>
      <c r="K57" s="1"/>
      <c r="L57" s="1"/>
      <c r="M57" s="1"/>
      <c r="N57" s="1"/>
    </row>
    <row r="58" ht="14.25" customHeight="1">
      <c r="A58" s="1187" t="s">
        <v>119</v>
      </c>
      <c r="B58" s="818" t="s">
        <v>47</v>
      </c>
      <c r="C58" s="184"/>
      <c r="D58" s="108"/>
      <c r="E58" s="1"/>
      <c r="F58" s="1"/>
      <c r="G58" s="1"/>
      <c r="H58" s="1"/>
      <c r="I58" s="1"/>
      <c r="J58" s="1"/>
      <c r="K58" s="1"/>
      <c r="L58" s="1"/>
      <c r="M58" s="1"/>
      <c r="N58" s="1"/>
    </row>
    <row r="59" ht="14.25" customHeight="1">
      <c r="A59" s="381" t="s">
        <v>120</v>
      </c>
      <c r="B59" s="1198">
        <v>41157.0</v>
      </c>
      <c r="C59" s="184"/>
      <c r="D59" s="108"/>
      <c r="E59" s="1"/>
      <c r="F59" s="1"/>
      <c r="G59" s="1"/>
      <c r="H59" s="1"/>
      <c r="I59" s="1"/>
      <c r="J59" s="1"/>
      <c r="K59" s="1"/>
      <c r="L59" s="1"/>
      <c r="M59" s="1"/>
      <c r="N59" s="1"/>
    </row>
    <row r="60" ht="14.25" customHeight="1">
      <c r="A60" s="1200" t="s">
        <v>50</v>
      </c>
      <c r="B60" s="1198">
        <v>41207.0</v>
      </c>
      <c r="C60" s="184"/>
      <c r="D60" s="108"/>
      <c r="E60" s="1"/>
      <c r="F60" s="1"/>
      <c r="G60" s="1">
        <f>35*45</f>
        <v>1575</v>
      </c>
      <c r="H60" s="1"/>
      <c r="I60" s="1"/>
      <c r="J60" s="1"/>
      <c r="K60" s="1"/>
      <c r="L60" s="1"/>
      <c r="M60" s="1"/>
      <c r="N60" s="1"/>
    </row>
    <row r="61" ht="15.75" customHeight="1">
      <c r="A61" s="1"/>
      <c r="B61" s="107"/>
      <c r="C61" s="184"/>
      <c r="D61" s="108"/>
      <c r="E61" s="1"/>
      <c r="F61" s="1"/>
      <c r="G61" s="1"/>
      <c r="H61" s="1"/>
      <c r="I61" s="1"/>
      <c r="J61" s="1"/>
      <c r="K61" s="1"/>
      <c r="L61" s="1"/>
      <c r="M61" s="1"/>
      <c r="N61" s="1"/>
    </row>
    <row r="62" ht="15.75" customHeight="1">
      <c r="A62" s="206" t="s">
        <v>416</v>
      </c>
      <c r="B62" s="5"/>
      <c r="C62" s="5"/>
      <c r="D62" s="6"/>
      <c r="E62" s="207"/>
      <c r="F62" s="1"/>
      <c r="G62" s="1"/>
      <c r="H62" s="1"/>
      <c r="I62" s="1"/>
      <c r="J62" s="1"/>
      <c r="K62" s="1"/>
      <c r="L62" s="1"/>
      <c r="M62" s="1"/>
      <c r="N62" s="1"/>
    </row>
    <row r="63" ht="15.75" customHeight="1">
      <c r="A63" s="51" t="s">
        <v>1</v>
      </c>
      <c r="B63" s="121">
        <v>100.0</v>
      </c>
      <c r="C63" s="513">
        <v>100.0</v>
      </c>
      <c r="D63" s="125" t="s">
        <v>5</v>
      </c>
      <c r="E63" s="44" t="s">
        <v>1352</v>
      </c>
      <c r="F63" s="1"/>
      <c r="G63" s="1"/>
      <c r="H63" s="1"/>
      <c r="I63" s="1"/>
      <c r="J63" s="1"/>
      <c r="K63" s="1"/>
      <c r="L63" s="1"/>
      <c r="M63" s="1"/>
      <c r="N63" s="1"/>
    </row>
    <row r="64" ht="15.75" customHeight="1">
      <c r="A64" s="68" t="s">
        <v>15</v>
      </c>
      <c r="B64" s="1202">
        <v>100.0</v>
      </c>
      <c r="C64" s="1204">
        <f t="shared" ref="C64:C68" si="6">(B64*C63)/B63</f>
        <v>100</v>
      </c>
      <c r="D64" s="137" t="s">
        <v>5</v>
      </c>
      <c r="E64" s="47"/>
      <c r="F64" s="1"/>
      <c r="G64" s="1"/>
      <c r="H64" s="1"/>
      <c r="I64" s="1"/>
      <c r="J64" s="1"/>
      <c r="K64" s="1"/>
      <c r="L64" s="1"/>
      <c r="M64" s="1"/>
      <c r="N64" s="1"/>
    </row>
    <row r="65" ht="15.75" customHeight="1">
      <c r="A65" s="119" t="s">
        <v>1358</v>
      </c>
      <c r="B65" s="1209">
        <v>90.0</v>
      </c>
      <c r="C65" s="1211">
        <f t="shared" si="6"/>
        <v>90</v>
      </c>
      <c r="D65" s="176" t="s">
        <v>5</v>
      </c>
      <c r="E65" s="47"/>
      <c r="F65" s="1"/>
      <c r="G65" s="1"/>
      <c r="H65" s="1"/>
      <c r="I65" s="1"/>
      <c r="J65" s="1"/>
      <c r="K65" s="1"/>
      <c r="L65" s="1"/>
      <c r="M65" s="1"/>
      <c r="N65" s="1"/>
    </row>
    <row r="66" ht="15.75" customHeight="1">
      <c r="A66" s="93" t="s">
        <v>1136</v>
      </c>
      <c r="B66" s="1213">
        <v>6.5</v>
      </c>
      <c r="C66" s="1214">
        <f t="shared" si="6"/>
        <v>6.5</v>
      </c>
      <c r="D66" s="165" t="s">
        <v>366</v>
      </c>
      <c r="E66" s="47"/>
      <c r="F66" s="1"/>
      <c r="G66" s="1"/>
      <c r="H66" s="1"/>
      <c r="I66" s="1"/>
      <c r="J66" s="1"/>
      <c r="K66" s="1"/>
      <c r="L66" s="1"/>
      <c r="M66" s="1"/>
      <c r="N66" s="1"/>
    </row>
    <row r="67" ht="15.75" customHeight="1">
      <c r="A67" s="105" t="s">
        <v>743</v>
      </c>
      <c r="B67" s="1216">
        <v>1.0</v>
      </c>
      <c r="C67" s="1217">
        <f t="shared" si="6"/>
        <v>1</v>
      </c>
      <c r="D67" s="172" t="s">
        <v>5</v>
      </c>
      <c r="E67" s="47"/>
      <c r="F67" s="1"/>
      <c r="G67" s="1"/>
      <c r="H67" s="1"/>
      <c r="I67" s="1"/>
      <c r="J67" s="1"/>
      <c r="K67" s="1"/>
      <c r="L67" s="1"/>
      <c r="M67" s="1"/>
      <c r="N67" s="1"/>
    </row>
    <row r="68" ht="15.75" customHeight="1">
      <c r="A68" s="149" t="s">
        <v>13</v>
      </c>
      <c r="B68" s="1220">
        <v>20.0</v>
      </c>
      <c r="C68" s="1222">
        <f t="shared" si="6"/>
        <v>20</v>
      </c>
      <c r="D68" s="156" t="s">
        <v>366</v>
      </c>
      <c r="E68" s="76"/>
      <c r="F68" s="1"/>
      <c r="G68" s="1"/>
      <c r="H68" s="1"/>
      <c r="I68" s="1"/>
      <c r="J68" s="1"/>
      <c r="K68" s="1"/>
      <c r="L68" s="1"/>
      <c r="M68" s="1"/>
      <c r="N68" s="1"/>
    </row>
    <row r="69" ht="15.75" customHeight="1">
      <c r="A69" s="93" t="s">
        <v>743</v>
      </c>
      <c r="B69" s="1213">
        <v>0.5</v>
      </c>
      <c r="C69" s="1214">
        <f>(B69*C71)/B71</f>
        <v>0.5</v>
      </c>
      <c r="D69" s="165" t="s">
        <v>5</v>
      </c>
      <c r="E69" s="903"/>
      <c r="F69" s="1"/>
      <c r="G69" s="1"/>
      <c r="H69" s="1"/>
      <c r="I69" s="1"/>
      <c r="J69" s="1"/>
      <c r="K69" s="1"/>
      <c r="L69" s="1"/>
      <c r="M69" s="1"/>
      <c r="N69" s="1"/>
    </row>
    <row r="70" ht="15.75" customHeight="1">
      <c r="A70" s="119" t="s">
        <v>1371</v>
      </c>
      <c r="B70" s="1209">
        <v>750.0</v>
      </c>
      <c r="C70" s="1211">
        <f>(B70*C68)/B68</f>
        <v>750</v>
      </c>
      <c r="D70" s="176" t="s">
        <v>18</v>
      </c>
      <c r="E70" s="47"/>
      <c r="F70" s="1"/>
      <c r="G70" s="1"/>
      <c r="H70" s="1"/>
      <c r="I70" s="1"/>
      <c r="J70" s="1"/>
      <c r="K70" s="1"/>
      <c r="L70" s="1"/>
      <c r="M70" s="1"/>
      <c r="N70" s="1"/>
    </row>
    <row r="71" ht="15.75" customHeight="1">
      <c r="A71" s="93" t="s">
        <v>1372</v>
      </c>
      <c r="B71" s="1213">
        <v>250.0</v>
      </c>
      <c r="C71" s="1214">
        <f>(B71*C70)/B70</f>
        <v>250</v>
      </c>
      <c r="D71" s="165" t="s">
        <v>18</v>
      </c>
      <c r="E71" s="47"/>
      <c r="F71" s="1"/>
      <c r="G71" s="1"/>
      <c r="H71" s="1"/>
      <c r="I71" s="1"/>
      <c r="J71" s="1"/>
      <c r="K71" s="1"/>
      <c r="L71" s="1"/>
      <c r="M71" s="1"/>
      <c r="N71" s="1"/>
    </row>
    <row r="72" ht="15.75" customHeight="1">
      <c r="A72" s="93" t="s">
        <v>1373</v>
      </c>
      <c r="B72" s="1213">
        <v>750.0</v>
      </c>
      <c r="C72" s="1214">
        <f>(B72*C69)/B69</f>
        <v>750</v>
      </c>
      <c r="D72" s="165" t="s">
        <v>18</v>
      </c>
      <c r="E72" s="47"/>
      <c r="F72" s="1"/>
      <c r="G72" s="1"/>
      <c r="H72" s="1"/>
      <c r="I72" s="1"/>
      <c r="J72" s="1"/>
      <c r="K72" s="1"/>
      <c r="L72" s="1"/>
      <c r="M72" s="1"/>
      <c r="N72" s="1"/>
    </row>
    <row r="73" ht="15.75" customHeight="1">
      <c r="A73" s="93" t="s">
        <v>1374</v>
      </c>
      <c r="B73" s="1213">
        <v>5.0</v>
      </c>
      <c r="C73" s="1214">
        <f t="shared" ref="C73:C74" si="7">(B73*C71)/B71</f>
        <v>5</v>
      </c>
      <c r="D73" s="165" t="s">
        <v>366</v>
      </c>
      <c r="E73" s="47"/>
      <c r="F73" s="1"/>
      <c r="G73" s="1"/>
      <c r="H73" s="1"/>
      <c r="I73" s="1"/>
      <c r="J73" s="1"/>
      <c r="K73" s="1"/>
      <c r="L73" s="1"/>
      <c r="M73" s="1"/>
      <c r="N73" s="1"/>
    </row>
    <row r="74" ht="15.75" customHeight="1">
      <c r="A74" s="93" t="s">
        <v>1375</v>
      </c>
      <c r="B74" s="1213">
        <v>5.0</v>
      </c>
      <c r="C74" s="1214">
        <f t="shared" si="7"/>
        <v>5</v>
      </c>
      <c r="D74" s="165" t="s">
        <v>14</v>
      </c>
      <c r="E74" s="47"/>
      <c r="F74" s="1"/>
      <c r="G74" s="1"/>
      <c r="H74" s="1"/>
      <c r="I74" s="1"/>
      <c r="J74" s="1"/>
      <c r="K74" s="1"/>
      <c r="L74" s="1"/>
      <c r="M74" s="1"/>
      <c r="N74" s="1"/>
    </row>
    <row r="75" ht="15.75" customHeight="1">
      <c r="A75" s="93" t="s">
        <v>1376</v>
      </c>
      <c r="B75" s="195">
        <v>1500.0</v>
      </c>
      <c r="C75" s="1214">
        <f t="shared" ref="C75:C79" si="8">(B75*C74)/B74</f>
        <v>1500</v>
      </c>
      <c r="D75" s="165" t="s">
        <v>18</v>
      </c>
      <c r="E75" s="47"/>
      <c r="F75" s="1"/>
      <c r="G75" s="1"/>
      <c r="H75" s="1"/>
      <c r="I75" s="1"/>
      <c r="J75" s="1"/>
      <c r="K75" s="1"/>
      <c r="L75" s="1"/>
      <c r="M75" s="1"/>
      <c r="N75" s="1"/>
    </row>
    <row r="76" ht="15.75" customHeight="1">
      <c r="A76" s="138" t="s">
        <v>1379</v>
      </c>
      <c r="B76" s="279">
        <v>750.0</v>
      </c>
      <c r="C76" s="1229">
        <f t="shared" si="8"/>
        <v>750</v>
      </c>
      <c r="D76" s="281" t="s">
        <v>18</v>
      </c>
      <c r="E76" s="76"/>
      <c r="F76" s="1"/>
      <c r="G76" s="1"/>
      <c r="H76" s="1"/>
      <c r="I76" s="1"/>
      <c r="J76" s="1"/>
      <c r="K76" s="1"/>
      <c r="L76" s="1"/>
      <c r="M76" s="1"/>
      <c r="N76" s="1"/>
    </row>
    <row r="77" ht="15.75" customHeight="1">
      <c r="A77" s="68" t="s">
        <v>1380</v>
      </c>
      <c r="B77" s="1202">
        <v>125.0</v>
      </c>
      <c r="C77" s="1204">
        <f t="shared" si="8"/>
        <v>125</v>
      </c>
      <c r="D77" s="137" t="s">
        <v>82</v>
      </c>
      <c r="E77" s="1232"/>
      <c r="F77" s="1"/>
      <c r="G77" s="1"/>
      <c r="H77" s="1"/>
      <c r="I77" s="1"/>
      <c r="J77" s="1"/>
      <c r="K77" s="1"/>
      <c r="L77" s="1"/>
      <c r="M77" s="1"/>
      <c r="N77" s="1"/>
    </row>
    <row r="78" ht="27.0" customHeight="1">
      <c r="A78" s="105" t="s">
        <v>1383</v>
      </c>
      <c r="B78" s="1216">
        <v>5.0</v>
      </c>
      <c r="C78" s="1217">
        <f t="shared" si="8"/>
        <v>5</v>
      </c>
      <c r="D78" s="172" t="s">
        <v>18</v>
      </c>
      <c r="E78" s="1232"/>
      <c r="F78" s="1"/>
      <c r="G78" s="1"/>
      <c r="H78" s="1"/>
      <c r="I78" s="1"/>
      <c r="J78" s="1"/>
      <c r="K78" s="1"/>
      <c r="L78" s="1"/>
      <c r="M78" s="1"/>
      <c r="N78" s="1"/>
    </row>
    <row r="79" ht="15.75" customHeight="1">
      <c r="A79" s="173" t="s">
        <v>1384</v>
      </c>
      <c r="B79" s="1234">
        <v>50.0</v>
      </c>
      <c r="C79" s="1235">
        <f t="shared" si="8"/>
        <v>50</v>
      </c>
      <c r="D79" s="278" t="s">
        <v>366</v>
      </c>
      <c r="E79" s="1237"/>
      <c r="F79" s="1"/>
      <c r="G79" s="1"/>
      <c r="H79" s="1"/>
      <c r="I79" s="1"/>
      <c r="J79" s="1"/>
      <c r="K79" s="1"/>
      <c r="L79" s="1"/>
      <c r="M79" s="1"/>
      <c r="N79" s="1"/>
    </row>
    <row r="80" ht="15.75" customHeight="1">
      <c r="A80" s="1187" t="s">
        <v>119</v>
      </c>
      <c r="B80" s="818" t="s">
        <v>47</v>
      </c>
      <c r="C80" s="184"/>
      <c r="D80" s="108"/>
      <c r="E80" s="1"/>
      <c r="F80" s="1"/>
      <c r="G80" s="1"/>
      <c r="H80" s="1"/>
      <c r="I80" s="1"/>
      <c r="J80" s="1"/>
      <c r="K80" s="1"/>
      <c r="L80" s="1"/>
      <c r="M80" s="1"/>
      <c r="N80" s="1"/>
    </row>
    <row r="81" ht="15.75" customHeight="1">
      <c r="A81" s="90" t="s">
        <v>120</v>
      </c>
      <c r="B81" s="1188">
        <v>41214.0</v>
      </c>
      <c r="C81" s="184"/>
      <c r="D81" s="108"/>
      <c r="E81" s="1"/>
      <c r="F81" s="1"/>
      <c r="G81" s="1"/>
      <c r="H81" s="1"/>
      <c r="I81" s="1"/>
      <c r="J81" s="1"/>
      <c r="K81" s="1"/>
      <c r="L81" s="1"/>
      <c r="M81" s="1"/>
      <c r="N81" s="1"/>
    </row>
    <row r="82" ht="15.75" customHeight="1">
      <c r="A82" s="305" t="s">
        <v>50</v>
      </c>
      <c r="B82" s="1188">
        <v>41751.0</v>
      </c>
      <c r="C82" s="184"/>
      <c r="D82" s="108"/>
      <c r="E82" s="1"/>
      <c r="F82" s="1"/>
      <c r="G82" s="1"/>
      <c r="H82" s="1"/>
      <c r="I82" s="1"/>
      <c r="J82" s="1"/>
      <c r="K82" s="1"/>
      <c r="L82" s="1"/>
      <c r="M82" s="1"/>
      <c r="N82" s="1"/>
    </row>
    <row r="83" ht="15.75" customHeight="1">
      <c r="A83" s="1"/>
      <c r="B83" s="107"/>
      <c r="C83" s="184"/>
      <c r="D83" s="108"/>
      <c r="E83" s="1"/>
      <c r="F83" s="1"/>
      <c r="G83" s="1"/>
      <c r="H83" s="1"/>
      <c r="I83" s="1"/>
      <c r="J83" s="1"/>
      <c r="K83" s="1"/>
      <c r="L83" s="1"/>
      <c r="M83" s="1"/>
      <c r="N83" s="1"/>
    </row>
    <row r="84" ht="15.75" customHeight="1">
      <c r="A84" s="1240" t="s">
        <v>449</v>
      </c>
      <c r="B84" s="5"/>
      <c r="C84" s="5"/>
      <c r="D84" s="6"/>
      <c r="E84" s="30"/>
      <c r="F84" s="1"/>
      <c r="G84" s="1"/>
      <c r="H84" s="1"/>
      <c r="I84" s="1"/>
      <c r="J84" s="1"/>
      <c r="K84" s="1"/>
      <c r="L84" s="1"/>
      <c r="M84" s="1"/>
      <c r="N84" s="1"/>
    </row>
    <row r="85" ht="15.75" customHeight="1">
      <c r="A85" s="25" t="s">
        <v>1388</v>
      </c>
      <c r="B85" s="218">
        <v>100.0</v>
      </c>
      <c r="C85" s="526">
        <v>120.0</v>
      </c>
      <c r="D85" s="1241" t="s">
        <v>5</v>
      </c>
      <c r="E85" s="30"/>
      <c r="F85" s="1"/>
      <c r="G85" s="1"/>
      <c r="H85" s="1"/>
      <c r="I85" s="1"/>
      <c r="J85" s="1"/>
      <c r="K85" s="1"/>
      <c r="L85" s="1"/>
      <c r="M85" s="1"/>
      <c r="N85" s="1"/>
    </row>
    <row r="86" ht="15.75" customHeight="1">
      <c r="A86" s="1242" t="s">
        <v>1389</v>
      </c>
      <c r="B86" s="1243">
        <v>5.0</v>
      </c>
      <c r="C86" s="1244">
        <f t="shared" ref="C86:C97" si="9">(B86*C85)/B85</f>
        <v>6</v>
      </c>
      <c r="D86" s="1245" t="s">
        <v>14</v>
      </c>
      <c r="E86" s="264" t="s">
        <v>1392</v>
      </c>
      <c r="F86" s="1"/>
      <c r="G86" s="1"/>
      <c r="H86" s="1"/>
      <c r="I86" s="1"/>
      <c r="J86" s="1"/>
      <c r="K86" s="1"/>
      <c r="L86" s="1"/>
      <c r="M86" s="1"/>
      <c r="N86" s="1"/>
    </row>
    <row r="87" ht="15.75" customHeight="1">
      <c r="A87" s="177" t="s">
        <v>1393</v>
      </c>
      <c r="B87" s="27">
        <v>33.0</v>
      </c>
      <c r="C87" s="201">
        <f t="shared" si="9"/>
        <v>39.6</v>
      </c>
      <c r="D87" s="774" t="s">
        <v>5</v>
      </c>
      <c r="E87" s="66"/>
      <c r="F87" s="1"/>
      <c r="G87" s="1"/>
      <c r="H87" s="1"/>
      <c r="I87" s="1"/>
      <c r="J87" s="1"/>
      <c r="K87" s="1"/>
      <c r="L87" s="1"/>
      <c r="M87" s="1"/>
      <c r="N87" s="1"/>
    </row>
    <row r="88" ht="15.75" customHeight="1">
      <c r="A88" s="208" t="s">
        <v>59</v>
      </c>
      <c r="B88" s="236">
        <v>70.0</v>
      </c>
      <c r="C88" s="257">
        <f t="shared" si="9"/>
        <v>84</v>
      </c>
      <c r="D88" s="1052" t="s">
        <v>5</v>
      </c>
      <c r="E88" s="106"/>
      <c r="F88" s="1"/>
      <c r="G88" s="1"/>
      <c r="H88" s="1"/>
      <c r="I88" s="1"/>
      <c r="J88" s="1"/>
      <c r="K88" s="1"/>
      <c r="L88" s="1"/>
      <c r="M88" s="1"/>
      <c r="N88" s="1"/>
    </row>
    <row r="89" ht="15.75" customHeight="1">
      <c r="A89" s="157" t="s">
        <v>91</v>
      </c>
      <c r="B89" s="244">
        <v>1.0</v>
      </c>
      <c r="C89" s="158">
        <f t="shared" si="9"/>
        <v>1.2</v>
      </c>
      <c r="D89" s="1055" t="s">
        <v>5</v>
      </c>
      <c r="E89" s="44" t="s">
        <v>1399</v>
      </c>
      <c r="F89" s="1"/>
      <c r="G89" s="1"/>
      <c r="H89" s="1"/>
      <c r="I89" s="1"/>
      <c r="J89" s="1"/>
      <c r="K89" s="1"/>
      <c r="L89" s="1"/>
      <c r="M89" s="1"/>
      <c r="N89" s="1"/>
    </row>
    <row r="90" ht="15.75" customHeight="1">
      <c r="A90" s="177" t="s">
        <v>98</v>
      </c>
      <c r="B90" s="27">
        <v>250.0</v>
      </c>
      <c r="C90" s="201">
        <f t="shared" si="9"/>
        <v>300</v>
      </c>
      <c r="D90" s="774" t="s">
        <v>18</v>
      </c>
      <c r="E90" s="47"/>
      <c r="F90" s="1"/>
      <c r="G90" s="1"/>
      <c r="H90" s="1"/>
      <c r="I90" s="1"/>
      <c r="J90" s="1"/>
      <c r="K90" s="1"/>
      <c r="L90" s="1"/>
      <c r="M90" s="1"/>
      <c r="N90" s="1"/>
    </row>
    <row r="91" ht="15.75" customHeight="1">
      <c r="A91" s="177" t="s">
        <v>390</v>
      </c>
      <c r="B91" s="27">
        <v>100.0</v>
      </c>
      <c r="C91" s="201">
        <f t="shared" si="9"/>
        <v>120</v>
      </c>
      <c r="D91" s="774" t="s">
        <v>18</v>
      </c>
      <c r="E91" s="47"/>
      <c r="F91" s="1"/>
      <c r="G91" s="1"/>
      <c r="H91" s="1"/>
      <c r="I91" s="1"/>
      <c r="J91" s="1"/>
      <c r="K91" s="1"/>
      <c r="L91" s="1"/>
      <c r="M91" s="1"/>
      <c r="N91" s="1"/>
    </row>
    <row r="92" ht="15.75" customHeight="1">
      <c r="A92" s="177" t="s">
        <v>83</v>
      </c>
      <c r="B92" s="27">
        <v>300.0</v>
      </c>
      <c r="C92" s="1246">
        <f t="shared" si="9"/>
        <v>360</v>
      </c>
      <c r="D92" s="774" t="s">
        <v>18</v>
      </c>
      <c r="E92" s="47"/>
      <c r="F92" s="1"/>
      <c r="G92" s="1"/>
      <c r="H92" s="1"/>
      <c r="I92" s="1"/>
      <c r="J92" s="1"/>
      <c r="K92" s="1"/>
      <c r="L92" s="1"/>
      <c r="M92" s="1"/>
      <c r="N92" s="1"/>
    </row>
    <row r="93" ht="15.75" customHeight="1">
      <c r="A93" s="177" t="s">
        <v>101</v>
      </c>
      <c r="B93" s="27">
        <v>2.0</v>
      </c>
      <c r="C93" s="201">
        <f t="shared" si="9"/>
        <v>2.4</v>
      </c>
      <c r="D93" s="774" t="s">
        <v>5</v>
      </c>
      <c r="E93" s="47"/>
      <c r="F93" s="1"/>
      <c r="G93" s="1"/>
      <c r="H93" s="1"/>
      <c r="I93" s="1"/>
      <c r="J93" s="1"/>
      <c r="K93" s="1"/>
      <c r="L93" s="1"/>
      <c r="M93" s="1"/>
      <c r="N93" s="1"/>
    </row>
    <row r="94" ht="15.75" customHeight="1">
      <c r="A94" s="208" t="s">
        <v>92</v>
      </c>
      <c r="B94" s="236">
        <v>500.0</v>
      </c>
      <c r="C94" s="257">
        <f t="shared" si="9"/>
        <v>600</v>
      </c>
      <c r="D94" s="1052" t="s">
        <v>82</v>
      </c>
      <c r="E94" s="76"/>
      <c r="F94" s="1"/>
      <c r="G94" s="1"/>
      <c r="H94" s="1"/>
      <c r="I94" s="1"/>
      <c r="J94" s="1"/>
      <c r="K94" s="1"/>
      <c r="L94" s="1"/>
      <c r="M94" s="1"/>
      <c r="N94" s="1"/>
    </row>
    <row r="95" ht="15.75" customHeight="1">
      <c r="A95" s="251" t="s">
        <v>1400</v>
      </c>
      <c r="B95" s="1248">
        <v>950.0</v>
      </c>
      <c r="C95" s="253">
        <f t="shared" si="9"/>
        <v>1140</v>
      </c>
      <c r="D95" s="1197" t="s">
        <v>18</v>
      </c>
      <c r="E95" s="207" t="s">
        <v>1402</v>
      </c>
      <c r="F95" s="1"/>
      <c r="G95" s="1"/>
      <c r="H95" s="1"/>
      <c r="I95" s="1"/>
      <c r="J95" s="1"/>
      <c r="K95" s="1"/>
      <c r="L95" s="1"/>
      <c r="M95" s="1"/>
      <c r="N95" s="1"/>
    </row>
    <row r="96" ht="14.25" customHeight="1">
      <c r="A96" s="163" t="s">
        <v>856</v>
      </c>
      <c r="B96" s="221">
        <v>2.0</v>
      </c>
      <c r="C96" s="164">
        <f t="shared" si="9"/>
        <v>2.4</v>
      </c>
      <c r="D96" s="733" t="s">
        <v>14</v>
      </c>
      <c r="E96" s="779" t="s">
        <v>1403</v>
      </c>
      <c r="F96" s="1"/>
      <c r="G96" s="1"/>
      <c r="H96" s="1"/>
      <c r="I96" s="1"/>
      <c r="J96" s="1"/>
      <c r="K96" s="1"/>
      <c r="L96" s="1"/>
      <c r="M96" s="1"/>
      <c r="N96" s="1"/>
    </row>
    <row r="97" ht="14.25" customHeight="1">
      <c r="A97" s="208" t="s">
        <v>114</v>
      </c>
      <c r="B97" s="236">
        <v>3.0</v>
      </c>
      <c r="C97" s="257">
        <f t="shared" si="9"/>
        <v>3.6</v>
      </c>
      <c r="D97" s="1052" t="s">
        <v>5</v>
      </c>
      <c r="E97" s="106"/>
      <c r="F97" s="1"/>
      <c r="G97" s="1"/>
      <c r="H97" s="1"/>
      <c r="I97" s="1"/>
      <c r="J97" s="1"/>
      <c r="K97" s="1"/>
      <c r="L97" s="1"/>
      <c r="M97" s="1"/>
      <c r="N97" s="1"/>
    </row>
    <row r="98" ht="14.25" customHeight="1">
      <c r="A98" s="1187" t="s">
        <v>119</v>
      </c>
      <c r="B98" s="818" t="s">
        <v>47</v>
      </c>
      <c r="C98" s="184"/>
      <c r="D98" s="108"/>
      <c r="E98" s="1"/>
      <c r="F98" s="1"/>
      <c r="G98" s="1"/>
      <c r="H98" s="1"/>
      <c r="I98" s="1"/>
      <c r="J98" s="1"/>
      <c r="K98" s="1"/>
      <c r="L98" s="1"/>
      <c r="M98" s="1"/>
      <c r="N98" s="1"/>
    </row>
    <row r="99" ht="14.25" customHeight="1">
      <c r="A99" s="1"/>
      <c r="B99" s="107"/>
      <c r="C99" s="184"/>
      <c r="D99" s="108"/>
      <c r="E99" s="1"/>
      <c r="F99" s="1"/>
      <c r="G99" s="1"/>
      <c r="H99" s="1"/>
      <c r="I99" s="1"/>
      <c r="J99" s="1"/>
      <c r="K99" s="1"/>
      <c r="L99" s="1"/>
      <c r="M99" s="1"/>
      <c r="N99" s="1"/>
    </row>
    <row r="100" ht="14.25" customHeight="1">
      <c r="A100" s="786" t="s">
        <v>502</v>
      </c>
      <c r="B100" s="260">
        <v>40817.0</v>
      </c>
      <c r="C100" s="184"/>
      <c r="D100" s="108"/>
      <c r="E100" s="1"/>
      <c r="F100" s="1"/>
      <c r="G100" s="1"/>
      <c r="H100" s="1"/>
      <c r="I100" s="1"/>
      <c r="J100" s="1"/>
      <c r="K100" s="1"/>
      <c r="L100" s="1"/>
      <c r="M100" s="1"/>
      <c r="N100" s="1"/>
    </row>
    <row r="101" ht="14.25" customHeight="1">
      <c r="A101" s="786" t="s">
        <v>50</v>
      </c>
      <c r="B101" s="260">
        <v>41769.0</v>
      </c>
      <c r="C101" s="184"/>
      <c r="D101" s="108"/>
      <c r="E101" s="1"/>
      <c r="F101" s="1"/>
      <c r="G101" s="1"/>
      <c r="H101" s="1"/>
      <c r="I101" s="1"/>
      <c r="J101" s="1"/>
      <c r="K101" s="1"/>
      <c r="L101" s="1"/>
      <c r="M101" s="1"/>
      <c r="N101" s="1"/>
    </row>
    <row r="102" ht="14.25" customHeight="1">
      <c r="A102" s="1"/>
      <c r="B102" s="107"/>
      <c r="C102" s="184"/>
      <c r="D102" s="108"/>
      <c r="E102" s="14"/>
      <c r="F102" s="1"/>
      <c r="G102" s="1"/>
      <c r="H102" s="1"/>
      <c r="I102" s="1"/>
      <c r="J102" s="1"/>
      <c r="K102" s="1"/>
      <c r="L102" s="1"/>
      <c r="M102" s="1"/>
      <c r="N102" s="1"/>
    </row>
    <row r="103" ht="14.25" customHeight="1">
      <c r="A103" s="1240" t="s">
        <v>478</v>
      </c>
      <c r="B103" s="5"/>
      <c r="C103" s="5"/>
      <c r="D103" s="6"/>
      <c r="E103" s="30"/>
      <c r="F103" s="1"/>
      <c r="G103" s="1"/>
      <c r="H103" s="1"/>
      <c r="I103" s="1"/>
      <c r="J103" s="1"/>
      <c r="K103" s="1"/>
      <c r="L103" s="1"/>
      <c r="M103" s="1"/>
      <c r="N103" s="1"/>
    </row>
    <row r="104" ht="14.25" customHeight="1">
      <c r="A104" s="25" t="s">
        <v>1</v>
      </c>
      <c r="B104" s="218">
        <v>100.0</v>
      </c>
      <c r="C104" s="526">
        <v>60.0</v>
      </c>
      <c r="D104" s="1241" t="s">
        <v>5</v>
      </c>
      <c r="E104" s="30"/>
      <c r="F104" s="1"/>
      <c r="G104" s="1"/>
      <c r="H104" s="1"/>
      <c r="I104" s="1"/>
      <c r="J104" s="1"/>
      <c r="K104" s="1"/>
      <c r="L104" s="1"/>
      <c r="M104" s="1"/>
      <c r="N104" s="1"/>
    </row>
    <row r="105" ht="14.25" customHeight="1">
      <c r="A105" s="163" t="s">
        <v>626</v>
      </c>
      <c r="B105" s="221">
        <v>6.0</v>
      </c>
      <c r="C105" s="164">
        <f t="shared" ref="C105:C116" si="10">(B105*C104)/B104</f>
        <v>3.6</v>
      </c>
      <c r="D105" s="733" t="s">
        <v>14</v>
      </c>
      <c r="E105" s="44" t="s">
        <v>1392</v>
      </c>
      <c r="F105" s="1"/>
      <c r="G105" s="1"/>
      <c r="H105" s="1"/>
      <c r="I105" s="1"/>
      <c r="J105" s="1"/>
      <c r="K105" s="1"/>
      <c r="L105" s="1"/>
      <c r="M105" s="1"/>
      <c r="N105" s="1"/>
    </row>
    <row r="106" ht="15.0" customHeight="1">
      <c r="A106" s="208" t="s">
        <v>59</v>
      </c>
      <c r="B106" s="236">
        <v>100.0</v>
      </c>
      <c r="C106" s="257">
        <f t="shared" si="10"/>
        <v>60</v>
      </c>
      <c r="D106" s="1052" t="s">
        <v>5</v>
      </c>
      <c r="E106" s="76"/>
      <c r="F106" s="1"/>
      <c r="G106" s="1"/>
      <c r="H106" s="1"/>
      <c r="I106" s="1"/>
      <c r="J106" s="1"/>
      <c r="K106" s="1"/>
      <c r="L106" s="1"/>
      <c r="M106" s="1"/>
      <c r="N106" s="1"/>
    </row>
    <row r="107" ht="14.25" customHeight="1">
      <c r="A107" s="163" t="s">
        <v>91</v>
      </c>
      <c r="B107" s="221">
        <v>1.0</v>
      </c>
      <c r="C107" s="164">
        <f t="shared" si="10"/>
        <v>0.6</v>
      </c>
      <c r="D107" s="733" t="s">
        <v>5</v>
      </c>
      <c r="E107" s="44" t="s">
        <v>1399</v>
      </c>
      <c r="F107" s="1"/>
      <c r="G107" s="1"/>
      <c r="H107" s="1"/>
      <c r="I107" s="1"/>
      <c r="J107" s="1"/>
      <c r="K107" s="1"/>
      <c r="L107" s="1"/>
      <c r="M107" s="1"/>
      <c r="N107" s="1"/>
    </row>
    <row r="108" ht="14.25" customHeight="1">
      <c r="A108" s="177" t="s">
        <v>98</v>
      </c>
      <c r="B108" s="27">
        <v>250.0</v>
      </c>
      <c r="C108" s="201">
        <f t="shared" si="10"/>
        <v>150</v>
      </c>
      <c r="D108" s="774" t="s">
        <v>18</v>
      </c>
      <c r="E108" s="47"/>
      <c r="F108" s="1"/>
      <c r="G108" s="1"/>
      <c r="H108" s="1"/>
      <c r="I108" s="1"/>
      <c r="J108" s="1"/>
      <c r="K108" s="1"/>
      <c r="L108" s="1"/>
      <c r="M108" s="1"/>
      <c r="N108" s="1"/>
    </row>
    <row r="109" ht="14.25" customHeight="1">
      <c r="A109" s="177" t="s">
        <v>390</v>
      </c>
      <c r="B109" s="27">
        <v>100.0</v>
      </c>
      <c r="C109" s="201">
        <f t="shared" si="10"/>
        <v>60</v>
      </c>
      <c r="D109" s="774" t="s">
        <v>18</v>
      </c>
      <c r="E109" s="47"/>
      <c r="F109" s="1"/>
      <c r="G109" s="1"/>
      <c r="H109" s="1"/>
      <c r="I109" s="1"/>
      <c r="J109" s="1"/>
      <c r="K109" s="1"/>
      <c r="L109" s="1"/>
      <c r="M109" s="1"/>
      <c r="N109" s="1"/>
    </row>
    <row r="110" ht="14.25" customHeight="1">
      <c r="A110" s="177" t="s">
        <v>83</v>
      </c>
      <c r="B110" s="27">
        <v>300.0</v>
      </c>
      <c r="C110" s="1246">
        <f t="shared" si="10"/>
        <v>180</v>
      </c>
      <c r="D110" s="774" t="s">
        <v>18</v>
      </c>
      <c r="E110" s="47"/>
      <c r="F110" s="1"/>
      <c r="G110" s="1"/>
      <c r="H110" s="1"/>
      <c r="I110" s="1"/>
      <c r="J110" s="1"/>
      <c r="K110" s="1"/>
      <c r="L110" s="1"/>
      <c r="M110" s="1"/>
      <c r="N110" s="1"/>
    </row>
    <row r="111" ht="14.25" customHeight="1">
      <c r="A111" s="177" t="s">
        <v>101</v>
      </c>
      <c r="B111" s="27">
        <v>2.0</v>
      </c>
      <c r="C111" s="201">
        <f t="shared" si="10"/>
        <v>1.2</v>
      </c>
      <c r="D111" s="774" t="s">
        <v>5</v>
      </c>
      <c r="E111" s="47"/>
      <c r="F111" s="1"/>
      <c r="G111" s="1"/>
      <c r="H111" s="1"/>
      <c r="I111" s="1"/>
      <c r="J111" s="1"/>
      <c r="K111" s="1"/>
      <c r="L111" s="1"/>
      <c r="M111" s="1"/>
      <c r="N111" s="1"/>
    </row>
    <row r="112" ht="14.25" customHeight="1">
      <c r="A112" s="208" t="s">
        <v>92</v>
      </c>
      <c r="B112" s="236">
        <v>500.0</v>
      </c>
      <c r="C112" s="257">
        <f t="shared" si="10"/>
        <v>300</v>
      </c>
      <c r="D112" s="1052" t="s">
        <v>82</v>
      </c>
      <c r="E112" s="76"/>
      <c r="F112" s="1"/>
      <c r="G112" s="1"/>
      <c r="H112" s="1"/>
      <c r="I112" s="1"/>
      <c r="J112" s="1"/>
      <c r="K112" s="1"/>
      <c r="L112" s="1"/>
      <c r="M112" s="1"/>
      <c r="N112" s="1"/>
    </row>
    <row r="113" ht="14.25" customHeight="1">
      <c r="A113" s="251" t="s">
        <v>31</v>
      </c>
      <c r="B113" s="1248">
        <v>700.0</v>
      </c>
      <c r="C113" s="253">
        <f t="shared" si="10"/>
        <v>420</v>
      </c>
      <c r="D113" s="1197" t="s">
        <v>18</v>
      </c>
      <c r="E113" s="30"/>
      <c r="F113" s="1"/>
      <c r="G113" s="1"/>
      <c r="H113" s="1"/>
      <c r="I113" s="1"/>
      <c r="J113" s="1"/>
      <c r="K113" s="1"/>
      <c r="L113" s="1"/>
      <c r="M113" s="1"/>
      <c r="N113" s="1"/>
    </row>
    <row r="114" ht="14.25" customHeight="1">
      <c r="A114" s="163" t="s">
        <v>856</v>
      </c>
      <c r="B114" s="221">
        <v>2.0</v>
      </c>
      <c r="C114" s="164">
        <f t="shared" si="10"/>
        <v>1.2</v>
      </c>
      <c r="D114" s="733" t="s">
        <v>14</v>
      </c>
      <c r="E114" s="779" t="s">
        <v>1403</v>
      </c>
      <c r="F114" s="1"/>
      <c r="G114" s="1"/>
      <c r="H114" s="1"/>
      <c r="I114" s="1"/>
      <c r="J114" s="1"/>
      <c r="K114" s="1"/>
      <c r="L114" s="1"/>
      <c r="M114" s="1"/>
      <c r="N114" s="1"/>
    </row>
    <row r="115" ht="14.25" customHeight="1">
      <c r="A115" s="177" t="s">
        <v>81</v>
      </c>
      <c r="B115" s="27">
        <v>1200.0</v>
      </c>
      <c r="C115" s="201">
        <f t="shared" si="10"/>
        <v>720</v>
      </c>
      <c r="D115" s="774" t="s">
        <v>82</v>
      </c>
      <c r="E115" s="66"/>
      <c r="F115" s="1"/>
      <c r="G115" s="1"/>
      <c r="H115" s="1"/>
      <c r="I115" s="1"/>
      <c r="J115" s="1"/>
      <c r="K115" s="1"/>
      <c r="L115" s="1"/>
      <c r="M115" s="1"/>
      <c r="N115" s="1"/>
    </row>
    <row r="116" ht="14.25" customHeight="1">
      <c r="A116" s="208" t="s">
        <v>114</v>
      </c>
      <c r="B116" s="236">
        <v>3.0</v>
      </c>
      <c r="C116" s="257">
        <f t="shared" si="10"/>
        <v>1.8</v>
      </c>
      <c r="D116" s="1052" t="s">
        <v>5</v>
      </c>
      <c r="E116" s="106"/>
      <c r="F116" s="1"/>
      <c r="G116" s="1"/>
      <c r="H116" s="1"/>
      <c r="I116" s="1"/>
      <c r="J116" s="1"/>
      <c r="K116" s="1"/>
      <c r="L116" s="1"/>
      <c r="M116" s="1"/>
      <c r="N116" s="1"/>
    </row>
    <row r="117" ht="14.25" customHeight="1">
      <c r="A117" s="1187" t="s">
        <v>119</v>
      </c>
      <c r="B117" s="818" t="s">
        <v>47</v>
      </c>
      <c r="C117" s="184"/>
      <c r="D117" s="108"/>
      <c r="E117" s="1"/>
      <c r="F117" s="1"/>
      <c r="G117" s="1"/>
      <c r="H117" s="1"/>
      <c r="I117" s="1"/>
      <c r="J117" s="1"/>
      <c r="K117" s="1"/>
      <c r="L117" s="1"/>
      <c r="M117" s="1"/>
      <c r="N117" s="1"/>
    </row>
    <row r="118" ht="14.25" customHeight="1">
      <c r="A118" s="1"/>
      <c r="B118" s="107"/>
      <c r="C118" s="184"/>
      <c r="D118" s="108"/>
      <c r="E118" s="1"/>
      <c r="F118" s="1"/>
      <c r="G118" s="1"/>
      <c r="H118" s="1"/>
      <c r="I118" s="1"/>
      <c r="J118" s="1"/>
      <c r="K118" s="1"/>
      <c r="L118" s="1"/>
      <c r="M118" s="1"/>
      <c r="N118" s="1"/>
    </row>
    <row r="119" ht="14.25" customHeight="1">
      <c r="A119" s="786" t="s">
        <v>502</v>
      </c>
      <c r="B119" s="260">
        <v>40817.0</v>
      </c>
      <c r="C119" s="184"/>
      <c r="D119" s="108"/>
      <c r="E119" s="1"/>
      <c r="F119" s="1"/>
      <c r="G119" s="1"/>
      <c r="H119" s="1"/>
      <c r="I119" s="1"/>
      <c r="J119" s="1"/>
      <c r="K119" s="1"/>
      <c r="L119" s="1"/>
      <c r="M119" s="1"/>
      <c r="N119" s="1"/>
    </row>
    <row r="120" ht="14.25" customHeight="1">
      <c r="A120" s="786" t="s">
        <v>50</v>
      </c>
      <c r="B120" s="260">
        <v>41769.0</v>
      </c>
      <c r="C120" s="184"/>
      <c r="D120" s="108"/>
      <c r="E120" s="1"/>
      <c r="F120" s="1"/>
      <c r="G120" s="1"/>
      <c r="H120" s="1"/>
      <c r="I120" s="1"/>
      <c r="J120" s="1"/>
      <c r="K120" s="1"/>
      <c r="L120" s="1"/>
      <c r="M120" s="1"/>
      <c r="N120" s="1"/>
    </row>
    <row r="121" ht="14.25" customHeight="1">
      <c r="A121" s="1"/>
      <c r="B121" s="107"/>
      <c r="C121" s="184"/>
      <c r="D121" s="108"/>
      <c r="E121" s="1"/>
      <c r="F121" s="1"/>
      <c r="G121" s="1"/>
      <c r="H121" s="1"/>
      <c r="I121" s="1"/>
      <c r="J121" s="1"/>
      <c r="K121" s="1"/>
      <c r="L121" s="1"/>
      <c r="M121" s="1"/>
      <c r="N121" s="1"/>
    </row>
    <row r="122" ht="14.25" customHeight="1">
      <c r="A122" s="1269" t="s">
        <v>1446</v>
      </c>
      <c r="B122" s="18"/>
      <c r="C122" s="18"/>
      <c r="D122" s="19"/>
      <c r="E122" s="1270"/>
      <c r="F122" s="1"/>
      <c r="G122" s="1"/>
      <c r="H122" s="1"/>
      <c r="I122" s="1"/>
      <c r="J122" s="1"/>
      <c r="K122" s="1"/>
      <c r="L122" s="1"/>
      <c r="M122" s="1"/>
      <c r="N122" s="1"/>
    </row>
    <row r="123" ht="14.25" customHeight="1">
      <c r="A123" s="1273" t="s">
        <v>1</v>
      </c>
      <c r="B123" s="121">
        <v>100.0</v>
      </c>
      <c r="C123" s="1274">
        <v>160.0</v>
      </c>
      <c r="D123" s="1275" t="s">
        <v>5</v>
      </c>
      <c r="E123" s="44" t="s">
        <v>1452</v>
      </c>
      <c r="F123" s="1"/>
      <c r="G123" s="1"/>
      <c r="H123" s="1"/>
      <c r="I123" s="1"/>
      <c r="J123" s="1"/>
      <c r="K123" s="1"/>
      <c r="L123" s="1"/>
      <c r="M123" s="1"/>
      <c r="N123" s="1"/>
    </row>
    <row r="124" ht="14.25" customHeight="1">
      <c r="A124" s="1276" t="s">
        <v>1415</v>
      </c>
      <c r="B124" s="1277">
        <v>60.0</v>
      </c>
      <c r="C124" s="1278">
        <f t="shared" ref="C124:C154" si="11">(B124*C123)/B123</f>
        <v>96</v>
      </c>
      <c r="D124" s="1279" t="s">
        <v>14</v>
      </c>
      <c r="E124" s="47"/>
      <c r="F124" s="1"/>
      <c r="G124" s="1"/>
      <c r="H124" s="1"/>
      <c r="I124" s="1"/>
      <c r="J124" s="1"/>
      <c r="K124" s="1"/>
      <c r="L124" s="1"/>
      <c r="M124" s="1"/>
      <c r="N124" s="1"/>
    </row>
    <row r="125" ht="14.25" customHeight="1">
      <c r="A125" s="68" t="s">
        <v>1455</v>
      </c>
      <c r="B125" s="1202">
        <v>10.0</v>
      </c>
      <c r="C125" s="155">
        <f t="shared" si="11"/>
        <v>16</v>
      </c>
      <c r="D125" s="137" t="s">
        <v>14</v>
      </c>
      <c r="E125" s="47"/>
      <c r="F125" s="1"/>
      <c r="G125" s="1"/>
      <c r="H125" s="1"/>
      <c r="I125" s="1"/>
      <c r="J125" s="1"/>
      <c r="K125" s="1"/>
      <c r="L125" s="1"/>
      <c r="M125" s="1"/>
      <c r="N125" s="1"/>
    </row>
    <row r="126" ht="14.25" customHeight="1">
      <c r="A126" s="93" t="s">
        <v>1456</v>
      </c>
      <c r="B126" s="1213">
        <v>10.0</v>
      </c>
      <c r="C126" s="78">
        <f t="shared" si="11"/>
        <v>16</v>
      </c>
      <c r="D126" s="165" t="s">
        <v>14</v>
      </c>
      <c r="E126" s="47"/>
      <c r="F126" s="1"/>
      <c r="G126" s="1"/>
      <c r="H126" s="1"/>
      <c r="I126" s="1"/>
      <c r="J126" s="1"/>
      <c r="K126" s="1"/>
      <c r="L126" s="1"/>
      <c r="M126" s="1"/>
      <c r="N126" s="1"/>
    </row>
    <row r="127" ht="14.25" customHeight="1">
      <c r="A127" s="93" t="s">
        <v>1458</v>
      </c>
      <c r="B127" s="1213">
        <v>10.0</v>
      </c>
      <c r="C127" s="78">
        <f t="shared" si="11"/>
        <v>16</v>
      </c>
      <c r="D127" s="165" t="s">
        <v>14</v>
      </c>
      <c r="E127" s="47"/>
      <c r="F127" s="1"/>
      <c r="G127" s="1"/>
      <c r="H127" s="1"/>
      <c r="I127" s="1"/>
      <c r="J127" s="1"/>
      <c r="K127" s="1"/>
      <c r="L127" s="1"/>
      <c r="M127" s="1"/>
      <c r="N127" s="1"/>
    </row>
    <row r="128" ht="14.25" customHeight="1">
      <c r="A128" s="93" t="s">
        <v>1459</v>
      </c>
      <c r="B128" s="1213">
        <v>10.0</v>
      </c>
      <c r="C128" s="78">
        <f t="shared" si="11"/>
        <v>16</v>
      </c>
      <c r="D128" s="165" t="s">
        <v>14</v>
      </c>
      <c r="E128" s="47"/>
      <c r="F128" s="1"/>
      <c r="G128" s="1"/>
      <c r="H128" s="1"/>
      <c r="I128" s="1"/>
      <c r="J128" s="1"/>
      <c r="K128" s="1"/>
      <c r="L128" s="1"/>
      <c r="M128" s="1"/>
      <c r="N128" s="1"/>
    </row>
    <row r="129" ht="14.25" customHeight="1">
      <c r="A129" s="93" t="s">
        <v>1460</v>
      </c>
      <c r="B129" s="1213">
        <v>10.0</v>
      </c>
      <c r="C129" s="78">
        <f t="shared" si="11"/>
        <v>16</v>
      </c>
      <c r="D129" s="165" t="s">
        <v>14</v>
      </c>
      <c r="E129" s="47"/>
      <c r="F129" s="1"/>
      <c r="G129" s="1"/>
      <c r="H129" s="1"/>
      <c r="I129" s="1"/>
      <c r="J129" s="1"/>
      <c r="K129" s="1"/>
      <c r="L129" s="1"/>
      <c r="M129" s="1"/>
      <c r="N129" s="1"/>
    </row>
    <row r="130" ht="14.25" customHeight="1">
      <c r="A130" s="93" t="s">
        <v>1461</v>
      </c>
      <c r="B130" s="1213">
        <v>10.0</v>
      </c>
      <c r="C130" s="78">
        <f t="shared" si="11"/>
        <v>16</v>
      </c>
      <c r="D130" s="165" t="s">
        <v>14</v>
      </c>
      <c r="E130" s="47"/>
      <c r="F130" s="1"/>
      <c r="G130" s="1"/>
      <c r="H130" s="1"/>
      <c r="I130" s="1"/>
      <c r="J130" s="1"/>
      <c r="K130" s="1"/>
      <c r="L130" s="1"/>
      <c r="M130" s="1"/>
      <c r="N130" s="1"/>
    </row>
    <row r="131" ht="14.25" customHeight="1">
      <c r="A131" s="1280" t="s">
        <v>1462</v>
      </c>
      <c r="B131" s="1281">
        <v>10.0</v>
      </c>
      <c r="C131" s="1283">
        <f t="shared" si="11"/>
        <v>16</v>
      </c>
      <c r="D131" s="1284" t="s">
        <v>14</v>
      </c>
      <c r="E131" s="47"/>
      <c r="F131" s="1"/>
      <c r="G131" s="1"/>
      <c r="H131" s="1"/>
      <c r="I131" s="1"/>
      <c r="J131" s="1"/>
      <c r="K131" s="1"/>
      <c r="L131" s="1"/>
      <c r="M131" s="1"/>
      <c r="N131" s="1"/>
    </row>
    <row r="132" ht="14.25" customHeight="1">
      <c r="A132" s="417" t="s">
        <v>31</v>
      </c>
      <c r="B132" s="1285">
        <v>1200.0</v>
      </c>
      <c r="C132" s="542">
        <f t="shared" si="11"/>
        <v>1920</v>
      </c>
      <c r="D132" s="420" t="s">
        <v>18</v>
      </c>
      <c r="E132" s="76"/>
      <c r="F132" s="1"/>
      <c r="G132" s="1"/>
      <c r="H132" s="1"/>
      <c r="I132" s="1"/>
      <c r="J132" s="1"/>
      <c r="K132" s="1"/>
      <c r="L132" s="1"/>
      <c r="M132" s="1"/>
      <c r="N132" s="1"/>
    </row>
    <row r="133" ht="14.25" customHeight="1">
      <c r="A133" s="68" t="s">
        <v>91</v>
      </c>
      <c r="B133" s="1202">
        <v>5.0</v>
      </c>
      <c r="C133" s="155">
        <f t="shared" si="11"/>
        <v>8</v>
      </c>
      <c r="D133" s="137" t="s">
        <v>5</v>
      </c>
      <c r="E133" s="141"/>
      <c r="F133" s="1"/>
      <c r="G133" s="1"/>
      <c r="H133" s="1"/>
      <c r="I133" s="1"/>
      <c r="J133" s="1"/>
      <c r="K133" s="1"/>
      <c r="L133" s="1"/>
      <c r="M133" s="1"/>
      <c r="N133" s="1"/>
    </row>
    <row r="134" ht="14.25" customHeight="1">
      <c r="A134" s="93" t="s">
        <v>747</v>
      </c>
      <c r="B134" s="1213">
        <v>200.0</v>
      </c>
      <c r="C134" s="78">
        <f t="shared" si="11"/>
        <v>320</v>
      </c>
      <c r="D134" s="165" t="s">
        <v>18</v>
      </c>
      <c r="F134" s="1"/>
      <c r="G134" s="1"/>
      <c r="H134" s="1"/>
      <c r="I134" s="1"/>
      <c r="J134" s="1"/>
      <c r="K134" s="1"/>
      <c r="L134" s="1"/>
      <c r="M134" s="1"/>
      <c r="N134" s="1"/>
    </row>
    <row r="135" ht="15.75" customHeight="1">
      <c r="A135" s="93" t="s">
        <v>101</v>
      </c>
      <c r="B135" s="1213">
        <v>2.0</v>
      </c>
      <c r="C135" s="78">
        <f t="shared" si="11"/>
        <v>3.2</v>
      </c>
      <c r="D135" s="165" t="s">
        <v>5</v>
      </c>
      <c r="F135" s="1"/>
      <c r="G135" s="1"/>
      <c r="H135" s="1"/>
      <c r="I135" s="1"/>
      <c r="J135" s="1"/>
      <c r="K135" s="1"/>
      <c r="L135" s="1"/>
      <c r="M135" s="1"/>
      <c r="N135" s="1"/>
    </row>
    <row r="136" ht="14.25" customHeight="1">
      <c r="A136" s="177" t="s">
        <v>1466</v>
      </c>
      <c r="B136" s="27">
        <v>500.0</v>
      </c>
      <c r="C136" s="201">
        <f t="shared" si="11"/>
        <v>800</v>
      </c>
      <c r="D136" s="774" t="s">
        <v>18</v>
      </c>
      <c r="F136" s="1"/>
      <c r="G136" s="1"/>
      <c r="H136" s="1"/>
      <c r="I136" s="1"/>
      <c r="J136" s="1"/>
      <c r="K136" s="1"/>
      <c r="L136" s="1"/>
      <c r="M136" s="1"/>
      <c r="N136" s="1"/>
    </row>
    <row r="137" ht="14.25" customHeight="1">
      <c r="A137" s="208" t="s">
        <v>1236</v>
      </c>
      <c r="B137" s="236">
        <v>750.0</v>
      </c>
      <c r="C137" s="257">
        <f t="shared" si="11"/>
        <v>1200</v>
      </c>
      <c r="D137" s="1052" t="s">
        <v>18</v>
      </c>
      <c r="E137" s="104"/>
      <c r="F137" s="1"/>
      <c r="G137" s="1"/>
      <c r="H137" s="1"/>
      <c r="I137" s="1"/>
      <c r="J137" s="1"/>
      <c r="K137" s="1"/>
      <c r="L137" s="1"/>
      <c r="M137" s="1"/>
      <c r="N137" s="1"/>
    </row>
    <row r="138" ht="14.25" customHeight="1">
      <c r="A138" s="119" t="s">
        <v>1467</v>
      </c>
      <c r="B138" s="1209">
        <v>8.0</v>
      </c>
      <c r="C138" s="542">
        <f t="shared" si="11"/>
        <v>12.8</v>
      </c>
      <c r="D138" s="176" t="s">
        <v>18</v>
      </c>
      <c r="E138" s="140" t="s">
        <v>1469</v>
      </c>
      <c r="F138" s="1"/>
      <c r="G138" s="1"/>
      <c r="H138" s="1"/>
      <c r="I138" s="1"/>
      <c r="J138" s="1"/>
      <c r="K138" s="1"/>
      <c r="L138" s="1"/>
      <c r="M138" s="1"/>
      <c r="N138" s="1"/>
    </row>
    <row r="139" ht="14.25" customHeight="1">
      <c r="A139" s="93" t="s">
        <v>884</v>
      </c>
      <c r="B139" s="1213">
        <v>40.0</v>
      </c>
      <c r="C139" s="146">
        <f t="shared" si="11"/>
        <v>64</v>
      </c>
      <c r="D139" s="165" t="s">
        <v>18</v>
      </c>
      <c r="F139" s="1"/>
      <c r="G139" s="1"/>
      <c r="H139" s="1"/>
      <c r="I139" s="1"/>
      <c r="J139" s="1"/>
      <c r="K139" s="1"/>
      <c r="L139" s="1"/>
      <c r="M139" s="1"/>
      <c r="N139" s="1"/>
    </row>
    <row r="140" ht="14.25" customHeight="1">
      <c r="A140" s="93" t="s">
        <v>210</v>
      </c>
      <c r="B140" s="1213">
        <v>40.0</v>
      </c>
      <c r="C140" s="146">
        <f t="shared" si="11"/>
        <v>64</v>
      </c>
      <c r="D140" s="165" t="s">
        <v>18</v>
      </c>
      <c r="F140" s="1"/>
      <c r="G140" s="1"/>
      <c r="H140" s="1"/>
      <c r="I140" s="1"/>
      <c r="J140" s="1"/>
      <c r="K140" s="1"/>
      <c r="L140" s="1"/>
      <c r="M140" s="1"/>
      <c r="N140" s="1"/>
    </row>
    <row r="141" ht="14.25" customHeight="1">
      <c r="A141" s="93" t="s">
        <v>102</v>
      </c>
      <c r="B141" s="1213">
        <v>40.0</v>
      </c>
      <c r="C141" s="146">
        <f t="shared" si="11"/>
        <v>64</v>
      </c>
      <c r="D141" s="165" t="s">
        <v>18</v>
      </c>
      <c r="F141" s="1"/>
      <c r="G141" s="1"/>
      <c r="H141" s="1"/>
      <c r="I141" s="1"/>
      <c r="J141" s="1"/>
      <c r="K141" s="1"/>
      <c r="L141" s="1"/>
      <c r="M141" s="1"/>
      <c r="N141" s="1"/>
    </row>
    <row r="142" ht="14.25" customHeight="1">
      <c r="A142" s="93" t="s">
        <v>95</v>
      </c>
      <c r="B142" s="1213">
        <v>30.0</v>
      </c>
      <c r="C142" s="146">
        <f t="shared" si="11"/>
        <v>48</v>
      </c>
      <c r="D142" s="165" t="s">
        <v>18</v>
      </c>
      <c r="F142" s="1"/>
      <c r="G142" s="1"/>
      <c r="H142" s="1"/>
      <c r="I142" s="1"/>
      <c r="J142" s="1"/>
      <c r="K142" s="1"/>
      <c r="L142" s="1"/>
      <c r="M142" s="1"/>
      <c r="N142" s="1"/>
    </row>
    <row r="143" ht="14.25" customHeight="1">
      <c r="A143" s="93" t="s">
        <v>1114</v>
      </c>
      <c r="B143" s="1213">
        <v>1.0</v>
      </c>
      <c r="C143" s="146">
        <f t="shared" si="11"/>
        <v>1.6</v>
      </c>
      <c r="D143" s="165" t="s">
        <v>14</v>
      </c>
      <c r="F143" s="1"/>
      <c r="G143" s="1"/>
      <c r="H143" s="1"/>
      <c r="I143" s="1"/>
      <c r="J143" s="1"/>
      <c r="K143" s="1"/>
      <c r="L143" s="1"/>
      <c r="M143" s="1"/>
      <c r="N143" s="1"/>
    </row>
    <row r="144" ht="14.25" customHeight="1">
      <c r="A144" s="93" t="s">
        <v>1132</v>
      </c>
      <c r="B144" s="1213">
        <v>1.0</v>
      </c>
      <c r="C144" s="146">
        <f t="shared" si="11"/>
        <v>1.6</v>
      </c>
      <c r="D144" s="165" t="s">
        <v>14</v>
      </c>
      <c r="F144" s="1"/>
      <c r="G144" s="1"/>
      <c r="H144" s="1"/>
      <c r="I144" s="1"/>
      <c r="J144" s="1"/>
      <c r="K144" s="1"/>
      <c r="L144" s="1"/>
      <c r="M144" s="1"/>
      <c r="N144" s="1"/>
    </row>
    <row r="145" ht="14.25" customHeight="1">
      <c r="A145" s="93" t="s">
        <v>1046</v>
      </c>
      <c r="B145" s="1213">
        <v>2.5</v>
      </c>
      <c r="C145" s="146">
        <f t="shared" si="11"/>
        <v>4</v>
      </c>
      <c r="D145" s="165" t="s">
        <v>14</v>
      </c>
      <c r="F145" s="1"/>
      <c r="G145" s="1"/>
      <c r="H145" s="1"/>
      <c r="I145" s="1"/>
      <c r="J145" s="1"/>
      <c r="K145" s="1"/>
      <c r="L145" s="1"/>
      <c r="M145" s="1"/>
      <c r="N145" s="1"/>
    </row>
    <row r="146" ht="14.25" customHeight="1">
      <c r="A146" s="93" t="s">
        <v>1476</v>
      </c>
      <c r="B146" s="1213">
        <v>0.5</v>
      </c>
      <c r="C146" s="146">
        <f t="shared" si="11"/>
        <v>0.8</v>
      </c>
      <c r="D146" s="165" t="s">
        <v>14</v>
      </c>
      <c r="F146" s="1"/>
      <c r="G146" s="1"/>
      <c r="H146" s="1"/>
      <c r="I146" s="1"/>
      <c r="J146" s="1"/>
      <c r="K146" s="1"/>
      <c r="L146" s="1"/>
      <c r="M146" s="1"/>
      <c r="N146" s="1"/>
    </row>
    <row r="147" ht="14.25" customHeight="1">
      <c r="A147" s="93" t="s">
        <v>350</v>
      </c>
      <c r="B147" s="1213">
        <v>5.0</v>
      </c>
      <c r="C147" s="146">
        <f t="shared" si="11"/>
        <v>8</v>
      </c>
      <c r="D147" s="165" t="s">
        <v>999</v>
      </c>
      <c r="F147" s="1"/>
      <c r="G147" s="1"/>
      <c r="H147" s="1"/>
      <c r="I147" s="1"/>
      <c r="J147" s="1"/>
      <c r="K147" s="1"/>
      <c r="L147" s="1"/>
      <c r="M147" s="1"/>
      <c r="N147" s="1"/>
    </row>
    <row r="148" ht="14.25" customHeight="1">
      <c r="A148" s="138" t="s">
        <v>162</v>
      </c>
      <c r="B148" s="351">
        <v>400.0</v>
      </c>
      <c r="C148" s="146">
        <f t="shared" si="11"/>
        <v>640</v>
      </c>
      <c r="D148" s="281" t="s">
        <v>18</v>
      </c>
      <c r="E148" s="104"/>
      <c r="F148" s="1"/>
      <c r="G148" s="1"/>
      <c r="H148" s="1"/>
      <c r="I148" s="1"/>
      <c r="J148" s="1"/>
      <c r="K148" s="1"/>
      <c r="L148" s="1"/>
      <c r="M148" s="1"/>
      <c r="N148" s="1"/>
    </row>
    <row r="149" ht="14.25" customHeight="1">
      <c r="A149" s="68" t="s">
        <v>469</v>
      </c>
      <c r="B149" s="1202">
        <v>15.0</v>
      </c>
      <c r="C149" s="155">
        <f t="shared" si="11"/>
        <v>24</v>
      </c>
      <c r="D149" s="137" t="s">
        <v>5</v>
      </c>
      <c r="E149" s="194" t="s">
        <v>1477</v>
      </c>
      <c r="F149" s="1"/>
      <c r="G149" s="1"/>
      <c r="H149" s="1"/>
      <c r="I149" s="1"/>
      <c r="J149" s="1"/>
      <c r="K149" s="1"/>
      <c r="L149" s="1"/>
      <c r="M149" s="1"/>
      <c r="N149" s="1"/>
    </row>
    <row r="150" ht="14.25" customHeight="1">
      <c r="A150" s="417" t="s">
        <v>31</v>
      </c>
      <c r="B150" s="1285">
        <v>500.0</v>
      </c>
      <c r="C150" s="542">
        <f t="shared" si="11"/>
        <v>800</v>
      </c>
      <c r="D150" s="420" t="s">
        <v>18</v>
      </c>
      <c r="E150" s="63"/>
      <c r="F150" s="1"/>
      <c r="G150" s="1"/>
      <c r="H150" s="1"/>
      <c r="I150" s="1"/>
      <c r="J150" s="1"/>
      <c r="K150" s="1"/>
      <c r="L150" s="1"/>
      <c r="M150" s="1"/>
      <c r="N150" s="1"/>
    </row>
    <row r="151" ht="14.25" customHeight="1">
      <c r="A151" s="105" t="s">
        <v>13</v>
      </c>
      <c r="B151" s="1216">
        <v>1.6</v>
      </c>
      <c r="C151" s="56">
        <f t="shared" si="11"/>
        <v>2.56</v>
      </c>
      <c r="D151" s="172" t="s">
        <v>14</v>
      </c>
      <c r="E151" s="63"/>
      <c r="F151" s="1"/>
      <c r="G151" s="1"/>
      <c r="H151" s="1"/>
      <c r="I151" s="1"/>
      <c r="J151" s="1"/>
      <c r="K151" s="1"/>
      <c r="L151" s="1"/>
      <c r="M151" s="1"/>
      <c r="N151" s="1"/>
    </row>
    <row r="152" ht="14.25" customHeight="1">
      <c r="A152" s="68" t="s">
        <v>167</v>
      </c>
      <c r="B152" s="1202">
        <v>0.8</v>
      </c>
      <c r="C152" s="513">
        <f t="shared" si="11"/>
        <v>1.28</v>
      </c>
      <c r="D152" s="137" t="s">
        <v>5</v>
      </c>
      <c r="E152" s="194" t="s">
        <v>1479</v>
      </c>
      <c r="F152" s="1"/>
      <c r="G152" s="1"/>
      <c r="H152" s="1"/>
      <c r="I152" s="1"/>
      <c r="J152" s="1"/>
      <c r="K152" s="1"/>
      <c r="L152" s="1"/>
      <c r="M152" s="1"/>
      <c r="N152" s="1"/>
    </row>
    <row r="153" ht="14.25" customHeight="1">
      <c r="A153" s="105" t="s">
        <v>114</v>
      </c>
      <c r="B153" s="1216">
        <v>2.5</v>
      </c>
      <c r="C153" s="56">
        <f t="shared" si="11"/>
        <v>4</v>
      </c>
      <c r="D153" s="172" t="s">
        <v>5</v>
      </c>
      <c r="E153" s="102"/>
      <c r="F153" s="1"/>
      <c r="G153" s="1"/>
      <c r="H153" s="1"/>
      <c r="I153" s="1"/>
      <c r="J153" s="1"/>
      <c r="K153" s="1"/>
      <c r="L153" s="1"/>
      <c r="M153" s="1"/>
      <c r="N153" s="1"/>
    </row>
    <row r="154" ht="14.25" customHeight="1">
      <c r="A154" s="173" t="s">
        <v>1481</v>
      </c>
      <c r="B154" s="1307">
        <v>10.0</v>
      </c>
      <c r="C154" s="179">
        <f t="shared" si="11"/>
        <v>16</v>
      </c>
      <c r="D154" s="278" t="s">
        <v>5</v>
      </c>
      <c r="E154" s="1308" t="s">
        <v>1483</v>
      </c>
      <c r="F154" s="1"/>
      <c r="G154" s="1"/>
      <c r="H154" s="1"/>
      <c r="I154" s="1"/>
      <c r="J154" s="1"/>
      <c r="K154" s="1"/>
      <c r="L154" s="1"/>
      <c r="M154" s="1"/>
      <c r="N154" s="1"/>
    </row>
    <row r="155" ht="14.25" customHeight="1">
      <c r="A155" s="1187" t="s">
        <v>119</v>
      </c>
      <c r="B155" s="818" t="s">
        <v>47</v>
      </c>
      <c r="C155" s="184"/>
      <c r="D155" s="108"/>
      <c r="E155" s="1"/>
      <c r="F155" s="1"/>
      <c r="G155" s="1"/>
      <c r="H155" s="1"/>
      <c r="I155" s="1"/>
      <c r="J155" s="1"/>
      <c r="K155" s="1"/>
      <c r="L155" s="1"/>
      <c r="M155" s="1"/>
      <c r="N155" s="1"/>
    </row>
    <row r="156" ht="14.25" customHeight="1">
      <c r="A156" s="1"/>
      <c r="B156" s="107"/>
      <c r="C156" s="184"/>
      <c r="D156" s="108"/>
      <c r="E156" s="1"/>
      <c r="F156" s="1"/>
      <c r="G156" s="1"/>
      <c r="H156" s="1"/>
      <c r="I156" s="1"/>
      <c r="J156" s="1"/>
      <c r="K156" s="1"/>
      <c r="L156" s="1"/>
      <c r="M156" s="1"/>
      <c r="N156" s="1"/>
    </row>
    <row r="157" ht="14.25" customHeight="1">
      <c r="A157" s="203" t="s">
        <v>120</v>
      </c>
      <c r="B157" s="1309">
        <v>40779.0</v>
      </c>
      <c r="C157" s="184"/>
      <c r="D157" s="108"/>
      <c r="E157" s="1"/>
      <c r="F157" s="1"/>
      <c r="G157" s="1"/>
      <c r="H157" s="1"/>
      <c r="I157" s="1"/>
      <c r="J157" s="1"/>
      <c r="K157" s="1"/>
      <c r="L157" s="1"/>
      <c r="M157" s="1"/>
      <c r="N157" s="1"/>
    </row>
    <row r="158" ht="14.25" customHeight="1">
      <c r="A158" s="1310" t="s">
        <v>1486</v>
      </c>
      <c r="B158" s="1311">
        <v>41751.0</v>
      </c>
      <c r="C158" s="184"/>
      <c r="D158" s="108"/>
      <c r="E158" s="1"/>
      <c r="F158" s="1"/>
      <c r="G158" s="1"/>
      <c r="H158" s="1"/>
      <c r="I158" s="1"/>
      <c r="J158" s="1"/>
      <c r="K158" s="1"/>
      <c r="L158" s="1"/>
      <c r="M158" s="1"/>
      <c r="N158" s="1"/>
    </row>
    <row r="159" ht="14.25" customHeight="1">
      <c r="A159" s="1312"/>
      <c r="B159" s="1313"/>
      <c r="C159" s="1314"/>
      <c r="D159" s="1315"/>
      <c r="E159" s="1312"/>
      <c r="F159" s="1"/>
      <c r="G159" s="1"/>
      <c r="H159" s="1"/>
      <c r="I159" s="1"/>
      <c r="J159" s="1"/>
      <c r="K159" s="1"/>
      <c r="L159" s="1"/>
      <c r="M159" s="1"/>
      <c r="N159" s="1"/>
    </row>
    <row r="160" ht="19.5" customHeight="1">
      <c r="A160" s="306" t="s">
        <v>568</v>
      </c>
      <c r="B160" s="5"/>
      <c r="C160" s="5"/>
      <c r="D160" s="6"/>
      <c r="E160" s="1"/>
      <c r="F160" s="306" t="s">
        <v>1487</v>
      </c>
      <c r="G160" s="5"/>
      <c r="H160" s="5"/>
      <c r="I160" s="6"/>
      <c r="J160" s="1270" t="s">
        <v>1488</v>
      </c>
      <c r="K160" s="1"/>
      <c r="L160" s="1"/>
      <c r="M160" s="1"/>
      <c r="N160" s="1"/>
    </row>
    <row r="161" ht="14.25" customHeight="1">
      <c r="A161" s="25" t="s">
        <v>1</v>
      </c>
      <c r="B161" s="218">
        <v>100.0</v>
      </c>
      <c r="C161" s="526">
        <v>25.0</v>
      </c>
      <c r="D161" s="1241" t="s">
        <v>5</v>
      </c>
      <c r="E161" s="1318"/>
      <c r="F161" s="25" t="s">
        <v>1</v>
      </c>
      <c r="G161" s="218">
        <v>100.0</v>
      </c>
      <c r="H161" s="218">
        <v>25.0</v>
      </c>
      <c r="I161" s="428" t="s">
        <v>5</v>
      </c>
      <c r="J161" s="1318"/>
      <c r="K161" s="1"/>
      <c r="L161" s="1"/>
      <c r="M161" s="1"/>
      <c r="N161" s="1"/>
    </row>
    <row r="162" ht="14.25" customHeight="1">
      <c r="A162" s="163" t="s">
        <v>1489</v>
      </c>
      <c r="B162" s="221">
        <v>60.0</v>
      </c>
      <c r="C162" s="164">
        <f t="shared" ref="C162:C171" si="12">(B162*C161)/B161</f>
        <v>15</v>
      </c>
      <c r="D162" s="733" t="s">
        <v>14</v>
      </c>
      <c r="E162" s="1323" t="s">
        <v>1491</v>
      </c>
      <c r="F162" s="163" t="s">
        <v>1489</v>
      </c>
      <c r="G162" s="221">
        <v>30.0</v>
      </c>
      <c r="H162" s="221">
        <f t="shared" ref="H162:H163" si="13">(G162*H161)/G161</f>
        <v>7.5</v>
      </c>
      <c r="I162" s="432" t="s">
        <v>14</v>
      </c>
      <c r="J162" s="1323" t="s">
        <v>1491</v>
      </c>
      <c r="K162" s="1"/>
      <c r="L162" s="1"/>
      <c r="M162" s="1"/>
      <c r="N162" s="1"/>
    </row>
    <row r="163" ht="14.25" customHeight="1">
      <c r="A163" s="208" t="s">
        <v>31</v>
      </c>
      <c r="B163" s="236">
        <v>1200.0</v>
      </c>
      <c r="C163" s="257">
        <f t="shared" si="12"/>
        <v>300</v>
      </c>
      <c r="D163" s="1052" t="s">
        <v>18</v>
      </c>
      <c r="E163" s="1324"/>
      <c r="F163" s="163" t="s">
        <v>1494</v>
      </c>
      <c r="G163" s="221">
        <v>30.0</v>
      </c>
      <c r="H163" s="221">
        <f t="shared" si="13"/>
        <v>7.5</v>
      </c>
      <c r="I163" s="432" t="s">
        <v>14</v>
      </c>
      <c r="J163" s="1324"/>
      <c r="K163" s="1"/>
      <c r="L163" s="1"/>
      <c r="M163" s="1"/>
      <c r="N163" s="1"/>
    </row>
    <row r="164" ht="14.25" customHeight="1">
      <c r="A164" s="163" t="s">
        <v>743</v>
      </c>
      <c r="B164" s="221">
        <v>5.0</v>
      </c>
      <c r="C164" s="164">
        <f t="shared" si="12"/>
        <v>1.25</v>
      </c>
      <c r="D164" s="733" t="s">
        <v>5</v>
      </c>
      <c r="E164" s="1324"/>
      <c r="F164" s="208" t="s">
        <v>31</v>
      </c>
      <c r="G164" s="236">
        <v>1200.0</v>
      </c>
      <c r="H164" s="236">
        <f>(G164*H162)/G162</f>
        <v>300</v>
      </c>
      <c r="I164" s="475" t="s">
        <v>18</v>
      </c>
      <c r="J164" s="1324"/>
      <c r="K164" s="1"/>
      <c r="L164" s="1"/>
      <c r="M164" s="1"/>
      <c r="N164" s="1"/>
    </row>
    <row r="165" ht="14.25" customHeight="1">
      <c r="A165" s="177" t="s">
        <v>98</v>
      </c>
      <c r="B165" s="27">
        <v>150.0</v>
      </c>
      <c r="C165" s="201">
        <f t="shared" si="12"/>
        <v>37.5</v>
      </c>
      <c r="D165" s="774" t="s">
        <v>18</v>
      </c>
      <c r="E165" s="1324"/>
      <c r="F165" s="163" t="s">
        <v>743</v>
      </c>
      <c r="G165" s="221">
        <v>5.0</v>
      </c>
      <c r="H165" s="221">
        <f t="shared" ref="H165:H172" si="14">(G165*H164)/G164</f>
        <v>1.25</v>
      </c>
      <c r="I165" s="432" t="s">
        <v>5</v>
      </c>
      <c r="J165" s="1324"/>
      <c r="K165" s="1"/>
      <c r="L165" s="1"/>
      <c r="M165" s="1"/>
      <c r="N165" s="1"/>
    </row>
    <row r="166" ht="14.25" customHeight="1">
      <c r="A166" s="177" t="s">
        <v>1498</v>
      </c>
      <c r="B166" s="27">
        <v>250.0</v>
      </c>
      <c r="C166" s="201">
        <f t="shared" si="12"/>
        <v>62.5</v>
      </c>
      <c r="D166" s="774" t="s">
        <v>18</v>
      </c>
      <c r="E166" s="1324"/>
      <c r="F166" s="177" t="s">
        <v>98</v>
      </c>
      <c r="G166" s="27">
        <v>150.0</v>
      </c>
      <c r="H166" s="27">
        <f t="shared" si="14"/>
        <v>37.5</v>
      </c>
      <c r="I166" s="441" t="s">
        <v>18</v>
      </c>
      <c r="J166" s="1324"/>
      <c r="K166" s="1"/>
      <c r="L166" s="1"/>
      <c r="M166" s="1"/>
      <c r="N166" s="1"/>
    </row>
    <row r="167" ht="14.25" customHeight="1">
      <c r="A167" s="177" t="s">
        <v>882</v>
      </c>
      <c r="B167" s="27">
        <v>35.0</v>
      </c>
      <c r="C167" s="201">
        <f t="shared" si="12"/>
        <v>8.75</v>
      </c>
      <c r="D167" s="774" t="s">
        <v>5</v>
      </c>
      <c r="E167" s="1324"/>
      <c r="F167" s="177" t="s">
        <v>1498</v>
      </c>
      <c r="G167" s="27">
        <v>250.0</v>
      </c>
      <c r="H167" s="27">
        <f t="shared" si="14"/>
        <v>62.5</v>
      </c>
      <c r="I167" s="441" t="s">
        <v>18</v>
      </c>
      <c r="J167" s="1324"/>
      <c r="K167" s="1"/>
      <c r="L167" s="1"/>
      <c r="M167" s="1"/>
      <c r="N167" s="1"/>
    </row>
    <row r="168" ht="14.25" customHeight="1">
      <c r="A168" s="262" t="s">
        <v>13</v>
      </c>
      <c r="B168" s="50">
        <v>1.2</v>
      </c>
      <c r="C168" s="265">
        <f t="shared" si="12"/>
        <v>0.3</v>
      </c>
      <c r="D168" s="793" t="s">
        <v>14</v>
      </c>
      <c r="E168" s="1324"/>
      <c r="F168" s="177" t="s">
        <v>882</v>
      </c>
      <c r="G168" s="27">
        <v>35.0</v>
      </c>
      <c r="H168" s="27">
        <f t="shared" si="14"/>
        <v>8.75</v>
      </c>
      <c r="I168" s="441" t="s">
        <v>5</v>
      </c>
      <c r="J168" s="1324"/>
      <c r="K168" s="1"/>
      <c r="L168" s="1"/>
      <c r="M168" s="1"/>
      <c r="N168" s="1"/>
    </row>
    <row r="169" ht="14.25" customHeight="1">
      <c r="A169" s="262" t="s">
        <v>31</v>
      </c>
      <c r="B169" s="50">
        <v>150.0</v>
      </c>
      <c r="C169" s="265">
        <f t="shared" si="12"/>
        <v>37.5</v>
      </c>
      <c r="D169" s="793" t="s">
        <v>18</v>
      </c>
      <c r="E169" s="1324"/>
      <c r="F169" s="262" t="s">
        <v>13</v>
      </c>
      <c r="G169" s="50">
        <v>1.2</v>
      </c>
      <c r="H169" s="50">
        <f t="shared" si="14"/>
        <v>0.3</v>
      </c>
      <c r="I169" s="1268" t="s">
        <v>14</v>
      </c>
      <c r="J169" s="1324"/>
      <c r="K169" s="1"/>
      <c r="L169" s="1"/>
      <c r="M169" s="1"/>
      <c r="N169" s="1"/>
    </row>
    <row r="170" ht="14.25" customHeight="1">
      <c r="A170" s="208" t="s">
        <v>1068</v>
      </c>
      <c r="B170" s="236">
        <v>0.8</v>
      </c>
      <c r="C170" s="257">
        <f t="shared" si="12"/>
        <v>0.2</v>
      </c>
      <c r="D170" s="1052" t="s">
        <v>5</v>
      </c>
      <c r="E170" s="1331"/>
      <c r="F170" s="262" t="s">
        <v>31</v>
      </c>
      <c r="G170" s="50">
        <v>150.0</v>
      </c>
      <c r="H170" s="50">
        <f t="shared" si="14"/>
        <v>37.5</v>
      </c>
      <c r="I170" s="1268" t="s">
        <v>18</v>
      </c>
      <c r="J170" s="1331"/>
      <c r="K170" s="1"/>
      <c r="L170" s="1"/>
      <c r="M170" s="1"/>
      <c r="N170" s="1"/>
    </row>
    <row r="171" ht="14.25" customHeight="1">
      <c r="A171" s="208" t="s">
        <v>335</v>
      </c>
      <c r="B171" s="236">
        <v>2.5</v>
      </c>
      <c r="C171" s="257">
        <f t="shared" si="12"/>
        <v>0.625</v>
      </c>
      <c r="D171" s="1052" t="s">
        <v>5</v>
      </c>
      <c r="E171" s="1332" t="s">
        <v>1501</v>
      </c>
      <c r="F171" s="208" t="s">
        <v>1068</v>
      </c>
      <c r="G171" s="236">
        <v>0.8</v>
      </c>
      <c r="H171" s="236">
        <f t="shared" si="14"/>
        <v>0.2</v>
      </c>
      <c r="I171" s="475" t="s">
        <v>5</v>
      </c>
      <c r="J171" s="1332" t="s">
        <v>1501</v>
      </c>
      <c r="K171" s="1"/>
      <c r="L171" s="1"/>
      <c r="M171" s="1"/>
      <c r="N171" s="1"/>
    </row>
    <row r="172" ht="14.25" customHeight="1">
      <c r="A172" s="1187" t="s">
        <v>119</v>
      </c>
      <c r="B172" s="818" t="s">
        <v>47</v>
      </c>
      <c r="C172" s="1127"/>
      <c r="D172" s="755"/>
      <c r="E172" s="1"/>
      <c r="F172" s="208" t="s">
        <v>335</v>
      </c>
      <c r="G172" s="236">
        <v>2.5</v>
      </c>
      <c r="H172" s="236">
        <f t="shared" si="14"/>
        <v>0.625</v>
      </c>
      <c r="I172" s="475" t="s">
        <v>5</v>
      </c>
      <c r="J172" s="1"/>
      <c r="K172" s="1"/>
      <c r="L172" s="1"/>
      <c r="M172" s="1"/>
      <c r="N172" s="1"/>
    </row>
    <row r="173" ht="14.25" customHeight="1">
      <c r="A173" s="1"/>
      <c r="B173" s="107"/>
      <c r="C173" s="184"/>
      <c r="D173" s="108"/>
      <c r="E173" s="1"/>
      <c r="F173" s="1"/>
      <c r="G173" s="1"/>
      <c r="H173" s="1"/>
      <c r="I173" s="1"/>
      <c r="J173" s="1"/>
      <c r="K173" s="1"/>
      <c r="L173" s="1"/>
      <c r="M173" s="1"/>
      <c r="N173" s="1"/>
    </row>
    <row r="174" ht="14.25" customHeight="1">
      <c r="A174" s="186" t="s">
        <v>120</v>
      </c>
      <c r="B174" s="1337">
        <v>41518.0</v>
      </c>
      <c r="C174" s="184"/>
      <c r="D174" s="108"/>
      <c r="E174" s="1"/>
      <c r="F174" s="1"/>
      <c r="G174" s="1"/>
      <c r="H174" s="1"/>
      <c r="I174" s="1"/>
      <c r="J174" s="1"/>
      <c r="K174" s="1"/>
      <c r="L174" s="1"/>
      <c r="M174" s="1"/>
      <c r="N174" s="1"/>
    </row>
    <row r="175" ht="14.25" customHeight="1">
      <c r="A175" s="90" t="s">
        <v>50</v>
      </c>
      <c r="B175" s="1337">
        <v>41783.0</v>
      </c>
      <c r="C175" s="184"/>
      <c r="D175" s="108"/>
      <c r="E175" s="1"/>
      <c r="F175" s="1"/>
      <c r="G175" s="1"/>
      <c r="H175" s="1"/>
      <c r="I175" s="1"/>
      <c r="J175" s="1"/>
      <c r="K175" s="1"/>
      <c r="L175" s="1"/>
      <c r="M175" s="1"/>
      <c r="N175" s="1"/>
    </row>
    <row r="176" ht="14.25" customHeight="1">
      <c r="A176" s="1"/>
      <c r="B176" s="107"/>
      <c r="C176" s="184"/>
      <c r="D176" s="108"/>
      <c r="E176" s="1"/>
      <c r="F176" s="1"/>
      <c r="G176" s="1"/>
      <c r="H176" s="1"/>
      <c r="I176" s="1"/>
      <c r="J176" s="1"/>
      <c r="K176" s="1"/>
      <c r="L176" s="1"/>
      <c r="M176" s="1"/>
      <c r="N176" s="1"/>
    </row>
    <row r="177" ht="14.25" customHeight="1">
      <c r="A177" s="511" t="s">
        <v>1505</v>
      </c>
      <c r="B177" s="18"/>
      <c r="C177" s="18"/>
      <c r="D177" s="19"/>
      <c r="E177" s="1339"/>
      <c r="F177" s="1"/>
      <c r="G177" s="1"/>
      <c r="H177" s="1"/>
      <c r="I177" s="1"/>
      <c r="J177" s="1"/>
      <c r="K177" s="1"/>
      <c r="L177" s="1"/>
      <c r="M177" s="1"/>
      <c r="N177" s="1"/>
    </row>
    <row r="178" ht="14.25" customHeight="1">
      <c r="A178" s="51" t="s">
        <v>1507</v>
      </c>
      <c r="B178" s="190">
        <v>100.0</v>
      </c>
      <c r="C178" s="513">
        <v>60.0</v>
      </c>
      <c r="D178" s="125" t="s">
        <v>999</v>
      </c>
      <c r="E178" s="1339"/>
      <c r="F178" s="1"/>
      <c r="G178" s="1"/>
      <c r="H178" s="1"/>
      <c r="I178" s="1"/>
      <c r="J178" s="1"/>
      <c r="K178" s="1"/>
      <c r="L178" s="1"/>
      <c r="M178" s="1"/>
      <c r="N178" s="1"/>
    </row>
    <row r="179" ht="14.25" customHeight="1">
      <c r="A179" s="68" t="s">
        <v>1136</v>
      </c>
      <c r="B179" s="145">
        <v>2.0</v>
      </c>
      <c r="C179" s="155">
        <f t="shared" ref="C179:C191" si="15">(B179*C178)/B178</f>
        <v>1.2</v>
      </c>
      <c r="D179" s="1341" t="s">
        <v>14</v>
      </c>
      <c r="E179" s="44" t="s">
        <v>1508</v>
      </c>
      <c r="F179" s="1"/>
      <c r="G179" s="1"/>
      <c r="H179" s="1"/>
      <c r="I179" s="1"/>
      <c r="J179" s="1"/>
      <c r="K179" s="1"/>
      <c r="L179" s="1"/>
      <c r="M179" s="1"/>
      <c r="N179" s="1"/>
    </row>
    <row r="180" ht="14.25" customHeight="1">
      <c r="A180" s="93" t="s">
        <v>1159</v>
      </c>
      <c r="B180" s="195">
        <v>0.5</v>
      </c>
      <c r="C180" s="78">
        <f t="shared" si="15"/>
        <v>0.3</v>
      </c>
      <c r="D180" s="1342" t="s">
        <v>14</v>
      </c>
      <c r="E180" s="47"/>
      <c r="F180" s="1"/>
      <c r="G180" s="1"/>
      <c r="H180" s="1"/>
      <c r="I180" s="1"/>
      <c r="J180" s="1"/>
      <c r="K180" s="1"/>
      <c r="L180" s="1"/>
      <c r="M180" s="1"/>
      <c r="N180" s="1"/>
    </row>
    <row r="181" ht="14.25" customHeight="1">
      <c r="A181" s="93" t="s">
        <v>1509</v>
      </c>
      <c r="B181" s="195">
        <v>0.5</v>
      </c>
      <c r="C181" s="78">
        <f t="shared" si="15"/>
        <v>0.3</v>
      </c>
      <c r="D181" s="1342" t="s">
        <v>5</v>
      </c>
      <c r="E181" s="47"/>
      <c r="F181" s="1"/>
      <c r="G181" s="1"/>
      <c r="H181" s="1"/>
      <c r="I181" s="1"/>
      <c r="J181" s="1"/>
      <c r="K181" s="1"/>
      <c r="L181" s="1"/>
      <c r="M181" s="1"/>
      <c r="N181" s="1"/>
    </row>
    <row r="182" ht="14.25" customHeight="1">
      <c r="A182" s="93" t="s">
        <v>13</v>
      </c>
      <c r="B182" s="195">
        <v>0.25</v>
      </c>
      <c r="C182" s="78">
        <f t="shared" si="15"/>
        <v>0.15</v>
      </c>
      <c r="D182" s="1342" t="s">
        <v>14</v>
      </c>
      <c r="E182" s="47"/>
      <c r="F182" s="1"/>
      <c r="G182" s="1"/>
      <c r="H182" s="1"/>
      <c r="I182" s="1"/>
      <c r="J182" s="1"/>
      <c r="K182" s="1"/>
      <c r="L182" s="1"/>
      <c r="M182" s="1"/>
      <c r="N182" s="1"/>
    </row>
    <row r="183" ht="14.25" customHeight="1">
      <c r="A183" s="138" t="s">
        <v>59</v>
      </c>
      <c r="B183" s="279">
        <v>1.75</v>
      </c>
      <c r="C183" s="146">
        <f t="shared" si="15"/>
        <v>1.05</v>
      </c>
      <c r="D183" s="1345" t="s">
        <v>5</v>
      </c>
      <c r="E183" s="47"/>
      <c r="F183" s="1"/>
      <c r="G183" s="1"/>
      <c r="H183" s="1"/>
      <c r="I183" s="1"/>
      <c r="J183" s="1"/>
      <c r="K183" s="1"/>
      <c r="L183" s="1"/>
      <c r="M183" s="1"/>
      <c r="N183" s="1"/>
    </row>
    <row r="184" ht="14.25" customHeight="1">
      <c r="A184" s="68" t="s">
        <v>1512</v>
      </c>
      <c r="B184" s="145">
        <v>0.5</v>
      </c>
      <c r="C184" s="155">
        <f t="shared" si="15"/>
        <v>0.3</v>
      </c>
      <c r="D184" s="1341" t="s">
        <v>5</v>
      </c>
      <c r="E184" s="44" t="s">
        <v>1513</v>
      </c>
      <c r="F184" s="1"/>
      <c r="G184" s="1"/>
      <c r="H184" s="1"/>
      <c r="I184" s="1"/>
      <c r="J184" s="1"/>
      <c r="K184" s="1"/>
      <c r="L184" s="1"/>
      <c r="M184" s="1"/>
      <c r="N184" s="1"/>
    </row>
    <row r="185" ht="14.25" customHeight="1">
      <c r="A185" s="93" t="s">
        <v>1514</v>
      </c>
      <c r="B185" s="195">
        <v>100.0</v>
      </c>
      <c r="C185" s="78">
        <f t="shared" si="15"/>
        <v>60</v>
      </c>
      <c r="D185" s="1342" t="s">
        <v>82</v>
      </c>
      <c r="E185" s="47"/>
      <c r="F185" s="1"/>
      <c r="G185" s="1"/>
      <c r="H185" s="1"/>
      <c r="I185" s="1"/>
      <c r="J185" s="1"/>
      <c r="K185" s="1"/>
      <c r="L185" s="1"/>
      <c r="M185" s="1"/>
      <c r="N185" s="1"/>
    </row>
    <row r="186" ht="14.25" customHeight="1">
      <c r="A186" s="93" t="s">
        <v>179</v>
      </c>
      <c r="B186" s="195">
        <v>50.0</v>
      </c>
      <c r="C186" s="78">
        <f t="shared" si="15"/>
        <v>30</v>
      </c>
      <c r="D186" s="1342" t="s">
        <v>82</v>
      </c>
      <c r="E186" s="47"/>
      <c r="F186" s="1"/>
      <c r="G186" s="1"/>
      <c r="H186" s="1"/>
      <c r="I186" s="1"/>
      <c r="J186" s="1"/>
      <c r="K186" s="1"/>
      <c r="L186" s="1"/>
      <c r="M186" s="1"/>
      <c r="N186" s="1"/>
    </row>
    <row r="187" ht="14.25" customHeight="1">
      <c r="A187" s="138" t="s">
        <v>963</v>
      </c>
      <c r="B187" s="279">
        <v>1.0</v>
      </c>
      <c r="C187" s="78">
        <f t="shared" si="15"/>
        <v>0.6</v>
      </c>
      <c r="D187" s="1345" t="s">
        <v>14</v>
      </c>
      <c r="E187" s="47"/>
      <c r="F187" s="1"/>
      <c r="G187" s="1"/>
      <c r="H187" s="1"/>
      <c r="I187" s="1"/>
      <c r="J187" s="1"/>
      <c r="K187" s="1"/>
      <c r="L187" s="1"/>
      <c r="M187" s="1"/>
      <c r="N187" s="1"/>
    </row>
    <row r="188" ht="14.25" customHeight="1">
      <c r="A188" s="93" t="s">
        <v>1517</v>
      </c>
      <c r="B188" s="1213">
        <v>4.0</v>
      </c>
      <c r="C188" s="146">
        <f t="shared" si="15"/>
        <v>2.4</v>
      </c>
      <c r="D188" s="165" t="s">
        <v>999</v>
      </c>
      <c r="E188" s="47"/>
      <c r="F188" s="1"/>
      <c r="G188" s="1"/>
      <c r="H188" s="1"/>
      <c r="I188" s="1"/>
      <c r="J188" s="1"/>
      <c r="K188" s="1"/>
      <c r="L188" s="1"/>
      <c r="M188" s="1"/>
      <c r="N188" s="1"/>
    </row>
    <row r="189" ht="14.25" customHeight="1">
      <c r="A189" s="138" t="s">
        <v>114</v>
      </c>
      <c r="B189" s="279">
        <v>1.0</v>
      </c>
      <c r="C189" s="78">
        <f t="shared" si="15"/>
        <v>0.6</v>
      </c>
      <c r="D189" s="1345" t="s">
        <v>5</v>
      </c>
      <c r="E189" s="47"/>
      <c r="F189" s="1"/>
      <c r="G189" s="1"/>
      <c r="H189" s="1"/>
      <c r="I189" s="1"/>
      <c r="J189" s="1"/>
      <c r="K189" s="1"/>
      <c r="L189" s="1"/>
      <c r="M189" s="1"/>
      <c r="N189" s="1"/>
    </row>
    <row r="190" ht="14.25" customHeight="1">
      <c r="A190" s="138" t="s">
        <v>31</v>
      </c>
      <c r="B190" s="279">
        <v>60.0</v>
      </c>
      <c r="C190" s="78">
        <f t="shared" si="15"/>
        <v>36</v>
      </c>
      <c r="D190" s="1345" t="s">
        <v>18</v>
      </c>
      <c r="E190" s="47"/>
      <c r="F190" s="1"/>
      <c r="G190" s="1"/>
      <c r="H190" s="1"/>
      <c r="I190" s="1"/>
      <c r="J190" s="1"/>
      <c r="K190" s="1"/>
      <c r="L190" s="1"/>
      <c r="M190" s="1"/>
      <c r="N190" s="1"/>
    </row>
    <row r="191" ht="14.25" customHeight="1">
      <c r="A191" s="173" t="s">
        <v>1321</v>
      </c>
      <c r="B191" s="275">
        <v>15.0</v>
      </c>
      <c r="C191" s="179">
        <f t="shared" si="15"/>
        <v>9</v>
      </c>
      <c r="D191" s="1351" t="s">
        <v>18</v>
      </c>
      <c r="E191" s="784" t="s">
        <v>1519</v>
      </c>
      <c r="F191" s="1"/>
      <c r="G191" s="1"/>
      <c r="H191" s="1"/>
      <c r="I191" s="1"/>
      <c r="J191" s="1"/>
      <c r="K191" s="1"/>
      <c r="L191" s="1"/>
      <c r="M191" s="1"/>
      <c r="N191" s="1"/>
    </row>
    <row r="192" ht="14.25" customHeight="1">
      <c r="A192" s="1187" t="s">
        <v>119</v>
      </c>
      <c r="B192" s="818" t="s">
        <v>47</v>
      </c>
      <c r="C192" s="184"/>
      <c r="D192" s="108"/>
      <c r="E192" s="1"/>
      <c r="F192" s="1"/>
      <c r="G192" s="1"/>
      <c r="H192" s="1"/>
      <c r="I192" s="1"/>
      <c r="J192" s="1"/>
      <c r="K192" s="1"/>
      <c r="L192" s="1"/>
      <c r="M192" s="1"/>
      <c r="N192" s="1"/>
    </row>
    <row r="193" ht="14.25" customHeight="1">
      <c r="A193" s="1"/>
      <c r="B193" s="107"/>
      <c r="C193" s="184"/>
      <c r="D193" s="108"/>
      <c r="E193" s="1"/>
      <c r="F193" s="1"/>
      <c r="G193" s="1"/>
      <c r="H193" s="1"/>
      <c r="I193" s="1"/>
      <c r="J193" s="1"/>
      <c r="K193" s="1"/>
      <c r="L193" s="1"/>
      <c r="M193" s="1"/>
      <c r="N193" s="1"/>
    </row>
    <row r="194" ht="15.0" customHeight="1">
      <c r="A194" s="1352" t="s">
        <v>120</v>
      </c>
      <c r="B194" s="1353">
        <v>40883.0</v>
      </c>
      <c r="C194" s="184"/>
      <c r="D194" s="108"/>
      <c r="E194" s="1"/>
      <c r="F194" s="1"/>
      <c r="G194" s="1"/>
      <c r="H194" s="1"/>
      <c r="I194" s="1"/>
      <c r="J194" s="1"/>
      <c r="K194" s="1"/>
      <c r="L194" s="1"/>
      <c r="M194" s="1"/>
      <c r="N194" s="1"/>
    </row>
    <row r="195" ht="14.25" customHeight="1">
      <c r="A195" s="90" t="s">
        <v>50</v>
      </c>
      <c r="B195" s="1353">
        <v>40938.0</v>
      </c>
      <c r="C195" s="184"/>
      <c r="D195" s="108"/>
      <c r="E195" s="1"/>
      <c r="F195" s="1"/>
      <c r="G195" s="1"/>
      <c r="H195" s="1"/>
      <c r="I195" s="1"/>
      <c r="J195" s="1"/>
      <c r="K195" s="1"/>
      <c r="L195" s="1"/>
      <c r="M195" s="1"/>
      <c r="N195" s="1"/>
    </row>
    <row r="196" ht="14.25" customHeight="1">
      <c r="A196" s="1"/>
      <c r="B196" s="107"/>
      <c r="C196" s="184"/>
      <c r="D196" s="108"/>
      <c r="E196" s="1"/>
      <c r="F196" s="1"/>
      <c r="G196" s="1"/>
      <c r="H196" s="1"/>
      <c r="I196" s="1"/>
      <c r="J196" s="1"/>
      <c r="K196" s="1"/>
      <c r="L196" s="1"/>
      <c r="M196" s="1"/>
      <c r="N196" s="1"/>
    </row>
    <row r="197" ht="14.25" customHeight="1">
      <c r="A197" s="913" t="s">
        <v>1525</v>
      </c>
      <c r="B197" s="5"/>
      <c r="C197" s="5"/>
      <c r="D197" s="6"/>
      <c r="E197" s="763"/>
      <c r="F197" s="1"/>
      <c r="G197" s="1"/>
      <c r="H197" s="1"/>
      <c r="I197" s="1"/>
      <c r="J197" s="1"/>
      <c r="K197" s="1"/>
      <c r="L197" s="1"/>
      <c r="M197" s="1"/>
      <c r="N197" s="1"/>
    </row>
    <row r="198" ht="14.25" customHeight="1">
      <c r="A198" s="51" t="s">
        <v>1</v>
      </c>
      <c r="B198" s="121">
        <v>100.0</v>
      </c>
      <c r="C198" s="513">
        <v>40.0</v>
      </c>
      <c r="D198" s="125" t="s">
        <v>5</v>
      </c>
      <c r="E198" s="763"/>
      <c r="F198" s="1"/>
      <c r="G198" s="1"/>
      <c r="H198" s="1"/>
      <c r="I198" s="1"/>
      <c r="J198" s="1"/>
      <c r="K198" s="1"/>
      <c r="L198" s="1"/>
      <c r="M198" s="1"/>
      <c r="N198" s="1"/>
    </row>
    <row r="199" ht="15.0" customHeight="1">
      <c r="A199" s="68" t="s">
        <v>1252</v>
      </c>
      <c r="B199" s="131">
        <v>7.5</v>
      </c>
      <c r="C199" s="164">
        <f t="shared" ref="C199:C223" si="16">(B199*C198)/B198</f>
        <v>3</v>
      </c>
      <c r="D199" s="137" t="s">
        <v>14</v>
      </c>
      <c r="E199" s="264" t="s">
        <v>1530</v>
      </c>
      <c r="F199" s="1"/>
      <c r="G199" s="1"/>
      <c r="H199" s="1"/>
      <c r="I199" s="1"/>
      <c r="J199" s="1"/>
      <c r="K199" s="1"/>
      <c r="L199" s="1"/>
      <c r="M199" s="1"/>
      <c r="N199" s="1"/>
    </row>
    <row r="200" ht="14.25" customHeight="1">
      <c r="A200" s="93" t="s">
        <v>1161</v>
      </c>
      <c r="B200" s="160">
        <v>5.0</v>
      </c>
      <c r="C200" s="201">
        <f t="shared" si="16"/>
        <v>2</v>
      </c>
      <c r="D200" s="165" t="s">
        <v>14</v>
      </c>
      <c r="E200" s="66"/>
      <c r="F200" s="1"/>
      <c r="G200" s="1"/>
      <c r="H200" s="1"/>
      <c r="I200" s="1"/>
      <c r="J200" s="1"/>
      <c r="K200" s="1"/>
      <c r="L200" s="1"/>
      <c r="M200" s="1"/>
      <c r="N200" s="1"/>
    </row>
    <row r="201" ht="14.25" customHeight="1">
      <c r="A201" s="138" t="s">
        <v>1169</v>
      </c>
      <c r="B201" s="160">
        <v>5.0</v>
      </c>
      <c r="C201" s="201">
        <f t="shared" si="16"/>
        <v>2</v>
      </c>
      <c r="D201" s="281" t="s">
        <v>14</v>
      </c>
      <c r="E201" s="66"/>
      <c r="F201" s="1"/>
      <c r="G201" s="1"/>
      <c r="H201" s="1"/>
      <c r="I201" s="1"/>
      <c r="J201" s="1"/>
      <c r="K201" s="1"/>
      <c r="L201" s="1"/>
      <c r="M201" s="1"/>
      <c r="N201" s="1"/>
    </row>
    <row r="202" ht="14.25" customHeight="1">
      <c r="A202" s="138" t="s">
        <v>1531</v>
      </c>
      <c r="B202" s="160">
        <v>7.5</v>
      </c>
      <c r="C202" s="201">
        <f t="shared" si="16"/>
        <v>3</v>
      </c>
      <c r="D202" s="281" t="s">
        <v>14</v>
      </c>
      <c r="E202" s="66"/>
      <c r="F202" s="1"/>
      <c r="G202" s="1"/>
      <c r="H202" s="1"/>
      <c r="I202" s="1"/>
      <c r="J202" s="1"/>
      <c r="K202" s="1"/>
      <c r="L202" s="1"/>
      <c r="M202" s="1"/>
      <c r="N202" s="1"/>
    </row>
    <row r="203" ht="14.25" customHeight="1">
      <c r="A203" s="105" t="s">
        <v>31</v>
      </c>
      <c r="B203" s="167">
        <v>1000.0</v>
      </c>
      <c r="C203" s="257">
        <f t="shared" si="16"/>
        <v>400</v>
      </c>
      <c r="D203" s="172" t="s">
        <v>18</v>
      </c>
      <c r="E203" s="106"/>
      <c r="F203" s="1"/>
      <c r="G203" s="1"/>
      <c r="H203" s="1"/>
      <c r="I203" s="1"/>
      <c r="J203" s="1"/>
      <c r="K203" s="1"/>
      <c r="L203" s="1"/>
      <c r="M203" s="1"/>
      <c r="N203" s="1"/>
    </row>
    <row r="204" ht="14.25" customHeight="1">
      <c r="A204" s="68" t="s">
        <v>34</v>
      </c>
      <c r="B204" s="131">
        <v>0.5</v>
      </c>
      <c r="C204" s="164">
        <f t="shared" si="16"/>
        <v>0.2</v>
      </c>
      <c r="D204" s="137" t="s">
        <v>5</v>
      </c>
      <c r="E204" s="1080" t="s">
        <v>1535</v>
      </c>
      <c r="F204" s="1"/>
      <c r="G204" s="1"/>
      <c r="H204" s="1"/>
      <c r="I204" s="1"/>
      <c r="J204" s="1"/>
      <c r="K204" s="1"/>
      <c r="L204" s="1"/>
      <c r="M204" s="1"/>
      <c r="N204" s="1"/>
    </row>
    <row r="205" ht="14.25" customHeight="1">
      <c r="A205" s="93" t="s">
        <v>66</v>
      </c>
      <c r="B205" s="160">
        <v>20.0</v>
      </c>
      <c r="C205" s="201">
        <f t="shared" si="16"/>
        <v>8</v>
      </c>
      <c r="D205" s="165" t="s">
        <v>18</v>
      </c>
      <c r="E205" s="66"/>
      <c r="F205" s="1"/>
      <c r="G205" s="1"/>
      <c r="H205" s="1"/>
      <c r="I205" s="1"/>
      <c r="J205" s="1"/>
      <c r="K205" s="1"/>
      <c r="L205" s="1"/>
      <c r="M205" s="1"/>
      <c r="N205" s="1"/>
    </row>
    <row r="206" ht="14.25" customHeight="1">
      <c r="A206" s="93" t="s">
        <v>95</v>
      </c>
      <c r="B206" s="160">
        <v>20.0</v>
      </c>
      <c r="C206" s="201">
        <f t="shared" si="16"/>
        <v>8</v>
      </c>
      <c r="D206" s="165" t="s">
        <v>18</v>
      </c>
      <c r="E206" s="66"/>
      <c r="F206" s="1"/>
      <c r="G206" s="1"/>
      <c r="H206" s="1"/>
      <c r="I206" s="1"/>
      <c r="J206" s="1"/>
      <c r="K206" s="1"/>
      <c r="L206" s="1"/>
      <c r="M206" s="1"/>
      <c r="N206" s="1"/>
    </row>
    <row r="207" ht="14.25" customHeight="1">
      <c r="A207" s="93" t="s">
        <v>162</v>
      </c>
      <c r="B207" s="160">
        <v>200.0</v>
      </c>
      <c r="C207" s="201">
        <f t="shared" si="16"/>
        <v>80</v>
      </c>
      <c r="D207" s="165" t="s">
        <v>18</v>
      </c>
      <c r="E207" s="66"/>
      <c r="F207" s="1"/>
      <c r="G207" s="1"/>
      <c r="H207" s="1"/>
      <c r="I207" s="1"/>
      <c r="J207" s="1"/>
      <c r="K207" s="1"/>
      <c r="L207" s="1"/>
      <c r="M207" s="1"/>
      <c r="N207" s="1"/>
    </row>
    <row r="208" ht="14.25" customHeight="1">
      <c r="A208" s="93" t="s">
        <v>1538</v>
      </c>
      <c r="B208" s="160">
        <v>200.0</v>
      </c>
      <c r="C208" s="201">
        <f t="shared" si="16"/>
        <v>80</v>
      </c>
      <c r="D208" s="165" t="s">
        <v>18</v>
      </c>
      <c r="E208" s="66"/>
      <c r="F208" s="1"/>
      <c r="G208" s="1"/>
      <c r="H208" s="1"/>
      <c r="I208" s="1"/>
      <c r="J208" s="1"/>
      <c r="K208" s="1"/>
      <c r="L208" s="1"/>
      <c r="M208" s="1"/>
      <c r="N208" s="1"/>
    </row>
    <row r="209" ht="14.25" customHeight="1">
      <c r="A209" s="93" t="s">
        <v>98</v>
      </c>
      <c r="B209" s="160">
        <v>125.0</v>
      </c>
      <c r="C209" s="201">
        <f t="shared" si="16"/>
        <v>50</v>
      </c>
      <c r="D209" s="165" t="s">
        <v>18</v>
      </c>
      <c r="E209" s="66"/>
      <c r="F209" s="1"/>
      <c r="G209" s="1"/>
      <c r="H209" s="1"/>
      <c r="I209" s="1"/>
      <c r="J209" s="1"/>
      <c r="K209" s="1"/>
      <c r="L209" s="1"/>
      <c r="M209" s="1"/>
      <c r="N209" s="1"/>
    </row>
    <row r="210" ht="14.25" customHeight="1">
      <c r="A210" s="93" t="s">
        <v>1243</v>
      </c>
      <c r="B210" s="160">
        <v>50.0</v>
      </c>
      <c r="C210" s="201">
        <f t="shared" si="16"/>
        <v>20</v>
      </c>
      <c r="D210" s="165" t="s">
        <v>18</v>
      </c>
      <c r="E210" s="66"/>
      <c r="F210" s="1"/>
      <c r="G210" s="1"/>
      <c r="H210" s="1"/>
      <c r="I210" s="1"/>
      <c r="J210" s="1"/>
      <c r="K210" s="1"/>
      <c r="L210" s="1"/>
      <c r="M210" s="1"/>
      <c r="N210" s="1"/>
    </row>
    <row r="211" ht="14.25" customHeight="1">
      <c r="A211" s="93" t="s">
        <v>1136</v>
      </c>
      <c r="B211" s="160">
        <v>0.75</v>
      </c>
      <c r="C211" s="201">
        <f t="shared" si="16"/>
        <v>0.3</v>
      </c>
      <c r="D211" s="165" t="s">
        <v>14</v>
      </c>
      <c r="E211" s="66"/>
      <c r="F211" s="1"/>
      <c r="G211" s="1"/>
      <c r="H211" s="1"/>
      <c r="I211" s="1"/>
      <c r="J211" s="1"/>
      <c r="K211" s="1"/>
      <c r="L211" s="1"/>
      <c r="M211" s="1"/>
      <c r="N211" s="1"/>
    </row>
    <row r="212" ht="14.25" customHeight="1">
      <c r="A212" s="93" t="s">
        <v>101</v>
      </c>
      <c r="B212" s="160">
        <v>1.0</v>
      </c>
      <c r="C212" s="201">
        <f t="shared" si="16"/>
        <v>0.4</v>
      </c>
      <c r="D212" s="165" t="s">
        <v>5</v>
      </c>
      <c r="E212" s="66"/>
      <c r="F212" s="1"/>
      <c r="G212" s="1"/>
      <c r="H212" s="1"/>
      <c r="I212" s="1"/>
      <c r="J212" s="1"/>
      <c r="K212" s="1"/>
      <c r="L212" s="1"/>
      <c r="M212" s="1"/>
      <c r="N212" s="1"/>
    </row>
    <row r="213" ht="14.25" customHeight="1">
      <c r="A213" s="93" t="s">
        <v>142</v>
      </c>
      <c r="B213" s="160">
        <v>8.0</v>
      </c>
      <c r="C213" s="201">
        <f t="shared" si="16"/>
        <v>3.2</v>
      </c>
      <c r="D213" s="165" t="s">
        <v>9</v>
      </c>
      <c r="E213" s="66"/>
      <c r="F213" s="1"/>
      <c r="G213" s="1"/>
      <c r="H213" s="1"/>
      <c r="I213" s="1"/>
      <c r="J213" s="1"/>
      <c r="K213" s="1"/>
      <c r="L213" s="1"/>
      <c r="M213" s="1"/>
      <c r="N213" s="1"/>
    </row>
    <row r="214" ht="14.25" customHeight="1">
      <c r="A214" s="105" t="s">
        <v>1541</v>
      </c>
      <c r="B214" s="167">
        <v>0.75</v>
      </c>
      <c r="C214" s="257">
        <f t="shared" si="16"/>
        <v>0.3</v>
      </c>
      <c r="D214" s="172" t="s">
        <v>14</v>
      </c>
      <c r="E214" s="106"/>
      <c r="F214" s="1"/>
      <c r="G214" s="1"/>
      <c r="H214" s="1"/>
      <c r="I214" s="1"/>
      <c r="J214" s="1"/>
      <c r="K214" s="1"/>
      <c r="L214" s="1"/>
      <c r="M214" s="1"/>
      <c r="N214" s="1"/>
    </row>
    <row r="215" ht="14.25" customHeight="1">
      <c r="A215" s="119" t="s">
        <v>1543</v>
      </c>
      <c r="B215" s="174">
        <v>7.5</v>
      </c>
      <c r="C215" s="158">
        <f t="shared" si="16"/>
        <v>3</v>
      </c>
      <c r="D215" s="176" t="s">
        <v>14</v>
      </c>
      <c r="E215" s="1183" t="s">
        <v>1547</v>
      </c>
      <c r="F215" s="1"/>
      <c r="G215" s="1"/>
      <c r="H215" s="1"/>
      <c r="I215" s="1"/>
      <c r="J215" s="1"/>
      <c r="K215" s="1"/>
      <c r="L215" s="1"/>
      <c r="M215" s="1"/>
      <c r="N215" s="1"/>
    </row>
    <row r="216" ht="14.25" customHeight="1">
      <c r="A216" s="93" t="s">
        <v>1549</v>
      </c>
      <c r="B216" s="160">
        <v>10.0</v>
      </c>
      <c r="C216" s="201">
        <f t="shared" si="16"/>
        <v>4</v>
      </c>
      <c r="D216" s="165" t="s">
        <v>14</v>
      </c>
      <c r="E216" s="47"/>
      <c r="F216" s="1"/>
      <c r="G216" s="1"/>
      <c r="H216" s="1"/>
      <c r="I216" s="1"/>
      <c r="J216" s="1"/>
      <c r="K216" s="1"/>
      <c r="L216" s="1"/>
      <c r="M216" s="1"/>
      <c r="N216" s="1"/>
    </row>
    <row r="217" ht="14.25" customHeight="1">
      <c r="A217" s="138" t="s">
        <v>1551</v>
      </c>
      <c r="B217" s="1360">
        <v>10.0</v>
      </c>
      <c r="C217" s="201">
        <f t="shared" si="16"/>
        <v>4</v>
      </c>
      <c r="D217" s="281" t="s">
        <v>14</v>
      </c>
      <c r="E217" s="47"/>
      <c r="F217" s="1"/>
      <c r="G217" s="1"/>
      <c r="H217" s="1"/>
      <c r="I217" s="1"/>
      <c r="J217" s="1"/>
      <c r="K217" s="1"/>
      <c r="L217" s="1"/>
      <c r="M217" s="1"/>
      <c r="N217" s="1"/>
    </row>
    <row r="218" ht="14.25" customHeight="1">
      <c r="A218" s="138" t="s">
        <v>1554</v>
      </c>
      <c r="B218" s="1360">
        <v>10.0</v>
      </c>
      <c r="C218" s="201">
        <f t="shared" si="16"/>
        <v>4</v>
      </c>
      <c r="D218" s="281" t="s">
        <v>14</v>
      </c>
      <c r="E218" s="76"/>
      <c r="F218" s="1"/>
      <c r="G218" s="1"/>
      <c r="H218" s="1"/>
      <c r="I218" s="1"/>
      <c r="J218" s="1"/>
      <c r="K218" s="1"/>
      <c r="L218" s="1"/>
      <c r="M218" s="1"/>
      <c r="N218" s="1"/>
    </row>
    <row r="219" ht="14.25" customHeight="1">
      <c r="A219" s="68" t="s">
        <v>34</v>
      </c>
      <c r="B219" s="131">
        <v>1.0</v>
      </c>
      <c r="C219" s="164">
        <f t="shared" si="16"/>
        <v>0.4</v>
      </c>
      <c r="D219" s="137" t="s">
        <v>5</v>
      </c>
      <c r="E219" s="1080" t="s">
        <v>94</v>
      </c>
      <c r="F219" s="1"/>
      <c r="G219" s="1"/>
      <c r="H219" s="1"/>
      <c r="I219" s="1"/>
      <c r="J219" s="1"/>
      <c r="K219" s="1"/>
      <c r="L219" s="1"/>
      <c r="M219" s="1"/>
      <c r="N219" s="1"/>
    </row>
    <row r="220" ht="14.25" customHeight="1">
      <c r="A220" s="93" t="s">
        <v>98</v>
      </c>
      <c r="B220" s="160">
        <v>250.0</v>
      </c>
      <c r="C220" s="201">
        <f t="shared" si="16"/>
        <v>100</v>
      </c>
      <c r="D220" s="165" t="s">
        <v>18</v>
      </c>
      <c r="E220" s="66"/>
      <c r="F220" s="1"/>
      <c r="G220" s="1"/>
      <c r="H220" s="1"/>
      <c r="I220" s="1"/>
      <c r="J220" s="1"/>
      <c r="K220" s="1"/>
      <c r="L220" s="1"/>
      <c r="M220" s="1"/>
      <c r="N220" s="1"/>
    </row>
    <row r="221" ht="14.25" customHeight="1">
      <c r="A221" s="93" t="s">
        <v>847</v>
      </c>
      <c r="B221" s="160">
        <v>100.0</v>
      </c>
      <c r="C221" s="201">
        <f t="shared" si="16"/>
        <v>40</v>
      </c>
      <c r="D221" s="165" t="s">
        <v>18</v>
      </c>
      <c r="E221" s="66"/>
      <c r="F221" s="1"/>
      <c r="G221" s="1"/>
      <c r="H221" s="1"/>
      <c r="I221" s="1"/>
      <c r="J221" s="1"/>
      <c r="K221" s="1"/>
      <c r="L221" s="1"/>
      <c r="M221" s="1"/>
      <c r="N221" s="1"/>
    </row>
    <row r="222" ht="14.25" customHeight="1">
      <c r="A222" s="93" t="s">
        <v>101</v>
      </c>
      <c r="B222" s="160">
        <v>1.5</v>
      </c>
      <c r="C222" s="201">
        <f t="shared" si="16"/>
        <v>0.6</v>
      </c>
      <c r="D222" s="165" t="s">
        <v>5</v>
      </c>
      <c r="E222" s="66"/>
      <c r="F222" s="1"/>
      <c r="G222" s="1"/>
      <c r="H222" s="1"/>
      <c r="I222" s="1"/>
      <c r="J222" s="1"/>
      <c r="K222" s="1"/>
      <c r="L222" s="1"/>
      <c r="M222" s="1"/>
      <c r="N222" s="1"/>
    </row>
    <row r="223" ht="14.25" customHeight="1">
      <c r="A223" s="138" t="s">
        <v>92</v>
      </c>
      <c r="B223" s="1360">
        <v>500.0</v>
      </c>
      <c r="C223" s="265">
        <f t="shared" si="16"/>
        <v>200</v>
      </c>
      <c r="D223" s="281" t="s">
        <v>82</v>
      </c>
      <c r="E223" s="106"/>
      <c r="F223" s="1"/>
      <c r="G223" s="1"/>
      <c r="H223" s="1"/>
      <c r="I223" s="1"/>
      <c r="J223" s="1"/>
      <c r="K223" s="1"/>
      <c r="L223" s="1"/>
      <c r="M223" s="1"/>
      <c r="N223" s="1"/>
    </row>
    <row r="224" ht="14.25" customHeight="1">
      <c r="A224" s="68" t="s">
        <v>80</v>
      </c>
      <c r="B224" s="131">
        <v>3.2</v>
      </c>
      <c r="C224" s="164">
        <f>(B224*C225)/B225</f>
        <v>1.28</v>
      </c>
      <c r="D224" s="137" t="s">
        <v>14</v>
      </c>
      <c r="E224" s="394" t="s">
        <v>1562</v>
      </c>
      <c r="F224" s="1"/>
      <c r="G224" s="1"/>
      <c r="H224" s="1"/>
      <c r="I224" s="1"/>
      <c r="J224" s="1"/>
      <c r="K224" s="1"/>
      <c r="L224" s="1"/>
      <c r="M224" s="1"/>
      <c r="N224" s="1"/>
    </row>
    <row r="225" ht="14.25" customHeight="1">
      <c r="A225" s="105" t="s">
        <v>81</v>
      </c>
      <c r="B225" s="167">
        <v>1250.0</v>
      </c>
      <c r="C225" s="257">
        <f t="shared" ref="C225:C226" si="17">(B225*C223)/B223</f>
        <v>500</v>
      </c>
      <c r="D225" s="172" t="s">
        <v>82</v>
      </c>
      <c r="E225" s="76"/>
      <c r="F225" s="1"/>
      <c r="G225" s="1"/>
      <c r="H225" s="1"/>
      <c r="I225" s="1"/>
      <c r="J225" s="1"/>
      <c r="K225" s="1"/>
      <c r="L225" s="1"/>
      <c r="M225" s="1"/>
      <c r="N225" s="1"/>
    </row>
    <row r="226" ht="14.25" customHeight="1">
      <c r="A226" s="149" t="s">
        <v>114</v>
      </c>
      <c r="B226" s="368">
        <v>2.5</v>
      </c>
      <c r="C226" s="1362">
        <f t="shared" si="17"/>
        <v>1</v>
      </c>
      <c r="D226" s="156" t="s">
        <v>5</v>
      </c>
      <c r="E226" s="592" t="s">
        <v>115</v>
      </c>
      <c r="F226" s="1"/>
      <c r="G226" s="1"/>
      <c r="H226" s="1"/>
      <c r="I226" s="1"/>
      <c r="J226" s="1"/>
      <c r="K226" s="1"/>
      <c r="L226" s="1"/>
      <c r="M226" s="1"/>
      <c r="N226" s="1"/>
    </row>
    <row r="227" ht="14.25" customHeight="1">
      <c r="A227" s="1187" t="s">
        <v>119</v>
      </c>
      <c r="B227" s="818" t="s">
        <v>47</v>
      </c>
      <c r="C227" s="184"/>
      <c r="D227" s="108"/>
      <c r="E227" s="1"/>
      <c r="F227" s="1"/>
      <c r="G227" s="1"/>
      <c r="H227" s="1"/>
      <c r="I227" s="1"/>
      <c r="J227" s="1"/>
      <c r="K227" s="1"/>
      <c r="L227" s="1"/>
      <c r="M227" s="1"/>
      <c r="N227" s="1"/>
    </row>
    <row r="228" ht="14.25" customHeight="1">
      <c r="A228" s="1"/>
      <c r="B228" s="107"/>
      <c r="C228" s="184"/>
      <c r="D228" s="108"/>
      <c r="E228" s="1"/>
      <c r="F228" s="1"/>
      <c r="G228" s="1"/>
      <c r="H228" s="1"/>
      <c r="I228" s="1"/>
      <c r="J228" s="1"/>
      <c r="K228" s="1"/>
      <c r="L228" s="1"/>
      <c r="M228" s="1"/>
      <c r="N228" s="1"/>
    </row>
    <row r="229" ht="14.25" customHeight="1">
      <c r="A229" s="203" t="s">
        <v>1573</v>
      </c>
      <c r="B229" s="1309">
        <v>40807.0</v>
      </c>
      <c r="C229" s="184"/>
      <c r="D229" s="108"/>
      <c r="E229" s="1"/>
      <c r="F229" s="1"/>
      <c r="G229" s="1"/>
      <c r="H229" s="1"/>
      <c r="I229" s="1"/>
      <c r="J229" s="1"/>
      <c r="K229" s="1"/>
      <c r="L229" s="1"/>
      <c r="M229" s="1"/>
      <c r="N229" s="1"/>
    </row>
    <row r="230" ht="14.25" customHeight="1">
      <c r="A230" s="1365" t="s">
        <v>1486</v>
      </c>
      <c r="B230" s="1309">
        <v>41163.0</v>
      </c>
      <c r="C230" s="184"/>
      <c r="D230" s="108"/>
      <c r="E230" s="1"/>
      <c r="F230" s="1"/>
      <c r="G230" s="1"/>
      <c r="H230" s="1"/>
      <c r="I230" s="1"/>
      <c r="J230" s="1"/>
      <c r="K230" s="1"/>
      <c r="L230" s="1"/>
      <c r="M230" s="1"/>
      <c r="N230" s="1"/>
    </row>
    <row r="231" ht="14.25" customHeight="1">
      <c r="A231" s="1"/>
      <c r="B231" s="107"/>
      <c r="C231" s="184"/>
      <c r="D231" s="108"/>
      <c r="E231" s="1"/>
      <c r="F231" s="1"/>
      <c r="G231" s="1"/>
      <c r="H231" s="1"/>
      <c r="I231" s="1"/>
      <c r="J231" s="1"/>
      <c r="K231" s="1"/>
      <c r="L231" s="1"/>
      <c r="M231" s="1"/>
      <c r="N231" s="1"/>
    </row>
    <row r="232" ht="18.0" customHeight="1">
      <c r="A232" s="209" t="s">
        <v>667</v>
      </c>
      <c r="B232" s="18"/>
      <c r="C232" s="18"/>
      <c r="D232" s="19"/>
      <c r="E232" s="1"/>
      <c r="F232" s="1"/>
      <c r="G232" s="1"/>
      <c r="H232" s="1"/>
      <c r="I232" s="1"/>
      <c r="J232" s="1"/>
      <c r="K232" s="1"/>
      <c r="L232" s="1"/>
      <c r="M232" s="1"/>
      <c r="N232" s="1"/>
    </row>
    <row r="233" ht="14.25" customHeight="1">
      <c r="A233" s="51" t="s">
        <v>1</v>
      </c>
      <c r="B233" s="190">
        <v>100.0</v>
      </c>
      <c r="C233" s="513">
        <v>60.0</v>
      </c>
      <c r="D233" s="125" t="s">
        <v>5</v>
      </c>
      <c r="E233" s="1"/>
      <c r="F233" s="1"/>
      <c r="G233" s="1"/>
      <c r="H233" s="1"/>
      <c r="I233" s="1"/>
      <c r="J233" s="1"/>
      <c r="K233" s="1"/>
      <c r="L233" s="1"/>
      <c r="M233" s="1"/>
      <c r="N233" s="1"/>
    </row>
    <row r="234" ht="14.25" customHeight="1">
      <c r="A234" s="68" t="s">
        <v>1577</v>
      </c>
      <c r="B234" s="145">
        <v>90.0</v>
      </c>
      <c r="C234" s="155">
        <f t="shared" ref="C234:C243" si="18">(B234*C233)/B233</f>
        <v>54</v>
      </c>
      <c r="D234" s="137" t="s">
        <v>14</v>
      </c>
      <c r="E234" s="1"/>
      <c r="F234" s="1"/>
      <c r="G234" s="1"/>
      <c r="H234" s="1"/>
      <c r="I234" s="1"/>
      <c r="J234" s="1"/>
      <c r="K234" s="1"/>
      <c r="L234" s="1"/>
      <c r="M234" s="1"/>
      <c r="N234" s="1"/>
    </row>
    <row r="235" ht="14.25" customHeight="1">
      <c r="A235" s="93" t="s">
        <v>91</v>
      </c>
      <c r="B235" s="195">
        <v>3.5</v>
      </c>
      <c r="C235" s="78">
        <f t="shared" si="18"/>
        <v>2.1</v>
      </c>
      <c r="D235" s="165" t="s">
        <v>5</v>
      </c>
      <c r="E235" s="1"/>
      <c r="F235" s="1"/>
      <c r="G235" s="1"/>
      <c r="H235" s="1"/>
      <c r="I235" s="1"/>
      <c r="J235" s="1"/>
      <c r="K235" s="1"/>
      <c r="L235" s="1"/>
      <c r="M235" s="1"/>
      <c r="N235" s="1"/>
    </row>
    <row r="236" ht="14.25" customHeight="1">
      <c r="A236" s="93" t="s">
        <v>98</v>
      </c>
      <c r="B236" s="195">
        <v>400.0</v>
      </c>
      <c r="C236" s="78">
        <f t="shared" si="18"/>
        <v>240</v>
      </c>
      <c r="D236" s="165" t="s">
        <v>18</v>
      </c>
      <c r="E236" s="1"/>
      <c r="F236" s="1"/>
      <c r="G236" s="1"/>
      <c r="H236" s="1"/>
      <c r="I236" s="1"/>
      <c r="J236" s="1"/>
      <c r="K236" s="1"/>
      <c r="L236" s="1"/>
      <c r="M236" s="1"/>
      <c r="N236" s="1"/>
    </row>
    <row r="237" ht="14.25" customHeight="1">
      <c r="A237" s="93" t="s">
        <v>346</v>
      </c>
      <c r="B237" s="195">
        <v>1000.0</v>
      </c>
      <c r="C237" s="78">
        <f t="shared" si="18"/>
        <v>600</v>
      </c>
      <c r="D237" s="165" t="s">
        <v>18</v>
      </c>
      <c r="E237" s="1"/>
      <c r="F237" s="1"/>
      <c r="G237" s="1"/>
      <c r="H237" s="1"/>
      <c r="I237" s="1"/>
      <c r="J237" s="1"/>
      <c r="K237" s="1"/>
      <c r="L237" s="1"/>
      <c r="M237" s="1"/>
      <c r="N237" s="1"/>
    </row>
    <row r="238" ht="14.25" customHeight="1">
      <c r="A238" s="93" t="s">
        <v>822</v>
      </c>
      <c r="B238" s="195">
        <v>500.0</v>
      </c>
      <c r="C238" s="78">
        <f t="shared" si="18"/>
        <v>300</v>
      </c>
      <c r="D238" s="165" t="s">
        <v>18</v>
      </c>
      <c r="E238" s="1"/>
      <c r="F238" s="1"/>
      <c r="G238" s="1"/>
      <c r="H238" s="1"/>
      <c r="I238" s="1"/>
      <c r="J238" s="1"/>
      <c r="K238" s="1"/>
      <c r="L238" s="1"/>
      <c r="M238" s="1"/>
      <c r="N238" s="1"/>
    </row>
    <row r="239" ht="14.25" customHeight="1">
      <c r="A239" s="93" t="s">
        <v>101</v>
      </c>
      <c r="B239" s="195">
        <v>2.0</v>
      </c>
      <c r="C239" s="78">
        <f t="shared" si="18"/>
        <v>1.2</v>
      </c>
      <c r="D239" s="165" t="s">
        <v>5</v>
      </c>
      <c r="E239" s="1"/>
      <c r="F239" s="1"/>
      <c r="G239" s="1"/>
      <c r="H239" s="1"/>
      <c r="I239" s="1"/>
      <c r="J239" s="1"/>
      <c r="K239" s="1"/>
      <c r="L239" s="1"/>
      <c r="M239" s="1"/>
      <c r="N239" s="1"/>
    </row>
    <row r="240" ht="14.25" customHeight="1">
      <c r="A240" s="93" t="s">
        <v>31</v>
      </c>
      <c r="B240" s="195">
        <v>1350.0</v>
      </c>
      <c r="C240" s="78">
        <f t="shared" si="18"/>
        <v>810</v>
      </c>
      <c r="D240" s="165" t="s">
        <v>18</v>
      </c>
      <c r="E240" s="1"/>
      <c r="F240" s="1"/>
      <c r="G240" s="1"/>
      <c r="H240" s="1"/>
      <c r="I240" s="1"/>
      <c r="J240" s="1"/>
      <c r="K240" s="1"/>
      <c r="L240" s="1"/>
      <c r="M240" s="1"/>
      <c r="N240" s="1"/>
    </row>
    <row r="241" ht="14.25" customHeight="1">
      <c r="A241" s="68" t="s">
        <v>1582</v>
      </c>
      <c r="B241" s="145">
        <v>0.75</v>
      </c>
      <c r="C241" s="155">
        <f t="shared" si="18"/>
        <v>0.45</v>
      </c>
      <c r="D241" s="137" t="s">
        <v>5</v>
      </c>
      <c r="E241" s="1"/>
      <c r="F241" s="1"/>
      <c r="G241" s="1"/>
      <c r="H241" s="1"/>
      <c r="I241" s="1"/>
      <c r="J241" s="1"/>
      <c r="K241" s="1"/>
      <c r="L241" s="1"/>
      <c r="M241" s="1"/>
      <c r="N241" s="1"/>
    </row>
    <row r="242" ht="14.25" customHeight="1">
      <c r="A242" s="93" t="s">
        <v>1163</v>
      </c>
      <c r="B242" s="195">
        <v>7.5</v>
      </c>
      <c r="C242" s="78">
        <f t="shared" si="18"/>
        <v>4.5</v>
      </c>
      <c r="D242" s="165" t="s">
        <v>14</v>
      </c>
      <c r="E242" s="1"/>
      <c r="F242" s="1"/>
      <c r="G242" s="1"/>
      <c r="H242" s="1"/>
      <c r="I242" s="1"/>
      <c r="J242" s="1"/>
      <c r="K242" s="1"/>
      <c r="L242" s="1"/>
      <c r="M242" s="1"/>
      <c r="N242" s="1"/>
    </row>
    <row r="243" ht="14.25" customHeight="1">
      <c r="A243" s="105" t="s">
        <v>958</v>
      </c>
      <c r="B243" s="200">
        <v>5.0</v>
      </c>
      <c r="C243" s="56">
        <f t="shared" si="18"/>
        <v>3</v>
      </c>
      <c r="D243" s="172" t="s">
        <v>5</v>
      </c>
      <c r="E243" s="1"/>
      <c r="F243" s="1"/>
      <c r="G243" s="1"/>
      <c r="H243" s="1"/>
      <c r="I243" s="1"/>
      <c r="J243" s="1"/>
      <c r="K243" s="1"/>
      <c r="L243" s="1"/>
      <c r="M243" s="1"/>
      <c r="N243" s="1"/>
    </row>
    <row r="244" ht="14.25" customHeight="1">
      <c r="A244" s="1372" t="s">
        <v>1584</v>
      </c>
      <c r="B244" s="5"/>
      <c r="C244" s="6"/>
      <c r="D244" s="108"/>
      <c r="E244" s="1"/>
      <c r="F244" s="1"/>
      <c r="G244" s="1"/>
      <c r="H244" s="1"/>
      <c r="I244" s="1"/>
      <c r="J244" s="1"/>
      <c r="K244" s="1"/>
      <c r="L244" s="1"/>
      <c r="M244" s="1"/>
      <c r="N244" s="1"/>
    </row>
    <row r="245" ht="14.25" customHeight="1">
      <c r="A245" s="63"/>
      <c r="C245" s="66"/>
      <c r="D245" s="108"/>
      <c r="E245" s="1"/>
      <c r="F245" s="1"/>
      <c r="G245" s="1"/>
      <c r="H245" s="1"/>
      <c r="I245" s="1"/>
      <c r="J245" s="1"/>
      <c r="K245" s="1"/>
      <c r="L245" s="1"/>
      <c r="M245" s="1"/>
      <c r="N245" s="1"/>
    </row>
    <row r="246" ht="14.25" customHeight="1">
      <c r="A246" s="102"/>
      <c r="B246" s="104"/>
      <c r="C246" s="106"/>
      <c r="D246" s="108"/>
      <c r="E246" s="1"/>
      <c r="F246" s="1"/>
      <c r="G246" s="1"/>
      <c r="H246" s="1"/>
      <c r="I246" s="1"/>
      <c r="J246" s="1"/>
      <c r="K246" s="1"/>
      <c r="L246" s="1"/>
      <c r="M246" s="1"/>
      <c r="N246" s="1"/>
    </row>
    <row r="247" ht="14.25" customHeight="1">
      <c r="A247" s="1"/>
      <c r="B247" s="107"/>
      <c r="C247" s="184"/>
      <c r="D247" s="108"/>
      <c r="E247" s="1"/>
      <c r="F247" s="1"/>
      <c r="G247" s="1"/>
      <c r="H247" s="1"/>
      <c r="I247" s="1"/>
      <c r="J247" s="1"/>
      <c r="K247" s="1"/>
      <c r="L247" s="1"/>
      <c r="M247" s="1"/>
      <c r="N247" s="1"/>
    </row>
    <row r="248" ht="14.25" customHeight="1">
      <c r="A248" s="550" t="s">
        <v>120</v>
      </c>
      <c r="B248" s="1375">
        <v>40819.0</v>
      </c>
      <c r="C248" s="184"/>
      <c r="D248" s="108"/>
      <c r="E248" s="1"/>
      <c r="F248" s="1"/>
      <c r="G248" s="1"/>
      <c r="H248" s="1"/>
      <c r="I248" s="1"/>
      <c r="J248" s="1"/>
      <c r="K248" s="1"/>
      <c r="L248" s="1"/>
      <c r="M248" s="1"/>
      <c r="N248" s="1"/>
    </row>
    <row r="249" ht="14.25" customHeight="1">
      <c r="A249" s="1376" t="s">
        <v>1486</v>
      </c>
      <c r="B249" s="1375">
        <v>41666.0</v>
      </c>
      <c r="C249" s="184"/>
      <c r="D249" s="108"/>
      <c r="E249" s="1"/>
      <c r="F249" s="1"/>
      <c r="G249" s="1"/>
      <c r="H249" s="1"/>
      <c r="I249" s="1"/>
      <c r="J249" s="1"/>
      <c r="K249" s="1"/>
      <c r="L249" s="1"/>
      <c r="M249" s="1"/>
      <c r="N249" s="1"/>
    </row>
    <row r="250" ht="14.25" customHeight="1">
      <c r="A250" s="1187" t="s">
        <v>119</v>
      </c>
      <c r="B250" s="818" t="s">
        <v>47</v>
      </c>
      <c r="C250" s="184"/>
      <c r="D250" s="108"/>
      <c r="E250" s="1"/>
      <c r="F250" s="1"/>
      <c r="G250" s="1"/>
      <c r="H250" s="1"/>
      <c r="I250" s="1"/>
      <c r="J250" s="1"/>
      <c r="K250" s="1"/>
      <c r="L250" s="1"/>
      <c r="M250" s="1"/>
      <c r="N250" s="1"/>
    </row>
    <row r="251" ht="14.25" customHeight="1">
      <c r="A251" s="11"/>
      <c r="B251" s="1167"/>
      <c r="C251" s="1127"/>
      <c r="D251" s="755"/>
      <c r="E251" s="1"/>
      <c r="F251" s="1"/>
      <c r="G251" s="1"/>
      <c r="H251" s="1"/>
      <c r="I251" s="1"/>
      <c r="J251" s="1"/>
      <c r="K251" s="1"/>
      <c r="L251" s="1"/>
      <c r="M251" s="1"/>
      <c r="N251" s="1"/>
    </row>
    <row r="252" ht="14.25" customHeight="1">
      <c r="A252" s="1123" t="s">
        <v>386</v>
      </c>
      <c r="B252" s="5"/>
      <c r="C252" s="5"/>
      <c r="D252" s="6"/>
      <c r="E252" s="1"/>
      <c r="F252" s="1"/>
      <c r="G252" s="1"/>
      <c r="H252" s="1"/>
      <c r="I252" s="1"/>
      <c r="J252" s="1"/>
      <c r="K252" s="1"/>
      <c r="L252" s="1"/>
      <c r="M252" s="1"/>
      <c r="N252" s="1"/>
    </row>
    <row r="253" ht="14.25" customHeight="1">
      <c r="A253" s="1379" t="s">
        <v>1</v>
      </c>
      <c r="B253" s="1380">
        <v>100.0</v>
      </c>
      <c r="C253" s="1381">
        <v>50.0</v>
      </c>
      <c r="D253" s="1450" t="s">
        <v>190</v>
      </c>
      <c r="E253" s="1"/>
      <c r="F253" s="1"/>
      <c r="G253" s="1"/>
      <c r="H253" s="1"/>
      <c r="I253" s="1"/>
      <c r="J253" s="1"/>
      <c r="K253" s="1"/>
      <c r="L253" s="1"/>
      <c r="M253" s="1"/>
      <c r="N253" s="1"/>
    </row>
    <row r="254" ht="14.25" customHeight="1">
      <c r="A254" s="1462" t="s">
        <v>1687</v>
      </c>
      <c r="B254" s="1464">
        <v>70.0</v>
      </c>
      <c r="C254" s="1466">
        <f t="shared" ref="C254:C259" si="19">(B254*C253)/B253</f>
        <v>35</v>
      </c>
      <c r="D254" s="1467" t="s">
        <v>5</v>
      </c>
      <c r="E254" s="1"/>
      <c r="F254" s="1"/>
      <c r="G254" s="1"/>
      <c r="H254" s="1"/>
      <c r="I254" s="1"/>
      <c r="J254" s="1"/>
      <c r="K254" s="1"/>
      <c r="L254" s="1"/>
      <c r="M254" s="1"/>
      <c r="N254" s="1"/>
    </row>
    <row r="255" ht="14.25" customHeight="1">
      <c r="A255" s="1462" t="s">
        <v>1665</v>
      </c>
      <c r="B255" s="1464">
        <v>25.0</v>
      </c>
      <c r="C255" s="1466">
        <f t="shared" si="19"/>
        <v>12.5</v>
      </c>
      <c r="D255" s="1467" t="s">
        <v>366</v>
      </c>
      <c r="E255" s="1"/>
      <c r="F255" s="1"/>
      <c r="G255" s="1"/>
      <c r="H255" s="1"/>
      <c r="I255" s="1"/>
      <c r="J255" s="1"/>
      <c r="K255" s="1"/>
      <c r="L255" s="1"/>
      <c r="M255" s="1"/>
      <c r="N255" s="1"/>
    </row>
    <row r="256" ht="14.25" customHeight="1">
      <c r="A256" s="1462" t="s">
        <v>1163</v>
      </c>
      <c r="B256" s="1464">
        <v>7.5</v>
      </c>
      <c r="C256" s="1466">
        <f t="shared" si="19"/>
        <v>3.75</v>
      </c>
      <c r="D256" s="1467" t="s">
        <v>366</v>
      </c>
      <c r="E256" s="1"/>
      <c r="F256" s="1"/>
      <c r="G256" s="1"/>
      <c r="H256" s="1"/>
      <c r="I256" s="1"/>
      <c r="J256" s="1"/>
      <c r="K256" s="1"/>
      <c r="L256" s="1"/>
      <c r="M256" s="1"/>
      <c r="N256" s="1"/>
    </row>
    <row r="257" ht="14.25" customHeight="1">
      <c r="A257" s="1462" t="s">
        <v>114</v>
      </c>
      <c r="B257" s="1464">
        <v>0.5</v>
      </c>
      <c r="C257" s="1466">
        <f t="shared" si="19"/>
        <v>0.25</v>
      </c>
      <c r="D257" s="1467" t="s">
        <v>5</v>
      </c>
      <c r="E257" s="1"/>
      <c r="F257" s="1"/>
      <c r="G257" s="1"/>
      <c r="H257" s="1"/>
      <c r="I257" s="1"/>
      <c r="J257" s="1"/>
      <c r="K257" s="1"/>
      <c r="L257" s="1"/>
      <c r="M257" s="1"/>
      <c r="N257" s="1"/>
    </row>
    <row r="258" ht="14.25" customHeight="1">
      <c r="A258" s="1462" t="s">
        <v>1670</v>
      </c>
      <c r="B258" s="1464">
        <v>800.0</v>
      </c>
      <c r="C258" s="1466">
        <f t="shared" si="19"/>
        <v>400</v>
      </c>
      <c r="D258" s="1467" t="s">
        <v>18</v>
      </c>
      <c r="E258" s="1"/>
      <c r="F258" s="1"/>
      <c r="G258" s="1"/>
      <c r="H258" s="1"/>
      <c r="I258" s="1"/>
      <c r="J258" s="1"/>
      <c r="K258" s="1"/>
      <c r="L258" s="1"/>
      <c r="M258" s="1"/>
      <c r="N258" s="1"/>
    </row>
    <row r="259" ht="14.25" customHeight="1">
      <c r="A259" s="1469" t="s">
        <v>1667</v>
      </c>
      <c r="B259" s="1470">
        <v>500.0</v>
      </c>
      <c r="C259" s="1471">
        <f t="shared" si="19"/>
        <v>250</v>
      </c>
      <c r="D259" s="1472" t="s">
        <v>82</v>
      </c>
      <c r="E259" s="1"/>
      <c r="F259" s="1"/>
      <c r="G259" s="1"/>
      <c r="H259" s="1"/>
      <c r="I259" s="1"/>
      <c r="J259" s="1"/>
      <c r="K259" s="1"/>
      <c r="L259" s="1"/>
      <c r="M259" s="1"/>
      <c r="N259" s="1"/>
    </row>
    <row r="260" ht="14.25" customHeight="1">
      <c r="A260" s="1187" t="s">
        <v>119</v>
      </c>
      <c r="B260" s="818" t="s">
        <v>47</v>
      </c>
      <c r="C260" s="1127"/>
      <c r="D260" s="755"/>
      <c r="E260" s="1"/>
      <c r="F260" s="1"/>
      <c r="G260" s="1"/>
      <c r="H260" s="1"/>
      <c r="I260" s="1"/>
      <c r="J260" s="1"/>
      <c r="K260" s="1"/>
      <c r="L260" s="1"/>
      <c r="M260" s="1"/>
      <c r="N260" s="1"/>
    </row>
    <row r="261" ht="14.25" customHeight="1">
      <c r="A261" s="11"/>
      <c r="B261" s="1167"/>
      <c r="C261" s="1127"/>
      <c r="D261" s="755"/>
      <c r="E261" s="1"/>
      <c r="F261" s="1"/>
      <c r="G261" s="1"/>
      <c r="H261" s="1"/>
      <c r="I261" s="1"/>
      <c r="J261" s="1"/>
      <c r="K261" s="1"/>
      <c r="L261" s="1"/>
      <c r="M261" s="1"/>
      <c r="N261" s="1"/>
    </row>
    <row r="262" ht="14.25" customHeight="1">
      <c r="A262" s="90" t="s">
        <v>120</v>
      </c>
      <c r="B262" s="187">
        <v>42682.0</v>
      </c>
      <c r="C262" s="1127"/>
      <c r="D262" s="755"/>
      <c r="E262" s="1"/>
      <c r="F262" s="1"/>
      <c r="G262" s="1"/>
      <c r="H262" s="1"/>
      <c r="I262" s="1"/>
      <c r="J262" s="1"/>
      <c r="K262" s="1"/>
      <c r="L262" s="1"/>
      <c r="M262" s="1"/>
      <c r="N262" s="1"/>
    </row>
    <row r="263" ht="14.25" customHeight="1">
      <c r="A263" s="305" t="s">
        <v>50</v>
      </c>
      <c r="B263" s="187">
        <v>42682.0</v>
      </c>
      <c r="C263" s="1127"/>
      <c r="D263" s="755"/>
      <c r="E263" s="1"/>
      <c r="F263" s="1"/>
      <c r="G263" s="1"/>
      <c r="H263" s="1"/>
      <c r="I263" s="1"/>
      <c r="J263" s="1"/>
      <c r="K263" s="1"/>
      <c r="L263" s="1"/>
      <c r="M263" s="1"/>
      <c r="N263" s="1"/>
    </row>
    <row r="264" ht="14.25" customHeight="1">
      <c r="A264" s="1"/>
      <c r="B264" s="107"/>
      <c r="C264" s="184"/>
      <c r="D264" s="108"/>
      <c r="E264" s="1"/>
      <c r="F264" s="1"/>
      <c r="G264" s="1"/>
      <c r="H264" s="1"/>
      <c r="I264" s="1"/>
      <c r="J264" s="1"/>
      <c r="K264" s="1"/>
      <c r="L264" s="1"/>
      <c r="M264" s="1"/>
      <c r="N264" s="1"/>
    </row>
    <row r="265" ht="14.25" customHeight="1">
      <c r="A265" s="913" t="s">
        <v>708</v>
      </c>
      <c r="B265" s="5"/>
      <c r="C265" s="5"/>
      <c r="D265" s="6"/>
      <c r="E265" s="1"/>
      <c r="F265" s="1"/>
      <c r="G265" s="1"/>
      <c r="H265" s="1"/>
      <c r="I265" s="1"/>
      <c r="J265" s="1"/>
      <c r="K265" s="1"/>
      <c r="L265" s="1"/>
      <c r="M265" s="1"/>
      <c r="N265" s="1"/>
    </row>
    <row r="266" ht="14.25" customHeight="1">
      <c r="A266" s="51" t="s">
        <v>1</v>
      </c>
      <c r="B266" s="190">
        <v>100.0</v>
      </c>
      <c r="C266" s="513">
        <v>60.0</v>
      </c>
      <c r="D266" s="125" t="s">
        <v>190</v>
      </c>
      <c r="E266" s="1"/>
      <c r="F266" s="1"/>
      <c r="G266" s="1"/>
      <c r="H266" s="1"/>
      <c r="I266" s="1"/>
      <c r="J266" s="1"/>
      <c r="K266" s="1"/>
      <c r="L266" s="1"/>
      <c r="M266" s="1"/>
      <c r="N266" s="1"/>
    </row>
    <row r="267" ht="14.25" customHeight="1">
      <c r="A267" s="68" t="s">
        <v>15</v>
      </c>
      <c r="B267" s="1202">
        <v>65.0</v>
      </c>
      <c r="C267" s="1204">
        <f t="shared" ref="C267:C282" si="20">(B267*C266)/B266</f>
        <v>39</v>
      </c>
      <c r="D267" s="137" t="s">
        <v>5</v>
      </c>
      <c r="E267" s="1"/>
      <c r="F267" s="1"/>
      <c r="G267" s="1"/>
      <c r="H267" s="1"/>
      <c r="I267" s="1"/>
      <c r="J267" s="1"/>
      <c r="K267" s="1"/>
      <c r="L267" s="1"/>
      <c r="M267" s="1"/>
      <c r="N267" s="1"/>
    </row>
    <row r="268" ht="14.25" customHeight="1">
      <c r="A268" s="119" t="s">
        <v>1699</v>
      </c>
      <c r="B268" s="1209">
        <v>50.0</v>
      </c>
      <c r="C268" s="1211">
        <f t="shared" si="20"/>
        <v>30</v>
      </c>
      <c r="D268" s="176" t="s">
        <v>5</v>
      </c>
      <c r="E268" s="1"/>
      <c r="F268" s="1"/>
      <c r="G268" s="1"/>
      <c r="H268" s="1"/>
      <c r="I268" s="1"/>
      <c r="J268" s="1"/>
      <c r="K268" s="1"/>
      <c r="L268" s="1"/>
      <c r="M268" s="1"/>
      <c r="N268" s="1"/>
    </row>
    <row r="269" ht="14.25" customHeight="1">
      <c r="A269" s="93" t="s">
        <v>1136</v>
      </c>
      <c r="B269" s="1213">
        <v>4.0</v>
      </c>
      <c r="C269" s="1214">
        <f t="shared" si="20"/>
        <v>2.4</v>
      </c>
      <c r="D269" s="165" t="s">
        <v>14</v>
      </c>
      <c r="E269" s="1"/>
      <c r="F269" s="1"/>
      <c r="G269" s="1"/>
      <c r="H269" s="1"/>
      <c r="I269" s="1"/>
      <c r="J269" s="1"/>
      <c r="K269" s="1"/>
      <c r="L269" s="1"/>
      <c r="M269" s="1"/>
      <c r="N269" s="1"/>
    </row>
    <row r="270" ht="14.25" customHeight="1">
      <c r="A270" s="93" t="s">
        <v>743</v>
      </c>
      <c r="B270" s="1213">
        <v>0.75</v>
      </c>
      <c r="C270" s="1214">
        <f t="shared" si="20"/>
        <v>0.45</v>
      </c>
      <c r="D270" s="165" t="s">
        <v>5</v>
      </c>
      <c r="E270" s="1"/>
      <c r="F270" s="1"/>
      <c r="G270" s="1"/>
      <c r="H270" s="1"/>
      <c r="I270" s="1"/>
      <c r="J270" s="1"/>
      <c r="K270" s="1"/>
      <c r="L270" s="1"/>
      <c r="M270" s="1"/>
      <c r="N270" s="1"/>
    </row>
    <row r="271" ht="14.25" customHeight="1">
      <c r="A271" s="138" t="s">
        <v>13</v>
      </c>
      <c r="B271" s="351">
        <v>20.0</v>
      </c>
      <c r="C271" s="1229">
        <f t="shared" si="20"/>
        <v>12</v>
      </c>
      <c r="D271" s="281" t="s">
        <v>14</v>
      </c>
      <c r="E271" s="1"/>
      <c r="F271" s="1"/>
      <c r="G271" s="1"/>
      <c r="H271" s="1"/>
      <c r="I271" s="1"/>
      <c r="J271" s="1"/>
      <c r="K271" s="1"/>
      <c r="L271" s="1"/>
      <c r="M271" s="1"/>
      <c r="N271" s="1"/>
    </row>
    <row r="272" ht="14.25" customHeight="1">
      <c r="A272" s="68" t="s">
        <v>17</v>
      </c>
      <c r="B272" s="145">
        <v>200.0</v>
      </c>
      <c r="C272" s="155">
        <f t="shared" si="20"/>
        <v>120</v>
      </c>
      <c r="D272" s="137" t="s">
        <v>18</v>
      </c>
      <c r="E272" s="1"/>
      <c r="F272" s="1"/>
      <c r="G272" s="1"/>
      <c r="H272" s="1"/>
      <c r="I272" s="1"/>
      <c r="J272" s="1"/>
      <c r="K272" s="1"/>
      <c r="L272" s="1"/>
      <c r="M272" s="1"/>
      <c r="N272" s="1"/>
    </row>
    <row r="273" ht="14.25" customHeight="1">
      <c r="A273" s="93" t="s">
        <v>1380</v>
      </c>
      <c r="B273" s="195">
        <v>75.0</v>
      </c>
      <c r="C273" s="78">
        <f t="shared" si="20"/>
        <v>45</v>
      </c>
      <c r="D273" s="165" t="s">
        <v>82</v>
      </c>
      <c r="E273" s="1"/>
      <c r="F273" s="1"/>
      <c r="G273" s="1"/>
      <c r="H273" s="1"/>
      <c r="I273" s="1"/>
      <c r="J273" s="1"/>
      <c r="K273" s="1"/>
      <c r="L273" s="1"/>
      <c r="M273" s="1"/>
      <c r="N273" s="1"/>
    </row>
    <row r="274" ht="14.25" customHeight="1">
      <c r="A274" s="105" t="s">
        <v>1702</v>
      </c>
      <c r="B274" s="200">
        <v>10.0</v>
      </c>
      <c r="C274" s="56">
        <f t="shared" si="20"/>
        <v>6</v>
      </c>
      <c r="D274" s="172" t="s">
        <v>18</v>
      </c>
      <c r="E274" s="1"/>
      <c r="F274" s="1"/>
      <c r="G274" s="1"/>
      <c r="H274" s="1"/>
      <c r="I274" s="1"/>
      <c r="J274" s="1"/>
      <c r="K274" s="1"/>
      <c r="L274" s="1"/>
      <c r="M274" s="1"/>
      <c r="N274" s="1"/>
    </row>
    <row r="275" ht="14.25" customHeight="1">
      <c r="A275" s="119" t="s">
        <v>1704</v>
      </c>
      <c r="B275" s="238">
        <v>15.0</v>
      </c>
      <c r="C275" s="129">
        <f t="shared" si="20"/>
        <v>9</v>
      </c>
      <c r="D275" s="176" t="s">
        <v>14</v>
      </c>
      <c r="E275" s="1"/>
      <c r="F275" s="1"/>
      <c r="G275" s="1"/>
      <c r="H275" s="1"/>
      <c r="I275" s="1"/>
      <c r="J275" s="1"/>
      <c r="K275" s="1"/>
      <c r="L275" s="1"/>
      <c r="M275" s="1"/>
      <c r="N275" s="1"/>
    </row>
    <row r="276" ht="14.25" customHeight="1">
      <c r="A276" s="93" t="s">
        <v>7</v>
      </c>
      <c r="B276" s="195">
        <v>7.5</v>
      </c>
      <c r="C276" s="78">
        <f t="shared" si="20"/>
        <v>4.5</v>
      </c>
      <c r="D276" s="165" t="s">
        <v>14</v>
      </c>
      <c r="E276" s="1"/>
      <c r="F276" s="1"/>
      <c r="G276" s="1"/>
      <c r="H276" s="1"/>
      <c r="I276" s="1"/>
      <c r="J276" s="1"/>
      <c r="K276" s="1"/>
      <c r="L276" s="1"/>
      <c r="M276" s="1"/>
      <c r="N276" s="1"/>
    </row>
    <row r="277" ht="14.25" customHeight="1">
      <c r="A277" s="93" t="s">
        <v>1705</v>
      </c>
      <c r="B277" s="195">
        <v>7.5</v>
      </c>
      <c r="C277" s="78">
        <f t="shared" si="20"/>
        <v>4.5</v>
      </c>
      <c r="D277" s="165" t="s">
        <v>14</v>
      </c>
      <c r="E277" s="1"/>
      <c r="F277" s="1"/>
      <c r="G277" s="1"/>
      <c r="H277" s="1"/>
      <c r="I277" s="1"/>
      <c r="J277" s="1"/>
      <c r="K277" s="1"/>
      <c r="L277" s="1"/>
      <c r="M277" s="1"/>
      <c r="N277" s="1"/>
    </row>
    <row r="278" ht="14.25" customHeight="1">
      <c r="A278" s="93" t="s">
        <v>1707</v>
      </c>
      <c r="B278" s="195">
        <v>7.5</v>
      </c>
      <c r="C278" s="78">
        <f t="shared" si="20"/>
        <v>4.5</v>
      </c>
      <c r="D278" s="165" t="s">
        <v>14</v>
      </c>
      <c r="E278" s="1"/>
      <c r="F278" s="1"/>
      <c r="G278" s="1"/>
      <c r="H278" s="1"/>
      <c r="I278" s="1"/>
      <c r="J278" s="1"/>
      <c r="K278" s="1"/>
      <c r="L278" s="1"/>
      <c r="M278" s="1"/>
      <c r="N278" s="1"/>
    </row>
    <row r="279" ht="14.25" customHeight="1">
      <c r="A279" s="105" t="s">
        <v>1708</v>
      </c>
      <c r="B279" s="200">
        <v>15.0</v>
      </c>
      <c r="C279" s="56">
        <f t="shared" si="20"/>
        <v>9</v>
      </c>
      <c r="D279" s="172" t="s">
        <v>14</v>
      </c>
      <c r="E279" s="1"/>
      <c r="F279" s="1"/>
      <c r="G279" s="1"/>
      <c r="H279" s="1"/>
      <c r="I279" s="1"/>
      <c r="J279" s="1"/>
      <c r="K279" s="1"/>
      <c r="L279" s="1"/>
      <c r="M279" s="1"/>
      <c r="N279" s="1"/>
    </row>
    <row r="280" ht="14.25" customHeight="1">
      <c r="A280" s="119" t="s">
        <v>743</v>
      </c>
      <c r="B280" s="238">
        <v>1.0</v>
      </c>
      <c r="C280" s="129">
        <f t="shared" si="20"/>
        <v>0.6</v>
      </c>
      <c r="D280" s="176" t="s">
        <v>190</v>
      </c>
      <c r="E280" s="1"/>
      <c r="F280" s="1"/>
      <c r="G280" s="1"/>
      <c r="H280" s="1"/>
      <c r="I280" s="1"/>
      <c r="J280" s="1"/>
      <c r="K280" s="1"/>
      <c r="L280" s="1"/>
      <c r="M280" s="1"/>
      <c r="N280" s="1"/>
    </row>
    <row r="281" ht="14.25" customHeight="1">
      <c r="A281" s="93" t="s">
        <v>1709</v>
      </c>
      <c r="B281" s="195">
        <v>1.0</v>
      </c>
      <c r="C281" s="78">
        <f t="shared" si="20"/>
        <v>0.6</v>
      </c>
      <c r="D281" s="165" t="s">
        <v>14</v>
      </c>
      <c r="E281" s="1"/>
      <c r="F281" s="1"/>
      <c r="G281" s="1"/>
      <c r="H281" s="1"/>
      <c r="I281" s="1"/>
      <c r="J281" s="1"/>
      <c r="K281" s="1"/>
      <c r="L281" s="1"/>
      <c r="M281" s="1"/>
      <c r="N281" s="1"/>
    </row>
    <row r="282" ht="14.25" customHeight="1">
      <c r="A282" s="93" t="s">
        <v>1710</v>
      </c>
      <c r="B282" s="195">
        <v>2.5</v>
      </c>
      <c r="C282" s="78">
        <f t="shared" si="20"/>
        <v>1.5</v>
      </c>
      <c r="D282" s="165" t="s">
        <v>5</v>
      </c>
      <c r="E282" s="1"/>
      <c r="F282" s="1"/>
      <c r="G282" s="1"/>
      <c r="H282" s="1"/>
      <c r="I282" s="1"/>
      <c r="J282" s="1"/>
      <c r="K282" s="1"/>
      <c r="L282" s="1"/>
      <c r="M282" s="1"/>
      <c r="N282" s="1"/>
    </row>
    <row r="283" ht="14.25" customHeight="1">
      <c r="A283" s="105" t="s">
        <v>1711</v>
      </c>
      <c r="B283" s="200">
        <v>2000.0</v>
      </c>
      <c r="C283" s="56">
        <f>(B283*C281)/B281</f>
        <v>1200</v>
      </c>
      <c r="D283" s="172" t="s">
        <v>18</v>
      </c>
      <c r="E283" s="1"/>
      <c r="F283" s="1"/>
      <c r="G283" s="1"/>
      <c r="H283" s="1"/>
      <c r="I283" s="1"/>
      <c r="J283" s="1"/>
      <c r="K283" s="1"/>
      <c r="L283" s="1"/>
      <c r="M283" s="1"/>
      <c r="N283" s="1"/>
    </row>
    <row r="284" ht="14.25" customHeight="1">
      <c r="A284" s="1187" t="s">
        <v>119</v>
      </c>
      <c r="B284" s="818" t="s">
        <v>47</v>
      </c>
      <c r="C284" s="184"/>
      <c r="D284" s="108"/>
      <c r="E284" s="1"/>
      <c r="F284" s="1"/>
      <c r="G284" s="1"/>
      <c r="H284" s="1"/>
      <c r="I284" s="1"/>
      <c r="J284" s="1"/>
      <c r="K284" s="1"/>
      <c r="L284" s="1"/>
      <c r="M284" s="1"/>
      <c r="N284" s="1"/>
    </row>
    <row r="285" ht="14.25" customHeight="1">
      <c r="A285" s="1"/>
      <c r="B285" s="107"/>
      <c r="C285" s="184"/>
      <c r="D285" s="108"/>
      <c r="E285" s="1"/>
      <c r="F285" s="1"/>
      <c r="G285" s="1"/>
      <c r="H285" s="1"/>
      <c r="I285" s="1"/>
      <c r="J285" s="1"/>
      <c r="K285" s="1"/>
      <c r="L285" s="1"/>
      <c r="M285" s="1"/>
      <c r="N285" s="1"/>
    </row>
    <row r="286" ht="14.25" customHeight="1">
      <c r="A286" s="1"/>
      <c r="B286" s="107"/>
      <c r="C286" s="184"/>
      <c r="D286" s="108"/>
      <c r="E286" s="1"/>
      <c r="F286" s="1"/>
      <c r="G286" s="1"/>
      <c r="H286" s="1"/>
      <c r="I286" s="1"/>
      <c r="J286" s="1"/>
      <c r="K286" s="1"/>
      <c r="L286" s="1"/>
      <c r="M286" s="1"/>
      <c r="N286" s="1"/>
    </row>
    <row r="287" ht="14.25" customHeight="1">
      <c r="A287" s="90" t="s">
        <v>120</v>
      </c>
      <c r="B287" s="1188">
        <v>41958.0</v>
      </c>
      <c r="C287" s="184"/>
      <c r="D287" s="108"/>
      <c r="E287" s="1"/>
      <c r="F287" s="1"/>
      <c r="G287" s="1"/>
      <c r="H287" s="1"/>
      <c r="I287" s="1"/>
      <c r="J287" s="1"/>
      <c r="K287" s="1"/>
      <c r="L287" s="1"/>
      <c r="M287" s="1"/>
      <c r="N287" s="1"/>
    </row>
    <row r="288" ht="14.25" customHeight="1">
      <c r="A288" s="305" t="s">
        <v>50</v>
      </c>
      <c r="B288" s="1188">
        <v>41974.0</v>
      </c>
      <c r="C288" s="184"/>
      <c r="D288" s="108"/>
      <c r="E288" s="1"/>
      <c r="F288" s="1"/>
      <c r="G288" s="1"/>
      <c r="H288" s="1"/>
      <c r="I288" s="1"/>
      <c r="J288" s="1"/>
      <c r="K288" s="1"/>
      <c r="L288" s="1"/>
      <c r="M288" s="1"/>
      <c r="N288" s="1"/>
    </row>
    <row r="289" ht="14.25" customHeight="1">
      <c r="A289" s="1486"/>
      <c r="B289" s="1487"/>
      <c r="C289" s="1488"/>
      <c r="D289" s="1489"/>
      <c r="E289" s="1"/>
      <c r="F289" s="1"/>
      <c r="G289" s="1"/>
      <c r="H289" s="1"/>
      <c r="I289" s="1"/>
      <c r="J289" s="1"/>
      <c r="K289" s="1"/>
      <c r="L289" s="1"/>
      <c r="M289" s="1"/>
      <c r="N289" s="1"/>
    </row>
    <row r="290" ht="14.25" customHeight="1">
      <c r="A290" s="343" t="s">
        <v>1713</v>
      </c>
      <c r="B290" s="18"/>
      <c r="C290" s="18"/>
      <c r="D290" s="19"/>
      <c r="E290" s="1"/>
      <c r="F290" s="1"/>
      <c r="G290" s="1"/>
      <c r="H290" s="1"/>
      <c r="I290" s="1"/>
      <c r="J290" s="1"/>
      <c r="K290" s="1"/>
      <c r="L290" s="1"/>
      <c r="M290" s="1"/>
      <c r="N290" s="1"/>
    </row>
    <row r="291" ht="14.25" customHeight="1">
      <c r="A291" s="163" t="s">
        <v>626</v>
      </c>
      <c r="B291" s="221">
        <v>10.0</v>
      </c>
      <c r="C291" s="1490">
        <v>60.0</v>
      </c>
      <c r="D291" s="733" t="s">
        <v>14</v>
      </c>
      <c r="E291" s="1"/>
      <c r="F291" s="1"/>
      <c r="G291" s="1"/>
      <c r="H291" s="1"/>
      <c r="I291" s="1"/>
      <c r="J291" s="1"/>
      <c r="K291" s="1"/>
      <c r="L291" s="1"/>
      <c r="M291" s="1"/>
      <c r="N291" s="1"/>
    </row>
    <row r="292" ht="14.25" customHeight="1">
      <c r="A292" s="208" t="s">
        <v>743</v>
      </c>
      <c r="B292" s="236">
        <v>8.5</v>
      </c>
      <c r="C292" s="1492">
        <f>(B292*C291)/B291</f>
        <v>51</v>
      </c>
      <c r="D292" s="1052" t="s">
        <v>5</v>
      </c>
      <c r="E292" s="1"/>
      <c r="F292" s="1"/>
      <c r="G292" s="1"/>
      <c r="H292" s="1"/>
      <c r="I292" s="1"/>
      <c r="J292" s="1"/>
      <c r="K292" s="1"/>
      <c r="L292" s="1"/>
      <c r="M292" s="1"/>
      <c r="N292" s="1"/>
    </row>
    <row r="293" ht="14.25" customHeight="1">
      <c r="A293" s="163" t="s">
        <v>157</v>
      </c>
      <c r="B293" s="1192">
        <f t="shared" ref="B293:C293" si="21">+IF(B291&lt;10,3.3*B291,IF(B291&gt;=15,2.8*B291,(2.8+(15-B291)*0.1)*B291))</f>
        <v>33</v>
      </c>
      <c r="C293" s="1193">
        <f t="shared" si="21"/>
        <v>168</v>
      </c>
      <c r="D293" s="1241" t="s">
        <v>5</v>
      </c>
      <c r="E293" s="1"/>
      <c r="F293" s="1"/>
      <c r="G293" s="1"/>
      <c r="H293" s="1"/>
      <c r="I293" s="1"/>
      <c r="J293" s="1"/>
      <c r="K293" s="1"/>
      <c r="L293" s="1"/>
      <c r="M293" s="1"/>
      <c r="N293" s="1"/>
    </row>
    <row r="294" ht="14.25" customHeight="1">
      <c r="A294" s="177" t="s">
        <v>80</v>
      </c>
      <c r="B294" s="27">
        <v>10.0</v>
      </c>
      <c r="C294" s="1246">
        <f>(B294*C292)/B292</f>
        <v>60</v>
      </c>
      <c r="D294" s="774" t="s">
        <v>14</v>
      </c>
      <c r="E294" s="1"/>
      <c r="F294" s="1"/>
      <c r="G294" s="1"/>
      <c r="H294" s="1"/>
      <c r="I294" s="1"/>
      <c r="J294" s="1"/>
      <c r="K294" s="1"/>
      <c r="L294" s="1"/>
      <c r="M294" s="1"/>
      <c r="N294" s="1"/>
    </row>
    <row r="295" ht="14.25" customHeight="1">
      <c r="A295" s="208" t="s">
        <v>13</v>
      </c>
      <c r="B295" s="236">
        <v>7.5</v>
      </c>
      <c r="C295" s="1492">
        <f t="shared" ref="C295:C300" si="22">(B295*C294)/B294</f>
        <v>45</v>
      </c>
      <c r="D295" s="1052" t="s">
        <v>14</v>
      </c>
      <c r="E295" s="1"/>
      <c r="F295" s="1"/>
      <c r="G295" s="1"/>
      <c r="H295" s="1"/>
      <c r="I295" s="1"/>
      <c r="J295" s="1"/>
      <c r="K295" s="1"/>
      <c r="L295" s="1"/>
      <c r="M295" s="1"/>
      <c r="N295" s="1"/>
    </row>
    <row r="296" ht="14.25" customHeight="1">
      <c r="A296" s="251" t="s">
        <v>1718</v>
      </c>
      <c r="B296" s="1248">
        <v>75.0</v>
      </c>
      <c r="C296" s="1493">
        <f t="shared" si="22"/>
        <v>450</v>
      </c>
      <c r="D296" s="1197" t="s">
        <v>18</v>
      </c>
      <c r="E296" s="1"/>
      <c r="F296" s="1"/>
      <c r="G296" s="1"/>
      <c r="H296" s="1"/>
      <c r="I296" s="1"/>
      <c r="J296" s="1"/>
      <c r="K296" s="1"/>
      <c r="L296" s="1"/>
      <c r="M296" s="1"/>
      <c r="N296" s="1"/>
    </row>
    <row r="297" ht="14.25" customHeight="1">
      <c r="A297" s="163" t="s">
        <v>1132</v>
      </c>
      <c r="B297" s="221">
        <v>275.0</v>
      </c>
      <c r="C297" s="1490">
        <f t="shared" si="22"/>
        <v>1650</v>
      </c>
      <c r="D297" s="733" t="s">
        <v>18</v>
      </c>
      <c r="E297" s="1"/>
      <c r="F297" s="1"/>
      <c r="G297" s="1"/>
      <c r="H297" s="1"/>
      <c r="I297" s="1"/>
      <c r="J297" s="1"/>
      <c r="K297" s="1"/>
      <c r="L297" s="1"/>
      <c r="M297" s="1"/>
      <c r="N297" s="1"/>
    </row>
    <row r="298" ht="14.25" customHeight="1">
      <c r="A298" s="177" t="s">
        <v>746</v>
      </c>
      <c r="B298" s="27">
        <v>550.0</v>
      </c>
      <c r="C298" s="1246">
        <f t="shared" si="22"/>
        <v>3300</v>
      </c>
      <c r="D298" s="774" t="s">
        <v>18</v>
      </c>
      <c r="E298" s="1"/>
      <c r="F298" s="1"/>
      <c r="G298" s="1"/>
      <c r="H298" s="1"/>
      <c r="I298" s="1"/>
      <c r="J298" s="1"/>
      <c r="K298" s="1"/>
      <c r="L298" s="1"/>
      <c r="M298" s="1"/>
      <c r="N298" s="1"/>
    </row>
    <row r="299" ht="14.25" customHeight="1">
      <c r="A299" s="208" t="s">
        <v>1046</v>
      </c>
      <c r="B299" s="236">
        <v>700.0</v>
      </c>
      <c r="C299" s="1492">
        <f t="shared" si="22"/>
        <v>4200</v>
      </c>
      <c r="D299" s="1052" t="s">
        <v>18</v>
      </c>
      <c r="E299" s="1"/>
      <c r="F299" s="1"/>
      <c r="G299" s="1"/>
      <c r="H299" s="1"/>
      <c r="I299" s="1"/>
      <c r="J299" s="1"/>
      <c r="K299" s="1"/>
      <c r="L299" s="1"/>
      <c r="M299" s="1"/>
      <c r="N299" s="1"/>
    </row>
    <row r="300" ht="14.25" customHeight="1">
      <c r="A300" s="458" t="s">
        <v>1</v>
      </c>
      <c r="B300" s="71">
        <v>54.0</v>
      </c>
      <c r="C300" s="1497">
        <f t="shared" si="22"/>
        <v>324</v>
      </c>
      <c r="D300" s="782" t="s">
        <v>5</v>
      </c>
      <c r="E300" s="1"/>
      <c r="F300" s="1"/>
      <c r="G300" s="1"/>
      <c r="H300" s="1"/>
      <c r="I300" s="1"/>
      <c r="J300" s="1"/>
      <c r="K300" s="1"/>
      <c r="L300" s="1"/>
      <c r="M300" s="1"/>
      <c r="N300" s="1"/>
    </row>
    <row r="301" ht="14.25" customHeight="1">
      <c r="A301" s="1187" t="s">
        <v>119</v>
      </c>
      <c r="B301" s="818" t="s">
        <v>47</v>
      </c>
      <c r="C301" s="184"/>
      <c r="D301" s="108"/>
      <c r="E301" s="1"/>
      <c r="F301" s="1"/>
      <c r="G301" s="1"/>
      <c r="H301" s="1"/>
      <c r="I301" s="1"/>
      <c r="J301" s="1"/>
      <c r="K301" s="1"/>
      <c r="L301" s="1"/>
      <c r="M301" s="1"/>
      <c r="N301" s="1"/>
    </row>
    <row r="302" ht="14.25" customHeight="1">
      <c r="A302" s="1"/>
      <c r="B302" s="107"/>
      <c r="C302" s="184"/>
      <c r="D302" s="108"/>
      <c r="E302" s="1"/>
      <c r="F302" s="1"/>
      <c r="G302" s="1"/>
      <c r="H302" s="1"/>
      <c r="I302" s="1"/>
      <c r="J302" s="1"/>
      <c r="K302" s="1"/>
      <c r="L302" s="1"/>
      <c r="M302" s="1"/>
      <c r="N302" s="1"/>
    </row>
    <row r="303" ht="14.25" customHeight="1">
      <c r="A303" s="1499" t="s">
        <v>1721</v>
      </c>
      <c r="B303" s="1500">
        <v>40787.0</v>
      </c>
      <c r="C303" s="184"/>
      <c r="D303" s="108"/>
      <c r="E303" s="1"/>
      <c r="F303" s="1"/>
      <c r="G303" s="1"/>
      <c r="H303" s="1"/>
      <c r="I303" s="1"/>
      <c r="J303" s="1"/>
      <c r="K303" s="1"/>
      <c r="L303" s="1"/>
      <c r="M303" s="1"/>
      <c r="N303" s="1"/>
    </row>
    <row r="304" ht="14.25" customHeight="1">
      <c r="A304" s="664" t="s">
        <v>1724</v>
      </c>
      <c r="B304" s="1501">
        <v>42068.0</v>
      </c>
      <c r="C304" s="184"/>
      <c r="D304" s="108"/>
      <c r="E304" s="1"/>
      <c r="F304" s="1"/>
      <c r="G304" s="1"/>
      <c r="H304" s="1"/>
      <c r="I304" s="1"/>
      <c r="J304" s="1"/>
      <c r="K304" s="1"/>
      <c r="L304" s="1"/>
      <c r="M304" s="1"/>
      <c r="N304" s="1"/>
    </row>
    <row r="305" ht="14.25" customHeight="1">
      <c r="A305" s="1"/>
      <c r="B305" s="107"/>
      <c r="C305" s="184"/>
      <c r="D305" s="108"/>
      <c r="E305" s="1"/>
      <c r="F305" s="1"/>
      <c r="G305" s="1"/>
      <c r="H305" s="1"/>
      <c r="I305" s="1"/>
      <c r="J305" s="1"/>
      <c r="K305" s="1"/>
      <c r="L305" s="1"/>
      <c r="M305" s="1"/>
      <c r="N305" s="1"/>
    </row>
    <row r="306" ht="14.25" customHeight="1">
      <c r="A306" s="511" t="s">
        <v>1725</v>
      </c>
      <c r="B306" s="18"/>
      <c r="C306" s="18"/>
      <c r="D306" s="19"/>
      <c r="E306" s="1"/>
      <c r="F306" s="1"/>
      <c r="G306" s="1"/>
      <c r="H306" s="1"/>
      <c r="I306" s="1"/>
      <c r="J306" s="1"/>
      <c r="K306" s="1"/>
      <c r="L306" s="1"/>
      <c r="M306" s="1"/>
      <c r="N306" s="1"/>
    </row>
    <row r="307" ht="14.25" customHeight="1">
      <c r="A307" s="417" t="s">
        <v>1</v>
      </c>
      <c r="B307" s="418">
        <v>100.0</v>
      </c>
      <c r="C307" s="542">
        <v>60.0</v>
      </c>
      <c r="D307" s="420" t="s">
        <v>1727</v>
      </c>
      <c r="E307" s="44" t="s">
        <v>1728</v>
      </c>
      <c r="F307" s="1"/>
      <c r="G307" s="1"/>
      <c r="H307" s="1"/>
      <c r="I307" s="1"/>
      <c r="J307" s="1"/>
      <c r="K307" s="1"/>
      <c r="L307" s="1"/>
      <c r="M307" s="1"/>
      <c r="N307" s="1"/>
    </row>
    <row r="308" ht="14.25" customHeight="1">
      <c r="A308" s="68" t="s">
        <v>15</v>
      </c>
      <c r="B308" s="145">
        <v>70.0</v>
      </c>
      <c r="C308" s="155">
        <f t="shared" ref="C308:C315" si="23">(B308*C307)/B307</f>
        <v>42</v>
      </c>
      <c r="D308" s="137" t="s">
        <v>5</v>
      </c>
      <c r="E308" s="47"/>
      <c r="F308" s="1"/>
      <c r="G308" s="1"/>
      <c r="H308" s="1"/>
      <c r="I308" s="1"/>
      <c r="J308" s="1"/>
      <c r="K308" s="1"/>
      <c r="L308" s="1"/>
      <c r="M308" s="1"/>
      <c r="N308" s="1"/>
    </row>
    <row r="309" ht="14.25" customHeight="1">
      <c r="A309" s="93" t="s">
        <v>1729</v>
      </c>
      <c r="B309" s="195">
        <v>9.0</v>
      </c>
      <c r="C309" s="78">
        <f t="shared" si="23"/>
        <v>5.4</v>
      </c>
      <c r="D309" s="165" t="s">
        <v>14</v>
      </c>
      <c r="E309" s="47"/>
      <c r="F309" s="1"/>
      <c r="G309" s="1"/>
      <c r="H309" s="1"/>
      <c r="I309" s="1"/>
      <c r="J309" s="1"/>
      <c r="K309" s="1"/>
      <c r="L309" s="1"/>
      <c r="M309" s="1"/>
      <c r="N309" s="1"/>
    </row>
    <row r="310" ht="14.25" customHeight="1">
      <c r="A310" s="93" t="s">
        <v>1398</v>
      </c>
      <c r="B310" s="195">
        <v>4.0</v>
      </c>
      <c r="C310" s="78">
        <f t="shared" si="23"/>
        <v>2.4</v>
      </c>
      <c r="D310" s="165" t="s">
        <v>14</v>
      </c>
      <c r="E310" s="47"/>
      <c r="F310" s="1"/>
      <c r="G310" s="1"/>
      <c r="H310" s="1"/>
      <c r="I310" s="1"/>
      <c r="J310" s="1"/>
      <c r="K310" s="1"/>
      <c r="L310" s="1"/>
      <c r="M310" s="1"/>
      <c r="N310" s="1"/>
    </row>
    <row r="311" ht="14.25" customHeight="1">
      <c r="A311" s="93" t="s">
        <v>13</v>
      </c>
      <c r="B311" s="195">
        <v>20.0</v>
      </c>
      <c r="C311" s="78">
        <f t="shared" si="23"/>
        <v>12</v>
      </c>
      <c r="D311" s="165" t="s">
        <v>14</v>
      </c>
      <c r="E311" s="47"/>
      <c r="F311" s="1"/>
      <c r="G311" s="1"/>
      <c r="H311" s="1"/>
      <c r="I311" s="1"/>
      <c r="J311" s="1"/>
      <c r="K311" s="1"/>
      <c r="L311" s="1"/>
      <c r="M311" s="1"/>
      <c r="N311" s="1"/>
    </row>
    <row r="312" ht="14.25" customHeight="1">
      <c r="A312" s="93" t="s">
        <v>17</v>
      </c>
      <c r="B312" s="195">
        <v>100.0</v>
      </c>
      <c r="C312" s="78">
        <f t="shared" si="23"/>
        <v>60</v>
      </c>
      <c r="D312" s="165" t="s">
        <v>18</v>
      </c>
      <c r="E312" s="47"/>
      <c r="F312" s="1"/>
      <c r="G312" s="1"/>
      <c r="H312" s="1"/>
      <c r="I312" s="1"/>
      <c r="J312" s="1"/>
      <c r="K312" s="1"/>
      <c r="L312" s="1"/>
      <c r="M312" s="1"/>
      <c r="N312" s="1"/>
    </row>
    <row r="313" ht="14.25" customHeight="1">
      <c r="A313" s="105" t="s">
        <v>350</v>
      </c>
      <c r="B313" s="200">
        <v>10.0</v>
      </c>
      <c r="C313" s="56">
        <f t="shared" si="23"/>
        <v>6</v>
      </c>
      <c r="D313" s="172" t="s">
        <v>9</v>
      </c>
      <c r="E313" s="76"/>
      <c r="F313" s="1"/>
      <c r="G313" s="1"/>
      <c r="H313" s="1"/>
      <c r="I313" s="1"/>
      <c r="J313" s="1"/>
      <c r="K313" s="1"/>
      <c r="L313" s="1"/>
      <c r="M313" s="1"/>
      <c r="N313" s="1"/>
    </row>
    <row r="314" ht="14.25" customHeight="1">
      <c r="A314" s="68" t="s">
        <v>743</v>
      </c>
      <c r="B314" s="145">
        <v>0.5</v>
      </c>
      <c r="C314" s="155">
        <f t="shared" si="23"/>
        <v>0.3</v>
      </c>
      <c r="D314" s="137" t="s">
        <v>5</v>
      </c>
      <c r="E314" s="44" t="s">
        <v>1732</v>
      </c>
      <c r="F314" s="1"/>
      <c r="G314" s="1"/>
      <c r="H314" s="1"/>
      <c r="I314" s="1"/>
      <c r="J314" s="1"/>
      <c r="K314" s="1"/>
      <c r="L314" s="1"/>
      <c r="M314" s="1"/>
      <c r="N314" s="1"/>
    </row>
    <row r="315" ht="14.25" customHeight="1">
      <c r="A315" s="105" t="s">
        <v>1733</v>
      </c>
      <c r="B315" s="200">
        <v>1000.0</v>
      </c>
      <c r="C315" s="56">
        <f t="shared" si="23"/>
        <v>600</v>
      </c>
      <c r="D315" s="172" t="s">
        <v>18</v>
      </c>
      <c r="E315" s="76"/>
      <c r="F315" s="1"/>
      <c r="G315" s="1"/>
      <c r="H315" s="1"/>
      <c r="I315" s="1"/>
      <c r="J315" s="1"/>
      <c r="K315" s="1"/>
      <c r="L315" s="1"/>
      <c r="M315" s="1"/>
      <c r="N315" s="1"/>
    </row>
    <row r="316" ht="14.25" customHeight="1">
      <c r="A316" s="1"/>
      <c r="B316" s="107"/>
      <c r="C316" s="184"/>
      <c r="D316" s="108"/>
      <c r="E316" s="1"/>
      <c r="F316" s="1"/>
      <c r="G316" s="1"/>
      <c r="H316" s="1"/>
      <c r="I316" s="1"/>
      <c r="J316" s="1"/>
      <c r="K316" s="1"/>
      <c r="L316" s="1"/>
      <c r="M316" s="1"/>
      <c r="N316" s="1"/>
    </row>
    <row r="317" ht="14.25" customHeight="1">
      <c r="A317" s="1507" t="s">
        <v>1734</v>
      </c>
      <c r="B317" s="5"/>
      <c r="C317" s="6"/>
      <c r="D317" s="108"/>
      <c r="E317" s="1"/>
      <c r="F317" s="1"/>
      <c r="G317" s="1"/>
      <c r="H317" s="1"/>
      <c r="I317" s="1"/>
      <c r="J317" s="1"/>
      <c r="K317" s="1"/>
      <c r="L317" s="1"/>
      <c r="M317" s="1"/>
      <c r="N317" s="1"/>
    </row>
    <row r="318" ht="14.25" customHeight="1">
      <c r="A318" s="102"/>
      <c r="B318" s="104"/>
      <c r="C318" s="106"/>
      <c r="D318" s="108"/>
      <c r="E318" s="1"/>
      <c r="F318" s="1"/>
      <c r="G318" s="1"/>
      <c r="H318" s="1"/>
      <c r="I318" s="1"/>
      <c r="J318" s="1"/>
      <c r="K318" s="1"/>
      <c r="L318" s="1"/>
      <c r="M318" s="1"/>
      <c r="N318" s="1"/>
    </row>
    <row r="319" ht="14.25" customHeight="1">
      <c r="A319" s="1187" t="s">
        <v>119</v>
      </c>
      <c r="B319" s="818" t="s">
        <v>47</v>
      </c>
      <c r="C319" s="184"/>
      <c r="D319" s="108"/>
      <c r="E319" s="1"/>
      <c r="F319" s="1"/>
      <c r="G319" s="1"/>
      <c r="H319" s="1"/>
      <c r="I319" s="1"/>
      <c r="J319" s="1"/>
      <c r="K319" s="1"/>
      <c r="L319" s="1"/>
      <c r="M319" s="1"/>
      <c r="N319" s="1"/>
    </row>
    <row r="320" ht="14.25" customHeight="1">
      <c r="A320" s="1"/>
      <c r="B320" s="107"/>
      <c r="C320" s="184"/>
      <c r="D320" s="108"/>
      <c r="E320" s="1"/>
      <c r="F320" s="1"/>
      <c r="G320" s="1"/>
      <c r="H320" s="1"/>
      <c r="I320" s="1"/>
      <c r="J320" s="1"/>
      <c r="K320" s="1"/>
      <c r="L320" s="1"/>
      <c r="M320" s="1"/>
      <c r="N320" s="1"/>
    </row>
    <row r="321" ht="14.25" customHeight="1">
      <c r="A321" s="203" t="s">
        <v>49</v>
      </c>
      <c r="B321" s="1309">
        <v>40779.0</v>
      </c>
      <c r="C321" s="184"/>
      <c r="D321" s="108"/>
      <c r="E321" s="1"/>
      <c r="F321" s="1"/>
      <c r="G321" s="1"/>
      <c r="H321" s="1"/>
      <c r="I321" s="1"/>
      <c r="J321" s="1"/>
      <c r="K321" s="1"/>
      <c r="L321" s="1"/>
      <c r="M321" s="1"/>
      <c r="N321" s="1"/>
    </row>
    <row r="322" ht="14.25" customHeight="1">
      <c r="A322" s="342" t="s">
        <v>50</v>
      </c>
      <c r="B322" s="1508">
        <v>41164.0</v>
      </c>
      <c r="C322" s="184"/>
      <c r="D322" s="108"/>
      <c r="E322" s="1"/>
      <c r="F322" s="1"/>
      <c r="G322" s="1"/>
      <c r="H322" s="1"/>
      <c r="I322" s="1"/>
      <c r="J322" s="1"/>
      <c r="K322" s="1"/>
      <c r="L322" s="1"/>
      <c r="M322" s="1"/>
      <c r="N322" s="1"/>
    </row>
    <row r="323" ht="15.75" customHeight="1">
      <c r="A323" s="1"/>
      <c r="B323" s="107"/>
      <c r="C323" s="184"/>
      <c r="D323" s="108"/>
      <c r="E323" s="1"/>
      <c r="F323" s="1"/>
      <c r="G323" s="1"/>
      <c r="H323" s="1"/>
      <c r="I323" s="1"/>
      <c r="J323" s="1"/>
      <c r="K323" s="1"/>
      <c r="L323" s="1"/>
      <c r="M323" s="1"/>
      <c r="N323" s="1"/>
    </row>
    <row r="324" ht="15.0" customHeight="1">
      <c r="A324" s="209" t="s">
        <v>807</v>
      </c>
      <c r="B324" s="18"/>
      <c r="C324" s="18"/>
      <c r="D324" s="19"/>
      <c r="E324" s="1"/>
      <c r="F324" s="1"/>
      <c r="G324" s="1"/>
      <c r="H324" s="1"/>
      <c r="I324" s="1"/>
      <c r="J324" s="1"/>
      <c r="K324" s="1"/>
      <c r="L324" s="1"/>
      <c r="M324" s="1"/>
      <c r="N324" s="1"/>
    </row>
    <row r="325" ht="15.0" customHeight="1">
      <c r="A325" s="68" t="s">
        <v>1</v>
      </c>
      <c r="B325" s="145">
        <v>100.0</v>
      </c>
      <c r="C325" s="155">
        <v>10.0</v>
      </c>
      <c r="D325" s="137" t="s">
        <v>5</v>
      </c>
      <c r="E325" s="1"/>
      <c r="F325" s="1"/>
      <c r="G325" s="1"/>
      <c r="H325" s="1"/>
      <c r="I325" s="1"/>
      <c r="J325" s="1"/>
      <c r="K325" s="1"/>
      <c r="L325" s="1"/>
      <c r="M325" s="1"/>
      <c r="N325" s="1"/>
    </row>
    <row r="326" ht="15.0" customHeight="1">
      <c r="A326" s="93" t="s">
        <v>1136</v>
      </c>
      <c r="B326" s="195">
        <v>16.0</v>
      </c>
      <c r="C326" s="78">
        <f t="shared" ref="C326:C327" si="24">(B326*C325)/B325</f>
        <v>1.6</v>
      </c>
      <c r="D326" s="165" t="s">
        <v>14</v>
      </c>
      <c r="E326" s="1"/>
      <c r="F326" s="1"/>
      <c r="G326" s="1"/>
      <c r="H326" s="1"/>
      <c r="I326" s="1"/>
      <c r="J326" s="1"/>
      <c r="K326" s="1"/>
      <c r="L326" s="1"/>
      <c r="M326" s="1"/>
      <c r="N326" s="1"/>
    </row>
    <row r="327" ht="15.0" customHeight="1">
      <c r="A327" s="93" t="s">
        <v>1739</v>
      </c>
      <c r="B327" s="195">
        <v>11.2</v>
      </c>
      <c r="C327" s="78">
        <f t="shared" si="24"/>
        <v>1.12</v>
      </c>
      <c r="D327" s="165" t="s">
        <v>14</v>
      </c>
      <c r="E327" s="1"/>
      <c r="F327" s="1"/>
      <c r="G327" s="1"/>
      <c r="H327" s="1"/>
      <c r="I327" s="1"/>
      <c r="J327" s="1"/>
      <c r="K327" s="1"/>
      <c r="L327" s="1"/>
      <c r="M327" s="1"/>
      <c r="N327" s="1"/>
    </row>
    <row r="328" ht="15.0" customHeight="1">
      <c r="A328" s="93" t="s">
        <v>13</v>
      </c>
      <c r="B328" s="195">
        <v>28.5</v>
      </c>
      <c r="C328" s="78">
        <f>(B328*C326)/B326</f>
        <v>2.85</v>
      </c>
      <c r="D328" s="165" t="s">
        <v>14</v>
      </c>
      <c r="E328" s="1"/>
      <c r="F328" s="1"/>
      <c r="G328" s="1"/>
      <c r="H328" s="1"/>
      <c r="I328" s="1"/>
      <c r="J328" s="1"/>
      <c r="K328" s="1"/>
      <c r="L328" s="1"/>
      <c r="M328" s="1"/>
      <c r="N328" s="1"/>
    </row>
    <row r="329" ht="15.0" customHeight="1">
      <c r="A329" s="262" t="s">
        <v>59</v>
      </c>
      <c r="B329" s="791">
        <f t="shared" ref="B329:C329" si="25">IF(B326&lt;=15, (5-0.1*B326)*B326, 3.5*B326)</f>
        <v>56</v>
      </c>
      <c r="C329" s="1348">
        <f t="shared" si="25"/>
        <v>7.744</v>
      </c>
      <c r="D329" s="793" t="s">
        <v>5</v>
      </c>
      <c r="E329" s="1"/>
      <c r="F329" s="1"/>
      <c r="G329" s="1"/>
      <c r="H329" s="1"/>
      <c r="I329" s="1"/>
      <c r="J329" s="1"/>
      <c r="K329" s="1"/>
      <c r="L329" s="1"/>
      <c r="M329" s="1"/>
      <c r="N329" s="1"/>
    </row>
    <row r="330" ht="15.75" customHeight="1">
      <c r="A330" s="93" t="s">
        <v>1711</v>
      </c>
      <c r="B330" s="195">
        <v>1000.0</v>
      </c>
      <c r="C330" s="78">
        <f>(B330*C328)/B328</f>
        <v>100</v>
      </c>
      <c r="D330" s="165" t="s">
        <v>18</v>
      </c>
      <c r="E330" s="1"/>
      <c r="F330" s="1"/>
      <c r="G330" s="1"/>
      <c r="H330" s="1"/>
      <c r="I330" s="1"/>
      <c r="J330" s="1"/>
      <c r="K330" s="1"/>
      <c r="L330" s="1"/>
      <c r="M330" s="1"/>
      <c r="N330" s="1"/>
    </row>
    <row r="331" ht="15.0" customHeight="1">
      <c r="A331" s="93" t="s">
        <v>1741</v>
      </c>
      <c r="B331" s="195">
        <v>500.0</v>
      </c>
      <c r="C331" s="78">
        <f t="shared" ref="C331:C333" si="26">(B331*C330)/B330</f>
        <v>50</v>
      </c>
      <c r="D331" s="165" t="s">
        <v>18</v>
      </c>
      <c r="E331" s="1"/>
      <c r="F331" s="1"/>
      <c r="G331" s="1"/>
      <c r="H331" s="1"/>
      <c r="I331" s="1"/>
      <c r="J331" s="1"/>
      <c r="K331" s="1"/>
      <c r="L331" s="1"/>
      <c r="M331" s="1"/>
      <c r="N331" s="1"/>
    </row>
    <row r="332" ht="15.0" customHeight="1">
      <c r="A332" s="93" t="s">
        <v>1046</v>
      </c>
      <c r="B332" s="195">
        <v>1500.0000000000002</v>
      </c>
      <c r="C332" s="78">
        <f t="shared" si="26"/>
        <v>150</v>
      </c>
      <c r="D332" s="165" t="s">
        <v>18</v>
      </c>
      <c r="E332" s="1"/>
      <c r="F332" s="1"/>
      <c r="G332" s="1"/>
      <c r="H332" s="1"/>
      <c r="I332" s="1"/>
      <c r="J332" s="1"/>
      <c r="K332" s="1"/>
      <c r="L332" s="1"/>
      <c r="M332" s="1"/>
      <c r="N332" s="1"/>
    </row>
    <row r="333" ht="15.75" customHeight="1">
      <c r="A333" s="105" t="s">
        <v>17</v>
      </c>
      <c r="B333" s="200">
        <v>150.00000000000003</v>
      </c>
      <c r="C333" s="56">
        <f t="shared" si="26"/>
        <v>15</v>
      </c>
      <c r="D333" s="172" t="s">
        <v>18</v>
      </c>
      <c r="E333" s="1"/>
      <c r="F333" s="1"/>
      <c r="G333" s="1"/>
      <c r="H333" s="1"/>
      <c r="I333" s="1"/>
      <c r="J333" s="1"/>
      <c r="K333" s="1"/>
      <c r="L333" s="1"/>
      <c r="M333" s="1"/>
      <c r="N333" s="1"/>
    </row>
    <row r="334" ht="15.75" customHeight="1">
      <c r="A334" s="1"/>
      <c r="B334" s="107"/>
      <c r="C334" s="184"/>
      <c r="D334" s="108"/>
      <c r="E334" s="1"/>
      <c r="F334" s="1"/>
      <c r="G334" s="1"/>
      <c r="H334" s="1"/>
      <c r="I334" s="1"/>
      <c r="J334" s="1"/>
      <c r="K334" s="1"/>
      <c r="L334" s="1"/>
      <c r="M334" s="1"/>
      <c r="N334" s="1"/>
    </row>
    <row r="335" ht="15.0" customHeight="1">
      <c r="A335" s="1476" t="s">
        <v>119</v>
      </c>
      <c r="B335" s="818" t="s">
        <v>47</v>
      </c>
      <c r="C335" s="184"/>
      <c r="D335" s="108"/>
      <c r="E335" s="1"/>
      <c r="F335" s="1"/>
      <c r="G335" s="1"/>
      <c r="H335" s="1"/>
      <c r="I335" s="1"/>
      <c r="J335" s="1"/>
      <c r="K335" s="1"/>
      <c r="L335" s="1"/>
      <c r="M335" s="1"/>
      <c r="N335" s="1"/>
    </row>
    <row r="336" ht="15.0" customHeight="1">
      <c r="A336" s="1"/>
      <c r="B336" s="107"/>
      <c r="C336" s="184"/>
      <c r="D336" s="108"/>
      <c r="E336" s="1"/>
      <c r="F336" s="1"/>
      <c r="G336" s="1"/>
      <c r="H336" s="1"/>
      <c r="I336" s="1"/>
      <c r="J336" s="1"/>
      <c r="K336" s="1"/>
      <c r="L336" s="1"/>
      <c r="M336" s="1"/>
      <c r="N336" s="1"/>
    </row>
    <row r="337" ht="15.75" customHeight="1">
      <c r="A337" s="90" t="s">
        <v>120</v>
      </c>
      <c r="B337" s="1188">
        <v>42241.0</v>
      </c>
      <c r="C337" s="184"/>
      <c r="D337" s="108"/>
      <c r="E337" s="1"/>
      <c r="F337" s="1"/>
      <c r="G337" s="1"/>
      <c r="H337" s="1"/>
      <c r="I337" s="1"/>
      <c r="J337" s="1"/>
      <c r="K337" s="1"/>
      <c r="L337" s="1"/>
      <c r="M337" s="1"/>
      <c r="N337" s="1"/>
    </row>
    <row r="338" ht="15.75" customHeight="1">
      <c r="A338" s="305" t="s">
        <v>50</v>
      </c>
      <c r="B338" s="1188"/>
      <c r="C338" s="184"/>
      <c r="D338" s="108"/>
      <c r="E338" s="1"/>
      <c r="F338" s="1"/>
      <c r="G338" s="1"/>
      <c r="H338" s="1"/>
      <c r="I338" s="1"/>
      <c r="J338" s="1"/>
      <c r="K338" s="1"/>
      <c r="L338" s="1"/>
      <c r="M338" s="1"/>
      <c r="N338" s="1"/>
    </row>
    <row r="339" ht="14.25" customHeight="1">
      <c r="A339" s="1"/>
      <c r="B339" s="107"/>
      <c r="C339" s="184"/>
      <c r="D339" s="108"/>
      <c r="E339" s="1"/>
      <c r="F339" s="1"/>
      <c r="G339" s="1"/>
      <c r="H339" s="1"/>
      <c r="I339" s="1"/>
      <c r="J339" s="1"/>
      <c r="K339" s="1"/>
      <c r="L339" s="1"/>
      <c r="M339" s="1"/>
      <c r="N339" s="1"/>
    </row>
    <row r="340" ht="14.25" customHeight="1">
      <c r="A340" s="206" t="s">
        <v>817</v>
      </c>
      <c r="B340" s="5"/>
      <c r="C340" s="5"/>
      <c r="D340" s="6"/>
      <c r="E340" s="1"/>
      <c r="F340" s="1"/>
      <c r="G340" s="1"/>
      <c r="H340" s="1"/>
      <c r="I340" s="1"/>
      <c r="J340" s="1"/>
      <c r="K340" s="1"/>
      <c r="L340" s="1"/>
      <c r="M340" s="1"/>
      <c r="N340" s="1"/>
    </row>
    <row r="341" ht="14.25" customHeight="1">
      <c r="A341" s="1525" t="s">
        <v>1</v>
      </c>
      <c r="B341" s="1526">
        <v>45.0</v>
      </c>
      <c r="C341" s="1527">
        <v>324.0</v>
      </c>
      <c r="D341" s="1528" t="s">
        <v>5</v>
      </c>
      <c r="E341" s="1"/>
      <c r="F341" s="1"/>
      <c r="G341" s="1"/>
      <c r="H341" s="1"/>
      <c r="I341" s="1"/>
      <c r="J341" s="1"/>
      <c r="K341" s="1"/>
      <c r="L341" s="1"/>
      <c r="M341" s="1"/>
      <c r="N341" s="1"/>
    </row>
    <row r="342" ht="14.25" customHeight="1">
      <c r="A342" s="68" t="s">
        <v>1136</v>
      </c>
      <c r="B342" s="145">
        <v>10.0</v>
      </c>
      <c r="C342" s="155">
        <f t="shared" ref="C342:C358" si="27">(B342*C341)/B341</f>
        <v>72</v>
      </c>
      <c r="D342" s="137" t="s">
        <v>14</v>
      </c>
      <c r="E342" s="638" t="s">
        <v>1743</v>
      </c>
      <c r="F342" s="1"/>
      <c r="G342" s="1"/>
      <c r="H342" s="1"/>
      <c r="I342" s="1"/>
      <c r="J342" s="1"/>
      <c r="K342" s="1"/>
      <c r="L342" s="1"/>
      <c r="M342" s="1"/>
      <c r="N342" s="1"/>
    </row>
    <row r="343" ht="14.25" customHeight="1">
      <c r="A343" s="105" t="s">
        <v>1744</v>
      </c>
      <c r="B343" s="200">
        <v>1.0</v>
      </c>
      <c r="C343" s="110">
        <f t="shared" si="27"/>
        <v>7.2</v>
      </c>
      <c r="D343" s="172" t="s">
        <v>5</v>
      </c>
      <c r="E343" s="76"/>
      <c r="F343" s="1"/>
      <c r="G343" s="1"/>
      <c r="H343" s="1"/>
      <c r="I343" s="1"/>
      <c r="J343" s="1"/>
      <c r="K343" s="1"/>
      <c r="L343" s="1"/>
      <c r="M343" s="1"/>
      <c r="N343" s="1"/>
    </row>
    <row r="344" ht="14.25" customHeight="1">
      <c r="A344" s="119" t="s">
        <v>91</v>
      </c>
      <c r="B344" s="238">
        <v>2.0</v>
      </c>
      <c r="C344" s="122">
        <f t="shared" si="27"/>
        <v>14.4</v>
      </c>
      <c r="D344" s="176" t="s">
        <v>5</v>
      </c>
      <c r="E344" s="44" t="s">
        <v>1745</v>
      </c>
      <c r="F344" s="1"/>
      <c r="G344" s="1"/>
      <c r="H344" s="1"/>
      <c r="I344" s="1"/>
      <c r="J344" s="1"/>
      <c r="K344" s="1"/>
      <c r="L344" s="1"/>
      <c r="M344" s="1"/>
      <c r="N344" s="1"/>
    </row>
    <row r="345" ht="14.25" customHeight="1">
      <c r="A345" s="93" t="s">
        <v>95</v>
      </c>
      <c r="B345" s="1213">
        <v>25.0</v>
      </c>
      <c r="C345" s="94">
        <f t="shared" si="27"/>
        <v>180</v>
      </c>
      <c r="D345" s="165" t="s">
        <v>18</v>
      </c>
      <c r="E345" s="47"/>
      <c r="F345" s="1"/>
      <c r="G345" s="1"/>
      <c r="H345" s="1"/>
      <c r="I345" s="1"/>
      <c r="J345" s="1"/>
      <c r="K345" s="1"/>
      <c r="L345" s="1"/>
      <c r="M345" s="1"/>
      <c r="N345" s="1"/>
    </row>
    <row r="346" ht="14.25" customHeight="1">
      <c r="A346" s="93" t="s">
        <v>1746</v>
      </c>
      <c r="B346" s="1213">
        <v>30.0</v>
      </c>
      <c r="C346" s="94">
        <f t="shared" si="27"/>
        <v>216</v>
      </c>
      <c r="D346" s="165" t="s">
        <v>18</v>
      </c>
      <c r="E346" s="47"/>
      <c r="F346" s="1"/>
      <c r="G346" s="1"/>
      <c r="H346" s="1"/>
      <c r="I346" s="1"/>
      <c r="J346" s="1"/>
      <c r="K346" s="1"/>
      <c r="L346" s="1"/>
      <c r="M346" s="1"/>
      <c r="N346" s="1"/>
    </row>
    <row r="347" ht="14.25" customHeight="1">
      <c r="A347" s="93" t="s">
        <v>1176</v>
      </c>
      <c r="B347" s="107">
        <v>25.0</v>
      </c>
      <c r="C347" s="94">
        <f t="shared" si="27"/>
        <v>180</v>
      </c>
      <c r="D347" s="165" t="s">
        <v>18</v>
      </c>
      <c r="E347" s="47"/>
      <c r="F347" s="1"/>
      <c r="G347" s="1"/>
      <c r="H347" s="1"/>
      <c r="I347" s="1"/>
      <c r="J347" s="1"/>
      <c r="K347" s="1"/>
      <c r="L347" s="1"/>
      <c r="M347" s="1"/>
      <c r="N347" s="1"/>
    </row>
    <row r="348" ht="14.25" customHeight="1">
      <c r="A348" s="93" t="s">
        <v>210</v>
      </c>
      <c r="B348" s="1213">
        <v>15.0</v>
      </c>
      <c r="C348" s="94">
        <f t="shared" si="27"/>
        <v>108</v>
      </c>
      <c r="D348" s="165" t="s">
        <v>18</v>
      </c>
      <c r="E348" s="47"/>
      <c r="F348" s="1"/>
      <c r="G348" s="1"/>
      <c r="H348" s="1"/>
      <c r="I348" s="1"/>
      <c r="J348" s="1"/>
      <c r="K348" s="1"/>
      <c r="L348" s="1"/>
      <c r="M348" s="1"/>
      <c r="N348" s="1"/>
    </row>
    <row r="349" ht="14.25" customHeight="1">
      <c r="A349" s="93" t="s">
        <v>847</v>
      </c>
      <c r="B349" s="195">
        <v>50.0</v>
      </c>
      <c r="C349" s="78">
        <f t="shared" si="27"/>
        <v>360</v>
      </c>
      <c r="D349" s="165" t="s">
        <v>18</v>
      </c>
      <c r="E349" s="47"/>
      <c r="F349" s="1"/>
      <c r="G349" s="1"/>
      <c r="H349" s="1"/>
      <c r="I349" s="1"/>
      <c r="J349" s="1"/>
      <c r="K349" s="1"/>
      <c r="L349" s="1"/>
      <c r="M349" s="1"/>
      <c r="N349" s="1"/>
    </row>
    <row r="350" ht="14.25" customHeight="1">
      <c r="A350" s="119" t="s">
        <v>98</v>
      </c>
      <c r="B350" s="238">
        <v>150.0</v>
      </c>
      <c r="C350" s="129">
        <f t="shared" si="27"/>
        <v>1080</v>
      </c>
      <c r="D350" s="176" t="s">
        <v>18</v>
      </c>
      <c r="E350" s="47"/>
      <c r="F350" s="1"/>
      <c r="G350" s="1"/>
      <c r="H350" s="1"/>
      <c r="I350" s="1"/>
      <c r="J350" s="1"/>
      <c r="K350" s="1"/>
      <c r="L350" s="1"/>
      <c r="M350" s="1"/>
      <c r="N350" s="1"/>
    </row>
    <row r="351" ht="14.25" customHeight="1">
      <c r="A351" s="93" t="s">
        <v>66</v>
      </c>
      <c r="B351" s="1213">
        <v>10.0</v>
      </c>
      <c r="C351" s="94">
        <f t="shared" si="27"/>
        <v>72</v>
      </c>
      <c r="D351" s="165" t="s">
        <v>18</v>
      </c>
      <c r="E351" s="47"/>
      <c r="F351" s="1"/>
      <c r="G351" s="1"/>
      <c r="H351" s="1"/>
      <c r="I351" s="1"/>
      <c r="J351" s="1"/>
      <c r="K351" s="1"/>
      <c r="L351" s="1"/>
      <c r="M351" s="1"/>
      <c r="N351" s="1"/>
    </row>
    <row r="352" ht="14.25" customHeight="1">
      <c r="A352" s="93" t="s">
        <v>96</v>
      </c>
      <c r="B352" s="1213">
        <v>5.0</v>
      </c>
      <c r="C352" s="94">
        <f t="shared" si="27"/>
        <v>36</v>
      </c>
      <c r="D352" s="165" t="s">
        <v>18</v>
      </c>
      <c r="E352" s="47"/>
      <c r="F352" s="1"/>
      <c r="G352" s="1"/>
      <c r="H352" s="1"/>
      <c r="I352" s="1"/>
      <c r="J352" s="1"/>
      <c r="K352" s="1"/>
      <c r="L352" s="1"/>
      <c r="M352" s="1"/>
      <c r="N352" s="1"/>
    </row>
    <row r="353" ht="14.25" customHeight="1">
      <c r="A353" s="93" t="s">
        <v>102</v>
      </c>
      <c r="B353" s="1213">
        <v>15.0</v>
      </c>
      <c r="C353" s="94">
        <f t="shared" si="27"/>
        <v>108</v>
      </c>
      <c r="D353" s="165" t="s">
        <v>18</v>
      </c>
      <c r="E353" s="47"/>
      <c r="F353" s="1"/>
      <c r="G353" s="1"/>
      <c r="H353" s="1"/>
      <c r="I353" s="1"/>
      <c r="J353" s="1"/>
      <c r="K353" s="1"/>
      <c r="L353" s="1"/>
      <c r="M353" s="1"/>
      <c r="N353" s="1"/>
    </row>
    <row r="354" ht="14.25" customHeight="1">
      <c r="A354" s="105" t="s">
        <v>1747</v>
      </c>
      <c r="B354" s="1216">
        <v>15.0</v>
      </c>
      <c r="C354" s="110">
        <f t="shared" si="27"/>
        <v>108</v>
      </c>
      <c r="D354" s="172" t="s">
        <v>18</v>
      </c>
      <c r="E354" s="76"/>
      <c r="F354" s="1"/>
      <c r="G354" s="1"/>
      <c r="H354" s="1"/>
      <c r="I354" s="1"/>
      <c r="J354" s="1"/>
      <c r="K354" s="1"/>
      <c r="L354" s="1"/>
      <c r="M354" s="1"/>
      <c r="N354" s="1"/>
    </row>
    <row r="355" ht="14.25" customHeight="1">
      <c r="A355" s="68" t="s">
        <v>83</v>
      </c>
      <c r="B355" s="145">
        <v>250.0</v>
      </c>
      <c r="C355" s="155">
        <f t="shared" si="27"/>
        <v>1800</v>
      </c>
      <c r="D355" s="137" t="s">
        <v>18</v>
      </c>
      <c r="E355" s="638"/>
      <c r="F355" s="1"/>
      <c r="G355" s="1"/>
      <c r="H355" s="1"/>
      <c r="I355" s="1"/>
      <c r="J355" s="1"/>
      <c r="K355" s="1"/>
      <c r="L355" s="1"/>
      <c r="M355" s="1"/>
      <c r="N355" s="1"/>
    </row>
    <row r="356" ht="14.25" customHeight="1">
      <c r="A356" s="93" t="s">
        <v>753</v>
      </c>
      <c r="B356" s="195">
        <v>250.0</v>
      </c>
      <c r="C356" s="78">
        <f t="shared" si="27"/>
        <v>1800</v>
      </c>
      <c r="D356" s="165" t="s">
        <v>18</v>
      </c>
      <c r="E356" s="47"/>
      <c r="F356" s="1"/>
      <c r="G356" s="1"/>
      <c r="H356" s="1"/>
      <c r="I356" s="1"/>
      <c r="J356" s="1"/>
      <c r="K356" s="1"/>
      <c r="L356" s="1"/>
      <c r="M356" s="1"/>
      <c r="N356" s="1"/>
    </row>
    <row r="357" ht="14.25" customHeight="1">
      <c r="A357" s="93" t="s">
        <v>101</v>
      </c>
      <c r="B357" s="195">
        <v>1.0</v>
      </c>
      <c r="C357" s="78">
        <f t="shared" si="27"/>
        <v>7.2</v>
      </c>
      <c r="D357" s="165" t="s">
        <v>5</v>
      </c>
      <c r="E357" s="47"/>
      <c r="F357" s="1"/>
      <c r="G357" s="1"/>
      <c r="H357" s="1"/>
      <c r="I357" s="1"/>
      <c r="J357" s="1"/>
      <c r="K357" s="1"/>
      <c r="L357" s="1"/>
      <c r="M357" s="1"/>
      <c r="N357" s="1"/>
    </row>
    <row r="358" ht="14.25" customHeight="1">
      <c r="A358" s="105" t="s">
        <v>1748</v>
      </c>
      <c r="B358" s="200">
        <v>6.0</v>
      </c>
      <c r="C358" s="56">
        <f t="shared" si="27"/>
        <v>43.2</v>
      </c>
      <c r="D358" s="172" t="s">
        <v>14</v>
      </c>
      <c r="E358" s="76"/>
      <c r="F358" s="1"/>
      <c r="G358" s="1"/>
      <c r="H358" s="1"/>
      <c r="I358" s="1"/>
      <c r="J358" s="1"/>
      <c r="K358" s="1"/>
      <c r="L358" s="1"/>
      <c r="M358" s="1"/>
      <c r="N358" s="1"/>
    </row>
    <row r="359" ht="14.25" customHeight="1">
      <c r="A359" s="68" t="s">
        <v>157</v>
      </c>
      <c r="B359" s="1192">
        <f t="shared" ref="B359:C359" si="28">+IF(B342&lt;10,2.35*B342,IF(B342&gt;=15,2.1*B342,(2.1+(15-B342)*0.05)*B342))</f>
        <v>23.5</v>
      </c>
      <c r="C359" s="1193">
        <f t="shared" si="28"/>
        <v>151.2</v>
      </c>
      <c r="D359" s="137" t="s">
        <v>5</v>
      </c>
      <c r="E359" s="638"/>
      <c r="F359" s="1"/>
      <c r="G359" s="1"/>
      <c r="H359" s="1"/>
      <c r="I359" s="1"/>
      <c r="J359" s="1"/>
      <c r="K359" s="1"/>
      <c r="L359" s="1"/>
      <c r="M359" s="1"/>
      <c r="N359" s="1"/>
    </row>
    <row r="360" ht="14.25" customHeight="1">
      <c r="A360" s="93" t="s">
        <v>31</v>
      </c>
      <c r="B360" s="195">
        <v>450.0</v>
      </c>
      <c r="C360" s="78">
        <f>(B360*C358)/B358</f>
        <v>3240</v>
      </c>
      <c r="D360" s="165" t="s">
        <v>18</v>
      </c>
      <c r="E360" s="47"/>
      <c r="F360" s="1"/>
      <c r="G360" s="1"/>
      <c r="H360" s="1"/>
      <c r="I360" s="1"/>
      <c r="J360" s="1"/>
      <c r="K360" s="1"/>
      <c r="L360" s="1"/>
      <c r="M360" s="1"/>
      <c r="N360" s="1"/>
    </row>
    <row r="361" ht="14.25" customHeight="1">
      <c r="A361" s="105" t="s">
        <v>13</v>
      </c>
      <c r="B361" s="200">
        <v>0.5</v>
      </c>
      <c r="C361" s="56">
        <f>(B361*C360)/B360</f>
        <v>3.6</v>
      </c>
      <c r="D361" s="172" t="s">
        <v>14</v>
      </c>
      <c r="E361" s="76"/>
      <c r="F361" s="1"/>
      <c r="G361" s="1"/>
      <c r="H361" s="1"/>
      <c r="I361" s="1"/>
      <c r="J361" s="1"/>
      <c r="K361" s="1"/>
      <c r="L361" s="1"/>
      <c r="M361" s="1"/>
      <c r="N361" s="1"/>
    </row>
    <row r="362" ht="14.25" customHeight="1">
      <c r="A362" s="1187" t="s">
        <v>119</v>
      </c>
      <c r="B362" s="818" t="s">
        <v>47</v>
      </c>
      <c r="C362" s="184"/>
      <c r="D362" s="1546"/>
      <c r="E362" s="1"/>
      <c r="F362" s="1"/>
      <c r="G362" s="1"/>
      <c r="H362" s="1"/>
      <c r="I362" s="1"/>
      <c r="J362" s="1"/>
      <c r="K362" s="1"/>
      <c r="L362" s="1"/>
      <c r="M362" s="1"/>
      <c r="N362" s="1"/>
    </row>
    <row r="363" ht="14.25" customHeight="1">
      <c r="A363" s="1"/>
      <c r="B363" s="107"/>
      <c r="C363" s="184"/>
      <c r="D363" s="108"/>
      <c r="E363" s="1"/>
      <c r="F363" s="1"/>
      <c r="G363" s="1"/>
      <c r="H363" s="1"/>
      <c r="I363" s="1"/>
      <c r="J363" s="1"/>
      <c r="K363" s="1"/>
      <c r="L363" s="1"/>
      <c r="M363" s="1"/>
      <c r="N363" s="1"/>
    </row>
    <row r="364" ht="14.25" customHeight="1">
      <c r="A364" s="203" t="s">
        <v>49</v>
      </c>
      <c r="B364" s="1309">
        <v>41296.0</v>
      </c>
      <c r="C364" s="184"/>
      <c r="D364" s="108"/>
      <c r="E364" s="1"/>
      <c r="F364" s="1"/>
      <c r="G364" s="1"/>
      <c r="H364" s="1"/>
      <c r="I364" s="1"/>
      <c r="J364" s="1"/>
      <c r="K364" s="1"/>
      <c r="L364" s="1"/>
      <c r="M364" s="1"/>
      <c r="N364" s="1"/>
    </row>
    <row r="365" ht="14.25" customHeight="1">
      <c r="A365" s="1310" t="s">
        <v>1486</v>
      </c>
      <c r="B365" s="1309">
        <v>41754.0</v>
      </c>
      <c r="C365" s="184"/>
      <c r="D365" s="108"/>
      <c r="E365" s="1"/>
      <c r="F365" s="1"/>
      <c r="G365" s="1"/>
      <c r="H365" s="1"/>
      <c r="I365" s="1"/>
      <c r="J365" s="1"/>
      <c r="K365" s="1"/>
      <c r="L365" s="1"/>
      <c r="M365" s="1"/>
      <c r="N365" s="1"/>
    </row>
    <row r="366" ht="14.25" customHeight="1">
      <c r="A366" s="1"/>
      <c r="B366" s="107"/>
      <c r="C366" s="184"/>
      <c r="D366" s="108"/>
      <c r="E366" s="1"/>
      <c r="F366" s="1"/>
      <c r="G366" s="1"/>
      <c r="H366" s="1"/>
      <c r="I366" s="1"/>
      <c r="J366" s="1"/>
      <c r="K366" s="1"/>
      <c r="L366" s="1"/>
      <c r="M366" s="1"/>
      <c r="N366" s="1"/>
    </row>
    <row r="367" ht="14.25" customHeight="1">
      <c r="A367" s="206" t="s">
        <v>840</v>
      </c>
      <c r="B367" s="5"/>
      <c r="C367" s="5"/>
      <c r="D367" s="6"/>
      <c r="E367" s="1"/>
      <c r="F367" s="1"/>
      <c r="G367" s="1"/>
      <c r="H367" s="1"/>
      <c r="I367" s="1"/>
      <c r="J367" s="1"/>
      <c r="K367" s="1"/>
      <c r="L367" s="1"/>
      <c r="M367" s="1"/>
      <c r="N367" s="1"/>
    </row>
    <row r="368" ht="14.25" customHeight="1">
      <c r="A368" s="173" t="s">
        <v>1</v>
      </c>
      <c r="B368" s="275">
        <v>60.0</v>
      </c>
      <c r="C368" s="179">
        <v>60.0</v>
      </c>
      <c r="D368" s="278" t="s">
        <v>5</v>
      </c>
      <c r="E368" s="1"/>
      <c r="F368" s="1"/>
      <c r="G368" s="1"/>
      <c r="H368" s="1"/>
      <c r="I368" s="1"/>
      <c r="J368" s="1"/>
      <c r="K368" s="1"/>
      <c r="L368" s="1"/>
      <c r="M368" s="1"/>
      <c r="N368" s="1"/>
    </row>
    <row r="369" ht="14.25" customHeight="1">
      <c r="A369" s="119" t="s">
        <v>1136</v>
      </c>
      <c r="B369" s="238">
        <v>10.0</v>
      </c>
      <c r="C369" s="129">
        <f t="shared" ref="C369:C376" si="29">(B369*C368)/B368</f>
        <v>10</v>
      </c>
      <c r="D369" s="176" t="s">
        <v>14</v>
      </c>
      <c r="E369" s="1"/>
      <c r="F369" s="1"/>
      <c r="G369" s="1"/>
      <c r="H369" s="1"/>
      <c r="I369" s="1"/>
      <c r="J369" s="1"/>
      <c r="K369" s="1"/>
      <c r="L369" s="1"/>
      <c r="M369" s="1"/>
      <c r="N369" s="1"/>
    </row>
    <row r="370" ht="14.25" customHeight="1">
      <c r="A370" s="93" t="s">
        <v>1765</v>
      </c>
      <c r="B370" s="195">
        <v>6.0</v>
      </c>
      <c r="C370" s="78">
        <f t="shared" si="29"/>
        <v>6</v>
      </c>
      <c r="D370" s="165" t="s">
        <v>5</v>
      </c>
      <c r="E370" s="1"/>
      <c r="F370" s="1"/>
      <c r="G370" s="1"/>
      <c r="H370" s="1"/>
      <c r="I370" s="1"/>
      <c r="J370" s="1"/>
      <c r="K370" s="1"/>
      <c r="L370" s="1"/>
      <c r="M370" s="1"/>
      <c r="N370" s="1"/>
    </row>
    <row r="371" ht="14.25" customHeight="1">
      <c r="A371" s="93" t="s">
        <v>31</v>
      </c>
      <c r="B371" s="195">
        <v>60.0</v>
      </c>
      <c r="C371" s="78">
        <f t="shared" si="29"/>
        <v>60</v>
      </c>
      <c r="D371" s="165" t="s">
        <v>18</v>
      </c>
      <c r="E371" s="1"/>
      <c r="F371" s="1"/>
      <c r="G371" s="1"/>
      <c r="H371" s="1"/>
      <c r="I371" s="1"/>
      <c r="J371" s="1"/>
      <c r="K371" s="1"/>
      <c r="L371" s="1"/>
      <c r="M371" s="1"/>
      <c r="N371" s="1"/>
    </row>
    <row r="372" ht="14.25" customHeight="1">
      <c r="A372" s="93" t="s">
        <v>13</v>
      </c>
      <c r="B372" s="195">
        <v>17.5</v>
      </c>
      <c r="C372" s="78">
        <f t="shared" si="29"/>
        <v>17.5</v>
      </c>
      <c r="D372" s="165" t="s">
        <v>14</v>
      </c>
      <c r="E372" s="1"/>
      <c r="F372" s="1"/>
      <c r="G372" s="1"/>
      <c r="H372" s="1"/>
      <c r="I372" s="1"/>
      <c r="J372" s="1"/>
      <c r="K372" s="1"/>
      <c r="L372" s="1"/>
      <c r="M372" s="1"/>
      <c r="N372" s="1"/>
    </row>
    <row r="373" ht="14.25" customHeight="1">
      <c r="A373" s="93" t="s">
        <v>1718</v>
      </c>
      <c r="B373" s="195">
        <v>75.0</v>
      </c>
      <c r="C373" s="78">
        <f t="shared" si="29"/>
        <v>75</v>
      </c>
      <c r="D373" s="165" t="s">
        <v>18</v>
      </c>
      <c r="E373" s="1"/>
      <c r="F373" s="1"/>
      <c r="G373" s="1"/>
      <c r="H373" s="1"/>
      <c r="I373" s="1"/>
      <c r="J373" s="1"/>
      <c r="K373" s="1"/>
      <c r="L373" s="1"/>
      <c r="M373" s="1"/>
      <c r="N373" s="1"/>
    </row>
    <row r="374" ht="14.25" customHeight="1">
      <c r="A374" s="93" t="s">
        <v>1768</v>
      </c>
      <c r="B374" s="195">
        <v>150.0</v>
      </c>
      <c r="C374" s="78">
        <f t="shared" si="29"/>
        <v>150</v>
      </c>
      <c r="D374" s="165" t="s">
        <v>18</v>
      </c>
      <c r="E374" s="1"/>
      <c r="F374" s="1"/>
      <c r="G374" s="1"/>
      <c r="H374" s="1"/>
      <c r="I374" s="1"/>
      <c r="J374" s="1"/>
      <c r="K374" s="1"/>
      <c r="L374" s="1"/>
      <c r="M374" s="1"/>
      <c r="N374" s="1"/>
    </row>
    <row r="375" ht="14.25" customHeight="1">
      <c r="A375" s="93" t="s">
        <v>749</v>
      </c>
      <c r="B375" s="195">
        <v>150.0</v>
      </c>
      <c r="C375" s="78">
        <f t="shared" si="29"/>
        <v>150</v>
      </c>
      <c r="D375" s="165" t="s">
        <v>18</v>
      </c>
      <c r="E375" s="1"/>
      <c r="F375" s="1"/>
      <c r="G375" s="1"/>
      <c r="H375" s="1"/>
      <c r="I375" s="1"/>
      <c r="J375" s="1"/>
      <c r="K375" s="1"/>
      <c r="L375" s="1"/>
      <c r="M375" s="1"/>
      <c r="N375" s="1"/>
    </row>
    <row r="376" ht="14.25" customHeight="1">
      <c r="A376" s="93" t="s">
        <v>1046</v>
      </c>
      <c r="B376" s="195">
        <v>500.0</v>
      </c>
      <c r="C376" s="78">
        <f t="shared" si="29"/>
        <v>500</v>
      </c>
      <c r="D376" s="165" t="s">
        <v>18</v>
      </c>
      <c r="E376" s="1"/>
      <c r="F376" s="1"/>
      <c r="G376" s="1"/>
      <c r="H376" s="1"/>
      <c r="I376" s="1"/>
      <c r="J376" s="1"/>
      <c r="K376" s="1"/>
      <c r="L376" s="1"/>
      <c r="M376" s="1"/>
      <c r="N376" s="1"/>
    </row>
    <row r="377" ht="14.25" customHeight="1">
      <c r="A377" s="105" t="s">
        <v>1770</v>
      </c>
      <c r="B377" s="200">
        <v>1.0</v>
      </c>
      <c r="C377" s="56">
        <f>(B377*C369)/B369</f>
        <v>1</v>
      </c>
      <c r="D377" s="172" t="s">
        <v>14</v>
      </c>
      <c r="E377" s="1"/>
      <c r="F377" s="1"/>
      <c r="G377" s="1"/>
      <c r="H377" s="1"/>
      <c r="I377" s="1"/>
      <c r="J377" s="1"/>
      <c r="K377" s="1"/>
      <c r="L377" s="1"/>
      <c r="M377" s="1"/>
      <c r="N377" s="1"/>
    </row>
    <row r="378" ht="14.25" customHeight="1">
      <c r="A378" s="458" t="s">
        <v>1772</v>
      </c>
      <c r="B378" s="1549">
        <f t="shared" ref="B378:C378" si="30">+IF(B369&lt;10,4*B369,IF(B369&gt;=15,3.5*B369,(3.5+(15-B369)*0.1)*B369))</f>
        <v>40</v>
      </c>
      <c r="C378" s="1550">
        <f t="shared" si="30"/>
        <v>40</v>
      </c>
      <c r="D378" s="782" t="s">
        <v>5</v>
      </c>
      <c r="E378" s="1"/>
      <c r="F378" s="1"/>
      <c r="G378" s="1"/>
      <c r="H378" s="1"/>
      <c r="I378" s="1"/>
      <c r="J378" s="1"/>
      <c r="K378" s="1"/>
      <c r="L378" s="1"/>
      <c r="M378" s="1"/>
      <c r="N378" s="1"/>
    </row>
    <row r="379" ht="14.25" customHeight="1">
      <c r="A379" s="1476" t="s">
        <v>119</v>
      </c>
      <c r="B379" s="818" t="s">
        <v>47</v>
      </c>
      <c r="C379" s="184"/>
      <c r="D379" s="108"/>
      <c r="E379" s="1"/>
      <c r="F379" s="1"/>
      <c r="G379" s="1"/>
      <c r="H379" s="1"/>
      <c r="I379" s="1"/>
      <c r="J379" s="1"/>
      <c r="K379" s="1"/>
      <c r="L379" s="1"/>
      <c r="M379" s="1"/>
      <c r="N379" s="1"/>
    </row>
    <row r="380" ht="14.25" customHeight="1">
      <c r="A380" s="1"/>
      <c r="B380" s="107"/>
      <c r="C380" s="184"/>
      <c r="D380" s="108"/>
      <c r="E380" s="1"/>
      <c r="F380" s="1"/>
      <c r="G380" s="1"/>
      <c r="H380" s="1"/>
      <c r="I380" s="1"/>
      <c r="J380" s="1"/>
      <c r="K380" s="1"/>
      <c r="L380" s="1"/>
      <c r="M380" s="1"/>
      <c r="N380" s="1"/>
    </row>
    <row r="381" ht="14.25" customHeight="1">
      <c r="A381" s="203" t="s">
        <v>502</v>
      </c>
      <c r="B381" s="1309"/>
      <c r="C381" s="184"/>
      <c r="D381" s="108"/>
      <c r="E381" s="1"/>
      <c r="F381" s="1"/>
      <c r="G381" s="1"/>
      <c r="H381" s="1"/>
      <c r="I381" s="1"/>
      <c r="J381" s="1"/>
      <c r="K381" s="1"/>
      <c r="L381" s="1"/>
      <c r="M381" s="1"/>
      <c r="N381" s="1"/>
    </row>
    <row r="382" ht="14.25" customHeight="1">
      <c r="A382" s="1310" t="s">
        <v>1486</v>
      </c>
      <c r="B382" s="1309">
        <v>41126.0</v>
      </c>
      <c r="C382" s="184"/>
      <c r="D382" s="108"/>
      <c r="E382" s="1"/>
      <c r="F382" s="1"/>
      <c r="G382" s="1"/>
      <c r="H382" s="1"/>
      <c r="I382" s="1"/>
      <c r="J382" s="1"/>
      <c r="K382" s="1"/>
      <c r="L382" s="1"/>
      <c r="M382" s="1"/>
      <c r="N382" s="1"/>
    </row>
    <row r="383" ht="14.25" customHeight="1">
      <c r="A383" s="1"/>
      <c r="B383" s="107"/>
      <c r="C383" s="184"/>
      <c r="D383" s="108"/>
      <c r="E383" s="1"/>
      <c r="F383" s="1"/>
      <c r="G383" s="1"/>
      <c r="H383" s="1"/>
      <c r="I383" s="1"/>
      <c r="J383" s="1"/>
      <c r="K383" s="1"/>
      <c r="L383" s="1"/>
      <c r="M383" s="1"/>
      <c r="N383" s="1"/>
    </row>
    <row r="384" ht="14.25" customHeight="1">
      <c r="A384" s="511" t="s">
        <v>857</v>
      </c>
      <c r="B384" s="18"/>
      <c r="C384" s="18"/>
      <c r="D384" s="19"/>
      <c r="E384" s="1"/>
      <c r="F384" s="1"/>
      <c r="G384" s="1"/>
      <c r="H384" s="1"/>
      <c r="I384" s="1"/>
      <c r="J384" s="1"/>
      <c r="K384" s="1"/>
      <c r="L384" s="1"/>
      <c r="M384" s="1"/>
      <c r="N384" s="1"/>
    </row>
    <row r="385" ht="14.25" customHeight="1">
      <c r="A385" s="553" t="s">
        <v>1</v>
      </c>
      <c r="B385" s="152">
        <v>120.0</v>
      </c>
      <c r="C385" s="1551">
        <v>200.0</v>
      </c>
      <c r="D385" s="156" t="s">
        <v>1727</v>
      </c>
      <c r="E385" s="1"/>
      <c r="F385" s="1"/>
      <c r="G385" s="1"/>
      <c r="H385" s="1"/>
      <c r="I385" s="1"/>
      <c r="J385" s="1"/>
      <c r="K385" s="1"/>
      <c r="L385" s="1"/>
      <c r="M385" s="1"/>
      <c r="N385" s="1"/>
    </row>
    <row r="386" ht="14.25" customHeight="1">
      <c r="A386" s="68" t="s">
        <v>15</v>
      </c>
      <c r="B386" s="145">
        <v>100.0</v>
      </c>
      <c r="C386" s="521">
        <f t="shared" ref="C386:C394" si="31">(B386*C385)/B385</f>
        <v>166.6666667</v>
      </c>
      <c r="D386" s="137" t="s">
        <v>5</v>
      </c>
      <c r="E386" s="1"/>
      <c r="F386" s="1"/>
      <c r="G386" s="1"/>
      <c r="H386" s="1"/>
      <c r="I386" s="1"/>
      <c r="J386" s="1"/>
      <c r="K386" s="1"/>
      <c r="L386" s="1"/>
      <c r="M386" s="1"/>
      <c r="N386" s="1"/>
    </row>
    <row r="387" ht="14.25" customHeight="1">
      <c r="A387" s="93" t="s">
        <v>1136</v>
      </c>
      <c r="B387" s="195">
        <v>8.0</v>
      </c>
      <c r="C387" s="521">
        <f t="shared" si="31"/>
        <v>13.33333333</v>
      </c>
      <c r="D387" s="165" t="s">
        <v>14</v>
      </c>
      <c r="E387" s="1"/>
      <c r="F387" s="1"/>
      <c r="G387" s="1"/>
      <c r="H387" s="1"/>
      <c r="I387" s="1"/>
      <c r="J387" s="1"/>
      <c r="K387" s="1"/>
      <c r="L387" s="1"/>
      <c r="M387" s="1"/>
      <c r="N387" s="1"/>
    </row>
    <row r="388" ht="14.25" customHeight="1">
      <c r="A388" s="93" t="s">
        <v>1782</v>
      </c>
      <c r="B388" s="195">
        <v>0.2</v>
      </c>
      <c r="C388" s="521">
        <f t="shared" si="31"/>
        <v>0.3333333333</v>
      </c>
      <c r="D388" s="165" t="s">
        <v>5</v>
      </c>
      <c r="E388" s="1"/>
      <c r="F388" s="1"/>
      <c r="G388" s="1"/>
      <c r="H388" s="1"/>
      <c r="I388" s="1"/>
      <c r="J388" s="1"/>
      <c r="K388" s="1"/>
      <c r="L388" s="1"/>
      <c r="M388" s="1"/>
      <c r="N388" s="1"/>
    </row>
    <row r="389" ht="14.25" customHeight="1">
      <c r="A389" s="93" t="s">
        <v>13</v>
      </c>
      <c r="B389" s="195">
        <v>20.0</v>
      </c>
      <c r="C389" s="521">
        <f t="shared" si="31"/>
        <v>33.33333333</v>
      </c>
      <c r="D389" s="165" t="s">
        <v>14</v>
      </c>
      <c r="E389" s="1"/>
      <c r="F389" s="1"/>
      <c r="G389" s="1"/>
      <c r="H389" s="1"/>
      <c r="I389" s="1"/>
      <c r="J389" s="1"/>
      <c r="K389" s="1"/>
      <c r="L389" s="1"/>
      <c r="M389" s="1"/>
      <c r="N389" s="1"/>
    </row>
    <row r="390" ht="14.25" customHeight="1">
      <c r="A390" s="93" t="s">
        <v>1783</v>
      </c>
      <c r="B390" s="195">
        <v>0.25</v>
      </c>
      <c r="C390" s="521">
        <f t="shared" si="31"/>
        <v>0.4166666667</v>
      </c>
      <c r="D390" s="165" t="s">
        <v>5</v>
      </c>
      <c r="E390" s="1"/>
      <c r="F390" s="1"/>
      <c r="G390" s="1"/>
      <c r="H390" s="1"/>
      <c r="I390" s="1"/>
      <c r="J390" s="1"/>
      <c r="K390" s="1"/>
      <c r="L390" s="1"/>
      <c r="M390" s="1"/>
      <c r="N390" s="1"/>
    </row>
    <row r="391" ht="14.25" customHeight="1">
      <c r="A391" s="93" t="s">
        <v>746</v>
      </c>
      <c r="B391" s="195">
        <v>1000.0</v>
      </c>
      <c r="C391" s="521">
        <f t="shared" si="31"/>
        <v>1666.666667</v>
      </c>
      <c r="D391" s="165" t="s">
        <v>18</v>
      </c>
      <c r="E391" s="1"/>
      <c r="F391" s="1"/>
      <c r="G391" s="1"/>
      <c r="H391" s="1"/>
      <c r="I391" s="1"/>
      <c r="J391" s="1"/>
      <c r="K391" s="1"/>
      <c r="L391" s="1"/>
      <c r="M391" s="1"/>
      <c r="N391" s="1"/>
    </row>
    <row r="392" ht="14.25" customHeight="1">
      <c r="A392" s="93" t="s">
        <v>1046</v>
      </c>
      <c r="B392" s="195">
        <v>800.0</v>
      </c>
      <c r="C392" s="521">
        <f t="shared" si="31"/>
        <v>1333.333333</v>
      </c>
      <c r="D392" s="165" t="s">
        <v>18</v>
      </c>
      <c r="E392" s="1"/>
      <c r="F392" s="1"/>
      <c r="G392" s="1"/>
      <c r="H392" s="1"/>
      <c r="I392" s="1"/>
      <c r="J392" s="1"/>
      <c r="K392" s="1"/>
      <c r="L392" s="1"/>
      <c r="M392" s="1"/>
      <c r="N392" s="1"/>
    </row>
    <row r="393" ht="14.25" customHeight="1">
      <c r="A393" s="93" t="s">
        <v>1169</v>
      </c>
      <c r="B393" s="195">
        <v>8.0</v>
      </c>
      <c r="C393" s="521">
        <f t="shared" si="31"/>
        <v>13.33333333</v>
      </c>
      <c r="D393" s="165" t="s">
        <v>14</v>
      </c>
      <c r="E393" s="1"/>
      <c r="F393" s="1086" t="s">
        <v>1784</v>
      </c>
      <c r="G393" s="18"/>
      <c r="H393" s="18"/>
      <c r="I393" s="19"/>
      <c r="J393" s="1"/>
      <c r="K393" s="1"/>
      <c r="L393" s="1"/>
      <c r="M393" s="1"/>
      <c r="N393" s="1"/>
    </row>
    <row r="394" ht="14.25" customHeight="1">
      <c r="A394" s="105" t="s">
        <v>963</v>
      </c>
      <c r="B394" s="200">
        <v>5.0</v>
      </c>
      <c r="C394" s="517">
        <f t="shared" si="31"/>
        <v>8.333333333</v>
      </c>
      <c r="D394" s="172" t="s">
        <v>1785</v>
      </c>
      <c r="E394" s="1"/>
      <c r="F394" s="458" t="s">
        <v>1</v>
      </c>
      <c r="G394" s="460">
        <v>115.0</v>
      </c>
      <c r="H394" s="71">
        <v>25.0</v>
      </c>
      <c r="I394" s="463" t="s">
        <v>5</v>
      </c>
      <c r="J394" s="1"/>
      <c r="K394" s="1"/>
      <c r="L394" s="1"/>
      <c r="M394" s="1"/>
      <c r="N394" s="1"/>
    </row>
    <row r="395" ht="14.25" customHeight="1">
      <c r="A395" s="1"/>
      <c r="B395" s="107"/>
      <c r="C395" s="184"/>
      <c r="D395" s="108"/>
      <c r="E395" s="1"/>
      <c r="F395" s="163" t="s">
        <v>1136</v>
      </c>
      <c r="G395" s="285">
        <v>9.0</v>
      </c>
      <c r="H395" s="1267">
        <f t="shared" ref="H395:H414" si="32">(G395*H394)/G394</f>
        <v>1.956521739</v>
      </c>
      <c r="I395" s="169" t="s">
        <v>14</v>
      </c>
      <c r="J395" s="1"/>
      <c r="K395" s="1"/>
      <c r="L395" s="1"/>
      <c r="M395" s="1"/>
      <c r="N395" s="1"/>
    </row>
    <row r="396" ht="14.25" customHeight="1">
      <c r="A396" s="1476" t="s">
        <v>119</v>
      </c>
      <c r="B396" s="818" t="s">
        <v>47</v>
      </c>
      <c r="C396" s="184"/>
      <c r="D396" s="108"/>
      <c r="E396" s="1"/>
      <c r="F396" s="262" t="s">
        <v>743</v>
      </c>
      <c r="G396" s="383">
        <v>500.0</v>
      </c>
      <c r="H396" s="1267">
        <f t="shared" si="32"/>
        <v>108.6956522</v>
      </c>
      <c r="I396" s="267" t="s">
        <v>82</v>
      </c>
      <c r="J396" s="1"/>
      <c r="K396" s="1"/>
      <c r="L396" s="1"/>
      <c r="M396" s="1"/>
      <c r="N396" s="1"/>
    </row>
    <row r="397" ht="14.25" customHeight="1">
      <c r="A397" s="203" t="s">
        <v>502</v>
      </c>
      <c r="B397" s="1363">
        <v>40756.0</v>
      </c>
      <c r="C397" s="184"/>
      <c r="D397" s="108"/>
      <c r="E397" s="1"/>
      <c r="F397" s="1552" t="s">
        <v>1132</v>
      </c>
      <c r="G397" s="73">
        <v>1.2</v>
      </c>
      <c r="H397" s="1553">
        <f t="shared" si="32"/>
        <v>0.2608695652</v>
      </c>
      <c r="I397" s="216" t="s">
        <v>366</v>
      </c>
      <c r="J397" s="1"/>
      <c r="K397" s="1"/>
      <c r="L397" s="1"/>
      <c r="M397" s="1"/>
      <c r="N397" s="1"/>
    </row>
    <row r="398" ht="14.25" customHeight="1">
      <c r="A398" s="342" t="s">
        <v>1786</v>
      </c>
      <c r="B398" s="1508">
        <v>40972.0</v>
      </c>
      <c r="C398" s="184"/>
      <c r="D398" s="108"/>
      <c r="E398" s="1"/>
      <c r="F398" s="93" t="s">
        <v>1476</v>
      </c>
      <c r="G398" s="94">
        <v>1.0</v>
      </c>
      <c r="H398" s="1554">
        <f t="shared" si="32"/>
        <v>0.2173913043</v>
      </c>
      <c r="I398" s="249" t="s">
        <v>14</v>
      </c>
      <c r="J398" s="1"/>
      <c r="K398" s="1"/>
      <c r="L398" s="1"/>
      <c r="M398" s="1"/>
      <c r="N398" s="1"/>
    </row>
    <row r="399" ht="14.25" customHeight="1">
      <c r="A399" s="1"/>
      <c r="B399" s="107"/>
      <c r="C399" s="184"/>
      <c r="D399" s="108"/>
      <c r="E399" s="1"/>
      <c r="F399" s="138" t="s">
        <v>1787</v>
      </c>
      <c r="G399" s="143">
        <v>120.0</v>
      </c>
      <c r="H399" s="1554">
        <f t="shared" si="32"/>
        <v>26.08695652</v>
      </c>
      <c r="I399" s="242" t="s">
        <v>18</v>
      </c>
      <c r="J399" s="1"/>
      <c r="K399" s="1"/>
      <c r="L399" s="1"/>
      <c r="M399" s="1"/>
      <c r="N399" s="1"/>
    </row>
    <row r="400" ht="14.25" customHeight="1">
      <c r="A400" s="511" t="s">
        <v>870</v>
      </c>
      <c r="B400" s="18"/>
      <c r="C400" s="18"/>
      <c r="D400" s="19"/>
      <c r="E400" s="1"/>
      <c r="F400" s="163" t="s">
        <v>491</v>
      </c>
      <c r="G400" s="285">
        <v>2500.0</v>
      </c>
      <c r="H400" s="722">
        <f t="shared" si="32"/>
        <v>543.4782609</v>
      </c>
      <c r="I400" s="169" t="s">
        <v>82</v>
      </c>
      <c r="J400" s="1"/>
      <c r="K400" s="1"/>
      <c r="L400" s="1"/>
      <c r="M400" s="1"/>
      <c r="N400" s="1"/>
    </row>
    <row r="401" ht="14.25" customHeight="1">
      <c r="A401" s="68" t="s">
        <v>1136</v>
      </c>
      <c r="B401" s="145">
        <v>10.0</v>
      </c>
      <c r="C401" s="155">
        <v>60.0</v>
      </c>
      <c r="D401" s="137" t="s">
        <v>14</v>
      </c>
      <c r="E401" s="1"/>
      <c r="F401" s="177" t="s">
        <v>98</v>
      </c>
      <c r="G401" s="198">
        <v>250.0</v>
      </c>
      <c r="H401" s="712">
        <f t="shared" si="32"/>
        <v>54.34782609</v>
      </c>
      <c r="I401" s="204" t="s">
        <v>18</v>
      </c>
      <c r="J401" s="1"/>
      <c r="K401" s="1"/>
      <c r="L401" s="1"/>
      <c r="M401" s="1"/>
      <c r="N401" s="1"/>
    </row>
    <row r="402" ht="14.25" customHeight="1">
      <c r="A402" s="93" t="s">
        <v>91</v>
      </c>
      <c r="B402" s="195">
        <v>1.0</v>
      </c>
      <c r="C402" s="78">
        <f t="shared" ref="C402:C403" si="33">(B402*C401)/B401</f>
        <v>6</v>
      </c>
      <c r="D402" s="165" t="s">
        <v>5</v>
      </c>
      <c r="E402" s="1"/>
      <c r="F402" s="177" t="s">
        <v>1788</v>
      </c>
      <c r="G402" s="198">
        <v>550.0</v>
      </c>
      <c r="H402" s="712">
        <f t="shared" si="32"/>
        <v>119.5652174</v>
      </c>
      <c r="I402" s="204" t="s">
        <v>18</v>
      </c>
      <c r="J402" s="1"/>
      <c r="K402" s="1"/>
      <c r="L402" s="1"/>
      <c r="M402" s="1"/>
      <c r="N402" s="1"/>
    </row>
    <row r="403" ht="14.25" customHeight="1">
      <c r="A403" s="93" t="s">
        <v>60</v>
      </c>
      <c r="B403" s="195">
        <v>0.75</v>
      </c>
      <c r="C403" s="78">
        <f t="shared" si="33"/>
        <v>4.5</v>
      </c>
      <c r="D403" s="165" t="s">
        <v>14</v>
      </c>
      <c r="E403" s="1"/>
      <c r="F403" s="177" t="s">
        <v>84</v>
      </c>
      <c r="G403" s="198">
        <v>500.0</v>
      </c>
      <c r="H403" s="712">
        <f t="shared" si="32"/>
        <v>108.6956522</v>
      </c>
      <c r="I403" s="204" t="s">
        <v>18</v>
      </c>
      <c r="J403" s="1"/>
      <c r="K403" s="1"/>
      <c r="L403" s="1"/>
      <c r="M403" s="1"/>
      <c r="N403" s="1"/>
    </row>
    <row r="404" ht="14.25" customHeight="1">
      <c r="A404" s="93" t="s">
        <v>98</v>
      </c>
      <c r="B404" s="195">
        <v>150.0</v>
      </c>
      <c r="C404" s="78">
        <f>(B404*C405)/B405</f>
        <v>900</v>
      </c>
      <c r="D404" s="165" t="s">
        <v>18</v>
      </c>
      <c r="E404" s="1"/>
      <c r="F404" s="262" t="s">
        <v>101</v>
      </c>
      <c r="G404" s="383">
        <v>1.5</v>
      </c>
      <c r="H404" s="1267">
        <f t="shared" si="32"/>
        <v>0.3260869565</v>
      </c>
      <c r="I404" s="267" t="s">
        <v>5</v>
      </c>
      <c r="J404" s="1"/>
      <c r="K404" s="1"/>
      <c r="L404" s="1"/>
      <c r="M404" s="1"/>
      <c r="N404" s="1"/>
    </row>
    <row r="405" ht="14.25" customHeight="1">
      <c r="A405" s="93" t="s">
        <v>390</v>
      </c>
      <c r="B405" s="195">
        <v>50.0</v>
      </c>
      <c r="C405" s="78">
        <f t="shared" ref="C405:C406" si="34">(B405*C403)/B403</f>
        <v>300</v>
      </c>
      <c r="D405" s="165" t="s">
        <v>18</v>
      </c>
      <c r="E405" s="1"/>
      <c r="F405" s="163" t="s">
        <v>152</v>
      </c>
      <c r="G405" s="285">
        <v>6.0</v>
      </c>
      <c r="H405" s="722">
        <f t="shared" si="32"/>
        <v>1.304347826</v>
      </c>
      <c r="I405" s="169" t="s">
        <v>366</v>
      </c>
      <c r="J405" s="1"/>
      <c r="K405" s="1"/>
      <c r="L405" s="1"/>
      <c r="M405" s="1"/>
      <c r="N405" s="1"/>
    </row>
    <row r="406" ht="14.25" customHeight="1">
      <c r="A406" s="93" t="s">
        <v>39</v>
      </c>
      <c r="B406" s="195">
        <v>300.0</v>
      </c>
      <c r="C406" s="78">
        <f t="shared" si="34"/>
        <v>1800</v>
      </c>
      <c r="D406" s="165" t="s">
        <v>18</v>
      </c>
      <c r="E406" s="1"/>
      <c r="F406" s="177" t="s">
        <v>1789</v>
      </c>
      <c r="G406" s="198">
        <v>6.0</v>
      </c>
      <c r="H406" s="712">
        <f t="shared" si="32"/>
        <v>1.304347826</v>
      </c>
      <c r="I406" s="204" t="s">
        <v>366</v>
      </c>
      <c r="J406" s="1"/>
      <c r="K406" s="1"/>
      <c r="L406" s="1"/>
      <c r="M406" s="1"/>
      <c r="N406" s="1"/>
    </row>
    <row r="407" ht="14.25" customHeight="1">
      <c r="A407" s="93" t="s">
        <v>101</v>
      </c>
      <c r="B407" s="195">
        <v>1.0</v>
      </c>
      <c r="C407" s="78">
        <f t="shared" ref="C407:C409" si="35">(B407*C406)/B406</f>
        <v>6</v>
      </c>
      <c r="D407" s="165" t="s">
        <v>5</v>
      </c>
      <c r="E407" s="1"/>
      <c r="F407" s="177" t="s">
        <v>31</v>
      </c>
      <c r="G407" s="198">
        <v>1000.0</v>
      </c>
      <c r="H407" s="712">
        <f t="shared" si="32"/>
        <v>217.3913043</v>
      </c>
      <c r="I407" s="204" t="s">
        <v>18</v>
      </c>
      <c r="J407" s="1"/>
      <c r="K407" s="1"/>
      <c r="L407" s="1"/>
      <c r="M407" s="1"/>
      <c r="N407" s="1"/>
    </row>
    <row r="408" ht="14.25" customHeight="1">
      <c r="A408" s="93" t="s">
        <v>149</v>
      </c>
      <c r="B408" s="195">
        <v>250.0</v>
      </c>
      <c r="C408" s="78">
        <f t="shared" si="35"/>
        <v>1500</v>
      </c>
      <c r="D408" s="165" t="s">
        <v>82</v>
      </c>
      <c r="E408" s="1"/>
      <c r="F408" s="177" t="s">
        <v>157</v>
      </c>
      <c r="G408" s="600">
        <v>92.0</v>
      </c>
      <c r="H408" s="712">
        <f t="shared" si="32"/>
        <v>20</v>
      </c>
      <c r="I408" s="204" t="s">
        <v>5</v>
      </c>
      <c r="J408" s="1"/>
      <c r="K408" s="1"/>
      <c r="L408" s="1"/>
      <c r="M408" s="1"/>
      <c r="N408" s="1"/>
    </row>
    <row r="409" ht="14.25" customHeight="1">
      <c r="A409" s="93" t="s">
        <v>1169</v>
      </c>
      <c r="B409" s="195">
        <v>7.5</v>
      </c>
      <c r="C409" s="78">
        <f t="shared" si="35"/>
        <v>45</v>
      </c>
      <c r="D409" s="165" t="s">
        <v>14</v>
      </c>
      <c r="E409" s="1"/>
      <c r="F409" s="262" t="s">
        <v>856</v>
      </c>
      <c r="G409" s="383">
        <v>1250.0</v>
      </c>
      <c r="H409" s="1267">
        <f t="shared" si="32"/>
        <v>271.7391304</v>
      </c>
      <c r="I409" s="267" t="s">
        <v>18</v>
      </c>
      <c r="J409" s="1"/>
      <c r="K409" s="1"/>
      <c r="L409" s="1"/>
      <c r="M409" s="1"/>
      <c r="N409" s="1"/>
    </row>
    <row r="410" ht="14.25" customHeight="1">
      <c r="A410" s="93" t="s">
        <v>59</v>
      </c>
      <c r="B410" s="1555">
        <f>+IF(B401&lt;10,7*B401,IF(B401&gt;=15,6.5*B401,(6.5+(15-B401)*0.1)*B401))</f>
        <v>70</v>
      </c>
      <c r="C410" s="1556">
        <f>+IF(C401&lt;10,6.5*C401,IF(C401&gt;=15,6*C401,(6+(15-C401)*0.1)*C401))</f>
        <v>360</v>
      </c>
      <c r="D410" s="165" t="s">
        <v>5</v>
      </c>
      <c r="E410" s="1"/>
      <c r="F410" s="163" t="s">
        <v>1790</v>
      </c>
      <c r="G410" s="285">
        <v>500.0</v>
      </c>
      <c r="H410" s="722">
        <f t="shared" si="32"/>
        <v>108.6956522</v>
      </c>
      <c r="I410" s="169" t="s">
        <v>82</v>
      </c>
      <c r="J410" s="1"/>
      <c r="K410" s="1"/>
      <c r="L410" s="1"/>
      <c r="M410" s="1"/>
      <c r="N410" s="1"/>
    </row>
    <row r="411" ht="14.25" customHeight="1">
      <c r="A411" s="93" t="s">
        <v>31</v>
      </c>
      <c r="B411" s="195">
        <v>500.0</v>
      </c>
      <c r="C411" s="78">
        <f>(B411*C409)/B409</f>
        <v>3000</v>
      </c>
      <c r="D411" s="165" t="s">
        <v>18</v>
      </c>
      <c r="E411" s="1"/>
      <c r="F411" s="138" t="s">
        <v>114</v>
      </c>
      <c r="G411" s="239">
        <v>4.0</v>
      </c>
      <c r="H411" s="1267">
        <f t="shared" si="32"/>
        <v>0.8695652174</v>
      </c>
      <c r="I411" s="242" t="s">
        <v>5</v>
      </c>
      <c r="J411" s="1"/>
      <c r="K411" s="1"/>
      <c r="L411" s="1"/>
      <c r="M411" s="1"/>
      <c r="N411" s="1"/>
    </row>
    <row r="412" ht="14.25" customHeight="1">
      <c r="A412" s="93" t="s">
        <v>13</v>
      </c>
      <c r="B412" s="195">
        <v>0.75</v>
      </c>
      <c r="C412" s="78">
        <f>(B412*C411)/B411</f>
        <v>4.5</v>
      </c>
      <c r="D412" s="165" t="s">
        <v>14</v>
      </c>
      <c r="E412" s="1"/>
      <c r="F412" s="163" t="s">
        <v>1791</v>
      </c>
      <c r="G412" s="285">
        <v>5.0</v>
      </c>
      <c r="H412" s="722">
        <f t="shared" si="32"/>
        <v>1.086956522</v>
      </c>
      <c r="I412" s="169" t="s">
        <v>14</v>
      </c>
      <c r="J412" s="1"/>
      <c r="K412" s="1"/>
      <c r="L412" s="1"/>
      <c r="M412" s="1"/>
      <c r="N412" s="1"/>
    </row>
    <row r="413" ht="14.25" customHeight="1">
      <c r="A413" s="105" t="s">
        <v>1790</v>
      </c>
      <c r="B413" s="200">
        <v>350.0</v>
      </c>
      <c r="C413" s="56">
        <f>(B413*C414)/B414</f>
        <v>2100</v>
      </c>
      <c r="D413" s="172" t="s">
        <v>82</v>
      </c>
      <c r="E413" s="1"/>
      <c r="F413" s="177" t="s">
        <v>1792</v>
      </c>
      <c r="G413" s="198">
        <v>5.0</v>
      </c>
      <c r="H413" s="712">
        <f t="shared" si="32"/>
        <v>1.086956522</v>
      </c>
      <c r="I413" s="204" t="s">
        <v>14</v>
      </c>
      <c r="J413" s="1"/>
      <c r="K413" s="1"/>
      <c r="L413" s="1"/>
      <c r="M413" s="1"/>
      <c r="N413" s="1"/>
    </row>
    <row r="414" ht="14.25" customHeight="1">
      <c r="A414" s="1525" t="s">
        <v>1</v>
      </c>
      <c r="B414" s="1526">
        <v>65.0</v>
      </c>
      <c r="C414" s="1557">
        <f>(B414*C412)/B412</f>
        <v>390</v>
      </c>
      <c r="D414" s="1528" t="s">
        <v>5</v>
      </c>
      <c r="E414" s="1"/>
      <c r="F414" s="208" t="s">
        <v>1793</v>
      </c>
      <c r="G414" s="211">
        <v>2.5</v>
      </c>
      <c r="H414" s="724">
        <f t="shared" si="32"/>
        <v>0.5434782609</v>
      </c>
      <c r="I414" s="212" t="s">
        <v>14</v>
      </c>
      <c r="J414" s="1"/>
      <c r="K414" s="1"/>
      <c r="L414" s="1"/>
      <c r="M414" s="1"/>
      <c r="N414" s="1"/>
    </row>
    <row r="415" ht="14.25" customHeight="1">
      <c r="A415" s="1476" t="s">
        <v>119</v>
      </c>
      <c r="B415" s="818" t="s">
        <v>47</v>
      </c>
      <c r="C415" s="184"/>
      <c r="D415" s="108"/>
      <c r="E415" s="1"/>
      <c r="F415" s="1476" t="s">
        <v>119</v>
      </c>
      <c r="G415" s="818" t="s">
        <v>47</v>
      </c>
      <c r="H415" s="1"/>
      <c r="I415" s="1"/>
      <c r="J415" s="1"/>
      <c r="K415" s="1"/>
      <c r="L415" s="1"/>
      <c r="M415" s="1"/>
      <c r="N415" s="1"/>
    </row>
    <row r="416" ht="14.25" customHeight="1">
      <c r="A416" s="203" t="s">
        <v>49</v>
      </c>
      <c r="B416" s="1309">
        <v>40807.0</v>
      </c>
      <c r="C416" s="184"/>
      <c r="D416" s="108"/>
      <c r="E416" s="1"/>
      <c r="F416" s="203" t="s">
        <v>49</v>
      </c>
      <c r="G416" s="1309">
        <v>43545.0</v>
      </c>
      <c r="H416" s="1"/>
      <c r="I416" s="1"/>
      <c r="J416" s="1"/>
      <c r="K416" s="1"/>
      <c r="L416" s="1"/>
      <c r="M416" s="1"/>
      <c r="N416" s="1"/>
    </row>
    <row r="417" ht="14.25" customHeight="1">
      <c r="A417" s="1310" t="s">
        <v>1486</v>
      </c>
      <c r="B417" s="1309">
        <v>41266.0</v>
      </c>
      <c r="C417" s="184"/>
      <c r="D417" s="108"/>
      <c r="E417" s="1"/>
      <c r="F417" s="1310" t="s">
        <v>1486</v>
      </c>
      <c r="G417" s="1309">
        <v>43545.0</v>
      </c>
      <c r="H417" s="1"/>
      <c r="I417" s="1"/>
      <c r="J417" s="1"/>
      <c r="K417" s="1"/>
      <c r="L417" s="1"/>
      <c r="M417" s="1"/>
      <c r="N417" s="1"/>
    </row>
    <row r="418" ht="14.25" customHeight="1">
      <c r="A418" s="1"/>
      <c r="B418" s="107"/>
      <c r="C418" s="184"/>
      <c r="D418" s="108"/>
      <c r="E418" s="1"/>
      <c r="F418" s="1"/>
      <c r="G418" s="1"/>
      <c r="H418" s="1"/>
      <c r="I418" s="1"/>
      <c r="J418" s="1"/>
      <c r="K418" s="1"/>
      <c r="L418" s="1"/>
      <c r="M418" s="1"/>
      <c r="N418" s="1"/>
    </row>
    <row r="419" ht="14.25" customHeight="1">
      <c r="A419" s="16" t="s">
        <v>881</v>
      </c>
      <c r="B419" s="18"/>
      <c r="C419" s="18"/>
      <c r="D419" s="19"/>
      <c r="E419" s="1"/>
      <c r="F419" s="1"/>
      <c r="G419" s="1"/>
      <c r="H419" s="1"/>
      <c r="I419" s="1"/>
      <c r="J419" s="1"/>
      <c r="K419" s="1"/>
      <c r="L419" s="1"/>
      <c r="M419" s="1"/>
      <c r="N419" s="1"/>
    </row>
    <row r="420" ht="14.25" customHeight="1">
      <c r="A420" s="325" t="s">
        <v>1</v>
      </c>
      <c r="B420" s="370">
        <v>100.0</v>
      </c>
      <c r="C420" s="1559">
        <v>280.0</v>
      </c>
      <c r="D420" s="1560" t="s">
        <v>5</v>
      </c>
      <c r="E420" s="1"/>
      <c r="F420" s="1"/>
      <c r="G420" s="1"/>
      <c r="H420" s="1"/>
      <c r="I420" s="1"/>
      <c r="J420" s="1"/>
      <c r="K420" s="1"/>
      <c r="L420" s="1"/>
      <c r="M420" s="1"/>
      <c r="N420" s="1"/>
    </row>
    <row r="421" ht="14.25" customHeight="1">
      <c r="A421" s="163" t="s">
        <v>1136</v>
      </c>
      <c r="B421" s="221">
        <v>10.0</v>
      </c>
      <c r="C421" s="265">
        <f t="shared" ref="C421:C437" si="36">(B421*C420)/B420</f>
        <v>28</v>
      </c>
      <c r="D421" s="733" t="s">
        <v>14</v>
      </c>
      <c r="E421" s="610" t="s">
        <v>1799</v>
      </c>
      <c r="F421" s="1"/>
      <c r="G421" s="1"/>
      <c r="H421" s="1"/>
      <c r="I421" s="1"/>
      <c r="J421" s="1"/>
      <c r="K421" s="1"/>
      <c r="L421" s="1"/>
      <c r="M421" s="1"/>
      <c r="N421" s="1"/>
    </row>
    <row r="422" ht="14.25" customHeight="1">
      <c r="A422" s="262" t="s">
        <v>91</v>
      </c>
      <c r="B422" s="50">
        <v>0.5</v>
      </c>
      <c r="C422" s="265">
        <f t="shared" si="36"/>
        <v>1.4</v>
      </c>
      <c r="D422" s="793" t="s">
        <v>5</v>
      </c>
      <c r="E422" s="76"/>
      <c r="F422" s="1"/>
      <c r="G422" s="1"/>
      <c r="H422" s="1"/>
      <c r="I422" s="1"/>
      <c r="J422" s="1"/>
      <c r="K422" s="1"/>
      <c r="L422" s="1"/>
      <c r="M422" s="1"/>
      <c r="N422" s="1"/>
    </row>
    <row r="423" ht="14.25" customHeight="1">
      <c r="A423" s="163" t="s">
        <v>91</v>
      </c>
      <c r="B423" s="221">
        <v>2.5</v>
      </c>
      <c r="C423" s="164">
        <f t="shared" si="36"/>
        <v>7</v>
      </c>
      <c r="D423" s="733" t="s">
        <v>5</v>
      </c>
      <c r="E423" s="610" t="s">
        <v>1802</v>
      </c>
      <c r="F423" s="1"/>
      <c r="G423" s="1"/>
      <c r="H423" s="1"/>
      <c r="I423" s="1"/>
      <c r="J423" s="1"/>
      <c r="K423" s="1"/>
      <c r="L423" s="1"/>
      <c r="M423" s="1"/>
      <c r="N423" s="1"/>
    </row>
    <row r="424" ht="14.25" customHeight="1">
      <c r="A424" s="177" t="s">
        <v>60</v>
      </c>
      <c r="B424" s="27">
        <v>1.5</v>
      </c>
      <c r="C424" s="201">
        <f t="shared" si="36"/>
        <v>4.2</v>
      </c>
      <c r="D424" s="774" t="s">
        <v>14</v>
      </c>
      <c r="E424" s="47"/>
      <c r="F424" s="1"/>
      <c r="G424" s="1"/>
      <c r="H424" s="1"/>
      <c r="I424" s="1"/>
      <c r="J424" s="1"/>
      <c r="K424" s="1"/>
      <c r="L424" s="1"/>
      <c r="M424" s="1"/>
      <c r="N424" s="1"/>
    </row>
    <row r="425" ht="14.25" customHeight="1">
      <c r="A425" s="177" t="s">
        <v>98</v>
      </c>
      <c r="B425" s="27">
        <v>250.0</v>
      </c>
      <c r="C425" s="201">
        <f t="shared" si="36"/>
        <v>700</v>
      </c>
      <c r="D425" s="774" t="s">
        <v>18</v>
      </c>
      <c r="E425" s="47"/>
      <c r="F425" s="1"/>
      <c r="G425" s="1"/>
      <c r="H425" s="1"/>
      <c r="I425" s="1"/>
      <c r="J425" s="1"/>
      <c r="K425" s="1"/>
      <c r="L425" s="1"/>
      <c r="M425" s="1"/>
      <c r="N425" s="1"/>
    </row>
    <row r="426" ht="14.25" customHeight="1">
      <c r="A426" s="177" t="s">
        <v>847</v>
      </c>
      <c r="B426" s="27">
        <v>100.0</v>
      </c>
      <c r="C426" s="201">
        <f t="shared" si="36"/>
        <v>280</v>
      </c>
      <c r="D426" s="774" t="s">
        <v>18</v>
      </c>
      <c r="E426" s="47"/>
      <c r="F426" s="1"/>
      <c r="G426" s="1"/>
      <c r="H426" s="1"/>
      <c r="I426" s="1"/>
      <c r="J426" s="1"/>
      <c r="K426" s="1"/>
      <c r="L426" s="1"/>
      <c r="M426" s="1"/>
      <c r="N426" s="1"/>
    </row>
    <row r="427" ht="14.25" customHeight="1">
      <c r="A427" s="177" t="s">
        <v>1804</v>
      </c>
      <c r="B427" s="27">
        <v>500.0</v>
      </c>
      <c r="C427" s="201">
        <f t="shared" si="36"/>
        <v>1400</v>
      </c>
      <c r="D427" s="774" t="s">
        <v>18</v>
      </c>
      <c r="E427" s="47"/>
      <c r="F427" s="1"/>
      <c r="G427" s="1"/>
      <c r="H427" s="1"/>
      <c r="I427" s="1"/>
      <c r="J427" s="1"/>
      <c r="K427" s="1"/>
      <c r="L427" s="1"/>
      <c r="M427" s="1"/>
      <c r="N427" s="1"/>
    </row>
    <row r="428" ht="14.25" customHeight="1">
      <c r="A428" s="177" t="s">
        <v>84</v>
      </c>
      <c r="B428" s="27">
        <v>500.0</v>
      </c>
      <c r="C428" s="201">
        <f t="shared" si="36"/>
        <v>1400</v>
      </c>
      <c r="D428" s="774" t="s">
        <v>18</v>
      </c>
      <c r="E428" s="47"/>
      <c r="F428" s="1"/>
      <c r="G428" s="1"/>
      <c r="H428" s="1"/>
      <c r="I428" s="1"/>
      <c r="J428" s="1"/>
      <c r="K428" s="1"/>
      <c r="L428" s="1"/>
      <c r="M428" s="1"/>
      <c r="N428" s="1"/>
    </row>
    <row r="429" ht="14.25" customHeight="1">
      <c r="A429" s="208" t="s">
        <v>101</v>
      </c>
      <c r="B429" s="236">
        <v>1.5</v>
      </c>
      <c r="C429" s="257">
        <f t="shared" si="36"/>
        <v>4.2</v>
      </c>
      <c r="D429" s="1052" t="s">
        <v>5</v>
      </c>
      <c r="E429" s="76"/>
      <c r="F429" s="1"/>
      <c r="G429" s="1"/>
      <c r="H429" s="1"/>
      <c r="I429" s="1"/>
      <c r="J429" s="1"/>
      <c r="K429" s="1"/>
      <c r="L429" s="1"/>
      <c r="M429" s="1"/>
      <c r="N429" s="1"/>
    </row>
    <row r="430" ht="14.25" customHeight="1">
      <c r="A430" s="157" t="s">
        <v>152</v>
      </c>
      <c r="B430" s="244">
        <v>10.0</v>
      </c>
      <c r="C430" s="158">
        <f t="shared" si="36"/>
        <v>28</v>
      </c>
      <c r="D430" s="1055" t="s">
        <v>14</v>
      </c>
      <c r="E430" s="1565"/>
      <c r="F430" s="1"/>
      <c r="G430" s="1"/>
      <c r="H430" s="1"/>
      <c r="I430" s="1"/>
      <c r="J430" s="1"/>
      <c r="K430" s="1"/>
      <c r="L430" s="1"/>
      <c r="M430" s="1"/>
      <c r="N430" s="1"/>
    </row>
    <row r="431" ht="14.25" customHeight="1">
      <c r="A431" s="157" t="s">
        <v>1806</v>
      </c>
      <c r="B431" s="244">
        <v>5.0</v>
      </c>
      <c r="C431" s="158">
        <f t="shared" si="36"/>
        <v>14</v>
      </c>
      <c r="D431" s="1055" t="s">
        <v>14</v>
      </c>
      <c r="E431" s="763"/>
      <c r="F431" s="1"/>
      <c r="G431" s="1"/>
      <c r="H431" s="1"/>
      <c r="I431" s="1"/>
      <c r="J431" s="1"/>
      <c r="K431" s="1"/>
      <c r="L431" s="1"/>
      <c r="M431" s="1"/>
      <c r="N431" s="1"/>
    </row>
    <row r="432" ht="14.25" customHeight="1">
      <c r="A432" s="157" t="s">
        <v>1789</v>
      </c>
      <c r="B432" s="244">
        <v>10.0</v>
      </c>
      <c r="C432" s="158">
        <f t="shared" si="36"/>
        <v>28</v>
      </c>
      <c r="D432" s="1055" t="s">
        <v>14</v>
      </c>
      <c r="E432" s="763"/>
      <c r="F432" s="1"/>
      <c r="G432" s="1"/>
      <c r="H432" s="1"/>
      <c r="I432" s="1"/>
      <c r="J432" s="1"/>
      <c r="K432" s="1"/>
      <c r="L432" s="1"/>
      <c r="M432" s="1"/>
      <c r="N432" s="1"/>
    </row>
    <row r="433" ht="14.25" customHeight="1">
      <c r="A433" s="177" t="s">
        <v>31</v>
      </c>
      <c r="B433" s="27">
        <v>900.0</v>
      </c>
      <c r="C433" s="201">
        <f t="shared" si="36"/>
        <v>2520</v>
      </c>
      <c r="D433" s="774" t="s">
        <v>18</v>
      </c>
      <c r="E433" s="763"/>
      <c r="F433" s="1"/>
      <c r="G433" s="1"/>
      <c r="H433" s="1"/>
      <c r="I433" s="1"/>
      <c r="J433" s="1"/>
      <c r="K433" s="1"/>
      <c r="L433" s="1"/>
      <c r="M433" s="1"/>
      <c r="N433" s="1"/>
    </row>
    <row r="434" ht="14.25" customHeight="1">
      <c r="A434" s="251" t="s">
        <v>157</v>
      </c>
      <c r="B434" s="1555">
        <v>90.0</v>
      </c>
      <c r="C434" s="1556">
        <f t="shared" si="36"/>
        <v>252</v>
      </c>
      <c r="D434" s="1197" t="s">
        <v>5</v>
      </c>
      <c r="E434" s="763"/>
      <c r="F434" s="1"/>
      <c r="G434" s="1"/>
      <c r="H434" s="1"/>
      <c r="I434" s="1"/>
      <c r="J434" s="1"/>
      <c r="K434" s="1"/>
      <c r="L434" s="1"/>
      <c r="M434" s="1"/>
      <c r="N434" s="1"/>
    </row>
    <row r="435" ht="14.25" customHeight="1">
      <c r="A435" s="177" t="s">
        <v>856</v>
      </c>
      <c r="B435" s="27">
        <v>1.25</v>
      </c>
      <c r="C435" s="201">
        <f t="shared" si="36"/>
        <v>3.5</v>
      </c>
      <c r="D435" s="774" t="s">
        <v>14</v>
      </c>
      <c r="E435" s="763"/>
      <c r="F435" s="1"/>
      <c r="G435" s="1"/>
      <c r="H435" s="1"/>
      <c r="I435" s="1"/>
      <c r="J435" s="1"/>
      <c r="K435" s="1"/>
      <c r="L435" s="1"/>
      <c r="M435" s="1"/>
      <c r="N435" s="1"/>
    </row>
    <row r="436" ht="14.25" customHeight="1">
      <c r="A436" s="163" t="s">
        <v>1790</v>
      </c>
      <c r="B436" s="221">
        <v>500.0</v>
      </c>
      <c r="C436" s="164">
        <f t="shared" si="36"/>
        <v>1400</v>
      </c>
      <c r="D436" s="733" t="s">
        <v>82</v>
      </c>
      <c r="E436" s="770" t="s">
        <v>204</v>
      </c>
      <c r="F436" s="1"/>
      <c r="G436" s="1"/>
      <c r="H436" s="1"/>
      <c r="I436" s="1"/>
      <c r="J436" s="1"/>
      <c r="K436" s="1"/>
      <c r="L436" s="1"/>
      <c r="M436" s="1"/>
      <c r="N436" s="1"/>
    </row>
    <row r="437" ht="14.25" customHeight="1">
      <c r="A437" s="105" t="s">
        <v>114</v>
      </c>
      <c r="B437" s="200">
        <v>4.0</v>
      </c>
      <c r="C437" s="56">
        <f t="shared" si="36"/>
        <v>11.2</v>
      </c>
      <c r="D437" s="172" t="s">
        <v>5</v>
      </c>
      <c r="E437" s="76"/>
      <c r="F437" s="1"/>
      <c r="G437" s="1"/>
      <c r="H437" s="1"/>
      <c r="I437" s="1"/>
      <c r="J437" s="1"/>
      <c r="K437" s="1"/>
      <c r="L437" s="1"/>
      <c r="M437" s="1"/>
      <c r="N437" s="1"/>
    </row>
    <row r="438" ht="14.25" customHeight="1">
      <c r="A438" s="1187" t="s">
        <v>119</v>
      </c>
      <c r="B438" s="818" t="s">
        <v>47</v>
      </c>
      <c r="C438" s="184"/>
      <c r="D438" s="108"/>
      <c r="E438" s="1"/>
      <c r="F438" s="1"/>
      <c r="G438" s="1"/>
      <c r="H438" s="1"/>
      <c r="I438" s="1"/>
      <c r="J438" s="1"/>
      <c r="K438" s="1"/>
      <c r="L438" s="1"/>
      <c r="M438" s="1"/>
      <c r="N438" s="1"/>
    </row>
    <row r="439" ht="14.25" customHeight="1">
      <c r="A439" s="186" t="s">
        <v>120</v>
      </c>
      <c r="B439" s="1568">
        <v>41041.0</v>
      </c>
      <c r="C439" s="184"/>
      <c r="D439" s="108"/>
      <c r="E439" s="1"/>
      <c r="F439" s="1"/>
      <c r="G439" s="1"/>
      <c r="H439" s="1"/>
      <c r="I439" s="1"/>
      <c r="J439" s="1"/>
      <c r="K439" s="1"/>
      <c r="L439" s="1"/>
      <c r="M439" s="1"/>
      <c r="N439" s="1"/>
    </row>
    <row r="440" ht="14.25" customHeight="1">
      <c r="A440" s="90" t="s">
        <v>50</v>
      </c>
      <c r="B440" s="1568">
        <v>41842.0</v>
      </c>
      <c r="C440" s="184"/>
      <c r="D440" s="108"/>
      <c r="E440" s="1"/>
      <c r="F440" s="1"/>
      <c r="G440" s="1"/>
      <c r="H440" s="1"/>
      <c r="I440" s="1"/>
      <c r="J440" s="1"/>
      <c r="K440" s="1"/>
      <c r="L440" s="1"/>
      <c r="M440" s="1"/>
      <c r="N440" s="1"/>
    </row>
    <row r="441" ht="14.25" customHeight="1">
      <c r="A441" s="1"/>
      <c r="B441" s="107"/>
      <c r="C441" s="184"/>
      <c r="D441" s="108"/>
      <c r="E441" s="1"/>
      <c r="F441" s="1"/>
      <c r="G441" s="1"/>
      <c r="H441" s="1"/>
      <c r="I441" s="1"/>
      <c r="J441" s="1"/>
      <c r="K441" s="1"/>
      <c r="L441" s="1"/>
      <c r="M441" s="1"/>
      <c r="N441" s="1"/>
    </row>
    <row r="442" ht="14.25" customHeight="1">
      <c r="A442" s="1569" t="s">
        <v>1809</v>
      </c>
      <c r="B442" s="18"/>
      <c r="C442" s="18"/>
      <c r="D442" s="19"/>
      <c r="E442" s="1"/>
      <c r="F442" s="1"/>
      <c r="G442" s="1"/>
      <c r="H442" s="1"/>
      <c r="I442" s="1"/>
      <c r="J442" s="1"/>
      <c r="K442" s="1"/>
      <c r="L442" s="1"/>
      <c r="M442" s="1"/>
      <c r="N442" s="1"/>
    </row>
    <row r="443" ht="14.25" customHeight="1">
      <c r="A443" s="105" t="s">
        <v>1</v>
      </c>
      <c r="B443" s="200">
        <v>50.0</v>
      </c>
      <c r="C443" s="56">
        <v>200.0</v>
      </c>
      <c r="D443" s="172" t="s">
        <v>5</v>
      </c>
      <c r="E443" s="1"/>
      <c r="F443" s="1"/>
      <c r="G443" s="1"/>
      <c r="H443" s="1"/>
      <c r="I443" s="1"/>
      <c r="J443" s="1"/>
      <c r="K443" s="1"/>
      <c r="L443" s="1"/>
      <c r="M443" s="1"/>
      <c r="N443" s="1"/>
    </row>
    <row r="444" ht="14.25" customHeight="1">
      <c r="A444" s="68" t="s">
        <v>1810</v>
      </c>
      <c r="B444" s="145">
        <v>10.0</v>
      </c>
      <c r="C444" s="155">
        <f t="shared" ref="C444:C451" si="37">(B444*C443)/B443</f>
        <v>40</v>
      </c>
      <c r="D444" s="137" t="s">
        <v>14</v>
      </c>
      <c r="E444" s="1"/>
      <c r="F444" s="1"/>
      <c r="G444" s="1"/>
      <c r="H444" s="1"/>
      <c r="I444" s="1"/>
      <c r="J444" s="1"/>
      <c r="K444" s="1"/>
      <c r="L444" s="1"/>
      <c r="M444" s="1"/>
      <c r="N444" s="1"/>
    </row>
    <row r="445" ht="14.25" customHeight="1">
      <c r="A445" s="149" t="s">
        <v>1812</v>
      </c>
      <c r="B445" s="152">
        <v>0.5</v>
      </c>
      <c r="C445" s="274">
        <f t="shared" si="37"/>
        <v>2</v>
      </c>
      <c r="D445" s="156" t="s">
        <v>5</v>
      </c>
      <c r="E445" s="1"/>
      <c r="F445" s="1"/>
      <c r="G445" s="1"/>
      <c r="H445" s="1"/>
      <c r="I445" s="1"/>
      <c r="J445" s="1"/>
      <c r="K445" s="1"/>
      <c r="L445" s="1"/>
      <c r="M445" s="1"/>
      <c r="N445" s="1"/>
    </row>
    <row r="446" ht="14.25" customHeight="1">
      <c r="A446" s="119" t="s">
        <v>1813</v>
      </c>
      <c r="B446" s="238">
        <v>2.5</v>
      </c>
      <c r="C446" s="129">
        <f t="shared" si="37"/>
        <v>10</v>
      </c>
      <c r="D446" s="176" t="s">
        <v>5</v>
      </c>
      <c r="E446" s="1"/>
      <c r="F446" s="1"/>
      <c r="G446" s="1"/>
      <c r="H446" s="1"/>
      <c r="I446" s="1"/>
      <c r="J446" s="1"/>
      <c r="K446" s="1"/>
      <c r="L446" s="1"/>
      <c r="M446" s="1"/>
      <c r="N446" s="1"/>
    </row>
    <row r="447" ht="14.25" customHeight="1">
      <c r="A447" s="93" t="s">
        <v>98</v>
      </c>
      <c r="B447" s="195">
        <v>125.0</v>
      </c>
      <c r="C447" s="78">
        <f t="shared" si="37"/>
        <v>500</v>
      </c>
      <c r="D447" s="165" t="s">
        <v>18</v>
      </c>
      <c r="E447" s="1"/>
      <c r="F447" s="1"/>
      <c r="G447" s="1"/>
      <c r="H447" s="1"/>
      <c r="I447" s="1"/>
      <c r="J447" s="1"/>
      <c r="K447" s="1"/>
      <c r="L447" s="1"/>
      <c r="M447" s="1"/>
      <c r="N447" s="1"/>
    </row>
    <row r="448" ht="14.25" customHeight="1">
      <c r="A448" s="93" t="s">
        <v>528</v>
      </c>
      <c r="B448" s="195">
        <v>350.0</v>
      </c>
      <c r="C448" s="78">
        <f t="shared" si="37"/>
        <v>1400</v>
      </c>
      <c r="D448" s="165" t="s">
        <v>18</v>
      </c>
      <c r="E448" s="1"/>
      <c r="F448" s="1"/>
      <c r="G448" s="1"/>
      <c r="H448" s="1"/>
      <c r="I448" s="1"/>
      <c r="J448" s="1"/>
      <c r="K448" s="1"/>
      <c r="L448" s="1"/>
      <c r="M448" s="1"/>
      <c r="N448" s="1"/>
    </row>
    <row r="449" ht="14.25" customHeight="1">
      <c r="A449" s="93" t="s">
        <v>1598</v>
      </c>
      <c r="B449" s="195">
        <v>350.0</v>
      </c>
      <c r="C449" s="78">
        <f t="shared" si="37"/>
        <v>1400</v>
      </c>
      <c r="D449" s="165" t="s">
        <v>18</v>
      </c>
      <c r="E449" s="1"/>
      <c r="F449" s="1"/>
      <c r="G449" s="1"/>
      <c r="H449" s="1"/>
      <c r="I449" s="1"/>
      <c r="J449" s="1"/>
      <c r="K449" s="1"/>
      <c r="L449" s="1"/>
      <c r="M449" s="1"/>
      <c r="N449" s="1"/>
    </row>
    <row r="450" ht="14.25" customHeight="1">
      <c r="A450" s="93" t="s">
        <v>101</v>
      </c>
      <c r="B450" s="195">
        <v>1.0</v>
      </c>
      <c r="C450" s="78">
        <f t="shared" si="37"/>
        <v>4</v>
      </c>
      <c r="D450" s="165" t="s">
        <v>5</v>
      </c>
      <c r="E450" s="1"/>
      <c r="F450" s="1"/>
      <c r="G450" s="1"/>
      <c r="H450" s="1"/>
      <c r="I450" s="1"/>
      <c r="J450" s="1"/>
      <c r="K450" s="1"/>
      <c r="L450" s="1"/>
      <c r="M450" s="1"/>
      <c r="N450" s="1"/>
    </row>
    <row r="451" ht="14.25" customHeight="1">
      <c r="A451" s="138" t="s">
        <v>487</v>
      </c>
      <c r="B451" s="279">
        <v>5.0</v>
      </c>
      <c r="C451" s="146">
        <f t="shared" si="37"/>
        <v>20</v>
      </c>
      <c r="D451" s="281" t="s">
        <v>14</v>
      </c>
      <c r="E451" s="1"/>
      <c r="F451" s="1"/>
      <c r="G451" s="1"/>
      <c r="H451" s="1"/>
      <c r="I451" s="1"/>
      <c r="J451" s="1"/>
      <c r="K451" s="1"/>
      <c r="L451" s="1"/>
      <c r="M451" s="1"/>
      <c r="N451" s="1"/>
    </row>
    <row r="452" ht="14.25" customHeight="1">
      <c r="A452" s="1575" t="s">
        <v>157</v>
      </c>
      <c r="B452" s="1578">
        <f t="shared" ref="B452:C452" si="38">IF(B444&lt;10, B444*3.75,IF(B444&gt;=15, 3.5*B444,(3.75-0.05*(B444-10))*B444))</f>
        <v>37.5</v>
      </c>
      <c r="C452" s="1580">
        <f t="shared" si="38"/>
        <v>140</v>
      </c>
      <c r="D452" s="1581" t="s">
        <v>5</v>
      </c>
      <c r="E452" s="1"/>
      <c r="F452" s="1"/>
      <c r="G452" s="1"/>
      <c r="H452" s="1"/>
      <c r="I452" s="1"/>
      <c r="J452" s="1"/>
      <c r="K452" s="1"/>
      <c r="L452" s="1"/>
      <c r="M452" s="1"/>
      <c r="N452" s="1"/>
    </row>
    <row r="453" ht="14.25" customHeight="1">
      <c r="A453" s="119" t="s">
        <v>31</v>
      </c>
      <c r="B453" s="238">
        <v>600.0</v>
      </c>
      <c r="C453" s="129">
        <f>(B453*C451)/B451</f>
        <v>2400</v>
      </c>
      <c r="D453" s="176" t="s">
        <v>18</v>
      </c>
      <c r="E453" s="1"/>
      <c r="F453" s="1"/>
      <c r="G453" s="1"/>
      <c r="H453" s="1"/>
      <c r="I453" s="1"/>
      <c r="J453" s="1"/>
      <c r="K453" s="1"/>
      <c r="L453" s="1"/>
      <c r="M453" s="1"/>
      <c r="N453" s="1"/>
    </row>
    <row r="454" ht="14.25" customHeight="1">
      <c r="A454" s="93" t="s">
        <v>13</v>
      </c>
      <c r="B454" s="195">
        <v>0.6</v>
      </c>
      <c r="C454" s="78">
        <f t="shared" ref="C454:C456" si="39">(B454*C453)/B453</f>
        <v>2.4</v>
      </c>
      <c r="D454" s="165" t="s">
        <v>14</v>
      </c>
      <c r="E454" s="1"/>
      <c r="F454" s="1"/>
      <c r="G454" s="1"/>
      <c r="H454" s="1"/>
      <c r="I454" s="1"/>
      <c r="J454" s="1"/>
      <c r="K454" s="1"/>
      <c r="L454" s="1"/>
      <c r="M454" s="1"/>
      <c r="N454" s="1"/>
    </row>
    <row r="455" ht="14.25" customHeight="1">
      <c r="A455" s="93" t="s">
        <v>1827</v>
      </c>
      <c r="B455" s="195">
        <v>250.0</v>
      </c>
      <c r="C455" s="78">
        <f t="shared" si="39"/>
        <v>1000</v>
      </c>
      <c r="D455" s="165" t="s">
        <v>82</v>
      </c>
      <c r="E455" s="1"/>
      <c r="F455" s="1"/>
      <c r="G455" s="1"/>
      <c r="H455" s="1"/>
      <c r="I455" s="1"/>
      <c r="J455" s="1"/>
      <c r="K455" s="1"/>
      <c r="L455" s="1"/>
      <c r="M455" s="1"/>
      <c r="N455" s="1"/>
    </row>
    <row r="456" ht="14.25" customHeight="1">
      <c r="A456" s="105" t="s">
        <v>335</v>
      </c>
      <c r="B456" s="200">
        <v>2.0</v>
      </c>
      <c r="C456" s="56">
        <f t="shared" si="39"/>
        <v>8</v>
      </c>
      <c r="D456" s="172" t="s">
        <v>5</v>
      </c>
      <c r="E456" s="1"/>
      <c r="F456" s="1"/>
      <c r="G456" s="1"/>
      <c r="H456" s="1"/>
      <c r="I456" s="1"/>
      <c r="J456" s="1"/>
      <c r="K456" s="1"/>
      <c r="L456" s="1"/>
      <c r="M456" s="1"/>
      <c r="N456" s="1"/>
    </row>
    <row r="457" ht="14.25" customHeight="1">
      <c r="A457" s="1476" t="s">
        <v>119</v>
      </c>
      <c r="B457" s="818" t="s">
        <v>47</v>
      </c>
      <c r="C457" s="184"/>
      <c r="D457" s="108"/>
      <c r="E457" s="1"/>
      <c r="F457" s="1"/>
      <c r="G457" s="1"/>
      <c r="H457" s="1"/>
      <c r="I457" s="1"/>
      <c r="J457" s="1"/>
      <c r="K457" s="1"/>
      <c r="L457" s="1"/>
      <c r="M457" s="1"/>
      <c r="N457" s="1"/>
    </row>
    <row r="458" ht="14.25" customHeight="1">
      <c r="A458" s="1"/>
      <c r="B458" s="107"/>
      <c r="C458" s="184"/>
      <c r="D458" s="108"/>
      <c r="E458" s="1"/>
      <c r="F458" s="1"/>
      <c r="G458" s="1"/>
      <c r="H458" s="1"/>
      <c r="I458" s="1"/>
      <c r="J458" s="1"/>
      <c r="K458" s="1"/>
      <c r="L458" s="1"/>
      <c r="M458" s="1"/>
      <c r="N458" s="1"/>
    </row>
    <row r="459" ht="14.25" customHeight="1">
      <c r="A459" s="203" t="s">
        <v>502</v>
      </c>
      <c r="B459" s="1309">
        <v>42063.0</v>
      </c>
      <c r="C459" s="184"/>
      <c r="D459" s="108"/>
      <c r="E459" s="1"/>
      <c r="F459" s="1"/>
      <c r="G459" s="1"/>
      <c r="H459" s="1"/>
      <c r="I459" s="1"/>
      <c r="J459" s="1"/>
      <c r="K459" s="1"/>
      <c r="L459" s="1"/>
      <c r="M459" s="1"/>
      <c r="N459" s="1"/>
    </row>
    <row r="460" ht="14.25" customHeight="1">
      <c r="A460" s="1310" t="s">
        <v>1486</v>
      </c>
      <c r="B460" s="1309"/>
      <c r="C460" s="184"/>
      <c r="D460" s="108"/>
      <c r="E460" s="1" t="s">
        <v>1831</v>
      </c>
      <c r="F460" s="1"/>
      <c r="G460" s="1"/>
      <c r="H460" s="1"/>
      <c r="I460" s="1"/>
      <c r="J460" s="1"/>
      <c r="K460" s="1"/>
      <c r="L460" s="1"/>
      <c r="M460" s="1"/>
      <c r="N460" s="1"/>
    </row>
    <row r="461" ht="14.25" customHeight="1">
      <c r="A461" s="1"/>
      <c r="B461" s="107"/>
      <c r="C461" s="184"/>
      <c r="D461" s="108"/>
      <c r="E461" s="1"/>
      <c r="F461" s="14"/>
      <c r="G461" s="1"/>
      <c r="H461" s="1"/>
      <c r="I461" s="1"/>
      <c r="J461" s="1"/>
      <c r="K461" s="1"/>
      <c r="L461" s="1"/>
      <c r="M461" s="1"/>
      <c r="N461" s="1"/>
    </row>
    <row r="462" ht="14.25" customHeight="1">
      <c r="A462" s="511" t="s">
        <v>1832</v>
      </c>
      <c r="B462" s="18"/>
      <c r="C462" s="18"/>
      <c r="D462" s="19"/>
      <c r="E462" s="1"/>
      <c r="F462" s="1"/>
      <c r="G462" s="1"/>
      <c r="H462" s="1"/>
      <c r="I462" s="1"/>
      <c r="J462" s="1"/>
      <c r="K462" s="1"/>
      <c r="L462" s="1"/>
      <c r="M462" s="1"/>
      <c r="N462" s="1"/>
    </row>
    <row r="463" ht="14.25" customHeight="1">
      <c r="A463" s="51" t="s">
        <v>1834</v>
      </c>
      <c r="B463" s="190">
        <v>600.0</v>
      </c>
      <c r="C463" s="540">
        <v>650.0</v>
      </c>
      <c r="D463" s="125" t="s">
        <v>9</v>
      </c>
      <c r="E463" s="1"/>
      <c r="F463" s="913" t="s">
        <v>1836</v>
      </c>
      <c r="G463" s="5"/>
      <c r="H463" s="5"/>
      <c r="I463" s="6"/>
      <c r="J463" s="1589" t="s">
        <v>1838</v>
      </c>
      <c r="K463" s="18"/>
      <c r="L463" s="19"/>
      <c r="M463" s="1"/>
      <c r="N463" s="1"/>
    </row>
    <row r="464" ht="14.25" customHeight="1">
      <c r="A464" s="51" t="s">
        <v>1840</v>
      </c>
      <c r="B464" s="190">
        <v>520.0</v>
      </c>
      <c r="C464" s="155">
        <f>(C463*B464)/B463</f>
        <v>563.3333333</v>
      </c>
      <c r="D464" s="125" t="s">
        <v>5</v>
      </c>
      <c r="E464" s="1"/>
      <c r="F464" s="51" t="s">
        <v>1841</v>
      </c>
      <c r="G464" s="53">
        <v>650.0</v>
      </c>
      <c r="H464" s="540">
        <v>650.0</v>
      </c>
      <c r="I464" s="1593" t="s">
        <v>9</v>
      </c>
      <c r="J464" s="1"/>
      <c r="K464" s="1"/>
      <c r="L464" s="1"/>
      <c r="M464" s="1"/>
      <c r="N464" s="1"/>
    </row>
    <row r="465" ht="14.25" customHeight="1">
      <c r="A465" s="68" t="s">
        <v>1136</v>
      </c>
      <c r="B465" s="145">
        <v>20.0</v>
      </c>
      <c r="C465" s="155">
        <f t="shared" ref="C465:C469" si="40">(B465*C464)/B464</f>
        <v>21.66666667</v>
      </c>
      <c r="D465" s="137" t="s">
        <v>14</v>
      </c>
      <c r="E465" s="1"/>
      <c r="F465" s="51" t="s">
        <v>1840</v>
      </c>
      <c r="G465" s="53">
        <v>52.0</v>
      </c>
      <c r="H465" s="1193">
        <f t="shared" ref="H465:H468" si="41">(G465*H464)/G464</f>
        <v>52</v>
      </c>
      <c r="I465" s="1593" t="s">
        <v>5</v>
      </c>
      <c r="J465" s="1"/>
      <c r="K465" s="1"/>
      <c r="L465" s="1"/>
      <c r="M465" s="1"/>
      <c r="N465" s="1"/>
    </row>
    <row r="466" ht="19.5" customHeight="1">
      <c r="A466" s="93" t="s">
        <v>1161</v>
      </c>
      <c r="B466" s="195">
        <v>22.0</v>
      </c>
      <c r="C466" s="78">
        <f t="shared" si="40"/>
        <v>23.83333333</v>
      </c>
      <c r="D466" s="165" t="s">
        <v>14</v>
      </c>
      <c r="E466" s="1"/>
      <c r="F466" s="68" t="s">
        <v>1136</v>
      </c>
      <c r="G466" s="210">
        <v>20.0</v>
      </c>
      <c r="H466" s="1193">
        <f t="shared" si="41"/>
        <v>20</v>
      </c>
      <c r="I466" s="1157" t="s">
        <v>14</v>
      </c>
      <c r="J466" s="1"/>
      <c r="K466" s="1"/>
      <c r="L466" s="1"/>
      <c r="M466" s="1"/>
      <c r="N466" s="1"/>
    </row>
    <row r="467" ht="15.75" customHeight="1">
      <c r="A467" s="93" t="s">
        <v>59</v>
      </c>
      <c r="B467" s="195">
        <v>8.0</v>
      </c>
      <c r="C467" s="78">
        <f t="shared" si="40"/>
        <v>8.666666667</v>
      </c>
      <c r="D467" s="165" t="s">
        <v>5</v>
      </c>
      <c r="E467" s="1"/>
      <c r="F467" s="93" t="s">
        <v>1161</v>
      </c>
      <c r="G467" s="247">
        <v>22.0</v>
      </c>
      <c r="H467" s="1420">
        <f t="shared" si="41"/>
        <v>22</v>
      </c>
      <c r="I467" s="1158" t="s">
        <v>14</v>
      </c>
      <c r="J467" s="1"/>
      <c r="K467" s="1"/>
      <c r="L467" s="1"/>
      <c r="M467" s="1"/>
      <c r="N467" s="1"/>
    </row>
    <row r="468" ht="14.25" customHeight="1">
      <c r="A468" s="93" t="s">
        <v>31</v>
      </c>
      <c r="B468" s="195">
        <v>840.0</v>
      </c>
      <c r="C468" s="78">
        <f t="shared" si="40"/>
        <v>910</v>
      </c>
      <c r="D468" s="165" t="s">
        <v>18</v>
      </c>
      <c r="E468" s="1"/>
      <c r="F468" s="93" t="s">
        <v>59</v>
      </c>
      <c r="G468" s="247">
        <v>8.0</v>
      </c>
      <c r="H468" s="1420">
        <f t="shared" si="41"/>
        <v>8</v>
      </c>
      <c r="I468" s="1158" t="s">
        <v>5</v>
      </c>
      <c r="J468" s="1"/>
      <c r="K468" s="1"/>
      <c r="L468" s="1"/>
      <c r="M468" s="1"/>
      <c r="N468" s="1"/>
    </row>
    <row r="469" ht="14.25" customHeight="1">
      <c r="A469" s="93" t="s">
        <v>13</v>
      </c>
      <c r="B469" s="195">
        <v>500.0</v>
      </c>
      <c r="C469" s="78">
        <f t="shared" si="40"/>
        <v>541.6666667</v>
      </c>
      <c r="D469" s="165" t="s">
        <v>18</v>
      </c>
      <c r="E469" s="1"/>
      <c r="F469" s="93" t="s">
        <v>31</v>
      </c>
      <c r="G469" s="247">
        <v>840.0</v>
      </c>
      <c r="H469" s="78">
        <f t="shared" ref="H469:H470" si="42">(G469*H467)/G467</f>
        <v>840</v>
      </c>
      <c r="I469" s="1158" t="s">
        <v>18</v>
      </c>
      <c r="J469" s="1"/>
      <c r="K469" s="1"/>
      <c r="L469" s="1"/>
      <c r="M469" s="1"/>
      <c r="N469" s="1"/>
    </row>
    <row r="470" ht="14.25" customHeight="1">
      <c r="A470" s="93" t="s">
        <v>1169</v>
      </c>
      <c r="B470" s="195">
        <v>3.0</v>
      </c>
      <c r="C470" s="78">
        <f>(B470*C468)/B468</f>
        <v>3.25</v>
      </c>
      <c r="D470" s="165" t="s">
        <v>14</v>
      </c>
      <c r="E470" s="1"/>
      <c r="F470" s="93" t="s">
        <v>13</v>
      </c>
      <c r="G470" s="247">
        <v>500.0</v>
      </c>
      <c r="H470" s="78">
        <f t="shared" si="42"/>
        <v>500</v>
      </c>
      <c r="I470" s="1158" t="s">
        <v>18</v>
      </c>
      <c r="J470" s="1"/>
      <c r="K470" s="1"/>
      <c r="L470" s="1"/>
      <c r="M470" s="1"/>
      <c r="N470" s="1"/>
    </row>
    <row r="471" ht="14.25" customHeight="1">
      <c r="A471" s="93" t="s">
        <v>114</v>
      </c>
      <c r="B471" s="195">
        <v>1.5</v>
      </c>
      <c r="C471" s="78">
        <f t="shared" ref="C471:C475" si="43">(B471*C470)/B470</f>
        <v>1.625</v>
      </c>
      <c r="D471" s="165" t="s">
        <v>5</v>
      </c>
      <c r="E471" s="1"/>
      <c r="F471" s="93" t="s">
        <v>1169</v>
      </c>
      <c r="G471" s="247">
        <v>3.0</v>
      </c>
      <c r="H471" s="78">
        <f t="shared" ref="H471:H476" si="44">(G471*H470)/G470</f>
        <v>3</v>
      </c>
      <c r="I471" s="1158" t="s">
        <v>14</v>
      </c>
      <c r="J471" s="1"/>
      <c r="K471" s="1"/>
      <c r="L471" s="1"/>
      <c r="M471" s="1"/>
      <c r="N471" s="1"/>
    </row>
    <row r="472" ht="14.25" customHeight="1">
      <c r="A472" s="93" t="s">
        <v>39</v>
      </c>
      <c r="B472" s="195">
        <v>200.0</v>
      </c>
      <c r="C472" s="78">
        <f t="shared" si="43"/>
        <v>216.6666667</v>
      </c>
      <c r="D472" s="165" t="s">
        <v>18</v>
      </c>
      <c r="E472" s="1"/>
      <c r="F472" s="93" t="s">
        <v>114</v>
      </c>
      <c r="G472" s="247">
        <v>1.5</v>
      </c>
      <c r="H472" s="521">
        <f t="shared" si="44"/>
        <v>1.5</v>
      </c>
      <c r="I472" s="1158" t="s">
        <v>5</v>
      </c>
      <c r="J472" s="1"/>
      <c r="K472" s="1"/>
      <c r="L472" s="1"/>
      <c r="M472" s="1"/>
      <c r="N472" s="1"/>
    </row>
    <row r="473" ht="14.25" customHeight="1">
      <c r="A473" s="93" t="s">
        <v>149</v>
      </c>
      <c r="B473" s="195">
        <v>500.0</v>
      </c>
      <c r="C473" s="78">
        <f t="shared" si="43"/>
        <v>541.6666667</v>
      </c>
      <c r="D473" s="165" t="s">
        <v>18</v>
      </c>
      <c r="E473" s="1"/>
      <c r="F473" s="93" t="s">
        <v>39</v>
      </c>
      <c r="G473" s="247">
        <v>200.0</v>
      </c>
      <c r="H473" s="78">
        <f t="shared" si="44"/>
        <v>200</v>
      </c>
      <c r="I473" s="1158" t="s">
        <v>18</v>
      </c>
      <c r="J473" s="1"/>
      <c r="K473" s="1"/>
      <c r="L473" s="1"/>
      <c r="M473" s="1"/>
      <c r="N473" s="1"/>
    </row>
    <row r="474" ht="14.25" customHeight="1">
      <c r="A474" s="93" t="s">
        <v>1318</v>
      </c>
      <c r="B474" s="195">
        <v>30.0</v>
      </c>
      <c r="C474" s="78">
        <f t="shared" si="43"/>
        <v>32.5</v>
      </c>
      <c r="D474" s="165" t="s">
        <v>18</v>
      </c>
      <c r="E474" s="1"/>
      <c r="F474" s="93" t="s">
        <v>149</v>
      </c>
      <c r="G474" s="247">
        <v>500.0</v>
      </c>
      <c r="H474" s="78">
        <f t="shared" si="44"/>
        <v>500</v>
      </c>
      <c r="I474" s="1158" t="s">
        <v>18</v>
      </c>
      <c r="J474" s="1"/>
      <c r="K474" s="1"/>
      <c r="L474" s="1"/>
      <c r="M474" s="1"/>
      <c r="N474" s="1"/>
    </row>
    <row r="475" ht="14.25" customHeight="1">
      <c r="A475" s="173" t="s">
        <v>342</v>
      </c>
      <c r="B475" s="275">
        <v>2.0</v>
      </c>
      <c r="C475" s="546">
        <f t="shared" si="43"/>
        <v>2.166666667</v>
      </c>
      <c r="D475" s="278" t="s">
        <v>5</v>
      </c>
      <c r="E475" s="1"/>
      <c r="F475" s="93" t="s">
        <v>1318</v>
      </c>
      <c r="G475" s="247">
        <v>60.0</v>
      </c>
      <c r="H475" s="78">
        <f t="shared" si="44"/>
        <v>60</v>
      </c>
      <c r="I475" s="1158" t="s">
        <v>18</v>
      </c>
      <c r="J475" s="1"/>
      <c r="K475" s="1"/>
      <c r="L475" s="1"/>
      <c r="M475" s="1"/>
      <c r="N475" s="1"/>
    </row>
    <row r="476" ht="14.25" customHeight="1">
      <c r="A476" s="1476" t="s">
        <v>119</v>
      </c>
      <c r="B476" s="818" t="s">
        <v>47</v>
      </c>
      <c r="C476" s="184"/>
      <c r="D476" s="108"/>
      <c r="E476" s="1"/>
      <c r="F476" s="173" t="s">
        <v>342</v>
      </c>
      <c r="G476" s="545">
        <v>2.0</v>
      </c>
      <c r="H476" s="1550">
        <f t="shared" si="44"/>
        <v>2</v>
      </c>
      <c r="I476" s="1610" t="s">
        <v>5</v>
      </c>
      <c r="J476" s="1"/>
      <c r="K476" s="1"/>
      <c r="L476" s="1"/>
      <c r="M476" s="1"/>
      <c r="N476" s="1"/>
    </row>
    <row r="477" ht="14.25" customHeight="1">
      <c r="A477" s="1"/>
      <c r="B477" s="107"/>
      <c r="C477" s="184"/>
      <c r="D477" s="108"/>
      <c r="E477" s="1"/>
      <c r="F477" s="90" t="s">
        <v>120</v>
      </c>
      <c r="G477" s="1188">
        <v>43585.0</v>
      </c>
      <c r="H477" s="1"/>
      <c r="I477" s="1"/>
      <c r="J477" s="1"/>
      <c r="K477" s="1"/>
      <c r="L477" s="1"/>
      <c r="M477" s="1"/>
      <c r="N477" s="1"/>
    </row>
    <row r="478" ht="14.25" customHeight="1">
      <c r="A478" s="90" t="s">
        <v>120</v>
      </c>
      <c r="B478" s="1188">
        <v>42080.0</v>
      </c>
      <c r="C478" s="184"/>
      <c r="D478" s="108"/>
      <c r="E478" s="1"/>
      <c r="F478" s="305" t="s">
        <v>50</v>
      </c>
      <c r="G478" s="1188">
        <v>43615.0</v>
      </c>
      <c r="H478" s="1"/>
      <c r="I478" s="1"/>
      <c r="J478" s="1"/>
      <c r="K478" s="1"/>
      <c r="L478" s="1"/>
      <c r="M478" s="1"/>
      <c r="N478" s="1"/>
    </row>
    <row r="479" ht="14.25" customHeight="1">
      <c r="A479" s="305" t="s">
        <v>50</v>
      </c>
      <c r="B479" s="1188">
        <v>42167.0</v>
      </c>
      <c r="C479" s="184"/>
      <c r="D479" s="108"/>
      <c r="E479" s="1"/>
      <c r="F479" s="1"/>
      <c r="G479" s="1"/>
      <c r="H479" s="1"/>
      <c r="I479" s="1"/>
      <c r="J479" s="1"/>
      <c r="K479" s="1"/>
      <c r="L479" s="1"/>
      <c r="M479" s="1"/>
      <c r="N479" s="1"/>
    </row>
    <row r="480" ht="14.25" customHeight="1">
      <c r="A480" s="1"/>
      <c r="B480" s="107"/>
      <c r="C480" s="184"/>
      <c r="D480" s="108"/>
      <c r="E480" s="1"/>
      <c r="F480" s="1"/>
      <c r="G480" s="1"/>
      <c r="H480" s="1"/>
      <c r="I480" s="1"/>
      <c r="J480" s="1"/>
      <c r="K480" s="1"/>
      <c r="L480" s="1"/>
      <c r="M480" s="1"/>
      <c r="N480" s="1"/>
    </row>
    <row r="481" ht="14.25" customHeight="1">
      <c r="A481" s="511" t="s">
        <v>775</v>
      </c>
      <c r="B481" s="18"/>
      <c r="C481" s="18"/>
      <c r="D481" s="19"/>
      <c r="E481" s="1"/>
      <c r="F481" s="1"/>
      <c r="G481" s="1"/>
      <c r="H481" s="1"/>
      <c r="I481" s="1"/>
      <c r="J481" s="1"/>
      <c r="K481" s="1"/>
      <c r="L481" s="1"/>
      <c r="M481" s="1"/>
      <c r="N481" s="1"/>
    </row>
    <row r="482" ht="14.25" customHeight="1">
      <c r="A482" s="68" t="s">
        <v>1</v>
      </c>
      <c r="B482" s="145">
        <v>32.0</v>
      </c>
      <c r="C482" s="1613">
        <v>90.0</v>
      </c>
      <c r="D482" s="137" t="s">
        <v>5</v>
      </c>
      <c r="E482" s="1"/>
      <c r="F482" s="1"/>
      <c r="G482" s="1"/>
      <c r="H482" s="1"/>
      <c r="I482" s="1"/>
      <c r="J482" s="1"/>
      <c r="K482" s="1"/>
      <c r="L482" s="1"/>
      <c r="M482" s="1"/>
      <c r="N482" s="1"/>
    </row>
    <row r="483" ht="14.25" customHeight="1">
      <c r="A483" s="93" t="s">
        <v>1159</v>
      </c>
      <c r="B483" s="195">
        <v>10.0</v>
      </c>
      <c r="C483" s="201">
        <f t="shared" ref="C483:C492" si="45">(B483*C482)/B482</f>
        <v>28.125</v>
      </c>
      <c r="D483" s="165" t="s">
        <v>366</v>
      </c>
      <c r="E483" s="1"/>
      <c r="F483" s="1"/>
      <c r="G483" s="1"/>
      <c r="H483" s="1"/>
      <c r="I483" s="1"/>
      <c r="J483" s="1"/>
      <c r="K483" s="1"/>
      <c r="L483" s="1"/>
      <c r="M483" s="1"/>
      <c r="N483" s="1"/>
    </row>
    <row r="484" ht="14.25" customHeight="1">
      <c r="A484" s="93" t="s">
        <v>1161</v>
      </c>
      <c r="B484" s="195">
        <v>5.0</v>
      </c>
      <c r="C484" s="201">
        <f t="shared" si="45"/>
        <v>14.0625</v>
      </c>
      <c r="D484" s="165" t="s">
        <v>14</v>
      </c>
      <c r="E484" s="1"/>
      <c r="F484" s="1"/>
      <c r="G484" s="1"/>
      <c r="H484" s="1"/>
      <c r="I484" s="1"/>
      <c r="J484" s="1"/>
      <c r="K484" s="1"/>
      <c r="L484" s="1"/>
      <c r="M484" s="1"/>
      <c r="N484" s="1"/>
    </row>
    <row r="485" ht="14.25" customHeight="1">
      <c r="A485" s="93" t="s">
        <v>491</v>
      </c>
      <c r="B485" s="195">
        <v>2.0</v>
      </c>
      <c r="C485" s="201">
        <f t="shared" si="45"/>
        <v>5.625</v>
      </c>
      <c r="D485" s="165" t="s">
        <v>5</v>
      </c>
      <c r="E485" s="1"/>
      <c r="F485" s="1"/>
      <c r="G485" s="1"/>
      <c r="H485" s="1"/>
      <c r="I485" s="1"/>
      <c r="J485" s="1"/>
      <c r="K485" s="1"/>
      <c r="L485" s="1"/>
      <c r="M485" s="1"/>
      <c r="N485" s="1"/>
    </row>
    <row r="486" ht="14.25" customHeight="1">
      <c r="A486" s="93" t="s">
        <v>98</v>
      </c>
      <c r="B486" s="195">
        <v>200.0</v>
      </c>
      <c r="C486" s="201">
        <f t="shared" si="45"/>
        <v>562.5</v>
      </c>
      <c r="D486" s="165" t="s">
        <v>18</v>
      </c>
      <c r="E486" s="1"/>
      <c r="F486" s="1"/>
      <c r="G486" s="1"/>
      <c r="H486" s="1"/>
      <c r="I486" s="1"/>
      <c r="J486" s="1"/>
      <c r="K486" s="1"/>
      <c r="L486" s="1"/>
      <c r="M486" s="1"/>
      <c r="N486" s="1"/>
    </row>
    <row r="487" ht="14.25" customHeight="1">
      <c r="A487" s="93" t="s">
        <v>1162</v>
      </c>
      <c r="B487" s="195">
        <v>500.0</v>
      </c>
      <c r="C487" s="201">
        <f t="shared" si="45"/>
        <v>1406.25</v>
      </c>
      <c r="D487" s="165" t="s">
        <v>18</v>
      </c>
      <c r="E487" s="1"/>
      <c r="F487" s="1"/>
      <c r="G487" s="1"/>
      <c r="H487" s="1"/>
      <c r="I487" s="1"/>
      <c r="J487" s="1"/>
      <c r="K487" s="1"/>
      <c r="L487" s="1"/>
      <c r="M487" s="1"/>
      <c r="N487" s="1"/>
    </row>
    <row r="488" ht="14.25" customHeight="1">
      <c r="A488" s="93" t="s">
        <v>13</v>
      </c>
      <c r="B488" s="195">
        <v>0.5</v>
      </c>
      <c r="C488" s="201">
        <f t="shared" si="45"/>
        <v>1.40625</v>
      </c>
      <c r="D488" s="165" t="s">
        <v>14</v>
      </c>
      <c r="E488" s="1"/>
      <c r="F488" s="1"/>
      <c r="G488" s="1"/>
      <c r="H488" s="1"/>
      <c r="I488" s="1"/>
      <c r="J488" s="1"/>
      <c r="K488" s="1"/>
      <c r="L488" s="1"/>
      <c r="M488" s="1"/>
      <c r="N488" s="1"/>
    </row>
    <row r="489" ht="14.25" customHeight="1">
      <c r="A489" s="93" t="s">
        <v>31</v>
      </c>
      <c r="B489" s="195">
        <v>550.0</v>
      </c>
      <c r="C489" s="201">
        <f t="shared" si="45"/>
        <v>1546.875</v>
      </c>
      <c r="D489" s="165" t="s">
        <v>18</v>
      </c>
      <c r="E489" s="1"/>
      <c r="F489" s="1"/>
      <c r="G489" s="1"/>
      <c r="H489" s="1"/>
      <c r="I489" s="1"/>
      <c r="J489" s="1"/>
      <c r="K489" s="1"/>
      <c r="L489" s="1"/>
      <c r="M489" s="1"/>
      <c r="N489" s="1"/>
    </row>
    <row r="490" ht="14.25" customHeight="1">
      <c r="A490" s="93" t="s">
        <v>1163</v>
      </c>
      <c r="B490" s="195">
        <v>3.0</v>
      </c>
      <c r="C490" s="201">
        <f t="shared" si="45"/>
        <v>8.4375</v>
      </c>
      <c r="D490" s="165" t="s">
        <v>366</v>
      </c>
      <c r="E490" s="1"/>
      <c r="F490" s="1"/>
      <c r="G490" s="1"/>
      <c r="H490" s="1"/>
      <c r="I490" s="1"/>
      <c r="J490" s="1"/>
      <c r="K490" s="1"/>
      <c r="L490" s="1"/>
      <c r="M490" s="1"/>
      <c r="N490" s="1"/>
    </row>
    <row r="491" ht="14.25" customHeight="1">
      <c r="A491" s="93" t="s">
        <v>114</v>
      </c>
      <c r="B491" s="195">
        <v>0.2</v>
      </c>
      <c r="C491" s="201">
        <f t="shared" si="45"/>
        <v>0.5625</v>
      </c>
      <c r="D491" s="165" t="s">
        <v>5</v>
      </c>
      <c r="E491" s="1"/>
      <c r="F491" s="1"/>
      <c r="G491" s="1"/>
      <c r="H491" s="1"/>
      <c r="I491" s="1"/>
      <c r="J491" s="1"/>
      <c r="K491" s="1"/>
      <c r="L491" s="1"/>
      <c r="M491" s="1"/>
      <c r="N491" s="1"/>
    </row>
    <row r="492" ht="14.25" customHeight="1">
      <c r="A492" s="105" t="s">
        <v>167</v>
      </c>
      <c r="B492" s="200">
        <v>0.5</v>
      </c>
      <c r="C492" s="257">
        <f t="shared" si="45"/>
        <v>1.40625</v>
      </c>
      <c r="D492" s="172" t="s">
        <v>5</v>
      </c>
      <c r="E492" s="1"/>
      <c r="F492" s="1"/>
      <c r="G492" s="1"/>
      <c r="H492" s="1"/>
      <c r="I492" s="1"/>
      <c r="J492" s="1"/>
      <c r="K492" s="1"/>
      <c r="L492" s="1"/>
      <c r="M492" s="1"/>
      <c r="N492" s="1"/>
    </row>
    <row r="493" ht="14.25" customHeight="1">
      <c r="A493" s="1187" t="s">
        <v>119</v>
      </c>
      <c r="B493" s="818" t="s">
        <v>47</v>
      </c>
      <c r="C493" s="184"/>
      <c r="D493" s="108"/>
      <c r="E493" s="1"/>
      <c r="F493" s="1"/>
      <c r="G493" s="1"/>
      <c r="H493" s="1"/>
      <c r="I493" s="1"/>
      <c r="J493" s="1"/>
      <c r="K493" s="1"/>
      <c r="L493" s="1"/>
      <c r="M493" s="1"/>
      <c r="N493" s="1"/>
    </row>
    <row r="494" ht="14.25" customHeight="1">
      <c r="A494" s="1"/>
      <c r="B494" s="107"/>
      <c r="C494" s="184"/>
      <c r="D494" s="108"/>
      <c r="E494" s="1"/>
      <c r="F494" s="1"/>
      <c r="G494" s="1"/>
      <c r="H494" s="1"/>
      <c r="I494" s="1"/>
      <c r="J494" s="1"/>
      <c r="K494" s="1"/>
      <c r="L494" s="1"/>
      <c r="M494" s="1"/>
      <c r="N494" s="1"/>
    </row>
    <row r="495" ht="14.25" customHeight="1">
      <c r="A495" s="90" t="s">
        <v>120</v>
      </c>
      <c r="B495" s="187">
        <v>42682.0</v>
      </c>
      <c r="C495" s="184"/>
      <c r="D495" s="108"/>
      <c r="E495" s="1"/>
      <c r="F495" s="1"/>
      <c r="G495" s="1"/>
      <c r="H495" s="1"/>
      <c r="I495" s="1"/>
      <c r="J495" s="1"/>
      <c r="K495" s="1"/>
      <c r="L495" s="1"/>
      <c r="M495" s="1"/>
      <c r="N495" s="1"/>
    </row>
    <row r="496" ht="14.25" customHeight="1">
      <c r="A496" s="305" t="s">
        <v>50</v>
      </c>
      <c r="B496" s="187">
        <v>42682.0</v>
      </c>
      <c r="C496" s="184"/>
      <c r="D496" s="108"/>
      <c r="E496" s="1"/>
      <c r="F496" s="1"/>
      <c r="G496" s="1"/>
      <c r="H496" s="1"/>
      <c r="I496" s="1"/>
      <c r="J496" s="1"/>
      <c r="K496" s="1"/>
      <c r="L496" s="1"/>
      <c r="M496" s="1"/>
      <c r="N496" s="1"/>
    </row>
    <row r="497" ht="15.0" customHeight="1">
      <c r="A497" s="1"/>
      <c r="B497" s="107"/>
      <c r="C497" s="184"/>
      <c r="D497" s="108"/>
      <c r="E497" s="1"/>
      <c r="F497" s="1"/>
      <c r="G497" s="1"/>
      <c r="H497" s="1"/>
      <c r="I497" s="1"/>
      <c r="J497" s="1"/>
      <c r="K497" s="1"/>
      <c r="L497" s="1"/>
      <c r="M497" s="1"/>
      <c r="N497" s="1"/>
    </row>
    <row r="498" ht="15.0" customHeight="1">
      <c r="A498" s="1619" t="s">
        <v>731</v>
      </c>
      <c r="B498" s="1621"/>
      <c r="C498" s="1622"/>
      <c r="D498" s="1623"/>
      <c r="E498" s="1"/>
      <c r="F498" s="1"/>
      <c r="G498" s="1"/>
      <c r="H498" s="1"/>
      <c r="I498" s="1"/>
      <c r="J498" s="1"/>
      <c r="K498" s="1"/>
      <c r="L498" s="1"/>
      <c r="M498" s="1"/>
      <c r="N498" s="1"/>
    </row>
    <row r="499" ht="14.25" customHeight="1">
      <c r="A499" s="417" t="s">
        <v>1</v>
      </c>
      <c r="B499" s="418">
        <v>120.0</v>
      </c>
      <c r="C499" s="542">
        <v>65.0</v>
      </c>
      <c r="D499" s="420" t="s">
        <v>190</v>
      </c>
      <c r="E499" s="1"/>
      <c r="F499" s="1"/>
      <c r="G499" s="1"/>
      <c r="H499" s="1"/>
      <c r="I499" s="1"/>
      <c r="J499" s="1"/>
      <c r="K499" s="1"/>
      <c r="L499" s="1"/>
      <c r="M499" s="1"/>
      <c r="N499" s="1"/>
    </row>
    <row r="500" ht="15.0" customHeight="1">
      <c r="A500" s="68" t="s">
        <v>15</v>
      </c>
      <c r="B500" s="1202">
        <v>65.0</v>
      </c>
      <c r="C500" s="1204">
        <f t="shared" ref="C500:C514" si="46">(B500*C499)/B499</f>
        <v>35.20833333</v>
      </c>
      <c r="D500" s="137" t="s">
        <v>5</v>
      </c>
      <c r="E500" s="1"/>
      <c r="F500" s="1"/>
      <c r="G500" s="1"/>
      <c r="H500" s="1"/>
      <c r="I500" s="1"/>
      <c r="J500" s="1"/>
      <c r="K500" s="1"/>
      <c r="L500" s="1"/>
      <c r="M500" s="1"/>
      <c r="N500" s="1"/>
    </row>
    <row r="501" ht="15.75" customHeight="1">
      <c r="A501" s="119" t="s">
        <v>1699</v>
      </c>
      <c r="B501" s="1209">
        <v>50.0</v>
      </c>
      <c r="C501" s="1211">
        <f t="shared" si="46"/>
        <v>27.08333333</v>
      </c>
      <c r="D501" s="176" t="s">
        <v>5</v>
      </c>
      <c r="E501" s="1"/>
      <c r="F501" s="1"/>
      <c r="G501" s="1"/>
      <c r="H501" s="1"/>
      <c r="I501" s="1"/>
      <c r="J501" s="1"/>
      <c r="K501" s="1"/>
      <c r="L501" s="1"/>
      <c r="M501" s="1"/>
      <c r="N501" s="1"/>
    </row>
    <row r="502" ht="14.25" customHeight="1">
      <c r="A502" s="93" t="s">
        <v>1136</v>
      </c>
      <c r="B502" s="1213">
        <v>4.0</v>
      </c>
      <c r="C502" s="1214">
        <f t="shared" si="46"/>
        <v>2.166666667</v>
      </c>
      <c r="D502" s="165" t="s">
        <v>366</v>
      </c>
      <c r="E502" s="1"/>
      <c r="F502" s="1"/>
      <c r="G502" s="1"/>
      <c r="H502" s="1"/>
      <c r="I502" s="1"/>
      <c r="J502" s="1"/>
      <c r="K502" s="1"/>
      <c r="L502" s="1"/>
      <c r="M502" s="1"/>
      <c r="N502" s="1"/>
    </row>
    <row r="503" ht="14.25" customHeight="1">
      <c r="A503" s="93" t="s">
        <v>1853</v>
      </c>
      <c r="B503" s="1213">
        <v>0.8</v>
      </c>
      <c r="C503" s="1214">
        <f t="shared" si="46"/>
        <v>0.4333333333</v>
      </c>
      <c r="D503" s="165" t="s">
        <v>5</v>
      </c>
      <c r="E503" s="1"/>
      <c r="F503" s="1"/>
      <c r="G503" s="1"/>
      <c r="H503" s="1"/>
      <c r="I503" s="1"/>
      <c r="J503" s="1"/>
      <c r="K503" s="1"/>
      <c r="L503" s="1"/>
      <c r="M503" s="1"/>
      <c r="N503" s="1"/>
    </row>
    <row r="504" ht="14.25" customHeight="1">
      <c r="A504" s="138" t="s">
        <v>13</v>
      </c>
      <c r="B504" s="351">
        <v>20.0</v>
      </c>
      <c r="C504" s="1229">
        <f t="shared" si="46"/>
        <v>10.83333333</v>
      </c>
      <c r="D504" s="281" t="s">
        <v>366</v>
      </c>
      <c r="E504" s="1"/>
      <c r="F504" s="1"/>
      <c r="G504" s="1"/>
      <c r="H504" s="1"/>
      <c r="I504" s="1"/>
      <c r="J504" s="1"/>
      <c r="K504" s="1"/>
      <c r="L504" s="1"/>
      <c r="M504" s="1"/>
      <c r="N504" s="1"/>
    </row>
    <row r="505" ht="14.25" customHeight="1">
      <c r="A505" s="68" t="s">
        <v>1856</v>
      </c>
      <c r="B505" s="145">
        <v>20.0</v>
      </c>
      <c r="C505" s="155">
        <f t="shared" si="46"/>
        <v>10.83333333</v>
      </c>
      <c r="D505" s="137" t="s">
        <v>366</v>
      </c>
      <c r="E505" s="1"/>
      <c r="F505" s="1"/>
      <c r="G505" s="1"/>
      <c r="H505" s="1"/>
      <c r="I505" s="1"/>
      <c r="J505" s="1"/>
      <c r="K505" s="1"/>
      <c r="L505" s="1"/>
      <c r="M505" s="1"/>
      <c r="N505" s="1"/>
    </row>
    <row r="506" ht="14.25" customHeight="1">
      <c r="A506" s="93" t="s">
        <v>1858</v>
      </c>
      <c r="B506" s="195">
        <v>15.0</v>
      </c>
      <c r="C506" s="78">
        <f t="shared" si="46"/>
        <v>8.125</v>
      </c>
      <c r="D506" s="165" t="s">
        <v>366</v>
      </c>
      <c r="E506" s="1"/>
      <c r="F506" s="1"/>
      <c r="G506" s="1"/>
      <c r="H506" s="1"/>
      <c r="I506" s="1"/>
      <c r="J506" s="1"/>
      <c r="K506" s="1"/>
      <c r="L506" s="1"/>
      <c r="M506" s="1"/>
      <c r="N506" s="1"/>
    </row>
    <row r="507" ht="14.25" customHeight="1">
      <c r="A507" s="93" t="s">
        <v>1861</v>
      </c>
      <c r="B507" s="195">
        <v>8.0</v>
      </c>
      <c r="C507" s="78">
        <f t="shared" si="46"/>
        <v>4.333333333</v>
      </c>
      <c r="D507" s="165" t="s">
        <v>366</v>
      </c>
      <c r="E507" s="1"/>
      <c r="F507" s="1"/>
      <c r="G507" s="1"/>
      <c r="H507" s="1"/>
      <c r="I507" s="1"/>
      <c r="J507" s="1"/>
      <c r="K507" s="1"/>
      <c r="L507" s="1"/>
      <c r="M507" s="1"/>
      <c r="N507" s="1"/>
    </row>
    <row r="508" ht="14.25" customHeight="1">
      <c r="A508" s="93" t="s">
        <v>1862</v>
      </c>
      <c r="B508" s="195">
        <v>13.0</v>
      </c>
      <c r="C508" s="78">
        <f t="shared" si="46"/>
        <v>7.041666667</v>
      </c>
      <c r="D508" s="165" t="s">
        <v>14</v>
      </c>
      <c r="E508" s="1"/>
      <c r="F508" s="1"/>
      <c r="G508" s="1"/>
      <c r="H508" s="1"/>
      <c r="I508" s="1"/>
      <c r="J508" s="1"/>
      <c r="K508" s="1"/>
      <c r="L508" s="1"/>
      <c r="M508" s="1"/>
      <c r="N508" s="1"/>
    </row>
    <row r="509" ht="14.25" customHeight="1">
      <c r="A509" s="1630" t="s">
        <v>1863</v>
      </c>
      <c r="B509" s="200">
        <v>10.0</v>
      </c>
      <c r="C509" s="56">
        <f t="shared" si="46"/>
        <v>5.416666667</v>
      </c>
      <c r="D509" s="172" t="s">
        <v>14</v>
      </c>
      <c r="E509" s="1"/>
      <c r="F509" s="1"/>
      <c r="G509" s="1"/>
      <c r="H509" s="1"/>
      <c r="I509" s="1"/>
      <c r="J509" s="1"/>
      <c r="K509" s="1"/>
      <c r="L509" s="1"/>
      <c r="M509" s="1"/>
      <c r="N509" s="1"/>
    </row>
    <row r="510" ht="14.25" customHeight="1">
      <c r="A510" s="119" t="s">
        <v>743</v>
      </c>
      <c r="B510" s="238">
        <v>1.0</v>
      </c>
      <c r="C510" s="129">
        <f t="shared" si="46"/>
        <v>0.5416666667</v>
      </c>
      <c r="D510" s="176" t="s">
        <v>190</v>
      </c>
      <c r="E510" s="1"/>
      <c r="F510" s="1"/>
      <c r="G510" s="1"/>
      <c r="H510" s="1"/>
      <c r="I510" s="1"/>
      <c r="J510" s="1"/>
      <c r="K510" s="1"/>
      <c r="L510" s="1"/>
      <c r="M510" s="1"/>
      <c r="N510" s="1"/>
    </row>
    <row r="511" ht="14.25" customHeight="1">
      <c r="A511" s="93" t="s">
        <v>1709</v>
      </c>
      <c r="B511" s="195">
        <v>400.0</v>
      </c>
      <c r="C511" s="78">
        <f t="shared" si="46"/>
        <v>216.6666667</v>
      </c>
      <c r="D511" s="165" t="s">
        <v>18</v>
      </c>
      <c r="E511" s="1"/>
      <c r="F511" s="1"/>
      <c r="G511" s="1"/>
      <c r="H511" s="1"/>
      <c r="I511" s="1"/>
      <c r="J511" s="1"/>
      <c r="K511" s="1"/>
      <c r="L511" s="1"/>
      <c r="M511" s="1"/>
      <c r="N511" s="1"/>
    </row>
    <row r="512" ht="14.25" customHeight="1">
      <c r="A512" s="93" t="s">
        <v>1710</v>
      </c>
      <c r="B512" s="195">
        <v>2.0</v>
      </c>
      <c r="C512" s="78">
        <f t="shared" si="46"/>
        <v>1.083333333</v>
      </c>
      <c r="D512" s="165" t="s">
        <v>5</v>
      </c>
      <c r="E512" s="1"/>
      <c r="F512" s="1"/>
      <c r="G512" s="1"/>
      <c r="H512" s="1"/>
      <c r="I512" s="1"/>
      <c r="J512" s="1"/>
      <c r="K512" s="1"/>
      <c r="L512" s="1"/>
      <c r="M512" s="1"/>
      <c r="N512" s="1"/>
    </row>
    <row r="513" ht="14.25" customHeight="1">
      <c r="A513" s="105" t="s">
        <v>1711</v>
      </c>
      <c r="B513" s="200">
        <v>2000.0</v>
      </c>
      <c r="C513" s="56">
        <f t="shared" si="46"/>
        <v>1083.333333</v>
      </c>
      <c r="D513" s="172" t="s">
        <v>18</v>
      </c>
      <c r="E513" s="1"/>
      <c r="F513" s="1"/>
      <c r="G513" s="1"/>
      <c r="H513" s="1"/>
      <c r="I513" s="1"/>
      <c r="J513" s="1"/>
      <c r="K513" s="1"/>
      <c r="L513" s="1"/>
      <c r="M513" s="1"/>
      <c r="N513" s="1"/>
    </row>
    <row r="514" ht="14.25" customHeight="1">
      <c r="A514" s="708" t="s">
        <v>16</v>
      </c>
      <c r="B514" s="709">
        <v>25.0</v>
      </c>
      <c r="C514" s="1639">
        <f t="shared" si="46"/>
        <v>13.54166667</v>
      </c>
      <c r="D514" s="457" t="s">
        <v>366</v>
      </c>
      <c r="E514" s="1"/>
      <c r="F514" s="1"/>
      <c r="G514" s="1"/>
      <c r="H514" s="1"/>
      <c r="I514" s="1"/>
      <c r="J514" s="1"/>
      <c r="K514" s="1"/>
      <c r="L514" s="1"/>
      <c r="M514" s="1"/>
      <c r="N514" s="1"/>
    </row>
    <row r="515" ht="14.25" customHeight="1">
      <c r="A515" s="1187" t="s">
        <v>119</v>
      </c>
      <c r="B515" s="818" t="s">
        <v>47</v>
      </c>
      <c r="C515" s="184"/>
      <c r="D515" s="108"/>
      <c r="E515" s="1"/>
      <c r="F515" s="1"/>
      <c r="G515" s="1"/>
      <c r="H515" s="1"/>
      <c r="I515" s="1"/>
      <c r="J515" s="1"/>
      <c r="K515" s="1"/>
      <c r="L515" s="1"/>
      <c r="M515" s="1"/>
      <c r="N515" s="1"/>
    </row>
    <row r="516" ht="14.25" customHeight="1">
      <c r="A516" s="1"/>
      <c r="B516" s="107"/>
      <c r="C516" s="184"/>
      <c r="D516" s="108"/>
      <c r="E516" s="1"/>
      <c r="F516" s="1"/>
      <c r="G516" s="1"/>
      <c r="H516" s="1"/>
      <c r="I516" s="1"/>
      <c r="J516" s="1"/>
      <c r="K516" s="1"/>
      <c r="L516" s="1"/>
      <c r="M516" s="1"/>
      <c r="N516" s="1"/>
    </row>
    <row r="517" ht="14.25" customHeight="1">
      <c r="A517" s="16" t="s">
        <v>827</v>
      </c>
      <c r="B517" s="1642"/>
      <c r="C517" s="1643"/>
      <c r="D517" s="1644"/>
      <c r="E517" s="1"/>
      <c r="F517" s="1"/>
      <c r="G517" s="1"/>
      <c r="H517" s="1"/>
      <c r="I517" s="1"/>
      <c r="J517" s="1"/>
      <c r="K517" s="1"/>
      <c r="L517" s="1"/>
      <c r="M517" s="1"/>
      <c r="N517" s="1"/>
    </row>
    <row r="518" ht="14.25" customHeight="1">
      <c r="A518" s="1646" t="s">
        <v>1054</v>
      </c>
      <c r="B518" s="1648">
        <f>+IF(B519&lt;=10,(5+0.1*B519)*B519, 6*B519)</f>
        <v>60</v>
      </c>
      <c r="C518" s="1649">
        <v>10.0</v>
      </c>
      <c r="D518" s="1650" t="s">
        <v>5</v>
      </c>
      <c r="E518" s="1"/>
      <c r="F518" s="1"/>
      <c r="G518" s="1"/>
      <c r="H518" s="1"/>
      <c r="I518" s="1"/>
      <c r="J518" s="1"/>
      <c r="K518" s="1"/>
      <c r="L518" s="1"/>
      <c r="M518" s="1"/>
      <c r="N518" s="1"/>
    </row>
    <row r="519" ht="14.25" customHeight="1">
      <c r="A519" s="157" t="s">
        <v>1136</v>
      </c>
      <c r="B519" s="244">
        <v>10.0</v>
      </c>
      <c r="C519" s="1335">
        <f t="shared" ref="C519:C522" si="47">(B519*C518)/B518</f>
        <v>1.666666667</v>
      </c>
      <c r="D519" s="1055" t="s">
        <v>14</v>
      </c>
      <c r="E519" s="1"/>
      <c r="F519" s="1"/>
      <c r="G519" s="1"/>
      <c r="H519" s="1"/>
      <c r="I519" s="1"/>
      <c r="J519" s="1"/>
      <c r="K519" s="1"/>
      <c r="L519" s="1"/>
      <c r="M519" s="1"/>
      <c r="N519" s="1"/>
    </row>
    <row r="520" ht="14.25" customHeight="1">
      <c r="A520" s="262" t="s">
        <v>1870</v>
      </c>
      <c r="B520" s="50">
        <v>5.0</v>
      </c>
      <c r="C520" s="1348">
        <f t="shared" si="47"/>
        <v>0.8333333333</v>
      </c>
      <c r="D520" s="793" t="s">
        <v>5</v>
      </c>
      <c r="E520" s="1"/>
      <c r="F520" s="1"/>
      <c r="G520" s="1"/>
      <c r="H520" s="1"/>
      <c r="I520" s="1"/>
      <c r="J520" s="1"/>
      <c r="K520" s="1"/>
      <c r="L520" s="1"/>
      <c r="M520" s="1"/>
      <c r="N520" s="1"/>
    </row>
    <row r="521" ht="14.25" customHeight="1">
      <c r="A521" s="163" t="s">
        <v>13</v>
      </c>
      <c r="B521" s="221">
        <v>16.5</v>
      </c>
      <c r="C521" s="1045">
        <f t="shared" si="47"/>
        <v>2.75</v>
      </c>
      <c r="D521" s="733" t="s">
        <v>14</v>
      </c>
      <c r="E521" s="1"/>
      <c r="F521" s="1"/>
      <c r="G521" s="1"/>
      <c r="H521" s="1"/>
      <c r="I521" s="1"/>
      <c r="J521" s="1"/>
      <c r="K521" s="1"/>
      <c r="L521" s="1"/>
      <c r="M521" s="1"/>
      <c r="N521" s="1"/>
    </row>
    <row r="522" ht="14.25" customHeight="1">
      <c r="A522" s="208" t="s">
        <v>31</v>
      </c>
      <c r="B522" s="236">
        <v>60.0</v>
      </c>
      <c r="C522" s="1418">
        <f t="shared" si="47"/>
        <v>10</v>
      </c>
      <c r="D522" s="1052" t="s">
        <v>18</v>
      </c>
      <c r="E522" s="1"/>
      <c r="F522" s="1"/>
      <c r="G522" s="1"/>
      <c r="H522" s="1"/>
      <c r="I522" s="1"/>
      <c r="J522" s="1"/>
      <c r="K522" s="1"/>
      <c r="L522" s="1"/>
      <c r="M522" s="1"/>
      <c r="N522" s="1"/>
    </row>
    <row r="523" ht="14.25" customHeight="1">
      <c r="A523" s="458" t="s">
        <v>17</v>
      </c>
      <c r="B523" s="71">
        <v>75.0</v>
      </c>
      <c r="C523" s="1654">
        <f>(B523*C525)/B525</f>
        <v>12.5</v>
      </c>
      <c r="D523" s="782" t="s">
        <v>18</v>
      </c>
      <c r="E523" s="1"/>
      <c r="F523" s="1"/>
      <c r="G523" s="1"/>
      <c r="H523" s="1"/>
      <c r="I523" s="1"/>
      <c r="J523" s="1"/>
      <c r="K523" s="1"/>
      <c r="L523" s="1"/>
      <c r="M523" s="1"/>
      <c r="N523" s="1"/>
    </row>
    <row r="524" ht="14.25" customHeight="1">
      <c r="A524" s="177" t="s">
        <v>1322</v>
      </c>
      <c r="B524" s="27">
        <v>250.0</v>
      </c>
      <c r="C524" s="1340">
        <f>(B524*C520)/B520</f>
        <v>41.66666667</v>
      </c>
      <c r="D524" s="774" t="s">
        <v>18</v>
      </c>
      <c r="E524" s="1"/>
      <c r="F524" s="1"/>
      <c r="G524" s="1"/>
      <c r="H524" s="1"/>
      <c r="I524" s="1"/>
      <c r="J524" s="1"/>
      <c r="K524" s="1"/>
      <c r="L524" s="1"/>
      <c r="M524" s="1"/>
      <c r="N524" s="1"/>
    </row>
    <row r="525" ht="14.25" customHeight="1">
      <c r="A525" s="177" t="s">
        <v>1046</v>
      </c>
      <c r="B525" s="27">
        <v>250.0</v>
      </c>
      <c r="C525" s="1340">
        <f>(B525*C524)/B524</f>
        <v>41.66666667</v>
      </c>
      <c r="D525" s="774" t="s">
        <v>18</v>
      </c>
      <c r="E525" s="1"/>
      <c r="F525" s="1"/>
      <c r="G525" s="1"/>
      <c r="H525" s="1"/>
      <c r="I525" s="1"/>
      <c r="J525" s="1"/>
      <c r="K525" s="1"/>
      <c r="L525" s="1"/>
      <c r="M525" s="1"/>
      <c r="N525" s="1"/>
    </row>
    <row r="526" ht="14.25" customHeight="1">
      <c r="A526" s="458" t="s">
        <v>59</v>
      </c>
      <c r="B526" s="1549">
        <f t="shared" ref="B526:C526" si="48">+IF(B519&lt;10,4*B519,IF(B519&gt;=15,3.5*B519,(3.5+(15-B519)*0.1)*B519))</f>
        <v>40</v>
      </c>
      <c r="C526" s="1550">
        <f t="shared" si="48"/>
        <v>6.666666667</v>
      </c>
      <c r="D526" s="782" t="s">
        <v>5</v>
      </c>
      <c r="E526" s="1"/>
      <c r="F526" s="1"/>
      <c r="G526" s="1"/>
      <c r="H526" s="1"/>
      <c r="I526" s="1"/>
      <c r="J526" s="1"/>
      <c r="K526" s="1"/>
      <c r="L526" s="1"/>
      <c r="M526" s="1"/>
      <c r="N526" s="1"/>
    </row>
    <row r="527" ht="14.25" customHeight="1">
      <c r="A527" s="1476" t="s">
        <v>119</v>
      </c>
      <c r="B527" s="818" t="s">
        <v>47</v>
      </c>
      <c r="C527" s="184"/>
      <c r="D527" s="1546"/>
      <c r="E527" s="1"/>
      <c r="F527" s="1"/>
      <c r="G527" s="1"/>
      <c r="H527" s="1"/>
      <c r="I527" s="1"/>
      <c r="J527" s="1"/>
      <c r="K527" s="1"/>
      <c r="L527" s="1"/>
      <c r="M527" s="1"/>
      <c r="N527" s="1"/>
    </row>
    <row r="528" ht="14.25" customHeight="1">
      <c r="A528" s="786" t="s">
        <v>49</v>
      </c>
      <c r="B528" s="260">
        <v>41266.0</v>
      </c>
      <c r="C528" s="184"/>
      <c r="D528" s="1546"/>
      <c r="E528" s="1"/>
      <c r="F528" s="1"/>
      <c r="G528" s="1"/>
      <c r="H528" s="1"/>
      <c r="I528" s="1"/>
      <c r="J528" s="1"/>
      <c r="K528" s="1"/>
      <c r="L528" s="1"/>
      <c r="M528" s="1"/>
      <c r="N528" s="1"/>
    </row>
    <row r="529" ht="14.25" customHeight="1">
      <c r="A529" s="305" t="s">
        <v>50</v>
      </c>
      <c r="B529" s="1188"/>
      <c r="C529" s="184"/>
      <c r="D529" s="1546"/>
      <c r="E529" s="1"/>
      <c r="F529" s="1"/>
      <c r="G529" s="1"/>
      <c r="H529" s="1"/>
      <c r="I529" s="1"/>
      <c r="J529" s="1"/>
      <c r="K529" s="1"/>
      <c r="L529" s="1"/>
      <c r="M529" s="1"/>
      <c r="N529" s="1"/>
    </row>
    <row r="530" ht="14.25" customHeight="1">
      <c r="A530" s="1"/>
      <c r="B530" s="107"/>
      <c r="C530" s="184"/>
      <c r="D530" s="108"/>
      <c r="E530" s="1"/>
      <c r="F530" s="1"/>
      <c r="G530" s="1"/>
      <c r="H530" s="1"/>
      <c r="I530" s="1"/>
      <c r="J530" s="1"/>
      <c r="K530" s="1"/>
      <c r="L530" s="1"/>
      <c r="M530" s="1"/>
      <c r="N530" s="1"/>
    </row>
    <row r="531" ht="14.25" customHeight="1">
      <c r="A531" s="511" t="s">
        <v>1880</v>
      </c>
      <c r="B531" s="1659"/>
      <c r="C531" s="1660"/>
      <c r="D531" s="1661"/>
      <c r="E531" s="1"/>
      <c r="F531" s="1"/>
      <c r="G531" s="1"/>
      <c r="H531" s="1"/>
      <c r="I531" s="1"/>
      <c r="J531" s="1"/>
      <c r="K531" s="1"/>
      <c r="L531" s="1"/>
      <c r="M531" s="1"/>
      <c r="N531" s="1"/>
    </row>
    <row r="532" ht="14.25" customHeight="1">
      <c r="A532" s="68" t="s">
        <v>1</v>
      </c>
      <c r="B532" s="145">
        <v>100.0</v>
      </c>
      <c r="C532" s="155">
        <v>20.0</v>
      </c>
      <c r="D532" s="137" t="s">
        <v>5</v>
      </c>
      <c r="E532" s="1"/>
      <c r="F532" s="1"/>
      <c r="G532" s="1"/>
      <c r="H532" s="1"/>
      <c r="I532" s="1"/>
      <c r="J532" s="1"/>
      <c r="K532" s="1"/>
      <c r="L532" s="1"/>
      <c r="M532" s="1"/>
      <c r="N532" s="1"/>
    </row>
    <row r="533" ht="14.25" customHeight="1">
      <c r="A533" s="138" t="s">
        <v>1882</v>
      </c>
      <c r="B533" s="279">
        <v>115.0</v>
      </c>
      <c r="C533" s="56">
        <f t="shared" ref="C533:C537" si="49">(B533*C532)/B532</f>
        <v>23</v>
      </c>
      <c r="D533" s="281" t="s">
        <v>366</v>
      </c>
      <c r="E533" s="1"/>
      <c r="F533" s="1"/>
      <c r="G533" s="1"/>
      <c r="H533" s="1"/>
      <c r="I533" s="1"/>
      <c r="J533" s="1"/>
      <c r="K533" s="1"/>
      <c r="L533" s="1"/>
      <c r="M533" s="1"/>
      <c r="N533" s="1"/>
    </row>
    <row r="534" ht="14.25" customHeight="1">
      <c r="A534" s="68" t="s">
        <v>491</v>
      </c>
      <c r="B534" s="145">
        <v>5.0</v>
      </c>
      <c r="C534" s="155">
        <f t="shared" si="49"/>
        <v>1</v>
      </c>
      <c r="D534" s="137" t="s">
        <v>5</v>
      </c>
      <c r="E534" s="1"/>
      <c r="F534" s="1"/>
      <c r="G534" s="1"/>
      <c r="H534" s="1"/>
      <c r="I534" s="1"/>
      <c r="J534" s="1"/>
      <c r="K534" s="1"/>
      <c r="L534" s="1"/>
      <c r="M534" s="1"/>
      <c r="N534" s="1"/>
    </row>
    <row r="535" ht="14.25" customHeight="1">
      <c r="A535" s="93" t="s">
        <v>1884</v>
      </c>
      <c r="B535" s="195">
        <v>50.0</v>
      </c>
      <c r="C535" s="78">
        <f t="shared" si="49"/>
        <v>10</v>
      </c>
      <c r="D535" s="165" t="s">
        <v>18</v>
      </c>
      <c r="E535" s="1"/>
      <c r="F535" s="1"/>
      <c r="G535" s="1"/>
      <c r="H535" s="1"/>
      <c r="I535" s="1"/>
      <c r="J535" s="1"/>
      <c r="K535" s="1"/>
      <c r="L535" s="1"/>
      <c r="M535" s="1"/>
      <c r="N535" s="1"/>
    </row>
    <row r="536" ht="14.25" customHeight="1">
      <c r="A536" s="138" t="s">
        <v>31</v>
      </c>
      <c r="B536" s="279">
        <v>1600.0</v>
      </c>
      <c r="C536" s="78">
        <f t="shared" si="49"/>
        <v>320</v>
      </c>
      <c r="D536" s="281" t="s">
        <v>18</v>
      </c>
      <c r="E536" s="1"/>
      <c r="F536" s="1"/>
      <c r="G536" s="1"/>
      <c r="H536" s="1"/>
      <c r="I536" s="1"/>
      <c r="J536" s="1"/>
      <c r="K536" s="1"/>
      <c r="L536" s="1"/>
      <c r="M536" s="1"/>
      <c r="N536" s="1"/>
    </row>
    <row r="537" ht="14.25" customHeight="1">
      <c r="A537" s="105" t="s">
        <v>1886</v>
      </c>
      <c r="B537" s="980">
        <v>300.0</v>
      </c>
      <c r="C537" s="1217">
        <f t="shared" si="49"/>
        <v>60</v>
      </c>
      <c r="D537" s="172" t="s">
        <v>18</v>
      </c>
      <c r="E537" s="1"/>
      <c r="F537" s="1"/>
      <c r="G537" s="1"/>
      <c r="H537" s="1"/>
      <c r="I537" s="1"/>
      <c r="J537" s="1"/>
      <c r="K537" s="1"/>
      <c r="L537" s="1"/>
      <c r="M537" s="1"/>
      <c r="N537" s="1"/>
    </row>
    <row r="538" ht="14.25" customHeight="1">
      <c r="A538" s="1187" t="s">
        <v>119</v>
      </c>
      <c r="B538" s="818" t="s">
        <v>47</v>
      </c>
      <c r="C538" s="184"/>
      <c r="D538" s="108"/>
      <c r="E538" s="1"/>
      <c r="F538" s="1"/>
      <c r="G538" s="1"/>
      <c r="H538" s="1"/>
      <c r="I538" s="1"/>
      <c r="J538" s="1"/>
      <c r="K538" s="1"/>
      <c r="L538" s="1"/>
      <c r="M538" s="1"/>
      <c r="N538" s="1"/>
    </row>
    <row r="539" ht="14.25" customHeight="1">
      <c r="A539" s="1"/>
      <c r="B539" s="107"/>
      <c r="C539" s="184"/>
      <c r="D539" s="108"/>
      <c r="E539" s="1"/>
      <c r="F539" s="1"/>
      <c r="G539" s="1"/>
      <c r="H539" s="1"/>
      <c r="I539" s="1"/>
      <c r="J539" s="1"/>
      <c r="K539" s="1"/>
      <c r="L539" s="1"/>
      <c r="M539" s="1"/>
      <c r="N539" s="1"/>
    </row>
    <row r="540" ht="14.25" customHeight="1">
      <c r="A540" s="786" t="s">
        <v>49</v>
      </c>
      <c r="B540" s="260">
        <v>42389.0</v>
      </c>
      <c r="C540" s="184"/>
      <c r="D540" s="108"/>
      <c r="E540" s="1"/>
      <c r="F540" s="1"/>
      <c r="G540" s="1"/>
      <c r="H540" s="1"/>
      <c r="I540" s="1"/>
      <c r="J540" s="1"/>
      <c r="K540" s="1"/>
      <c r="L540" s="1"/>
      <c r="M540" s="1"/>
      <c r="N540" s="1"/>
    </row>
    <row r="541" ht="14.25" customHeight="1">
      <c r="A541" s="305" t="s">
        <v>50</v>
      </c>
      <c r="B541" s="1188"/>
      <c r="C541" s="184"/>
      <c r="D541" s="108"/>
      <c r="E541" s="1"/>
      <c r="F541" s="1"/>
      <c r="G541" s="1"/>
      <c r="H541" s="1"/>
      <c r="I541" s="1"/>
      <c r="J541" s="1"/>
      <c r="K541" s="1"/>
      <c r="L541" s="1"/>
      <c r="M541" s="1"/>
      <c r="N541" s="1"/>
    </row>
    <row r="542" ht="14.25" customHeight="1">
      <c r="A542" s="1"/>
      <c r="B542" s="107"/>
      <c r="C542" s="184"/>
      <c r="D542" s="108"/>
      <c r="E542" s="1"/>
      <c r="F542" s="1"/>
      <c r="G542" s="1"/>
      <c r="H542" s="1"/>
      <c r="I542" s="1"/>
      <c r="J542" s="1"/>
      <c r="K542" s="1"/>
      <c r="L542" s="1"/>
      <c r="M542" s="1"/>
      <c r="N542" s="1"/>
    </row>
    <row r="543" ht="14.25" customHeight="1">
      <c r="A543" s="1"/>
      <c r="B543" s="107"/>
      <c r="C543" s="184"/>
      <c r="D543" s="108"/>
      <c r="E543" s="1"/>
      <c r="F543" s="1"/>
      <c r="G543" s="1"/>
      <c r="H543" s="1"/>
      <c r="I543" s="1"/>
      <c r="J543" s="1"/>
      <c r="K543" s="1"/>
      <c r="L543" s="1"/>
      <c r="M543" s="1"/>
      <c r="N543" s="1"/>
    </row>
    <row r="544" ht="14.25" customHeight="1">
      <c r="A544" s="1"/>
      <c r="B544" s="107"/>
      <c r="C544" s="184"/>
      <c r="D544" s="108"/>
      <c r="E544" s="1"/>
      <c r="F544" s="1"/>
      <c r="G544" s="1"/>
      <c r="H544" s="1"/>
      <c r="I544" s="1"/>
      <c r="J544" s="1"/>
      <c r="K544" s="1"/>
      <c r="L544" s="1"/>
      <c r="M544" s="1"/>
      <c r="N544" s="1"/>
    </row>
    <row r="545" ht="14.25" customHeight="1">
      <c r="A545" s="1"/>
      <c r="B545" s="107"/>
      <c r="C545" s="184"/>
      <c r="D545" s="108"/>
      <c r="E545" s="1"/>
      <c r="F545" s="1"/>
      <c r="G545" s="1"/>
      <c r="H545" s="1"/>
      <c r="I545" s="1"/>
      <c r="J545" s="1"/>
      <c r="K545" s="1"/>
      <c r="L545" s="1"/>
      <c r="M545" s="1"/>
      <c r="N545" s="1"/>
    </row>
    <row r="546" ht="14.25" customHeight="1">
      <c r="A546" s="1"/>
      <c r="B546" s="107"/>
      <c r="C546" s="184"/>
      <c r="D546" s="108"/>
      <c r="E546" s="1"/>
      <c r="F546" s="1"/>
      <c r="G546" s="1"/>
      <c r="H546" s="1"/>
      <c r="I546" s="1"/>
      <c r="J546" s="1"/>
      <c r="K546" s="1"/>
      <c r="L546" s="1"/>
      <c r="M546" s="1"/>
      <c r="N546" s="1"/>
    </row>
    <row r="547" ht="14.25" customHeight="1">
      <c r="A547" s="758" t="s">
        <v>909</v>
      </c>
      <c r="B547" s="1664"/>
      <c r="C547" s="1665"/>
      <c r="D547" s="1666"/>
      <c r="E547" s="761" t="s">
        <v>661</v>
      </c>
      <c r="F547" s="1"/>
      <c r="G547" s="1"/>
      <c r="H547" s="1"/>
      <c r="I547" s="1"/>
      <c r="J547" s="1"/>
      <c r="K547" s="1"/>
      <c r="L547" s="1"/>
      <c r="M547" s="1"/>
      <c r="N547" s="1"/>
    </row>
    <row r="548" ht="14.25" customHeight="1">
      <c r="A548" s="163" t="s">
        <v>1</v>
      </c>
      <c r="B548" s="221">
        <v>100.0</v>
      </c>
      <c r="C548" s="164">
        <v>450.0</v>
      </c>
      <c r="D548" s="733" t="s">
        <v>5</v>
      </c>
      <c r="E548" s="44" t="s">
        <v>1896</v>
      </c>
      <c r="F548" s="1"/>
      <c r="G548" s="1"/>
      <c r="H548" s="1"/>
      <c r="I548" s="1"/>
      <c r="J548" s="1"/>
      <c r="K548" s="1"/>
      <c r="L548" s="1"/>
      <c r="M548" s="1"/>
      <c r="N548" s="1"/>
    </row>
    <row r="549" ht="14.25" customHeight="1">
      <c r="A549" s="163" t="s">
        <v>91</v>
      </c>
      <c r="B549" s="221">
        <v>2.5</v>
      </c>
      <c r="C549" s="164">
        <f t="shared" ref="C549:C566" si="50">(B549*C548)/B548</f>
        <v>11.25</v>
      </c>
      <c r="D549" s="733" t="s">
        <v>5</v>
      </c>
      <c r="E549" s="47"/>
      <c r="F549" s="1"/>
      <c r="G549" s="1"/>
      <c r="H549" s="1"/>
      <c r="I549" s="1"/>
      <c r="J549" s="1"/>
      <c r="K549" s="1"/>
      <c r="L549" s="1"/>
      <c r="M549" s="1"/>
      <c r="N549" s="1"/>
    </row>
    <row r="550" ht="14.25" customHeight="1">
      <c r="A550" s="177" t="s">
        <v>1898</v>
      </c>
      <c r="B550" s="27">
        <v>250.0</v>
      </c>
      <c r="C550" s="201">
        <f t="shared" si="50"/>
        <v>1125</v>
      </c>
      <c r="D550" s="774" t="s">
        <v>18</v>
      </c>
      <c r="E550" s="47"/>
      <c r="F550" s="1"/>
      <c r="G550" s="1"/>
      <c r="H550" s="1"/>
      <c r="I550" s="1"/>
      <c r="J550" s="1"/>
      <c r="K550" s="1"/>
      <c r="L550" s="1"/>
      <c r="M550" s="1"/>
      <c r="N550" s="1"/>
    </row>
    <row r="551" ht="14.25" customHeight="1">
      <c r="A551" s="262" t="s">
        <v>1899</v>
      </c>
      <c r="B551" s="50">
        <v>0.5</v>
      </c>
      <c r="C551" s="265">
        <f t="shared" si="50"/>
        <v>2.25</v>
      </c>
      <c r="D551" s="793" t="s">
        <v>5</v>
      </c>
      <c r="E551" s="76"/>
      <c r="F551" s="1"/>
      <c r="G551" s="1"/>
      <c r="H551" s="1"/>
      <c r="I551" s="1"/>
      <c r="J551" s="1"/>
      <c r="K551" s="1"/>
      <c r="L551" s="1"/>
      <c r="M551" s="1"/>
      <c r="N551" s="1"/>
    </row>
    <row r="552" ht="14.25" customHeight="1">
      <c r="A552" s="163" t="s">
        <v>1901</v>
      </c>
      <c r="B552" s="221">
        <v>250.0</v>
      </c>
      <c r="C552" s="164">
        <f t="shared" si="50"/>
        <v>1125</v>
      </c>
      <c r="D552" s="733" t="s">
        <v>18</v>
      </c>
      <c r="E552" s="44" t="s">
        <v>1902</v>
      </c>
      <c r="F552" s="1"/>
      <c r="G552" s="1"/>
      <c r="H552" s="1"/>
      <c r="I552" s="1"/>
      <c r="J552" s="1"/>
      <c r="K552" s="1"/>
      <c r="L552" s="1"/>
      <c r="M552" s="1"/>
      <c r="N552" s="1"/>
    </row>
    <row r="553" ht="14.25" customHeight="1">
      <c r="A553" s="177" t="s">
        <v>149</v>
      </c>
      <c r="B553" s="27">
        <v>500.0</v>
      </c>
      <c r="C553" s="201">
        <f t="shared" si="50"/>
        <v>2250</v>
      </c>
      <c r="D553" s="774" t="s">
        <v>18</v>
      </c>
      <c r="E553" s="47"/>
      <c r="F553" s="1"/>
      <c r="G553" s="1"/>
      <c r="H553" s="1"/>
      <c r="I553" s="1"/>
      <c r="J553" s="1"/>
      <c r="K553" s="1"/>
      <c r="L553" s="1"/>
      <c r="M553" s="1"/>
      <c r="N553" s="1"/>
    </row>
    <row r="554" ht="14.25" customHeight="1">
      <c r="A554" s="177" t="s">
        <v>95</v>
      </c>
      <c r="B554" s="27">
        <v>20.0</v>
      </c>
      <c r="C554" s="201">
        <f t="shared" si="50"/>
        <v>90</v>
      </c>
      <c r="D554" s="1667" t="s">
        <v>18</v>
      </c>
      <c r="E554" s="47"/>
      <c r="F554" s="1"/>
      <c r="G554" s="1"/>
      <c r="H554" s="1"/>
      <c r="I554" s="1"/>
      <c r="J554" s="1"/>
      <c r="K554" s="1"/>
      <c r="L554" s="1"/>
      <c r="M554" s="1"/>
      <c r="N554" s="1"/>
    </row>
    <row r="555" ht="14.25" customHeight="1">
      <c r="A555" s="157" t="s">
        <v>1787</v>
      </c>
      <c r="B555" s="244">
        <v>350.0</v>
      </c>
      <c r="C555" s="158">
        <f t="shared" si="50"/>
        <v>1575</v>
      </c>
      <c r="D555" s="1668" t="s">
        <v>18</v>
      </c>
      <c r="E555" s="47"/>
      <c r="F555" s="1"/>
      <c r="G555" s="1"/>
      <c r="H555" s="1"/>
      <c r="I555" s="1"/>
      <c r="J555" s="1"/>
      <c r="K555" s="1"/>
      <c r="L555" s="1"/>
      <c r="M555" s="1"/>
      <c r="N555" s="1"/>
    </row>
    <row r="556" ht="14.25" customHeight="1">
      <c r="A556" s="177" t="s">
        <v>96</v>
      </c>
      <c r="B556" s="27">
        <v>10.0</v>
      </c>
      <c r="C556" s="201">
        <f t="shared" si="50"/>
        <v>45</v>
      </c>
      <c r="D556" s="1667" t="s">
        <v>18</v>
      </c>
      <c r="E556" s="47"/>
      <c r="F556" s="1"/>
      <c r="G556" s="1"/>
      <c r="H556" s="1"/>
      <c r="I556" s="1"/>
      <c r="J556" s="1"/>
      <c r="K556" s="1"/>
      <c r="L556" s="1"/>
      <c r="M556" s="1"/>
      <c r="N556" s="1"/>
    </row>
    <row r="557" ht="14.25" customHeight="1">
      <c r="A557" s="262" t="s">
        <v>66</v>
      </c>
      <c r="B557" s="50">
        <v>10.0</v>
      </c>
      <c r="C557" s="265">
        <f t="shared" si="50"/>
        <v>45</v>
      </c>
      <c r="D557" s="1669" t="s">
        <v>18</v>
      </c>
      <c r="E557" s="76"/>
      <c r="F557" s="1"/>
      <c r="G557" s="1"/>
      <c r="H557" s="1"/>
      <c r="I557" s="1"/>
      <c r="J557" s="1"/>
      <c r="K557" s="1"/>
      <c r="L557" s="1"/>
      <c r="M557" s="1"/>
      <c r="N557" s="1"/>
    </row>
    <row r="558" ht="14.25" customHeight="1">
      <c r="A558" s="163" t="s">
        <v>1912</v>
      </c>
      <c r="B558" s="221">
        <v>3.5</v>
      </c>
      <c r="C558" s="164">
        <f t="shared" si="50"/>
        <v>15.75</v>
      </c>
      <c r="D558" s="733" t="s">
        <v>366</v>
      </c>
      <c r="E558" s="264" t="s">
        <v>1913</v>
      </c>
      <c r="F558" s="1"/>
      <c r="G558" s="1"/>
      <c r="H558" s="1"/>
      <c r="I558" s="1"/>
      <c r="J558" s="1"/>
      <c r="K558" s="1"/>
      <c r="L558" s="1"/>
      <c r="M558" s="1"/>
      <c r="N558" s="1"/>
    </row>
    <row r="559" ht="14.25" customHeight="1">
      <c r="A559" s="177" t="s">
        <v>157</v>
      </c>
      <c r="B559" s="27">
        <v>80.0</v>
      </c>
      <c r="C559" s="201">
        <f t="shared" si="50"/>
        <v>360</v>
      </c>
      <c r="D559" s="774" t="s">
        <v>5</v>
      </c>
      <c r="E559" s="66"/>
      <c r="F559" s="1"/>
      <c r="G559" s="1"/>
      <c r="H559" s="1"/>
      <c r="I559" s="1"/>
      <c r="J559" s="1"/>
      <c r="K559" s="1"/>
      <c r="L559" s="1"/>
      <c r="M559" s="1"/>
      <c r="N559" s="1"/>
    </row>
    <row r="560" ht="14.25" customHeight="1">
      <c r="A560" s="208" t="s">
        <v>31</v>
      </c>
      <c r="B560" s="236">
        <v>1100.0</v>
      </c>
      <c r="C560" s="257">
        <f t="shared" si="50"/>
        <v>4950</v>
      </c>
      <c r="D560" s="1052" t="s">
        <v>18</v>
      </c>
      <c r="E560" s="106"/>
      <c r="F560" s="1"/>
      <c r="G560" s="1"/>
      <c r="H560" s="1"/>
      <c r="I560" s="1"/>
      <c r="J560" s="1"/>
      <c r="K560" s="1"/>
      <c r="L560" s="1"/>
      <c r="M560" s="1"/>
      <c r="N560" s="1"/>
    </row>
    <row r="561" ht="14.25" customHeight="1">
      <c r="A561" s="157" t="s">
        <v>1914</v>
      </c>
      <c r="B561" s="244">
        <v>4.0</v>
      </c>
      <c r="C561" s="158">
        <f t="shared" si="50"/>
        <v>18</v>
      </c>
      <c r="D561" s="1668" t="s">
        <v>366</v>
      </c>
      <c r="E561" s="44" t="s">
        <v>1915</v>
      </c>
      <c r="F561" s="1"/>
      <c r="G561" s="1"/>
      <c r="H561" s="1"/>
      <c r="I561" s="1"/>
      <c r="J561" s="1"/>
      <c r="K561" s="1"/>
      <c r="L561" s="1"/>
      <c r="M561" s="1"/>
      <c r="N561" s="1"/>
    </row>
    <row r="562" ht="14.25" customHeight="1">
      <c r="A562" s="177" t="s">
        <v>1912</v>
      </c>
      <c r="B562" s="27">
        <v>2.6</v>
      </c>
      <c r="C562" s="201">
        <f t="shared" si="50"/>
        <v>11.7</v>
      </c>
      <c r="D562" s="774" t="s">
        <v>366</v>
      </c>
      <c r="E562" s="47"/>
      <c r="F562" s="1"/>
      <c r="G562" s="1"/>
      <c r="H562" s="1"/>
      <c r="I562" s="1"/>
      <c r="J562" s="1"/>
      <c r="K562" s="1"/>
      <c r="L562" s="1"/>
      <c r="M562" s="1"/>
      <c r="N562" s="1"/>
    </row>
    <row r="563" ht="14.25" customHeight="1">
      <c r="A563" s="262" t="s">
        <v>1916</v>
      </c>
      <c r="B563" s="50">
        <v>14.0</v>
      </c>
      <c r="C563" s="265">
        <f t="shared" si="50"/>
        <v>63</v>
      </c>
      <c r="D563" s="1669" t="s">
        <v>9</v>
      </c>
      <c r="E563" s="76"/>
      <c r="F563" s="1"/>
      <c r="G563" s="1"/>
      <c r="H563" s="1"/>
      <c r="I563" s="1"/>
      <c r="J563" s="1"/>
      <c r="K563" s="1"/>
      <c r="L563" s="1"/>
      <c r="M563" s="1"/>
      <c r="N563" s="1"/>
    </row>
    <row r="564" ht="14.25" customHeight="1">
      <c r="A564" s="1236" t="s">
        <v>1918</v>
      </c>
      <c r="B564" s="221">
        <v>1100.0</v>
      </c>
      <c r="C564" s="164">
        <f t="shared" si="50"/>
        <v>4950</v>
      </c>
      <c r="D564" s="733" t="s">
        <v>82</v>
      </c>
      <c r="E564" s="264" t="s">
        <v>1920</v>
      </c>
      <c r="F564" s="1"/>
      <c r="G564" s="1"/>
      <c r="H564" s="1"/>
      <c r="I564" s="1"/>
      <c r="J564" s="1"/>
      <c r="K564" s="1"/>
      <c r="L564" s="1"/>
      <c r="M564" s="1"/>
      <c r="N564" s="1"/>
    </row>
    <row r="565" ht="14.25" customHeight="1">
      <c r="A565" s="1239" t="s">
        <v>80</v>
      </c>
      <c r="B565" s="27">
        <v>0.75</v>
      </c>
      <c r="C565" s="201">
        <f t="shared" si="50"/>
        <v>3.375</v>
      </c>
      <c r="D565" s="774" t="s">
        <v>14</v>
      </c>
      <c r="E565" s="66"/>
      <c r="F565" s="1"/>
      <c r="G565" s="1"/>
      <c r="H565" s="1"/>
      <c r="I565" s="1"/>
      <c r="J565" s="1"/>
      <c r="K565" s="1"/>
      <c r="L565" s="1"/>
      <c r="M565" s="1"/>
      <c r="N565" s="1"/>
    </row>
    <row r="566" ht="14.25" customHeight="1">
      <c r="A566" s="208" t="s">
        <v>114</v>
      </c>
      <c r="B566" s="236">
        <v>3.0</v>
      </c>
      <c r="C566" s="257">
        <f t="shared" si="50"/>
        <v>13.5</v>
      </c>
      <c r="D566" s="1052" t="s">
        <v>5</v>
      </c>
      <c r="E566" s="106"/>
      <c r="F566" s="1"/>
      <c r="G566" s="1"/>
      <c r="H566" s="1"/>
      <c r="I566" s="1"/>
      <c r="J566" s="1"/>
      <c r="K566" s="1"/>
      <c r="L566" s="1"/>
      <c r="M566" s="1"/>
      <c r="N566" s="1"/>
    </row>
    <row r="567" ht="14.25" customHeight="1">
      <c r="A567" s="1675" t="s">
        <v>119</v>
      </c>
      <c r="B567" s="818" t="s">
        <v>47</v>
      </c>
      <c r="C567" s="184"/>
      <c r="D567" s="108"/>
      <c r="E567" s="1"/>
      <c r="F567" s="1"/>
      <c r="G567" s="1"/>
      <c r="H567" s="1"/>
      <c r="I567" s="1"/>
      <c r="J567" s="1"/>
      <c r="K567" s="1"/>
      <c r="L567" s="1"/>
      <c r="M567" s="1"/>
      <c r="N567" s="1"/>
    </row>
    <row r="568" ht="14.25" customHeight="1">
      <c r="A568" s="1"/>
      <c r="B568" s="107"/>
      <c r="C568" s="184"/>
      <c r="D568" s="108"/>
      <c r="E568" s="1"/>
      <c r="F568" s="1"/>
      <c r="G568" s="1"/>
      <c r="H568" s="1"/>
      <c r="I568" s="1"/>
      <c r="J568" s="1"/>
      <c r="K568" s="1"/>
      <c r="L568" s="1"/>
      <c r="M568" s="1"/>
      <c r="N568" s="1"/>
    </row>
    <row r="569" ht="14.25" customHeight="1">
      <c r="A569" s="1"/>
      <c r="B569" s="107"/>
      <c r="C569" s="184"/>
      <c r="D569" s="108"/>
      <c r="E569" s="1"/>
      <c r="F569" s="1"/>
      <c r="G569" s="1"/>
      <c r="H569" s="1"/>
      <c r="I569" s="1"/>
      <c r="J569" s="1"/>
      <c r="K569" s="1"/>
      <c r="L569" s="1"/>
      <c r="M569" s="1"/>
      <c r="N569" s="1"/>
    </row>
    <row r="570" ht="14.25" customHeight="1">
      <c r="A570" s="1"/>
      <c r="B570" s="1494"/>
      <c r="C570" s="184"/>
      <c r="D570" s="108"/>
      <c r="E570" s="1"/>
      <c r="F570" s="1"/>
      <c r="G570" s="1"/>
      <c r="H570" s="1"/>
      <c r="I570" s="1"/>
      <c r="J570" s="1"/>
      <c r="K570" s="1"/>
      <c r="L570" s="1"/>
      <c r="M570" s="1"/>
      <c r="N570" s="1"/>
    </row>
    <row r="571" ht="14.25" customHeight="1">
      <c r="A571" s="1"/>
      <c r="B571" s="1494"/>
      <c r="C571" s="184"/>
      <c r="D571" s="108"/>
      <c r="E571" s="1"/>
      <c r="F571" s="1"/>
      <c r="G571" s="1"/>
      <c r="H571" s="1"/>
      <c r="I571" s="1"/>
      <c r="J571" s="1"/>
      <c r="K571" s="1"/>
      <c r="L571" s="1"/>
      <c r="M571" s="1"/>
      <c r="N571" s="1"/>
    </row>
    <row r="572" ht="14.25" customHeight="1">
      <c r="A572" s="1676" t="s">
        <v>120</v>
      </c>
      <c r="B572" s="1677">
        <v>42063.0</v>
      </c>
      <c r="C572" s="184"/>
      <c r="D572" s="108"/>
      <c r="E572" s="1"/>
      <c r="F572" s="1"/>
      <c r="G572" s="1"/>
      <c r="H572" s="1"/>
      <c r="I572" s="1"/>
      <c r="J572" s="1"/>
      <c r="K572" s="1"/>
      <c r="L572" s="1"/>
      <c r="M572" s="1"/>
      <c r="N572" s="1"/>
    </row>
    <row r="573" ht="14.25" customHeight="1">
      <c r="A573" s="1416" t="s">
        <v>50</v>
      </c>
      <c r="B573" s="1677"/>
      <c r="C573" s="184"/>
      <c r="D573" s="108"/>
      <c r="E573" s="1"/>
      <c r="F573" s="1"/>
      <c r="G573" s="1"/>
      <c r="H573" s="1"/>
      <c r="I573" s="1"/>
      <c r="J573" s="1"/>
      <c r="K573" s="1"/>
      <c r="L573" s="1"/>
      <c r="M573" s="1"/>
      <c r="N573" s="1"/>
    </row>
    <row r="574" ht="14.25" customHeight="1">
      <c r="A574" s="1"/>
      <c r="B574" s="107"/>
      <c r="C574" s="184"/>
      <c r="D574" s="108"/>
      <c r="E574" s="1"/>
      <c r="F574" s="1"/>
      <c r="G574" s="1"/>
      <c r="H574" s="1"/>
      <c r="I574" s="1"/>
      <c r="J574" s="1"/>
      <c r="K574" s="1"/>
      <c r="L574" s="1"/>
      <c r="M574" s="1"/>
      <c r="N574" s="1"/>
    </row>
    <row r="575" ht="14.25" customHeight="1">
      <c r="A575" s="1"/>
      <c r="B575" s="107"/>
      <c r="C575" s="184"/>
      <c r="D575" s="108"/>
      <c r="E575" s="1"/>
      <c r="F575" s="1"/>
      <c r="G575" s="1"/>
      <c r="H575" s="1"/>
      <c r="I575" s="1"/>
      <c r="J575" s="1"/>
      <c r="K575" s="1"/>
      <c r="L575" s="1"/>
      <c r="M575" s="1"/>
      <c r="N575" s="1"/>
    </row>
    <row r="576" ht="14.25" customHeight="1">
      <c r="A576" s="1"/>
      <c r="B576" s="107"/>
      <c r="C576" s="184"/>
      <c r="D576" s="108"/>
      <c r="E576" s="1"/>
      <c r="F576" s="1"/>
      <c r="G576" s="1"/>
      <c r="H576" s="1"/>
      <c r="I576" s="1"/>
      <c r="J576" s="1"/>
      <c r="K576" s="1"/>
      <c r="L576" s="1"/>
      <c r="M576" s="1"/>
      <c r="N576" s="1"/>
    </row>
    <row r="577" ht="14.25" customHeight="1">
      <c r="A577" s="758" t="s">
        <v>1923</v>
      </c>
      <c r="B577" s="1664"/>
      <c r="C577" s="1665"/>
      <c r="D577" s="1666"/>
      <c r="E577" s="761" t="s">
        <v>661</v>
      </c>
      <c r="F577" s="1"/>
      <c r="G577" s="1"/>
      <c r="H577" s="1"/>
      <c r="I577" s="1"/>
      <c r="J577" s="1"/>
      <c r="K577" s="1"/>
      <c r="L577" s="1"/>
      <c r="M577" s="1"/>
      <c r="N577" s="1"/>
    </row>
    <row r="578" ht="14.25" customHeight="1">
      <c r="A578" s="163" t="s">
        <v>1</v>
      </c>
      <c r="B578" s="221">
        <v>100.0</v>
      </c>
      <c r="C578" s="164">
        <v>35.0</v>
      </c>
      <c r="D578" s="733" t="s">
        <v>5</v>
      </c>
      <c r="E578" s="44" t="s">
        <v>1896</v>
      </c>
      <c r="F578" s="1"/>
      <c r="G578" s="1"/>
      <c r="H578" s="1"/>
      <c r="I578" s="1"/>
      <c r="J578" s="1"/>
      <c r="K578" s="1"/>
      <c r="L578" s="1"/>
      <c r="M578" s="1"/>
      <c r="N578" s="1"/>
    </row>
    <row r="579" ht="14.25" customHeight="1">
      <c r="A579" s="163" t="s">
        <v>91</v>
      </c>
      <c r="B579" s="221">
        <v>2.5</v>
      </c>
      <c r="C579" s="164">
        <f t="shared" ref="C579:C596" si="51">(B579*C578)/B578</f>
        <v>0.875</v>
      </c>
      <c r="D579" s="733" t="s">
        <v>5</v>
      </c>
      <c r="E579" s="47"/>
      <c r="F579" s="1"/>
      <c r="G579" s="1"/>
      <c r="H579" s="1"/>
      <c r="I579" s="1"/>
      <c r="J579" s="1"/>
      <c r="K579" s="1"/>
      <c r="L579" s="1"/>
      <c r="M579" s="1"/>
      <c r="N579" s="1"/>
    </row>
    <row r="580" ht="14.25" customHeight="1">
      <c r="A580" s="177" t="s">
        <v>1898</v>
      </c>
      <c r="B580" s="27">
        <v>250.0</v>
      </c>
      <c r="C580" s="201">
        <f t="shared" si="51"/>
        <v>87.5</v>
      </c>
      <c r="D580" s="774" t="s">
        <v>18</v>
      </c>
      <c r="E580" s="47"/>
      <c r="F580" s="1"/>
      <c r="G580" s="1"/>
      <c r="H580" s="1"/>
      <c r="I580" s="1"/>
      <c r="J580" s="1"/>
      <c r="K580" s="1"/>
      <c r="L580" s="1"/>
      <c r="M580" s="1"/>
      <c r="N580" s="1"/>
    </row>
    <row r="581" ht="14.25" customHeight="1">
      <c r="A581" s="262" t="s">
        <v>1899</v>
      </c>
      <c r="B581" s="50">
        <v>0.5</v>
      </c>
      <c r="C581" s="265">
        <f t="shared" si="51"/>
        <v>0.175</v>
      </c>
      <c r="D581" s="793" t="s">
        <v>5</v>
      </c>
      <c r="E581" s="76"/>
      <c r="F581" s="1"/>
      <c r="G581" s="1"/>
      <c r="H581" s="1"/>
      <c r="I581" s="1"/>
      <c r="J581" s="1"/>
      <c r="K581" s="1"/>
      <c r="L581" s="1"/>
      <c r="M581" s="1"/>
      <c r="N581" s="1"/>
    </row>
    <row r="582" ht="14.25" customHeight="1">
      <c r="A582" s="163" t="s">
        <v>1901</v>
      </c>
      <c r="B582" s="221">
        <v>250.0</v>
      </c>
      <c r="C582" s="164">
        <f t="shared" si="51"/>
        <v>87.5</v>
      </c>
      <c r="D582" s="733" t="s">
        <v>18</v>
      </c>
      <c r="E582" s="44" t="s">
        <v>1902</v>
      </c>
      <c r="F582" s="1"/>
      <c r="G582" s="1"/>
      <c r="H582" s="1"/>
      <c r="I582" s="1"/>
      <c r="J582" s="1"/>
      <c r="K582" s="1"/>
      <c r="L582" s="1"/>
      <c r="M582" s="1"/>
      <c r="N582" s="1"/>
    </row>
    <row r="583" ht="14.25" customHeight="1">
      <c r="A583" s="177" t="s">
        <v>149</v>
      </c>
      <c r="B583" s="27">
        <v>500.0</v>
      </c>
      <c r="C583" s="201">
        <f t="shared" si="51"/>
        <v>175</v>
      </c>
      <c r="D583" s="774" t="s">
        <v>18</v>
      </c>
      <c r="E583" s="47"/>
      <c r="F583" s="1"/>
      <c r="G583" s="1"/>
      <c r="H583" s="1"/>
      <c r="I583" s="1"/>
      <c r="J583" s="1"/>
      <c r="K583" s="1"/>
      <c r="L583" s="1"/>
      <c r="M583" s="1"/>
      <c r="N583" s="1"/>
    </row>
    <row r="584" ht="14.25" customHeight="1">
      <c r="A584" s="177" t="s">
        <v>95</v>
      </c>
      <c r="B584" s="27">
        <v>20.0</v>
      </c>
      <c r="C584" s="201">
        <f t="shared" si="51"/>
        <v>7</v>
      </c>
      <c r="D584" s="1667" t="s">
        <v>18</v>
      </c>
      <c r="E584" s="47"/>
      <c r="F584" s="1"/>
      <c r="G584" s="1"/>
      <c r="H584" s="1"/>
      <c r="I584" s="1"/>
      <c r="J584" s="1"/>
      <c r="K584" s="1"/>
      <c r="L584" s="1"/>
      <c r="M584" s="1"/>
      <c r="N584" s="1"/>
    </row>
    <row r="585" ht="14.25" customHeight="1">
      <c r="A585" s="157" t="s">
        <v>1787</v>
      </c>
      <c r="B585" s="244">
        <v>350.0</v>
      </c>
      <c r="C585" s="158">
        <f t="shared" si="51"/>
        <v>122.5</v>
      </c>
      <c r="D585" s="1668" t="s">
        <v>18</v>
      </c>
      <c r="E585" s="47"/>
      <c r="F585" s="1"/>
      <c r="G585" s="1"/>
      <c r="H585" s="1"/>
      <c r="I585" s="1"/>
      <c r="J585" s="1"/>
      <c r="K585" s="1"/>
      <c r="L585" s="1"/>
      <c r="M585" s="1"/>
      <c r="N585" s="1"/>
    </row>
    <row r="586" ht="14.25" customHeight="1">
      <c r="A586" s="177" t="s">
        <v>96</v>
      </c>
      <c r="B586" s="27">
        <v>10.0</v>
      </c>
      <c r="C586" s="201">
        <f t="shared" si="51"/>
        <v>3.5</v>
      </c>
      <c r="D586" s="1667" t="s">
        <v>18</v>
      </c>
      <c r="E586" s="47"/>
      <c r="F586" s="1"/>
      <c r="G586" s="1"/>
      <c r="H586" s="1"/>
      <c r="I586" s="1"/>
      <c r="J586" s="1"/>
      <c r="K586" s="1"/>
      <c r="L586" s="1"/>
      <c r="M586" s="1"/>
      <c r="N586" s="1"/>
    </row>
    <row r="587" ht="14.25" customHeight="1">
      <c r="A587" s="262" t="s">
        <v>66</v>
      </c>
      <c r="B587" s="50">
        <v>10.0</v>
      </c>
      <c r="C587" s="265">
        <f t="shared" si="51"/>
        <v>3.5</v>
      </c>
      <c r="D587" s="1669" t="s">
        <v>18</v>
      </c>
      <c r="E587" s="76"/>
      <c r="F587" s="1"/>
      <c r="G587" s="1"/>
      <c r="H587" s="1"/>
      <c r="I587" s="1"/>
      <c r="J587" s="1"/>
      <c r="K587" s="1"/>
      <c r="L587" s="1"/>
      <c r="M587" s="1"/>
      <c r="N587" s="1"/>
    </row>
    <row r="588" ht="14.25" customHeight="1">
      <c r="A588" s="163" t="s">
        <v>1912</v>
      </c>
      <c r="B588" s="221">
        <v>3.5</v>
      </c>
      <c r="C588" s="164">
        <f t="shared" si="51"/>
        <v>1.225</v>
      </c>
      <c r="D588" s="733" t="s">
        <v>366</v>
      </c>
      <c r="E588" s="264" t="s">
        <v>1913</v>
      </c>
      <c r="F588" s="1"/>
      <c r="G588" s="1"/>
      <c r="H588" s="1"/>
      <c r="I588" s="1"/>
      <c r="J588" s="1"/>
      <c r="K588" s="1"/>
      <c r="L588" s="1"/>
      <c r="M588" s="1"/>
      <c r="N588" s="1"/>
    </row>
    <row r="589" ht="14.25" customHeight="1">
      <c r="A589" s="177" t="s">
        <v>157</v>
      </c>
      <c r="B589" s="27">
        <v>80.0</v>
      </c>
      <c r="C589" s="201">
        <f t="shared" si="51"/>
        <v>28</v>
      </c>
      <c r="D589" s="774" t="s">
        <v>5</v>
      </c>
      <c r="E589" s="66"/>
      <c r="F589" s="1"/>
      <c r="G589" s="1"/>
      <c r="H589" s="1"/>
      <c r="I589" s="1"/>
      <c r="J589" s="1"/>
      <c r="K589" s="1"/>
      <c r="L589" s="1"/>
      <c r="M589" s="1"/>
      <c r="N589" s="1"/>
    </row>
    <row r="590" ht="14.25" customHeight="1">
      <c r="A590" s="208" t="s">
        <v>31</v>
      </c>
      <c r="B590" s="236">
        <v>1100.0</v>
      </c>
      <c r="C590" s="257">
        <f t="shared" si="51"/>
        <v>385</v>
      </c>
      <c r="D590" s="1052" t="s">
        <v>18</v>
      </c>
      <c r="E590" s="106"/>
      <c r="F590" s="1"/>
      <c r="G590" s="1"/>
      <c r="H590" s="1"/>
      <c r="I590" s="1"/>
      <c r="J590" s="1"/>
      <c r="K590" s="1"/>
      <c r="L590" s="1"/>
      <c r="M590" s="1"/>
      <c r="N590" s="1"/>
    </row>
    <row r="591" ht="14.25" customHeight="1">
      <c r="A591" s="157" t="s">
        <v>1914</v>
      </c>
      <c r="B591" s="244">
        <v>3.5</v>
      </c>
      <c r="C591" s="158">
        <f t="shared" si="51"/>
        <v>1.225</v>
      </c>
      <c r="D591" s="1668" t="s">
        <v>366</v>
      </c>
      <c r="E591" s="44" t="s">
        <v>1915</v>
      </c>
      <c r="F591" s="1"/>
      <c r="G591" s="1"/>
      <c r="H591" s="1"/>
      <c r="I591" s="1"/>
      <c r="J591" s="1"/>
      <c r="K591" s="1"/>
      <c r="L591" s="1"/>
      <c r="M591" s="1"/>
      <c r="N591" s="1"/>
    </row>
    <row r="592" ht="14.25" customHeight="1">
      <c r="A592" s="177" t="s">
        <v>1912</v>
      </c>
      <c r="B592" s="27">
        <v>2.0</v>
      </c>
      <c r="C592" s="201">
        <f t="shared" si="51"/>
        <v>0.7</v>
      </c>
      <c r="D592" s="774" t="s">
        <v>366</v>
      </c>
      <c r="E592" s="47"/>
      <c r="F592" s="1"/>
      <c r="G592" s="1"/>
      <c r="H592" s="1"/>
      <c r="I592" s="1"/>
      <c r="J592" s="1"/>
      <c r="K592" s="1"/>
      <c r="L592" s="1"/>
      <c r="M592" s="1"/>
      <c r="N592" s="1"/>
    </row>
    <row r="593" ht="14.25" customHeight="1">
      <c r="A593" s="262" t="s">
        <v>1916</v>
      </c>
      <c r="B593" s="50">
        <v>10.0</v>
      </c>
      <c r="C593" s="265">
        <f t="shared" si="51"/>
        <v>3.5</v>
      </c>
      <c r="D593" s="1669" t="s">
        <v>9</v>
      </c>
      <c r="E593" s="76"/>
      <c r="F593" s="1"/>
      <c r="G593" s="1"/>
      <c r="H593" s="1"/>
      <c r="I593" s="1"/>
      <c r="J593" s="1"/>
      <c r="K593" s="1"/>
      <c r="L593" s="1"/>
      <c r="M593" s="1"/>
      <c r="N593" s="1"/>
    </row>
    <row r="594" ht="14.25" customHeight="1">
      <c r="A594" s="1236" t="s">
        <v>1918</v>
      </c>
      <c r="B594" s="221">
        <v>1100.0</v>
      </c>
      <c r="C594" s="164">
        <f t="shared" si="51"/>
        <v>385</v>
      </c>
      <c r="D594" s="733" t="s">
        <v>82</v>
      </c>
      <c r="E594" s="264" t="s">
        <v>1920</v>
      </c>
      <c r="F594" s="1"/>
      <c r="G594" s="1"/>
      <c r="H594" s="1"/>
      <c r="I594" s="1"/>
      <c r="J594" s="1"/>
      <c r="K594" s="1"/>
      <c r="L594" s="1"/>
      <c r="M594" s="1"/>
      <c r="N594" s="1"/>
    </row>
    <row r="595" ht="14.25" customHeight="1">
      <c r="A595" s="1239" t="s">
        <v>80</v>
      </c>
      <c r="B595" s="27">
        <v>0.75</v>
      </c>
      <c r="C595" s="201">
        <f t="shared" si="51"/>
        <v>0.2625</v>
      </c>
      <c r="D595" s="774" t="s">
        <v>14</v>
      </c>
      <c r="E595" s="66"/>
      <c r="F595" s="1"/>
      <c r="G595" s="1"/>
      <c r="H595" s="1"/>
      <c r="I595" s="1"/>
      <c r="J595" s="1"/>
      <c r="K595" s="1"/>
      <c r="L595" s="1"/>
      <c r="M595" s="1"/>
      <c r="N595" s="1"/>
    </row>
    <row r="596" ht="14.25" customHeight="1">
      <c r="A596" s="208" t="s">
        <v>114</v>
      </c>
      <c r="B596" s="236">
        <v>3.0</v>
      </c>
      <c r="C596" s="257">
        <f t="shared" si="51"/>
        <v>1.05</v>
      </c>
      <c r="D596" s="1052" t="s">
        <v>5</v>
      </c>
      <c r="E596" s="106"/>
      <c r="F596" s="1"/>
      <c r="G596" s="1"/>
      <c r="H596" s="1"/>
      <c r="I596" s="1"/>
      <c r="J596" s="1"/>
      <c r="K596" s="1"/>
      <c r="L596" s="1"/>
      <c r="M596" s="1"/>
      <c r="N596" s="1"/>
    </row>
    <row r="597" ht="15.75" customHeight="1">
      <c r="A597" s="1187" t="s">
        <v>119</v>
      </c>
      <c r="B597" s="818" t="s">
        <v>47</v>
      </c>
      <c r="C597" s="184"/>
      <c r="D597" s="108"/>
      <c r="E597" s="1"/>
      <c r="F597" s="1"/>
      <c r="G597" s="1"/>
      <c r="H597" s="1"/>
      <c r="I597" s="1"/>
      <c r="J597" s="1"/>
      <c r="K597" s="1"/>
      <c r="L597" s="1"/>
      <c r="M597" s="1"/>
      <c r="N597" s="1"/>
    </row>
    <row r="598" ht="14.25" customHeight="1">
      <c r="A598" s="1"/>
      <c r="B598" s="107"/>
      <c r="C598" s="184"/>
      <c r="D598" s="108"/>
      <c r="E598" s="1"/>
      <c r="F598" s="1"/>
      <c r="G598" s="1"/>
      <c r="H598" s="1"/>
      <c r="I598" s="1"/>
      <c r="J598" s="1"/>
      <c r="K598" s="1"/>
      <c r="L598" s="1"/>
      <c r="M598" s="1"/>
      <c r="N598" s="1"/>
    </row>
    <row r="599" ht="14.25" customHeight="1">
      <c r="A599" s="1"/>
      <c r="B599" s="107"/>
      <c r="C599" s="184"/>
      <c r="D599" s="108"/>
      <c r="E599" s="1"/>
      <c r="F599" s="1"/>
      <c r="G599" s="1"/>
      <c r="H599" s="1"/>
      <c r="I599" s="1"/>
      <c r="J599" s="1"/>
      <c r="K599" s="1"/>
      <c r="L599" s="1"/>
      <c r="M599" s="1"/>
      <c r="N599" s="1"/>
    </row>
    <row r="600" ht="14.25" customHeight="1">
      <c r="A600" s="1"/>
      <c r="B600" s="1494"/>
      <c r="C600" s="184"/>
      <c r="D600" s="108"/>
      <c r="E600" s="1"/>
      <c r="F600" s="1"/>
      <c r="G600" s="1"/>
      <c r="H600" s="1"/>
      <c r="I600" s="1"/>
      <c r="J600" s="1"/>
      <c r="K600" s="1"/>
      <c r="L600" s="1"/>
      <c r="M600" s="1"/>
      <c r="N600" s="1"/>
    </row>
    <row r="601" ht="14.25" customHeight="1">
      <c r="A601" s="1"/>
      <c r="B601" s="1494"/>
      <c r="C601" s="184"/>
      <c r="D601" s="108"/>
      <c r="E601" s="1"/>
      <c r="F601" s="1"/>
      <c r="G601" s="1"/>
      <c r="H601" s="1"/>
      <c r="I601" s="1"/>
      <c r="J601" s="1"/>
      <c r="K601" s="1"/>
      <c r="L601" s="1"/>
      <c r="M601" s="1"/>
      <c r="N601" s="1"/>
    </row>
    <row r="602" ht="14.25" customHeight="1">
      <c r="A602" s="1676" t="s">
        <v>120</v>
      </c>
      <c r="B602" s="1677">
        <v>41002.0</v>
      </c>
      <c r="C602" s="184"/>
      <c r="D602" s="108"/>
      <c r="E602" s="1"/>
      <c r="F602" s="1"/>
      <c r="G602" s="1"/>
      <c r="H602" s="1"/>
      <c r="I602" s="1"/>
      <c r="J602" s="1"/>
      <c r="K602" s="1"/>
      <c r="L602" s="1"/>
      <c r="M602" s="1"/>
      <c r="N602" s="1"/>
    </row>
    <row r="603" ht="15.0" customHeight="1">
      <c r="A603" s="1416" t="s">
        <v>50</v>
      </c>
      <c r="B603" s="1677">
        <v>41709.0</v>
      </c>
      <c r="C603" s="184"/>
      <c r="D603" s="108"/>
      <c r="E603" s="1"/>
      <c r="F603" s="1"/>
      <c r="G603" s="1"/>
      <c r="H603" s="1"/>
      <c r="I603" s="1"/>
      <c r="J603" s="1"/>
      <c r="K603" s="1"/>
      <c r="L603" s="1"/>
      <c r="M603" s="1"/>
      <c r="N603" s="1"/>
    </row>
    <row r="604" ht="14.25" customHeight="1">
      <c r="A604" s="1"/>
      <c r="B604" s="107"/>
      <c r="C604" s="184"/>
      <c r="D604" s="108"/>
      <c r="E604" s="1"/>
      <c r="F604" s="1"/>
      <c r="G604" s="1"/>
      <c r="H604" s="1"/>
      <c r="I604" s="1"/>
      <c r="J604" s="1"/>
      <c r="K604" s="1"/>
      <c r="L604" s="1"/>
      <c r="M604" s="1"/>
      <c r="N604" s="1"/>
    </row>
    <row r="605" ht="14.25" customHeight="1">
      <c r="A605" s="1"/>
      <c r="B605" s="107"/>
      <c r="C605" s="184"/>
      <c r="D605" s="108"/>
      <c r="E605" s="1"/>
      <c r="F605" s="1"/>
      <c r="G605" s="1"/>
      <c r="H605" s="1"/>
      <c r="I605" s="1"/>
      <c r="J605" s="1"/>
      <c r="K605" s="1"/>
      <c r="L605" s="1"/>
      <c r="M605" s="1"/>
      <c r="N605" s="1"/>
    </row>
    <row r="606" ht="14.25" customHeight="1">
      <c r="A606" s="1"/>
      <c r="B606" s="107"/>
      <c r="C606" s="184"/>
      <c r="D606" s="108"/>
      <c r="E606" s="1"/>
      <c r="F606" s="1"/>
      <c r="G606" s="1"/>
      <c r="H606" s="1"/>
      <c r="I606" s="1"/>
      <c r="J606" s="1"/>
      <c r="K606" s="1"/>
      <c r="L606" s="1"/>
      <c r="M606" s="1"/>
      <c r="N606" s="1"/>
    </row>
    <row r="607" ht="14.25" customHeight="1">
      <c r="A607" s="1"/>
      <c r="B607" s="107"/>
      <c r="C607" s="184"/>
      <c r="D607" s="108"/>
      <c r="E607" s="1"/>
      <c r="F607" s="1"/>
      <c r="G607" s="1"/>
      <c r="H607" s="1"/>
      <c r="I607" s="1"/>
      <c r="J607" s="1"/>
      <c r="K607" s="1"/>
      <c r="L607" s="1"/>
      <c r="M607" s="1"/>
      <c r="N607" s="1"/>
    </row>
    <row r="608" ht="14.25" customHeight="1">
      <c r="A608" s="1"/>
      <c r="B608" s="107"/>
      <c r="C608" s="184"/>
      <c r="D608" s="108"/>
      <c r="E608" s="1"/>
      <c r="F608" s="1"/>
      <c r="G608" s="1"/>
      <c r="H608" s="1"/>
      <c r="I608" s="1"/>
      <c r="J608" s="1"/>
      <c r="K608" s="1"/>
      <c r="L608" s="1"/>
      <c r="M608" s="1"/>
      <c r="N608" s="1"/>
    </row>
    <row r="609" ht="14.25" customHeight="1">
      <c r="A609" s="1"/>
      <c r="B609" s="107"/>
      <c r="C609" s="184"/>
      <c r="D609" s="108"/>
      <c r="E609" s="1"/>
      <c r="F609" s="1"/>
      <c r="G609" s="1"/>
      <c r="H609" s="1"/>
      <c r="I609" s="1"/>
      <c r="J609" s="1"/>
      <c r="K609" s="1"/>
      <c r="L609" s="1"/>
      <c r="M609" s="1"/>
      <c r="N609" s="1"/>
    </row>
    <row r="610" ht="14.25" customHeight="1">
      <c r="A610" s="209" t="s">
        <v>1929</v>
      </c>
      <c r="B610" s="18"/>
      <c r="C610" s="18"/>
      <c r="D610" s="19"/>
      <c r="E610" s="1"/>
      <c r="F610" s="1"/>
      <c r="G610" s="1"/>
      <c r="H610" s="1"/>
      <c r="I610" s="1"/>
      <c r="J610" s="1"/>
      <c r="K610" s="1"/>
      <c r="L610" s="1"/>
      <c r="M610" s="1"/>
      <c r="N610" s="1"/>
    </row>
    <row r="611" ht="14.25" customHeight="1">
      <c r="A611" s="51" t="s">
        <v>1</v>
      </c>
      <c r="B611" s="190">
        <v>2.5</v>
      </c>
      <c r="C611" s="513">
        <v>3.0</v>
      </c>
      <c r="D611" s="125" t="s">
        <v>5</v>
      </c>
      <c r="E611" s="1"/>
      <c r="F611" s="1"/>
      <c r="G611" s="1"/>
      <c r="H611" s="1"/>
      <c r="I611" s="1"/>
      <c r="J611" s="1"/>
      <c r="K611" s="1"/>
      <c r="L611" s="1"/>
      <c r="M611" s="1"/>
      <c r="N611" s="1"/>
    </row>
    <row r="612" ht="14.25" customHeight="1">
      <c r="A612" s="173" t="s">
        <v>1931</v>
      </c>
      <c r="B612" s="275">
        <v>0.4</v>
      </c>
      <c r="C612" s="179">
        <f t="shared" ref="C612:C615" si="52">(B612*C611)/B611</f>
        <v>0.48</v>
      </c>
      <c r="D612" s="278" t="s">
        <v>14</v>
      </c>
      <c r="E612" s="1"/>
      <c r="F612" s="1"/>
      <c r="G612" s="1"/>
      <c r="H612" s="1"/>
      <c r="I612" s="1"/>
      <c r="J612" s="1"/>
      <c r="K612" s="1"/>
      <c r="L612" s="1"/>
      <c r="M612" s="1"/>
      <c r="N612" s="1"/>
    </row>
    <row r="613" ht="14.25" customHeight="1">
      <c r="A613" s="119" t="s">
        <v>91</v>
      </c>
      <c r="B613" s="195">
        <v>0.16</v>
      </c>
      <c r="C613" s="78">
        <f t="shared" si="52"/>
        <v>0.192</v>
      </c>
      <c r="D613" s="165" t="s">
        <v>5</v>
      </c>
      <c r="E613" s="1"/>
      <c r="F613" s="1"/>
      <c r="G613" s="1"/>
      <c r="H613" s="1"/>
      <c r="I613" s="1"/>
      <c r="J613" s="1"/>
      <c r="K613" s="1"/>
      <c r="L613" s="1"/>
      <c r="M613" s="1"/>
      <c r="N613" s="1"/>
    </row>
    <row r="614" ht="14.25" customHeight="1">
      <c r="A614" s="93" t="s">
        <v>60</v>
      </c>
      <c r="B614" s="195">
        <v>45.0</v>
      </c>
      <c r="C614" s="78">
        <f t="shared" si="52"/>
        <v>54</v>
      </c>
      <c r="D614" s="165" t="s">
        <v>18</v>
      </c>
      <c r="E614" s="1"/>
      <c r="F614" s="1"/>
      <c r="G614" s="1"/>
      <c r="H614" s="1"/>
      <c r="I614" s="1"/>
      <c r="J614" s="1"/>
      <c r="K614" s="1"/>
      <c r="L614" s="1"/>
      <c r="M614" s="1"/>
      <c r="N614" s="1"/>
    </row>
    <row r="615" ht="14.25" customHeight="1">
      <c r="A615" s="93" t="s">
        <v>98</v>
      </c>
      <c r="B615" s="195">
        <v>7.5</v>
      </c>
      <c r="C615" s="78">
        <f t="shared" si="52"/>
        <v>9</v>
      </c>
      <c r="D615" s="165" t="s">
        <v>18</v>
      </c>
      <c r="E615" s="1"/>
      <c r="F615" s="1"/>
      <c r="G615" s="1"/>
      <c r="H615" s="1"/>
      <c r="I615" s="1"/>
      <c r="J615" s="1"/>
      <c r="K615" s="1"/>
      <c r="L615" s="1"/>
      <c r="M615" s="1"/>
      <c r="N615" s="1"/>
    </row>
    <row r="616" ht="14.25" customHeight="1">
      <c r="A616" s="93" t="s">
        <v>83</v>
      </c>
      <c r="B616" s="195">
        <v>20.0</v>
      </c>
      <c r="C616" s="78">
        <f t="shared" ref="C616:C617" si="53">(B616*C614)/B614</f>
        <v>24</v>
      </c>
      <c r="D616" s="165" t="s">
        <v>18</v>
      </c>
      <c r="E616" s="1"/>
      <c r="F616" s="1"/>
      <c r="G616" s="1"/>
      <c r="H616" s="1"/>
      <c r="I616" s="1"/>
      <c r="J616" s="1"/>
      <c r="K616" s="1"/>
      <c r="L616" s="1"/>
      <c r="M616" s="1"/>
      <c r="N616" s="1"/>
    </row>
    <row r="617" ht="14.25" customHeight="1">
      <c r="A617" s="93" t="s">
        <v>149</v>
      </c>
      <c r="B617" s="195">
        <v>10.0</v>
      </c>
      <c r="C617" s="78">
        <f t="shared" si="53"/>
        <v>12</v>
      </c>
      <c r="D617" s="165" t="s">
        <v>18</v>
      </c>
      <c r="E617" s="1"/>
      <c r="F617" s="1"/>
      <c r="G617" s="1"/>
      <c r="H617" s="1"/>
      <c r="I617" s="1"/>
      <c r="J617" s="1"/>
      <c r="K617" s="1"/>
      <c r="L617" s="1"/>
      <c r="M617" s="1"/>
      <c r="N617" s="1"/>
    </row>
    <row r="618" ht="14.25" customHeight="1">
      <c r="A618" s="138" t="s">
        <v>101</v>
      </c>
      <c r="B618" s="279">
        <v>20.0</v>
      </c>
      <c r="C618" s="146">
        <f t="shared" ref="C618:C622" si="54">(B618*C617)/B617</f>
        <v>24</v>
      </c>
      <c r="D618" s="281" t="s">
        <v>82</v>
      </c>
      <c r="E618" s="1"/>
      <c r="F618" s="1"/>
      <c r="G618" s="1"/>
      <c r="H618" s="1"/>
      <c r="I618" s="1"/>
      <c r="J618" s="1"/>
      <c r="K618" s="1"/>
      <c r="L618" s="1"/>
      <c r="M618" s="1"/>
      <c r="N618" s="1"/>
    </row>
    <row r="619" ht="14.25" customHeight="1">
      <c r="A619" s="68" t="s">
        <v>31</v>
      </c>
      <c r="B619" s="145">
        <v>33.0</v>
      </c>
      <c r="C619" s="155">
        <f t="shared" si="54"/>
        <v>39.6</v>
      </c>
      <c r="D619" s="137" t="s">
        <v>18</v>
      </c>
      <c r="E619" s="1"/>
      <c r="F619" s="1"/>
      <c r="G619" s="1"/>
      <c r="H619" s="1"/>
      <c r="I619" s="1"/>
      <c r="J619" s="1"/>
      <c r="K619" s="1"/>
      <c r="L619" s="1"/>
      <c r="M619" s="1"/>
      <c r="N619" s="1"/>
    </row>
    <row r="620" ht="14.25" customHeight="1">
      <c r="A620" s="105" t="s">
        <v>13</v>
      </c>
      <c r="B620" s="200">
        <v>33.0</v>
      </c>
      <c r="C620" s="56">
        <f t="shared" si="54"/>
        <v>39.6</v>
      </c>
      <c r="D620" s="172" t="s">
        <v>18</v>
      </c>
      <c r="E620" s="1"/>
      <c r="F620" s="1"/>
      <c r="G620" s="1"/>
      <c r="H620" s="1"/>
      <c r="I620" s="1"/>
      <c r="J620" s="1"/>
      <c r="K620" s="1"/>
      <c r="L620" s="1"/>
      <c r="M620" s="1"/>
      <c r="N620" s="1"/>
    </row>
    <row r="621" ht="14.25" customHeight="1">
      <c r="A621" s="68" t="s">
        <v>167</v>
      </c>
      <c r="B621" s="145">
        <v>15.0</v>
      </c>
      <c r="C621" s="155">
        <f t="shared" si="54"/>
        <v>18</v>
      </c>
      <c r="D621" s="137" t="s">
        <v>82</v>
      </c>
      <c r="E621" s="1"/>
      <c r="F621" s="1"/>
      <c r="G621" s="1"/>
      <c r="H621" s="1"/>
      <c r="I621" s="1"/>
      <c r="J621" s="1"/>
      <c r="K621" s="1"/>
      <c r="L621" s="1"/>
      <c r="M621" s="1"/>
      <c r="N621" s="1"/>
    </row>
    <row r="622" ht="14.25" customHeight="1">
      <c r="A622" s="105" t="s">
        <v>335</v>
      </c>
      <c r="B622" s="200">
        <v>150.0</v>
      </c>
      <c r="C622" s="56">
        <f t="shared" si="54"/>
        <v>180</v>
      </c>
      <c r="D622" s="172" t="s">
        <v>82</v>
      </c>
      <c r="E622" s="1"/>
      <c r="F622" s="1"/>
      <c r="G622" s="1"/>
      <c r="H622" s="1"/>
      <c r="I622" s="1"/>
      <c r="J622" s="1"/>
      <c r="K622" s="1"/>
      <c r="L622" s="1"/>
      <c r="M622" s="1"/>
      <c r="N622" s="1"/>
    </row>
    <row r="623" ht="14.25" customHeight="1">
      <c r="A623" s="68" t="s">
        <v>1161</v>
      </c>
      <c r="B623" s="145">
        <v>0.15</v>
      </c>
      <c r="C623" s="155">
        <f t="shared" ref="C623:C624" si="55">(B623*C621)/B621</f>
        <v>0.18</v>
      </c>
      <c r="D623" s="137" t="s">
        <v>14</v>
      </c>
      <c r="E623" s="1"/>
      <c r="F623" s="1"/>
      <c r="G623" s="1"/>
      <c r="H623" s="1"/>
      <c r="I623" s="1"/>
      <c r="J623" s="1"/>
      <c r="K623" s="1"/>
      <c r="L623" s="1"/>
      <c r="M623" s="1"/>
      <c r="N623" s="1"/>
    </row>
    <row r="624" ht="14.25" customHeight="1">
      <c r="A624" s="68" t="s">
        <v>487</v>
      </c>
      <c r="B624" s="145">
        <v>0.15</v>
      </c>
      <c r="C624" s="155">
        <f t="shared" si="55"/>
        <v>0.18</v>
      </c>
      <c r="D624" s="137" t="s">
        <v>14</v>
      </c>
      <c r="E624" s="1"/>
      <c r="F624" s="1"/>
      <c r="G624" s="1"/>
      <c r="H624" s="1"/>
      <c r="I624" s="1"/>
      <c r="J624" s="1"/>
      <c r="K624" s="1"/>
      <c r="L624" s="1"/>
      <c r="M624" s="1"/>
      <c r="N624" s="1"/>
    </row>
    <row r="625" ht="14.25" customHeight="1">
      <c r="A625" s="105" t="s">
        <v>493</v>
      </c>
      <c r="B625" s="200">
        <v>0.15</v>
      </c>
      <c r="C625" s="56">
        <f t="shared" ref="C625:C626" si="56">(B625*C624)/B624</f>
        <v>0.18</v>
      </c>
      <c r="D625" s="172" t="s">
        <v>14</v>
      </c>
      <c r="E625" s="1"/>
      <c r="F625" s="1"/>
      <c r="G625" s="1"/>
      <c r="H625" s="1"/>
      <c r="I625" s="1"/>
      <c r="J625" s="1"/>
      <c r="K625" s="1"/>
      <c r="L625" s="1"/>
      <c r="M625" s="1"/>
      <c r="N625" s="1"/>
    </row>
    <row r="626" ht="14.25" customHeight="1">
      <c r="A626" s="149" t="s">
        <v>494</v>
      </c>
      <c r="B626" s="152">
        <v>8.0</v>
      </c>
      <c r="C626" s="274">
        <f t="shared" si="56"/>
        <v>9.6</v>
      </c>
      <c r="D626" s="156" t="s">
        <v>18</v>
      </c>
      <c r="E626" s="1"/>
      <c r="F626" s="1"/>
      <c r="G626" s="1"/>
      <c r="H626" s="1"/>
      <c r="I626" s="1"/>
      <c r="J626" s="1"/>
      <c r="K626" s="1"/>
      <c r="L626" s="1"/>
      <c r="M626" s="1"/>
      <c r="N626" s="1"/>
    </row>
    <row r="627" ht="14.25" customHeight="1">
      <c r="A627" s="811" t="s">
        <v>49</v>
      </c>
      <c r="B627" s="812">
        <v>43476.0</v>
      </c>
      <c r="C627" s="184"/>
      <c r="D627" s="108"/>
      <c r="E627" s="1"/>
      <c r="F627" s="1"/>
      <c r="G627" s="1"/>
      <c r="H627" s="1"/>
      <c r="I627" s="1"/>
      <c r="J627" s="1"/>
      <c r="K627" s="1"/>
      <c r="L627" s="1"/>
      <c r="M627" s="1"/>
      <c r="N627" s="1"/>
    </row>
    <row r="628" ht="14.25" customHeight="1">
      <c r="A628" s="302" t="s">
        <v>50</v>
      </c>
      <c r="B628" s="260">
        <v>43496.0</v>
      </c>
      <c r="C628" s="184"/>
      <c r="D628" s="108"/>
      <c r="E628" s="1"/>
      <c r="F628" s="1"/>
      <c r="G628" s="1"/>
      <c r="H628" s="1"/>
      <c r="I628" s="1"/>
      <c r="J628" s="1"/>
      <c r="K628" s="1"/>
      <c r="L628" s="1"/>
      <c r="M628" s="1"/>
      <c r="N628" s="1"/>
    </row>
    <row r="629" ht="14.25" customHeight="1">
      <c r="A629" s="1187" t="s">
        <v>119</v>
      </c>
      <c r="B629" s="818" t="s">
        <v>47</v>
      </c>
      <c r="C629" s="184"/>
      <c r="D629" s="108"/>
      <c r="E629" s="1"/>
      <c r="F629" s="1"/>
      <c r="G629" s="1"/>
      <c r="H629" s="1"/>
      <c r="I629" s="1"/>
      <c r="J629" s="1"/>
      <c r="K629" s="1"/>
      <c r="L629" s="1"/>
      <c r="M629" s="1"/>
      <c r="N629" s="1"/>
    </row>
    <row r="630" ht="14.25" customHeight="1">
      <c r="A630" s="1"/>
      <c r="B630" s="107"/>
      <c r="C630" s="184"/>
      <c r="D630" s="108"/>
      <c r="E630" s="1"/>
      <c r="F630" s="1"/>
      <c r="G630" s="1"/>
      <c r="H630" s="1"/>
      <c r="I630" s="1"/>
      <c r="J630" s="1"/>
      <c r="K630" s="1"/>
      <c r="L630" s="1"/>
      <c r="M630" s="1"/>
      <c r="N630" s="1"/>
    </row>
    <row r="631" ht="14.25" customHeight="1">
      <c r="A631" s="1"/>
      <c r="B631" s="107"/>
      <c r="C631" s="184"/>
      <c r="D631" s="108"/>
      <c r="E631" s="1"/>
      <c r="F631" s="1"/>
      <c r="G631" s="1"/>
      <c r="H631" s="1"/>
      <c r="I631" s="1"/>
      <c r="J631" s="1"/>
      <c r="K631" s="1"/>
      <c r="L631" s="1"/>
      <c r="M631" s="1"/>
      <c r="N631" s="1"/>
    </row>
    <row r="632" ht="14.25" customHeight="1">
      <c r="A632" s="1"/>
      <c r="B632" s="107"/>
      <c r="C632" s="184"/>
      <c r="D632" s="108"/>
      <c r="E632" s="1"/>
      <c r="F632" s="1"/>
      <c r="G632" s="1"/>
      <c r="H632" s="1"/>
      <c r="I632" s="1"/>
      <c r="J632" s="1"/>
      <c r="K632" s="1"/>
      <c r="L632" s="1"/>
      <c r="M632" s="1"/>
      <c r="N632" s="1"/>
    </row>
    <row r="633" ht="14.25" customHeight="1">
      <c r="A633" s="1"/>
      <c r="B633" s="107"/>
      <c r="C633" s="184"/>
      <c r="D633" s="108"/>
      <c r="E633" s="1"/>
      <c r="F633" s="1"/>
      <c r="G633" s="1"/>
      <c r="H633" s="1"/>
      <c r="I633" s="1"/>
      <c r="J633" s="1"/>
      <c r="K633" s="1"/>
      <c r="L633" s="1"/>
      <c r="M633" s="1"/>
      <c r="N633" s="1"/>
    </row>
    <row r="634" ht="14.25" customHeight="1">
      <c r="A634" s="1"/>
      <c r="B634" s="107"/>
      <c r="C634" s="184"/>
      <c r="D634" s="108"/>
      <c r="E634" s="1"/>
      <c r="F634" s="1"/>
      <c r="G634" s="1"/>
      <c r="H634" s="1"/>
      <c r="I634" s="1"/>
      <c r="J634" s="1"/>
      <c r="K634" s="1"/>
      <c r="L634" s="1"/>
      <c r="M634" s="1"/>
      <c r="N634" s="1"/>
    </row>
    <row r="635" ht="14.25" customHeight="1">
      <c r="A635" s="1"/>
      <c r="B635" s="107"/>
      <c r="C635" s="184"/>
      <c r="D635" s="108"/>
      <c r="E635" s="1"/>
      <c r="F635" s="1"/>
      <c r="G635" s="1"/>
      <c r="H635" s="1"/>
      <c r="I635" s="1"/>
      <c r="J635" s="1"/>
      <c r="K635" s="1"/>
      <c r="L635" s="1"/>
      <c r="M635" s="1"/>
      <c r="N635" s="1"/>
    </row>
    <row r="636" ht="14.25" customHeight="1">
      <c r="A636" s="1"/>
      <c r="B636" s="107"/>
      <c r="C636" s="184"/>
      <c r="D636" s="108"/>
      <c r="E636" s="1"/>
      <c r="F636" s="1"/>
      <c r="G636" s="1"/>
      <c r="H636" s="1"/>
      <c r="I636" s="1"/>
      <c r="J636" s="1"/>
      <c r="K636" s="1"/>
      <c r="L636" s="1"/>
      <c r="M636" s="1"/>
      <c r="N636" s="1"/>
    </row>
    <row r="637" ht="14.25" customHeight="1">
      <c r="A637" s="1"/>
      <c r="B637" s="107"/>
      <c r="C637" s="184"/>
      <c r="D637" s="108"/>
      <c r="E637" s="1"/>
      <c r="F637" s="1"/>
      <c r="G637" s="1"/>
      <c r="H637" s="1"/>
      <c r="I637" s="1"/>
      <c r="J637" s="1"/>
      <c r="K637" s="1"/>
      <c r="L637" s="1"/>
      <c r="M637" s="1"/>
      <c r="N637" s="1"/>
    </row>
    <row r="638" ht="14.25" customHeight="1">
      <c r="A638" s="1"/>
      <c r="B638" s="107"/>
      <c r="C638" s="184"/>
      <c r="D638" s="108"/>
      <c r="E638" s="1"/>
      <c r="F638" s="1"/>
      <c r="G638" s="1"/>
      <c r="H638" s="1"/>
      <c r="I638" s="1"/>
      <c r="J638" s="1"/>
      <c r="K638" s="1"/>
      <c r="L638" s="1"/>
      <c r="M638" s="1"/>
      <c r="N638" s="1"/>
    </row>
    <row r="639" ht="14.25" customHeight="1">
      <c r="A639" s="1"/>
      <c r="B639" s="107"/>
      <c r="C639" s="184"/>
      <c r="D639" s="108"/>
      <c r="E639" s="1"/>
      <c r="F639" s="1"/>
      <c r="G639" s="1"/>
      <c r="H639" s="1"/>
      <c r="I639" s="1"/>
      <c r="J639" s="1"/>
      <c r="K639" s="1"/>
      <c r="L639" s="1"/>
      <c r="M639" s="1"/>
      <c r="N639" s="1"/>
    </row>
    <row r="640" ht="14.25" customHeight="1">
      <c r="A640" s="1"/>
      <c r="B640" s="107"/>
      <c r="C640" s="184"/>
      <c r="D640" s="108"/>
      <c r="E640" s="1"/>
      <c r="F640" s="1"/>
      <c r="G640" s="1"/>
      <c r="H640" s="1"/>
      <c r="I640" s="1"/>
      <c r="J640" s="1"/>
      <c r="K640" s="1"/>
      <c r="L640" s="1"/>
      <c r="M640" s="1"/>
      <c r="N640" s="1"/>
    </row>
    <row r="641" ht="14.25" customHeight="1">
      <c r="A641" s="1"/>
      <c r="B641" s="107"/>
      <c r="C641" s="184"/>
      <c r="D641" s="108"/>
      <c r="E641" s="1"/>
      <c r="F641" s="1"/>
      <c r="G641" s="1"/>
      <c r="H641" s="1"/>
      <c r="I641" s="1"/>
      <c r="J641" s="1"/>
      <c r="K641" s="1"/>
      <c r="L641" s="1"/>
      <c r="M641" s="1"/>
      <c r="N641" s="1"/>
    </row>
    <row r="642" ht="14.25" customHeight="1">
      <c r="A642" s="1"/>
      <c r="B642" s="107"/>
      <c r="C642" s="184"/>
      <c r="D642" s="108"/>
      <c r="E642" s="1"/>
      <c r="F642" s="1"/>
      <c r="G642" s="1"/>
      <c r="H642" s="1"/>
      <c r="I642" s="1"/>
      <c r="J642" s="1"/>
      <c r="K642" s="1"/>
      <c r="L642" s="1"/>
      <c r="M642" s="1"/>
      <c r="N642" s="1"/>
    </row>
    <row r="643" ht="14.25" customHeight="1">
      <c r="A643" s="1"/>
      <c r="B643" s="107"/>
      <c r="C643" s="184"/>
      <c r="D643" s="108"/>
      <c r="E643" s="1"/>
      <c r="F643" s="1"/>
      <c r="G643" s="1"/>
      <c r="H643" s="1"/>
      <c r="I643" s="1"/>
      <c r="J643" s="1"/>
      <c r="K643" s="1"/>
      <c r="L643" s="1"/>
      <c r="M643" s="1"/>
      <c r="N643" s="1"/>
    </row>
    <row r="644" ht="14.25" customHeight="1">
      <c r="A644" s="1"/>
      <c r="B644" s="107"/>
      <c r="C644" s="184"/>
      <c r="D644" s="108"/>
      <c r="E644" s="1"/>
      <c r="F644" s="1"/>
      <c r="G644" s="1"/>
      <c r="H644" s="1"/>
      <c r="I644" s="1"/>
      <c r="J644" s="1"/>
      <c r="K644" s="1"/>
      <c r="L644" s="1"/>
      <c r="M644" s="1"/>
      <c r="N644" s="1"/>
    </row>
    <row r="645" ht="14.25" customHeight="1">
      <c r="A645" s="1"/>
      <c r="B645" s="107"/>
      <c r="C645" s="184"/>
      <c r="D645" s="108"/>
      <c r="E645" s="1"/>
      <c r="F645" s="1"/>
      <c r="G645" s="1"/>
      <c r="H645" s="1"/>
      <c r="I645" s="1"/>
      <c r="J645" s="1"/>
      <c r="K645" s="1"/>
      <c r="L645" s="1"/>
      <c r="M645" s="1"/>
      <c r="N645" s="1"/>
    </row>
    <row r="646" ht="14.25" customHeight="1">
      <c r="A646" s="1"/>
      <c r="B646" s="107"/>
      <c r="C646" s="184"/>
      <c r="D646" s="108"/>
      <c r="E646" s="1"/>
      <c r="F646" s="1"/>
      <c r="G646" s="1"/>
      <c r="H646" s="1"/>
      <c r="I646" s="1"/>
      <c r="J646" s="1"/>
      <c r="K646" s="1"/>
      <c r="L646" s="1"/>
      <c r="M646" s="1"/>
      <c r="N646" s="1"/>
    </row>
    <row r="647" ht="14.25" customHeight="1">
      <c r="A647" s="1"/>
      <c r="B647" s="107"/>
      <c r="C647" s="184"/>
      <c r="D647" s="108"/>
      <c r="E647" s="1"/>
      <c r="F647" s="1"/>
      <c r="G647" s="1"/>
      <c r="H647" s="1"/>
      <c r="I647" s="1"/>
      <c r="J647" s="1"/>
      <c r="K647" s="1"/>
      <c r="L647" s="1"/>
      <c r="M647" s="1"/>
      <c r="N647" s="1"/>
    </row>
    <row r="648" ht="14.25" customHeight="1">
      <c r="A648" s="1"/>
      <c r="B648" s="107"/>
      <c r="C648" s="184"/>
      <c r="D648" s="108"/>
      <c r="E648" s="1"/>
      <c r="F648" s="1"/>
      <c r="G648" s="1"/>
      <c r="H648" s="1"/>
      <c r="I648" s="1"/>
      <c r="J648" s="1"/>
      <c r="K648" s="1"/>
      <c r="L648" s="1"/>
      <c r="M648" s="1"/>
      <c r="N648" s="1"/>
    </row>
    <row r="649" ht="14.25" customHeight="1">
      <c r="A649" s="1"/>
      <c r="B649" s="107"/>
      <c r="C649" s="184"/>
      <c r="D649" s="108"/>
      <c r="E649" s="1"/>
      <c r="F649" s="1"/>
      <c r="G649" s="1"/>
      <c r="H649" s="1"/>
      <c r="I649" s="1"/>
      <c r="J649" s="1"/>
      <c r="K649" s="1"/>
      <c r="L649" s="1"/>
      <c r="M649" s="1"/>
      <c r="N649" s="1"/>
    </row>
    <row r="650" ht="14.25" customHeight="1">
      <c r="A650" s="1"/>
      <c r="B650" s="107"/>
      <c r="C650" s="184"/>
      <c r="D650" s="108"/>
      <c r="E650" s="1"/>
      <c r="F650" s="1"/>
      <c r="G650" s="1"/>
      <c r="H650" s="1"/>
      <c r="I650" s="1"/>
      <c r="J650" s="1"/>
      <c r="K650" s="1"/>
      <c r="L650" s="1"/>
      <c r="M650" s="1"/>
      <c r="N650" s="1"/>
    </row>
    <row r="651" ht="14.25" customHeight="1">
      <c r="A651" s="1"/>
      <c r="B651" s="107"/>
      <c r="C651" s="184"/>
      <c r="D651" s="108"/>
      <c r="E651" s="1"/>
      <c r="F651" s="1"/>
      <c r="G651" s="1"/>
      <c r="H651" s="1"/>
      <c r="I651" s="1"/>
      <c r="J651" s="1"/>
      <c r="K651" s="1"/>
      <c r="L651" s="1"/>
      <c r="M651" s="1"/>
      <c r="N651" s="1"/>
    </row>
    <row r="652" ht="14.25" customHeight="1">
      <c r="A652" s="1"/>
      <c r="B652" s="107"/>
      <c r="C652" s="184"/>
      <c r="D652" s="108"/>
      <c r="E652" s="1"/>
      <c r="F652" s="1"/>
      <c r="G652" s="1"/>
      <c r="H652" s="1"/>
      <c r="I652" s="1"/>
      <c r="J652" s="1"/>
      <c r="K652" s="1"/>
      <c r="L652" s="1"/>
      <c r="M652" s="1"/>
      <c r="N652" s="1"/>
    </row>
    <row r="653" ht="14.25" customHeight="1">
      <c r="A653" s="1"/>
      <c r="B653" s="107"/>
      <c r="C653" s="184"/>
      <c r="D653" s="108"/>
      <c r="E653" s="1"/>
      <c r="F653" s="1"/>
      <c r="G653" s="1"/>
      <c r="H653" s="1"/>
      <c r="I653" s="1"/>
      <c r="J653" s="1"/>
      <c r="K653" s="1"/>
      <c r="L653" s="1"/>
      <c r="M653" s="1"/>
      <c r="N653" s="1"/>
    </row>
    <row r="654" ht="14.25" customHeight="1">
      <c r="A654" s="1"/>
      <c r="B654" s="107"/>
      <c r="C654" s="184"/>
      <c r="D654" s="108"/>
      <c r="E654" s="1"/>
      <c r="F654" s="1"/>
      <c r="G654" s="1"/>
      <c r="H654" s="1"/>
      <c r="I654" s="1"/>
      <c r="J654" s="1"/>
      <c r="K654" s="1"/>
      <c r="L654" s="1"/>
      <c r="M654" s="1"/>
      <c r="N654" s="1"/>
    </row>
    <row r="655" ht="14.25" customHeight="1">
      <c r="A655" s="1"/>
      <c r="B655" s="107"/>
      <c r="C655" s="184"/>
      <c r="D655" s="108"/>
      <c r="E655" s="1"/>
      <c r="F655" s="1"/>
      <c r="G655" s="1"/>
      <c r="H655" s="1"/>
      <c r="I655" s="1"/>
      <c r="J655" s="1"/>
      <c r="K655" s="1"/>
      <c r="L655" s="1"/>
      <c r="M655" s="1"/>
      <c r="N655" s="1"/>
    </row>
    <row r="656" ht="14.25" customHeight="1">
      <c r="A656" s="1"/>
      <c r="B656" s="107"/>
      <c r="C656" s="184"/>
      <c r="D656" s="108"/>
      <c r="E656" s="1"/>
      <c r="F656" s="1"/>
      <c r="G656" s="1"/>
      <c r="H656" s="1"/>
      <c r="I656" s="1"/>
      <c r="J656" s="1"/>
      <c r="K656" s="1"/>
      <c r="L656" s="1"/>
      <c r="M656" s="1"/>
      <c r="N656" s="1"/>
    </row>
    <row r="657" ht="14.25" customHeight="1">
      <c r="A657" s="1"/>
      <c r="B657" s="107"/>
      <c r="C657" s="184"/>
      <c r="D657" s="108"/>
      <c r="E657" s="1"/>
      <c r="F657" s="1"/>
      <c r="G657" s="1"/>
      <c r="H657" s="1"/>
      <c r="I657" s="1"/>
      <c r="J657" s="1"/>
      <c r="K657" s="1"/>
      <c r="L657" s="1"/>
      <c r="M657" s="1"/>
      <c r="N657" s="1"/>
    </row>
    <row r="658" ht="14.25" customHeight="1">
      <c r="A658" s="1"/>
      <c r="B658" s="107"/>
      <c r="C658" s="184"/>
      <c r="D658" s="108"/>
      <c r="E658" s="1"/>
      <c r="F658" s="1"/>
      <c r="G658" s="1"/>
      <c r="H658" s="1"/>
      <c r="I658" s="1"/>
      <c r="J658" s="1"/>
      <c r="K658" s="1"/>
      <c r="L658" s="1"/>
      <c r="M658" s="1"/>
      <c r="N658" s="1"/>
    </row>
    <row r="659" ht="14.25" customHeight="1">
      <c r="A659" s="1"/>
      <c r="B659" s="107"/>
      <c r="C659" s="184"/>
      <c r="D659" s="108"/>
      <c r="E659" s="1"/>
      <c r="F659" s="1"/>
      <c r="G659" s="1"/>
      <c r="H659" s="1"/>
      <c r="I659" s="1"/>
      <c r="J659" s="1"/>
      <c r="K659" s="1"/>
      <c r="L659" s="1"/>
      <c r="M659" s="1"/>
      <c r="N659" s="1"/>
    </row>
    <row r="660" ht="14.25" customHeight="1">
      <c r="A660" s="1"/>
      <c r="B660" s="107"/>
      <c r="C660" s="184"/>
      <c r="D660" s="108"/>
      <c r="E660" s="1"/>
      <c r="F660" s="1"/>
      <c r="G660" s="1"/>
      <c r="H660" s="1"/>
      <c r="I660" s="1"/>
      <c r="J660" s="1"/>
      <c r="K660" s="1"/>
      <c r="L660" s="1"/>
      <c r="M660" s="1"/>
      <c r="N660" s="1"/>
    </row>
    <row r="661" ht="14.25" customHeight="1">
      <c r="A661" s="1"/>
      <c r="B661" s="107"/>
      <c r="C661" s="184"/>
      <c r="D661" s="108"/>
      <c r="E661" s="1"/>
      <c r="F661" s="1"/>
      <c r="G661" s="1"/>
      <c r="H661" s="1"/>
      <c r="I661" s="1"/>
      <c r="J661" s="1"/>
      <c r="K661" s="1"/>
      <c r="L661" s="1"/>
      <c r="M661" s="1"/>
      <c r="N661" s="1"/>
    </row>
    <row r="662" ht="14.25" customHeight="1">
      <c r="A662" s="1"/>
      <c r="B662" s="107"/>
      <c r="C662" s="184"/>
      <c r="D662" s="108"/>
      <c r="E662" s="1"/>
      <c r="F662" s="1"/>
      <c r="G662" s="1"/>
      <c r="H662" s="1"/>
      <c r="I662" s="1"/>
      <c r="J662" s="1"/>
      <c r="K662" s="1"/>
      <c r="L662" s="1"/>
      <c r="M662" s="1"/>
      <c r="N662" s="1"/>
    </row>
    <row r="663" ht="14.25" customHeight="1">
      <c r="A663" s="1"/>
      <c r="B663" s="107"/>
      <c r="C663" s="184"/>
      <c r="D663" s="108"/>
      <c r="E663" s="1"/>
      <c r="F663" s="1"/>
      <c r="G663" s="1"/>
      <c r="H663" s="1"/>
      <c r="I663" s="1"/>
      <c r="J663" s="1"/>
      <c r="K663" s="1"/>
      <c r="L663" s="1"/>
      <c r="M663" s="1"/>
      <c r="N663" s="1"/>
    </row>
    <row r="664" ht="14.25" customHeight="1">
      <c r="A664" s="1"/>
      <c r="B664" s="107"/>
      <c r="C664" s="184"/>
      <c r="D664" s="108"/>
      <c r="E664" s="1"/>
      <c r="F664" s="1"/>
      <c r="G664" s="1"/>
      <c r="H664" s="1"/>
      <c r="I664" s="1"/>
      <c r="J664" s="1"/>
      <c r="K664" s="1"/>
      <c r="L664" s="1"/>
      <c r="M664" s="1"/>
      <c r="N664" s="1"/>
    </row>
    <row r="665" ht="14.25" customHeight="1">
      <c r="A665" s="1"/>
      <c r="B665" s="107"/>
      <c r="C665" s="184"/>
      <c r="D665" s="108"/>
      <c r="E665" s="1"/>
      <c r="F665" s="1"/>
      <c r="G665" s="1"/>
      <c r="H665" s="1"/>
      <c r="I665" s="1"/>
      <c r="J665" s="1"/>
      <c r="K665" s="1"/>
      <c r="L665" s="1"/>
      <c r="M665" s="1"/>
      <c r="N665" s="1"/>
    </row>
    <row r="666" ht="14.25" customHeight="1">
      <c r="A666" s="1"/>
      <c r="B666" s="107"/>
      <c r="C666" s="184"/>
      <c r="D666" s="108"/>
      <c r="E666" s="1"/>
      <c r="F666" s="1"/>
      <c r="G666" s="1"/>
      <c r="H666" s="1"/>
      <c r="I666" s="1"/>
      <c r="J666" s="1"/>
      <c r="K666" s="1"/>
      <c r="L666" s="1"/>
      <c r="M666" s="1"/>
      <c r="N666" s="1"/>
    </row>
    <row r="667" ht="14.25" customHeight="1">
      <c r="A667" s="1"/>
      <c r="B667" s="107"/>
      <c r="C667" s="184"/>
      <c r="D667" s="108"/>
      <c r="E667" s="1"/>
      <c r="F667" s="1"/>
      <c r="G667" s="1"/>
      <c r="H667" s="1"/>
      <c r="I667" s="1"/>
      <c r="J667" s="1"/>
      <c r="K667" s="1"/>
      <c r="L667" s="1"/>
      <c r="M667" s="1"/>
      <c r="N667" s="1"/>
    </row>
    <row r="668" ht="14.25" customHeight="1">
      <c r="A668" s="1"/>
      <c r="B668" s="107"/>
      <c r="C668" s="184"/>
      <c r="D668" s="108"/>
      <c r="E668" s="1"/>
      <c r="F668" s="1"/>
      <c r="G668" s="1"/>
      <c r="H668" s="1"/>
      <c r="I668" s="1"/>
      <c r="J668" s="1"/>
      <c r="K668" s="1"/>
      <c r="L668" s="1"/>
      <c r="M668" s="1"/>
      <c r="N668" s="1"/>
    </row>
    <row r="669" ht="14.25" customHeight="1">
      <c r="A669" s="1"/>
      <c r="B669" s="107"/>
      <c r="C669" s="184"/>
      <c r="D669" s="108"/>
      <c r="E669" s="1"/>
      <c r="F669" s="1"/>
      <c r="G669" s="1"/>
      <c r="H669" s="1"/>
      <c r="I669" s="1"/>
      <c r="J669" s="1"/>
      <c r="K669" s="1"/>
      <c r="L669" s="1"/>
      <c r="M669" s="1"/>
      <c r="N669" s="1"/>
    </row>
    <row r="670" ht="14.25" customHeight="1">
      <c r="A670" s="1"/>
      <c r="B670" s="107"/>
      <c r="C670" s="184"/>
      <c r="D670" s="108"/>
      <c r="E670" s="1"/>
      <c r="F670" s="1"/>
      <c r="G670" s="1"/>
      <c r="H670" s="1"/>
      <c r="I670" s="1"/>
      <c r="J670" s="1"/>
      <c r="K670" s="1"/>
      <c r="L670" s="1"/>
      <c r="M670" s="1"/>
      <c r="N670" s="1"/>
    </row>
    <row r="671" ht="14.25" customHeight="1">
      <c r="A671" s="1"/>
      <c r="B671" s="107"/>
      <c r="C671" s="184"/>
      <c r="D671" s="108"/>
      <c r="E671" s="1"/>
      <c r="F671" s="1"/>
      <c r="G671" s="1"/>
      <c r="H671" s="1"/>
      <c r="I671" s="1"/>
      <c r="J671" s="1"/>
      <c r="K671" s="1"/>
      <c r="L671" s="1"/>
      <c r="M671" s="1"/>
      <c r="N671" s="1"/>
    </row>
    <row r="672" ht="14.25" customHeight="1">
      <c r="A672" s="1"/>
      <c r="B672" s="107"/>
      <c r="C672" s="184"/>
      <c r="D672" s="108"/>
      <c r="E672" s="1"/>
      <c r="F672" s="1"/>
      <c r="G672" s="1"/>
      <c r="H672" s="1"/>
      <c r="I672" s="1"/>
      <c r="J672" s="1"/>
      <c r="K672" s="1"/>
      <c r="L672" s="1"/>
      <c r="M672" s="1"/>
      <c r="N672" s="1"/>
    </row>
    <row r="673" ht="14.25" customHeight="1">
      <c r="A673" s="1"/>
      <c r="B673" s="107"/>
      <c r="C673" s="184"/>
      <c r="D673" s="108"/>
      <c r="E673" s="1"/>
      <c r="F673" s="1"/>
      <c r="G673" s="1"/>
      <c r="H673" s="1"/>
      <c r="I673" s="1"/>
      <c r="J673" s="1"/>
      <c r="K673" s="1"/>
      <c r="L673" s="1"/>
      <c r="M673" s="1"/>
      <c r="N673" s="1"/>
    </row>
    <row r="674" ht="14.25" customHeight="1">
      <c r="A674" s="1"/>
      <c r="B674" s="107"/>
      <c r="C674" s="184"/>
      <c r="D674" s="108"/>
      <c r="E674" s="1"/>
      <c r="F674" s="1"/>
      <c r="G674" s="1"/>
      <c r="H674" s="1"/>
      <c r="I674" s="1"/>
      <c r="J674" s="1"/>
      <c r="K674" s="1"/>
      <c r="L674" s="1"/>
      <c r="M674" s="1"/>
      <c r="N674" s="1"/>
    </row>
    <row r="675" ht="14.25" customHeight="1">
      <c r="A675" s="1"/>
      <c r="B675" s="107"/>
      <c r="C675" s="184"/>
      <c r="D675" s="108"/>
      <c r="E675" s="1"/>
      <c r="F675" s="1"/>
      <c r="G675" s="1"/>
      <c r="H675" s="1"/>
      <c r="I675" s="1"/>
      <c r="J675" s="1"/>
      <c r="K675" s="1"/>
      <c r="L675" s="1"/>
      <c r="M675" s="1"/>
      <c r="N675" s="1"/>
    </row>
    <row r="676" ht="15.75" customHeight="1">
      <c r="A676" s="1"/>
      <c r="B676" s="107"/>
      <c r="C676" s="184"/>
      <c r="D676" s="108"/>
      <c r="E676" s="1"/>
      <c r="F676" s="1"/>
      <c r="G676" s="1"/>
      <c r="H676" s="1"/>
      <c r="I676" s="1"/>
      <c r="J676" s="1"/>
      <c r="K676" s="1"/>
      <c r="L676" s="1"/>
      <c r="M676" s="1"/>
      <c r="N676" s="1"/>
    </row>
    <row r="677" ht="14.25" customHeight="1">
      <c r="A677" s="1"/>
      <c r="B677" s="107"/>
      <c r="C677" s="184"/>
      <c r="D677" s="108"/>
      <c r="E677" s="1"/>
      <c r="F677" s="1"/>
      <c r="G677" s="1"/>
      <c r="H677" s="1"/>
      <c r="I677" s="1"/>
      <c r="J677" s="1"/>
      <c r="K677" s="1"/>
      <c r="L677" s="1"/>
      <c r="M677" s="1"/>
      <c r="N677" s="1"/>
    </row>
    <row r="678" ht="14.25" customHeight="1">
      <c r="A678" s="1"/>
      <c r="B678" s="107"/>
      <c r="C678" s="184"/>
      <c r="D678" s="108"/>
      <c r="E678" s="1"/>
      <c r="F678" s="1"/>
      <c r="G678" s="1"/>
      <c r="H678" s="1"/>
      <c r="I678" s="1"/>
      <c r="J678" s="1"/>
      <c r="K678" s="1"/>
      <c r="L678" s="1"/>
      <c r="M678" s="1"/>
      <c r="N678" s="1"/>
    </row>
    <row r="679" ht="14.25" customHeight="1">
      <c r="A679" s="1"/>
      <c r="B679" s="107"/>
      <c r="C679" s="184"/>
      <c r="D679" s="108"/>
      <c r="E679" s="1"/>
      <c r="F679" s="1"/>
      <c r="G679" s="1"/>
      <c r="H679" s="1"/>
      <c r="I679" s="1"/>
      <c r="J679" s="1"/>
      <c r="K679" s="1"/>
      <c r="L679" s="1"/>
      <c r="M679" s="1"/>
      <c r="N679" s="1"/>
    </row>
    <row r="680" ht="14.25" customHeight="1">
      <c r="A680" s="1"/>
      <c r="B680" s="107"/>
      <c r="C680" s="184"/>
      <c r="D680" s="108"/>
      <c r="E680" s="1"/>
      <c r="F680" s="1"/>
      <c r="G680" s="1"/>
      <c r="H680" s="1"/>
      <c r="I680" s="1"/>
      <c r="J680" s="1"/>
      <c r="K680" s="1"/>
      <c r="L680" s="1"/>
      <c r="M680" s="1"/>
      <c r="N680" s="1"/>
    </row>
    <row r="681" ht="14.25" customHeight="1">
      <c r="A681" s="1"/>
      <c r="B681" s="107"/>
      <c r="C681" s="184"/>
      <c r="D681" s="108"/>
      <c r="E681" s="1"/>
      <c r="F681" s="1"/>
      <c r="G681" s="1"/>
      <c r="H681" s="1"/>
      <c r="I681" s="1"/>
      <c r="J681" s="1"/>
      <c r="K681" s="1"/>
      <c r="L681" s="1"/>
      <c r="M681" s="1"/>
      <c r="N681" s="1"/>
    </row>
    <row r="682" ht="14.25" customHeight="1">
      <c r="A682" s="1"/>
      <c r="B682" s="107"/>
      <c r="C682" s="184"/>
      <c r="D682" s="108"/>
      <c r="E682" s="1"/>
      <c r="F682" s="1"/>
      <c r="G682" s="1"/>
      <c r="H682" s="1"/>
      <c r="I682" s="1"/>
      <c r="J682" s="1"/>
      <c r="K682" s="1"/>
      <c r="L682" s="1"/>
      <c r="M682" s="1"/>
      <c r="N682" s="1"/>
    </row>
    <row r="683" ht="14.25" customHeight="1">
      <c r="A683" s="1"/>
      <c r="B683" s="107"/>
      <c r="C683" s="184"/>
      <c r="D683" s="108"/>
      <c r="E683" s="1"/>
      <c r="F683" s="1"/>
      <c r="G683" s="1"/>
      <c r="H683" s="1"/>
      <c r="I683" s="1"/>
      <c r="J683" s="1"/>
      <c r="K683" s="1"/>
      <c r="L683" s="1"/>
      <c r="M683" s="1"/>
      <c r="N683" s="1"/>
    </row>
    <row r="684" ht="15.0" customHeight="1">
      <c r="A684" s="1"/>
      <c r="B684" s="107"/>
      <c r="C684" s="184"/>
      <c r="D684" s="108"/>
      <c r="E684" s="1"/>
      <c r="F684" s="1"/>
      <c r="G684" s="1"/>
      <c r="H684" s="1"/>
      <c r="I684" s="1"/>
      <c r="J684" s="1"/>
      <c r="K684" s="1"/>
      <c r="L684" s="1"/>
      <c r="M684" s="1"/>
      <c r="N684" s="1"/>
    </row>
    <row r="685" ht="14.25" customHeight="1">
      <c r="A685" s="1"/>
      <c r="B685" s="107"/>
      <c r="C685" s="184"/>
      <c r="D685" s="108"/>
      <c r="E685" s="1"/>
      <c r="F685" s="1"/>
      <c r="G685" s="1"/>
      <c r="H685" s="1"/>
      <c r="I685" s="1"/>
      <c r="J685" s="1"/>
      <c r="K685" s="1"/>
      <c r="L685" s="1"/>
      <c r="M685" s="1"/>
      <c r="N685" s="1"/>
    </row>
    <row r="686" ht="14.25" customHeight="1">
      <c r="A686" s="1"/>
      <c r="B686" s="107"/>
      <c r="C686" s="184"/>
      <c r="D686" s="108"/>
      <c r="E686" s="1"/>
      <c r="F686" s="1"/>
      <c r="G686" s="1"/>
      <c r="H686" s="1"/>
      <c r="I686" s="1"/>
      <c r="J686" s="1"/>
      <c r="K686" s="1"/>
      <c r="L686" s="1"/>
      <c r="M686" s="1"/>
      <c r="N686" s="1"/>
    </row>
    <row r="687" ht="14.25" customHeight="1">
      <c r="A687" s="1"/>
      <c r="B687" s="107"/>
      <c r="C687" s="184"/>
      <c r="D687" s="108"/>
      <c r="E687" s="1"/>
      <c r="F687" s="1"/>
      <c r="G687" s="1"/>
      <c r="H687" s="1"/>
      <c r="I687" s="1"/>
      <c r="J687" s="1"/>
      <c r="K687" s="1"/>
      <c r="L687" s="1"/>
      <c r="M687" s="1"/>
      <c r="N687" s="1"/>
    </row>
    <row r="688" ht="14.25" customHeight="1">
      <c r="A688" s="1"/>
      <c r="B688" s="107"/>
      <c r="C688" s="184"/>
      <c r="D688" s="108"/>
      <c r="E688" s="1"/>
      <c r="F688" s="1"/>
      <c r="G688" s="1"/>
      <c r="H688" s="1"/>
      <c r="I688" s="1"/>
      <c r="J688" s="1"/>
      <c r="K688" s="1"/>
      <c r="L688" s="1"/>
      <c r="M688" s="1"/>
      <c r="N688" s="1"/>
    </row>
    <row r="689" ht="14.25" customHeight="1">
      <c r="A689" s="1"/>
      <c r="B689" s="107"/>
      <c r="C689" s="184"/>
      <c r="D689" s="108"/>
      <c r="E689" s="1"/>
      <c r="F689" s="1"/>
      <c r="G689" s="1"/>
      <c r="H689" s="1"/>
      <c r="I689" s="1"/>
      <c r="J689" s="1"/>
      <c r="K689" s="1"/>
      <c r="L689" s="1"/>
      <c r="M689" s="1"/>
      <c r="N689" s="1"/>
    </row>
    <row r="690" ht="14.25" customHeight="1">
      <c r="A690" s="1"/>
      <c r="B690" s="107"/>
      <c r="C690" s="184"/>
      <c r="D690" s="108"/>
      <c r="E690" s="1"/>
      <c r="F690" s="1"/>
      <c r="G690" s="1"/>
      <c r="H690" s="1"/>
      <c r="I690" s="1"/>
      <c r="J690" s="1"/>
      <c r="K690" s="1"/>
      <c r="L690" s="1"/>
      <c r="M690" s="1"/>
      <c r="N690" s="1"/>
    </row>
    <row r="691" ht="14.25" customHeight="1">
      <c r="A691" s="1"/>
      <c r="B691" s="107"/>
      <c r="C691" s="184"/>
      <c r="D691" s="108"/>
      <c r="E691" s="1"/>
      <c r="F691" s="1"/>
      <c r="G691" s="1"/>
      <c r="H691" s="1"/>
      <c r="I691" s="1"/>
      <c r="J691" s="1"/>
      <c r="K691" s="1"/>
      <c r="L691" s="1"/>
      <c r="M691" s="1"/>
      <c r="N691" s="1"/>
    </row>
    <row r="692" ht="14.25" customHeight="1">
      <c r="A692" s="1"/>
      <c r="B692" s="107"/>
      <c r="C692" s="184"/>
      <c r="D692" s="108"/>
      <c r="E692" s="1"/>
      <c r="F692" s="1"/>
      <c r="G692" s="1"/>
      <c r="H692" s="1"/>
      <c r="I692" s="1"/>
      <c r="J692" s="1"/>
      <c r="K692" s="1"/>
      <c r="L692" s="1"/>
      <c r="M692" s="1"/>
      <c r="N692" s="1"/>
    </row>
    <row r="693" ht="14.25" customHeight="1">
      <c r="A693" s="1"/>
      <c r="B693" s="107"/>
      <c r="C693" s="184"/>
      <c r="D693" s="108"/>
      <c r="E693" s="1"/>
      <c r="F693" s="1"/>
      <c r="G693" s="1"/>
      <c r="H693" s="1"/>
      <c r="I693" s="1"/>
      <c r="J693" s="1"/>
      <c r="K693" s="1"/>
      <c r="L693" s="1"/>
      <c r="M693" s="1"/>
      <c r="N693" s="1"/>
    </row>
    <row r="694" ht="14.25" customHeight="1">
      <c r="A694" s="1"/>
      <c r="B694" s="107"/>
      <c r="C694" s="184"/>
      <c r="D694" s="108"/>
      <c r="E694" s="1"/>
      <c r="F694" s="1"/>
      <c r="G694" s="1"/>
      <c r="H694" s="1"/>
      <c r="I694" s="1"/>
      <c r="J694" s="1"/>
      <c r="K694" s="1"/>
      <c r="L694" s="1"/>
      <c r="M694" s="1"/>
      <c r="N694" s="1"/>
    </row>
    <row r="695" ht="14.25" customHeight="1">
      <c r="A695" s="1"/>
      <c r="B695" s="107"/>
      <c r="C695" s="184"/>
      <c r="D695" s="108"/>
      <c r="E695" s="1"/>
      <c r="F695" s="1"/>
      <c r="G695" s="1"/>
      <c r="H695" s="1"/>
      <c r="I695" s="1"/>
      <c r="J695" s="1"/>
      <c r="K695" s="1"/>
      <c r="L695" s="1"/>
      <c r="M695" s="1"/>
      <c r="N695" s="1"/>
    </row>
    <row r="696" ht="14.25" customHeight="1">
      <c r="A696" s="1"/>
      <c r="B696" s="107"/>
      <c r="C696" s="184"/>
      <c r="D696" s="108"/>
      <c r="E696" s="1"/>
      <c r="F696" s="1"/>
      <c r="G696" s="1"/>
      <c r="H696" s="1"/>
      <c r="I696" s="1"/>
      <c r="J696" s="1"/>
      <c r="K696" s="1"/>
      <c r="L696" s="1"/>
      <c r="M696" s="1"/>
      <c r="N696" s="1"/>
    </row>
    <row r="697" ht="14.25" customHeight="1">
      <c r="A697" s="1"/>
      <c r="B697" s="107"/>
      <c r="C697" s="184"/>
      <c r="D697" s="108"/>
      <c r="E697" s="1"/>
      <c r="F697" s="1"/>
      <c r="G697" s="1"/>
      <c r="H697" s="1"/>
      <c r="I697" s="1"/>
      <c r="J697" s="1"/>
      <c r="K697" s="1"/>
      <c r="L697" s="1"/>
      <c r="M697" s="1"/>
      <c r="N697" s="1"/>
    </row>
    <row r="698" ht="14.25" customHeight="1">
      <c r="A698" s="1"/>
      <c r="B698" s="107"/>
      <c r="C698" s="184"/>
      <c r="D698" s="108"/>
      <c r="E698" s="1"/>
      <c r="F698" s="1"/>
      <c r="G698" s="1"/>
      <c r="H698" s="1"/>
      <c r="I698" s="1"/>
      <c r="J698" s="1"/>
      <c r="K698" s="1"/>
      <c r="L698" s="1"/>
      <c r="M698" s="1"/>
      <c r="N698" s="1"/>
    </row>
    <row r="699" ht="14.25" customHeight="1">
      <c r="A699" s="1"/>
      <c r="B699" s="107"/>
      <c r="C699" s="184"/>
      <c r="D699" s="108"/>
      <c r="E699" s="1"/>
      <c r="F699" s="1"/>
      <c r="G699" s="1"/>
      <c r="H699" s="1"/>
      <c r="I699" s="1"/>
      <c r="J699" s="1"/>
      <c r="K699" s="1"/>
      <c r="L699" s="1"/>
      <c r="M699" s="1"/>
      <c r="N699" s="1"/>
    </row>
    <row r="700" ht="14.25" customHeight="1">
      <c r="A700" s="1"/>
      <c r="B700" s="107"/>
      <c r="C700" s="184"/>
      <c r="D700" s="108"/>
      <c r="E700" s="1"/>
      <c r="F700" s="1"/>
      <c r="G700" s="1"/>
      <c r="H700" s="1"/>
      <c r="I700" s="1"/>
      <c r="J700" s="1"/>
      <c r="K700" s="1"/>
      <c r="L700" s="1"/>
      <c r="M700" s="1"/>
      <c r="N700" s="1"/>
    </row>
    <row r="701" ht="14.25" customHeight="1">
      <c r="A701" s="1"/>
      <c r="B701" s="107"/>
      <c r="C701" s="184"/>
      <c r="D701" s="108"/>
      <c r="E701" s="1"/>
      <c r="F701" s="1"/>
      <c r="G701" s="1"/>
      <c r="H701" s="1"/>
      <c r="I701" s="1"/>
      <c r="J701" s="1"/>
      <c r="K701" s="1"/>
      <c r="L701" s="1"/>
      <c r="M701" s="1"/>
      <c r="N701" s="1"/>
    </row>
    <row r="702" ht="14.25" customHeight="1">
      <c r="A702" s="1"/>
      <c r="B702" s="107"/>
      <c r="C702" s="184"/>
      <c r="D702" s="108"/>
      <c r="E702" s="1"/>
      <c r="F702" s="1"/>
      <c r="G702" s="1"/>
      <c r="H702" s="1"/>
      <c r="I702" s="1"/>
      <c r="J702" s="1"/>
      <c r="K702" s="1"/>
      <c r="L702" s="1"/>
      <c r="M702" s="1"/>
      <c r="N702" s="1"/>
    </row>
    <row r="703" ht="14.25" customHeight="1">
      <c r="A703" s="1"/>
      <c r="B703" s="107"/>
      <c r="C703" s="184"/>
      <c r="D703" s="108"/>
      <c r="E703" s="1"/>
      <c r="F703" s="1"/>
      <c r="G703" s="1"/>
      <c r="H703" s="1"/>
      <c r="I703" s="1"/>
      <c r="J703" s="1"/>
      <c r="K703" s="1"/>
      <c r="L703" s="1"/>
      <c r="M703" s="1"/>
      <c r="N703" s="1"/>
    </row>
    <row r="704" ht="14.25" customHeight="1">
      <c r="A704" s="1"/>
      <c r="B704" s="107"/>
      <c r="C704" s="184"/>
      <c r="D704" s="108"/>
      <c r="E704" s="1"/>
      <c r="F704" s="1"/>
      <c r="G704" s="1"/>
      <c r="H704" s="1"/>
      <c r="I704" s="1"/>
      <c r="J704" s="1"/>
      <c r="K704" s="1"/>
      <c r="L704" s="1"/>
      <c r="M704" s="1"/>
      <c r="N704" s="1"/>
    </row>
    <row r="705" ht="14.25" customHeight="1">
      <c r="A705" s="1"/>
      <c r="B705" s="107"/>
      <c r="C705" s="184"/>
      <c r="D705" s="108"/>
      <c r="E705" s="1"/>
      <c r="F705" s="1"/>
      <c r="G705" s="1"/>
      <c r="H705" s="1"/>
      <c r="I705" s="1"/>
      <c r="J705" s="1"/>
      <c r="K705" s="1"/>
      <c r="L705" s="1"/>
      <c r="M705" s="1"/>
      <c r="N705" s="1"/>
    </row>
    <row r="706" ht="14.25" customHeight="1">
      <c r="A706" s="1"/>
      <c r="B706" s="107"/>
      <c r="C706" s="184"/>
      <c r="D706" s="108"/>
      <c r="E706" s="1"/>
      <c r="F706" s="1"/>
      <c r="G706" s="1"/>
      <c r="H706" s="1"/>
      <c r="I706" s="1"/>
      <c r="J706" s="1"/>
      <c r="K706" s="1"/>
      <c r="L706" s="1"/>
      <c r="M706" s="1"/>
      <c r="N706" s="1"/>
    </row>
    <row r="707" ht="14.25" customHeight="1">
      <c r="A707" s="1"/>
      <c r="B707" s="107"/>
      <c r="C707" s="184"/>
      <c r="D707" s="108"/>
      <c r="E707" s="1"/>
      <c r="F707" s="1"/>
      <c r="G707" s="1"/>
      <c r="H707" s="1"/>
      <c r="I707" s="1"/>
      <c r="J707" s="1"/>
      <c r="K707" s="1"/>
      <c r="L707" s="1"/>
      <c r="M707" s="1"/>
      <c r="N707" s="1"/>
    </row>
    <row r="708" ht="14.25" customHeight="1">
      <c r="A708" s="1"/>
      <c r="B708" s="107"/>
      <c r="C708" s="184"/>
      <c r="D708" s="108"/>
      <c r="E708" s="1"/>
      <c r="F708" s="1"/>
      <c r="G708" s="1"/>
      <c r="H708" s="1"/>
      <c r="I708" s="1"/>
      <c r="J708" s="1"/>
      <c r="K708" s="1"/>
      <c r="L708" s="1"/>
      <c r="M708" s="1"/>
      <c r="N708" s="1"/>
    </row>
    <row r="709" ht="14.25" customHeight="1">
      <c r="A709" s="1"/>
      <c r="B709" s="107"/>
      <c r="C709" s="184"/>
      <c r="D709" s="108"/>
      <c r="E709" s="1"/>
      <c r="F709" s="1"/>
      <c r="G709" s="1"/>
      <c r="H709" s="1"/>
      <c r="I709" s="1"/>
      <c r="J709" s="1"/>
      <c r="K709" s="1"/>
      <c r="L709" s="1"/>
      <c r="M709" s="1"/>
      <c r="N709" s="1"/>
    </row>
    <row r="710" ht="14.25" customHeight="1">
      <c r="A710" s="1"/>
      <c r="B710" s="107"/>
      <c r="C710" s="184"/>
      <c r="D710" s="108"/>
      <c r="E710" s="1"/>
      <c r="F710" s="1"/>
      <c r="G710" s="1"/>
      <c r="H710" s="1"/>
      <c r="I710" s="1"/>
      <c r="J710" s="1"/>
      <c r="K710" s="1"/>
      <c r="L710" s="1"/>
      <c r="M710" s="1"/>
      <c r="N710" s="1"/>
    </row>
    <row r="711" ht="14.25" customHeight="1">
      <c r="A711" s="1"/>
      <c r="B711" s="107"/>
      <c r="C711" s="184"/>
      <c r="D711" s="108"/>
      <c r="E711" s="1"/>
      <c r="F711" s="1"/>
      <c r="G711" s="1"/>
      <c r="H711" s="1"/>
      <c r="I711" s="1"/>
      <c r="J711" s="1"/>
      <c r="K711" s="1"/>
      <c r="L711" s="1"/>
      <c r="M711" s="1"/>
      <c r="N711" s="1"/>
    </row>
    <row r="712" ht="14.25" customHeight="1">
      <c r="A712" s="1"/>
      <c r="B712" s="107"/>
      <c r="C712" s="184"/>
      <c r="D712" s="108"/>
      <c r="E712" s="1"/>
      <c r="F712" s="1"/>
      <c r="G712" s="1"/>
      <c r="H712" s="1"/>
      <c r="I712" s="1"/>
      <c r="J712" s="1"/>
      <c r="K712" s="1"/>
      <c r="L712" s="1"/>
      <c r="M712" s="1"/>
      <c r="N712" s="1"/>
    </row>
    <row r="713" ht="14.25" customHeight="1">
      <c r="A713" s="1"/>
      <c r="B713" s="107"/>
      <c r="C713" s="184"/>
      <c r="D713" s="108"/>
      <c r="E713" s="1"/>
      <c r="F713" s="1"/>
      <c r="G713" s="1"/>
      <c r="H713" s="1"/>
      <c r="I713" s="1"/>
      <c r="J713" s="1"/>
      <c r="K713" s="1"/>
      <c r="L713" s="1"/>
      <c r="M713" s="1"/>
      <c r="N713" s="1"/>
    </row>
    <row r="714" ht="14.25" customHeight="1">
      <c r="A714" s="1"/>
      <c r="B714" s="107"/>
      <c r="C714" s="184"/>
      <c r="D714" s="108"/>
      <c r="E714" s="1"/>
      <c r="F714" s="1"/>
      <c r="G714" s="1"/>
      <c r="H714" s="1"/>
      <c r="I714" s="1"/>
      <c r="J714" s="1"/>
      <c r="K714" s="1"/>
      <c r="L714" s="1"/>
      <c r="M714" s="1"/>
      <c r="N714" s="1"/>
    </row>
    <row r="715" ht="14.25" customHeight="1">
      <c r="A715" s="1"/>
      <c r="B715" s="107"/>
      <c r="C715" s="184"/>
      <c r="D715" s="108"/>
      <c r="E715" s="1"/>
      <c r="F715" s="1"/>
      <c r="G715" s="1"/>
      <c r="H715" s="1"/>
      <c r="I715" s="1"/>
      <c r="J715" s="1"/>
      <c r="K715" s="1"/>
      <c r="L715" s="1"/>
      <c r="M715" s="1"/>
      <c r="N715" s="1"/>
    </row>
    <row r="716" ht="14.25" customHeight="1">
      <c r="A716" s="1"/>
      <c r="B716" s="107"/>
      <c r="C716" s="184"/>
      <c r="D716" s="108"/>
      <c r="E716" s="1"/>
      <c r="F716" s="1"/>
      <c r="G716" s="1"/>
      <c r="H716" s="1"/>
      <c r="I716" s="1"/>
      <c r="J716" s="1"/>
      <c r="K716" s="1"/>
      <c r="L716" s="1"/>
      <c r="M716" s="1"/>
      <c r="N716" s="1"/>
    </row>
    <row r="717" ht="14.25" customHeight="1">
      <c r="A717" s="1"/>
      <c r="B717" s="107"/>
      <c r="C717" s="184"/>
      <c r="D717" s="108"/>
      <c r="E717" s="1"/>
      <c r="F717" s="1"/>
      <c r="G717" s="1"/>
      <c r="H717" s="1"/>
      <c r="I717" s="1"/>
      <c r="J717" s="1"/>
      <c r="K717" s="1"/>
      <c r="L717" s="1"/>
      <c r="M717" s="1"/>
      <c r="N717" s="1"/>
    </row>
    <row r="718" ht="14.25" customHeight="1">
      <c r="A718" s="1"/>
      <c r="B718" s="107"/>
      <c r="C718" s="184"/>
      <c r="D718" s="108"/>
      <c r="E718" s="1"/>
      <c r="F718" s="1"/>
      <c r="G718" s="1"/>
      <c r="H718" s="1"/>
      <c r="I718" s="1"/>
      <c r="J718" s="1"/>
      <c r="K718" s="1"/>
      <c r="L718" s="1"/>
      <c r="M718" s="1"/>
      <c r="N718" s="1"/>
    </row>
    <row r="719" ht="14.25" customHeight="1">
      <c r="A719" s="1"/>
      <c r="B719" s="107"/>
      <c r="C719" s="184"/>
      <c r="D719" s="108"/>
      <c r="E719" s="1"/>
      <c r="F719" s="1"/>
      <c r="G719" s="1"/>
      <c r="H719" s="1"/>
      <c r="I719" s="1"/>
      <c r="J719" s="1"/>
      <c r="K719" s="1"/>
      <c r="L719" s="1"/>
      <c r="M719" s="1"/>
      <c r="N719" s="1"/>
    </row>
    <row r="720" ht="14.25" customHeight="1">
      <c r="A720" s="1"/>
      <c r="B720" s="107"/>
      <c r="C720" s="184"/>
      <c r="D720" s="108"/>
      <c r="E720" s="1"/>
      <c r="F720" s="1"/>
      <c r="G720" s="1"/>
      <c r="H720" s="1"/>
      <c r="I720" s="1"/>
      <c r="J720" s="1"/>
      <c r="K720" s="1"/>
      <c r="L720" s="1"/>
      <c r="M720" s="1"/>
      <c r="N720" s="1"/>
    </row>
    <row r="721" ht="14.25" customHeight="1">
      <c r="A721" s="1"/>
      <c r="B721" s="107"/>
      <c r="C721" s="184"/>
      <c r="D721" s="108"/>
      <c r="E721" s="1"/>
      <c r="F721" s="1"/>
      <c r="G721" s="1"/>
      <c r="H721" s="1"/>
      <c r="I721" s="1"/>
      <c r="J721" s="1"/>
      <c r="K721" s="1"/>
      <c r="L721" s="1"/>
      <c r="M721" s="1"/>
      <c r="N721" s="1"/>
    </row>
    <row r="722" ht="14.25" customHeight="1">
      <c r="A722" s="1"/>
      <c r="B722" s="107"/>
      <c r="C722" s="184"/>
      <c r="D722" s="108"/>
      <c r="E722" s="1"/>
      <c r="F722" s="1"/>
      <c r="G722" s="1"/>
      <c r="H722" s="1"/>
      <c r="I722" s="1"/>
      <c r="J722" s="1"/>
      <c r="K722" s="1"/>
      <c r="L722" s="1"/>
      <c r="M722" s="1"/>
      <c r="N722" s="1"/>
    </row>
    <row r="723" ht="15.0" customHeight="1">
      <c r="A723" s="1"/>
      <c r="B723" s="107"/>
      <c r="C723" s="184"/>
      <c r="D723" s="108"/>
      <c r="E723" s="1"/>
      <c r="F723" s="1"/>
      <c r="G723" s="1"/>
      <c r="H723" s="1"/>
      <c r="I723" s="1"/>
      <c r="J723" s="1"/>
      <c r="K723" s="1"/>
      <c r="L723" s="1"/>
      <c r="M723" s="1"/>
      <c r="N723" s="1"/>
    </row>
    <row r="724" ht="14.25" customHeight="1">
      <c r="A724" s="1"/>
      <c r="B724" s="107"/>
      <c r="C724" s="184"/>
      <c r="D724" s="108"/>
      <c r="E724" s="1"/>
      <c r="F724" s="1"/>
      <c r="G724" s="1"/>
      <c r="H724" s="1"/>
      <c r="I724" s="1"/>
      <c r="J724" s="1"/>
      <c r="K724" s="1"/>
      <c r="L724" s="1"/>
      <c r="M724" s="1"/>
      <c r="N724" s="1"/>
    </row>
    <row r="725" ht="14.25" customHeight="1">
      <c r="A725" s="1"/>
      <c r="B725" s="107"/>
      <c r="C725" s="184"/>
      <c r="D725" s="108"/>
      <c r="E725" s="1"/>
      <c r="F725" s="1"/>
      <c r="G725" s="1"/>
      <c r="H725" s="1"/>
      <c r="I725" s="1"/>
      <c r="J725" s="1"/>
      <c r="K725" s="1"/>
      <c r="L725" s="1"/>
      <c r="M725" s="1"/>
      <c r="N725" s="1"/>
    </row>
    <row r="726" ht="14.25" customHeight="1">
      <c r="A726" s="1"/>
      <c r="B726" s="107"/>
      <c r="C726" s="184"/>
      <c r="D726" s="108"/>
      <c r="E726" s="1"/>
      <c r="F726" s="1"/>
      <c r="G726" s="1"/>
      <c r="H726" s="1"/>
      <c r="I726" s="1"/>
      <c r="J726" s="1"/>
      <c r="K726" s="1"/>
      <c r="L726" s="1"/>
      <c r="M726" s="1"/>
      <c r="N726" s="1"/>
    </row>
    <row r="727" ht="14.25" customHeight="1">
      <c r="A727" s="1"/>
      <c r="B727" s="107"/>
      <c r="C727" s="184"/>
      <c r="D727" s="108"/>
      <c r="E727" s="1"/>
      <c r="F727" s="1"/>
      <c r="G727" s="1"/>
      <c r="H727" s="1"/>
      <c r="I727" s="1"/>
      <c r="J727" s="1"/>
      <c r="K727" s="1"/>
      <c r="L727" s="1"/>
      <c r="M727" s="1"/>
      <c r="N727" s="1"/>
    </row>
    <row r="728" ht="14.25" customHeight="1">
      <c r="A728" s="1"/>
      <c r="B728" s="107"/>
      <c r="C728" s="184"/>
      <c r="D728" s="108"/>
      <c r="E728" s="1"/>
      <c r="F728" s="1"/>
      <c r="G728" s="1"/>
      <c r="H728" s="1"/>
      <c r="I728" s="1"/>
      <c r="J728" s="1"/>
      <c r="K728" s="1"/>
      <c r="L728" s="1"/>
      <c r="M728" s="1"/>
      <c r="N728" s="1"/>
    </row>
    <row r="729" ht="14.25" customHeight="1">
      <c r="A729" s="1"/>
      <c r="B729" s="107"/>
      <c r="C729" s="184"/>
      <c r="D729" s="108"/>
      <c r="E729" s="1"/>
      <c r="F729" s="1"/>
      <c r="G729" s="1"/>
      <c r="H729" s="1"/>
      <c r="I729" s="1"/>
      <c r="J729" s="1"/>
      <c r="K729" s="1"/>
      <c r="L729" s="1"/>
      <c r="M729" s="1"/>
      <c r="N729" s="1"/>
    </row>
    <row r="730" ht="14.25" customHeight="1">
      <c r="A730" s="1"/>
      <c r="B730" s="107"/>
      <c r="C730" s="184"/>
      <c r="D730" s="108"/>
      <c r="E730" s="1"/>
      <c r="F730" s="1"/>
      <c r="G730" s="1"/>
      <c r="H730" s="1"/>
      <c r="I730" s="1"/>
      <c r="J730" s="1"/>
      <c r="K730" s="1"/>
      <c r="L730" s="1"/>
      <c r="M730" s="1"/>
      <c r="N730" s="1"/>
    </row>
    <row r="731" ht="14.25" customHeight="1">
      <c r="A731" s="1"/>
      <c r="B731" s="107"/>
      <c r="C731" s="184"/>
      <c r="D731" s="108"/>
      <c r="E731" s="1"/>
      <c r="F731" s="1"/>
      <c r="G731" s="1"/>
      <c r="H731" s="1"/>
      <c r="I731" s="1"/>
      <c r="J731" s="1"/>
      <c r="K731" s="1"/>
      <c r="L731" s="1"/>
      <c r="M731" s="1"/>
      <c r="N731" s="1"/>
    </row>
    <row r="732" ht="14.25" customHeight="1">
      <c r="A732" s="1"/>
      <c r="B732" s="107"/>
      <c r="C732" s="184"/>
      <c r="D732" s="108"/>
      <c r="E732" s="1"/>
      <c r="F732" s="1"/>
      <c r="G732" s="1"/>
      <c r="H732" s="1"/>
      <c r="I732" s="1"/>
      <c r="J732" s="1"/>
      <c r="K732" s="1"/>
      <c r="L732" s="1"/>
      <c r="M732" s="1"/>
      <c r="N732" s="1"/>
    </row>
    <row r="733" ht="14.25" customHeight="1">
      <c r="A733" s="1"/>
      <c r="B733" s="107"/>
      <c r="C733" s="184"/>
      <c r="D733" s="108"/>
      <c r="E733" s="1"/>
      <c r="F733" s="1"/>
      <c r="G733" s="1"/>
      <c r="H733" s="1"/>
      <c r="I733" s="1"/>
      <c r="J733" s="1"/>
      <c r="K733" s="1"/>
      <c r="L733" s="1"/>
      <c r="M733" s="1"/>
      <c r="N733" s="1"/>
    </row>
    <row r="734" ht="14.25" customHeight="1">
      <c r="A734" s="1"/>
      <c r="B734" s="107"/>
      <c r="C734" s="184"/>
      <c r="D734" s="108"/>
      <c r="E734" s="1"/>
      <c r="F734" s="1"/>
      <c r="G734" s="1"/>
      <c r="H734" s="1"/>
      <c r="I734" s="1"/>
      <c r="J734" s="1"/>
      <c r="K734" s="1"/>
      <c r="L734" s="1"/>
      <c r="M734" s="1"/>
      <c r="N734" s="1"/>
    </row>
    <row r="735" ht="14.25" customHeight="1">
      <c r="A735" s="1"/>
      <c r="B735" s="107"/>
      <c r="C735" s="184"/>
      <c r="D735" s="108"/>
      <c r="E735" s="1"/>
      <c r="F735" s="1"/>
      <c r="G735" s="1"/>
      <c r="H735" s="1"/>
      <c r="I735" s="1"/>
      <c r="J735" s="1"/>
      <c r="K735" s="1"/>
      <c r="L735" s="1"/>
      <c r="M735" s="1"/>
      <c r="N735" s="1"/>
    </row>
    <row r="736" ht="14.25" customHeight="1">
      <c r="A736" s="1"/>
      <c r="B736" s="107"/>
      <c r="C736" s="184"/>
      <c r="D736" s="108"/>
      <c r="E736" s="1"/>
      <c r="F736" s="1"/>
      <c r="G736" s="1"/>
      <c r="H736" s="1"/>
      <c r="I736" s="1"/>
      <c r="J736" s="1"/>
      <c r="K736" s="1"/>
      <c r="L736" s="1"/>
      <c r="M736" s="1"/>
      <c r="N736" s="1"/>
    </row>
    <row r="737" ht="14.25" customHeight="1">
      <c r="A737" s="1"/>
      <c r="B737" s="107"/>
      <c r="C737" s="184"/>
      <c r="D737" s="108"/>
      <c r="E737" s="1"/>
      <c r="F737" s="1"/>
      <c r="G737" s="1"/>
      <c r="H737" s="1"/>
      <c r="I737" s="1"/>
      <c r="J737" s="1"/>
      <c r="K737" s="1"/>
      <c r="L737" s="1"/>
      <c r="M737" s="1"/>
      <c r="N737" s="1"/>
    </row>
    <row r="738" ht="14.25" customHeight="1">
      <c r="A738" s="1"/>
      <c r="B738" s="107"/>
      <c r="C738" s="184"/>
      <c r="D738" s="108"/>
      <c r="E738" s="1"/>
      <c r="F738" s="1"/>
      <c r="G738" s="1"/>
      <c r="H738" s="1"/>
      <c r="I738" s="1"/>
      <c r="J738" s="1"/>
      <c r="K738" s="1"/>
      <c r="L738" s="1"/>
      <c r="M738" s="1"/>
      <c r="N738" s="1"/>
    </row>
    <row r="739" ht="14.25" customHeight="1">
      <c r="A739" s="1"/>
      <c r="B739" s="107"/>
      <c r="C739" s="184"/>
      <c r="D739" s="108"/>
      <c r="E739" s="1"/>
      <c r="F739" s="1"/>
      <c r="G739" s="1"/>
      <c r="H739" s="1"/>
      <c r="I739" s="1"/>
      <c r="J739" s="1"/>
      <c r="K739" s="1"/>
      <c r="L739" s="1"/>
      <c r="M739" s="1"/>
      <c r="N739" s="1"/>
    </row>
    <row r="740" ht="14.25" customHeight="1">
      <c r="A740" s="1"/>
      <c r="B740" s="107"/>
      <c r="C740" s="184"/>
      <c r="D740" s="108"/>
      <c r="E740" s="1"/>
      <c r="F740" s="1"/>
      <c r="G740" s="1"/>
      <c r="H740" s="1"/>
      <c r="I740" s="1"/>
      <c r="J740" s="1"/>
      <c r="K740" s="1"/>
      <c r="L740" s="1"/>
      <c r="M740" s="1"/>
      <c r="N740" s="1"/>
    </row>
    <row r="741" ht="14.25" customHeight="1">
      <c r="A741" s="1"/>
      <c r="B741" s="107"/>
      <c r="C741" s="184"/>
      <c r="D741" s="108"/>
      <c r="E741" s="1"/>
      <c r="F741" s="1"/>
      <c r="G741" s="1"/>
      <c r="H741" s="1"/>
      <c r="I741" s="1"/>
      <c r="J741" s="1"/>
      <c r="K741" s="1"/>
      <c r="L741" s="1"/>
      <c r="M741" s="1"/>
      <c r="N741" s="1"/>
    </row>
    <row r="742" ht="14.25" customHeight="1">
      <c r="A742" s="1"/>
      <c r="B742" s="107"/>
      <c r="C742" s="184"/>
      <c r="D742" s="108"/>
      <c r="E742" s="1"/>
      <c r="F742" s="1"/>
      <c r="G742" s="1"/>
      <c r="H742" s="1"/>
      <c r="I742" s="1"/>
      <c r="J742" s="1"/>
      <c r="K742" s="1"/>
      <c r="L742" s="1"/>
      <c r="M742" s="1"/>
      <c r="N742" s="1"/>
    </row>
    <row r="743" ht="14.25" customHeight="1">
      <c r="A743" s="1"/>
      <c r="B743" s="107"/>
      <c r="C743" s="184"/>
      <c r="D743" s="108"/>
      <c r="E743" s="1"/>
      <c r="F743" s="1"/>
      <c r="G743" s="1"/>
      <c r="H743" s="1"/>
      <c r="I743" s="1"/>
      <c r="J743" s="1"/>
      <c r="K743" s="1"/>
      <c r="L743" s="1"/>
      <c r="M743" s="1"/>
      <c r="N743" s="1"/>
    </row>
    <row r="744" ht="14.25" customHeight="1">
      <c r="A744" s="1"/>
      <c r="B744" s="107"/>
      <c r="C744" s="184"/>
      <c r="D744" s="108"/>
      <c r="E744" s="1"/>
      <c r="F744" s="1"/>
      <c r="G744" s="1"/>
      <c r="H744" s="1"/>
      <c r="I744" s="1"/>
      <c r="J744" s="1"/>
      <c r="K744" s="1"/>
      <c r="L744" s="1"/>
      <c r="M744" s="1"/>
      <c r="N744" s="1"/>
    </row>
    <row r="745" ht="14.25" customHeight="1">
      <c r="A745" s="1"/>
      <c r="B745" s="107"/>
      <c r="C745" s="184"/>
      <c r="D745" s="108"/>
      <c r="E745" s="1"/>
      <c r="F745" s="1"/>
      <c r="G745" s="1"/>
      <c r="H745" s="1"/>
      <c r="I745" s="1"/>
      <c r="J745" s="1"/>
      <c r="K745" s="1"/>
      <c r="L745" s="1"/>
      <c r="M745" s="1"/>
      <c r="N745" s="1"/>
    </row>
    <row r="746" ht="14.25" customHeight="1">
      <c r="A746" s="1"/>
      <c r="B746" s="107"/>
      <c r="C746" s="184"/>
      <c r="D746" s="108"/>
      <c r="E746" s="1"/>
      <c r="F746" s="1"/>
      <c r="G746" s="1"/>
      <c r="H746" s="1"/>
      <c r="I746" s="1"/>
      <c r="J746" s="1"/>
      <c r="K746" s="1"/>
      <c r="L746" s="1"/>
      <c r="M746" s="1"/>
      <c r="N746" s="1"/>
    </row>
    <row r="747" ht="14.25" customHeight="1">
      <c r="A747" s="1"/>
      <c r="B747" s="107"/>
      <c r="C747" s="184"/>
      <c r="D747" s="108"/>
      <c r="E747" s="1"/>
      <c r="F747" s="1"/>
      <c r="G747" s="1"/>
      <c r="H747" s="1"/>
      <c r="I747" s="1"/>
      <c r="J747" s="1"/>
      <c r="K747" s="1"/>
      <c r="L747" s="1"/>
      <c r="M747" s="1"/>
      <c r="N747" s="1"/>
    </row>
    <row r="748" ht="14.25" customHeight="1">
      <c r="A748" s="1"/>
      <c r="B748" s="107"/>
      <c r="C748" s="184"/>
      <c r="D748" s="108"/>
      <c r="E748" s="1"/>
      <c r="F748" s="1"/>
      <c r="G748" s="1"/>
      <c r="H748" s="1"/>
      <c r="I748" s="1"/>
      <c r="J748" s="1"/>
      <c r="K748" s="1"/>
      <c r="L748" s="1"/>
      <c r="M748" s="1"/>
      <c r="N748" s="1"/>
    </row>
    <row r="749" ht="14.25" customHeight="1">
      <c r="A749" s="1"/>
      <c r="B749" s="107"/>
      <c r="C749" s="184"/>
      <c r="D749" s="108"/>
      <c r="E749" s="1"/>
      <c r="F749" s="1"/>
      <c r="G749" s="1"/>
      <c r="H749" s="1"/>
      <c r="I749" s="1"/>
      <c r="J749" s="1"/>
      <c r="K749" s="1"/>
      <c r="L749" s="1"/>
      <c r="M749" s="1"/>
      <c r="N749" s="1"/>
    </row>
    <row r="750" ht="14.25" customHeight="1">
      <c r="A750" s="1"/>
      <c r="B750" s="107"/>
      <c r="C750" s="184"/>
      <c r="D750" s="108"/>
      <c r="E750" s="1"/>
      <c r="F750" s="1"/>
      <c r="G750" s="1"/>
      <c r="H750" s="1"/>
      <c r="I750" s="1"/>
      <c r="J750" s="1"/>
      <c r="K750" s="1"/>
      <c r="L750" s="1"/>
      <c r="M750" s="1"/>
      <c r="N750" s="1"/>
    </row>
    <row r="751" ht="14.25" customHeight="1">
      <c r="A751" s="1"/>
      <c r="B751" s="107"/>
      <c r="C751" s="184"/>
      <c r="D751" s="108"/>
      <c r="E751" s="1"/>
      <c r="F751" s="1"/>
      <c r="G751" s="1"/>
      <c r="H751" s="1"/>
      <c r="I751" s="1"/>
      <c r="J751" s="1"/>
      <c r="K751" s="1"/>
      <c r="L751" s="1"/>
      <c r="M751" s="1"/>
      <c r="N751" s="1"/>
    </row>
    <row r="752" ht="14.25" customHeight="1">
      <c r="A752" s="1"/>
      <c r="B752" s="107"/>
      <c r="C752" s="184"/>
      <c r="D752" s="108"/>
      <c r="E752" s="1"/>
      <c r="F752" s="1"/>
      <c r="G752" s="1"/>
      <c r="H752" s="1"/>
      <c r="I752" s="1"/>
      <c r="J752" s="1"/>
      <c r="K752" s="1"/>
      <c r="L752" s="1"/>
      <c r="M752" s="1"/>
      <c r="N752" s="1"/>
    </row>
    <row r="753" ht="14.25" customHeight="1">
      <c r="A753" s="1"/>
      <c r="B753" s="107"/>
      <c r="C753" s="184"/>
      <c r="D753" s="108"/>
      <c r="E753" s="1"/>
      <c r="F753" s="1"/>
      <c r="G753" s="1"/>
      <c r="H753" s="1"/>
      <c r="I753" s="1"/>
      <c r="J753" s="1"/>
      <c r="K753" s="1"/>
      <c r="L753" s="1"/>
      <c r="M753" s="1"/>
      <c r="N753" s="1"/>
    </row>
    <row r="754" ht="14.25" customHeight="1">
      <c r="A754" s="1"/>
      <c r="B754" s="107"/>
      <c r="C754" s="184"/>
      <c r="D754" s="108"/>
      <c r="E754" s="1"/>
      <c r="F754" s="1"/>
      <c r="G754" s="1"/>
      <c r="H754" s="1"/>
      <c r="I754" s="1"/>
      <c r="J754" s="1"/>
      <c r="K754" s="1"/>
      <c r="L754" s="1"/>
      <c r="M754" s="1"/>
      <c r="N754" s="1"/>
    </row>
    <row r="755" ht="14.25" customHeight="1">
      <c r="A755" s="1"/>
      <c r="B755" s="107"/>
      <c r="C755" s="184"/>
      <c r="D755" s="108"/>
      <c r="E755" s="1"/>
      <c r="F755" s="1"/>
      <c r="G755" s="1"/>
      <c r="H755" s="1"/>
      <c r="I755" s="1"/>
      <c r="J755" s="1"/>
      <c r="K755" s="1"/>
      <c r="L755" s="1"/>
      <c r="M755" s="1"/>
      <c r="N755" s="1"/>
    </row>
    <row r="756" ht="14.25" customHeight="1">
      <c r="A756" s="1"/>
      <c r="B756" s="107"/>
      <c r="C756" s="184"/>
      <c r="D756" s="108"/>
      <c r="E756" s="1"/>
      <c r="F756" s="1"/>
      <c r="G756" s="1"/>
      <c r="H756" s="1"/>
      <c r="I756" s="1"/>
      <c r="J756" s="1"/>
      <c r="K756" s="1"/>
      <c r="L756" s="1"/>
      <c r="M756" s="1"/>
      <c r="N756" s="1"/>
    </row>
    <row r="757" ht="14.25" customHeight="1">
      <c r="A757" s="1"/>
      <c r="B757" s="107"/>
      <c r="C757" s="184"/>
      <c r="D757" s="108"/>
      <c r="E757" s="1"/>
      <c r="F757" s="1"/>
      <c r="G757" s="1"/>
      <c r="H757" s="1"/>
      <c r="I757" s="1"/>
      <c r="J757" s="1"/>
      <c r="K757" s="1"/>
      <c r="L757" s="1"/>
      <c r="M757" s="1"/>
      <c r="N757" s="1"/>
    </row>
    <row r="758" ht="14.25" customHeight="1">
      <c r="A758" s="1"/>
      <c r="B758" s="107"/>
      <c r="C758" s="184"/>
      <c r="D758" s="108"/>
      <c r="E758" s="1"/>
      <c r="F758" s="1"/>
      <c r="G758" s="1"/>
      <c r="H758" s="1"/>
      <c r="I758" s="1"/>
      <c r="J758" s="1"/>
      <c r="K758" s="1"/>
      <c r="L758" s="1"/>
      <c r="M758" s="1"/>
      <c r="N758" s="1"/>
    </row>
    <row r="759" ht="14.25" customHeight="1">
      <c r="A759" s="1"/>
      <c r="B759" s="107"/>
      <c r="C759" s="184"/>
      <c r="D759" s="108"/>
      <c r="E759" s="1"/>
      <c r="F759" s="1"/>
      <c r="G759" s="1"/>
      <c r="H759" s="1"/>
      <c r="I759" s="1"/>
      <c r="J759" s="1"/>
      <c r="K759" s="1"/>
      <c r="L759" s="1"/>
      <c r="M759" s="1"/>
      <c r="N759" s="1"/>
    </row>
    <row r="760" ht="14.25" customHeight="1">
      <c r="A760" s="1"/>
      <c r="B760" s="107"/>
      <c r="C760" s="184"/>
      <c r="D760" s="108"/>
      <c r="E760" s="1"/>
      <c r="F760" s="1"/>
      <c r="G760" s="1"/>
      <c r="H760" s="1"/>
      <c r="I760" s="1"/>
      <c r="J760" s="1"/>
      <c r="K760" s="1"/>
      <c r="L760" s="1"/>
      <c r="M760" s="1"/>
      <c r="N760" s="1"/>
    </row>
    <row r="761" ht="14.25" customHeight="1">
      <c r="A761" s="1"/>
      <c r="B761" s="107"/>
      <c r="C761" s="184"/>
      <c r="D761" s="108"/>
      <c r="E761" s="1"/>
      <c r="F761" s="1"/>
      <c r="G761" s="1"/>
      <c r="H761" s="1"/>
      <c r="I761" s="1"/>
      <c r="J761" s="1"/>
      <c r="K761" s="1"/>
      <c r="L761" s="1"/>
      <c r="M761" s="1"/>
      <c r="N761" s="1"/>
    </row>
    <row r="762" ht="14.25" customHeight="1">
      <c r="A762" s="1"/>
      <c r="B762" s="107"/>
      <c r="C762" s="184"/>
      <c r="D762" s="108"/>
      <c r="E762" s="1"/>
      <c r="F762" s="1"/>
      <c r="G762" s="1"/>
      <c r="H762" s="1"/>
      <c r="I762" s="1"/>
      <c r="J762" s="1"/>
      <c r="K762" s="1"/>
      <c r="L762" s="1"/>
      <c r="M762" s="1"/>
      <c r="N762" s="1"/>
    </row>
    <row r="763" ht="14.25" customHeight="1">
      <c r="A763" s="1"/>
      <c r="B763" s="107"/>
      <c r="C763" s="184"/>
      <c r="D763" s="108"/>
      <c r="E763" s="1"/>
      <c r="F763" s="1"/>
      <c r="G763" s="1"/>
      <c r="H763" s="1"/>
      <c r="I763" s="1"/>
      <c r="J763" s="1"/>
      <c r="K763" s="1"/>
      <c r="L763" s="1"/>
      <c r="M763" s="1"/>
      <c r="N763" s="1"/>
    </row>
    <row r="764" ht="14.25" customHeight="1">
      <c r="A764" s="1"/>
      <c r="B764" s="107"/>
      <c r="C764" s="184"/>
      <c r="D764" s="108"/>
      <c r="E764" s="1"/>
      <c r="F764" s="1"/>
      <c r="G764" s="1"/>
      <c r="H764" s="1"/>
      <c r="I764" s="1"/>
      <c r="J764" s="1"/>
      <c r="K764" s="1"/>
      <c r="L764" s="1"/>
      <c r="M764" s="1"/>
      <c r="N764" s="1"/>
    </row>
    <row r="765" ht="14.25" customHeight="1">
      <c r="A765" s="1"/>
      <c r="B765" s="107"/>
      <c r="C765" s="184"/>
      <c r="D765" s="108"/>
      <c r="E765" s="1"/>
      <c r="F765" s="1"/>
      <c r="G765" s="1"/>
      <c r="H765" s="1"/>
      <c r="I765" s="1"/>
      <c r="J765" s="1"/>
      <c r="K765" s="1"/>
      <c r="L765" s="1"/>
      <c r="M765" s="1"/>
      <c r="N765" s="1"/>
    </row>
    <row r="766" ht="14.25" customHeight="1">
      <c r="A766" s="1"/>
      <c r="B766" s="107"/>
      <c r="C766" s="184"/>
      <c r="D766" s="108"/>
      <c r="E766" s="1"/>
      <c r="F766" s="1"/>
      <c r="G766" s="1"/>
      <c r="H766" s="1"/>
      <c r="I766" s="1"/>
      <c r="J766" s="1"/>
      <c r="K766" s="1"/>
      <c r="L766" s="1"/>
      <c r="M766" s="1"/>
      <c r="N766" s="1"/>
    </row>
    <row r="767" ht="15.0" customHeight="1">
      <c r="A767" s="1"/>
      <c r="B767" s="107"/>
      <c r="C767" s="184"/>
      <c r="D767" s="108"/>
      <c r="E767" s="1"/>
      <c r="F767" s="1"/>
      <c r="G767" s="1"/>
      <c r="H767" s="1"/>
      <c r="I767" s="1"/>
      <c r="J767" s="1"/>
      <c r="K767" s="1"/>
      <c r="L767" s="1"/>
      <c r="M767" s="1"/>
      <c r="N767" s="1"/>
    </row>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1">
    <mergeCell ref="E152:E153"/>
    <mergeCell ref="E179:E183"/>
    <mergeCell ref="E184:E190"/>
    <mergeCell ref="E199:E203"/>
    <mergeCell ref="E204:E214"/>
    <mergeCell ref="E215:E218"/>
    <mergeCell ref="E219:E223"/>
    <mergeCell ref="E224:E225"/>
    <mergeCell ref="E307:E313"/>
    <mergeCell ref="E314:E315"/>
    <mergeCell ref="E344:E354"/>
    <mergeCell ref="E355:E358"/>
    <mergeCell ref="E359:E361"/>
    <mergeCell ref="E548:E551"/>
    <mergeCell ref="E591:E593"/>
    <mergeCell ref="E594:E596"/>
    <mergeCell ref="E552:E557"/>
    <mergeCell ref="E558:E560"/>
    <mergeCell ref="E561:E563"/>
    <mergeCell ref="E564:E566"/>
    <mergeCell ref="E578:E581"/>
    <mergeCell ref="E582:E587"/>
    <mergeCell ref="E588:E590"/>
    <mergeCell ref="A317:C318"/>
    <mergeCell ref="A324:D324"/>
    <mergeCell ref="A340:D340"/>
    <mergeCell ref="E342:E343"/>
    <mergeCell ref="A367:D367"/>
    <mergeCell ref="A384:D384"/>
    <mergeCell ref="F393:I393"/>
    <mergeCell ref="F463:I463"/>
    <mergeCell ref="J463:L463"/>
    <mergeCell ref="A481:D481"/>
    <mergeCell ref="A610:D610"/>
    <mergeCell ref="A400:D400"/>
    <mergeCell ref="A419:D419"/>
    <mergeCell ref="E421:E422"/>
    <mergeCell ref="E423:E429"/>
    <mergeCell ref="E436:E437"/>
    <mergeCell ref="A442:D442"/>
    <mergeCell ref="A462:D462"/>
    <mergeCell ref="A1:D1"/>
    <mergeCell ref="E3:E7"/>
    <mergeCell ref="E8:E13"/>
    <mergeCell ref="E14:E16"/>
    <mergeCell ref="E17:E19"/>
    <mergeCell ref="E20:E21"/>
    <mergeCell ref="A26:D26"/>
    <mergeCell ref="A84:D84"/>
    <mergeCell ref="A103:D103"/>
    <mergeCell ref="E28:E31"/>
    <mergeCell ref="E34:E35"/>
    <mergeCell ref="E36:E38"/>
    <mergeCell ref="A44:D44"/>
    <mergeCell ref="E46:E50"/>
    <mergeCell ref="E51:E53"/>
    <mergeCell ref="A62:D62"/>
    <mergeCell ref="E107:E112"/>
    <mergeCell ref="E114:E116"/>
    <mergeCell ref="A122:D122"/>
    <mergeCell ref="E54:E57"/>
    <mergeCell ref="E63:E68"/>
    <mergeCell ref="E69:E76"/>
    <mergeCell ref="E86:E88"/>
    <mergeCell ref="E89:E94"/>
    <mergeCell ref="E96:E97"/>
    <mergeCell ref="E105:E106"/>
    <mergeCell ref="E123:E132"/>
    <mergeCell ref="E133:E137"/>
    <mergeCell ref="E138:E148"/>
    <mergeCell ref="E149:E151"/>
    <mergeCell ref="A160:D160"/>
    <mergeCell ref="F160:I160"/>
    <mergeCell ref="A177:D177"/>
    <mergeCell ref="A197:D197"/>
    <mergeCell ref="A232:D232"/>
    <mergeCell ref="A244:C246"/>
    <mergeCell ref="A252:D252"/>
    <mergeCell ref="A265:D265"/>
    <mergeCell ref="A290:D290"/>
    <mergeCell ref="A306:D306"/>
  </mergeCells>
  <hyperlinks>
    <hyperlink display="BACK" location="'Recipe Index'!AT55" ref="A40"/>
    <hyperlink display="HOME" location="'Recipe Index'!B5" ref="B40"/>
    <hyperlink display="BACK" location="'Recipe Index'!AT55" ref="A58"/>
    <hyperlink display="HOME" location="'Recipe Index'!B5" ref="B58"/>
    <hyperlink display="BACK" location="'Recipe Index'!AT55" ref="A80"/>
    <hyperlink display="HOME" location="'Recipe Index'!B5" ref="B80"/>
    <hyperlink display="BACK" location="'Recipe Index'!AT55" ref="A98"/>
    <hyperlink display="HOME" location="'Recipe Index'!B5" ref="B98"/>
    <hyperlink display="BACK" location="'Recipe Index'!AT55" ref="A117"/>
    <hyperlink display="HOME" location="'Recipe Index'!B5" ref="B117"/>
    <hyperlink display="BACK" location="'Recipe Index'!AT55" ref="A155"/>
    <hyperlink display="HOME" location="'Recipe Index'!B5" ref="B155"/>
    <hyperlink display="BACK" location="'Recipe Index'!AT55" ref="A172"/>
    <hyperlink display="HOME" location="'Recipe Index'!B5" ref="B172"/>
    <hyperlink display="BACK" location="'Recipe Index'!AT55" ref="A192"/>
    <hyperlink display="HOME" location="'Recipe Index'!B5" ref="B192"/>
    <hyperlink display="BACK" location="'Recipe Index'!AT55" ref="A227"/>
    <hyperlink display="HOME" location="'Recipe Index'!B5" ref="B227"/>
    <hyperlink display="BACK" location="'Recipe Index'!AT55" ref="A250"/>
    <hyperlink display="HOME" location="'Recipe Index'!B5" ref="B250"/>
    <hyperlink display="BACK" location="'Recipe Index'!AT55" ref="A260"/>
    <hyperlink display="HOME" location="'Recipe Index'!B5" ref="B260"/>
    <hyperlink display="BACK" location="'Recipe Index'!AT55" ref="A284"/>
    <hyperlink display="HOME" location="'Recipe Index'!B5" ref="B284"/>
    <hyperlink display="BACK" location="'Recipe Index'!AT55" ref="A301"/>
    <hyperlink display="HOME" location="'Recipe Index'!B5" ref="B301"/>
    <hyperlink display="BACK" location="'Recipe Index'!AT55" ref="A319"/>
    <hyperlink display="HOME" location="'Recipe Index'!B5" ref="B319"/>
    <hyperlink display="BACK" location="'Recipe Index'!AT37" ref="A335"/>
    <hyperlink display="HOME" location="'Recipe Index'!B5" ref="B335"/>
    <hyperlink display="BACK" location="'Recipe Index'!AT55" ref="A362"/>
    <hyperlink display="HOME" location="'Recipe Index'!B5" ref="B362"/>
    <hyperlink display="BACK" location="'Recipe Index'!AT37" ref="A379"/>
    <hyperlink display="HOME" location="'Recipe Index'!B5" ref="B379"/>
    <hyperlink display="BACK" location="'Recipe Index'!AT37" ref="A396"/>
    <hyperlink display="HOME" location="'Recipe Index'!B5" ref="B396"/>
    <hyperlink display="BACK" location="'Recipe Index'!AT37" ref="A415"/>
    <hyperlink display="HOME" location="'Recipe Index'!B5" ref="B415"/>
    <hyperlink display="BACK" location="'Recipe Index'!AT37" ref="F415"/>
    <hyperlink display="HOME" location="'Recipe Index'!B5" ref="G415"/>
    <hyperlink display="BACK" location="'Recipe Index'!AT55" ref="A438"/>
    <hyperlink display="HOME" location="'Recipe Index'!B5" ref="B438"/>
    <hyperlink display="BACK" location="'Recipe Index'!AT37" ref="A457"/>
    <hyperlink display="HOME" location="'Recipe Index'!B5" ref="B457"/>
    <hyperlink display="BACK" location="'Recipe Index'!AT37" ref="A476"/>
    <hyperlink display="HOME" location="'Recipe Index'!B5" ref="B476"/>
    <hyperlink display="BACK" location="'Recipe Index'!AT55" ref="A493"/>
    <hyperlink display="HOME" location="'Recipe Index'!B5" ref="B493"/>
    <hyperlink display="BACK" location="'Recipe Index'!AT55" ref="A515"/>
    <hyperlink display="HOME" location="'Recipe Index'!B5" ref="B515"/>
    <hyperlink display="BACK" location="'Recipe Index'!AT37" ref="A527"/>
    <hyperlink display="HOME" location="'Recipe Index'!B5" ref="B527"/>
    <hyperlink display="BACK" location="'Recipe Index'!AT55" ref="A538"/>
    <hyperlink display="HOME" location="'Recipe Index'!B5" ref="B538"/>
    <hyperlink display="BACK" location="'Recipe Index'!AT37" ref="A567"/>
    <hyperlink display="HOME" location="'Recipe Index'!B5" ref="B567"/>
    <hyperlink display="BACK" location="'Recipe Index'!AT55" ref="A597"/>
    <hyperlink display="HOME" location="'Recipe Index'!B5" ref="B597"/>
    <hyperlink display="BACK" location="'Recipe Index'!AT55" ref="A629"/>
    <hyperlink display="HOME" location="'Recipe Index'!B5" ref="B629"/>
  </hyperlinks>
  <printOptions/>
  <pageMargins bottom="0.25" footer="0.0" header="0.0" left="0.2" right="0.2" top="0.2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workbookViewId="0"/>
  </sheetViews>
  <sheetFormatPr customHeight="1" defaultColWidth="12.63" defaultRowHeight="15.0"/>
  <cols>
    <col customWidth="1" min="1" max="1" width="17.0"/>
    <col customWidth="1" min="2" max="2" width="25.75"/>
    <col customWidth="1" hidden="1" min="3" max="3" width="21.38"/>
    <col customWidth="1" min="4" max="4" width="5.25"/>
    <col customWidth="1" min="5" max="5" width="5.38"/>
    <col customWidth="1" min="6" max="6" width="41.25"/>
    <col customWidth="1" min="7" max="7" width="18.75"/>
    <col customWidth="1" min="8" max="8" width="28.75"/>
    <col customWidth="1" hidden="1" min="9" max="9" width="10.0"/>
    <col customWidth="1" min="10" max="10" width="12.0"/>
    <col customWidth="1" min="11" max="11" width="5.75"/>
    <col customWidth="1" min="12" max="12" width="41.25"/>
    <col customWidth="1" min="13" max="26" width="14.38"/>
  </cols>
  <sheetData>
    <row r="1" ht="13.5" customHeight="1">
      <c r="A1" s="11"/>
      <c r="B1" s="1123" t="s">
        <v>1249</v>
      </c>
      <c r="C1" s="5"/>
      <c r="D1" s="5"/>
      <c r="E1" s="6"/>
      <c r="F1" s="1125"/>
      <c r="G1" s="11"/>
      <c r="H1" s="11"/>
      <c r="I1" s="11"/>
      <c r="J1" s="1127"/>
      <c r="K1" s="11"/>
      <c r="L1" s="11"/>
    </row>
    <row r="2" ht="15.0" customHeight="1">
      <c r="A2" s="11"/>
      <c r="B2" s="732" t="s">
        <v>1</v>
      </c>
      <c r="C2" s="164">
        <v>1000.0</v>
      </c>
      <c r="D2" s="221">
        <v>60.0</v>
      </c>
      <c r="E2" s="169" t="s">
        <v>9</v>
      </c>
      <c r="F2" s="455"/>
      <c r="G2" s="11"/>
      <c r="H2" s="11"/>
      <c r="I2" s="11"/>
      <c r="J2" s="1127"/>
      <c r="K2" s="11"/>
      <c r="L2" s="11"/>
    </row>
    <row r="3" ht="13.5" customHeight="1">
      <c r="A3" s="11"/>
      <c r="B3" s="1129" t="s">
        <v>1257</v>
      </c>
      <c r="C3" s="355">
        <v>40.0</v>
      </c>
      <c r="D3" s="50">
        <f t="shared" ref="D3:D19" si="1">(C3*D2)/C2</f>
        <v>2.4</v>
      </c>
      <c r="E3" s="267" t="s">
        <v>14</v>
      </c>
      <c r="F3" s="455"/>
      <c r="G3" s="11"/>
      <c r="H3" s="11"/>
      <c r="I3" s="11"/>
      <c r="J3" s="1127"/>
      <c r="K3" s="11"/>
      <c r="L3" s="11"/>
    </row>
    <row r="4" ht="13.5" customHeight="1">
      <c r="A4" s="11"/>
      <c r="B4" s="732" t="s">
        <v>91</v>
      </c>
      <c r="C4" s="316">
        <v>2.5</v>
      </c>
      <c r="D4" s="221">
        <f t="shared" si="1"/>
        <v>0.15</v>
      </c>
      <c r="E4" s="169" t="s">
        <v>5</v>
      </c>
      <c r="F4" s="1132" t="s">
        <v>94</v>
      </c>
      <c r="G4" s="11"/>
      <c r="H4" s="11"/>
      <c r="I4" s="11"/>
      <c r="J4" s="1127"/>
      <c r="K4" s="11"/>
      <c r="L4" s="11"/>
    </row>
    <row r="5" ht="13.5" customHeight="1">
      <c r="A5" s="11"/>
      <c r="B5" s="1134" t="s">
        <v>97</v>
      </c>
      <c r="C5" s="321">
        <v>150.0</v>
      </c>
      <c r="D5" s="27">
        <f t="shared" si="1"/>
        <v>9</v>
      </c>
      <c r="E5" s="204" t="s">
        <v>18</v>
      </c>
      <c r="F5" s="47"/>
      <c r="G5" s="11"/>
      <c r="H5" s="11"/>
      <c r="I5" s="11"/>
      <c r="J5" s="1127"/>
      <c r="K5" s="11"/>
      <c r="L5" s="11"/>
    </row>
    <row r="6" ht="13.5" customHeight="1">
      <c r="A6" s="11"/>
      <c r="B6" s="1134" t="s">
        <v>1265</v>
      </c>
      <c r="C6" s="321">
        <v>0.75</v>
      </c>
      <c r="D6" s="27">
        <f t="shared" si="1"/>
        <v>0.045</v>
      </c>
      <c r="E6" s="204" t="s">
        <v>14</v>
      </c>
      <c r="F6" s="47"/>
      <c r="G6" s="11"/>
      <c r="H6" s="11"/>
      <c r="I6" s="11"/>
      <c r="J6" s="1127"/>
      <c r="K6" s="11"/>
      <c r="L6" s="11"/>
    </row>
    <row r="7" ht="15.0" customHeight="1">
      <c r="A7" s="11"/>
      <c r="B7" s="1134" t="s">
        <v>101</v>
      </c>
      <c r="C7" s="321">
        <v>2.5</v>
      </c>
      <c r="D7" s="27">
        <f t="shared" si="1"/>
        <v>0.15</v>
      </c>
      <c r="E7" s="204" t="s">
        <v>5</v>
      </c>
      <c r="F7" s="47"/>
      <c r="G7" s="11"/>
      <c r="H7" s="11"/>
      <c r="I7" s="11"/>
      <c r="J7" s="1127"/>
      <c r="K7" s="11"/>
      <c r="L7" s="11"/>
    </row>
    <row r="8" ht="13.5" customHeight="1">
      <c r="A8" s="11"/>
      <c r="B8" s="1134" t="s">
        <v>103</v>
      </c>
      <c r="C8" s="321">
        <v>100.0</v>
      </c>
      <c r="D8" s="27">
        <f t="shared" si="1"/>
        <v>6</v>
      </c>
      <c r="E8" s="204" t="s">
        <v>18</v>
      </c>
      <c r="F8" s="47"/>
      <c r="G8" s="11"/>
      <c r="H8" s="11"/>
      <c r="I8" s="11"/>
      <c r="J8" s="1127"/>
      <c r="K8" s="11"/>
      <c r="L8" s="11"/>
    </row>
    <row r="9" ht="13.5" customHeight="1">
      <c r="A9" s="11"/>
      <c r="B9" s="1134" t="s">
        <v>346</v>
      </c>
      <c r="C9" s="321">
        <v>200.0</v>
      </c>
      <c r="D9" s="27">
        <f t="shared" si="1"/>
        <v>12</v>
      </c>
      <c r="E9" s="204" t="s">
        <v>18</v>
      </c>
      <c r="F9" s="47"/>
      <c r="G9" s="11"/>
      <c r="H9" s="11"/>
      <c r="I9" s="11"/>
      <c r="J9" s="1127"/>
      <c r="K9" s="11"/>
      <c r="L9" s="11"/>
    </row>
    <row r="10" ht="13.5" customHeight="1">
      <c r="A10" s="11"/>
      <c r="B10" s="1134" t="s">
        <v>92</v>
      </c>
      <c r="C10" s="321">
        <v>1000.0</v>
      </c>
      <c r="D10" s="27">
        <f t="shared" si="1"/>
        <v>60</v>
      </c>
      <c r="E10" s="204" t="s">
        <v>82</v>
      </c>
      <c r="F10" s="47"/>
      <c r="G10" s="11"/>
      <c r="H10" s="11"/>
      <c r="I10" s="11"/>
      <c r="J10" s="1127"/>
      <c r="K10" s="11"/>
      <c r="L10" s="11"/>
    </row>
    <row r="11" ht="13.5" customHeight="1">
      <c r="A11" s="11"/>
      <c r="B11" s="1136" t="s">
        <v>52</v>
      </c>
      <c r="C11" s="318">
        <v>75.0</v>
      </c>
      <c r="D11" s="236">
        <f t="shared" si="1"/>
        <v>4.5</v>
      </c>
      <c r="E11" s="212" t="s">
        <v>18</v>
      </c>
      <c r="F11" s="76"/>
      <c r="G11" s="11"/>
      <c r="H11" s="11"/>
      <c r="I11" s="11"/>
      <c r="J11" s="1127"/>
      <c r="K11" s="11"/>
      <c r="L11" s="11"/>
    </row>
    <row r="12" ht="13.5" customHeight="1">
      <c r="A12" s="11"/>
      <c r="B12" s="1138" t="s">
        <v>31</v>
      </c>
      <c r="C12" s="839">
        <v>500.0</v>
      </c>
      <c r="D12" s="244">
        <f t="shared" si="1"/>
        <v>30</v>
      </c>
      <c r="E12" s="159" t="s">
        <v>18</v>
      </c>
      <c r="F12" s="1139" t="s">
        <v>1269</v>
      </c>
      <c r="G12" s="11"/>
      <c r="H12" s="11"/>
      <c r="I12" s="11"/>
      <c r="J12" s="1127"/>
      <c r="K12" s="11"/>
      <c r="L12" s="11"/>
    </row>
    <row r="13" ht="13.5" customHeight="1">
      <c r="A13" s="11"/>
      <c r="B13" s="1129" t="s">
        <v>1270</v>
      </c>
      <c r="C13" s="355">
        <v>4.0</v>
      </c>
      <c r="D13" s="50">
        <f t="shared" si="1"/>
        <v>0.24</v>
      </c>
      <c r="E13" s="267" t="s">
        <v>14</v>
      </c>
      <c r="F13" s="47"/>
      <c r="G13" s="11"/>
      <c r="H13" s="11"/>
      <c r="I13" s="11"/>
      <c r="J13" s="1127"/>
      <c r="K13" s="11"/>
      <c r="L13" s="11"/>
    </row>
    <row r="14" ht="13.5" customHeight="1">
      <c r="A14" s="11"/>
      <c r="B14" s="732" t="s">
        <v>167</v>
      </c>
      <c r="C14" s="316">
        <v>0.25</v>
      </c>
      <c r="D14" s="221">
        <f t="shared" si="1"/>
        <v>0.015</v>
      </c>
      <c r="E14" s="169" t="s">
        <v>5</v>
      </c>
      <c r="F14" s="845" t="s">
        <v>1271</v>
      </c>
      <c r="G14" s="11"/>
      <c r="H14" s="11"/>
      <c r="I14" s="11"/>
      <c r="J14" s="1127"/>
      <c r="K14" s="11"/>
      <c r="L14" s="11"/>
    </row>
    <row r="15" ht="18.0" customHeight="1">
      <c r="A15" s="11"/>
      <c r="B15" s="1136" t="s">
        <v>1272</v>
      </c>
      <c r="C15" s="318">
        <v>3.5</v>
      </c>
      <c r="D15" s="236">
        <f t="shared" si="1"/>
        <v>0.21</v>
      </c>
      <c r="E15" s="212" t="s">
        <v>5</v>
      </c>
      <c r="F15" s="76"/>
      <c r="G15" s="11"/>
      <c r="H15" s="11"/>
      <c r="I15" s="11"/>
      <c r="J15" s="1127"/>
      <c r="K15" s="11"/>
      <c r="L15" s="11"/>
    </row>
    <row r="16" ht="13.5" customHeight="1">
      <c r="A16" s="11"/>
      <c r="B16" s="732" t="s">
        <v>1274</v>
      </c>
      <c r="C16" s="316">
        <v>11.0</v>
      </c>
      <c r="D16" s="221">
        <f t="shared" si="1"/>
        <v>0.66</v>
      </c>
      <c r="E16" s="169" t="s">
        <v>14</v>
      </c>
      <c r="F16" s="1140" t="s">
        <v>1275</v>
      </c>
      <c r="G16" s="11"/>
      <c r="H16" s="11"/>
      <c r="I16" s="11"/>
      <c r="J16" s="1127"/>
      <c r="K16" s="11"/>
      <c r="L16" s="11"/>
    </row>
    <row r="17" ht="13.5" customHeight="1">
      <c r="A17" s="11"/>
      <c r="B17" s="1134" t="s">
        <v>31</v>
      </c>
      <c r="C17" s="321">
        <v>110.0</v>
      </c>
      <c r="D17" s="27">
        <f t="shared" si="1"/>
        <v>6.6</v>
      </c>
      <c r="E17" s="204" t="s">
        <v>18</v>
      </c>
      <c r="F17" s="47"/>
      <c r="G17" s="11"/>
      <c r="H17" s="11"/>
      <c r="I17" s="11"/>
      <c r="J17" s="1127"/>
      <c r="K17" s="11"/>
      <c r="L17" s="11"/>
    </row>
    <row r="18" ht="13.5" customHeight="1">
      <c r="A18" s="11"/>
      <c r="B18" s="1134" t="s">
        <v>52</v>
      </c>
      <c r="C18" s="321">
        <v>55.0</v>
      </c>
      <c r="D18" s="27">
        <f t="shared" si="1"/>
        <v>3.3</v>
      </c>
      <c r="E18" s="204" t="s">
        <v>18</v>
      </c>
      <c r="F18" s="47"/>
      <c r="G18" s="11"/>
      <c r="H18" s="11"/>
      <c r="I18" s="11"/>
      <c r="J18" s="1127"/>
      <c r="K18" s="11"/>
      <c r="L18" s="11"/>
    </row>
    <row r="19" ht="13.5" customHeight="1">
      <c r="A19" s="11"/>
      <c r="B19" s="1136" t="s">
        <v>1278</v>
      </c>
      <c r="C19" s="318">
        <v>5.0</v>
      </c>
      <c r="D19" s="236">
        <f t="shared" si="1"/>
        <v>0.3</v>
      </c>
      <c r="E19" s="212" t="s">
        <v>5</v>
      </c>
      <c r="F19" s="47"/>
      <c r="G19" s="11"/>
      <c r="H19" s="11"/>
      <c r="I19" s="11"/>
      <c r="J19" s="1127"/>
      <c r="K19" s="11"/>
      <c r="L19" s="11"/>
    </row>
    <row r="20" ht="13.5" customHeight="1">
      <c r="A20" s="11"/>
      <c r="B20" s="1141" t="s">
        <v>1280</v>
      </c>
      <c r="C20" s="363">
        <v>200.0</v>
      </c>
      <c r="D20" s="71">
        <f>(C20*D17)/C17</f>
        <v>12</v>
      </c>
      <c r="E20" s="1008" t="s">
        <v>82</v>
      </c>
      <c r="F20" s="1142" t="s">
        <v>1281</v>
      </c>
      <c r="G20" s="11"/>
      <c r="H20" s="11"/>
      <c r="I20" s="11"/>
      <c r="J20" s="1127"/>
      <c r="K20" s="11"/>
      <c r="L20" s="11"/>
    </row>
    <row r="21" ht="13.5" customHeight="1">
      <c r="A21" s="11"/>
      <c r="B21" s="1143" t="s">
        <v>119</v>
      </c>
      <c r="C21" s="818" t="s">
        <v>47</v>
      </c>
      <c r="D21" s="1148"/>
      <c r="E21" s="455"/>
      <c r="F21" s="11"/>
      <c r="G21" s="11"/>
      <c r="H21" s="11"/>
      <c r="I21" s="11"/>
      <c r="J21" s="1127"/>
      <c r="K21" s="11"/>
      <c r="L21" s="11"/>
    </row>
    <row r="22" ht="15.0" customHeight="1">
      <c r="A22" s="11"/>
      <c r="B22" s="11"/>
      <c r="C22" s="11"/>
      <c r="D22" s="1167"/>
      <c r="E22" s="11"/>
      <c r="F22" s="11"/>
      <c r="G22" s="11"/>
      <c r="H22" s="11"/>
      <c r="I22" s="11"/>
      <c r="J22" s="1127"/>
      <c r="K22" s="11"/>
      <c r="L22" s="11"/>
    </row>
    <row r="23" ht="13.5" customHeight="1">
      <c r="A23" s="11"/>
      <c r="B23" s="11"/>
      <c r="C23" s="11"/>
      <c r="D23" s="1167"/>
      <c r="E23" s="11"/>
      <c r="F23" s="11"/>
      <c r="G23" s="11"/>
      <c r="H23" s="11"/>
      <c r="I23" s="11"/>
      <c r="J23" s="1127"/>
      <c r="K23" s="11"/>
      <c r="L23" s="11"/>
    </row>
    <row r="24" ht="13.5" customHeight="1">
      <c r="A24" s="11"/>
      <c r="B24" s="11"/>
      <c r="C24" s="11"/>
      <c r="D24" s="1167"/>
      <c r="E24" s="11"/>
      <c r="F24" s="11"/>
      <c r="G24" s="11"/>
      <c r="H24" s="11"/>
      <c r="I24" s="11"/>
      <c r="J24" s="1127"/>
      <c r="K24" s="11"/>
      <c r="L24" s="11"/>
    </row>
    <row r="25" ht="13.5" customHeight="1">
      <c r="A25" s="11"/>
      <c r="B25" s="240" t="s">
        <v>283</v>
      </c>
      <c r="C25" s="5"/>
      <c r="D25" s="5"/>
      <c r="E25" s="6"/>
      <c r="F25" s="11"/>
      <c r="G25" s="1172" t="s">
        <v>800</v>
      </c>
      <c r="H25" s="1174" t="s">
        <v>802</v>
      </c>
      <c r="I25" s="11"/>
      <c r="J25" s="1127"/>
      <c r="K25" s="11"/>
      <c r="L25" s="11"/>
    </row>
    <row r="26" ht="13.5" customHeight="1">
      <c r="A26" s="11"/>
      <c r="B26" s="25" t="s">
        <v>1295</v>
      </c>
      <c r="C26" s="26">
        <v>2000.0</v>
      </c>
      <c r="D26" s="410">
        <v>500.0</v>
      </c>
      <c r="E26" s="28" t="s">
        <v>351</v>
      </c>
      <c r="F26" s="1177"/>
      <c r="G26" s="163"/>
      <c r="H26" s="1181">
        <f t="shared" ref="H26:H44" si="2">D26*G26</f>
        <v>0</v>
      </c>
      <c r="I26" s="11"/>
      <c r="J26" s="1127"/>
      <c r="K26" s="11"/>
      <c r="L26" s="11"/>
    </row>
    <row r="27" ht="15.0" customHeight="1">
      <c r="A27" s="11"/>
      <c r="B27" s="163" t="s">
        <v>1299</v>
      </c>
      <c r="C27" s="316">
        <v>30.0</v>
      </c>
      <c r="D27" s="131">
        <f t="shared" ref="D27:D44" si="3">(C27*D26)/C26</f>
        <v>7.5</v>
      </c>
      <c r="E27" s="169" t="s">
        <v>366</v>
      </c>
      <c r="F27" s="1183" t="s">
        <v>1303</v>
      </c>
      <c r="G27" s="177">
        <v>20.0</v>
      </c>
      <c r="H27" s="1185">
        <f t="shared" si="2"/>
        <v>150</v>
      </c>
      <c r="I27" s="11"/>
      <c r="J27" s="1127"/>
      <c r="K27" s="11"/>
      <c r="L27" s="11"/>
    </row>
    <row r="28" ht="15.0" customHeight="1">
      <c r="A28" s="11"/>
      <c r="B28" s="157" t="s">
        <v>124</v>
      </c>
      <c r="C28" s="839">
        <v>300.0</v>
      </c>
      <c r="D28" s="174">
        <f t="shared" si="3"/>
        <v>75</v>
      </c>
      <c r="E28" s="159" t="s">
        <v>18</v>
      </c>
      <c r="F28" s="47"/>
      <c r="G28" s="177">
        <v>0.02</v>
      </c>
      <c r="H28" s="1185">
        <f t="shared" si="2"/>
        <v>1.5</v>
      </c>
      <c r="I28" s="11"/>
      <c r="J28" s="1127"/>
      <c r="K28" s="11"/>
      <c r="L28" s="11"/>
    </row>
    <row r="29" ht="13.5" customHeight="1">
      <c r="A29" s="11"/>
      <c r="B29" s="157" t="s">
        <v>1310</v>
      </c>
      <c r="C29" s="839">
        <v>300.0</v>
      </c>
      <c r="D29" s="174">
        <f t="shared" si="3"/>
        <v>75</v>
      </c>
      <c r="E29" s="159" t="s">
        <v>18</v>
      </c>
      <c r="F29" s="47"/>
      <c r="G29" s="177">
        <v>0.01</v>
      </c>
      <c r="H29" s="1185">
        <f t="shared" si="2"/>
        <v>0.75</v>
      </c>
      <c r="I29" s="11"/>
      <c r="J29" s="1127"/>
      <c r="K29" s="11"/>
      <c r="L29" s="11"/>
    </row>
    <row r="30" ht="13.5" customHeight="1">
      <c r="A30" s="11"/>
      <c r="B30" s="325" t="s">
        <v>52</v>
      </c>
      <c r="C30" s="328">
        <v>100.0</v>
      </c>
      <c r="D30" s="368">
        <f t="shared" si="3"/>
        <v>25</v>
      </c>
      <c r="E30" s="338" t="s">
        <v>18</v>
      </c>
      <c r="F30" s="76"/>
      <c r="G30" s="177">
        <v>0.2</v>
      </c>
      <c r="H30" s="1185">
        <f t="shared" si="2"/>
        <v>5</v>
      </c>
      <c r="I30" s="11"/>
      <c r="J30" s="1127"/>
      <c r="K30" s="11"/>
      <c r="L30" s="11"/>
    </row>
    <row r="31" ht="13.5" customHeight="1">
      <c r="A31" s="11"/>
      <c r="B31" s="163" t="s">
        <v>1274</v>
      </c>
      <c r="C31" s="316">
        <v>8.0</v>
      </c>
      <c r="D31" s="131">
        <f t="shared" si="3"/>
        <v>2</v>
      </c>
      <c r="E31" s="169" t="s">
        <v>366</v>
      </c>
      <c r="F31" s="1183" t="s">
        <v>1312</v>
      </c>
      <c r="G31" s="177">
        <v>70.0</v>
      </c>
      <c r="H31" s="1185">
        <f t="shared" si="2"/>
        <v>140</v>
      </c>
      <c r="I31" s="11"/>
      <c r="J31" s="1127"/>
      <c r="K31" s="11"/>
      <c r="L31" s="11"/>
    </row>
    <row r="32" ht="13.5" customHeight="1">
      <c r="A32" s="11"/>
      <c r="B32" s="157" t="s">
        <v>1171</v>
      </c>
      <c r="C32" s="839">
        <v>4.0</v>
      </c>
      <c r="D32" s="174">
        <f t="shared" si="3"/>
        <v>1</v>
      </c>
      <c r="E32" s="159" t="s">
        <v>366</v>
      </c>
      <c r="F32" s="47"/>
      <c r="G32" s="177">
        <v>35.0</v>
      </c>
      <c r="H32" s="1185">
        <f t="shared" si="2"/>
        <v>35</v>
      </c>
      <c r="I32" s="11"/>
      <c r="J32" s="1127"/>
      <c r="K32" s="11"/>
      <c r="L32" s="11"/>
    </row>
    <row r="33" ht="13.5" customHeight="1">
      <c r="A33" s="11"/>
      <c r="B33" s="177" t="s">
        <v>31</v>
      </c>
      <c r="C33" s="321">
        <v>800.0</v>
      </c>
      <c r="D33" s="160">
        <f t="shared" si="3"/>
        <v>200</v>
      </c>
      <c r="E33" s="204" t="s">
        <v>18</v>
      </c>
      <c r="F33" s="47"/>
      <c r="G33" s="177">
        <v>0.01</v>
      </c>
      <c r="H33" s="1185">
        <f t="shared" si="2"/>
        <v>2</v>
      </c>
      <c r="I33" s="11"/>
      <c r="J33" s="1127"/>
      <c r="K33" s="11"/>
      <c r="L33" s="11"/>
    </row>
    <row r="34" ht="13.5" customHeight="1">
      <c r="A34" s="11"/>
      <c r="B34" s="177" t="s">
        <v>1314</v>
      </c>
      <c r="C34" s="321">
        <v>1250.0</v>
      </c>
      <c r="D34" s="160">
        <f t="shared" si="3"/>
        <v>312.5</v>
      </c>
      <c r="E34" s="204" t="s">
        <v>82</v>
      </c>
      <c r="F34" s="47"/>
      <c r="G34" s="177">
        <v>0.03</v>
      </c>
      <c r="H34" s="1185">
        <f t="shared" si="2"/>
        <v>9.375</v>
      </c>
      <c r="I34" s="11"/>
      <c r="J34" s="1127"/>
      <c r="K34" s="11"/>
      <c r="L34" s="11"/>
    </row>
    <row r="35" ht="13.5" customHeight="1">
      <c r="A35" s="11"/>
      <c r="B35" s="177" t="s">
        <v>528</v>
      </c>
      <c r="C35" s="321">
        <v>1000.0</v>
      </c>
      <c r="D35" s="160">
        <f t="shared" si="3"/>
        <v>250</v>
      </c>
      <c r="E35" s="204" t="s">
        <v>82</v>
      </c>
      <c r="F35" s="47"/>
      <c r="G35" s="177">
        <v>0.05</v>
      </c>
      <c r="H35" s="1185">
        <f t="shared" si="2"/>
        <v>12.5</v>
      </c>
      <c r="I35" s="11"/>
      <c r="J35" s="1127"/>
      <c r="K35" s="11"/>
      <c r="L35" s="11"/>
    </row>
    <row r="36" ht="13.5" customHeight="1">
      <c r="A36" s="11"/>
      <c r="B36" s="177" t="s">
        <v>1317</v>
      </c>
      <c r="C36" s="321">
        <v>200.0</v>
      </c>
      <c r="D36" s="160">
        <f t="shared" si="3"/>
        <v>50</v>
      </c>
      <c r="E36" s="204" t="s">
        <v>18</v>
      </c>
      <c r="F36" s="47"/>
      <c r="G36" s="177">
        <v>0.2</v>
      </c>
      <c r="H36" s="1185">
        <f t="shared" si="2"/>
        <v>10</v>
      </c>
      <c r="I36" s="11"/>
      <c r="J36" s="1127"/>
      <c r="K36" s="11"/>
      <c r="L36" s="11"/>
    </row>
    <row r="37" ht="13.5" customHeight="1">
      <c r="A37" s="11"/>
      <c r="B37" s="177" t="s">
        <v>103</v>
      </c>
      <c r="C37" s="321">
        <v>250.0</v>
      </c>
      <c r="D37" s="160">
        <f t="shared" si="3"/>
        <v>62.5</v>
      </c>
      <c r="E37" s="204" t="s">
        <v>18</v>
      </c>
      <c r="F37" s="47"/>
      <c r="G37" s="177">
        <v>0.3</v>
      </c>
      <c r="H37" s="1185">
        <f t="shared" si="2"/>
        <v>18.75</v>
      </c>
      <c r="I37" s="11"/>
      <c r="J37" s="1127"/>
      <c r="K37" s="11"/>
      <c r="L37" s="11"/>
    </row>
    <row r="38" ht="13.5" customHeight="1">
      <c r="A38" s="11"/>
      <c r="B38" s="157" t="s">
        <v>52</v>
      </c>
      <c r="C38" s="839">
        <v>50.0</v>
      </c>
      <c r="D38" s="174">
        <f t="shared" si="3"/>
        <v>12.5</v>
      </c>
      <c r="E38" s="159" t="s">
        <v>18</v>
      </c>
      <c r="F38" s="47"/>
      <c r="G38" s="177">
        <v>0.2</v>
      </c>
      <c r="H38" s="1185">
        <f t="shared" si="2"/>
        <v>2.5</v>
      </c>
      <c r="I38" s="11"/>
      <c r="J38" s="1127"/>
      <c r="K38" s="11"/>
      <c r="L38" s="11"/>
    </row>
    <row r="39" ht="13.5" customHeight="1">
      <c r="A39" s="11"/>
      <c r="B39" s="251" t="s">
        <v>1321</v>
      </c>
      <c r="C39" s="1047">
        <v>40.0</v>
      </c>
      <c r="D39" s="1190">
        <f t="shared" si="3"/>
        <v>10</v>
      </c>
      <c r="E39" s="255" t="s">
        <v>18</v>
      </c>
      <c r="F39" s="47"/>
      <c r="G39" s="177">
        <v>0.1</v>
      </c>
      <c r="H39" s="1185">
        <f t="shared" si="2"/>
        <v>1</v>
      </c>
      <c r="I39" s="11"/>
      <c r="J39" s="1127"/>
      <c r="K39" s="11"/>
      <c r="L39" s="11"/>
    </row>
    <row r="40" ht="13.5" customHeight="1">
      <c r="A40" s="11"/>
      <c r="B40" s="208" t="s">
        <v>1325</v>
      </c>
      <c r="C40" s="318">
        <v>27.0</v>
      </c>
      <c r="D40" s="167">
        <f t="shared" si="3"/>
        <v>6.75</v>
      </c>
      <c r="E40" s="212" t="s">
        <v>5</v>
      </c>
      <c r="F40" s="76"/>
      <c r="G40" s="177">
        <v>0.0</v>
      </c>
      <c r="H40" s="1185">
        <f t="shared" si="2"/>
        <v>0</v>
      </c>
      <c r="I40" s="11"/>
      <c r="J40" s="1127"/>
      <c r="K40" s="11"/>
      <c r="L40" s="11"/>
    </row>
    <row r="41" ht="15.0" customHeight="1">
      <c r="A41" s="11"/>
      <c r="B41" s="251" t="s">
        <v>1328</v>
      </c>
      <c r="C41" s="1047">
        <v>10.0</v>
      </c>
      <c r="D41" s="1190">
        <f t="shared" si="3"/>
        <v>2.5</v>
      </c>
      <c r="E41" s="255" t="s">
        <v>5</v>
      </c>
      <c r="F41" s="1191"/>
      <c r="G41" s="177">
        <v>105.0</v>
      </c>
      <c r="H41" s="1185">
        <f t="shared" si="2"/>
        <v>262.5</v>
      </c>
      <c r="I41" s="11"/>
      <c r="J41" s="1127"/>
      <c r="K41" s="11"/>
      <c r="L41" s="11"/>
    </row>
    <row r="42" ht="13.5" customHeight="1">
      <c r="A42" s="11"/>
      <c r="B42" s="163" t="s">
        <v>1332</v>
      </c>
      <c r="C42" s="316">
        <v>200.0</v>
      </c>
      <c r="D42" s="131">
        <f t="shared" si="3"/>
        <v>50</v>
      </c>
      <c r="E42" s="169" t="s">
        <v>18</v>
      </c>
      <c r="F42" s="1183" t="s">
        <v>1333</v>
      </c>
      <c r="G42" s="177">
        <v>0.4</v>
      </c>
      <c r="H42" s="1185">
        <f t="shared" si="2"/>
        <v>20</v>
      </c>
      <c r="I42" s="11"/>
      <c r="J42" s="1127"/>
      <c r="K42" s="11"/>
      <c r="L42" s="11"/>
    </row>
    <row r="43" ht="15.0" customHeight="1">
      <c r="A43" s="11"/>
      <c r="B43" s="177" t="s">
        <v>1335</v>
      </c>
      <c r="C43" s="321">
        <v>150.0</v>
      </c>
      <c r="D43" s="160">
        <f t="shared" si="3"/>
        <v>37.5</v>
      </c>
      <c r="E43" s="204" t="s">
        <v>18</v>
      </c>
      <c r="F43" s="47"/>
      <c r="G43" s="177">
        <v>0.6</v>
      </c>
      <c r="H43" s="1185">
        <f t="shared" si="2"/>
        <v>22.5</v>
      </c>
      <c r="I43" s="11"/>
      <c r="J43" s="1127"/>
      <c r="K43" s="11"/>
      <c r="L43" s="11"/>
    </row>
    <row r="44" ht="13.5" customHeight="1">
      <c r="A44" s="11"/>
      <c r="B44" s="208" t="s">
        <v>124</v>
      </c>
      <c r="C44" s="318">
        <v>100.0</v>
      </c>
      <c r="D44" s="167">
        <f t="shared" si="3"/>
        <v>25</v>
      </c>
      <c r="E44" s="212" t="s">
        <v>18</v>
      </c>
      <c r="F44" s="76"/>
      <c r="G44" s="177">
        <v>0.02</v>
      </c>
      <c r="H44" s="1185">
        <f t="shared" si="2"/>
        <v>0.5</v>
      </c>
      <c r="I44" s="11"/>
      <c r="J44" s="1127"/>
      <c r="K44" s="11"/>
      <c r="L44" s="11"/>
    </row>
    <row r="45" ht="13.5" customHeight="1">
      <c r="A45" s="11"/>
      <c r="B45" s="11"/>
      <c r="C45" s="11"/>
      <c r="D45" s="1167"/>
      <c r="E45" s="11"/>
      <c r="F45" s="1194" t="s">
        <v>842</v>
      </c>
      <c r="G45" s="863"/>
      <c r="H45" s="864">
        <f>SUM(H27:H44)</f>
        <v>693.875</v>
      </c>
      <c r="I45" s="11"/>
      <c r="J45" s="1127"/>
      <c r="K45" s="11"/>
      <c r="L45" s="11"/>
    </row>
    <row r="46" ht="13.5" customHeight="1">
      <c r="A46" s="11"/>
      <c r="B46" s="1143" t="s">
        <v>119</v>
      </c>
      <c r="C46" s="818" t="s">
        <v>47</v>
      </c>
      <c r="D46" s="1167"/>
      <c r="E46" s="11"/>
      <c r="F46" s="1196" t="s">
        <v>1343</v>
      </c>
      <c r="G46" s="868">
        <v>40.0</v>
      </c>
      <c r="H46" s="871">
        <f>G46/100*H45</f>
        <v>277.55</v>
      </c>
      <c r="I46" s="11"/>
      <c r="J46" s="1127"/>
      <c r="K46" s="11"/>
      <c r="L46" s="11"/>
    </row>
    <row r="47" ht="13.5" customHeight="1">
      <c r="A47" s="11"/>
      <c r="B47" s="11"/>
      <c r="C47" s="11"/>
      <c r="D47" s="1167"/>
      <c r="E47" s="11"/>
      <c r="F47" s="1199" t="s">
        <v>852</v>
      </c>
      <c r="G47" s="875"/>
      <c r="H47" s="876">
        <f>SUM(H45:H46)</f>
        <v>971.425</v>
      </c>
      <c r="I47" s="11"/>
      <c r="J47" s="1127"/>
      <c r="K47" s="11"/>
      <c r="L47" s="11"/>
    </row>
    <row r="48" ht="13.5" customHeight="1">
      <c r="A48" s="11"/>
      <c r="B48" s="90" t="s">
        <v>120</v>
      </c>
      <c r="C48" s="308">
        <v>41342.0</v>
      </c>
      <c r="D48" s="1167"/>
      <c r="E48" s="11"/>
      <c r="F48" s="1194" t="s">
        <v>1349</v>
      </c>
      <c r="G48" s="863"/>
      <c r="H48" s="864">
        <f>H47/D26</f>
        <v>1.94285</v>
      </c>
      <c r="I48" s="11"/>
      <c r="J48" s="1127"/>
      <c r="K48" s="11"/>
      <c r="L48" s="11"/>
    </row>
    <row r="49" ht="13.5" customHeight="1">
      <c r="A49" s="11"/>
      <c r="B49" s="305" t="s">
        <v>50</v>
      </c>
      <c r="C49" s="308">
        <v>43158.0</v>
      </c>
      <c r="D49" s="1167"/>
      <c r="E49" s="11"/>
      <c r="F49" s="1196" t="s">
        <v>1350</v>
      </c>
      <c r="G49" s="868"/>
      <c r="H49" s="871">
        <v>1.0</v>
      </c>
      <c r="I49" s="11"/>
      <c r="J49" s="1127"/>
      <c r="K49" s="11"/>
      <c r="L49" s="11"/>
    </row>
    <row r="50" ht="13.5" customHeight="1">
      <c r="A50" s="11"/>
      <c r="B50" s="11"/>
      <c r="C50" s="11"/>
      <c r="D50" s="1167"/>
      <c r="E50" s="11"/>
      <c r="F50" s="1199" t="s">
        <v>880</v>
      </c>
      <c r="G50" s="875"/>
      <c r="H50" s="876">
        <f>H49*H48</f>
        <v>1.94285</v>
      </c>
      <c r="I50" s="11"/>
      <c r="J50" s="1127"/>
      <c r="K50" s="11"/>
      <c r="L50" s="11"/>
    </row>
    <row r="51" ht="13.5" customHeight="1">
      <c r="A51" s="11"/>
      <c r="B51" s="11"/>
      <c r="C51" s="11"/>
      <c r="D51" s="1167"/>
      <c r="E51" s="11"/>
      <c r="F51" s="1203" t="s">
        <v>1356</v>
      </c>
      <c r="G51" s="879"/>
      <c r="H51" s="1205">
        <f>D44/H49</f>
        <v>25</v>
      </c>
      <c r="I51" s="11"/>
      <c r="J51" s="1127"/>
      <c r="K51" s="11"/>
      <c r="L51" s="11"/>
    </row>
    <row r="52" ht="13.5" customHeight="1">
      <c r="A52" s="11"/>
      <c r="B52" s="11"/>
      <c r="C52" s="11"/>
      <c r="D52" s="1167"/>
      <c r="E52" s="11"/>
      <c r="F52" s="11"/>
      <c r="G52" s="11"/>
      <c r="H52" s="11"/>
      <c r="I52" s="11"/>
      <c r="J52" s="1127"/>
      <c r="K52" s="11"/>
      <c r="L52" s="11"/>
    </row>
    <row r="53" ht="13.5" customHeight="1">
      <c r="A53" s="11"/>
      <c r="B53" s="11"/>
      <c r="C53" s="11"/>
      <c r="D53" s="1167"/>
      <c r="E53" s="11"/>
      <c r="F53" s="11"/>
      <c r="G53" s="11"/>
      <c r="H53" s="11"/>
      <c r="I53" s="11"/>
      <c r="J53" s="1127"/>
      <c r="K53" s="11"/>
      <c r="L53" s="11"/>
    </row>
    <row r="54" ht="13.5" customHeight="1">
      <c r="A54" s="11"/>
      <c r="B54" s="11"/>
      <c r="C54" s="11"/>
      <c r="D54" s="1167"/>
      <c r="E54" s="11"/>
      <c r="F54" s="11"/>
      <c r="G54" s="11"/>
      <c r="H54" s="11"/>
      <c r="I54" s="11"/>
      <c r="J54" s="1127"/>
      <c r="K54" s="11"/>
      <c r="L54" s="11"/>
    </row>
    <row r="55" ht="13.5" customHeight="1">
      <c r="A55" s="11"/>
      <c r="B55" s="11"/>
      <c r="C55" s="11"/>
      <c r="D55" s="1167"/>
      <c r="E55" s="11"/>
      <c r="F55" s="11"/>
      <c r="G55" s="11"/>
      <c r="H55" s="11"/>
      <c r="I55" s="11"/>
      <c r="J55" s="1127"/>
      <c r="K55" s="11"/>
      <c r="L55" s="11"/>
    </row>
    <row r="56" ht="13.5" customHeight="1">
      <c r="A56" s="11"/>
      <c r="B56" s="656" t="s">
        <v>513</v>
      </c>
      <c r="C56" s="18"/>
      <c r="D56" s="18"/>
      <c r="E56" s="19"/>
      <c r="F56" s="11"/>
      <c r="G56" s="11"/>
      <c r="H56" s="11"/>
      <c r="I56" s="11"/>
      <c r="J56" s="1127"/>
      <c r="K56" s="11"/>
      <c r="L56" s="11"/>
    </row>
    <row r="57" ht="13.5" customHeight="1">
      <c r="A57" s="11"/>
      <c r="B57" s="458" t="s">
        <v>1054</v>
      </c>
      <c r="C57" s="460">
        <v>100.0</v>
      </c>
      <c r="D57" s="71">
        <v>15.0</v>
      </c>
      <c r="E57" s="463" t="s">
        <v>5</v>
      </c>
      <c r="F57" s="1177"/>
      <c r="G57" s="11"/>
      <c r="H57" s="11"/>
      <c r="I57" s="11"/>
      <c r="J57" s="1127"/>
      <c r="K57" s="11"/>
      <c r="L57" s="11"/>
    </row>
    <row r="58" ht="13.5" customHeight="1">
      <c r="A58" s="11"/>
      <c r="B58" s="157" t="s">
        <v>1360</v>
      </c>
      <c r="C58" s="390">
        <v>6.0</v>
      </c>
      <c r="D58" s="244">
        <f t="shared" ref="D58:D64" si="4">(C58*D57)/C57</f>
        <v>0.9</v>
      </c>
      <c r="E58" s="159" t="s">
        <v>14</v>
      </c>
      <c r="F58" s="1212" t="s">
        <v>1363</v>
      </c>
      <c r="G58" s="11"/>
      <c r="H58" s="11"/>
      <c r="I58" s="11"/>
      <c r="J58" s="1127"/>
      <c r="K58" s="11"/>
      <c r="L58" s="11"/>
    </row>
    <row r="59" ht="13.5" customHeight="1">
      <c r="A59" s="11"/>
      <c r="B59" s="262" t="s">
        <v>91</v>
      </c>
      <c r="C59" s="383">
        <v>4.0</v>
      </c>
      <c r="D59" s="50">
        <f t="shared" si="4"/>
        <v>0.6</v>
      </c>
      <c r="E59" s="267" t="s">
        <v>5</v>
      </c>
      <c r="F59" s="76"/>
      <c r="G59" s="11"/>
      <c r="H59" s="11"/>
      <c r="I59" s="11"/>
      <c r="J59" s="1127"/>
      <c r="K59" s="11"/>
      <c r="L59" s="11"/>
    </row>
    <row r="60" ht="13.5" customHeight="1">
      <c r="A60" s="11"/>
      <c r="B60" s="163" t="s">
        <v>208</v>
      </c>
      <c r="C60" s="285">
        <v>45.0</v>
      </c>
      <c r="D60" s="221">
        <f t="shared" si="4"/>
        <v>6.75</v>
      </c>
      <c r="E60" s="169" t="s">
        <v>18</v>
      </c>
      <c r="F60" s="1183" t="s">
        <v>1367</v>
      </c>
      <c r="G60" s="11"/>
      <c r="H60" s="11"/>
      <c r="I60" s="11"/>
      <c r="J60" s="1127"/>
      <c r="K60" s="11"/>
      <c r="L60" s="11"/>
    </row>
    <row r="61" ht="13.5" customHeight="1">
      <c r="A61" s="11"/>
      <c r="B61" s="177" t="s">
        <v>124</v>
      </c>
      <c r="C61" s="198">
        <v>15.0</v>
      </c>
      <c r="D61" s="27">
        <f t="shared" si="4"/>
        <v>2.25</v>
      </c>
      <c r="E61" s="204" t="s">
        <v>18</v>
      </c>
      <c r="F61" s="47"/>
      <c r="G61" s="11"/>
      <c r="H61" s="11"/>
      <c r="I61" s="11"/>
      <c r="J61" s="1127"/>
      <c r="K61" s="11"/>
      <c r="L61" s="11"/>
    </row>
    <row r="62" ht="13.5" customHeight="1">
      <c r="A62" s="11"/>
      <c r="B62" s="177" t="s">
        <v>31</v>
      </c>
      <c r="C62" s="198">
        <v>15.0</v>
      </c>
      <c r="D62" s="27">
        <f t="shared" si="4"/>
        <v>2.25</v>
      </c>
      <c r="E62" s="204" t="s">
        <v>18</v>
      </c>
      <c r="F62" s="47"/>
      <c r="G62" s="11"/>
      <c r="H62" s="11"/>
      <c r="I62" s="11"/>
      <c r="J62" s="1127"/>
      <c r="K62" s="11"/>
      <c r="L62" s="11"/>
    </row>
    <row r="63" ht="13.5" customHeight="1">
      <c r="A63" s="11"/>
      <c r="B63" s="177" t="s">
        <v>1290</v>
      </c>
      <c r="C63" s="198">
        <v>120.0</v>
      </c>
      <c r="D63" s="27">
        <f t="shared" si="4"/>
        <v>18</v>
      </c>
      <c r="E63" s="204" t="s">
        <v>18</v>
      </c>
      <c r="F63" s="47"/>
      <c r="G63" s="11"/>
      <c r="H63" s="11"/>
      <c r="I63" s="11"/>
      <c r="J63" s="1127"/>
      <c r="K63" s="11"/>
      <c r="L63" s="11"/>
    </row>
    <row r="64" ht="13.5" customHeight="1">
      <c r="A64" s="11"/>
      <c r="B64" s="208" t="s">
        <v>1378</v>
      </c>
      <c r="C64" s="211">
        <v>0.6</v>
      </c>
      <c r="D64" s="236">
        <f t="shared" si="4"/>
        <v>0.09</v>
      </c>
      <c r="E64" s="212" t="s">
        <v>14</v>
      </c>
      <c r="F64" s="76"/>
      <c r="G64" s="11"/>
      <c r="H64" s="11"/>
      <c r="I64" s="11"/>
      <c r="J64" s="1127"/>
      <c r="K64" s="11"/>
      <c r="L64" s="11"/>
    </row>
    <row r="65" ht="13.5" customHeight="1">
      <c r="A65" s="11"/>
      <c r="B65" s="1231" t="s">
        <v>1381</v>
      </c>
      <c r="C65" s="5"/>
      <c r="D65" s="6"/>
      <c r="E65" s="11"/>
      <c r="F65" s="11"/>
      <c r="G65" s="11"/>
      <c r="H65" s="11"/>
      <c r="I65" s="11"/>
      <c r="J65" s="1127"/>
      <c r="K65" s="11"/>
      <c r="L65" s="11"/>
    </row>
    <row r="66" ht="13.5" customHeight="1">
      <c r="A66" s="11"/>
      <c r="B66" s="63"/>
      <c r="D66" s="66"/>
      <c r="E66" s="11"/>
      <c r="F66" s="11"/>
      <c r="G66" s="11"/>
      <c r="H66" s="11"/>
      <c r="I66" s="11"/>
      <c r="J66" s="1127"/>
      <c r="K66" s="11"/>
      <c r="L66" s="11"/>
    </row>
    <row r="67" ht="13.5" customHeight="1">
      <c r="A67" s="11"/>
      <c r="B67" s="63"/>
      <c r="D67" s="66"/>
      <c r="E67" s="11"/>
      <c r="F67" s="11"/>
      <c r="G67" s="11"/>
      <c r="H67" s="11"/>
      <c r="I67" s="11"/>
      <c r="J67" s="1127"/>
      <c r="K67" s="11"/>
      <c r="L67" s="11"/>
    </row>
    <row r="68" ht="13.5" customHeight="1">
      <c r="A68" s="11"/>
      <c r="B68" s="102"/>
      <c r="C68" s="104"/>
      <c r="D68" s="106"/>
      <c r="E68" s="11"/>
      <c r="F68" s="11"/>
      <c r="G68" s="11"/>
      <c r="H68" s="11"/>
      <c r="I68" s="11"/>
      <c r="J68" s="1127"/>
      <c r="K68" s="11"/>
      <c r="L68" s="11"/>
    </row>
    <row r="69" ht="13.5" customHeight="1">
      <c r="A69" s="11"/>
      <c r="B69" s="1143" t="s">
        <v>119</v>
      </c>
      <c r="C69" s="818" t="s">
        <v>47</v>
      </c>
      <c r="D69" s="1167"/>
      <c r="E69" s="11"/>
      <c r="F69" s="11"/>
      <c r="G69" s="11"/>
      <c r="H69" s="11"/>
      <c r="I69" s="11"/>
      <c r="J69" s="1127"/>
      <c r="K69" s="11"/>
      <c r="L69" s="11"/>
    </row>
    <row r="70" ht="13.5" customHeight="1">
      <c r="A70" s="11"/>
      <c r="B70" s="90" t="s">
        <v>120</v>
      </c>
      <c r="C70" s="308">
        <v>40817.0</v>
      </c>
      <c r="D70" s="1167"/>
      <c r="E70" s="11"/>
      <c r="F70" s="11"/>
      <c r="G70" s="11"/>
      <c r="H70" s="11"/>
      <c r="I70" s="11"/>
      <c r="J70" s="1127"/>
      <c r="K70" s="11"/>
      <c r="L70" s="11"/>
    </row>
    <row r="71" ht="13.5" customHeight="1">
      <c r="A71" s="11"/>
      <c r="B71" s="305" t="s">
        <v>50</v>
      </c>
      <c r="C71" s="308">
        <v>41770.0</v>
      </c>
      <c r="D71" s="107"/>
      <c r="E71" s="1"/>
      <c r="F71" s="11"/>
      <c r="G71" s="11"/>
      <c r="H71" s="11"/>
      <c r="I71" s="11"/>
      <c r="J71" s="1127"/>
      <c r="K71" s="11"/>
      <c r="L71" s="11"/>
    </row>
    <row r="72" ht="13.5" customHeight="1">
      <c r="A72" s="11"/>
      <c r="B72" s="11"/>
      <c r="C72" s="11"/>
      <c r="D72" s="1167"/>
      <c r="E72" s="11"/>
      <c r="F72" s="11"/>
      <c r="G72" s="11"/>
      <c r="H72" s="11"/>
      <c r="I72" s="11"/>
      <c r="J72" s="1127"/>
      <c r="K72" s="11"/>
      <c r="L72" s="11"/>
    </row>
    <row r="73" ht="13.5" customHeight="1">
      <c r="A73" s="11"/>
      <c r="B73" s="1123" t="s">
        <v>575</v>
      </c>
      <c r="C73" s="5"/>
      <c r="D73" s="5"/>
      <c r="E73" s="6"/>
      <c r="F73" s="11"/>
      <c r="G73" s="11"/>
      <c r="H73" s="11"/>
      <c r="I73" s="11"/>
      <c r="J73" s="1127"/>
      <c r="K73" s="11"/>
      <c r="L73" s="11"/>
    </row>
    <row r="74" ht="13.5" customHeight="1">
      <c r="A74" s="11"/>
      <c r="B74" s="163" t="s">
        <v>1</v>
      </c>
      <c r="C74" s="285">
        <v>200.0</v>
      </c>
      <c r="D74" s="221">
        <v>150.0</v>
      </c>
      <c r="E74" s="169" t="s">
        <v>5</v>
      </c>
      <c r="F74" s="11"/>
      <c r="G74" s="11"/>
      <c r="H74" s="11"/>
      <c r="I74" s="11"/>
      <c r="J74" s="1127"/>
      <c r="K74" s="11"/>
      <c r="L74" s="11"/>
    </row>
    <row r="75" ht="16.5" customHeight="1">
      <c r="A75" s="11"/>
      <c r="B75" s="262" t="s">
        <v>1387</v>
      </c>
      <c r="C75" s="383">
        <v>22.5</v>
      </c>
      <c r="D75" s="50">
        <f>(C75*D76)/C76</f>
        <v>16.875</v>
      </c>
      <c r="E75" s="267" t="s">
        <v>14</v>
      </c>
      <c r="F75" s="11"/>
      <c r="G75" s="11"/>
      <c r="H75" s="11"/>
      <c r="I75" s="11"/>
      <c r="J75" s="1127"/>
      <c r="K75" s="11"/>
      <c r="L75" s="11"/>
    </row>
    <row r="76" ht="16.5" customHeight="1">
      <c r="A76" s="11"/>
      <c r="B76" s="163" t="s">
        <v>575</v>
      </c>
      <c r="C76" s="285">
        <v>20.0</v>
      </c>
      <c r="D76" s="221">
        <f t="shared" ref="D76:D77" si="5">(C76*D74)/C74</f>
        <v>15</v>
      </c>
      <c r="E76" s="169" t="s">
        <v>14</v>
      </c>
      <c r="F76" s="845" t="s">
        <v>1391</v>
      </c>
      <c r="G76" s="11"/>
      <c r="H76" s="11"/>
      <c r="I76" s="11"/>
      <c r="J76" s="1127"/>
      <c r="K76" s="11"/>
      <c r="L76" s="11"/>
    </row>
    <row r="77" ht="13.5" customHeight="1">
      <c r="A77" s="11"/>
      <c r="B77" s="177" t="s">
        <v>91</v>
      </c>
      <c r="C77" s="198">
        <v>7.5</v>
      </c>
      <c r="D77" s="27">
        <f t="shared" si="5"/>
        <v>5.625</v>
      </c>
      <c r="E77" s="204" t="s">
        <v>5</v>
      </c>
      <c r="F77" s="47"/>
      <c r="G77" s="11"/>
      <c r="H77" s="11"/>
      <c r="I77" s="11"/>
      <c r="J77" s="1127"/>
      <c r="K77" s="11"/>
      <c r="L77" s="11"/>
    </row>
    <row r="78" ht="13.5" customHeight="1">
      <c r="A78" s="11"/>
      <c r="B78" s="177" t="s">
        <v>1394</v>
      </c>
      <c r="C78" s="198">
        <v>2.4</v>
      </c>
      <c r="D78" s="27">
        <f t="shared" ref="D78:D82" si="6">(C78*D77)/C77</f>
        <v>1.8</v>
      </c>
      <c r="E78" s="204" t="s">
        <v>14</v>
      </c>
      <c r="F78" s="47"/>
      <c r="G78" s="11"/>
      <c r="H78" s="11"/>
      <c r="I78" s="11"/>
      <c r="J78" s="1127"/>
      <c r="K78" s="11"/>
      <c r="L78" s="11"/>
    </row>
    <row r="79" ht="13.5" customHeight="1">
      <c r="A79" s="11"/>
      <c r="B79" s="262" t="s">
        <v>696</v>
      </c>
      <c r="C79" s="383">
        <v>1.2</v>
      </c>
      <c r="D79" s="50">
        <f t="shared" si="6"/>
        <v>0.9</v>
      </c>
      <c r="E79" s="267" t="s">
        <v>14</v>
      </c>
      <c r="F79" s="76"/>
      <c r="G79" s="11"/>
      <c r="H79" s="11"/>
      <c r="I79" s="11"/>
      <c r="J79" s="1127"/>
      <c r="K79" s="11"/>
      <c r="L79" s="11"/>
    </row>
    <row r="80" ht="13.5" customHeight="1">
      <c r="A80" s="11"/>
      <c r="B80" s="163" t="s">
        <v>112</v>
      </c>
      <c r="C80" s="285">
        <v>200.0</v>
      </c>
      <c r="D80" s="221">
        <f t="shared" si="6"/>
        <v>150</v>
      </c>
      <c r="E80" s="169" t="s">
        <v>18</v>
      </c>
      <c r="F80" s="1080" t="s">
        <v>1397</v>
      </c>
      <c r="G80" s="11"/>
      <c r="H80" s="11"/>
      <c r="I80" s="11"/>
      <c r="J80" s="1127"/>
      <c r="K80" s="11"/>
      <c r="L80" s="11"/>
    </row>
    <row r="81" ht="13.5" customHeight="1">
      <c r="A81" s="11"/>
      <c r="B81" s="177" t="s">
        <v>101</v>
      </c>
      <c r="C81" s="198">
        <v>3.0</v>
      </c>
      <c r="D81" s="27">
        <f t="shared" si="6"/>
        <v>2.25</v>
      </c>
      <c r="E81" s="204" t="s">
        <v>5</v>
      </c>
      <c r="F81" s="66"/>
      <c r="G81" s="11"/>
      <c r="H81" s="11"/>
      <c r="I81" s="11"/>
      <c r="J81" s="1127"/>
      <c r="K81" s="11"/>
      <c r="L81" s="11"/>
    </row>
    <row r="82" ht="13.5" customHeight="1">
      <c r="A82" s="11"/>
      <c r="B82" s="177" t="s">
        <v>671</v>
      </c>
      <c r="C82" s="198">
        <v>255.0</v>
      </c>
      <c r="D82" s="27">
        <f t="shared" si="6"/>
        <v>191.25</v>
      </c>
      <c r="E82" s="204" t="s">
        <v>18</v>
      </c>
      <c r="F82" s="66"/>
      <c r="G82" s="11"/>
      <c r="H82" s="11"/>
      <c r="I82" s="11"/>
      <c r="J82" s="1127"/>
      <c r="K82" s="11"/>
      <c r="L82" s="11"/>
    </row>
    <row r="83" ht="13.5" customHeight="1">
      <c r="A83" s="11"/>
      <c r="B83" s="177" t="s">
        <v>31</v>
      </c>
      <c r="C83" s="198">
        <v>600.0</v>
      </c>
      <c r="D83" s="27">
        <f>(C83*D80)/C80</f>
        <v>450</v>
      </c>
      <c r="E83" s="204" t="s">
        <v>18</v>
      </c>
      <c r="F83" s="66"/>
      <c r="G83" s="11"/>
      <c r="H83" s="11"/>
      <c r="I83" s="11"/>
      <c r="J83" s="1127"/>
      <c r="K83" s="11"/>
      <c r="L83" s="11"/>
    </row>
    <row r="84" ht="13.5" customHeight="1">
      <c r="A84" s="11"/>
      <c r="B84" s="177" t="s">
        <v>52</v>
      </c>
      <c r="C84" s="198">
        <v>50.0</v>
      </c>
      <c r="D84" s="27">
        <f t="shared" ref="D84:D86" si="7">(C84*D82)/C82</f>
        <v>37.5</v>
      </c>
      <c r="E84" s="204" t="s">
        <v>18</v>
      </c>
      <c r="F84" s="66"/>
      <c r="G84" s="11"/>
      <c r="H84" s="11"/>
      <c r="I84" s="11"/>
      <c r="J84" s="1127"/>
      <c r="K84" s="11"/>
      <c r="L84" s="11"/>
    </row>
    <row r="85" ht="15.0" customHeight="1">
      <c r="A85" s="11"/>
      <c r="B85" s="262" t="s">
        <v>1290</v>
      </c>
      <c r="C85" s="383">
        <v>350.0</v>
      </c>
      <c r="D85" s="27">
        <f t="shared" si="7"/>
        <v>262.5</v>
      </c>
      <c r="E85" s="267" t="s">
        <v>18</v>
      </c>
      <c r="F85" s="66"/>
      <c r="G85" s="11"/>
      <c r="H85" s="11"/>
      <c r="I85" s="11"/>
      <c r="J85" s="1127"/>
      <c r="K85" s="11"/>
      <c r="L85" s="11"/>
    </row>
    <row r="86" ht="15.75" customHeight="1">
      <c r="A86" s="11"/>
      <c r="B86" s="208" t="s">
        <v>1378</v>
      </c>
      <c r="C86" s="211">
        <v>1.65</v>
      </c>
      <c r="D86" s="236">
        <f t="shared" si="7"/>
        <v>1.2375</v>
      </c>
      <c r="E86" s="212" t="s">
        <v>14</v>
      </c>
      <c r="F86" s="66"/>
      <c r="G86" s="11"/>
      <c r="H86" s="11"/>
      <c r="I86" s="11"/>
      <c r="J86" s="1127"/>
      <c r="K86" s="11"/>
      <c r="L86" s="11"/>
    </row>
    <row r="87" ht="13.5" customHeight="1">
      <c r="A87" s="11"/>
      <c r="B87" s="1143" t="s">
        <v>119</v>
      </c>
      <c r="C87" s="818" t="s">
        <v>47</v>
      </c>
      <c r="D87" s="1167"/>
      <c r="E87" s="11"/>
      <c r="F87" s="11"/>
      <c r="G87" s="11"/>
      <c r="H87" s="11"/>
      <c r="I87" s="11"/>
      <c r="J87" s="1127"/>
      <c r="K87" s="11"/>
      <c r="L87" s="11"/>
    </row>
    <row r="88" ht="13.5" customHeight="1">
      <c r="A88" s="11"/>
      <c r="B88" s="1249" t="s">
        <v>1401</v>
      </c>
      <c r="C88" s="5"/>
      <c r="D88" s="6"/>
      <c r="E88" s="11"/>
      <c r="F88" s="11"/>
      <c r="G88" s="11"/>
      <c r="H88" s="11"/>
      <c r="I88" s="11"/>
      <c r="J88" s="1127"/>
      <c r="K88" s="11"/>
      <c r="L88" s="11"/>
    </row>
    <row r="89" ht="13.5" customHeight="1">
      <c r="A89" s="11"/>
      <c r="B89" s="63"/>
      <c r="D89" s="66"/>
      <c r="E89" s="11"/>
      <c r="F89" s="11"/>
      <c r="G89" s="11"/>
      <c r="H89" s="11"/>
      <c r="I89" s="11"/>
      <c r="J89" s="1127"/>
      <c r="K89" s="11"/>
      <c r="L89" s="11"/>
    </row>
    <row r="90" ht="13.5" customHeight="1">
      <c r="A90" s="11"/>
      <c r="B90" s="63"/>
      <c r="D90" s="66"/>
      <c r="E90" s="11"/>
      <c r="F90" s="11"/>
      <c r="G90" s="11"/>
      <c r="H90" s="11"/>
      <c r="I90" s="11"/>
      <c r="J90" s="1127"/>
      <c r="K90" s="11"/>
      <c r="L90" s="11"/>
    </row>
    <row r="91" ht="15.0" customHeight="1">
      <c r="A91" s="11"/>
      <c r="B91" s="102"/>
      <c r="C91" s="104"/>
      <c r="D91" s="106"/>
      <c r="E91" s="11"/>
      <c r="F91" s="11"/>
      <c r="G91" s="11"/>
      <c r="H91" s="11"/>
      <c r="I91" s="11"/>
      <c r="J91" s="1127"/>
      <c r="K91" s="11"/>
      <c r="L91" s="11"/>
    </row>
    <row r="92" ht="13.5" customHeight="1">
      <c r="A92" s="11"/>
      <c r="B92" s="11"/>
      <c r="C92" s="11"/>
      <c r="D92" s="1167"/>
      <c r="E92" s="11"/>
      <c r="F92" s="11"/>
      <c r="G92" s="11"/>
      <c r="H92" s="11"/>
      <c r="I92" s="11"/>
      <c r="J92" s="1127"/>
      <c r="K92" s="11"/>
      <c r="L92" s="11"/>
    </row>
    <row r="93" ht="13.5" customHeight="1">
      <c r="A93" s="11"/>
      <c r="B93" s="90" t="s">
        <v>120</v>
      </c>
      <c r="C93" s="308">
        <v>42171.0</v>
      </c>
      <c r="D93" s="1167"/>
      <c r="E93" s="11"/>
      <c r="F93" s="11"/>
      <c r="G93" s="11"/>
      <c r="H93" s="11"/>
      <c r="I93" s="11"/>
      <c r="J93" s="1127"/>
      <c r="K93" s="11"/>
      <c r="L93" s="11"/>
    </row>
    <row r="94" ht="13.5" customHeight="1">
      <c r="A94" s="11"/>
      <c r="B94" s="305" t="s">
        <v>50</v>
      </c>
      <c r="C94" s="308"/>
      <c r="D94" s="1167"/>
      <c r="E94" s="11"/>
      <c r="F94" s="11"/>
      <c r="G94" s="11"/>
      <c r="H94" s="11"/>
      <c r="I94" s="11"/>
      <c r="J94" s="1127"/>
      <c r="K94" s="11"/>
      <c r="L94" s="11"/>
    </row>
    <row r="95" ht="13.5" customHeight="1">
      <c r="A95" s="11"/>
      <c r="B95" s="11"/>
      <c r="C95" s="11"/>
      <c r="D95" s="1167"/>
      <c r="E95" s="11"/>
      <c r="F95" s="11"/>
      <c r="G95" s="11"/>
      <c r="H95" s="11"/>
      <c r="I95" s="11"/>
      <c r="J95" s="1127"/>
      <c r="K95" s="11"/>
      <c r="L95" s="11"/>
    </row>
    <row r="96" ht="13.5" customHeight="1">
      <c r="A96" s="11"/>
      <c r="B96" s="240" t="s">
        <v>1405</v>
      </c>
      <c r="C96" s="5"/>
      <c r="D96" s="5"/>
      <c r="E96" s="6"/>
      <c r="F96" s="1250"/>
      <c r="G96" s="11"/>
      <c r="H96" s="240" t="s">
        <v>1407</v>
      </c>
      <c r="I96" s="5"/>
      <c r="J96" s="5"/>
      <c r="K96" s="6"/>
      <c r="L96" s="1250"/>
    </row>
    <row r="97" ht="13.5" customHeight="1">
      <c r="A97" s="11"/>
      <c r="B97" s="25" t="s">
        <v>1</v>
      </c>
      <c r="C97" s="314">
        <v>100.0</v>
      </c>
      <c r="D97" s="218">
        <v>10.0</v>
      </c>
      <c r="E97" s="28" t="s">
        <v>5</v>
      </c>
      <c r="F97" s="1251"/>
      <c r="G97" s="11"/>
      <c r="H97" s="25" t="s">
        <v>1</v>
      </c>
      <c r="I97" s="314">
        <v>100.0</v>
      </c>
      <c r="J97" s="526">
        <v>25.0</v>
      </c>
      <c r="K97" s="28" t="s">
        <v>5</v>
      </c>
      <c r="L97" s="1251"/>
    </row>
    <row r="98" ht="13.5" customHeight="1">
      <c r="A98" s="11"/>
      <c r="B98" s="25" t="s">
        <v>1410</v>
      </c>
      <c r="C98" s="314">
        <v>8.0</v>
      </c>
      <c r="D98" s="218">
        <f t="shared" ref="D98:D112" si="8">(C98*D97)/C97</f>
        <v>0.8</v>
      </c>
      <c r="E98" s="28" t="s">
        <v>14</v>
      </c>
      <c r="F98" s="1252" t="s">
        <v>1414</v>
      </c>
      <c r="G98" s="11"/>
      <c r="H98" s="25" t="s">
        <v>1416</v>
      </c>
      <c r="I98" s="314">
        <v>8.0</v>
      </c>
      <c r="J98" s="526">
        <f t="shared" ref="J98:J101" si="9">(I98*J97)/I97</f>
        <v>2</v>
      </c>
      <c r="K98" s="28" t="s">
        <v>14</v>
      </c>
      <c r="L98" s="1252" t="s">
        <v>1414</v>
      </c>
    </row>
    <row r="99" ht="13.5" customHeight="1">
      <c r="A99" s="11"/>
      <c r="B99" s="25" t="s">
        <v>91</v>
      </c>
      <c r="C99" s="314">
        <v>1.0</v>
      </c>
      <c r="D99" s="218">
        <f t="shared" si="8"/>
        <v>0.1</v>
      </c>
      <c r="E99" s="28" t="s">
        <v>5</v>
      </c>
      <c r="F99" s="1183" t="s">
        <v>1417</v>
      </c>
      <c r="G99" s="11"/>
      <c r="H99" s="25" t="s">
        <v>91</v>
      </c>
      <c r="I99" s="314">
        <v>1.0</v>
      </c>
      <c r="J99" s="526">
        <f t="shared" si="9"/>
        <v>0.25</v>
      </c>
      <c r="K99" s="28" t="s">
        <v>5</v>
      </c>
      <c r="L99" s="1183" t="s">
        <v>1418</v>
      </c>
    </row>
    <row r="100" ht="15.0" customHeight="1">
      <c r="A100" s="11"/>
      <c r="B100" s="177" t="s">
        <v>60</v>
      </c>
      <c r="C100" s="198">
        <v>2.0</v>
      </c>
      <c r="D100" s="27">
        <f t="shared" si="8"/>
        <v>0.2</v>
      </c>
      <c r="E100" s="204" t="s">
        <v>14</v>
      </c>
      <c r="F100" s="47"/>
      <c r="G100" s="11"/>
      <c r="H100" s="177" t="s">
        <v>1419</v>
      </c>
      <c r="I100" s="198">
        <v>2.2</v>
      </c>
      <c r="J100" s="201">
        <f t="shared" si="9"/>
        <v>0.55</v>
      </c>
      <c r="K100" s="204" t="s">
        <v>14</v>
      </c>
      <c r="L100" s="47"/>
    </row>
    <row r="101" ht="15.75" customHeight="1">
      <c r="A101" s="11"/>
      <c r="B101" s="208" t="s">
        <v>1420</v>
      </c>
      <c r="C101" s="211">
        <v>1.0</v>
      </c>
      <c r="D101" s="236">
        <f t="shared" si="8"/>
        <v>0.1</v>
      </c>
      <c r="E101" s="212" t="s">
        <v>14</v>
      </c>
      <c r="F101" s="47"/>
      <c r="G101" s="11"/>
      <c r="H101" s="177" t="s">
        <v>1203</v>
      </c>
      <c r="I101" s="198">
        <v>2.0</v>
      </c>
      <c r="J101" s="201">
        <f t="shared" si="9"/>
        <v>0.5</v>
      </c>
      <c r="K101" s="204" t="s">
        <v>14</v>
      </c>
      <c r="L101" s="47"/>
    </row>
    <row r="102" ht="13.5" customHeight="1">
      <c r="A102" s="11"/>
      <c r="B102" s="262" t="s">
        <v>98</v>
      </c>
      <c r="C102" s="383">
        <v>250.0</v>
      </c>
      <c r="D102" s="50">
        <f t="shared" si="8"/>
        <v>25</v>
      </c>
      <c r="E102" s="267" t="s">
        <v>18</v>
      </c>
      <c r="F102" s="47"/>
      <c r="G102" s="11"/>
      <c r="H102" s="177" t="s">
        <v>60</v>
      </c>
      <c r="I102" s="198">
        <v>2.5</v>
      </c>
      <c r="J102" s="201">
        <f>(I102*J99)/I99</f>
        <v>0.625</v>
      </c>
      <c r="K102" s="204" t="s">
        <v>14</v>
      </c>
      <c r="L102" s="47"/>
    </row>
    <row r="103" ht="13.5" customHeight="1">
      <c r="A103" s="11"/>
      <c r="B103" s="262" t="s">
        <v>1422</v>
      </c>
      <c r="C103" s="383">
        <v>300.0</v>
      </c>
      <c r="D103" s="50">
        <f t="shared" si="8"/>
        <v>30</v>
      </c>
      <c r="E103" s="267" t="s">
        <v>18</v>
      </c>
      <c r="F103" s="47"/>
      <c r="G103" s="11"/>
      <c r="H103" s="208" t="s">
        <v>1420</v>
      </c>
      <c r="I103" s="211">
        <v>1.5</v>
      </c>
      <c r="J103" s="257">
        <f t="shared" ref="J103:J113" si="10">(I103*J102)/I102</f>
        <v>0.375</v>
      </c>
      <c r="K103" s="212" t="s">
        <v>14</v>
      </c>
      <c r="L103" s="47"/>
    </row>
    <row r="104" ht="13.5" customHeight="1">
      <c r="A104" s="11"/>
      <c r="B104" s="262" t="s">
        <v>847</v>
      </c>
      <c r="C104" s="383">
        <v>200.0</v>
      </c>
      <c r="D104" s="50">
        <f t="shared" si="8"/>
        <v>20</v>
      </c>
      <c r="E104" s="267" t="s">
        <v>18</v>
      </c>
      <c r="F104" s="47"/>
      <c r="G104" s="1254"/>
      <c r="H104" s="262" t="s">
        <v>98</v>
      </c>
      <c r="I104" s="383">
        <v>250.0</v>
      </c>
      <c r="J104" s="265">
        <f t="shared" si="10"/>
        <v>62.5</v>
      </c>
      <c r="K104" s="267" t="s">
        <v>18</v>
      </c>
      <c r="L104" s="47"/>
    </row>
    <row r="105" ht="13.5" customHeight="1">
      <c r="A105" s="11"/>
      <c r="B105" s="262" t="s">
        <v>101</v>
      </c>
      <c r="C105" s="383">
        <v>2.0</v>
      </c>
      <c r="D105" s="50">
        <f t="shared" si="8"/>
        <v>0.2</v>
      </c>
      <c r="E105" s="267" t="s">
        <v>5</v>
      </c>
      <c r="F105" s="47"/>
      <c r="G105" s="1254"/>
      <c r="H105" s="262" t="s">
        <v>1422</v>
      </c>
      <c r="I105" s="383">
        <v>300.0</v>
      </c>
      <c r="J105" s="265">
        <f t="shared" si="10"/>
        <v>75</v>
      </c>
      <c r="K105" s="267" t="s">
        <v>18</v>
      </c>
      <c r="L105" s="47"/>
    </row>
    <row r="106" ht="13.5" customHeight="1">
      <c r="A106" s="11"/>
      <c r="B106" s="262" t="s">
        <v>1427</v>
      </c>
      <c r="C106" s="383">
        <v>150.0</v>
      </c>
      <c r="D106" s="50">
        <f t="shared" si="8"/>
        <v>15</v>
      </c>
      <c r="E106" s="267" t="s">
        <v>18</v>
      </c>
      <c r="F106" s="47"/>
      <c r="G106" s="1254"/>
      <c r="H106" s="262" t="s">
        <v>847</v>
      </c>
      <c r="I106" s="383">
        <v>200.0</v>
      </c>
      <c r="J106" s="265">
        <f t="shared" si="10"/>
        <v>50</v>
      </c>
      <c r="K106" s="267" t="s">
        <v>18</v>
      </c>
      <c r="L106" s="47"/>
    </row>
    <row r="107" ht="13.5" customHeight="1">
      <c r="A107" s="11"/>
      <c r="B107" s="262" t="s">
        <v>52</v>
      </c>
      <c r="C107" s="383">
        <v>125.0</v>
      </c>
      <c r="D107" s="50">
        <f t="shared" si="8"/>
        <v>12.5</v>
      </c>
      <c r="E107" s="267" t="s">
        <v>18</v>
      </c>
      <c r="F107" s="76"/>
      <c r="G107" s="1254"/>
      <c r="H107" s="262" t="s">
        <v>101</v>
      </c>
      <c r="I107" s="383">
        <v>2.0</v>
      </c>
      <c r="J107" s="265">
        <f t="shared" si="10"/>
        <v>0.5</v>
      </c>
      <c r="K107" s="267" t="s">
        <v>5</v>
      </c>
      <c r="L107" s="47"/>
    </row>
    <row r="108" ht="13.5" customHeight="1">
      <c r="A108" s="11"/>
      <c r="B108" s="163" t="s">
        <v>1290</v>
      </c>
      <c r="C108" s="285">
        <v>199.99999999999997</v>
      </c>
      <c r="D108" s="221">
        <f t="shared" si="8"/>
        <v>20</v>
      </c>
      <c r="E108" s="169" t="s">
        <v>18</v>
      </c>
      <c r="F108" s="1256" t="s">
        <v>1430</v>
      </c>
      <c r="G108" s="1254"/>
      <c r="H108" s="262" t="s">
        <v>1427</v>
      </c>
      <c r="I108" s="383">
        <v>150.0</v>
      </c>
      <c r="J108" s="265">
        <f t="shared" si="10"/>
        <v>37.5</v>
      </c>
      <c r="K108" s="267" t="s">
        <v>18</v>
      </c>
      <c r="L108" s="76"/>
    </row>
    <row r="109" ht="13.5" customHeight="1">
      <c r="A109" s="11"/>
      <c r="B109" s="177" t="s">
        <v>563</v>
      </c>
      <c r="C109" s="198">
        <v>10.0</v>
      </c>
      <c r="D109" s="27">
        <f t="shared" si="8"/>
        <v>1</v>
      </c>
      <c r="E109" s="204" t="s">
        <v>18</v>
      </c>
      <c r="G109" s="1254"/>
      <c r="H109" s="262" t="s">
        <v>52</v>
      </c>
      <c r="I109" s="383">
        <v>125.0</v>
      </c>
      <c r="J109" s="265">
        <f t="shared" si="10"/>
        <v>31.25</v>
      </c>
      <c r="K109" s="267" t="s">
        <v>18</v>
      </c>
      <c r="L109" s="1080" t="s">
        <v>1431</v>
      </c>
    </row>
    <row r="110" ht="13.5" customHeight="1">
      <c r="A110" s="11"/>
      <c r="B110" s="177" t="s">
        <v>31</v>
      </c>
      <c r="C110" s="198">
        <v>100.0</v>
      </c>
      <c r="D110" s="27">
        <f t="shared" si="8"/>
        <v>10</v>
      </c>
      <c r="E110" s="204" t="s">
        <v>18</v>
      </c>
      <c r="G110" s="1254"/>
      <c r="H110" s="163" t="s">
        <v>1290</v>
      </c>
      <c r="I110" s="285">
        <v>199.99999999999997</v>
      </c>
      <c r="J110" s="164">
        <f t="shared" si="10"/>
        <v>50</v>
      </c>
      <c r="K110" s="169" t="s">
        <v>18</v>
      </c>
      <c r="L110" s="66"/>
    </row>
    <row r="111" ht="13.5" customHeight="1">
      <c r="A111" s="11"/>
      <c r="B111" s="177" t="s">
        <v>124</v>
      </c>
      <c r="C111" s="198">
        <v>75.0</v>
      </c>
      <c r="D111" s="27">
        <f t="shared" si="8"/>
        <v>7.5</v>
      </c>
      <c r="E111" s="204" t="s">
        <v>18</v>
      </c>
      <c r="G111" s="1254"/>
      <c r="H111" s="177" t="s">
        <v>563</v>
      </c>
      <c r="I111" s="198">
        <v>10.0</v>
      </c>
      <c r="J111" s="201">
        <f t="shared" si="10"/>
        <v>2.5</v>
      </c>
      <c r="K111" s="204" t="s">
        <v>18</v>
      </c>
      <c r="L111" s="66"/>
    </row>
    <row r="112" ht="13.5" customHeight="1">
      <c r="A112" s="11"/>
      <c r="B112" s="208" t="s">
        <v>1378</v>
      </c>
      <c r="C112" s="211">
        <v>1.35</v>
      </c>
      <c r="D112" s="236">
        <f t="shared" si="8"/>
        <v>0.135</v>
      </c>
      <c r="E112" s="212" t="s">
        <v>14</v>
      </c>
      <c r="F112" s="104"/>
      <c r="G112" s="11"/>
      <c r="H112" s="177" t="s">
        <v>31</v>
      </c>
      <c r="I112" s="198">
        <v>100.0</v>
      </c>
      <c r="J112" s="201">
        <f t="shared" si="10"/>
        <v>25</v>
      </c>
      <c r="K112" s="204" t="s">
        <v>18</v>
      </c>
      <c r="L112" s="66"/>
    </row>
    <row r="113" ht="13.5" customHeight="1">
      <c r="A113" s="11"/>
      <c r="B113" s="1143" t="s">
        <v>119</v>
      </c>
      <c r="C113" s="818" t="s">
        <v>47</v>
      </c>
      <c r="D113" s="1167"/>
      <c r="E113" s="11"/>
      <c r="F113" s="11"/>
      <c r="G113" s="11"/>
      <c r="H113" s="177" t="s">
        <v>124</v>
      </c>
      <c r="I113" s="198">
        <v>75.0</v>
      </c>
      <c r="J113" s="201">
        <f t="shared" si="10"/>
        <v>18.75</v>
      </c>
      <c r="K113" s="204" t="s">
        <v>18</v>
      </c>
      <c r="L113" s="106"/>
    </row>
    <row r="114" ht="13.5" customHeight="1">
      <c r="A114" s="11"/>
      <c r="B114" s="550" t="s">
        <v>49</v>
      </c>
      <c r="C114" s="551">
        <v>41541.0</v>
      </c>
      <c r="D114" s="1167"/>
      <c r="E114" s="11"/>
      <c r="F114" s="11"/>
      <c r="G114" s="11"/>
      <c r="H114" s="11"/>
      <c r="I114" s="11"/>
      <c r="J114" s="1127"/>
      <c r="K114" s="11"/>
      <c r="L114" s="11"/>
    </row>
    <row r="115" ht="13.5" customHeight="1">
      <c r="A115" s="11"/>
      <c r="B115" s="552" t="s">
        <v>50</v>
      </c>
      <c r="C115" s="557">
        <v>41549.0</v>
      </c>
      <c r="D115" s="1167"/>
      <c r="E115" s="11"/>
      <c r="F115" s="11"/>
      <c r="G115" s="11"/>
      <c r="H115" s="11"/>
      <c r="I115" s="11"/>
      <c r="J115" s="1127"/>
      <c r="K115" s="11"/>
      <c r="L115" s="11"/>
    </row>
    <row r="116" ht="13.5" customHeight="1">
      <c r="A116" s="11"/>
      <c r="B116" s="11"/>
      <c r="C116" s="11"/>
      <c r="D116" s="1167"/>
      <c r="E116" s="11"/>
      <c r="F116" s="11"/>
      <c r="G116" s="11"/>
      <c r="H116" s="11"/>
      <c r="I116" s="11"/>
      <c r="J116" s="1127"/>
      <c r="K116" s="11"/>
      <c r="L116" s="11"/>
    </row>
    <row r="117" ht="13.5" customHeight="1">
      <c r="A117" s="11"/>
      <c r="B117" s="240" t="s">
        <v>694</v>
      </c>
      <c r="C117" s="5"/>
      <c r="D117" s="5"/>
      <c r="E117" s="6"/>
      <c r="F117" s="1259"/>
      <c r="G117" s="11"/>
      <c r="H117" s="240" t="s">
        <v>1434</v>
      </c>
      <c r="I117" s="5"/>
      <c r="J117" s="5"/>
      <c r="K117" s="6"/>
      <c r="L117" s="1259"/>
    </row>
    <row r="118" ht="13.5" customHeight="1">
      <c r="A118" s="11"/>
      <c r="B118" s="25" t="s">
        <v>1</v>
      </c>
      <c r="C118" s="314">
        <v>70.0</v>
      </c>
      <c r="D118" s="218">
        <v>100.0</v>
      </c>
      <c r="E118" s="28" t="s">
        <v>5</v>
      </c>
      <c r="F118" s="11"/>
      <c r="G118" s="11"/>
      <c r="H118" s="25" t="s">
        <v>1</v>
      </c>
      <c r="I118" s="314">
        <v>80.0</v>
      </c>
      <c r="J118" s="526">
        <v>50.0</v>
      </c>
      <c r="K118" s="28" t="s">
        <v>5</v>
      </c>
      <c r="L118" s="11"/>
    </row>
    <row r="119" ht="13.5" customHeight="1">
      <c r="A119" s="11"/>
      <c r="B119" s="1260" t="s">
        <v>1410</v>
      </c>
      <c r="C119" s="1261">
        <v>5.0</v>
      </c>
      <c r="D119" s="1098">
        <f t="shared" ref="D119:D136" si="11">(C119*D118)/C118</f>
        <v>7.142857143</v>
      </c>
      <c r="E119" s="1263" t="s">
        <v>14</v>
      </c>
      <c r="F119" s="1250" t="s">
        <v>1437</v>
      </c>
      <c r="G119" s="11"/>
      <c r="H119" s="1260" t="s">
        <v>1410</v>
      </c>
      <c r="I119" s="1261">
        <v>5.0</v>
      </c>
      <c r="J119" s="1013">
        <f t="shared" ref="J119:J142" si="12">(I119*J118)/I118</f>
        <v>3.125</v>
      </c>
      <c r="K119" s="1263" t="s">
        <v>14</v>
      </c>
      <c r="L119" s="1250" t="s">
        <v>1437</v>
      </c>
    </row>
    <row r="120" ht="15.0" customHeight="1">
      <c r="A120" s="11"/>
      <c r="B120" s="163" t="s">
        <v>91</v>
      </c>
      <c r="C120" s="285">
        <v>2.0</v>
      </c>
      <c r="D120" s="221">
        <f t="shared" si="11"/>
        <v>2.857142857</v>
      </c>
      <c r="E120" s="169" t="s">
        <v>5</v>
      </c>
      <c r="F120" s="1183" t="s">
        <v>1440</v>
      </c>
      <c r="G120" s="11"/>
      <c r="H120" s="163" t="s">
        <v>91</v>
      </c>
      <c r="I120" s="285">
        <v>2.0</v>
      </c>
      <c r="J120" s="164">
        <f t="shared" si="12"/>
        <v>1.25</v>
      </c>
      <c r="K120" s="169" t="s">
        <v>5</v>
      </c>
      <c r="L120" s="1183" t="s">
        <v>1440</v>
      </c>
    </row>
    <row r="121" ht="13.5" customHeight="1">
      <c r="A121" s="11"/>
      <c r="B121" s="177" t="s">
        <v>60</v>
      </c>
      <c r="C121" s="198">
        <v>1.5</v>
      </c>
      <c r="D121" s="27">
        <f t="shared" si="11"/>
        <v>2.142857143</v>
      </c>
      <c r="E121" s="204" t="s">
        <v>14</v>
      </c>
      <c r="F121" s="47"/>
      <c r="G121" s="11"/>
      <c r="H121" s="177" t="s">
        <v>60</v>
      </c>
      <c r="I121" s="198">
        <v>1.5</v>
      </c>
      <c r="J121" s="201">
        <f t="shared" si="12"/>
        <v>0.9375</v>
      </c>
      <c r="K121" s="204" t="s">
        <v>14</v>
      </c>
      <c r="L121" s="47"/>
    </row>
    <row r="122" ht="13.5" customHeight="1">
      <c r="A122" s="11"/>
      <c r="B122" s="177" t="s">
        <v>1203</v>
      </c>
      <c r="C122" s="198">
        <v>2.0</v>
      </c>
      <c r="D122" s="27">
        <f t="shared" si="11"/>
        <v>2.857142857</v>
      </c>
      <c r="E122" s="204" t="s">
        <v>14</v>
      </c>
      <c r="F122" s="47"/>
      <c r="G122" s="11"/>
      <c r="H122" s="177" t="s">
        <v>1203</v>
      </c>
      <c r="I122" s="198">
        <v>2.0</v>
      </c>
      <c r="J122" s="201">
        <f t="shared" si="12"/>
        <v>1.25</v>
      </c>
      <c r="K122" s="204" t="s">
        <v>14</v>
      </c>
      <c r="L122" s="47"/>
    </row>
    <row r="123" ht="13.5" customHeight="1">
      <c r="A123" s="11"/>
      <c r="B123" s="177" t="s">
        <v>1419</v>
      </c>
      <c r="C123" s="198">
        <v>1.5</v>
      </c>
      <c r="D123" s="27">
        <f t="shared" si="11"/>
        <v>2.142857143</v>
      </c>
      <c r="E123" s="204" t="s">
        <v>14</v>
      </c>
      <c r="F123" s="47"/>
      <c r="G123" s="11"/>
      <c r="H123" s="177" t="s">
        <v>1419</v>
      </c>
      <c r="I123" s="198">
        <v>1.5</v>
      </c>
      <c r="J123" s="201">
        <f t="shared" si="12"/>
        <v>0.9375</v>
      </c>
      <c r="K123" s="204" t="s">
        <v>14</v>
      </c>
      <c r="L123" s="47"/>
    </row>
    <row r="124" ht="13.5" customHeight="1">
      <c r="A124" s="11"/>
      <c r="B124" s="177" t="s">
        <v>1046</v>
      </c>
      <c r="C124" s="198">
        <v>1000.0</v>
      </c>
      <c r="D124" s="27">
        <f t="shared" si="11"/>
        <v>1428.571429</v>
      </c>
      <c r="E124" s="204" t="s">
        <v>18</v>
      </c>
      <c r="F124" s="47"/>
      <c r="G124" s="11"/>
      <c r="H124" s="177" t="s">
        <v>1046</v>
      </c>
      <c r="I124" s="198">
        <v>1000.0</v>
      </c>
      <c r="J124" s="201">
        <f t="shared" si="12"/>
        <v>625</v>
      </c>
      <c r="K124" s="204" t="s">
        <v>18</v>
      </c>
      <c r="L124" s="47"/>
    </row>
    <row r="125" ht="13.5" customHeight="1">
      <c r="A125" s="11"/>
      <c r="B125" s="208" t="s">
        <v>1420</v>
      </c>
      <c r="C125" s="211">
        <v>0.5</v>
      </c>
      <c r="D125" s="236">
        <f t="shared" si="11"/>
        <v>0.7142857143</v>
      </c>
      <c r="E125" s="212" t="s">
        <v>14</v>
      </c>
      <c r="F125" s="76"/>
      <c r="G125" s="11"/>
      <c r="H125" s="208" t="s">
        <v>1420</v>
      </c>
      <c r="I125" s="211">
        <v>0.5</v>
      </c>
      <c r="J125" s="257">
        <f t="shared" si="12"/>
        <v>0.3125</v>
      </c>
      <c r="K125" s="212" t="s">
        <v>14</v>
      </c>
      <c r="L125" s="76"/>
    </row>
    <row r="126" ht="15.0" customHeight="1">
      <c r="A126" s="11"/>
      <c r="B126" s="251" t="s">
        <v>91</v>
      </c>
      <c r="C126" s="1005">
        <v>1.0</v>
      </c>
      <c r="D126" s="244">
        <f t="shared" si="11"/>
        <v>1.428571429</v>
      </c>
      <c r="E126" s="255" t="s">
        <v>5</v>
      </c>
      <c r="F126" s="1272" t="s">
        <v>1447</v>
      </c>
      <c r="G126" s="11"/>
      <c r="H126" s="251" t="s">
        <v>91</v>
      </c>
      <c r="I126" s="1005">
        <v>1.0</v>
      </c>
      <c r="J126" s="158">
        <f t="shared" si="12"/>
        <v>0.625</v>
      </c>
      <c r="K126" s="255" t="s">
        <v>5</v>
      </c>
      <c r="L126" s="1272" t="s">
        <v>1447</v>
      </c>
    </row>
    <row r="127" ht="13.5" customHeight="1">
      <c r="A127" s="11"/>
      <c r="B127" s="262" t="s">
        <v>98</v>
      </c>
      <c r="C127" s="383">
        <v>250.0</v>
      </c>
      <c r="D127" s="27">
        <f t="shared" si="11"/>
        <v>357.1428571</v>
      </c>
      <c r="E127" s="267" t="s">
        <v>18</v>
      </c>
      <c r="F127" s="47"/>
      <c r="G127" s="11"/>
      <c r="H127" s="262" t="s">
        <v>98</v>
      </c>
      <c r="I127" s="383">
        <v>250.0</v>
      </c>
      <c r="J127" s="201">
        <f t="shared" si="12"/>
        <v>156.25</v>
      </c>
      <c r="K127" s="267" t="s">
        <v>18</v>
      </c>
      <c r="L127" s="47"/>
    </row>
    <row r="128" ht="13.5" customHeight="1">
      <c r="A128" s="11"/>
      <c r="B128" s="262" t="s">
        <v>39</v>
      </c>
      <c r="C128" s="383">
        <v>500.0</v>
      </c>
      <c r="D128" s="27">
        <f t="shared" si="11"/>
        <v>714.2857143</v>
      </c>
      <c r="E128" s="267" t="s">
        <v>18</v>
      </c>
      <c r="F128" s="47"/>
      <c r="G128" s="11"/>
      <c r="H128" s="262" t="s">
        <v>39</v>
      </c>
      <c r="I128" s="383">
        <v>500.0</v>
      </c>
      <c r="J128" s="201">
        <f t="shared" si="12"/>
        <v>312.5</v>
      </c>
      <c r="K128" s="267" t="s">
        <v>18</v>
      </c>
      <c r="L128" s="47"/>
    </row>
    <row r="129" ht="13.5" customHeight="1">
      <c r="A129" s="11"/>
      <c r="B129" s="262" t="s">
        <v>390</v>
      </c>
      <c r="C129" s="383">
        <v>200.0</v>
      </c>
      <c r="D129" s="27">
        <f t="shared" si="11"/>
        <v>285.7142857</v>
      </c>
      <c r="E129" s="267" t="s">
        <v>18</v>
      </c>
      <c r="F129" s="47"/>
      <c r="G129" s="11"/>
      <c r="H129" s="262" t="s">
        <v>390</v>
      </c>
      <c r="I129" s="383">
        <v>200.0</v>
      </c>
      <c r="J129" s="201">
        <f t="shared" si="12"/>
        <v>125</v>
      </c>
      <c r="K129" s="267" t="s">
        <v>18</v>
      </c>
      <c r="L129" s="47"/>
    </row>
    <row r="130" ht="13.5" customHeight="1">
      <c r="A130" s="11"/>
      <c r="B130" s="262" t="s">
        <v>101</v>
      </c>
      <c r="C130" s="383">
        <v>2.0</v>
      </c>
      <c r="D130" s="27">
        <f t="shared" si="11"/>
        <v>2.857142857</v>
      </c>
      <c r="E130" s="267" t="s">
        <v>5</v>
      </c>
      <c r="F130" s="47"/>
      <c r="G130" s="11"/>
      <c r="H130" s="262" t="s">
        <v>101</v>
      </c>
      <c r="I130" s="383">
        <v>2.0</v>
      </c>
      <c r="J130" s="201">
        <f t="shared" si="12"/>
        <v>1.25</v>
      </c>
      <c r="K130" s="267" t="s">
        <v>5</v>
      </c>
      <c r="L130" s="47"/>
    </row>
    <row r="131" ht="13.5" customHeight="1">
      <c r="A131" s="11"/>
      <c r="B131" s="262" t="s">
        <v>1427</v>
      </c>
      <c r="C131" s="383">
        <v>100.0</v>
      </c>
      <c r="D131" s="27">
        <f t="shared" si="11"/>
        <v>142.8571429</v>
      </c>
      <c r="E131" s="267" t="s">
        <v>18</v>
      </c>
      <c r="F131" s="47"/>
      <c r="G131" s="11"/>
      <c r="H131" s="262" t="s">
        <v>1427</v>
      </c>
      <c r="I131" s="383">
        <v>100.0</v>
      </c>
      <c r="J131" s="201">
        <f t="shared" si="12"/>
        <v>62.5</v>
      </c>
      <c r="K131" s="267" t="s">
        <v>18</v>
      </c>
      <c r="L131" s="47"/>
    </row>
    <row r="132" ht="13.5" customHeight="1">
      <c r="A132" s="11"/>
      <c r="B132" s="208" t="s">
        <v>52</v>
      </c>
      <c r="C132" s="211">
        <v>100.0</v>
      </c>
      <c r="D132" s="236">
        <f t="shared" si="11"/>
        <v>142.8571429</v>
      </c>
      <c r="E132" s="212" t="s">
        <v>18</v>
      </c>
      <c r="F132" s="76"/>
      <c r="G132" s="11"/>
      <c r="H132" s="208" t="s">
        <v>52</v>
      </c>
      <c r="I132" s="211">
        <v>100.0</v>
      </c>
      <c r="J132" s="257">
        <f t="shared" si="12"/>
        <v>62.5</v>
      </c>
      <c r="K132" s="212" t="s">
        <v>18</v>
      </c>
      <c r="L132" s="76"/>
    </row>
    <row r="133" ht="15.0" customHeight="1">
      <c r="A133" s="11"/>
      <c r="B133" s="25" t="s">
        <v>1290</v>
      </c>
      <c r="C133" s="314">
        <v>250.0</v>
      </c>
      <c r="D133" s="221">
        <f t="shared" si="11"/>
        <v>357.1428571</v>
      </c>
      <c r="E133" s="28" t="s">
        <v>18</v>
      </c>
      <c r="F133" s="1183" t="s">
        <v>1454</v>
      </c>
      <c r="G133" s="11"/>
      <c r="H133" s="25" t="s">
        <v>1290</v>
      </c>
      <c r="I133" s="314">
        <v>250.0</v>
      </c>
      <c r="J133" s="164">
        <f t="shared" si="12"/>
        <v>156.25</v>
      </c>
      <c r="K133" s="28" t="s">
        <v>18</v>
      </c>
      <c r="L133" s="1183" t="s">
        <v>1454</v>
      </c>
    </row>
    <row r="134" ht="13.5" customHeight="1">
      <c r="A134" s="11"/>
      <c r="B134" s="262" t="s">
        <v>31</v>
      </c>
      <c r="C134" s="383">
        <v>200.0</v>
      </c>
      <c r="D134" s="27">
        <f t="shared" si="11"/>
        <v>285.7142857</v>
      </c>
      <c r="E134" s="267" t="s">
        <v>18</v>
      </c>
      <c r="F134" s="47"/>
      <c r="G134" s="11"/>
      <c r="H134" s="262" t="s">
        <v>31</v>
      </c>
      <c r="I134" s="383">
        <v>200.0</v>
      </c>
      <c r="J134" s="201">
        <f t="shared" si="12"/>
        <v>125</v>
      </c>
      <c r="K134" s="267" t="s">
        <v>18</v>
      </c>
      <c r="L134" s="47"/>
    </row>
    <row r="135" ht="15.75" customHeight="1">
      <c r="A135" s="11"/>
      <c r="B135" s="262" t="s">
        <v>124</v>
      </c>
      <c r="C135" s="383">
        <v>100.0</v>
      </c>
      <c r="D135" s="27">
        <f t="shared" si="11"/>
        <v>142.8571429</v>
      </c>
      <c r="E135" s="267" t="s">
        <v>18</v>
      </c>
      <c r="F135" s="47"/>
      <c r="G135" s="11"/>
      <c r="H135" s="262" t="s">
        <v>124</v>
      </c>
      <c r="I135" s="383">
        <v>100.0</v>
      </c>
      <c r="J135" s="201">
        <f t="shared" si="12"/>
        <v>62.5</v>
      </c>
      <c r="K135" s="267" t="s">
        <v>18</v>
      </c>
      <c r="L135" s="47"/>
    </row>
    <row r="136" ht="15.75" customHeight="1">
      <c r="A136" s="11"/>
      <c r="B136" s="208" t="s">
        <v>1378</v>
      </c>
      <c r="C136" s="211">
        <v>2.0</v>
      </c>
      <c r="D136" s="236">
        <f t="shared" si="11"/>
        <v>2.857142857</v>
      </c>
      <c r="E136" s="212" t="s">
        <v>14</v>
      </c>
      <c r="F136" s="76"/>
      <c r="G136" s="11"/>
      <c r="H136" s="208" t="s">
        <v>1457</v>
      </c>
      <c r="I136" s="211">
        <v>2.0</v>
      </c>
      <c r="J136" s="257">
        <f t="shared" si="12"/>
        <v>1.25</v>
      </c>
      <c r="K136" s="212" t="s">
        <v>14</v>
      </c>
      <c r="L136" s="76"/>
    </row>
    <row r="137" ht="13.5" customHeight="1">
      <c r="A137" s="11"/>
      <c r="B137" s="1143" t="s">
        <v>119</v>
      </c>
      <c r="C137" s="818" t="s">
        <v>47</v>
      </c>
      <c r="D137" s="1167"/>
      <c r="E137" s="11"/>
      <c r="F137" s="11"/>
      <c r="G137" s="11"/>
      <c r="H137" s="68" t="s">
        <v>1274</v>
      </c>
      <c r="I137" s="210">
        <v>2.0</v>
      </c>
      <c r="J137" s="155">
        <f t="shared" si="12"/>
        <v>1.25</v>
      </c>
      <c r="K137" s="216" t="s">
        <v>14</v>
      </c>
      <c r="L137" s="1282" t="s">
        <v>1463</v>
      </c>
    </row>
    <row r="138" ht="13.5" customHeight="1">
      <c r="A138" s="11"/>
      <c r="B138" s="90" t="s">
        <v>120</v>
      </c>
      <c r="C138" s="308">
        <v>41064.0</v>
      </c>
      <c r="D138" s="1167"/>
      <c r="E138" s="11"/>
      <c r="F138" s="11"/>
      <c r="G138" s="11"/>
      <c r="H138" s="93" t="s">
        <v>1464</v>
      </c>
      <c r="I138" s="247">
        <v>10.0</v>
      </c>
      <c r="J138" s="78">
        <f t="shared" si="12"/>
        <v>6.25</v>
      </c>
      <c r="K138" s="249" t="s">
        <v>18</v>
      </c>
      <c r="L138" s="47"/>
    </row>
    <row r="139" ht="13.5" customHeight="1">
      <c r="A139" s="11"/>
      <c r="B139" s="305" t="s">
        <v>50</v>
      </c>
      <c r="C139" s="308"/>
      <c r="D139" s="1167"/>
      <c r="E139" s="11"/>
      <c r="F139" s="11"/>
      <c r="G139" s="11"/>
      <c r="H139" s="119" t="s">
        <v>59</v>
      </c>
      <c r="I139" s="239">
        <v>900.0</v>
      </c>
      <c r="J139" s="78">
        <f t="shared" si="12"/>
        <v>562.5</v>
      </c>
      <c r="K139" s="249" t="s">
        <v>82</v>
      </c>
      <c r="L139" s="47"/>
    </row>
    <row r="140" ht="13.5" customHeight="1">
      <c r="A140" s="11"/>
      <c r="B140" s="11"/>
      <c r="C140" s="11"/>
      <c r="D140" s="1167"/>
      <c r="E140" s="11"/>
      <c r="F140" s="11"/>
      <c r="G140" s="11"/>
      <c r="H140" s="138" t="s">
        <v>103</v>
      </c>
      <c r="I140" s="239">
        <v>30.0</v>
      </c>
      <c r="J140" s="78">
        <f t="shared" si="12"/>
        <v>18.75</v>
      </c>
      <c r="K140" s="242" t="s">
        <v>18</v>
      </c>
      <c r="L140" s="47"/>
    </row>
    <row r="141" ht="13.5" customHeight="1">
      <c r="A141" s="11"/>
      <c r="B141" s="320" t="s">
        <v>1465</v>
      </c>
      <c r="C141" s="5"/>
      <c r="D141" s="5"/>
      <c r="E141" s="6"/>
      <c r="F141" s="562"/>
      <c r="G141" s="11"/>
      <c r="H141" s="138" t="s">
        <v>112</v>
      </c>
      <c r="I141" s="239">
        <v>100.0</v>
      </c>
      <c r="J141" s="78">
        <f t="shared" si="12"/>
        <v>62.5</v>
      </c>
      <c r="K141" s="242" t="s">
        <v>18</v>
      </c>
      <c r="L141" s="47"/>
    </row>
    <row r="142" ht="13.5" customHeight="1">
      <c r="A142" s="11"/>
      <c r="B142" s="324" t="s">
        <v>1</v>
      </c>
      <c r="C142" s="563">
        <v>100.0</v>
      </c>
      <c r="D142" s="1286">
        <v>25.0</v>
      </c>
      <c r="E142" s="329" t="s">
        <v>5</v>
      </c>
      <c r="F142" s="562"/>
      <c r="G142" s="11"/>
      <c r="H142" s="105" t="s">
        <v>31</v>
      </c>
      <c r="I142" s="522">
        <v>70.0</v>
      </c>
      <c r="J142" s="56">
        <f t="shared" si="12"/>
        <v>43.75</v>
      </c>
      <c r="K142" s="518" t="s">
        <v>18</v>
      </c>
      <c r="L142" s="76"/>
    </row>
    <row r="143" ht="13.5" customHeight="1">
      <c r="A143" s="11"/>
      <c r="B143" s="330" t="s">
        <v>1468</v>
      </c>
      <c r="C143" s="564">
        <v>20.0</v>
      </c>
      <c r="D143" s="1289">
        <f t="shared" ref="D143:D158" si="13">(C143*D142)/C142</f>
        <v>5</v>
      </c>
      <c r="E143" s="1290" t="s">
        <v>14</v>
      </c>
      <c r="F143" s="1291" t="s">
        <v>373</v>
      </c>
      <c r="G143" s="11"/>
      <c r="H143" s="11"/>
      <c r="I143" s="11"/>
      <c r="J143" s="1127"/>
      <c r="K143" s="11"/>
      <c r="L143" s="11"/>
    </row>
    <row r="144" ht="13.5" customHeight="1">
      <c r="A144" s="11"/>
      <c r="B144" s="333" t="s">
        <v>184</v>
      </c>
      <c r="C144" s="566">
        <v>2.0</v>
      </c>
      <c r="D144" s="665">
        <f t="shared" si="13"/>
        <v>0.5</v>
      </c>
      <c r="E144" s="1293" t="s">
        <v>5</v>
      </c>
      <c r="F144" s="1294" t="s">
        <v>1470</v>
      </c>
      <c r="G144" s="11"/>
      <c r="H144" s="11"/>
      <c r="I144" s="11"/>
      <c r="J144" s="1127"/>
      <c r="K144" s="11"/>
      <c r="L144" s="11"/>
    </row>
    <row r="145" ht="13.5" customHeight="1">
      <c r="A145" s="11"/>
      <c r="B145" s="341" t="s">
        <v>60</v>
      </c>
      <c r="C145" s="567">
        <v>2.5</v>
      </c>
      <c r="D145" s="1295">
        <f t="shared" si="13"/>
        <v>0.625</v>
      </c>
      <c r="E145" s="1296" t="s">
        <v>14</v>
      </c>
      <c r="F145" s="98"/>
      <c r="G145" s="11"/>
      <c r="H145" s="11"/>
      <c r="I145" s="11"/>
      <c r="J145" s="1127"/>
      <c r="K145" s="11"/>
      <c r="L145" s="11"/>
    </row>
    <row r="146" ht="13.5" customHeight="1">
      <c r="A146" s="11"/>
      <c r="B146" s="341" t="s">
        <v>184</v>
      </c>
      <c r="C146" s="567">
        <v>0.5</v>
      </c>
      <c r="D146" s="1295">
        <f t="shared" si="13"/>
        <v>0.125</v>
      </c>
      <c r="E146" s="1296" t="s">
        <v>5</v>
      </c>
      <c r="F146" s="98"/>
      <c r="G146" s="11"/>
      <c r="H146" s="11"/>
      <c r="I146" s="11"/>
      <c r="J146" s="1127"/>
      <c r="K146" s="11"/>
      <c r="L146" s="11"/>
    </row>
    <row r="147" ht="13.5" customHeight="1">
      <c r="A147" s="11"/>
      <c r="B147" s="341" t="s">
        <v>38</v>
      </c>
      <c r="C147" s="567">
        <v>2.5</v>
      </c>
      <c r="D147" s="1295">
        <f t="shared" si="13"/>
        <v>0.625</v>
      </c>
      <c r="E147" s="1296" t="s">
        <v>14</v>
      </c>
      <c r="F147" s="98"/>
      <c r="G147" s="11"/>
      <c r="H147" s="11"/>
      <c r="I147" s="11"/>
      <c r="J147" s="1127"/>
      <c r="K147" s="11"/>
      <c r="L147" s="11"/>
    </row>
    <row r="148" ht="13.5" customHeight="1">
      <c r="A148" s="11"/>
      <c r="B148" s="341" t="s">
        <v>97</v>
      </c>
      <c r="C148" s="567">
        <v>200.0</v>
      </c>
      <c r="D148" s="1295">
        <f t="shared" si="13"/>
        <v>50</v>
      </c>
      <c r="E148" s="1296" t="s">
        <v>18</v>
      </c>
      <c r="F148" s="98"/>
      <c r="G148" s="11"/>
      <c r="H148" s="11"/>
      <c r="I148" s="11"/>
      <c r="J148" s="1127"/>
      <c r="K148" s="11"/>
      <c r="L148" s="11"/>
    </row>
    <row r="149" ht="13.5" customHeight="1">
      <c r="A149" s="11"/>
      <c r="B149" s="341" t="s">
        <v>375</v>
      </c>
      <c r="C149" s="567">
        <v>400.0</v>
      </c>
      <c r="D149" s="1295">
        <f t="shared" si="13"/>
        <v>100</v>
      </c>
      <c r="E149" s="1296" t="s">
        <v>18</v>
      </c>
      <c r="F149" s="98"/>
      <c r="G149" s="11"/>
      <c r="H149" s="11"/>
      <c r="I149" s="11"/>
      <c r="J149" s="1127"/>
      <c r="K149" s="11"/>
      <c r="L149" s="11"/>
    </row>
    <row r="150" ht="13.5" customHeight="1">
      <c r="A150" s="11"/>
      <c r="B150" s="262" t="s">
        <v>847</v>
      </c>
      <c r="C150" s="383">
        <v>150.0</v>
      </c>
      <c r="D150" s="50">
        <f t="shared" si="13"/>
        <v>37.5</v>
      </c>
      <c r="E150" s="986" t="s">
        <v>18</v>
      </c>
      <c r="F150" s="98"/>
      <c r="G150" s="11"/>
      <c r="H150" s="11"/>
      <c r="I150" s="11"/>
      <c r="J150" s="1127"/>
      <c r="K150" s="11"/>
      <c r="L150" s="11"/>
    </row>
    <row r="151" ht="27.75" customHeight="1">
      <c r="A151" s="11"/>
      <c r="B151" s="341" t="s">
        <v>193</v>
      </c>
      <c r="C151" s="567">
        <v>2.0</v>
      </c>
      <c r="D151" s="1295">
        <f t="shared" si="13"/>
        <v>0.5</v>
      </c>
      <c r="E151" s="1296" t="s">
        <v>5</v>
      </c>
      <c r="F151" s="98"/>
      <c r="G151" s="11"/>
      <c r="H151" s="11"/>
      <c r="I151" s="11"/>
      <c r="J151" s="1127"/>
      <c r="K151" s="11"/>
      <c r="L151" s="11"/>
    </row>
    <row r="152" ht="13.5" customHeight="1">
      <c r="A152" s="11"/>
      <c r="B152" s="341" t="s">
        <v>103</v>
      </c>
      <c r="C152" s="567">
        <v>150.0</v>
      </c>
      <c r="D152" s="1295">
        <f t="shared" si="13"/>
        <v>37.5</v>
      </c>
      <c r="E152" s="1296" t="s">
        <v>18</v>
      </c>
      <c r="F152" s="98"/>
      <c r="G152" s="11"/>
      <c r="H152" s="11"/>
      <c r="I152" s="11"/>
      <c r="J152" s="1127"/>
      <c r="K152" s="11"/>
      <c r="L152" s="11"/>
    </row>
    <row r="153" ht="13.5" customHeight="1">
      <c r="A153" s="11"/>
      <c r="B153" s="349" t="s">
        <v>52</v>
      </c>
      <c r="C153" s="568">
        <v>100.0</v>
      </c>
      <c r="D153" s="1297">
        <f t="shared" si="13"/>
        <v>25</v>
      </c>
      <c r="E153" s="1298" t="s">
        <v>18</v>
      </c>
      <c r="F153" s="115"/>
      <c r="G153" s="11"/>
      <c r="H153" s="11"/>
      <c r="I153" s="11"/>
      <c r="J153" s="1127"/>
      <c r="K153" s="11"/>
      <c r="L153" s="11"/>
    </row>
    <row r="154" ht="13.5" customHeight="1">
      <c r="A154" s="11"/>
      <c r="B154" s="333" t="s">
        <v>31</v>
      </c>
      <c r="C154" s="566">
        <v>400.0</v>
      </c>
      <c r="D154" s="665">
        <f t="shared" si="13"/>
        <v>100</v>
      </c>
      <c r="E154" s="335" t="s">
        <v>18</v>
      </c>
      <c r="F154" s="1299" t="s">
        <v>1471</v>
      </c>
      <c r="G154" s="11"/>
      <c r="H154" s="11"/>
      <c r="I154" s="11"/>
      <c r="J154" s="1127"/>
      <c r="K154" s="11"/>
      <c r="L154" s="11"/>
    </row>
    <row r="155" ht="13.5" customHeight="1">
      <c r="A155" s="11"/>
      <c r="B155" s="341" t="s">
        <v>124</v>
      </c>
      <c r="C155" s="567">
        <v>200.0</v>
      </c>
      <c r="D155" s="1295">
        <f t="shared" si="13"/>
        <v>50</v>
      </c>
      <c r="E155" s="347" t="s">
        <v>18</v>
      </c>
      <c r="F155" s="47"/>
      <c r="G155" s="11"/>
      <c r="H155" s="11"/>
      <c r="I155" s="11"/>
      <c r="J155" s="1127"/>
      <c r="K155" s="11"/>
      <c r="L155" s="11"/>
    </row>
    <row r="156" ht="13.5" customHeight="1">
      <c r="A156" s="11"/>
      <c r="B156" s="341" t="s">
        <v>563</v>
      </c>
      <c r="C156" s="567">
        <v>10.0</v>
      </c>
      <c r="D156" s="1295">
        <f t="shared" si="13"/>
        <v>2.5</v>
      </c>
      <c r="E156" s="347" t="s">
        <v>18</v>
      </c>
      <c r="F156" s="47"/>
      <c r="G156" s="11"/>
      <c r="H156" s="11"/>
      <c r="I156" s="11"/>
      <c r="J156" s="1127"/>
      <c r="K156" s="11"/>
      <c r="L156" s="11"/>
    </row>
    <row r="157" ht="13.5" customHeight="1">
      <c r="A157" s="11"/>
      <c r="B157" s="341" t="s">
        <v>1290</v>
      </c>
      <c r="C157" s="567">
        <v>200.0</v>
      </c>
      <c r="D157" s="1295">
        <f t="shared" si="13"/>
        <v>50</v>
      </c>
      <c r="E157" s="347" t="s">
        <v>18</v>
      </c>
      <c r="F157" s="47"/>
      <c r="G157" s="11"/>
      <c r="H157" s="11"/>
      <c r="I157" s="11"/>
      <c r="J157" s="1127"/>
      <c r="K157" s="11"/>
      <c r="L157" s="11"/>
    </row>
    <row r="158" ht="15.0" customHeight="1">
      <c r="A158" s="11"/>
      <c r="B158" s="208" t="s">
        <v>1378</v>
      </c>
      <c r="C158" s="571">
        <v>1.0</v>
      </c>
      <c r="D158" s="1300">
        <f t="shared" si="13"/>
        <v>0.25</v>
      </c>
      <c r="E158" s="388" t="s">
        <v>14</v>
      </c>
      <c r="F158" s="76"/>
      <c r="G158" s="11"/>
      <c r="H158" s="11"/>
      <c r="I158" s="11"/>
      <c r="J158" s="1127"/>
      <c r="K158" s="11"/>
      <c r="L158" s="11"/>
    </row>
    <row r="159" ht="15.0" customHeight="1">
      <c r="A159" s="11"/>
      <c r="B159" s="1143" t="s">
        <v>119</v>
      </c>
      <c r="C159" s="183" t="s">
        <v>47</v>
      </c>
      <c r="D159" s="107"/>
      <c r="E159" s="1"/>
      <c r="F159" s="11"/>
      <c r="G159" s="11"/>
      <c r="H159" s="11"/>
      <c r="I159" s="11"/>
      <c r="J159" s="1127"/>
      <c r="K159" s="11"/>
      <c r="L159" s="11"/>
    </row>
    <row r="160" ht="15.0" customHeight="1">
      <c r="A160" s="11"/>
      <c r="B160" s="97"/>
      <c r="C160" s="7"/>
      <c r="D160" s="1148"/>
      <c r="E160" s="575"/>
      <c r="F160" s="11"/>
      <c r="G160" s="11"/>
      <c r="H160" s="11"/>
      <c r="I160" s="11"/>
      <c r="J160" s="1127"/>
      <c r="K160" s="11"/>
      <c r="L160" s="11"/>
    </row>
    <row r="161" ht="15.0" customHeight="1">
      <c r="A161" s="11"/>
      <c r="B161" s="302" t="s">
        <v>49</v>
      </c>
      <c r="C161" s="303">
        <v>41811.0</v>
      </c>
      <c r="D161" s="100"/>
      <c r="E161" s="575"/>
      <c r="F161" s="11"/>
      <c r="G161" s="11"/>
      <c r="H161" s="11"/>
      <c r="I161" s="11"/>
      <c r="J161" s="1127"/>
      <c r="K161" s="11"/>
      <c r="L161" s="11"/>
    </row>
    <row r="162" ht="15.0" customHeight="1">
      <c r="A162" s="11"/>
      <c r="B162" s="302" t="s">
        <v>50</v>
      </c>
      <c r="C162" s="303"/>
      <c r="D162" s="100"/>
      <c r="E162" s="575"/>
      <c r="F162" s="11"/>
      <c r="G162" s="11"/>
      <c r="H162" s="11"/>
      <c r="I162" s="11"/>
      <c r="J162" s="1127"/>
      <c r="K162" s="11"/>
      <c r="L162" s="11"/>
    </row>
    <row r="163" ht="15.0" customHeight="1">
      <c r="A163" s="11"/>
      <c r="B163" s="1"/>
      <c r="C163" s="1"/>
      <c r="D163" s="107"/>
      <c r="E163" s="1"/>
      <c r="F163" s="1"/>
      <c r="G163" s="11"/>
      <c r="H163" s="11"/>
      <c r="I163" s="11"/>
      <c r="J163" s="1127"/>
      <c r="K163" s="11"/>
      <c r="L163" s="11"/>
    </row>
    <row r="164" ht="15.75" customHeight="1">
      <c r="A164" s="11"/>
      <c r="B164" s="206" t="s">
        <v>1472</v>
      </c>
      <c r="C164" s="5"/>
      <c r="D164" s="5"/>
      <c r="E164" s="6"/>
      <c r="F164" s="1301" t="s">
        <v>1473</v>
      </c>
      <c r="G164" s="11"/>
      <c r="H164" s="11"/>
      <c r="I164" s="11"/>
      <c r="J164" s="1127"/>
      <c r="K164" s="11"/>
      <c r="L164" s="11"/>
    </row>
    <row r="165" ht="15.0" customHeight="1">
      <c r="A165" s="11"/>
      <c r="B165" s="173" t="s">
        <v>1</v>
      </c>
      <c r="C165" s="545">
        <v>60.0</v>
      </c>
      <c r="D165" s="275">
        <v>60.0</v>
      </c>
      <c r="E165" s="547" t="s">
        <v>9</v>
      </c>
      <c r="F165" s="1"/>
      <c r="G165" s="11"/>
      <c r="H165" s="11"/>
      <c r="I165" s="11"/>
      <c r="J165" s="1127"/>
      <c r="K165" s="11"/>
      <c r="L165" s="11"/>
    </row>
    <row r="166" ht="15.0" customHeight="1">
      <c r="A166" s="11"/>
      <c r="B166" s="119" t="s">
        <v>1274</v>
      </c>
      <c r="C166" s="523">
        <v>600.0</v>
      </c>
      <c r="D166" s="1248">
        <f t="shared" ref="D166:D172" si="14">(C166*D165)/C165</f>
        <v>600</v>
      </c>
      <c r="E166" s="520" t="s">
        <v>18</v>
      </c>
      <c r="F166" s="44" t="s">
        <v>1474</v>
      </c>
      <c r="G166" s="11"/>
      <c r="H166" s="11"/>
      <c r="I166" s="11"/>
      <c r="J166" s="1127"/>
      <c r="K166" s="11"/>
      <c r="L166" s="11"/>
    </row>
    <row r="167" ht="15.0" customHeight="1">
      <c r="A167" s="11"/>
      <c r="B167" s="93" t="s">
        <v>1321</v>
      </c>
      <c r="C167" s="247">
        <v>25.0</v>
      </c>
      <c r="D167" s="50">
        <f t="shared" si="14"/>
        <v>25</v>
      </c>
      <c r="E167" s="249" t="s">
        <v>18</v>
      </c>
      <c r="F167" s="47"/>
      <c r="G167" s="11"/>
      <c r="H167" s="11"/>
      <c r="I167" s="11"/>
      <c r="J167" s="1127"/>
      <c r="K167" s="11"/>
      <c r="L167" s="11"/>
    </row>
    <row r="168" ht="15.0" customHeight="1">
      <c r="A168" s="11"/>
      <c r="B168" s="93" t="s">
        <v>13</v>
      </c>
      <c r="C168" s="247">
        <v>30.0</v>
      </c>
      <c r="D168" s="50">
        <f t="shared" si="14"/>
        <v>30</v>
      </c>
      <c r="E168" s="249" t="s">
        <v>18</v>
      </c>
      <c r="F168" s="47"/>
      <c r="G168" s="11"/>
      <c r="H168" s="11"/>
      <c r="I168" s="11"/>
      <c r="J168" s="1127"/>
      <c r="K168" s="11"/>
      <c r="L168" s="11"/>
    </row>
    <row r="169" ht="15.0" customHeight="1">
      <c r="A169" s="11"/>
      <c r="B169" s="93" t="s">
        <v>563</v>
      </c>
      <c r="C169" s="247">
        <v>20.0</v>
      </c>
      <c r="D169" s="50">
        <f t="shared" si="14"/>
        <v>20</v>
      </c>
      <c r="E169" s="249" t="s">
        <v>18</v>
      </c>
      <c r="F169" s="47"/>
      <c r="G169" s="11"/>
      <c r="H169" s="11"/>
      <c r="I169" s="11"/>
      <c r="J169" s="1127"/>
      <c r="K169" s="11"/>
      <c r="L169" s="11"/>
    </row>
    <row r="170" ht="15.0" customHeight="1">
      <c r="A170" s="11"/>
      <c r="B170" s="93" t="s">
        <v>31</v>
      </c>
      <c r="C170" s="247">
        <v>25.0</v>
      </c>
      <c r="D170" s="50">
        <f t="shared" si="14"/>
        <v>25</v>
      </c>
      <c r="E170" s="249" t="s">
        <v>18</v>
      </c>
      <c r="F170" s="47"/>
      <c r="G170" s="11"/>
      <c r="H170" s="11"/>
      <c r="I170" s="11"/>
      <c r="J170" s="1127"/>
      <c r="K170" s="11"/>
      <c r="L170" s="11"/>
    </row>
    <row r="171" ht="15.75" customHeight="1">
      <c r="A171" s="11"/>
      <c r="B171" s="93" t="s">
        <v>1475</v>
      </c>
      <c r="C171" s="247">
        <v>2.0</v>
      </c>
      <c r="D171" s="50">
        <f t="shared" si="14"/>
        <v>2</v>
      </c>
      <c r="E171" s="1302" t="s">
        <v>18</v>
      </c>
      <c r="F171" s="47"/>
      <c r="G171" s="11"/>
      <c r="H171" s="11"/>
      <c r="I171" s="11"/>
      <c r="J171" s="1127"/>
      <c r="K171" s="11"/>
      <c r="L171" s="11"/>
    </row>
    <row r="172" ht="15.0" customHeight="1">
      <c r="A172" s="11"/>
      <c r="B172" s="138" t="s">
        <v>91</v>
      </c>
      <c r="C172" s="239">
        <v>100.0</v>
      </c>
      <c r="D172" s="50">
        <f t="shared" si="14"/>
        <v>100</v>
      </c>
      <c r="E172" s="1303" t="s">
        <v>82</v>
      </c>
      <c r="F172" s="47"/>
      <c r="G172" s="11"/>
      <c r="H172" s="11"/>
      <c r="I172" s="11"/>
      <c r="J172" s="1127"/>
      <c r="K172" s="11"/>
      <c r="L172" s="11"/>
    </row>
    <row r="173" ht="15.0" customHeight="1">
      <c r="A173" s="11"/>
      <c r="B173" s="138" t="s">
        <v>243</v>
      </c>
      <c r="C173" s="1304">
        <v>800.0</v>
      </c>
      <c r="D173" s="50">
        <f>(C173*D171)/C171</f>
        <v>800</v>
      </c>
      <c r="E173" s="242" t="s">
        <v>82</v>
      </c>
      <c r="F173" s="76"/>
      <c r="G173" s="11"/>
      <c r="H173" s="11"/>
      <c r="I173" s="11"/>
      <c r="J173" s="1127"/>
      <c r="K173" s="11"/>
      <c r="L173" s="11"/>
    </row>
    <row r="174" ht="15.0" customHeight="1">
      <c r="A174" s="11"/>
      <c r="B174" s="766" t="s">
        <v>1478</v>
      </c>
      <c r="C174" s="18"/>
      <c r="D174" s="18"/>
      <c r="E174" s="19"/>
      <c r="F174" s="1305"/>
      <c r="G174" s="11"/>
      <c r="H174" s="11"/>
      <c r="I174" s="11"/>
      <c r="J174" s="1127"/>
      <c r="K174" s="11"/>
      <c r="L174" s="11"/>
    </row>
    <row r="175" ht="15.75" customHeight="1">
      <c r="A175" s="11"/>
      <c r="B175" s="173" t="s">
        <v>1480</v>
      </c>
      <c r="C175" s="545">
        <v>1.0</v>
      </c>
      <c r="D175" s="275">
        <v>1.0</v>
      </c>
      <c r="E175" s="547" t="s">
        <v>9</v>
      </c>
      <c r="F175" s="1306"/>
      <c r="G175" s="11"/>
      <c r="H175" s="11"/>
      <c r="I175" s="11"/>
      <c r="J175" s="1127"/>
      <c r="K175" s="11"/>
      <c r="L175" s="11"/>
    </row>
    <row r="176" ht="15.0" customHeight="1">
      <c r="A176" s="11"/>
      <c r="B176" s="68" t="s">
        <v>91</v>
      </c>
      <c r="C176" s="210">
        <v>0.1</v>
      </c>
      <c r="D176" s="218">
        <f t="shared" ref="D176:D186" si="15">(C176*D175)/C175</f>
        <v>0.1</v>
      </c>
      <c r="E176" s="216" t="s">
        <v>5</v>
      </c>
      <c r="F176" s="44" t="s">
        <v>1482</v>
      </c>
      <c r="G176" s="11"/>
      <c r="H176" s="11"/>
      <c r="I176" s="11"/>
      <c r="J176" s="1127"/>
      <c r="K176" s="11"/>
      <c r="L176" s="11"/>
    </row>
    <row r="177" ht="15.0" customHeight="1">
      <c r="A177" s="11"/>
      <c r="B177" s="93" t="s">
        <v>97</v>
      </c>
      <c r="C177" s="247">
        <v>10.0</v>
      </c>
      <c r="D177" s="50">
        <f t="shared" si="15"/>
        <v>10</v>
      </c>
      <c r="E177" s="249" t="s">
        <v>18</v>
      </c>
      <c r="F177" s="47"/>
      <c r="G177" s="11"/>
      <c r="H177" s="11"/>
      <c r="I177" s="11"/>
      <c r="J177" s="1127"/>
      <c r="K177" s="11"/>
      <c r="L177" s="11"/>
    </row>
    <row r="178" ht="15.0" customHeight="1">
      <c r="A178" s="11"/>
      <c r="B178" s="93" t="s">
        <v>1240</v>
      </c>
      <c r="C178" s="247">
        <v>0.02</v>
      </c>
      <c r="D178" s="50">
        <f t="shared" si="15"/>
        <v>0.02</v>
      </c>
      <c r="E178" s="249" t="s">
        <v>14</v>
      </c>
      <c r="F178" s="47"/>
      <c r="G178" s="11"/>
      <c r="H178" s="11"/>
      <c r="I178" s="11"/>
      <c r="J178" s="1127"/>
      <c r="K178" s="11"/>
      <c r="L178" s="11"/>
    </row>
    <row r="179" ht="15.0" customHeight="1">
      <c r="A179" s="11"/>
      <c r="B179" s="93" t="s">
        <v>1241</v>
      </c>
      <c r="C179" s="247">
        <v>10.0</v>
      </c>
      <c r="D179" s="50">
        <f t="shared" si="15"/>
        <v>10</v>
      </c>
      <c r="E179" s="249" t="s">
        <v>18</v>
      </c>
      <c r="F179" s="47"/>
      <c r="G179" s="11"/>
      <c r="H179" s="11"/>
      <c r="I179" s="11"/>
      <c r="J179" s="1127"/>
      <c r="K179" s="11"/>
      <c r="L179" s="11"/>
    </row>
    <row r="180" ht="15.0" customHeight="1">
      <c r="A180" s="11"/>
      <c r="B180" s="93" t="s">
        <v>1484</v>
      </c>
      <c r="C180" s="247">
        <v>25.0</v>
      </c>
      <c r="D180" s="50">
        <f t="shared" si="15"/>
        <v>25</v>
      </c>
      <c r="E180" s="249" t="s">
        <v>18</v>
      </c>
      <c r="F180" s="47"/>
      <c r="G180" s="11"/>
      <c r="H180" s="11"/>
      <c r="I180" s="11"/>
      <c r="J180" s="1127"/>
      <c r="K180" s="11"/>
      <c r="L180" s="11"/>
    </row>
    <row r="181" ht="15.0" customHeight="1">
      <c r="A181" s="11"/>
      <c r="B181" s="93" t="s">
        <v>103</v>
      </c>
      <c r="C181" s="247">
        <v>15.0</v>
      </c>
      <c r="D181" s="50">
        <f t="shared" si="15"/>
        <v>15</v>
      </c>
      <c r="E181" s="249" t="s">
        <v>18</v>
      </c>
      <c r="F181" s="47"/>
      <c r="G181" s="11"/>
      <c r="H181" s="11"/>
      <c r="I181" s="11"/>
      <c r="J181" s="1127"/>
      <c r="K181" s="11"/>
      <c r="L181" s="11"/>
    </row>
    <row r="182" ht="15.0" customHeight="1">
      <c r="A182" s="11"/>
      <c r="B182" s="93" t="s">
        <v>101</v>
      </c>
      <c r="C182" s="247">
        <v>15.0</v>
      </c>
      <c r="D182" s="50">
        <f t="shared" si="15"/>
        <v>15</v>
      </c>
      <c r="E182" s="249" t="s">
        <v>1485</v>
      </c>
      <c r="F182" s="47"/>
      <c r="G182" s="11"/>
      <c r="H182" s="11"/>
      <c r="I182" s="11"/>
      <c r="J182" s="1127"/>
      <c r="K182" s="11"/>
      <c r="L182" s="11"/>
    </row>
    <row r="183" ht="15.75" customHeight="1">
      <c r="A183" s="11"/>
      <c r="B183" s="93" t="s">
        <v>13</v>
      </c>
      <c r="C183" s="247">
        <v>0.3</v>
      </c>
      <c r="D183" s="50">
        <f t="shared" si="15"/>
        <v>0.3</v>
      </c>
      <c r="E183" s="249" t="s">
        <v>18</v>
      </c>
      <c r="F183" s="47"/>
      <c r="G183" s="11"/>
      <c r="H183" s="11"/>
      <c r="I183" s="11"/>
      <c r="J183" s="1127"/>
      <c r="K183" s="11"/>
      <c r="L183" s="11"/>
    </row>
    <row r="184" ht="15.0" customHeight="1">
      <c r="A184" s="11"/>
      <c r="B184" s="105" t="s">
        <v>243</v>
      </c>
      <c r="C184" s="522">
        <v>750.0</v>
      </c>
      <c r="D184" s="236">
        <f t="shared" si="15"/>
        <v>750</v>
      </c>
      <c r="E184" s="518" t="s">
        <v>82</v>
      </c>
      <c r="F184" s="76"/>
      <c r="G184" s="11"/>
      <c r="H184" s="11"/>
      <c r="I184" s="11"/>
      <c r="J184" s="1127"/>
      <c r="K184" s="11"/>
      <c r="L184" s="11"/>
    </row>
    <row r="185" ht="15.0" customHeight="1">
      <c r="A185" s="11"/>
      <c r="B185" s="149" t="s">
        <v>335</v>
      </c>
      <c r="C185" s="272">
        <v>0.1</v>
      </c>
      <c r="D185" s="370">
        <f t="shared" si="15"/>
        <v>0.1</v>
      </c>
      <c r="E185" s="288" t="s">
        <v>190</v>
      </c>
      <c r="F185" s="770" t="s">
        <v>115</v>
      </c>
      <c r="G185" s="11"/>
      <c r="H185" s="11"/>
      <c r="I185" s="11"/>
      <c r="J185" s="1127"/>
      <c r="K185" s="11"/>
      <c r="L185" s="11"/>
    </row>
    <row r="186" ht="15.0" customHeight="1">
      <c r="A186" s="11"/>
      <c r="B186" s="149" t="s">
        <v>142</v>
      </c>
      <c r="C186" s="272">
        <v>0.5</v>
      </c>
      <c r="D186" s="370">
        <f t="shared" si="15"/>
        <v>0.5</v>
      </c>
      <c r="E186" s="288" t="s">
        <v>9</v>
      </c>
      <c r="F186" s="47"/>
      <c r="G186" s="11"/>
      <c r="H186" s="11"/>
      <c r="I186" s="11"/>
      <c r="J186" s="1127"/>
      <c r="K186" s="11"/>
      <c r="L186" s="11"/>
    </row>
    <row r="187" ht="15.0" customHeight="1">
      <c r="A187" s="11"/>
      <c r="B187" s="1316"/>
      <c r="C187" s="1317"/>
      <c r="D187" s="107"/>
      <c r="E187" s="1"/>
      <c r="F187" s="11"/>
      <c r="G187" s="11"/>
      <c r="H187" s="11"/>
      <c r="I187" s="11"/>
      <c r="J187" s="1127"/>
      <c r="K187" s="11"/>
      <c r="L187" s="11"/>
    </row>
    <row r="188" ht="15.0" customHeight="1">
      <c r="A188" s="11"/>
      <c r="B188" s="1143" t="s">
        <v>119</v>
      </c>
      <c r="C188" s="183" t="s">
        <v>47</v>
      </c>
      <c r="D188" s="107"/>
      <c r="E188" s="1"/>
      <c r="F188" s="11"/>
      <c r="G188" s="11"/>
      <c r="H188" s="11"/>
      <c r="I188" s="11"/>
      <c r="J188" s="1127"/>
      <c r="K188" s="11"/>
      <c r="L188" s="11"/>
    </row>
    <row r="189" ht="15.0" customHeight="1">
      <c r="A189" s="11"/>
      <c r="B189" s="1"/>
      <c r="C189" s="1"/>
      <c r="D189" s="107"/>
      <c r="E189" s="1"/>
      <c r="F189" s="11"/>
      <c r="G189" s="11"/>
      <c r="H189" s="11"/>
      <c r="I189" s="11"/>
      <c r="J189" s="1127"/>
      <c r="K189" s="11"/>
      <c r="L189" s="11"/>
    </row>
    <row r="190" ht="15.0" customHeight="1">
      <c r="A190" s="11"/>
      <c r="B190" s="511" t="s">
        <v>1490</v>
      </c>
      <c r="C190" s="18"/>
      <c r="D190" s="18"/>
      <c r="E190" s="1321"/>
      <c r="F190" s="1"/>
      <c r="G190" s="11"/>
      <c r="H190" s="11"/>
      <c r="I190" s="11"/>
      <c r="J190" s="1127"/>
      <c r="K190" s="11"/>
      <c r="L190" s="11"/>
    </row>
    <row r="191" ht="15.75" customHeight="1">
      <c r="A191" s="11"/>
      <c r="B191" s="51" t="s">
        <v>1</v>
      </c>
      <c r="C191" s="53">
        <v>75.0</v>
      </c>
      <c r="D191" s="190">
        <v>81.0</v>
      </c>
      <c r="E191" s="59" t="s">
        <v>5</v>
      </c>
      <c r="F191" s="198"/>
      <c r="G191" s="11"/>
      <c r="H191" s="11"/>
      <c r="I191" s="11"/>
      <c r="J191" s="1127"/>
      <c r="K191" s="11"/>
      <c r="L191" s="11"/>
    </row>
    <row r="192" ht="15.0" customHeight="1">
      <c r="A192" s="11"/>
      <c r="B192" s="51" t="s">
        <v>1492</v>
      </c>
      <c r="C192" s="53">
        <v>22.0</v>
      </c>
      <c r="D192" s="190">
        <f t="shared" ref="D192:D215" si="16">(C192*D191)/C191</f>
        <v>23.76</v>
      </c>
      <c r="E192" s="59" t="s">
        <v>14</v>
      </c>
      <c r="F192" s="198"/>
      <c r="G192" s="11"/>
      <c r="H192" s="11"/>
      <c r="I192" s="11"/>
      <c r="J192" s="1127"/>
      <c r="K192" s="11"/>
      <c r="L192" s="11"/>
    </row>
    <row r="193" ht="15.0" customHeight="1">
      <c r="A193" s="11"/>
      <c r="B193" s="68" t="s">
        <v>1274</v>
      </c>
      <c r="C193" s="210">
        <v>2.0</v>
      </c>
      <c r="D193" s="145">
        <f t="shared" si="16"/>
        <v>2.16</v>
      </c>
      <c r="E193" s="81" t="s">
        <v>14</v>
      </c>
      <c r="F193" s="1325" t="s">
        <v>1495</v>
      </c>
      <c r="G193" s="11"/>
      <c r="H193" s="11"/>
      <c r="I193" s="11"/>
      <c r="J193" s="1127"/>
      <c r="K193" s="11"/>
      <c r="L193" s="11"/>
    </row>
    <row r="194" ht="15.0" customHeight="1">
      <c r="A194" s="11"/>
      <c r="B194" s="93" t="s">
        <v>1383</v>
      </c>
      <c r="C194" s="247">
        <v>10.0</v>
      </c>
      <c r="D194" s="195">
        <f t="shared" si="16"/>
        <v>10.8</v>
      </c>
      <c r="E194" s="95" t="s">
        <v>18</v>
      </c>
      <c r="F194" s="47"/>
      <c r="G194" s="11"/>
      <c r="H194" s="11"/>
      <c r="I194" s="11"/>
      <c r="J194" s="1127"/>
      <c r="K194" s="11"/>
      <c r="L194" s="11"/>
    </row>
    <row r="195" ht="15.0" customHeight="1">
      <c r="A195" s="11"/>
      <c r="B195" s="119" t="s">
        <v>113</v>
      </c>
      <c r="C195" s="523">
        <v>30.0</v>
      </c>
      <c r="D195" s="238">
        <f t="shared" si="16"/>
        <v>32.4</v>
      </c>
      <c r="E195" s="132" t="s">
        <v>18</v>
      </c>
      <c r="F195" s="47"/>
      <c r="G195" s="11"/>
      <c r="H195" s="11"/>
      <c r="I195" s="11"/>
      <c r="J195" s="1127"/>
      <c r="K195" s="11"/>
      <c r="L195" s="11"/>
    </row>
    <row r="196" ht="15.75" customHeight="1">
      <c r="A196" s="11"/>
      <c r="B196" s="93" t="s">
        <v>1496</v>
      </c>
      <c r="C196" s="247">
        <v>50.0</v>
      </c>
      <c r="D196" s="195">
        <f t="shared" si="16"/>
        <v>54</v>
      </c>
      <c r="E196" s="95" t="s">
        <v>18</v>
      </c>
      <c r="F196" s="47"/>
      <c r="G196" s="11"/>
      <c r="H196" s="11"/>
      <c r="I196" s="11"/>
      <c r="J196" s="1127"/>
      <c r="K196" s="11"/>
      <c r="L196" s="11"/>
    </row>
    <row r="197" ht="13.5" customHeight="1">
      <c r="A197" s="11"/>
      <c r="B197" s="93" t="s">
        <v>91</v>
      </c>
      <c r="C197" s="247">
        <v>0.4</v>
      </c>
      <c r="D197" s="195">
        <f t="shared" si="16"/>
        <v>0.432</v>
      </c>
      <c r="E197" s="95" t="s">
        <v>5</v>
      </c>
      <c r="F197" s="47"/>
      <c r="G197" s="11"/>
      <c r="H197" s="11"/>
      <c r="I197" s="11"/>
      <c r="J197" s="1127"/>
      <c r="K197" s="11"/>
      <c r="L197" s="11"/>
    </row>
    <row r="198" ht="13.5" customHeight="1">
      <c r="A198" s="11"/>
      <c r="B198" s="138" t="s">
        <v>59</v>
      </c>
      <c r="C198" s="239">
        <v>900.0</v>
      </c>
      <c r="D198" s="195">
        <f t="shared" si="16"/>
        <v>972</v>
      </c>
      <c r="E198" s="95" t="s">
        <v>82</v>
      </c>
      <c r="F198" s="47"/>
      <c r="G198" s="11"/>
      <c r="H198" s="11"/>
      <c r="I198" s="11"/>
      <c r="J198" s="1127"/>
      <c r="K198" s="11"/>
      <c r="L198" s="11"/>
    </row>
    <row r="199" ht="13.5" customHeight="1">
      <c r="A199" s="11"/>
      <c r="B199" s="138" t="s">
        <v>31</v>
      </c>
      <c r="C199" s="239">
        <v>60.0</v>
      </c>
      <c r="D199" s="279">
        <f t="shared" si="16"/>
        <v>64.8</v>
      </c>
      <c r="E199" s="151" t="s">
        <v>18</v>
      </c>
      <c r="F199" s="76"/>
      <c r="G199" s="11"/>
      <c r="H199" s="11"/>
      <c r="I199" s="11"/>
      <c r="J199" s="1127"/>
      <c r="K199" s="11"/>
      <c r="L199" s="11"/>
    </row>
    <row r="200" ht="13.5" customHeight="1">
      <c r="A200" s="11"/>
      <c r="B200" s="68" t="s">
        <v>1274</v>
      </c>
      <c r="C200" s="210">
        <v>2.0</v>
      </c>
      <c r="D200" s="145">
        <f t="shared" si="16"/>
        <v>2.16</v>
      </c>
      <c r="E200" s="81" t="s">
        <v>14</v>
      </c>
      <c r="F200" s="1327" t="s">
        <v>1499</v>
      </c>
      <c r="G200" s="11"/>
      <c r="H200" s="11"/>
      <c r="I200" s="11"/>
      <c r="J200" s="1127"/>
      <c r="K200" s="11"/>
      <c r="L200" s="11"/>
    </row>
    <row r="201" ht="13.5" customHeight="1">
      <c r="A201" s="11"/>
      <c r="B201" s="119" t="s">
        <v>113</v>
      </c>
      <c r="C201" s="523">
        <v>30.0</v>
      </c>
      <c r="D201" s="238">
        <f t="shared" si="16"/>
        <v>32.4</v>
      </c>
      <c r="E201" s="132" t="s">
        <v>18</v>
      </c>
      <c r="F201" s="47"/>
      <c r="G201" s="11"/>
      <c r="H201" s="11"/>
      <c r="I201" s="11"/>
      <c r="J201" s="1127"/>
      <c r="K201" s="11"/>
      <c r="L201" s="11"/>
    </row>
    <row r="202" ht="13.5" customHeight="1">
      <c r="A202" s="11"/>
      <c r="B202" s="119" t="s">
        <v>1496</v>
      </c>
      <c r="C202" s="247">
        <v>50.0</v>
      </c>
      <c r="D202" s="195">
        <f t="shared" si="16"/>
        <v>54</v>
      </c>
      <c r="E202" s="95" t="s">
        <v>18</v>
      </c>
      <c r="F202" s="47"/>
      <c r="G202" s="11"/>
      <c r="H202" s="11"/>
      <c r="I202" s="11"/>
      <c r="J202" s="1127"/>
      <c r="K202" s="11"/>
      <c r="L202" s="11"/>
    </row>
    <row r="203" ht="13.5" customHeight="1">
      <c r="A203" s="11"/>
      <c r="B203" s="93" t="s">
        <v>1383</v>
      </c>
      <c r="C203" s="247">
        <v>10.0</v>
      </c>
      <c r="D203" s="195">
        <f t="shared" si="16"/>
        <v>10.8</v>
      </c>
      <c r="E203" s="95" t="s">
        <v>18</v>
      </c>
      <c r="F203" s="47"/>
      <c r="G203" s="11"/>
      <c r="H203" s="11"/>
      <c r="I203" s="11"/>
      <c r="J203" s="1127"/>
      <c r="K203" s="11"/>
      <c r="L203" s="11"/>
    </row>
    <row r="204" ht="13.5" customHeight="1">
      <c r="A204" s="11"/>
      <c r="B204" s="93" t="s">
        <v>91</v>
      </c>
      <c r="C204" s="247">
        <v>0.4</v>
      </c>
      <c r="D204" s="195">
        <f t="shared" si="16"/>
        <v>0.432</v>
      </c>
      <c r="E204" s="95" t="s">
        <v>5</v>
      </c>
      <c r="F204" s="47"/>
      <c r="G204" s="11"/>
      <c r="H204" s="11"/>
      <c r="I204" s="11"/>
      <c r="J204" s="1127"/>
      <c r="K204" s="11"/>
      <c r="L204" s="11"/>
    </row>
    <row r="205" ht="13.5" customHeight="1">
      <c r="A205" s="11"/>
      <c r="B205" s="138" t="s">
        <v>59</v>
      </c>
      <c r="C205" s="239">
        <v>900.0</v>
      </c>
      <c r="D205" s="195">
        <f t="shared" si="16"/>
        <v>972</v>
      </c>
      <c r="E205" s="95" t="s">
        <v>82</v>
      </c>
      <c r="F205" s="47"/>
      <c r="G205" s="11"/>
      <c r="H205" s="11"/>
      <c r="I205" s="11"/>
      <c r="J205" s="1127"/>
      <c r="K205" s="11"/>
      <c r="L205" s="11"/>
    </row>
    <row r="206" ht="13.5" customHeight="1">
      <c r="A206" s="11"/>
      <c r="B206" s="105" t="s">
        <v>31</v>
      </c>
      <c r="C206" s="522">
        <v>60.0</v>
      </c>
      <c r="D206" s="200">
        <f t="shared" si="16"/>
        <v>64.8</v>
      </c>
      <c r="E206" s="114" t="s">
        <v>18</v>
      </c>
      <c r="F206" s="76"/>
      <c r="G206" s="11"/>
      <c r="H206" s="11"/>
      <c r="I206" s="11"/>
      <c r="J206" s="1127"/>
      <c r="K206" s="11"/>
      <c r="L206" s="11"/>
    </row>
    <row r="207" ht="13.5" customHeight="1">
      <c r="A207" s="11"/>
      <c r="B207" s="68" t="s">
        <v>1274</v>
      </c>
      <c r="C207" s="210">
        <v>2.0</v>
      </c>
      <c r="D207" s="145">
        <f t="shared" si="16"/>
        <v>2.16</v>
      </c>
      <c r="E207" s="81" t="s">
        <v>14</v>
      </c>
      <c r="F207" s="1325" t="s">
        <v>1503</v>
      </c>
      <c r="G207" s="11"/>
      <c r="H207" s="11"/>
      <c r="I207" s="11"/>
      <c r="J207" s="1127"/>
      <c r="K207" s="11"/>
      <c r="L207" s="11"/>
    </row>
    <row r="208" ht="13.5" customHeight="1">
      <c r="A208" s="11"/>
      <c r="B208" s="93" t="s">
        <v>1383</v>
      </c>
      <c r="C208" s="247">
        <v>10.0</v>
      </c>
      <c r="D208" s="195">
        <f t="shared" si="16"/>
        <v>10.8</v>
      </c>
      <c r="E208" s="95" t="s">
        <v>18</v>
      </c>
      <c r="F208" s="47"/>
      <c r="G208" s="11"/>
      <c r="H208" s="11"/>
      <c r="I208" s="11"/>
      <c r="J208" s="1127"/>
      <c r="K208" s="11"/>
      <c r="L208" s="11"/>
    </row>
    <row r="209" ht="13.5" customHeight="1">
      <c r="A209" s="11"/>
      <c r="B209" s="138" t="s">
        <v>59</v>
      </c>
      <c r="C209" s="239">
        <v>900.0</v>
      </c>
      <c r="D209" s="195">
        <f t="shared" si="16"/>
        <v>972</v>
      </c>
      <c r="E209" s="95" t="s">
        <v>82</v>
      </c>
      <c r="F209" s="47"/>
      <c r="G209" s="11"/>
      <c r="H209" s="11"/>
      <c r="I209" s="11"/>
      <c r="J209" s="1127"/>
      <c r="K209" s="11"/>
      <c r="L209" s="11"/>
    </row>
    <row r="210" ht="13.5" customHeight="1">
      <c r="A210" s="11"/>
      <c r="B210" s="105" t="s">
        <v>31</v>
      </c>
      <c r="C210" s="522">
        <v>60.0</v>
      </c>
      <c r="D210" s="200">
        <f t="shared" si="16"/>
        <v>64.8</v>
      </c>
      <c r="E210" s="114" t="s">
        <v>18</v>
      </c>
      <c r="F210" s="76"/>
      <c r="G210" s="11"/>
      <c r="H210" s="11"/>
      <c r="I210" s="11"/>
      <c r="J210" s="1127"/>
      <c r="K210" s="11"/>
      <c r="L210" s="11"/>
    </row>
    <row r="211" ht="13.5" customHeight="1">
      <c r="A211" s="11"/>
      <c r="B211" s="68" t="s">
        <v>1274</v>
      </c>
      <c r="C211" s="210">
        <v>2.0</v>
      </c>
      <c r="D211" s="145">
        <f t="shared" si="16"/>
        <v>2.16</v>
      </c>
      <c r="E211" s="81" t="s">
        <v>14</v>
      </c>
      <c r="F211" s="1336" t="s">
        <v>1504</v>
      </c>
      <c r="G211" s="11"/>
      <c r="H211" s="11"/>
      <c r="I211" s="11"/>
      <c r="J211" s="1127"/>
      <c r="K211" s="11"/>
      <c r="L211" s="11"/>
    </row>
    <row r="212" ht="21.0" customHeight="1">
      <c r="A212" s="11"/>
      <c r="B212" s="93" t="s">
        <v>91</v>
      </c>
      <c r="C212" s="247">
        <v>0.4</v>
      </c>
      <c r="D212" s="195">
        <f t="shared" si="16"/>
        <v>0.432</v>
      </c>
      <c r="E212" s="95" t="s">
        <v>5</v>
      </c>
      <c r="F212" s="47"/>
      <c r="G212" s="11"/>
      <c r="H212" s="11"/>
      <c r="I212" s="11"/>
      <c r="J212" s="1127"/>
      <c r="K212" s="11"/>
      <c r="L212" s="11"/>
    </row>
    <row r="213" ht="15.0" customHeight="1">
      <c r="A213" s="11"/>
      <c r="B213" s="119" t="s">
        <v>59</v>
      </c>
      <c r="C213" s="239">
        <v>900.0</v>
      </c>
      <c r="D213" s="195">
        <f t="shared" si="16"/>
        <v>972</v>
      </c>
      <c r="E213" s="95" t="s">
        <v>82</v>
      </c>
      <c r="F213" s="47"/>
      <c r="G213" s="11"/>
      <c r="H213" s="11"/>
      <c r="I213" s="11"/>
      <c r="J213" s="1127"/>
      <c r="K213" s="11"/>
      <c r="L213" s="11"/>
    </row>
    <row r="214" ht="15.0" customHeight="1">
      <c r="A214" s="11"/>
      <c r="B214" s="119" t="s">
        <v>1241</v>
      </c>
      <c r="C214" s="247">
        <v>30.0</v>
      </c>
      <c r="D214" s="195">
        <f t="shared" si="16"/>
        <v>32.4</v>
      </c>
      <c r="E214" s="95" t="s">
        <v>18</v>
      </c>
      <c r="F214" s="47"/>
      <c r="G214" s="11"/>
      <c r="H214" s="11"/>
      <c r="I214" s="11"/>
      <c r="J214" s="1127"/>
      <c r="K214" s="11"/>
      <c r="L214" s="11"/>
    </row>
    <row r="215" ht="15.0" customHeight="1">
      <c r="A215" s="11"/>
      <c r="B215" s="119" t="s">
        <v>1496</v>
      </c>
      <c r="C215" s="247">
        <v>50.0</v>
      </c>
      <c r="D215" s="195">
        <f t="shared" si="16"/>
        <v>54</v>
      </c>
      <c r="E215" s="95" t="s">
        <v>18</v>
      </c>
      <c r="F215" s="47"/>
      <c r="G215" s="11"/>
      <c r="H215" s="11"/>
      <c r="I215" s="11"/>
      <c r="J215" s="1127"/>
      <c r="K215" s="11"/>
      <c r="L215" s="11"/>
    </row>
    <row r="216" ht="15.0" customHeight="1">
      <c r="A216" s="11"/>
      <c r="B216" s="138" t="s">
        <v>112</v>
      </c>
      <c r="C216" s="239">
        <v>100.0</v>
      </c>
      <c r="D216" s="279">
        <f t="shared" ref="D216:D217" si="17">(C216*D214)/C214</f>
        <v>108</v>
      </c>
      <c r="E216" s="151" t="s">
        <v>18</v>
      </c>
      <c r="F216" s="47"/>
      <c r="G216" s="11"/>
      <c r="H216" s="11"/>
      <c r="I216" s="11"/>
      <c r="J216" s="1127"/>
      <c r="K216" s="11"/>
      <c r="L216" s="11"/>
    </row>
    <row r="217" ht="15.75" customHeight="1">
      <c r="A217" s="11"/>
      <c r="B217" s="93" t="s">
        <v>1464</v>
      </c>
      <c r="C217" s="239">
        <v>10.0</v>
      </c>
      <c r="D217" s="279">
        <f t="shared" si="17"/>
        <v>10.8</v>
      </c>
      <c r="E217" s="151" t="s">
        <v>18</v>
      </c>
      <c r="F217" s="47"/>
      <c r="G217" s="11"/>
      <c r="H217" s="11"/>
      <c r="I217" s="11"/>
      <c r="J217" s="1127"/>
      <c r="K217" s="11"/>
      <c r="L217" s="11"/>
    </row>
    <row r="218" ht="15.0" customHeight="1">
      <c r="A218" s="11"/>
      <c r="B218" s="105" t="s">
        <v>31</v>
      </c>
      <c r="C218" s="522">
        <v>70.0</v>
      </c>
      <c r="D218" s="200">
        <f t="shared" ref="D218:D229" si="18">(C218*D217)/C217</f>
        <v>75.6</v>
      </c>
      <c r="E218" s="114" t="s">
        <v>18</v>
      </c>
      <c r="F218" s="76"/>
      <c r="G218" s="11"/>
      <c r="H218" s="11"/>
      <c r="I218" s="11"/>
      <c r="J218" s="1127"/>
      <c r="K218" s="11"/>
      <c r="L218" s="11"/>
    </row>
    <row r="219" ht="15.0" customHeight="1">
      <c r="A219" s="11"/>
      <c r="B219" s="68" t="s">
        <v>1274</v>
      </c>
      <c r="C219" s="210">
        <v>2.0</v>
      </c>
      <c r="D219" s="145">
        <f t="shared" si="18"/>
        <v>2.16</v>
      </c>
      <c r="E219" s="81" t="s">
        <v>14</v>
      </c>
      <c r="F219" s="1347" t="s">
        <v>1511</v>
      </c>
      <c r="G219" s="11"/>
      <c r="H219" s="11"/>
      <c r="I219" s="11"/>
      <c r="J219" s="1127"/>
      <c r="K219" s="11"/>
      <c r="L219" s="11"/>
    </row>
    <row r="220" ht="15.0" customHeight="1">
      <c r="A220" s="11"/>
      <c r="B220" s="93" t="s">
        <v>1464</v>
      </c>
      <c r="C220" s="247">
        <v>10.0</v>
      </c>
      <c r="D220" s="195">
        <f t="shared" si="18"/>
        <v>10.8</v>
      </c>
      <c r="E220" s="95" t="s">
        <v>18</v>
      </c>
      <c r="F220" s="47"/>
      <c r="G220" s="11"/>
      <c r="H220" s="11"/>
      <c r="I220" s="11"/>
      <c r="J220" s="1127"/>
      <c r="K220" s="11"/>
      <c r="L220" s="11"/>
    </row>
    <row r="221" ht="13.5" customHeight="1">
      <c r="A221" s="11"/>
      <c r="B221" s="119" t="s">
        <v>59</v>
      </c>
      <c r="C221" s="239">
        <v>900.0</v>
      </c>
      <c r="D221" s="195">
        <f t="shared" si="18"/>
        <v>972</v>
      </c>
      <c r="E221" s="95" t="s">
        <v>82</v>
      </c>
      <c r="F221" s="47"/>
      <c r="G221" s="11"/>
      <c r="H221" s="11"/>
      <c r="I221" s="11"/>
      <c r="J221" s="1127"/>
      <c r="K221" s="11"/>
      <c r="L221" s="11"/>
    </row>
    <row r="222" ht="13.5" customHeight="1">
      <c r="A222" s="11"/>
      <c r="B222" s="138" t="s">
        <v>103</v>
      </c>
      <c r="C222" s="239">
        <v>30.0</v>
      </c>
      <c r="D222" s="195">
        <f t="shared" si="18"/>
        <v>32.4</v>
      </c>
      <c r="E222" s="151" t="s">
        <v>18</v>
      </c>
      <c r="F222" s="47"/>
      <c r="G222" s="11"/>
      <c r="H222" s="11"/>
      <c r="I222" s="11"/>
      <c r="J222" s="1127"/>
      <c r="K222" s="11"/>
      <c r="L222" s="11"/>
    </row>
    <row r="223" ht="13.5" customHeight="1">
      <c r="A223" s="11"/>
      <c r="B223" s="138" t="s">
        <v>112</v>
      </c>
      <c r="C223" s="239">
        <v>100.0</v>
      </c>
      <c r="D223" s="195">
        <f t="shared" si="18"/>
        <v>108</v>
      </c>
      <c r="E223" s="151" t="s">
        <v>18</v>
      </c>
      <c r="F223" s="47"/>
      <c r="G223" s="11"/>
      <c r="H223" s="11"/>
      <c r="I223" s="11"/>
      <c r="J223" s="1127"/>
      <c r="K223" s="11"/>
      <c r="L223" s="11"/>
    </row>
    <row r="224" ht="13.5" customHeight="1">
      <c r="A224" s="11"/>
      <c r="B224" s="105" t="s">
        <v>31</v>
      </c>
      <c r="C224" s="522">
        <v>70.0</v>
      </c>
      <c r="D224" s="200">
        <f t="shared" si="18"/>
        <v>75.6</v>
      </c>
      <c r="E224" s="114" t="s">
        <v>18</v>
      </c>
      <c r="F224" s="76"/>
      <c r="G224" s="11"/>
      <c r="H224" s="11"/>
      <c r="I224" s="11"/>
      <c r="J224" s="1127"/>
      <c r="K224" s="11"/>
      <c r="L224" s="11"/>
    </row>
    <row r="225" ht="13.5" customHeight="1">
      <c r="A225" s="11"/>
      <c r="B225" s="68" t="s">
        <v>1274</v>
      </c>
      <c r="C225" s="210">
        <v>2.0</v>
      </c>
      <c r="D225" s="145">
        <f t="shared" si="18"/>
        <v>2.16</v>
      </c>
      <c r="E225" s="81" t="s">
        <v>14</v>
      </c>
      <c r="F225" s="1325" t="s">
        <v>1522</v>
      </c>
      <c r="G225" s="11"/>
      <c r="H225" s="11"/>
      <c r="I225" s="11"/>
      <c r="J225" s="1127"/>
      <c r="K225" s="11"/>
      <c r="L225" s="11"/>
    </row>
    <row r="226" ht="13.5" customHeight="1">
      <c r="A226" s="11"/>
      <c r="B226" s="119" t="s">
        <v>59</v>
      </c>
      <c r="C226" s="239">
        <v>900.0</v>
      </c>
      <c r="D226" s="195">
        <f t="shared" si="18"/>
        <v>972</v>
      </c>
      <c r="E226" s="95" t="s">
        <v>82</v>
      </c>
      <c r="F226" s="47"/>
      <c r="G226" s="11"/>
      <c r="H226" s="11"/>
      <c r="I226" s="11"/>
      <c r="J226" s="1127"/>
      <c r="K226" s="11"/>
      <c r="L226" s="11"/>
    </row>
    <row r="227" ht="13.5" customHeight="1">
      <c r="A227" s="11"/>
      <c r="B227" s="119" t="s">
        <v>103</v>
      </c>
      <c r="C227" s="239">
        <v>30.0</v>
      </c>
      <c r="D227" s="195">
        <f t="shared" si="18"/>
        <v>32.4</v>
      </c>
      <c r="E227" s="95" t="s">
        <v>18</v>
      </c>
      <c r="F227" s="47"/>
      <c r="G227" s="11"/>
      <c r="H227" s="11"/>
      <c r="I227" s="11"/>
      <c r="J227" s="1127"/>
      <c r="K227" s="11"/>
      <c r="L227" s="11"/>
    </row>
    <row r="228" ht="13.5" customHeight="1">
      <c r="A228" s="11"/>
      <c r="B228" s="119" t="s">
        <v>1383</v>
      </c>
      <c r="C228" s="239">
        <v>10.0</v>
      </c>
      <c r="D228" s="195">
        <f t="shared" si="18"/>
        <v>10.8</v>
      </c>
      <c r="E228" s="95" t="s">
        <v>18</v>
      </c>
      <c r="F228" s="47"/>
      <c r="G228" s="11"/>
      <c r="H228" s="11"/>
      <c r="I228" s="11"/>
      <c r="J228" s="1127"/>
      <c r="K228" s="11"/>
      <c r="L228" s="11"/>
    </row>
    <row r="229" ht="13.5" customHeight="1">
      <c r="A229" s="11"/>
      <c r="B229" s="105" t="s">
        <v>31</v>
      </c>
      <c r="C229" s="522">
        <v>60.0</v>
      </c>
      <c r="D229" s="200">
        <f t="shared" si="18"/>
        <v>64.8</v>
      </c>
      <c r="E229" s="114" t="s">
        <v>18</v>
      </c>
      <c r="F229" s="76"/>
      <c r="G229" s="11"/>
      <c r="H229" s="11"/>
      <c r="I229" s="11"/>
      <c r="J229" s="1127"/>
      <c r="K229" s="11"/>
      <c r="L229" s="11"/>
    </row>
    <row r="230" ht="13.5" customHeight="1">
      <c r="A230" s="11"/>
      <c r="B230" s="417" t="s">
        <v>60</v>
      </c>
      <c r="C230" s="541">
        <v>1.0</v>
      </c>
      <c r="D230" s="190">
        <f t="shared" ref="D230:D231" si="19">(C230*D228)/C228</f>
        <v>1.08</v>
      </c>
      <c r="E230" s="920" t="s">
        <v>14</v>
      </c>
      <c r="F230" s="390"/>
      <c r="G230" s="11"/>
      <c r="H230" s="11"/>
      <c r="I230" s="11"/>
      <c r="J230" s="1127"/>
      <c r="K230" s="11"/>
      <c r="L230" s="11"/>
    </row>
    <row r="231" ht="13.5" customHeight="1">
      <c r="A231" s="11"/>
      <c r="B231" s="51" t="s">
        <v>1527</v>
      </c>
      <c r="C231" s="53">
        <v>1.0</v>
      </c>
      <c r="D231" s="190">
        <f t="shared" si="19"/>
        <v>1.08</v>
      </c>
      <c r="E231" s="59" t="s">
        <v>14</v>
      </c>
      <c r="F231" s="198"/>
      <c r="G231" s="11"/>
      <c r="H231" s="11"/>
      <c r="I231" s="11"/>
      <c r="J231" s="1127"/>
      <c r="K231" s="11"/>
      <c r="L231" s="11"/>
    </row>
    <row r="232" ht="13.5" customHeight="1">
      <c r="A232" s="11"/>
      <c r="B232" s="68" t="s">
        <v>1528</v>
      </c>
      <c r="C232" s="210">
        <v>1.0</v>
      </c>
      <c r="D232" s="145">
        <f t="shared" ref="D232:D237" si="20">(C232*D231)/C231</f>
        <v>1.08</v>
      </c>
      <c r="E232" s="81" t="s">
        <v>14</v>
      </c>
      <c r="F232" s="198"/>
      <c r="G232" s="11"/>
      <c r="H232" s="11"/>
      <c r="I232" s="11"/>
      <c r="J232" s="1127"/>
      <c r="K232" s="11"/>
      <c r="L232" s="11"/>
    </row>
    <row r="233" ht="13.5" customHeight="1">
      <c r="A233" s="11"/>
      <c r="B233" s="105" t="s">
        <v>1529</v>
      </c>
      <c r="C233" s="522">
        <v>10.0</v>
      </c>
      <c r="D233" s="200">
        <f t="shared" si="20"/>
        <v>10.8</v>
      </c>
      <c r="E233" s="114" t="s">
        <v>18</v>
      </c>
      <c r="F233" s="198"/>
      <c r="G233" s="11"/>
      <c r="H233" s="11"/>
      <c r="I233" s="11"/>
      <c r="J233" s="1127"/>
      <c r="K233" s="11"/>
      <c r="L233" s="11"/>
    </row>
    <row r="234" ht="13.5" customHeight="1">
      <c r="A234" s="11"/>
      <c r="B234" s="417" t="s">
        <v>1278</v>
      </c>
      <c r="C234" s="541">
        <v>10.0</v>
      </c>
      <c r="D234" s="418">
        <f t="shared" si="20"/>
        <v>10.8</v>
      </c>
      <c r="E234" s="920" t="s">
        <v>5</v>
      </c>
      <c r="F234" s="198"/>
      <c r="G234" s="11"/>
      <c r="H234" s="11"/>
      <c r="I234" s="11"/>
      <c r="J234" s="1127"/>
      <c r="K234" s="11"/>
      <c r="L234" s="11"/>
    </row>
    <row r="235" ht="13.5" customHeight="1">
      <c r="A235" s="11"/>
      <c r="B235" s="68" t="s">
        <v>563</v>
      </c>
      <c r="C235" s="210">
        <v>20.0</v>
      </c>
      <c r="D235" s="145">
        <f t="shared" si="20"/>
        <v>21.6</v>
      </c>
      <c r="E235" s="81" t="s">
        <v>18</v>
      </c>
      <c r="F235" s="198"/>
      <c r="G235" s="11"/>
      <c r="H235" s="11"/>
      <c r="I235" s="11"/>
      <c r="J235" s="1127"/>
      <c r="K235" s="11"/>
      <c r="L235" s="11"/>
    </row>
    <row r="236" ht="13.5" customHeight="1">
      <c r="A236" s="11"/>
      <c r="B236" s="93" t="s">
        <v>1532</v>
      </c>
      <c r="C236" s="247">
        <v>0.5</v>
      </c>
      <c r="D236" s="195">
        <f t="shared" si="20"/>
        <v>0.54</v>
      </c>
      <c r="E236" s="95" t="s">
        <v>14</v>
      </c>
      <c r="F236" s="198"/>
      <c r="G236" s="11"/>
      <c r="H236" s="11"/>
      <c r="I236" s="11"/>
      <c r="J236" s="1127"/>
      <c r="K236" s="11"/>
      <c r="L236" s="11"/>
    </row>
    <row r="237" ht="13.5" customHeight="1">
      <c r="A237" s="11"/>
      <c r="B237" s="105" t="s">
        <v>1533</v>
      </c>
      <c r="C237" s="522">
        <v>200.0</v>
      </c>
      <c r="D237" s="200">
        <f t="shared" si="20"/>
        <v>216</v>
      </c>
      <c r="E237" s="114" t="s">
        <v>18</v>
      </c>
      <c r="F237" s="198"/>
      <c r="G237" s="11"/>
      <c r="H237" s="11"/>
      <c r="I237" s="11"/>
      <c r="J237" s="1127"/>
      <c r="K237" s="11"/>
      <c r="L237" s="11"/>
    </row>
    <row r="238" ht="13.5" customHeight="1">
      <c r="A238" s="11"/>
      <c r="B238" s="1143" t="s">
        <v>119</v>
      </c>
      <c r="C238" s="183" t="s">
        <v>47</v>
      </c>
      <c r="D238" s="107"/>
      <c r="E238" s="11"/>
      <c r="F238" s="11"/>
      <c r="G238" s="11"/>
      <c r="H238" s="11"/>
      <c r="I238" s="11"/>
      <c r="J238" s="1127"/>
      <c r="K238" s="11"/>
      <c r="L238" s="11"/>
    </row>
    <row r="239" ht="13.5" customHeight="1">
      <c r="A239" s="11"/>
      <c r="B239" s="11"/>
      <c r="C239" s="11"/>
      <c r="D239" s="1167"/>
      <c r="E239" s="11"/>
      <c r="F239" s="11"/>
      <c r="G239" s="11"/>
      <c r="H239" s="11"/>
      <c r="I239" s="11"/>
      <c r="J239" s="1127"/>
      <c r="K239" s="11"/>
      <c r="L239" s="11"/>
    </row>
    <row r="240" ht="13.5" customHeight="1">
      <c r="A240" s="11"/>
      <c r="B240" s="511" t="s">
        <v>648</v>
      </c>
      <c r="C240" s="18"/>
      <c r="D240" s="18"/>
      <c r="E240" s="19"/>
      <c r="F240" s="11"/>
      <c r="G240" s="11"/>
      <c r="H240" s="11"/>
      <c r="I240" s="11"/>
      <c r="J240" s="1127"/>
      <c r="K240" s="11"/>
      <c r="L240" s="11"/>
    </row>
    <row r="241" ht="13.5" customHeight="1">
      <c r="A241" s="11"/>
      <c r="B241" s="173" t="s">
        <v>1</v>
      </c>
      <c r="C241" s="545">
        <v>1.4</v>
      </c>
      <c r="D241" s="275">
        <v>1.4</v>
      </c>
      <c r="E241" s="547" t="s">
        <v>5</v>
      </c>
      <c r="F241" s="11"/>
      <c r="G241" s="11"/>
      <c r="H241" s="11"/>
      <c r="I241" s="11"/>
      <c r="J241" s="1127"/>
      <c r="K241" s="11"/>
      <c r="L241" s="11"/>
    </row>
    <row r="242" ht="13.5" customHeight="1">
      <c r="A242" s="11"/>
      <c r="B242" s="119" t="s">
        <v>345</v>
      </c>
      <c r="C242" s="523">
        <v>0.5</v>
      </c>
      <c r="D242" s="238">
        <f t="shared" ref="D242:D252" si="21">D241*C242/C241</f>
        <v>0.5</v>
      </c>
      <c r="E242" s="520" t="s">
        <v>14</v>
      </c>
      <c r="F242" s="11"/>
      <c r="G242" s="11"/>
      <c r="H242" s="11"/>
      <c r="I242" s="11"/>
      <c r="J242" s="1127"/>
      <c r="K242" s="11"/>
      <c r="L242" s="11"/>
    </row>
    <row r="243" ht="13.5" customHeight="1">
      <c r="A243" s="11"/>
      <c r="B243" s="93" t="s">
        <v>1278</v>
      </c>
      <c r="C243" s="247">
        <v>0.5</v>
      </c>
      <c r="D243" s="195">
        <f t="shared" si="21"/>
        <v>0.5</v>
      </c>
      <c r="E243" s="249" t="s">
        <v>5</v>
      </c>
      <c r="F243" s="11"/>
      <c r="G243" s="11"/>
      <c r="H243" s="11"/>
      <c r="I243" s="11"/>
      <c r="J243" s="1127"/>
      <c r="K243" s="11"/>
      <c r="L243" s="11"/>
    </row>
    <row r="244" ht="13.5" customHeight="1">
      <c r="A244" s="11"/>
      <c r="B244" s="93" t="s">
        <v>749</v>
      </c>
      <c r="C244" s="247">
        <v>70.0</v>
      </c>
      <c r="D244" s="195">
        <f t="shared" si="21"/>
        <v>70</v>
      </c>
      <c r="E244" s="249" t="s">
        <v>18</v>
      </c>
      <c r="F244" s="11"/>
      <c r="G244" s="11"/>
      <c r="H244" s="11"/>
      <c r="I244" s="11"/>
      <c r="J244" s="1127"/>
      <c r="K244" s="11"/>
      <c r="L244" s="11"/>
    </row>
    <row r="245" ht="13.5" customHeight="1">
      <c r="A245" s="11"/>
      <c r="B245" s="93" t="s">
        <v>746</v>
      </c>
      <c r="C245" s="247">
        <v>70.0</v>
      </c>
      <c r="D245" s="195">
        <f t="shared" si="21"/>
        <v>70</v>
      </c>
      <c r="E245" s="249" t="s">
        <v>18</v>
      </c>
      <c r="F245" s="11"/>
      <c r="G245" s="11"/>
      <c r="H245" s="11"/>
      <c r="I245" s="11"/>
      <c r="J245" s="1127"/>
      <c r="K245" s="11"/>
      <c r="L245" s="11"/>
    </row>
    <row r="246" ht="13.5" customHeight="1">
      <c r="A246" s="11"/>
      <c r="B246" s="93" t="s">
        <v>1046</v>
      </c>
      <c r="C246" s="247">
        <v>100.0</v>
      </c>
      <c r="D246" s="195">
        <f t="shared" si="21"/>
        <v>100</v>
      </c>
      <c r="E246" s="249" t="s">
        <v>18</v>
      </c>
      <c r="F246" s="11"/>
      <c r="G246" s="11"/>
      <c r="H246" s="11"/>
      <c r="I246" s="11"/>
      <c r="J246" s="1127"/>
      <c r="K246" s="11"/>
      <c r="L246" s="11"/>
    </row>
    <row r="247" ht="13.5" customHeight="1">
      <c r="A247" s="11"/>
      <c r="B247" s="93" t="s">
        <v>31</v>
      </c>
      <c r="C247" s="247">
        <v>15.0</v>
      </c>
      <c r="D247" s="195">
        <f t="shared" si="21"/>
        <v>15</v>
      </c>
      <c r="E247" s="249" t="s">
        <v>18</v>
      </c>
      <c r="F247" s="11"/>
      <c r="G247" s="11"/>
      <c r="H247" s="11"/>
      <c r="I247" s="11"/>
      <c r="J247" s="1127"/>
      <c r="K247" s="11"/>
      <c r="L247" s="11"/>
    </row>
    <row r="248" ht="13.5" customHeight="1">
      <c r="A248" s="11"/>
      <c r="B248" s="93" t="s">
        <v>1542</v>
      </c>
      <c r="C248" s="247">
        <v>10.0</v>
      </c>
      <c r="D248" s="195">
        <f t="shared" si="21"/>
        <v>10</v>
      </c>
      <c r="E248" s="249" t="s">
        <v>18</v>
      </c>
      <c r="F248" s="11"/>
      <c r="G248" s="11"/>
      <c r="H248" s="11"/>
      <c r="I248" s="11"/>
      <c r="J248" s="1127"/>
      <c r="K248" s="11"/>
      <c r="L248" s="11"/>
    </row>
    <row r="249" ht="13.5" customHeight="1">
      <c r="A249" s="11"/>
      <c r="B249" s="138" t="s">
        <v>112</v>
      </c>
      <c r="C249" s="239">
        <v>15.0</v>
      </c>
      <c r="D249" s="279">
        <f t="shared" si="21"/>
        <v>15</v>
      </c>
      <c r="E249" s="242" t="s">
        <v>18</v>
      </c>
      <c r="F249" s="11"/>
      <c r="G249" s="11"/>
      <c r="H249" s="11"/>
      <c r="I249" s="11"/>
      <c r="J249" s="1127"/>
      <c r="K249" s="11"/>
      <c r="L249" s="11"/>
    </row>
    <row r="250" ht="13.5" customHeight="1">
      <c r="A250" s="11"/>
      <c r="B250" s="68" t="s">
        <v>1545</v>
      </c>
      <c r="C250" s="210">
        <v>0.2</v>
      </c>
      <c r="D250" s="145">
        <f t="shared" si="21"/>
        <v>0.2</v>
      </c>
      <c r="E250" s="216" t="s">
        <v>5</v>
      </c>
      <c r="F250" s="11"/>
      <c r="G250" s="11"/>
      <c r="H250" s="11"/>
      <c r="I250" s="11"/>
      <c r="J250" s="1127"/>
      <c r="K250" s="11"/>
      <c r="L250" s="11"/>
    </row>
    <row r="251" ht="13.5" customHeight="1">
      <c r="A251" s="11"/>
      <c r="B251" s="93" t="s">
        <v>1548</v>
      </c>
      <c r="C251" s="247">
        <v>0.05</v>
      </c>
      <c r="D251" s="195">
        <f t="shared" si="21"/>
        <v>0.05</v>
      </c>
      <c r="E251" s="249" t="s">
        <v>14</v>
      </c>
      <c r="F251" s="11"/>
      <c r="G251" s="11"/>
      <c r="H251" s="11"/>
      <c r="I251" s="11"/>
      <c r="J251" s="1127"/>
      <c r="K251" s="11"/>
      <c r="L251" s="11"/>
    </row>
    <row r="252" ht="13.5" customHeight="1">
      <c r="A252" s="11"/>
      <c r="B252" s="105" t="s">
        <v>1550</v>
      </c>
      <c r="C252" s="522">
        <v>6.0</v>
      </c>
      <c r="D252" s="200">
        <f t="shared" si="21"/>
        <v>6</v>
      </c>
      <c r="E252" s="518" t="s">
        <v>18</v>
      </c>
      <c r="F252" s="11"/>
      <c r="G252" s="11"/>
      <c r="H252" s="11"/>
      <c r="I252" s="11"/>
      <c r="J252" s="1127"/>
      <c r="K252" s="11"/>
      <c r="L252" s="11"/>
    </row>
    <row r="253" ht="13.5" customHeight="1">
      <c r="A253" s="11"/>
      <c r="B253" s="1143" t="s">
        <v>119</v>
      </c>
      <c r="C253" s="183" t="s">
        <v>47</v>
      </c>
      <c r="D253" s="1167"/>
      <c r="E253" s="11"/>
      <c r="F253" s="11"/>
      <c r="G253" s="11"/>
      <c r="H253" s="11"/>
      <c r="I253" s="11"/>
      <c r="J253" s="1127"/>
      <c r="K253" s="11"/>
      <c r="L253" s="11"/>
    </row>
    <row r="254" ht="13.5" customHeight="1">
      <c r="A254" s="11"/>
      <c r="B254" s="11"/>
      <c r="C254" s="11"/>
      <c r="D254" s="1167"/>
      <c r="E254" s="11"/>
      <c r="F254" s="11"/>
      <c r="G254" s="11"/>
      <c r="H254" s="11"/>
      <c r="I254" s="11"/>
      <c r="J254" s="1127"/>
      <c r="K254" s="11"/>
      <c r="L254" s="11"/>
    </row>
    <row r="255" ht="13.5" customHeight="1">
      <c r="A255" s="11"/>
      <c r="B255" s="1361" t="s">
        <v>1553</v>
      </c>
      <c r="C255" s="5"/>
      <c r="D255" s="5"/>
      <c r="E255" s="6"/>
      <c r="F255" s="1"/>
      <c r="G255" s="11"/>
      <c r="H255" s="11"/>
      <c r="I255" s="11"/>
      <c r="J255" s="1127"/>
      <c r="K255" s="11"/>
      <c r="L255" s="11"/>
    </row>
    <row r="256" ht="13.5" customHeight="1">
      <c r="A256" s="11"/>
      <c r="B256" s="173" t="s">
        <v>1</v>
      </c>
      <c r="C256" s="545">
        <v>10.0</v>
      </c>
      <c r="D256" s="275">
        <v>45.0</v>
      </c>
      <c r="E256" s="547" t="s">
        <v>5</v>
      </c>
      <c r="F256" s="826" t="s">
        <v>1556</v>
      </c>
      <c r="G256" s="11"/>
      <c r="H256" s="11"/>
      <c r="I256" s="11"/>
      <c r="J256" s="1127"/>
      <c r="K256" s="11"/>
      <c r="L256" s="11"/>
    </row>
    <row r="257" ht="13.5" customHeight="1">
      <c r="A257" s="11"/>
      <c r="B257" s="119" t="s">
        <v>311</v>
      </c>
      <c r="C257" s="523">
        <v>0.5</v>
      </c>
      <c r="D257" s="238">
        <f t="shared" ref="D257:D262" si="22">D256*C257/C256</f>
        <v>2.25</v>
      </c>
      <c r="E257" s="520" t="s">
        <v>14</v>
      </c>
      <c r="F257" s="66"/>
      <c r="G257" s="11"/>
      <c r="H257" s="11"/>
      <c r="I257" s="11"/>
      <c r="J257" s="1127"/>
      <c r="K257" s="11"/>
      <c r="L257" s="11"/>
    </row>
    <row r="258" ht="13.5" customHeight="1">
      <c r="A258" s="11"/>
      <c r="B258" s="93" t="s">
        <v>1210</v>
      </c>
      <c r="C258" s="247">
        <v>0.5</v>
      </c>
      <c r="D258" s="195">
        <f t="shared" si="22"/>
        <v>2.25</v>
      </c>
      <c r="E258" s="249" t="s">
        <v>14</v>
      </c>
      <c r="F258" s="66"/>
      <c r="G258" s="11"/>
      <c r="H258" s="11"/>
      <c r="I258" s="11"/>
      <c r="J258" s="1127"/>
      <c r="K258" s="11"/>
      <c r="L258" s="11"/>
    </row>
    <row r="259" ht="13.5" customHeight="1">
      <c r="A259" s="11"/>
      <c r="B259" s="93" t="s">
        <v>1274</v>
      </c>
      <c r="C259" s="247">
        <v>0.5</v>
      </c>
      <c r="D259" s="195">
        <f t="shared" si="22"/>
        <v>2.25</v>
      </c>
      <c r="E259" s="249" t="s">
        <v>14</v>
      </c>
      <c r="F259" s="66"/>
      <c r="G259" s="11"/>
      <c r="H259" s="11"/>
      <c r="I259" s="11"/>
      <c r="J259" s="1127"/>
      <c r="K259" s="11"/>
      <c r="L259" s="11"/>
    </row>
    <row r="260" ht="13.5" customHeight="1">
      <c r="A260" s="11"/>
      <c r="B260" s="93" t="s">
        <v>31</v>
      </c>
      <c r="C260" s="247">
        <v>30.0</v>
      </c>
      <c r="D260" s="195">
        <f t="shared" si="22"/>
        <v>135</v>
      </c>
      <c r="E260" s="249" t="s">
        <v>18</v>
      </c>
      <c r="F260" s="66"/>
      <c r="G260" s="11"/>
      <c r="H260" s="11"/>
      <c r="I260" s="11"/>
      <c r="J260" s="1127"/>
      <c r="K260" s="11"/>
      <c r="L260" s="11"/>
    </row>
    <row r="261" ht="13.5" customHeight="1">
      <c r="A261" s="11"/>
      <c r="B261" s="93" t="s">
        <v>103</v>
      </c>
      <c r="C261" s="247">
        <v>20.0</v>
      </c>
      <c r="D261" s="195">
        <f t="shared" si="22"/>
        <v>90</v>
      </c>
      <c r="E261" s="249" t="s">
        <v>18</v>
      </c>
      <c r="F261" s="66"/>
      <c r="G261" s="11"/>
      <c r="H261" s="11"/>
      <c r="I261" s="11"/>
      <c r="J261" s="1127"/>
      <c r="K261" s="11"/>
      <c r="L261" s="11"/>
    </row>
    <row r="262" ht="13.5" customHeight="1">
      <c r="A262" s="11"/>
      <c r="B262" s="105" t="s">
        <v>1560</v>
      </c>
      <c r="C262" s="522">
        <v>7.5</v>
      </c>
      <c r="D262" s="200">
        <f t="shared" si="22"/>
        <v>33.75</v>
      </c>
      <c r="E262" s="518" t="s">
        <v>18</v>
      </c>
      <c r="F262" s="106"/>
      <c r="G262" s="11"/>
      <c r="H262" s="11"/>
      <c r="I262" s="11"/>
      <c r="J262" s="1127"/>
      <c r="K262" s="11"/>
      <c r="L262" s="11"/>
    </row>
    <row r="263" ht="13.5" customHeight="1">
      <c r="A263" s="11"/>
      <c r="B263" s="327" t="s">
        <v>1563</v>
      </c>
      <c r="C263" s="5"/>
      <c r="D263" s="5"/>
      <c r="E263" s="6"/>
      <c r="F263" s="11"/>
      <c r="G263" s="11"/>
      <c r="H263" s="11"/>
      <c r="I263" s="11"/>
      <c r="J263" s="1127"/>
      <c r="K263" s="11"/>
      <c r="L263" s="11"/>
    </row>
    <row r="264" ht="13.5" customHeight="1">
      <c r="A264" s="11"/>
      <c r="B264" s="102"/>
      <c r="C264" s="104"/>
      <c r="D264" s="104"/>
      <c r="E264" s="106"/>
      <c r="F264" s="11"/>
      <c r="G264" s="11"/>
      <c r="H264" s="11"/>
      <c r="I264" s="11"/>
      <c r="J264" s="1127"/>
      <c r="K264" s="11"/>
      <c r="L264" s="11"/>
    </row>
    <row r="265" ht="13.5" customHeight="1">
      <c r="A265" s="11"/>
      <c r="B265" s="1143" t="s">
        <v>119</v>
      </c>
      <c r="C265" s="183" t="s">
        <v>47</v>
      </c>
      <c r="D265" s="107"/>
      <c r="E265" s="1"/>
      <c r="F265" s="11"/>
      <c r="G265" s="11"/>
      <c r="H265" s="11"/>
      <c r="I265" s="11"/>
      <c r="J265" s="1127"/>
      <c r="K265" s="11"/>
      <c r="L265" s="11"/>
    </row>
    <row r="266" ht="13.5" customHeight="1">
      <c r="A266" s="11"/>
      <c r="B266" s="302" t="s">
        <v>49</v>
      </c>
      <c r="C266" s="303">
        <v>42756.0</v>
      </c>
      <c r="D266" s="107"/>
      <c r="E266" s="1"/>
      <c r="F266" s="11"/>
      <c r="G266" s="11"/>
      <c r="H266" s="11"/>
      <c r="I266" s="11"/>
      <c r="J266" s="1127"/>
      <c r="K266" s="11"/>
      <c r="L266" s="11"/>
    </row>
    <row r="267" ht="13.5" customHeight="1">
      <c r="A267" s="11"/>
      <c r="B267" s="302" t="s">
        <v>50</v>
      </c>
      <c r="C267" s="303"/>
      <c r="D267" s="1167"/>
      <c r="E267" s="11"/>
      <c r="F267" s="11"/>
      <c r="G267" s="11"/>
      <c r="H267" s="11"/>
      <c r="I267" s="11"/>
      <c r="J267" s="1127"/>
      <c r="K267" s="11"/>
      <c r="L267" s="11"/>
    </row>
    <row r="268" ht="13.5" customHeight="1">
      <c r="A268" s="11"/>
      <c r="B268" s="11"/>
      <c r="C268" s="11"/>
      <c r="D268" s="1167"/>
      <c r="E268" s="11"/>
      <c r="F268" s="11"/>
      <c r="G268" s="11"/>
      <c r="H268" s="11"/>
      <c r="I268" s="11"/>
      <c r="J268" s="1127"/>
      <c r="K268" s="11"/>
      <c r="L268" s="11"/>
    </row>
    <row r="269" ht="13.5" customHeight="1">
      <c r="A269" s="11"/>
      <c r="B269" s="1364" t="s">
        <v>261</v>
      </c>
      <c r="C269" s="18"/>
      <c r="D269" s="18"/>
      <c r="E269" s="19"/>
      <c r="F269" s="1"/>
      <c r="G269" s="11"/>
      <c r="H269" s="11"/>
      <c r="I269" s="11"/>
      <c r="J269" s="1127"/>
      <c r="K269" s="11"/>
      <c r="L269" s="11"/>
    </row>
    <row r="270" ht="13.5" customHeight="1">
      <c r="A270" s="11"/>
      <c r="B270" s="173" t="s">
        <v>1571</v>
      </c>
      <c r="C270" s="545">
        <v>650.0</v>
      </c>
      <c r="D270" s="275">
        <v>60.0</v>
      </c>
      <c r="E270" s="547" t="s">
        <v>741</v>
      </c>
      <c r="F270" s="1"/>
      <c r="G270" s="11"/>
      <c r="H270" s="11"/>
      <c r="I270" s="11"/>
      <c r="J270" s="1127"/>
      <c r="K270" s="11"/>
      <c r="L270" s="11"/>
    </row>
    <row r="271" ht="13.5" customHeight="1">
      <c r="A271" s="11"/>
      <c r="B271" s="68" t="s">
        <v>1574</v>
      </c>
      <c r="C271" s="210">
        <v>25.0</v>
      </c>
      <c r="D271" s="238">
        <f t="shared" ref="D271:D289" si="23">D270*C271/C270</f>
        <v>2.307692308</v>
      </c>
      <c r="E271" s="1366" t="s">
        <v>14</v>
      </c>
      <c r="F271" s="1"/>
      <c r="G271" s="11"/>
      <c r="H271" s="11"/>
      <c r="I271" s="11"/>
      <c r="J271" s="1127"/>
      <c r="K271" s="11"/>
      <c r="L271" s="11"/>
    </row>
    <row r="272" ht="13.5" customHeight="1">
      <c r="A272" s="11"/>
      <c r="B272" s="1367" t="s">
        <v>1576</v>
      </c>
      <c r="C272" s="239">
        <v>500.0</v>
      </c>
      <c r="D272" s="279">
        <f t="shared" si="23"/>
        <v>46.15384615</v>
      </c>
      <c r="E272" s="1368" t="s">
        <v>18</v>
      </c>
      <c r="F272" s="1369"/>
      <c r="G272" s="11"/>
      <c r="H272" s="11"/>
      <c r="I272" s="11"/>
      <c r="J272" s="1127"/>
      <c r="K272" s="11"/>
      <c r="L272" s="11"/>
    </row>
    <row r="273" ht="13.5" customHeight="1">
      <c r="A273" s="11"/>
      <c r="B273" s="68" t="s">
        <v>91</v>
      </c>
      <c r="C273" s="210">
        <v>1.5</v>
      </c>
      <c r="D273" s="145">
        <f t="shared" si="23"/>
        <v>0.1384615385</v>
      </c>
      <c r="E273" s="216" t="s">
        <v>5</v>
      </c>
      <c r="F273" s="610" t="s">
        <v>1580</v>
      </c>
      <c r="G273" s="11"/>
      <c r="H273" s="11"/>
      <c r="I273" s="11"/>
      <c r="J273" s="1127"/>
      <c r="K273" s="11"/>
      <c r="L273" s="11"/>
    </row>
    <row r="274" ht="13.5" customHeight="1">
      <c r="A274" s="11"/>
      <c r="B274" s="93" t="s">
        <v>311</v>
      </c>
      <c r="C274" s="247">
        <v>0.2</v>
      </c>
      <c r="D274" s="195">
        <f t="shared" si="23"/>
        <v>0.01846153846</v>
      </c>
      <c r="E274" s="249" t="s">
        <v>14</v>
      </c>
      <c r="F274" s="47"/>
      <c r="G274" s="11"/>
      <c r="H274" s="11"/>
      <c r="I274" s="11"/>
      <c r="J274" s="1127"/>
      <c r="K274" s="11"/>
      <c r="L274" s="11"/>
    </row>
    <row r="275" ht="13.5" customHeight="1">
      <c r="A275" s="11"/>
      <c r="B275" s="93" t="s">
        <v>98</v>
      </c>
      <c r="C275" s="247">
        <v>50.0</v>
      </c>
      <c r="D275" s="195">
        <f t="shared" si="23"/>
        <v>4.615384615</v>
      </c>
      <c r="E275" s="249" t="s">
        <v>18</v>
      </c>
      <c r="F275" s="47"/>
      <c r="G275" s="11"/>
      <c r="H275" s="11"/>
      <c r="I275" s="11"/>
      <c r="J275" s="1127"/>
      <c r="K275" s="11"/>
      <c r="L275" s="11"/>
    </row>
    <row r="276" ht="13.5" customHeight="1">
      <c r="A276" s="11"/>
      <c r="B276" s="93" t="s">
        <v>39</v>
      </c>
      <c r="C276" s="247">
        <v>160.0</v>
      </c>
      <c r="D276" s="195">
        <f t="shared" si="23"/>
        <v>14.76923077</v>
      </c>
      <c r="E276" s="249" t="s">
        <v>18</v>
      </c>
      <c r="F276" s="47"/>
      <c r="G276" s="11"/>
      <c r="H276" s="11"/>
      <c r="I276" s="11"/>
      <c r="J276" s="1127"/>
      <c r="K276" s="11"/>
      <c r="L276" s="11"/>
    </row>
    <row r="277" ht="13.5" customHeight="1">
      <c r="A277" s="11"/>
      <c r="B277" s="93" t="s">
        <v>149</v>
      </c>
      <c r="C277" s="247">
        <v>250.0</v>
      </c>
      <c r="D277" s="195">
        <f t="shared" si="23"/>
        <v>23.07692308</v>
      </c>
      <c r="E277" s="249" t="s">
        <v>18</v>
      </c>
      <c r="F277" s="47"/>
      <c r="G277" s="11"/>
      <c r="H277" s="11"/>
      <c r="I277" s="11"/>
      <c r="J277" s="1127"/>
      <c r="K277" s="11"/>
      <c r="L277" s="11"/>
    </row>
    <row r="278" ht="15.0" customHeight="1">
      <c r="A278" s="11"/>
      <c r="B278" s="93" t="s">
        <v>101</v>
      </c>
      <c r="C278" s="247">
        <v>0.5</v>
      </c>
      <c r="D278" s="195">
        <f t="shared" si="23"/>
        <v>0.04615384615</v>
      </c>
      <c r="E278" s="249" t="s">
        <v>5</v>
      </c>
      <c r="F278" s="47"/>
      <c r="G278" s="11"/>
      <c r="H278" s="11"/>
      <c r="I278" s="11"/>
      <c r="J278" s="1127"/>
      <c r="K278" s="11"/>
      <c r="L278" s="11"/>
    </row>
    <row r="279" ht="13.5" customHeight="1">
      <c r="A279" s="11"/>
      <c r="B279" s="93" t="s">
        <v>103</v>
      </c>
      <c r="C279" s="247">
        <v>30.0</v>
      </c>
      <c r="D279" s="195">
        <f t="shared" si="23"/>
        <v>2.769230769</v>
      </c>
      <c r="E279" s="249" t="s">
        <v>18</v>
      </c>
      <c r="F279" s="47"/>
      <c r="G279" s="11"/>
      <c r="H279" s="11"/>
      <c r="I279" s="11"/>
      <c r="J279" s="1127"/>
      <c r="K279" s="11"/>
      <c r="L279" s="11"/>
    </row>
    <row r="280" ht="13.5" customHeight="1">
      <c r="A280" s="11"/>
      <c r="B280" s="93" t="s">
        <v>52</v>
      </c>
      <c r="C280" s="247">
        <v>50.0</v>
      </c>
      <c r="D280" s="195">
        <f t="shared" si="23"/>
        <v>4.615384615</v>
      </c>
      <c r="E280" s="249" t="s">
        <v>18</v>
      </c>
      <c r="F280" s="47"/>
      <c r="G280" s="11"/>
      <c r="H280" s="11"/>
      <c r="I280" s="11"/>
      <c r="J280" s="1127"/>
      <c r="K280" s="11"/>
      <c r="L280" s="11"/>
    </row>
    <row r="281" ht="13.5" customHeight="1">
      <c r="A281" s="11"/>
      <c r="B281" s="93" t="s">
        <v>31</v>
      </c>
      <c r="C281" s="247">
        <v>350.0</v>
      </c>
      <c r="D281" s="195">
        <f t="shared" si="23"/>
        <v>32.30769231</v>
      </c>
      <c r="E281" s="249" t="s">
        <v>18</v>
      </c>
      <c r="F281" s="47"/>
      <c r="G281" s="11"/>
      <c r="H281" s="11"/>
      <c r="I281" s="11"/>
      <c r="J281" s="1127"/>
      <c r="K281" s="11"/>
      <c r="L281" s="11"/>
    </row>
    <row r="282" ht="13.5" customHeight="1">
      <c r="A282" s="11"/>
      <c r="B282" s="93" t="s">
        <v>1587</v>
      </c>
      <c r="C282" s="247">
        <v>350.0</v>
      </c>
      <c r="D282" s="195">
        <f t="shared" si="23"/>
        <v>32.30769231</v>
      </c>
      <c r="E282" s="249" t="s">
        <v>18</v>
      </c>
      <c r="F282" s="47"/>
      <c r="G282" s="11"/>
      <c r="H282" s="11"/>
      <c r="I282" s="11"/>
      <c r="J282" s="1127"/>
      <c r="K282" s="11"/>
      <c r="L282" s="11"/>
    </row>
    <row r="283" ht="13.5" customHeight="1">
      <c r="A283" s="11"/>
      <c r="B283" s="138" t="s">
        <v>1291</v>
      </c>
      <c r="C283" s="239">
        <v>7.0</v>
      </c>
      <c r="D283" s="195">
        <f t="shared" si="23"/>
        <v>0.6461538462</v>
      </c>
      <c r="E283" s="249" t="s">
        <v>93</v>
      </c>
      <c r="F283" s="47"/>
      <c r="G283" s="11"/>
      <c r="H283" s="11"/>
      <c r="I283" s="11"/>
      <c r="J283" s="1127"/>
      <c r="K283" s="11"/>
      <c r="L283" s="11"/>
    </row>
    <row r="284" ht="13.5" customHeight="1">
      <c r="A284" s="11"/>
      <c r="B284" s="105" t="s">
        <v>1588</v>
      </c>
      <c r="C284" s="522">
        <v>1.0</v>
      </c>
      <c r="D284" s="200">
        <f t="shared" si="23"/>
        <v>0.09230769231</v>
      </c>
      <c r="E284" s="518" t="s">
        <v>5</v>
      </c>
      <c r="F284" s="76"/>
      <c r="G284" s="11"/>
      <c r="H284" s="11"/>
      <c r="I284" s="11"/>
      <c r="J284" s="1127"/>
      <c r="K284" s="11"/>
      <c r="L284" s="11"/>
    </row>
    <row r="285" ht="13.5" customHeight="1">
      <c r="A285" s="11"/>
      <c r="B285" s="68" t="s">
        <v>1589</v>
      </c>
      <c r="C285" s="210">
        <v>8.0</v>
      </c>
      <c r="D285" s="145">
        <f t="shared" si="23"/>
        <v>0.7384615385</v>
      </c>
      <c r="E285" s="216" t="s">
        <v>14</v>
      </c>
      <c r="F285" s="1"/>
      <c r="G285" s="11"/>
      <c r="H285" s="11"/>
      <c r="I285" s="11"/>
      <c r="J285" s="1127"/>
      <c r="K285" s="11"/>
      <c r="L285" s="11"/>
    </row>
    <row r="286" ht="13.5" customHeight="1">
      <c r="A286" s="11"/>
      <c r="B286" s="93" t="s">
        <v>103</v>
      </c>
      <c r="C286" s="247">
        <v>20.0</v>
      </c>
      <c r="D286" s="195">
        <f t="shared" si="23"/>
        <v>1.846153846</v>
      </c>
      <c r="E286" s="249" t="s">
        <v>18</v>
      </c>
      <c r="F286" s="1"/>
      <c r="G286" s="11"/>
      <c r="H286" s="11"/>
      <c r="I286" s="11"/>
      <c r="J286" s="1127"/>
      <c r="K286" s="11"/>
      <c r="L286" s="11"/>
    </row>
    <row r="287" ht="13.5" customHeight="1">
      <c r="A287" s="11"/>
      <c r="B287" s="93" t="s">
        <v>31</v>
      </c>
      <c r="C287" s="247">
        <v>100.0</v>
      </c>
      <c r="D287" s="195">
        <f t="shared" si="23"/>
        <v>9.230769231</v>
      </c>
      <c r="E287" s="249" t="s">
        <v>18</v>
      </c>
      <c r="F287" s="1"/>
      <c r="G287" s="11"/>
      <c r="H287" s="11"/>
      <c r="I287" s="11"/>
      <c r="J287" s="1127"/>
      <c r="K287" s="11"/>
      <c r="L287" s="11"/>
    </row>
    <row r="288" ht="13.5" customHeight="1">
      <c r="A288" s="11"/>
      <c r="B288" s="105" t="s">
        <v>1321</v>
      </c>
      <c r="C288" s="522">
        <v>8.0</v>
      </c>
      <c r="D288" s="200">
        <f t="shared" si="23"/>
        <v>0.7384615385</v>
      </c>
      <c r="E288" s="518" t="s">
        <v>18</v>
      </c>
      <c r="F288" s="1"/>
      <c r="G288" s="11"/>
      <c r="H288" s="11"/>
      <c r="I288" s="11"/>
      <c r="J288" s="1127"/>
      <c r="K288" s="11"/>
      <c r="L288" s="11"/>
    </row>
    <row r="289" ht="13.5" customHeight="1">
      <c r="A289" s="11"/>
      <c r="B289" s="173" t="s">
        <v>1278</v>
      </c>
      <c r="C289" s="545">
        <v>8.0</v>
      </c>
      <c r="D289" s="275">
        <f t="shared" si="23"/>
        <v>0.7384615385</v>
      </c>
      <c r="E289" s="547" t="s">
        <v>5</v>
      </c>
      <c r="F289" s="1"/>
      <c r="G289" s="11"/>
      <c r="H289" s="11"/>
      <c r="I289" s="11"/>
      <c r="J289" s="1127"/>
      <c r="K289" s="11"/>
      <c r="L289" s="11"/>
    </row>
    <row r="290" ht="13.5" customHeight="1">
      <c r="A290" s="11"/>
      <c r="B290" s="1377" t="s">
        <v>119</v>
      </c>
      <c r="C290" s="258" t="s">
        <v>47</v>
      </c>
      <c r="D290" s="1167"/>
      <c r="E290" s="11"/>
      <c r="F290" s="11"/>
      <c r="G290" s="11"/>
      <c r="H290" s="11"/>
      <c r="I290" s="11"/>
      <c r="J290" s="1127"/>
      <c r="K290" s="11"/>
      <c r="L290" s="11"/>
    </row>
    <row r="291" ht="13.5" customHeight="1">
      <c r="A291" s="11"/>
      <c r="B291" s="11"/>
      <c r="C291" s="11"/>
      <c r="D291" s="1167"/>
      <c r="E291" s="11"/>
      <c r="F291" s="11"/>
      <c r="G291" s="11"/>
      <c r="H291" s="11"/>
      <c r="I291" s="11"/>
      <c r="J291" s="1127"/>
      <c r="K291" s="11"/>
      <c r="L291" s="11"/>
    </row>
    <row r="292" ht="13.5" customHeight="1">
      <c r="A292" s="11"/>
      <c r="B292" s="1326" t="s">
        <v>456</v>
      </c>
      <c r="C292" s="18"/>
      <c r="D292" s="18"/>
      <c r="E292" s="19"/>
      <c r="F292" s="11"/>
      <c r="G292" s="11"/>
      <c r="H292" s="11"/>
      <c r="I292" s="11"/>
      <c r="J292" s="1127"/>
      <c r="K292" s="11"/>
      <c r="L292" s="11"/>
    </row>
    <row r="293" ht="13.5" customHeight="1">
      <c r="A293" s="11"/>
      <c r="B293" s="173" t="s">
        <v>1</v>
      </c>
      <c r="C293" s="545">
        <v>1000.0</v>
      </c>
      <c r="D293" s="275">
        <v>1000.0</v>
      </c>
      <c r="E293" s="547" t="s">
        <v>741</v>
      </c>
      <c r="F293" s="11"/>
      <c r="G293" s="11"/>
      <c r="H293" s="11"/>
      <c r="I293" s="11"/>
      <c r="J293" s="1127"/>
      <c r="K293" s="11"/>
      <c r="L293" s="11"/>
    </row>
    <row r="294" ht="13.5" customHeight="1">
      <c r="A294" s="11"/>
      <c r="B294" s="119" t="s">
        <v>1060</v>
      </c>
      <c r="C294" s="523">
        <v>10.0</v>
      </c>
      <c r="D294" s="238">
        <f t="shared" ref="D294:D302" si="24">D293/C293*C294</f>
        <v>10</v>
      </c>
      <c r="E294" s="520" t="s">
        <v>5</v>
      </c>
      <c r="F294" s="11"/>
      <c r="G294" s="11"/>
      <c r="H294" s="11"/>
      <c r="I294" s="11"/>
      <c r="J294" s="1127"/>
      <c r="K294" s="11"/>
      <c r="L294" s="11"/>
    </row>
    <row r="295" ht="13.5" customHeight="1">
      <c r="A295" s="11"/>
      <c r="B295" s="93" t="s">
        <v>985</v>
      </c>
      <c r="C295" s="247">
        <v>18.0</v>
      </c>
      <c r="D295" s="195">
        <f t="shared" si="24"/>
        <v>18</v>
      </c>
      <c r="E295" s="249" t="s">
        <v>14</v>
      </c>
      <c r="F295" s="11"/>
      <c r="G295" s="11"/>
      <c r="H295" s="11"/>
      <c r="I295" s="11"/>
      <c r="J295" s="1127"/>
      <c r="K295" s="11"/>
      <c r="L295" s="11"/>
    </row>
    <row r="296" ht="13.5" customHeight="1">
      <c r="A296" s="11"/>
      <c r="B296" s="93" t="s">
        <v>1597</v>
      </c>
      <c r="C296" s="247">
        <v>1.0</v>
      </c>
      <c r="D296" s="195">
        <f t="shared" si="24"/>
        <v>1</v>
      </c>
      <c r="E296" s="249" t="s">
        <v>14</v>
      </c>
      <c r="F296" s="11"/>
      <c r="G296" s="11"/>
      <c r="H296" s="11"/>
      <c r="I296" s="11"/>
      <c r="J296" s="1127"/>
      <c r="K296" s="11"/>
      <c r="L296" s="11"/>
    </row>
    <row r="297" ht="13.5" customHeight="1">
      <c r="A297" s="11"/>
      <c r="B297" s="93" t="s">
        <v>39</v>
      </c>
      <c r="C297" s="247">
        <v>1.2</v>
      </c>
      <c r="D297" s="195">
        <f t="shared" si="24"/>
        <v>1.2</v>
      </c>
      <c r="E297" s="249" t="s">
        <v>14</v>
      </c>
      <c r="F297" s="11"/>
      <c r="G297" s="11"/>
      <c r="H297" s="11"/>
      <c r="I297" s="11"/>
      <c r="J297" s="1127"/>
      <c r="K297" s="11"/>
      <c r="L297" s="11"/>
    </row>
    <row r="298" ht="13.5" customHeight="1">
      <c r="A298" s="11"/>
      <c r="B298" s="93" t="s">
        <v>52</v>
      </c>
      <c r="C298" s="247">
        <v>100.0</v>
      </c>
      <c r="D298" s="195">
        <f t="shared" si="24"/>
        <v>100</v>
      </c>
      <c r="E298" s="249" t="s">
        <v>14</v>
      </c>
      <c r="F298" s="11"/>
      <c r="G298" s="11"/>
      <c r="H298" s="11"/>
      <c r="I298" s="11"/>
      <c r="J298" s="1127"/>
      <c r="K298" s="11"/>
      <c r="L298" s="11"/>
    </row>
    <row r="299" ht="13.5" customHeight="1">
      <c r="A299" s="11"/>
      <c r="B299" s="417" t="s">
        <v>1274</v>
      </c>
      <c r="C299" s="541">
        <v>5.5</v>
      </c>
      <c r="D299" s="195">
        <f t="shared" si="24"/>
        <v>5.5</v>
      </c>
      <c r="E299" s="249" t="s">
        <v>14</v>
      </c>
      <c r="F299" s="11"/>
      <c r="G299" s="11"/>
      <c r="H299" s="11"/>
      <c r="I299" s="11"/>
      <c r="J299" s="1127"/>
      <c r="K299" s="11"/>
      <c r="L299" s="11"/>
    </row>
    <row r="300" ht="13.5" customHeight="1">
      <c r="A300" s="11"/>
      <c r="B300" s="177" t="s">
        <v>31</v>
      </c>
      <c r="C300" s="321">
        <v>500.0</v>
      </c>
      <c r="D300" s="195">
        <f t="shared" si="24"/>
        <v>500</v>
      </c>
      <c r="E300" s="249" t="s">
        <v>18</v>
      </c>
      <c r="F300" s="11"/>
      <c r="G300" s="11"/>
      <c r="H300" s="11"/>
      <c r="I300" s="11"/>
      <c r="J300" s="1127"/>
      <c r="K300" s="11"/>
      <c r="L300" s="11"/>
    </row>
    <row r="301" ht="13.5" customHeight="1">
      <c r="A301" s="11"/>
      <c r="B301" s="177" t="s">
        <v>13</v>
      </c>
      <c r="C301" s="321">
        <v>0.3</v>
      </c>
      <c r="D301" s="195">
        <f t="shared" si="24"/>
        <v>0.3</v>
      </c>
      <c r="E301" s="249" t="s">
        <v>18</v>
      </c>
      <c r="F301" s="11"/>
      <c r="G301" s="11"/>
      <c r="H301" s="11"/>
      <c r="I301" s="11"/>
      <c r="J301" s="1127"/>
      <c r="K301" s="11"/>
      <c r="L301" s="11"/>
    </row>
    <row r="302" ht="13.5" customHeight="1">
      <c r="A302" s="11"/>
      <c r="B302" s="208" t="s">
        <v>1321</v>
      </c>
      <c r="C302" s="318">
        <v>140.0</v>
      </c>
      <c r="D302" s="200">
        <f t="shared" si="24"/>
        <v>140</v>
      </c>
      <c r="E302" s="518" t="s">
        <v>18</v>
      </c>
      <c r="F302" s="11"/>
      <c r="G302" s="11"/>
      <c r="H302" s="11"/>
      <c r="I302" s="11"/>
      <c r="J302" s="1127"/>
      <c r="K302" s="11"/>
      <c r="L302" s="11"/>
    </row>
    <row r="303" ht="13.5" customHeight="1">
      <c r="A303" s="11"/>
      <c r="B303" s="1143" t="s">
        <v>119</v>
      </c>
      <c r="C303" s="183" t="s">
        <v>47</v>
      </c>
      <c r="D303" s="1167"/>
      <c r="E303" s="11"/>
      <c r="F303" s="11"/>
      <c r="G303" s="11"/>
      <c r="H303" s="11"/>
      <c r="I303" s="11"/>
      <c r="J303" s="1127"/>
      <c r="K303" s="11"/>
      <c r="L303" s="11"/>
    </row>
    <row r="304" ht="13.5" customHeight="1">
      <c r="A304" s="11"/>
      <c r="B304" s="11"/>
      <c r="C304" s="11"/>
      <c r="D304" s="1167"/>
      <c r="E304" s="11"/>
      <c r="F304" s="11"/>
      <c r="G304" s="11"/>
      <c r="H304" s="11"/>
      <c r="I304" s="11"/>
      <c r="J304" s="1127"/>
      <c r="K304" s="11"/>
      <c r="L304" s="11"/>
    </row>
    <row r="305" ht="13.5" customHeight="1">
      <c r="A305" s="11"/>
      <c r="B305" s="11"/>
      <c r="C305" s="11"/>
      <c r="D305" s="1167"/>
      <c r="E305" s="11"/>
      <c r="F305" s="11"/>
      <c r="G305" s="11"/>
      <c r="H305" s="11"/>
      <c r="I305" s="11"/>
      <c r="J305" s="1127"/>
      <c r="K305" s="11"/>
      <c r="L305" s="11"/>
    </row>
    <row r="306" ht="13.5" customHeight="1">
      <c r="A306" s="11"/>
      <c r="B306" s="11"/>
      <c r="C306" s="11"/>
      <c r="D306" s="1167"/>
      <c r="E306" s="11"/>
      <c r="F306" s="11"/>
      <c r="G306" s="11"/>
      <c r="H306" s="11"/>
      <c r="I306" s="11"/>
      <c r="J306" s="1127"/>
      <c r="K306" s="11"/>
      <c r="L306" s="11"/>
    </row>
    <row r="307" ht="13.5" customHeight="1">
      <c r="A307" s="11"/>
      <c r="B307" s="1326" t="s">
        <v>1599</v>
      </c>
      <c r="C307" s="18"/>
      <c r="D307" s="18"/>
      <c r="E307" s="19"/>
      <c r="F307" s="11"/>
      <c r="G307" s="11"/>
      <c r="H307" s="11"/>
      <c r="I307" s="11"/>
      <c r="J307" s="1127"/>
      <c r="K307" s="11"/>
      <c r="L307" s="11"/>
    </row>
    <row r="308" ht="13.5" customHeight="1">
      <c r="A308" s="11"/>
      <c r="B308" s="173" t="s">
        <v>1</v>
      </c>
      <c r="C308" s="545">
        <v>100.0</v>
      </c>
      <c r="D308" s="275">
        <v>2000.0</v>
      </c>
      <c r="E308" s="547" t="s">
        <v>741</v>
      </c>
      <c r="F308" s="1100" t="s">
        <v>1600</v>
      </c>
      <c r="G308" s="11"/>
      <c r="H308" s="11"/>
      <c r="I308" s="11"/>
      <c r="J308" s="1127"/>
      <c r="K308" s="11"/>
      <c r="L308" s="11"/>
    </row>
    <row r="309" ht="13.5" customHeight="1">
      <c r="A309" s="11"/>
      <c r="B309" s="417" t="s">
        <v>1060</v>
      </c>
      <c r="C309" s="541">
        <v>3.0</v>
      </c>
      <c r="D309" s="418">
        <f>D308/C308*C309</f>
        <v>60</v>
      </c>
      <c r="E309" s="543" t="s">
        <v>5</v>
      </c>
      <c r="F309" s="47"/>
      <c r="G309" s="11"/>
      <c r="H309" s="11"/>
      <c r="I309" s="11"/>
      <c r="J309" s="1127"/>
      <c r="K309" s="11"/>
      <c r="L309" s="11"/>
    </row>
    <row r="310" ht="13.5" customHeight="1">
      <c r="A310" s="11"/>
      <c r="B310" s="68" t="s">
        <v>985</v>
      </c>
      <c r="C310" s="210">
        <v>1.4</v>
      </c>
      <c r="D310" s="145">
        <f t="shared" ref="D310:D315" si="25">D308/C308*C310</f>
        <v>28</v>
      </c>
      <c r="E310" s="216" t="s">
        <v>14</v>
      </c>
      <c r="F310" s="47"/>
      <c r="G310" s="11"/>
      <c r="H310" s="11"/>
      <c r="I310" s="11"/>
      <c r="J310" s="1127"/>
      <c r="K310" s="11"/>
      <c r="L310" s="11"/>
    </row>
    <row r="311" ht="13.5" customHeight="1">
      <c r="A311" s="11"/>
      <c r="B311" s="93" t="s">
        <v>1189</v>
      </c>
      <c r="C311" s="247">
        <v>3.0</v>
      </c>
      <c r="D311" s="195">
        <f t="shared" si="25"/>
        <v>60</v>
      </c>
      <c r="E311" s="249" t="s">
        <v>526</v>
      </c>
      <c r="F311" s="47"/>
      <c r="G311" s="11"/>
      <c r="H311" s="11"/>
      <c r="I311" s="11"/>
      <c r="J311" s="1127"/>
      <c r="K311" s="11"/>
      <c r="L311" s="11"/>
    </row>
    <row r="312" ht="13.5" customHeight="1">
      <c r="A312" s="11"/>
      <c r="B312" s="93" t="s">
        <v>527</v>
      </c>
      <c r="C312" s="247">
        <v>3.0</v>
      </c>
      <c r="D312" s="195">
        <f t="shared" si="25"/>
        <v>60</v>
      </c>
      <c r="E312" s="249" t="s">
        <v>526</v>
      </c>
      <c r="F312" s="47"/>
      <c r="G312" s="11"/>
      <c r="H312" s="11"/>
      <c r="I312" s="11"/>
      <c r="J312" s="1127"/>
      <c r="K312" s="11"/>
      <c r="L312" s="11"/>
    </row>
    <row r="313" ht="13.5" customHeight="1">
      <c r="A313" s="11"/>
      <c r="B313" s="105" t="s">
        <v>525</v>
      </c>
      <c r="C313" s="522">
        <v>2.0</v>
      </c>
      <c r="D313" s="200">
        <f t="shared" si="25"/>
        <v>40</v>
      </c>
      <c r="E313" s="518" t="s">
        <v>526</v>
      </c>
      <c r="F313" s="47"/>
      <c r="G313" s="11"/>
      <c r="H313" s="11"/>
      <c r="I313" s="11"/>
      <c r="J313" s="1127"/>
      <c r="K313" s="11"/>
      <c r="L313" s="11"/>
    </row>
    <row r="314" ht="13.5" customHeight="1">
      <c r="A314" s="11"/>
      <c r="B314" s="119" t="s">
        <v>113</v>
      </c>
      <c r="C314" s="523">
        <v>20.0</v>
      </c>
      <c r="D314" s="279">
        <f t="shared" si="25"/>
        <v>400</v>
      </c>
      <c r="E314" s="520" t="s">
        <v>18</v>
      </c>
      <c r="F314" s="47"/>
      <c r="G314" s="11"/>
      <c r="H314" s="11"/>
      <c r="I314" s="11"/>
      <c r="J314" s="1127"/>
      <c r="K314" s="11"/>
      <c r="L314" s="11"/>
    </row>
    <row r="315" ht="15.0" customHeight="1">
      <c r="A315" s="11"/>
      <c r="B315" s="93" t="s">
        <v>1607</v>
      </c>
      <c r="C315" s="247">
        <v>200.0</v>
      </c>
      <c r="D315" s="195">
        <f t="shared" si="25"/>
        <v>4000</v>
      </c>
      <c r="E315" s="249" t="s">
        <v>18</v>
      </c>
      <c r="F315" s="47"/>
      <c r="G315" s="11"/>
      <c r="H315" s="11"/>
      <c r="I315" s="11"/>
      <c r="J315" s="1127"/>
      <c r="K315" s="11"/>
      <c r="L315" s="11"/>
    </row>
    <row r="316" ht="13.5" customHeight="1">
      <c r="A316" s="11"/>
      <c r="B316" s="93" t="s">
        <v>1597</v>
      </c>
      <c r="C316" s="247">
        <v>0.1</v>
      </c>
      <c r="D316" s="238">
        <f>D313/C313*C316</f>
        <v>2</v>
      </c>
      <c r="E316" s="249" t="s">
        <v>14</v>
      </c>
      <c r="F316" s="47"/>
      <c r="G316" s="11"/>
      <c r="H316" s="11"/>
      <c r="I316" s="11"/>
      <c r="J316" s="1127"/>
      <c r="K316" s="11"/>
      <c r="L316" s="11"/>
    </row>
    <row r="317" ht="13.5" customHeight="1">
      <c r="A317" s="11"/>
      <c r="B317" s="93" t="s">
        <v>39</v>
      </c>
      <c r="C317" s="247">
        <v>120.0</v>
      </c>
      <c r="D317" s="195">
        <f t="shared" ref="D317:D319" si="26">D316/C316*C317</f>
        <v>2400</v>
      </c>
      <c r="E317" s="249" t="s">
        <v>18</v>
      </c>
      <c r="F317" s="47"/>
      <c r="G317" s="11"/>
      <c r="H317" s="11"/>
      <c r="I317" s="11"/>
      <c r="J317" s="1127"/>
      <c r="K317" s="11"/>
      <c r="L317" s="11"/>
    </row>
    <row r="318" ht="13.5" customHeight="1">
      <c r="A318" s="11"/>
      <c r="B318" s="93" t="s">
        <v>52</v>
      </c>
      <c r="C318" s="247">
        <v>10.0</v>
      </c>
      <c r="D318" s="195">
        <f t="shared" si="26"/>
        <v>200</v>
      </c>
      <c r="E318" s="249" t="s">
        <v>18</v>
      </c>
      <c r="F318" s="47"/>
      <c r="G318" s="11"/>
      <c r="H318" s="11"/>
      <c r="I318" s="11"/>
      <c r="J318" s="1127"/>
      <c r="K318" s="11"/>
      <c r="L318" s="11"/>
    </row>
    <row r="319" ht="13.5" customHeight="1">
      <c r="A319" s="11"/>
      <c r="B319" s="417" t="s">
        <v>1274</v>
      </c>
      <c r="C319" s="541">
        <v>0.8</v>
      </c>
      <c r="D319" s="195">
        <f t="shared" si="26"/>
        <v>16</v>
      </c>
      <c r="E319" s="249" t="s">
        <v>14</v>
      </c>
      <c r="F319" s="47"/>
      <c r="G319" s="11"/>
      <c r="H319" s="11"/>
      <c r="I319" s="11"/>
      <c r="J319" s="1127"/>
      <c r="K319" s="11"/>
      <c r="L319" s="11"/>
    </row>
    <row r="320" ht="13.5" customHeight="1">
      <c r="A320" s="11"/>
      <c r="B320" s="177" t="s">
        <v>1321</v>
      </c>
      <c r="C320" s="321">
        <v>4.0</v>
      </c>
      <c r="D320" s="195">
        <f t="shared" ref="D320:D322" si="27">D317/C317*C320</f>
        <v>80</v>
      </c>
      <c r="E320" s="249" t="s">
        <v>18</v>
      </c>
      <c r="F320" s="76"/>
      <c r="G320" s="11"/>
      <c r="H320" s="11"/>
      <c r="I320" s="11"/>
      <c r="J320" s="1127"/>
      <c r="K320" s="11"/>
      <c r="L320" s="11"/>
    </row>
    <row r="321" ht="13.5" customHeight="1">
      <c r="A321" s="11"/>
      <c r="B321" s="177" t="s">
        <v>31</v>
      </c>
      <c r="C321" s="321">
        <v>80.0</v>
      </c>
      <c r="D321" s="195">
        <f t="shared" si="27"/>
        <v>1600</v>
      </c>
      <c r="E321" s="249" t="s">
        <v>18</v>
      </c>
      <c r="F321" s="11"/>
      <c r="G321" s="11"/>
      <c r="H321" s="11"/>
      <c r="I321" s="11"/>
      <c r="J321" s="1127"/>
      <c r="K321" s="11"/>
      <c r="L321" s="11"/>
    </row>
    <row r="322" ht="13.5" customHeight="1">
      <c r="A322" s="11"/>
      <c r="B322" s="208" t="s">
        <v>13</v>
      </c>
      <c r="C322" s="318">
        <v>30.0</v>
      </c>
      <c r="D322" s="200">
        <f t="shared" si="27"/>
        <v>600</v>
      </c>
      <c r="E322" s="518" t="s">
        <v>18</v>
      </c>
      <c r="F322" s="11"/>
      <c r="G322" s="11"/>
      <c r="H322" s="11"/>
      <c r="I322" s="11"/>
      <c r="J322" s="1127"/>
      <c r="K322" s="11"/>
      <c r="L322" s="11"/>
    </row>
    <row r="323" ht="13.5" customHeight="1">
      <c r="A323" s="11"/>
      <c r="B323" s="1143" t="s">
        <v>119</v>
      </c>
      <c r="C323" s="11"/>
      <c r="D323" s="1167"/>
      <c r="E323" s="11"/>
      <c r="F323" s="11"/>
      <c r="G323" s="11"/>
      <c r="H323" s="11"/>
      <c r="I323" s="11"/>
      <c r="J323" s="1127"/>
      <c r="K323" s="11"/>
      <c r="L323" s="11"/>
    </row>
    <row r="324" ht="13.5" customHeight="1">
      <c r="A324" s="11"/>
      <c r="B324" s="11"/>
      <c r="C324" s="11"/>
      <c r="D324" s="1167"/>
      <c r="E324" s="11"/>
      <c r="F324" s="11"/>
      <c r="G324" s="11"/>
      <c r="H324" s="11"/>
      <c r="I324" s="11"/>
      <c r="J324" s="1127"/>
      <c r="K324" s="11"/>
      <c r="L324" s="11"/>
    </row>
    <row r="325" ht="13.5" customHeight="1">
      <c r="A325" s="11"/>
      <c r="B325" s="11"/>
      <c r="C325" s="11"/>
      <c r="D325" s="1167"/>
      <c r="E325" s="11"/>
      <c r="F325" s="11"/>
      <c r="G325" s="11"/>
      <c r="H325" s="11"/>
      <c r="I325" s="11"/>
      <c r="J325" s="1127"/>
      <c r="K325" s="11"/>
      <c r="L325" s="11"/>
    </row>
    <row r="326" ht="13.5" customHeight="1">
      <c r="A326" s="11"/>
      <c r="B326" s="11"/>
      <c r="C326" s="11"/>
      <c r="D326" s="1167"/>
      <c r="E326" s="11"/>
      <c r="F326" s="11"/>
      <c r="G326" s="11"/>
      <c r="H326" s="11"/>
      <c r="I326" s="11"/>
      <c r="J326" s="1127"/>
      <c r="K326" s="11"/>
      <c r="L326" s="11"/>
    </row>
    <row r="327" ht="13.5" customHeight="1">
      <c r="A327" s="11"/>
      <c r="B327" s="209" t="s">
        <v>1613</v>
      </c>
      <c r="C327" s="18"/>
      <c r="D327" s="18"/>
      <c r="E327" s="19"/>
      <c r="F327" s="11"/>
      <c r="G327" s="209" t="s">
        <v>1614</v>
      </c>
      <c r="H327" s="18"/>
      <c r="I327" s="18"/>
      <c r="J327" s="19"/>
      <c r="K327" s="11"/>
      <c r="L327" s="11"/>
    </row>
    <row r="328" ht="13.5" customHeight="1">
      <c r="A328" s="11"/>
      <c r="B328" s="119" t="s">
        <v>1</v>
      </c>
      <c r="C328" s="1209">
        <v>25.0</v>
      </c>
      <c r="D328" s="122">
        <v>2500.0</v>
      </c>
      <c r="E328" s="176" t="s">
        <v>1197</v>
      </c>
      <c r="F328" s="11"/>
      <c r="G328" s="119" t="s">
        <v>1</v>
      </c>
      <c r="H328" s="1209">
        <v>25.0</v>
      </c>
      <c r="I328" s="122">
        <v>10.0</v>
      </c>
      <c r="J328" s="1400" t="s">
        <v>1197</v>
      </c>
      <c r="K328" s="11"/>
      <c r="L328" s="11"/>
    </row>
    <row r="329" ht="13.5" customHeight="1">
      <c r="A329" s="11"/>
      <c r="B329" s="1401" t="s">
        <v>1616</v>
      </c>
      <c r="C329" s="1202">
        <v>0.5</v>
      </c>
      <c r="D329" s="1402">
        <f t="shared" ref="D329:D336" si="28">(D328*C329)/C328</f>
        <v>50</v>
      </c>
      <c r="E329" s="137" t="s">
        <v>366</v>
      </c>
      <c r="F329" s="11"/>
      <c r="G329" s="1401" t="s">
        <v>1616</v>
      </c>
      <c r="H329" s="1202">
        <v>0.5</v>
      </c>
      <c r="I329" s="1402">
        <f>IF(I328&lt;50,I328,IF(I328&lt;100,(1-(I328-50)*0.002)*I328,0.9*I328))</f>
        <v>10</v>
      </c>
      <c r="J329" s="1404" t="s">
        <v>366</v>
      </c>
      <c r="K329" s="11"/>
      <c r="L329" s="11"/>
    </row>
    <row r="330" ht="13.5" customHeight="1">
      <c r="A330" s="11"/>
      <c r="B330" s="93" t="s">
        <v>39</v>
      </c>
      <c r="C330" s="1213">
        <v>27.0</v>
      </c>
      <c r="D330" s="1402">
        <f t="shared" si="28"/>
        <v>2700</v>
      </c>
      <c r="E330" s="165" t="s">
        <v>18</v>
      </c>
      <c r="F330" s="11"/>
      <c r="G330" s="93" t="s">
        <v>39</v>
      </c>
      <c r="H330" s="1213">
        <v>27.0</v>
      </c>
      <c r="I330" s="1406">
        <f>(H330*I328)/H328</f>
        <v>10.8</v>
      </c>
      <c r="J330" s="1407" t="s">
        <v>18</v>
      </c>
      <c r="K330" s="11"/>
      <c r="L330" s="11"/>
    </row>
    <row r="331" ht="13.5" customHeight="1">
      <c r="A331" s="11"/>
      <c r="B331" s="138" t="s">
        <v>98</v>
      </c>
      <c r="C331" s="351">
        <v>12.0</v>
      </c>
      <c r="D331" s="1402">
        <f t="shared" si="28"/>
        <v>1200</v>
      </c>
      <c r="E331" s="281" t="s">
        <v>18</v>
      </c>
      <c r="F331" s="11"/>
      <c r="G331" s="138" t="s">
        <v>98</v>
      </c>
      <c r="H331" s="351">
        <v>12.0</v>
      </c>
      <c r="I331" s="1408">
        <f t="shared" ref="I331:I332" si="29">(H331*I330)/H330</f>
        <v>4.8</v>
      </c>
      <c r="J331" s="1409" t="s">
        <v>18</v>
      </c>
      <c r="K331" s="11"/>
      <c r="L331" s="11"/>
    </row>
    <row r="332" ht="13.5" customHeight="1">
      <c r="A332" s="11"/>
      <c r="B332" s="173" t="s">
        <v>103</v>
      </c>
      <c r="C332" s="1234">
        <v>5.0</v>
      </c>
      <c r="D332" s="1402">
        <f t="shared" si="28"/>
        <v>500</v>
      </c>
      <c r="E332" s="278" t="s">
        <v>18</v>
      </c>
      <c r="F332" s="11"/>
      <c r="G332" s="173" t="s">
        <v>103</v>
      </c>
      <c r="H332" s="1234">
        <v>5.0</v>
      </c>
      <c r="I332" s="1410">
        <f t="shared" si="29"/>
        <v>2</v>
      </c>
      <c r="J332" s="1411" t="s">
        <v>18</v>
      </c>
      <c r="K332" s="11"/>
      <c r="L332" s="11"/>
    </row>
    <row r="333" ht="13.5" customHeight="1">
      <c r="A333" s="11"/>
      <c r="B333" s="93" t="s">
        <v>31</v>
      </c>
      <c r="C333" s="1213">
        <v>23.0</v>
      </c>
      <c r="D333" s="1402">
        <f t="shared" si="28"/>
        <v>2300</v>
      </c>
      <c r="E333" s="165" t="s">
        <v>18</v>
      </c>
      <c r="F333" s="11"/>
      <c r="G333" s="93" t="s">
        <v>31</v>
      </c>
      <c r="H333" s="1213">
        <v>23.0</v>
      </c>
      <c r="I333" s="1406">
        <f t="shared" ref="I333:I334" si="30">(H333*I331)/H331</f>
        <v>9.2</v>
      </c>
      <c r="J333" s="1407" t="s">
        <v>18</v>
      </c>
      <c r="K333" s="11"/>
      <c r="L333" s="11"/>
    </row>
    <row r="334" ht="13.5" customHeight="1">
      <c r="A334" s="11"/>
      <c r="B334" s="138" t="s">
        <v>1626</v>
      </c>
      <c r="C334" s="351">
        <v>0.25</v>
      </c>
      <c r="D334" s="1402">
        <f t="shared" si="28"/>
        <v>25</v>
      </c>
      <c r="E334" s="281" t="s">
        <v>5</v>
      </c>
      <c r="F334" s="11"/>
      <c r="G334" s="138" t="s">
        <v>525</v>
      </c>
      <c r="H334" s="351">
        <v>0.25</v>
      </c>
      <c r="I334" s="1408">
        <f t="shared" si="30"/>
        <v>0.1</v>
      </c>
      <c r="J334" s="1409" t="s">
        <v>5</v>
      </c>
      <c r="K334" s="11"/>
      <c r="L334" s="11"/>
    </row>
    <row r="335" ht="13.5" customHeight="1">
      <c r="A335" s="11"/>
      <c r="B335" s="417" t="s">
        <v>527</v>
      </c>
      <c r="C335" s="1285">
        <v>0.1</v>
      </c>
      <c r="D335" s="1402">
        <f t="shared" si="28"/>
        <v>10</v>
      </c>
      <c r="E335" s="281" t="s">
        <v>5</v>
      </c>
      <c r="F335" s="11"/>
      <c r="G335" s="138" t="s">
        <v>1627</v>
      </c>
      <c r="H335" s="351">
        <v>0.1</v>
      </c>
      <c r="I335" s="1408">
        <f t="shared" ref="I335:I336" si="31">(H335*I332)/H332</f>
        <v>0.04</v>
      </c>
      <c r="J335" s="1409" t="s">
        <v>18</v>
      </c>
      <c r="K335" s="11"/>
      <c r="L335" s="11"/>
    </row>
    <row r="336" ht="13.5" customHeight="1">
      <c r="A336" s="11"/>
      <c r="B336" s="173" t="s">
        <v>1628</v>
      </c>
      <c r="C336" s="1234">
        <v>0.1</v>
      </c>
      <c r="D336" s="1402">
        <f t="shared" si="28"/>
        <v>10</v>
      </c>
      <c r="E336" s="278" t="s">
        <v>366</v>
      </c>
      <c r="F336" s="11"/>
      <c r="G336" s="138" t="s">
        <v>1626</v>
      </c>
      <c r="H336" s="351">
        <v>0.25</v>
      </c>
      <c r="I336" s="1408">
        <f t="shared" si="31"/>
        <v>0.1</v>
      </c>
      <c r="J336" s="1409" t="s">
        <v>5</v>
      </c>
      <c r="K336" s="11"/>
      <c r="L336" s="11"/>
    </row>
    <row r="337" ht="15.0" customHeight="1">
      <c r="A337" s="11"/>
      <c r="B337" s="1412" t="s">
        <v>1630</v>
      </c>
      <c r="C337" s="1413">
        <v>43578.0</v>
      </c>
      <c r="D337" s="1414"/>
      <c r="E337" s="1415"/>
      <c r="F337" s="11"/>
      <c r="G337" s="417" t="s">
        <v>1631</v>
      </c>
      <c r="H337" s="1285">
        <v>0.1</v>
      </c>
      <c r="I337" s="1408">
        <f>(H337*I336)/H336</f>
        <v>0.04</v>
      </c>
      <c r="J337" s="1409" t="s">
        <v>5</v>
      </c>
      <c r="K337" s="11"/>
      <c r="L337" s="11"/>
    </row>
    <row r="338" ht="13.5" customHeight="1">
      <c r="A338" s="11"/>
      <c r="B338" s="1416" t="s">
        <v>50</v>
      </c>
      <c r="C338" s="1417">
        <v>43673.0</v>
      </c>
      <c r="D338" s="18"/>
      <c r="E338" s="19"/>
      <c r="F338" s="11"/>
      <c r="G338" s="173" t="s">
        <v>1628</v>
      </c>
      <c r="H338" s="1234">
        <v>0.1</v>
      </c>
      <c r="I338" s="1410">
        <f>(H338*I336)/H336</f>
        <v>0.04</v>
      </c>
      <c r="J338" s="1411" t="s">
        <v>366</v>
      </c>
      <c r="K338" s="11"/>
      <c r="L338" s="11"/>
    </row>
    <row r="339" ht="13.5" customHeight="1">
      <c r="A339" s="11"/>
      <c r="B339" s="1143" t="s">
        <v>119</v>
      </c>
      <c r="C339" s="183" t="s">
        <v>47</v>
      </c>
      <c r="D339" s="1167"/>
      <c r="E339" s="11"/>
      <c r="F339" s="11"/>
      <c r="G339" s="1143" t="s">
        <v>119</v>
      </c>
      <c r="H339" s="183" t="s">
        <v>47</v>
      </c>
      <c r="I339" s="11"/>
      <c r="J339" s="1127"/>
      <c r="K339" s="11"/>
      <c r="L339" s="11"/>
    </row>
    <row r="340" ht="13.5" customHeight="1">
      <c r="A340" s="11"/>
      <c r="B340" s="11"/>
      <c r="C340" s="11"/>
      <c r="D340" s="1167"/>
      <c r="E340" s="11"/>
      <c r="F340" s="11"/>
      <c r="G340" s="11"/>
      <c r="H340" s="11"/>
      <c r="I340" s="11"/>
      <c r="J340" s="1127"/>
      <c r="K340" s="11"/>
      <c r="L340" s="11"/>
    </row>
    <row r="341" ht="13.5" customHeight="1">
      <c r="A341" s="11"/>
      <c r="B341" s="11"/>
      <c r="C341" s="11"/>
      <c r="D341" s="1167"/>
      <c r="E341" s="11"/>
      <c r="F341" s="11"/>
      <c r="G341" s="1412" t="s">
        <v>1630</v>
      </c>
      <c r="H341" s="11"/>
      <c r="I341" s="11"/>
      <c r="J341" s="1127"/>
      <c r="K341" s="11"/>
      <c r="L341" s="11"/>
    </row>
    <row r="342" ht="13.5" customHeight="1">
      <c r="A342" s="11"/>
      <c r="B342" s="11"/>
      <c r="C342" s="11"/>
      <c r="D342" s="1167"/>
      <c r="E342" s="11"/>
      <c r="F342" s="11"/>
      <c r="G342" s="1416" t="s">
        <v>50</v>
      </c>
      <c r="H342" s="11"/>
      <c r="I342" s="11"/>
      <c r="J342" s="1127"/>
      <c r="K342" s="11"/>
      <c r="L342" s="11"/>
    </row>
    <row r="343" ht="13.5" customHeight="1">
      <c r="A343" s="11"/>
      <c r="B343" s="1326" t="s">
        <v>1635</v>
      </c>
      <c r="C343" s="18"/>
      <c r="D343" s="18"/>
      <c r="E343" s="19"/>
      <c r="F343" s="14"/>
      <c r="G343" s="11"/>
      <c r="H343" s="11"/>
      <c r="I343" s="11"/>
      <c r="J343" s="1127"/>
      <c r="K343" s="11"/>
      <c r="L343" s="11"/>
    </row>
    <row r="344" ht="13.5" customHeight="1">
      <c r="A344" s="11"/>
      <c r="B344" s="173" t="s">
        <v>1636</v>
      </c>
      <c r="C344" s="275">
        <v>300.0</v>
      </c>
      <c r="D344" s="179">
        <v>1600.0</v>
      </c>
      <c r="E344" s="278" t="s">
        <v>741</v>
      </c>
      <c r="F344" s="14"/>
      <c r="G344" s="11"/>
      <c r="H344" s="11"/>
      <c r="I344" s="11"/>
      <c r="J344" s="1127"/>
      <c r="K344" s="11"/>
      <c r="L344" s="11"/>
    </row>
    <row r="345" ht="13.5" customHeight="1">
      <c r="A345" s="11"/>
      <c r="B345" s="68" t="s">
        <v>1637</v>
      </c>
      <c r="C345" s="145">
        <v>1.0</v>
      </c>
      <c r="D345" s="1045">
        <f t="shared" ref="D345:D346" si="32">(C345*D344)/C344</f>
        <v>5.333333333</v>
      </c>
      <c r="E345" s="137" t="s">
        <v>14</v>
      </c>
      <c r="F345" s="44" t="s">
        <v>1640</v>
      </c>
      <c r="G345" s="11"/>
      <c r="H345" s="11"/>
      <c r="I345" s="11"/>
      <c r="J345" s="1127"/>
      <c r="K345" s="11"/>
      <c r="L345" s="11"/>
    </row>
    <row r="346" ht="13.5" customHeight="1">
      <c r="A346" s="11"/>
      <c r="B346" s="105" t="s">
        <v>1641</v>
      </c>
      <c r="C346" s="200">
        <v>4.0</v>
      </c>
      <c r="D346" s="1418">
        <f t="shared" si="32"/>
        <v>21.33333333</v>
      </c>
      <c r="E346" s="172" t="s">
        <v>14</v>
      </c>
      <c r="F346" s="76"/>
      <c r="G346" s="11"/>
      <c r="H346" s="11"/>
      <c r="I346" s="11"/>
      <c r="J346" s="1127"/>
      <c r="K346" s="11"/>
      <c r="L346" s="11"/>
    </row>
    <row r="347" ht="13.5" customHeight="1">
      <c r="A347" s="11"/>
      <c r="B347" s="51" t="s">
        <v>1642</v>
      </c>
      <c r="C347" s="190">
        <v>1.2</v>
      </c>
      <c r="D347" s="1419">
        <f>(C347*D355)/C355</f>
        <v>6.4</v>
      </c>
      <c r="E347" s="125" t="s">
        <v>5</v>
      </c>
      <c r="F347" s="1"/>
      <c r="G347" s="11"/>
      <c r="H347" s="11"/>
      <c r="I347" s="11"/>
      <c r="J347" s="1127"/>
      <c r="K347" s="11"/>
      <c r="L347" s="11"/>
    </row>
    <row r="348" ht="13.5" customHeight="1">
      <c r="A348" s="11"/>
      <c r="B348" s="68" t="s">
        <v>1643</v>
      </c>
      <c r="C348" s="145">
        <v>180.0</v>
      </c>
      <c r="D348" s="1045">
        <f>(C348*D346)/C346</f>
        <v>960</v>
      </c>
      <c r="E348" s="137" t="s">
        <v>18</v>
      </c>
      <c r="F348" s="610" t="s">
        <v>1644</v>
      </c>
      <c r="G348" s="11"/>
      <c r="H348" s="11"/>
      <c r="I348" s="11"/>
      <c r="J348" s="1127"/>
      <c r="K348" s="11"/>
      <c r="L348" s="11"/>
    </row>
    <row r="349" ht="13.5" customHeight="1">
      <c r="A349" s="11"/>
      <c r="B349" s="93" t="s">
        <v>527</v>
      </c>
      <c r="C349" s="195">
        <v>3.0</v>
      </c>
      <c r="D349" s="1340">
        <f t="shared" ref="D349:D355" si="33">(C349*D348)/C348</f>
        <v>16</v>
      </c>
      <c r="E349" s="165" t="s">
        <v>526</v>
      </c>
      <c r="F349" s="47"/>
      <c r="G349" s="11"/>
      <c r="H349" s="11"/>
      <c r="I349" s="11"/>
      <c r="J349" s="1127"/>
      <c r="K349" s="11"/>
      <c r="L349" s="11"/>
    </row>
    <row r="350" ht="13.5" customHeight="1">
      <c r="A350" s="11"/>
      <c r="B350" s="93" t="s">
        <v>1645</v>
      </c>
      <c r="C350" s="195">
        <v>4.0</v>
      </c>
      <c r="D350" s="1340">
        <f t="shared" si="33"/>
        <v>21.33333333</v>
      </c>
      <c r="E350" s="165" t="s">
        <v>526</v>
      </c>
      <c r="F350" s="47"/>
      <c r="G350" s="11"/>
      <c r="H350" s="11"/>
      <c r="I350" s="11"/>
      <c r="J350" s="1127"/>
      <c r="K350" s="11"/>
      <c r="L350" s="11"/>
    </row>
    <row r="351" ht="13.5" customHeight="1">
      <c r="A351" s="11"/>
      <c r="B351" s="93" t="s">
        <v>39</v>
      </c>
      <c r="C351" s="195">
        <v>100.0</v>
      </c>
      <c r="D351" s="1340">
        <f t="shared" si="33"/>
        <v>533.3333333</v>
      </c>
      <c r="E351" s="165" t="s">
        <v>18</v>
      </c>
      <c r="F351" s="47"/>
      <c r="G351" s="11"/>
      <c r="H351" s="11"/>
      <c r="I351" s="11"/>
      <c r="J351" s="1127"/>
      <c r="K351" s="11"/>
      <c r="L351" s="11"/>
    </row>
    <row r="352" ht="18.0" customHeight="1">
      <c r="A352" s="11"/>
      <c r="B352" s="93" t="s">
        <v>1348</v>
      </c>
      <c r="C352" s="195">
        <v>0.5</v>
      </c>
      <c r="D352" s="1340">
        <f t="shared" si="33"/>
        <v>2.666666667</v>
      </c>
      <c r="E352" s="165" t="s">
        <v>5</v>
      </c>
      <c r="F352" s="47"/>
      <c r="G352" s="11"/>
      <c r="H352" s="11"/>
      <c r="I352" s="11"/>
      <c r="J352" s="1127"/>
      <c r="K352" s="11"/>
      <c r="L352" s="11"/>
    </row>
    <row r="353" ht="13.5" customHeight="1">
      <c r="A353" s="11"/>
      <c r="B353" s="93" t="s">
        <v>31</v>
      </c>
      <c r="C353" s="195">
        <v>120.0</v>
      </c>
      <c r="D353" s="1340">
        <f t="shared" si="33"/>
        <v>640</v>
      </c>
      <c r="E353" s="165" t="s">
        <v>18</v>
      </c>
      <c r="F353" s="47"/>
      <c r="G353" s="11"/>
      <c r="H353" s="11"/>
      <c r="I353" s="11"/>
      <c r="J353" s="1127"/>
      <c r="K353" s="11"/>
      <c r="L353" s="11"/>
    </row>
    <row r="354" ht="13.5" customHeight="1">
      <c r="A354" s="11"/>
      <c r="B354" s="93" t="s">
        <v>1646</v>
      </c>
      <c r="C354" s="195">
        <v>1.0</v>
      </c>
      <c r="D354" s="1340">
        <f t="shared" si="33"/>
        <v>5.333333333</v>
      </c>
      <c r="E354" s="165" t="s">
        <v>14</v>
      </c>
      <c r="F354" s="47"/>
      <c r="G354" s="11"/>
      <c r="H354" s="11"/>
      <c r="I354" s="11"/>
      <c r="J354" s="1127"/>
      <c r="K354" s="11"/>
      <c r="L354" s="11"/>
    </row>
    <row r="355" ht="13.5" customHeight="1">
      <c r="A355" s="11"/>
      <c r="B355" s="93" t="s">
        <v>1647</v>
      </c>
      <c r="C355" s="195">
        <v>0.8</v>
      </c>
      <c r="D355" s="1340">
        <f t="shared" si="33"/>
        <v>4.266666667</v>
      </c>
      <c r="E355" s="165" t="s">
        <v>14</v>
      </c>
      <c r="F355" s="47"/>
      <c r="G355" s="11"/>
      <c r="H355" s="11"/>
      <c r="I355" s="11"/>
      <c r="J355" s="1127"/>
      <c r="K355" s="11"/>
      <c r="L355" s="11"/>
    </row>
    <row r="356" ht="13.5" customHeight="1">
      <c r="A356" s="11"/>
      <c r="B356" s="93" t="s">
        <v>113</v>
      </c>
      <c r="C356" s="195">
        <v>15.0</v>
      </c>
      <c r="D356" s="1340">
        <f>(C356*D347)/C347</f>
        <v>80</v>
      </c>
      <c r="E356" s="165" t="s">
        <v>18</v>
      </c>
      <c r="F356" s="47"/>
      <c r="G356" s="11"/>
      <c r="H356" s="11"/>
      <c r="I356" s="11"/>
      <c r="J356" s="1127"/>
      <c r="K356" s="11"/>
      <c r="L356" s="11"/>
    </row>
    <row r="357" ht="13.5" customHeight="1">
      <c r="A357" s="11"/>
      <c r="B357" s="93" t="s">
        <v>1648</v>
      </c>
      <c r="C357" s="195">
        <v>60.0</v>
      </c>
      <c r="D357" s="1420">
        <f>(C357*D358)/C358</f>
        <v>320</v>
      </c>
      <c r="E357" s="36" t="s">
        <v>18</v>
      </c>
      <c r="F357" s="47"/>
      <c r="G357" s="11"/>
      <c r="H357" s="11"/>
      <c r="I357" s="11"/>
      <c r="J357" s="1127"/>
      <c r="K357" s="11"/>
      <c r="L357" s="11"/>
    </row>
    <row r="358" ht="13.5" customHeight="1">
      <c r="A358" s="11"/>
      <c r="B358" s="1421" t="s">
        <v>1649</v>
      </c>
      <c r="C358" s="195">
        <v>60.0</v>
      </c>
      <c r="D358" s="1420">
        <f t="shared" ref="D358:D359" si="34">(C358*D356)/C356</f>
        <v>320</v>
      </c>
      <c r="E358" s="36" t="s">
        <v>18</v>
      </c>
      <c r="F358" s="47"/>
      <c r="G358" s="11"/>
      <c r="H358" s="11"/>
      <c r="I358" s="11"/>
      <c r="J358" s="1127"/>
      <c r="K358" s="11"/>
      <c r="L358" s="11"/>
    </row>
    <row r="359" ht="13.5" customHeight="1">
      <c r="A359" s="11"/>
      <c r="B359" s="1422" t="s">
        <v>1650</v>
      </c>
      <c r="C359" s="1423">
        <v>20.0</v>
      </c>
      <c r="D359" s="1424">
        <f t="shared" si="34"/>
        <v>106.6666667</v>
      </c>
      <c r="E359" s="1425" t="s">
        <v>18</v>
      </c>
      <c r="F359" s="47"/>
      <c r="G359" s="11"/>
      <c r="H359" s="11"/>
      <c r="I359" s="11"/>
      <c r="J359" s="1127"/>
      <c r="K359" s="11"/>
      <c r="L359" s="11"/>
    </row>
    <row r="360" ht="13.5" customHeight="1">
      <c r="A360" s="11"/>
      <c r="B360" s="105" t="s">
        <v>1321</v>
      </c>
      <c r="C360" s="200">
        <v>10.0</v>
      </c>
      <c r="D360" s="1418">
        <f>(C360*D357)/C357</f>
        <v>53.33333333</v>
      </c>
      <c r="E360" s="457" t="s">
        <v>18</v>
      </c>
      <c r="F360" s="76"/>
      <c r="G360" s="11"/>
      <c r="H360" s="11"/>
      <c r="I360" s="11"/>
      <c r="J360" s="1127"/>
      <c r="K360" s="11"/>
      <c r="L360" s="11"/>
    </row>
    <row r="361" ht="13.5" customHeight="1">
      <c r="A361" s="11"/>
      <c r="B361" s="11"/>
      <c r="C361" s="11"/>
      <c r="D361" s="1167"/>
      <c r="E361" s="11"/>
      <c r="F361" s="11"/>
      <c r="G361" s="11"/>
      <c r="H361" s="11"/>
      <c r="I361" s="11"/>
      <c r="J361" s="1127"/>
      <c r="K361" s="11"/>
      <c r="L361" s="11"/>
    </row>
    <row r="362" ht="13.5" customHeight="1">
      <c r="A362" s="11"/>
      <c r="B362" s="1143" t="s">
        <v>119</v>
      </c>
      <c r="C362" s="183" t="s">
        <v>47</v>
      </c>
      <c r="D362" s="1167"/>
      <c r="E362" s="11"/>
      <c r="F362" s="11"/>
      <c r="G362" s="11"/>
      <c r="H362" s="11"/>
      <c r="I362" s="11"/>
      <c r="J362" s="1127"/>
      <c r="K362" s="11"/>
      <c r="L362" s="11"/>
    </row>
    <row r="363" ht="13.5" customHeight="1">
      <c r="A363" s="11"/>
      <c r="B363" s="11"/>
      <c r="C363" s="11"/>
      <c r="D363" s="1167"/>
      <c r="E363" s="11"/>
      <c r="F363" s="11"/>
      <c r="G363" s="11"/>
      <c r="H363" s="11"/>
      <c r="I363" s="11"/>
      <c r="J363" s="1127"/>
      <c r="K363" s="11"/>
      <c r="L363" s="11"/>
    </row>
    <row r="364" ht="13.5" customHeight="1">
      <c r="A364" s="11"/>
      <c r="B364" s="1412" t="s">
        <v>1630</v>
      </c>
      <c r="C364" s="11"/>
      <c r="D364" s="1167"/>
      <c r="E364" s="11"/>
      <c r="F364" s="11"/>
      <c r="G364" s="11"/>
      <c r="H364" s="11"/>
      <c r="I364" s="11"/>
      <c r="J364" s="1127"/>
      <c r="K364" s="11"/>
      <c r="L364" s="11"/>
    </row>
    <row r="365" ht="13.5" customHeight="1">
      <c r="A365" s="11"/>
      <c r="B365" s="1416" t="s">
        <v>50</v>
      </c>
      <c r="C365" s="11"/>
      <c r="D365" s="1167"/>
      <c r="E365" s="11"/>
      <c r="F365" s="11"/>
      <c r="G365" s="11"/>
      <c r="H365" s="11"/>
      <c r="I365" s="11"/>
      <c r="J365" s="1127"/>
      <c r="K365" s="11"/>
      <c r="L365" s="11"/>
    </row>
    <row r="366" ht="13.5" customHeight="1">
      <c r="A366" s="11"/>
      <c r="B366" s="11"/>
      <c r="C366" s="11"/>
      <c r="D366" s="1167"/>
      <c r="E366" s="11"/>
      <c r="F366" s="11"/>
      <c r="G366" s="11"/>
      <c r="H366" s="11"/>
      <c r="I366" s="11"/>
      <c r="J366" s="1127"/>
      <c r="K366" s="11"/>
      <c r="L366" s="11"/>
    </row>
    <row r="367" ht="13.5" customHeight="1">
      <c r="A367" s="11"/>
      <c r="B367" s="656" t="s">
        <v>1651</v>
      </c>
      <c r="C367" s="18"/>
      <c r="D367" s="18"/>
      <c r="E367" s="19"/>
      <c r="F367" s="11"/>
      <c r="G367" s="11"/>
      <c r="H367" s="11"/>
      <c r="I367" s="11"/>
      <c r="J367" s="1127"/>
      <c r="K367" s="11"/>
      <c r="L367" s="11"/>
    </row>
    <row r="368" ht="13.5" customHeight="1">
      <c r="A368" s="11"/>
      <c r="B368" s="163" t="s">
        <v>1</v>
      </c>
      <c r="C368" s="221">
        <v>200.0</v>
      </c>
      <c r="D368" s="164">
        <v>350.0</v>
      </c>
      <c r="E368" s="733" t="s">
        <v>5</v>
      </c>
      <c r="F368" s="11"/>
      <c r="G368" s="11"/>
      <c r="H368" s="11"/>
      <c r="I368" s="11"/>
      <c r="J368" s="1127"/>
      <c r="K368" s="11"/>
      <c r="L368" s="11"/>
    </row>
    <row r="369" ht="13.5" customHeight="1">
      <c r="A369" s="11"/>
      <c r="B369" s="262" t="s">
        <v>1387</v>
      </c>
      <c r="C369" s="50">
        <v>22.5</v>
      </c>
      <c r="D369" s="265">
        <f>(C369*D370)/C370</f>
        <v>39.375</v>
      </c>
      <c r="E369" s="793" t="s">
        <v>14</v>
      </c>
      <c r="F369" s="11"/>
      <c r="G369" s="11"/>
      <c r="H369" s="11"/>
      <c r="I369" s="11"/>
      <c r="J369" s="1127"/>
      <c r="K369" s="11"/>
      <c r="L369" s="11"/>
    </row>
    <row r="370" ht="13.5" customHeight="1">
      <c r="A370" s="11"/>
      <c r="B370" s="163" t="s">
        <v>1652</v>
      </c>
      <c r="C370" s="221">
        <v>20.0</v>
      </c>
      <c r="D370" s="164">
        <f t="shared" ref="D370:D371" si="35">(C370*D368)/C368</f>
        <v>35</v>
      </c>
      <c r="E370" s="733" t="s">
        <v>14</v>
      </c>
      <c r="F370" s="11"/>
      <c r="G370" s="11"/>
      <c r="H370" s="11"/>
      <c r="I370" s="11"/>
      <c r="J370" s="1127"/>
      <c r="K370" s="11"/>
      <c r="L370" s="11"/>
    </row>
    <row r="371" ht="13.5" customHeight="1">
      <c r="A371" s="11"/>
      <c r="B371" s="177" t="s">
        <v>91</v>
      </c>
      <c r="C371" s="27">
        <v>7.5</v>
      </c>
      <c r="D371" s="201">
        <f t="shared" si="35"/>
        <v>13.125</v>
      </c>
      <c r="E371" s="774" t="s">
        <v>5</v>
      </c>
      <c r="F371" s="11"/>
      <c r="G371" s="11"/>
      <c r="H371" s="11"/>
      <c r="I371" s="11"/>
      <c r="J371" s="1127"/>
      <c r="K371" s="11"/>
      <c r="L371" s="11"/>
    </row>
    <row r="372" ht="13.5" customHeight="1">
      <c r="A372" s="11"/>
      <c r="B372" s="177" t="s">
        <v>1394</v>
      </c>
      <c r="C372" s="27">
        <v>2.4</v>
      </c>
      <c r="D372" s="201">
        <f t="shared" ref="D372:D375" si="36">(C372*D371)/C371</f>
        <v>4.2</v>
      </c>
      <c r="E372" s="774" t="s">
        <v>14</v>
      </c>
      <c r="F372" s="11"/>
      <c r="G372" s="11"/>
      <c r="H372" s="11"/>
      <c r="I372" s="11"/>
      <c r="J372" s="1127"/>
      <c r="K372" s="11"/>
      <c r="L372" s="11"/>
    </row>
    <row r="373" ht="13.5" customHeight="1">
      <c r="A373" s="11"/>
      <c r="B373" s="163" t="s">
        <v>112</v>
      </c>
      <c r="C373" s="221">
        <v>200.0</v>
      </c>
      <c r="D373" s="201">
        <f t="shared" si="36"/>
        <v>350</v>
      </c>
      <c r="E373" s="733" t="s">
        <v>18</v>
      </c>
      <c r="F373" s="11"/>
      <c r="G373" s="11"/>
      <c r="H373" s="11"/>
      <c r="I373" s="11"/>
      <c r="J373" s="1127"/>
      <c r="K373" s="11"/>
      <c r="L373" s="11"/>
    </row>
    <row r="374" ht="13.5" customHeight="1">
      <c r="A374" s="11"/>
      <c r="B374" s="177" t="s">
        <v>101</v>
      </c>
      <c r="C374" s="27">
        <v>5.0</v>
      </c>
      <c r="D374" s="201">
        <f t="shared" si="36"/>
        <v>8.75</v>
      </c>
      <c r="E374" s="774" t="s">
        <v>5</v>
      </c>
      <c r="F374" s="11"/>
      <c r="G374" s="11"/>
      <c r="H374" s="11"/>
      <c r="I374" s="11"/>
      <c r="J374" s="1127"/>
      <c r="K374" s="11"/>
      <c r="L374" s="11"/>
    </row>
    <row r="375" ht="13.5" customHeight="1">
      <c r="A375" s="11"/>
      <c r="B375" s="208" t="s">
        <v>31</v>
      </c>
      <c r="C375" s="236">
        <v>600.0</v>
      </c>
      <c r="D375" s="257">
        <f t="shared" si="36"/>
        <v>1050</v>
      </c>
      <c r="E375" s="1052" t="s">
        <v>18</v>
      </c>
      <c r="F375" s="11"/>
      <c r="G375" s="11"/>
      <c r="H375" s="11"/>
      <c r="I375" s="11"/>
      <c r="J375" s="1127"/>
      <c r="K375" s="11"/>
      <c r="L375" s="11"/>
    </row>
    <row r="376" ht="13.5" customHeight="1">
      <c r="A376" s="11"/>
      <c r="B376" s="11"/>
      <c r="C376" s="11"/>
      <c r="D376" s="1167"/>
      <c r="E376" s="11"/>
      <c r="F376" s="11"/>
      <c r="G376" s="11"/>
      <c r="H376" s="11"/>
      <c r="I376" s="11"/>
      <c r="J376" s="1127"/>
      <c r="K376" s="11"/>
      <c r="L376" s="11"/>
    </row>
    <row r="377" ht="13.5" customHeight="1">
      <c r="A377" s="11"/>
      <c r="B377" s="11"/>
      <c r="C377" s="11"/>
      <c r="D377" s="1167"/>
      <c r="E377" s="11"/>
      <c r="F377" s="11"/>
      <c r="G377" s="11"/>
      <c r="H377" s="11"/>
      <c r="I377" s="11"/>
      <c r="J377" s="1127"/>
      <c r="K377" s="11"/>
      <c r="L377" s="11"/>
    </row>
    <row r="378" ht="13.5" customHeight="1">
      <c r="A378" s="11"/>
      <c r="B378" s="11"/>
      <c r="C378" s="11"/>
      <c r="D378" s="1167"/>
      <c r="E378" s="11"/>
      <c r="F378" s="11"/>
      <c r="G378" s="11"/>
      <c r="H378" s="11"/>
      <c r="I378" s="11"/>
      <c r="J378" s="1127"/>
      <c r="K378" s="11"/>
      <c r="L378" s="11"/>
    </row>
    <row r="379" ht="13.5" customHeight="1">
      <c r="A379" s="11"/>
      <c r="B379" s="11"/>
      <c r="C379" s="11"/>
      <c r="D379" s="1167"/>
      <c r="E379" s="11"/>
      <c r="F379" s="11"/>
      <c r="G379" s="11"/>
      <c r="H379" s="11"/>
      <c r="I379" s="11"/>
      <c r="J379" s="1127"/>
      <c r="K379" s="11"/>
      <c r="L379" s="11"/>
    </row>
    <row r="380" ht="13.5" customHeight="1">
      <c r="A380" s="11"/>
      <c r="B380" s="11"/>
      <c r="C380" s="11"/>
      <c r="D380" s="1167"/>
      <c r="E380" s="11"/>
      <c r="F380" s="11"/>
      <c r="G380" s="11"/>
      <c r="H380" s="11"/>
      <c r="I380" s="11"/>
      <c r="J380" s="1127"/>
      <c r="K380" s="11"/>
      <c r="L380" s="11"/>
    </row>
    <row r="381" ht="13.5" customHeight="1">
      <c r="A381" s="11"/>
      <c r="B381" s="11"/>
      <c r="C381" s="11"/>
      <c r="D381" s="1167"/>
      <c r="E381" s="11"/>
      <c r="F381" s="11"/>
      <c r="G381" s="11"/>
      <c r="H381" s="11"/>
      <c r="I381" s="11"/>
      <c r="J381" s="1127"/>
      <c r="K381" s="11"/>
      <c r="L381" s="11"/>
    </row>
    <row r="382" ht="13.5" customHeight="1">
      <c r="A382" s="11"/>
      <c r="B382" s="11"/>
      <c r="C382" s="11"/>
      <c r="D382" s="1167"/>
      <c r="E382" s="11"/>
      <c r="F382" s="11"/>
      <c r="G382" s="11"/>
      <c r="H382" s="11"/>
      <c r="I382" s="11"/>
      <c r="J382" s="1127"/>
      <c r="K382" s="11"/>
      <c r="L382" s="11"/>
    </row>
    <row r="383" ht="13.5" customHeight="1">
      <c r="A383" s="11"/>
      <c r="B383" s="11"/>
      <c r="C383" s="11"/>
      <c r="D383" s="1167"/>
      <c r="E383" s="11"/>
      <c r="F383" s="11"/>
      <c r="G383" s="11"/>
      <c r="H383" s="11"/>
      <c r="I383" s="11"/>
      <c r="J383" s="1127"/>
      <c r="K383" s="11"/>
      <c r="L383" s="11"/>
    </row>
    <row r="384" ht="13.5" customHeight="1">
      <c r="A384" s="11"/>
      <c r="B384" s="11"/>
      <c r="C384" s="11"/>
      <c r="D384" s="1167"/>
      <c r="E384" s="11"/>
      <c r="F384" s="11"/>
      <c r="G384" s="11"/>
      <c r="H384" s="11"/>
      <c r="I384" s="11"/>
      <c r="J384" s="1127"/>
      <c r="K384" s="11"/>
      <c r="L384" s="11"/>
    </row>
    <row r="385" ht="13.5" customHeight="1">
      <c r="A385" s="11"/>
      <c r="B385" s="11"/>
      <c r="C385" s="11"/>
      <c r="D385" s="1167"/>
      <c r="E385" s="11"/>
      <c r="F385" s="11"/>
      <c r="G385" s="11"/>
      <c r="H385" s="11"/>
      <c r="I385" s="11"/>
      <c r="J385" s="1127"/>
      <c r="K385" s="11"/>
      <c r="L385" s="11"/>
    </row>
    <row r="386" ht="13.5" customHeight="1">
      <c r="A386" s="11"/>
      <c r="B386" s="11"/>
      <c r="C386" s="11"/>
      <c r="D386" s="1167"/>
      <c r="E386" s="11"/>
      <c r="F386" s="11"/>
      <c r="G386" s="11"/>
      <c r="H386" s="11"/>
      <c r="I386" s="11"/>
      <c r="J386" s="1127"/>
      <c r="K386" s="11"/>
      <c r="L386" s="11"/>
    </row>
    <row r="387" ht="13.5" customHeight="1">
      <c r="A387" s="11"/>
      <c r="B387" s="11"/>
      <c r="C387" s="11"/>
      <c r="D387" s="1167"/>
      <c r="E387" s="11"/>
      <c r="F387" s="11"/>
      <c r="G387" s="11"/>
      <c r="H387" s="11"/>
      <c r="I387" s="11"/>
      <c r="J387" s="1127"/>
      <c r="K387" s="11"/>
      <c r="L387" s="11"/>
    </row>
    <row r="388" ht="13.5" customHeight="1">
      <c r="A388" s="11"/>
      <c r="B388" s="11"/>
      <c r="C388" s="11"/>
      <c r="D388" s="1167"/>
      <c r="E388" s="11"/>
      <c r="F388" s="11"/>
      <c r="G388" s="11"/>
      <c r="H388" s="11"/>
      <c r="I388" s="11"/>
      <c r="J388" s="1127"/>
      <c r="K388" s="11"/>
      <c r="L388" s="11"/>
    </row>
    <row r="389" ht="13.5" customHeight="1">
      <c r="A389" s="11"/>
      <c r="B389" s="11"/>
      <c r="C389" s="11"/>
      <c r="D389" s="1167"/>
      <c r="E389" s="11"/>
      <c r="F389" s="11"/>
      <c r="G389" s="11"/>
      <c r="H389" s="11"/>
      <c r="I389" s="11"/>
      <c r="J389" s="1127"/>
      <c r="K389" s="11"/>
      <c r="L389" s="11"/>
    </row>
    <row r="390" ht="13.5" customHeight="1">
      <c r="A390" s="11"/>
      <c r="B390" s="11"/>
      <c r="C390" s="11"/>
      <c r="D390" s="1167"/>
      <c r="E390" s="11"/>
      <c r="F390" s="11"/>
      <c r="G390" s="11"/>
      <c r="H390" s="11"/>
      <c r="I390" s="11"/>
      <c r="J390" s="1127"/>
      <c r="K390" s="11"/>
      <c r="L390" s="11"/>
    </row>
    <row r="391" ht="13.5" customHeight="1">
      <c r="A391" s="11"/>
      <c r="B391" s="11"/>
      <c r="C391" s="11"/>
      <c r="D391" s="1167"/>
      <c r="E391" s="11"/>
      <c r="F391" s="11"/>
      <c r="G391" s="11"/>
      <c r="H391" s="11"/>
      <c r="I391" s="11"/>
      <c r="J391" s="1127"/>
      <c r="K391" s="11"/>
      <c r="L391" s="11"/>
    </row>
    <row r="392" ht="13.5" customHeight="1">
      <c r="A392" s="11"/>
      <c r="B392" s="11"/>
      <c r="C392" s="11"/>
      <c r="D392" s="1167"/>
      <c r="E392" s="11"/>
      <c r="F392" s="11"/>
      <c r="G392" s="11"/>
      <c r="H392" s="11"/>
      <c r="I392" s="11"/>
      <c r="J392" s="1127"/>
      <c r="K392" s="11"/>
      <c r="L392" s="11"/>
    </row>
    <row r="393" ht="13.5" customHeight="1">
      <c r="A393" s="11"/>
      <c r="B393" s="11"/>
      <c r="C393" s="11"/>
      <c r="D393" s="1167"/>
      <c r="E393" s="11"/>
      <c r="F393" s="11"/>
      <c r="G393" s="11"/>
      <c r="H393" s="11"/>
      <c r="I393" s="11"/>
      <c r="J393" s="1127"/>
      <c r="K393" s="11"/>
      <c r="L393" s="11"/>
    </row>
    <row r="394" ht="13.5" customHeight="1">
      <c r="A394" s="11"/>
      <c r="B394" s="11"/>
      <c r="C394" s="11"/>
      <c r="D394" s="1167"/>
      <c r="E394" s="11"/>
      <c r="F394" s="11"/>
      <c r="G394" s="11"/>
      <c r="H394" s="11"/>
      <c r="I394" s="11"/>
      <c r="J394" s="1127"/>
      <c r="K394" s="11"/>
      <c r="L394" s="11"/>
    </row>
    <row r="395" ht="13.5" customHeight="1">
      <c r="A395" s="11"/>
      <c r="B395" s="11"/>
      <c r="C395" s="11"/>
      <c r="D395" s="1167"/>
      <c r="E395" s="11"/>
      <c r="F395" s="11"/>
      <c r="G395" s="11"/>
      <c r="H395" s="11"/>
      <c r="I395" s="11"/>
      <c r="J395" s="1127"/>
      <c r="K395" s="11"/>
      <c r="L395" s="11"/>
    </row>
    <row r="396" ht="13.5" customHeight="1">
      <c r="A396" s="11"/>
      <c r="B396" s="11"/>
      <c r="C396" s="11"/>
      <c r="D396" s="1167"/>
      <c r="E396" s="11"/>
      <c r="F396" s="11"/>
      <c r="G396" s="11"/>
      <c r="H396" s="11"/>
      <c r="I396" s="11"/>
      <c r="J396" s="1127"/>
      <c r="K396" s="11"/>
      <c r="L396" s="11"/>
    </row>
    <row r="397" ht="13.5" customHeight="1">
      <c r="A397" s="11"/>
      <c r="B397" s="11"/>
      <c r="C397" s="11"/>
      <c r="D397" s="1167"/>
      <c r="E397" s="11"/>
      <c r="F397" s="11"/>
      <c r="G397" s="11"/>
      <c r="H397" s="11"/>
      <c r="I397" s="11"/>
      <c r="J397" s="1127"/>
      <c r="K397" s="11"/>
      <c r="L397" s="11"/>
    </row>
    <row r="398" ht="13.5" customHeight="1">
      <c r="A398" s="11"/>
      <c r="B398" s="11"/>
      <c r="C398" s="11"/>
      <c r="D398" s="1167"/>
      <c r="E398" s="11"/>
      <c r="F398" s="11"/>
      <c r="G398" s="11"/>
      <c r="H398" s="11"/>
      <c r="I398" s="11"/>
      <c r="J398" s="1127"/>
      <c r="K398" s="11"/>
      <c r="L398" s="11"/>
    </row>
    <row r="399" ht="13.5" customHeight="1">
      <c r="A399" s="11"/>
      <c r="B399" s="11"/>
      <c r="C399" s="11"/>
      <c r="D399" s="1167"/>
      <c r="E399" s="11"/>
      <c r="F399" s="11"/>
      <c r="G399" s="11"/>
      <c r="H399" s="11"/>
      <c r="I399" s="11"/>
      <c r="J399" s="1127"/>
      <c r="K399" s="11"/>
      <c r="L399" s="11"/>
    </row>
    <row r="400" ht="13.5" customHeight="1">
      <c r="A400" s="11"/>
      <c r="B400" s="11"/>
      <c r="C400" s="11"/>
      <c r="D400" s="1167"/>
      <c r="E400" s="11"/>
      <c r="F400" s="11"/>
      <c r="G400" s="11"/>
      <c r="H400" s="11"/>
      <c r="I400" s="11"/>
      <c r="J400" s="1127"/>
      <c r="K400" s="11"/>
      <c r="L400" s="11"/>
    </row>
    <row r="401" ht="13.5" customHeight="1">
      <c r="A401" s="11"/>
      <c r="B401" s="11"/>
      <c r="C401" s="11"/>
      <c r="D401" s="1167"/>
      <c r="E401" s="11"/>
      <c r="F401" s="11"/>
      <c r="G401" s="11"/>
      <c r="H401" s="11"/>
      <c r="I401" s="11"/>
      <c r="J401" s="1127"/>
      <c r="K401" s="11"/>
      <c r="L401" s="11"/>
    </row>
    <row r="402" ht="13.5" customHeight="1">
      <c r="A402" s="11"/>
      <c r="B402" s="11"/>
      <c r="C402" s="11"/>
      <c r="D402" s="1167"/>
      <c r="E402" s="11"/>
      <c r="F402" s="11"/>
      <c r="G402" s="11"/>
      <c r="H402" s="11"/>
      <c r="I402" s="11"/>
      <c r="J402" s="1127"/>
      <c r="K402" s="11"/>
      <c r="L402" s="11"/>
    </row>
    <row r="403" ht="13.5" customHeight="1">
      <c r="A403" s="11"/>
      <c r="B403" s="11"/>
      <c r="C403" s="11"/>
      <c r="D403" s="1167"/>
      <c r="E403" s="11"/>
      <c r="F403" s="11"/>
      <c r="G403" s="11"/>
      <c r="H403" s="11"/>
      <c r="I403" s="11"/>
      <c r="J403" s="1127"/>
      <c r="K403" s="11"/>
      <c r="L403" s="11"/>
    </row>
    <row r="404" ht="13.5" customHeight="1">
      <c r="A404" s="11"/>
      <c r="B404" s="11"/>
      <c r="C404" s="11"/>
      <c r="D404" s="1167"/>
      <c r="E404" s="11"/>
      <c r="F404" s="11"/>
      <c r="G404" s="11"/>
      <c r="H404" s="11"/>
      <c r="I404" s="11"/>
      <c r="J404" s="1127"/>
      <c r="K404" s="11"/>
      <c r="L404" s="11"/>
    </row>
    <row r="405" ht="13.5" customHeight="1">
      <c r="A405" s="11"/>
      <c r="B405" s="11"/>
      <c r="C405" s="11"/>
      <c r="D405" s="1167"/>
      <c r="E405" s="11"/>
      <c r="F405" s="11"/>
      <c r="G405" s="11"/>
      <c r="H405" s="11"/>
      <c r="I405" s="11"/>
      <c r="J405" s="1127"/>
      <c r="K405" s="11"/>
      <c r="L405" s="11"/>
    </row>
    <row r="406" ht="13.5" customHeight="1">
      <c r="A406" s="11"/>
      <c r="B406" s="11"/>
      <c r="C406" s="11"/>
      <c r="D406" s="1167"/>
      <c r="E406" s="11"/>
      <c r="F406" s="11"/>
      <c r="G406" s="11"/>
      <c r="H406" s="11"/>
      <c r="I406" s="11"/>
      <c r="J406" s="1127"/>
      <c r="K406" s="11"/>
      <c r="L406" s="11"/>
    </row>
    <row r="407" ht="13.5" customHeight="1">
      <c r="A407" s="11"/>
      <c r="B407" s="11"/>
      <c r="C407" s="11"/>
      <c r="D407" s="1167"/>
      <c r="E407" s="11"/>
      <c r="F407" s="11"/>
      <c r="G407" s="11"/>
      <c r="H407" s="11"/>
      <c r="I407" s="11"/>
      <c r="J407" s="1127"/>
      <c r="K407" s="11"/>
      <c r="L407" s="11"/>
    </row>
    <row r="408" ht="13.5" customHeight="1">
      <c r="A408" s="11"/>
      <c r="B408" s="11"/>
      <c r="C408" s="11"/>
      <c r="D408" s="1167"/>
      <c r="E408" s="11"/>
      <c r="F408" s="11"/>
      <c r="G408" s="11"/>
      <c r="H408" s="11"/>
      <c r="I408" s="11"/>
      <c r="J408" s="1127"/>
      <c r="K408" s="11"/>
      <c r="L408" s="11"/>
    </row>
    <row r="409" ht="13.5" customHeight="1">
      <c r="A409" s="11"/>
      <c r="B409" s="11"/>
      <c r="C409" s="11"/>
      <c r="D409" s="1167"/>
      <c r="E409" s="11"/>
      <c r="F409" s="11"/>
      <c r="G409" s="11"/>
      <c r="H409" s="11"/>
      <c r="I409" s="11"/>
      <c r="J409" s="1127"/>
      <c r="K409" s="11"/>
      <c r="L409" s="11"/>
    </row>
    <row r="410" ht="15.0" customHeight="1">
      <c r="A410" s="11"/>
      <c r="B410" s="11"/>
      <c r="C410" s="11"/>
      <c r="D410" s="1167"/>
      <c r="E410" s="11"/>
      <c r="F410" s="11"/>
      <c r="G410" s="11"/>
      <c r="H410" s="11"/>
      <c r="I410" s="11"/>
      <c r="J410" s="1127"/>
      <c r="K410" s="11"/>
      <c r="L410" s="11"/>
    </row>
    <row r="411" ht="13.5" customHeight="1">
      <c r="A411" s="11"/>
      <c r="B411" s="11"/>
      <c r="C411" s="11"/>
      <c r="D411" s="1167"/>
      <c r="E411" s="11"/>
      <c r="F411" s="11"/>
      <c r="G411" s="11"/>
      <c r="H411" s="11"/>
      <c r="I411" s="11"/>
      <c r="J411" s="1127"/>
      <c r="K411" s="11"/>
      <c r="L411" s="11"/>
    </row>
    <row r="412" ht="15.0" customHeight="1">
      <c r="A412" s="11"/>
      <c r="B412" s="11"/>
      <c r="C412" s="11"/>
      <c r="D412" s="1167"/>
      <c r="E412" s="11"/>
      <c r="F412" s="11"/>
      <c r="G412" s="11"/>
      <c r="H412" s="11"/>
      <c r="I412" s="11"/>
      <c r="J412" s="1127"/>
      <c r="K412" s="11"/>
      <c r="L412" s="11"/>
    </row>
    <row r="413" ht="13.5" customHeight="1">
      <c r="A413" s="11"/>
      <c r="B413" s="11"/>
      <c r="C413" s="11"/>
      <c r="D413" s="1167"/>
      <c r="E413" s="11"/>
      <c r="F413" s="11"/>
      <c r="G413" s="11"/>
      <c r="H413" s="11"/>
      <c r="I413" s="11"/>
      <c r="J413" s="1127"/>
      <c r="K413" s="11"/>
      <c r="L413" s="11"/>
    </row>
    <row r="414" ht="13.5" customHeight="1">
      <c r="A414" s="11"/>
      <c r="B414" s="11"/>
      <c r="C414" s="11"/>
      <c r="D414" s="1167"/>
      <c r="E414" s="11"/>
      <c r="F414" s="11"/>
      <c r="G414" s="11"/>
      <c r="H414" s="11"/>
      <c r="I414" s="11"/>
      <c r="J414" s="1127"/>
      <c r="K414" s="11"/>
      <c r="L414" s="11"/>
    </row>
    <row r="415" ht="13.5" customHeight="1">
      <c r="A415" s="11"/>
      <c r="B415" s="11"/>
      <c r="C415" s="11"/>
      <c r="D415" s="1167"/>
      <c r="E415" s="11"/>
      <c r="F415" s="11"/>
      <c r="G415" s="11"/>
      <c r="H415" s="11"/>
      <c r="I415" s="11"/>
      <c r="J415" s="1127"/>
      <c r="K415" s="11"/>
      <c r="L415" s="11"/>
    </row>
    <row r="416" ht="13.5" customHeight="1">
      <c r="A416" s="11"/>
      <c r="B416" s="11"/>
      <c r="C416" s="11"/>
      <c r="D416" s="1167"/>
      <c r="E416" s="11"/>
      <c r="F416" s="11"/>
      <c r="G416" s="11"/>
      <c r="H416" s="11"/>
      <c r="I416" s="11"/>
      <c r="J416" s="1127"/>
      <c r="K416" s="11"/>
      <c r="L416" s="11"/>
    </row>
    <row r="417" ht="13.5" customHeight="1">
      <c r="A417" s="11"/>
      <c r="B417" s="11"/>
      <c r="C417" s="11"/>
      <c r="D417" s="1167"/>
      <c r="E417" s="11"/>
      <c r="F417" s="11"/>
      <c r="G417" s="11"/>
      <c r="H417" s="11"/>
      <c r="I417" s="11"/>
      <c r="J417" s="1127"/>
      <c r="K417" s="11"/>
      <c r="L417" s="11"/>
    </row>
    <row r="418" ht="13.5" customHeight="1">
      <c r="A418" s="11"/>
      <c r="B418" s="11"/>
      <c r="C418" s="11"/>
      <c r="D418" s="1167"/>
      <c r="E418" s="11"/>
      <c r="F418" s="11"/>
      <c r="G418" s="11"/>
      <c r="H418" s="11"/>
      <c r="I418" s="11"/>
      <c r="J418" s="1127"/>
      <c r="K418" s="11"/>
      <c r="L418" s="11"/>
    </row>
    <row r="419" ht="13.5" customHeight="1">
      <c r="A419" s="11"/>
      <c r="B419" s="11"/>
      <c r="C419" s="11"/>
      <c r="D419" s="1167"/>
      <c r="E419" s="11"/>
      <c r="F419" s="11"/>
      <c r="G419" s="11"/>
      <c r="H419" s="11"/>
      <c r="I419" s="11"/>
      <c r="J419" s="1127"/>
      <c r="K419" s="11"/>
      <c r="L419" s="11"/>
    </row>
    <row r="420" ht="13.5" customHeight="1">
      <c r="A420" s="11"/>
      <c r="B420" s="11"/>
      <c r="C420" s="11"/>
      <c r="D420" s="1167"/>
      <c r="E420" s="11"/>
      <c r="F420" s="11"/>
      <c r="G420" s="11"/>
      <c r="H420" s="11"/>
      <c r="I420" s="11"/>
      <c r="J420" s="1127"/>
      <c r="K420" s="11"/>
      <c r="L420" s="11"/>
    </row>
    <row r="421" ht="13.5" customHeight="1">
      <c r="A421" s="11"/>
      <c r="B421" s="11"/>
      <c r="C421" s="11"/>
      <c r="D421" s="1167"/>
      <c r="E421" s="11"/>
      <c r="F421" s="11"/>
      <c r="G421" s="11"/>
      <c r="H421" s="11"/>
      <c r="I421" s="11"/>
      <c r="J421" s="1127"/>
      <c r="K421" s="11"/>
      <c r="L421" s="11"/>
    </row>
    <row r="422" ht="13.5" customHeight="1">
      <c r="A422" s="11"/>
      <c r="B422" s="11"/>
      <c r="C422" s="11"/>
      <c r="D422" s="1167"/>
      <c r="E422" s="11"/>
      <c r="F422" s="11"/>
      <c r="G422" s="11"/>
      <c r="H422" s="11"/>
      <c r="I422" s="11"/>
      <c r="J422" s="1127"/>
      <c r="K422" s="11"/>
      <c r="L422" s="11"/>
    </row>
    <row r="423" ht="13.5" customHeight="1">
      <c r="A423" s="11"/>
      <c r="B423" s="11"/>
      <c r="C423" s="11"/>
      <c r="D423" s="1167"/>
      <c r="E423" s="11"/>
      <c r="F423" s="11"/>
      <c r="G423" s="11"/>
      <c r="H423" s="11"/>
      <c r="I423" s="11"/>
      <c r="J423" s="1127"/>
      <c r="K423" s="11"/>
      <c r="L423" s="11"/>
    </row>
    <row r="424" ht="13.5" customHeight="1">
      <c r="A424" s="11"/>
      <c r="B424" s="11"/>
      <c r="C424" s="11"/>
      <c r="D424" s="1167"/>
      <c r="E424" s="11"/>
      <c r="F424" s="11"/>
      <c r="G424" s="11"/>
      <c r="H424" s="11"/>
      <c r="I424" s="11"/>
      <c r="J424" s="1127"/>
      <c r="K424" s="11"/>
      <c r="L424" s="11"/>
    </row>
    <row r="425" ht="13.5" customHeight="1">
      <c r="A425" s="11"/>
      <c r="B425" s="11"/>
      <c r="C425" s="11"/>
      <c r="D425" s="1167"/>
      <c r="E425" s="11"/>
      <c r="F425" s="11"/>
      <c r="G425" s="11"/>
      <c r="H425" s="11"/>
      <c r="I425" s="11"/>
      <c r="J425" s="1127"/>
      <c r="K425" s="11"/>
      <c r="L425" s="11"/>
    </row>
    <row r="426" ht="13.5" customHeight="1">
      <c r="A426" s="11"/>
      <c r="B426" s="11"/>
      <c r="C426" s="11"/>
      <c r="D426" s="1167"/>
      <c r="E426" s="11"/>
      <c r="F426" s="11"/>
      <c r="G426" s="11"/>
      <c r="H426" s="11"/>
      <c r="I426" s="11"/>
      <c r="J426" s="1127"/>
      <c r="K426" s="11"/>
      <c r="L426" s="11"/>
    </row>
    <row r="427" ht="13.5" customHeight="1">
      <c r="A427" s="11"/>
      <c r="B427" s="11"/>
      <c r="C427" s="11"/>
      <c r="D427" s="1167"/>
      <c r="E427" s="11"/>
      <c r="F427" s="11"/>
      <c r="G427" s="11"/>
      <c r="H427" s="11"/>
      <c r="I427" s="11"/>
      <c r="J427" s="1127"/>
      <c r="K427" s="11"/>
      <c r="L427" s="11"/>
    </row>
    <row r="428" ht="13.5" customHeight="1">
      <c r="A428" s="11"/>
      <c r="B428" s="11"/>
      <c r="C428" s="11"/>
      <c r="D428" s="1167"/>
      <c r="E428" s="11"/>
      <c r="F428" s="11"/>
      <c r="G428" s="11"/>
      <c r="H428" s="11"/>
      <c r="I428" s="11"/>
      <c r="J428" s="1127"/>
      <c r="K428" s="11"/>
      <c r="L428" s="11"/>
    </row>
    <row r="429" ht="13.5" customHeight="1">
      <c r="A429" s="11"/>
      <c r="B429" s="11"/>
      <c r="C429" s="11"/>
      <c r="D429" s="1167"/>
      <c r="E429" s="11"/>
      <c r="F429" s="11"/>
      <c r="G429" s="11"/>
      <c r="H429" s="11"/>
      <c r="I429" s="11"/>
      <c r="J429" s="1127"/>
      <c r="K429" s="11"/>
      <c r="L429" s="11"/>
    </row>
    <row r="430" ht="13.5" customHeight="1">
      <c r="A430" s="11"/>
      <c r="B430" s="11"/>
      <c r="C430" s="11"/>
      <c r="D430" s="1167"/>
      <c r="E430" s="11"/>
      <c r="F430" s="11"/>
      <c r="G430" s="11"/>
      <c r="H430" s="11"/>
      <c r="I430" s="11"/>
      <c r="J430" s="1127"/>
      <c r="K430" s="11"/>
      <c r="L430" s="11"/>
    </row>
    <row r="431" ht="13.5" customHeight="1">
      <c r="A431" s="11"/>
      <c r="B431" s="11"/>
      <c r="C431" s="11"/>
      <c r="D431" s="1167"/>
      <c r="E431" s="11"/>
      <c r="F431" s="11"/>
      <c r="G431" s="11"/>
      <c r="H431" s="11"/>
      <c r="I431" s="11"/>
      <c r="J431" s="1127"/>
      <c r="K431" s="11"/>
      <c r="L431" s="11"/>
    </row>
    <row r="432" ht="13.5" customHeight="1">
      <c r="A432" s="11"/>
      <c r="B432" s="11"/>
      <c r="C432" s="11"/>
      <c r="D432" s="1167"/>
      <c r="E432" s="11"/>
      <c r="F432" s="11"/>
      <c r="G432" s="11"/>
      <c r="H432" s="11"/>
      <c r="I432" s="11"/>
      <c r="J432" s="1127"/>
      <c r="K432" s="11"/>
      <c r="L432" s="11"/>
    </row>
    <row r="433" ht="13.5" customHeight="1">
      <c r="A433" s="11"/>
      <c r="B433" s="11"/>
      <c r="C433" s="11"/>
      <c r="D433" s="1167"/>
      <c r="E433" s="11"/>
      <c r="F433" s="11"/>
      <c r="G433" s="11"/>
      <c r="H433" s="11"/>
      <c r="I433" s="11"/>
      <c r="J433" s="1127"/>
      <c r="K433" s="11"/>
      <c r="L433" s="11"/>
    </row>
    <row r="434" ht="13.5" customHeight="1">
      <c r="A434" s="11"/>
      <c r="B434" s="11"/>
      <c r="C434" s="11"/>
      <c r="D434" s="1167"/>
      <c r="E434" s="11"/>
      <c r="F434" s="11"/>
      <c r="G434" s="11"/>
      <c r="H434" s="11"/>
      <c r="I434" s="11"/>
      <c r="J434" s="1127"/>
      <c r="K434" s="11"/>
      <c r="L434" s="11"/>
    </row>
    <row r="435" ht="13.5" customHeight="1">
      <c r="A435" s="11"/>
      <c r="B435" s="11"/>
      <c r="C435" s="11"/>
      <c r="D435" s="1167"/>
      <c r="E435" s="11"/>
      <c r="F435" s="11"/>
      <c r="G435" s="11"/>
      <c r="H435" s="11"/>
      <c r="I435" s="11"/>
      <c r="J435" s="1127"/>
      <c r="K435" s="11"/>
      <c r="L435" s="11"/>
    </row>
    <row r="436" ht="13.5" customHeight="1">
      <c r="A436" s="11"/>
      <c r="B436" s="11"/>
      <c r="C436" s="11"/>
      <c r="D436" s="1167"/>
      <c r="E436" s="11"/>
      <c r="F436" s="11"/>
      <c r="G436" s="11"/>
      <c r="H436" s="11"/>
      <c r="I436" s="11"/>
      <c r="J436" s="1127"/>
      <c r="K436" s="11"/>
      <c r="L436" s="11"/>
    </row>
    <row r="437" ht="13.5" customHeight="1">
      <c r="A437" s="11"/>
      <c r="B437" s="11"/>
      <c r="C437" s="11"/>
      <c r="D437" s="1167"/>
      <c r="E437" s="11"/>
      <c r="F437" s="11"/>
      <c r="G437" s="11"/>
      <c r="H437" s="11"/>
      <c r="I437" s="11"/>
      <c r="J437" s="1127"/>
      <c r="K437" s="11"/>
      <c r="L437" s="11"/>
    </row>
    <row r="438" ht="13.5" customHeight="1">
      <c r="A438" s="11"/>
      <c r="B438" s="11"/>
      <c r="C438" s="11"/>
      <c r="D438" s="1167"/>
      <c r="E438" s="11"/>
      <c r="F438" s="11"/>
      <c r="G438" s="11"/>
      <c r="H438" s="11"/>
      <c r="I438" s="11"/>
      <c r="J438" s="1127"/>
      <c r="K438" s="11"/>
      <c r="L438" s="11"/>
    </row>
    <row r="439" ht="13.5" customHeight="1">
      <c r="A439" s="11"/>
      <c r="B439" s="11"/>
      <c r="C439" s="11"/>
      <c r="D439" s="1167"/>
      <c r="E439" s="11"/>
      <c r="F439" s="11"/>
      <c r="G439" s="11"/>
      <c r="H439" s="11"/>
      <c r="I439" s="11"/>
      <c r="J439" s="1127"/>
      <c r="K439" s="11"/>
      <c r="L439" s="11"/>
    </row>
    <row r="440" ht="13.5" customHeight="1">
      <c r="A440" s="11"/>
      <c r="B440" s="11"/>
      <c r="C440" s="11"/>
      <c r="D440" s="1167"/>
      <c r="E440" s="11"/>
      <c r="F440" s="11"/>
      <c r="G440" s="11"/>
      <c r="H440" s="11"/>
      <c r="I440" s="11"/>
      <c r="J440" s="1127"/>
      <c r="K440" s="11"/>
      <c r="L440" s="11"/>
    </row>
    <row r="441" ht="13.5" customHeight="1">
      <c r="A441" s="11"/>
      <c r="B441" s="11"/>
      <c r="C441" s="11"/>
      <c r="D441" s="1167"/>
      <c r="E441" s="11"/>
      <c r="F441" s="11"/>
      <c r="G441" s="11"/>
      <c r="H441" s="11"/>
      <c r="I441" s="11"/>
      <c r="J441" s="1127"/>
      <c r="K441" s="11"/>
      <c r="L441" s="11"/>
    </row>
    <row r="442" ht="13.5" customHeight="1">
      <c r="A442" s="11"/>
      <c r="B442" s="11"/>
      <c r="C442" s="11"/>
      <c r="D442" s="1167"/>
      <c r="E442" s="11"/>
      <c r="F442" s="11"/>
      <c r="G442" s="11"/>
      <c r="H442" s="11"/>
      <c r="I442" s="11"/>
      <c r="J442" s="1127"/>
      <c r="K442" s="11"/>
      <c r="L442" s="11"/>
    </row>
    <row r="443" ht="13.5" customHeight="1">
      <c r="A443" s="11"/>
      <c r="B443" s="11"/>
      <c r="C443" s="11"/>
      <c r="D443" s="1167"/>
      <c r="E443" s="11"/>
      <c r="F443" s="11"/>
      <c r="G443" s="11"/>
      <c r="H443" s="11"/>
      <c r="I443" s="11"/>
      <c r="J443" s="1127"/>
      <c r="K443" s="11"/>
      <c r="L443" s="11"/>
    </row>
    <row r="444" ht="15.0" customHeight="1">
      <c r="A444" s="11"/>
      <c r="B444" s="11"/>
      <c r="C444" s="11"/>
      <c r="D444" s="1167"/>
      <c r="E444" s="11"/>
      <c r="F444" s="11"/>
      <c r="G444" s="11"/>
      <c r="H444" s="11"/>
      <c r="I444" s="11"/>
      <c r="J444" s="1127"/>
      <c r="K444" s="11"/>
      <c r="L444" s="11"/>
    </row>
    <row r="445" ht="13.5" customHeight="1">
      <c r="A445" s="11"/>
      <c r="B445" s="11"/>
      <c r="C445" s="11"/>
      <c r="D445" s="1167"/>
      <c r="E445" s="11"/>
      <c r="F445" s="11"/>
      <c r="G445" s="11"/>
      <c r="H445" s="11"/>
      <c r="I445" s="11"/>
      <c r="J445" s="1127"/>
      <c r="K445" s="11"/>
      <c r="L445" s="11"/>
    </row>
    <row r="446" ht="13.5" customHeight="1">
      <c r="A446" s="11"/>
      <c r="B446" s="11"/>
      <c r="C446" s="11"/>
      <c r="D446" s="1167"/>
      <c r="E446" s="11"/>
      <c r="F446" s="11"/>
      <c r="G446" s="11"/>
      <c r="H446" s="11"/>
      <c r="I446" s="11"/>
      <c r="J446" s="1127"/>
      <c r="K446" s="11"/>
      <c r="L446" s="11"/>
    </row>
    <row r="447" ht="13.5" customHeight="1">
      <c r="A447" s="11"/>
      <c r="B447" s="11"/>
      <c r="C447" s="11"/>
      <c r="D447" s="1167"/>
      <c r="E447" s="11"/>
      <c r="F447" s="11"/>
      <c r="G447" s="11"/>
      <c r="H447" s="11"/>
      <c r="I447" s="11"/>
      <c r="J447" s="1127"/>
      <c r="K447" s="11"/>
      <c r="L447" s="11"/>
    </row>
    <row r="448" ht="13.5" customHeight="1">
      <c r="A448" s="11"/>
      <c r="B448" s="11"/>
      <c r="C448" s="11"/>
      <c r="D448" s="1167"/>
      <c r="E448" s="11"/>
      <c r="F448" s="11"/>
      <c r="G448" s="11"/>
      <c r="H448" s="11"/>
      <c r="I448" s="11"/>
      <c r="J448" s="1127"/>
      <c r="K448" s="11"/>
      <c r="L448" s="11"/>
    </row>
    <row r="449" ht="15.0" customHeight="1">
      <c r="A449" s="11"/>
      <c r="B449" s="11"/>
      <c r="C449" s="11"/>
      <c r="D449" s="1167"/>
      <c r="E449" s="11"/>
      <c r="F449" s="11"/>
      <c r="G449" s="11"/>
      <c r="H449" s="11"/>
      <c r="I449" s="11"/>
      <c r="J449" s="1127"/>
      <c r="K449" s="11"/>
      <c r="L449" s="11"/>
    </row>
    <row r="450" ht="13.5" customHeight="1">
      <c r="A450" s="11"/>
      <c r="B450" s="11"/>
      <c r="C450" s="11"/>
      <c r="D450" s="1167"/>
      <c r="E450" s="11"/>
      <c r="F450" s="11"/>
      <c r="G450" s="11"/>
      <c r="H450" s="11"/>
      <c r="I450" s="11"/>
      <c r="J450" s="1127"/>
      <c r="K450" s="11"/>
      <c r="L450" s="11"/>
    </row>
    <row r="451" ht="13.5" customHeight="1">
      <c r="A451" s="11"/>
      <c r="B451" s="11"/>
      <c r="C451" s="11"/>
      <c r="D451" s="1167"/>
      <c r="E451" s="11"/>
      <c r="F451" s="11"/>
      <c r="G451" s="11"/>
      <c r="H451" s="11"/>
      <c r="I451" s="11"/>
      <c r="J451" s="1127"/>
      <c r="K451" s="11"/>
      <c r="L451" s="11"/>
    </row>
    <row r="452" ht="13.5" customHeight="1">
      <c r="A452" s="11"/>
      <c r="B452" s="11"/>
      <c r="C452" s="11"/>
      <c r="D452" s="1167"/>
      <c r="E452" s="11"/>
      <c r="F452" s="11"/>
      <c r="G452" s="11"/>
      <c r="H452" s="11"/>
      <c r="I452" s="11"/>
      <c r="J452" s="1127"/>
      <c r="K452" s="11"/>
      <c r="L452" s="11"/>
    </row>
    <row r="453" ht="13.5" customHeight="1">
      <c r="A453" s="11"/>
      <c r="B453" s="11"/>
      <c r="C453" s="11"/>
      <c r="D453" s="1167"/>
      <c r="E453" s="11"/>
      <c r="F453" s="11"/>
      <c r="G453" s="11"/>
      <c r="H453" s="11"/>
      <c r="I453" s="11"/>
      <c r="J453" s="1127"/>
      <c r="K453" s="11"/>
      <c r="L453" s="11"/>
    </row>
    <row r="454" ht="15.0" customHeight="1">
      <c r="A454" s="11"/>
      <c r="B454" s="11"/>
      <c r="C454" s="11"/>
      <c r="D454" s="1167"/>
      <c r="E454" s="11"/>
      <c r="F454" s="11"/>
      <c r="G454" s="11"/>
      <c r="H454" s="11"/>
      <c r="I454" s="11"/>
      <c r="J454" s="1127"/>
      <c r="K454" s="11"/>
      <c r="L454" s="11"/>
    </row>
    <row r="455" ht="13.5" customHeight="1">
      <c r="A455" s="11"/>
      <c r="B455" s="11"/>
      <c r="C455" s="11"/>
      <c r="D455" s="1167"/>
      <c r="E455" s="11"/>
      <c r="F455" s="11"/>
      <c r="G455" s="11"/>
      <c r="H455" s="11"/>
      <c r="I455" s="11"/>
      <c r="J455" s="1127"/>
      <c r="K455" s="11"/>
      <c r="L455" s="11"/>
    </row>
    <row r="456" ht="13.5" customHeight="1">
      <c r="A456" s="11"/>
      <c r="B456" s="11"/>
      <c r="C456" s="11"/>
      <c r="D456" s="1167"/>
      <c r="E456" s="11"/>
      <c r="F456" s="11"/>
      <c r="G456" s="11"/>
      <c r="H456" s="11"/>
      <c r="I456" s="11"/>
      <c r="J456" s="1127"/>
      <c r="K456" s="11"/>
      <c r="L456" s="11"/>
    </row>
    <row r="457" ht="13.5" customHeight="1">
      <c r="A457" s="11"/>
      <c r="B457" s="11"/>
      <c r="C457" s="11"/>
      <c r="D457" s="1167"/>
      <c r="E457" s="11"/>
      <c r="F457" s="11"/>
      <c r="G457" s="11"/>
      <c r="H457" s="11"/>
      <c r="I457" s="11"/>
      <c r="J457" s="1127"/>
      <c r="K457" s="11"/>
      <c r="L457" s="11"/>
    </row>
    <row r="458" ht="13.5" customHeight="1">
      <c r="A458" s="11"/>
      <c r="B458" s="11"/>
      <c r="C458" s="11"/>
      <c r="D458" s="1167"/>
      <c r="E458" s="11"/>
      <c r="F458" s="11"/>
      <c r="G458" s="11"/>
      <c r="H458" s="11"/>
      <c r="I458" s="11"/>
      <c r="J458" s="1127"/>
      <c r="K458" s="11"/>
      <c r="L458" s="11"/>
    </row>
    <row r="459" ht="13.5" customHeight="1">
      <c r="A459" s="11"/>
      <c r="B459" s="11"/>
      <c r="C459" s="11"/>
      <c r="D459" s="1167"/>
      <c r="E459" s="11"/>
      <c r="F459" s="11"/>
      <c r="G459" s="11"/>
      <c r="H459" s="11"/>
      <c r="I459" s="11"/>
      <c r="J459" s="1127"/>
      <c r="K459" s="11"/>
      <c r="L459" s="11"/>
    </row>
    <row r="460" ht="13.5" customHeight="1">
      <c r="A460" s="11"/>
      <c r="B460" s="11"/>
      <c r="C460" s="11"/>
      <c r="D460" s="1167"/>
      <c r="E460" s="11"/>
      <c r="F460" s="11"/>
      <c r="G460" s="11"/>
      <c r="H460" s="11"/>
      <c r="I460" s="11"/>
      <c r="J460" s="1127"/>
      <c r="K460" s="11"/>
      <c r="L460" s="11"/>
    </row>
    <row r="461" ht="13.5" customHeight="1">
      <c r="A461" s="11"/>
      <c r="B461" s="11"/>
      <c r="C461" s="11"/>
      <c r="D461" s="1167"/>
      <c r="E461" s="11"/>
      <c r="F461" s="11"/>
      <c r="G461" s="11"/>
      <c r="H461" s="11"/>
      <c r="I461" s="11"/>
      <c r="J461" s="1127"/>
      <c r="K461" s="11"/>
      <c r="L461" s="11"/>
    </row>
    <row r="462" ht="13.5" customHeight="1">
      <c r="A462" s="11"/>
      <c r="B462" s="11"/>
      <c r="C462" s="11"/>
      <c r="D462" s="1167"/>
      <c r="E462" s="11"/>
      <c r="F462" s="11"/>
      <c r="G462" s="11"/>
      <c r="H462" s="11"/>
      <c r="I462" s="11"/>
      <c r="J462" s="1127"/>
      <c r="K462" s="11"/>
      <c r="L462" s="11"/>
    </row>
    <row r="463" ht="13.5" customHeight="1">
      <c r="A463" s="11"/>
      <c r="B463" s="11"/>
      <c r="C463" s="11"/>
      <c r="D463" s="1167"/>
      <c r="E463" s="11"/>
      <c r="F463" s="11"/>
      <c r="G463" s="11"/>
      <c r="H463" s="11"/>
      <c r="I463" s="11"/>
      <c r="J463" s="1127"/>
      <c r="K463" s="11"/>
      <c r="L463" s="11"/>
    </row>
    <row r="464" ht="13.5" customHeight="1">
      <c r="A464" s="11"/>
      <c r="B464" s="11"/>
      <c r="C464" s="11"/>
      <c r="D464" s="1167"/>
      <c r="E464" s="11"/>
      <c r="F464" s="11"/>
      <c r="G464" s="11"/>
      <c r="H464" s="11"/>
      <c r="I464" s="11"/>
      <c r="J464" s="1127"/>
      <c r="K464" s="11"/>
      <c r="L464" s="11"/>
    </row>
    <row r="465" ht="13.5" customHeight="1">
      <c r="A465" s="11"/>
      <c r="B465" s="11"/>
      <c r="C465" s="11"/>
      <c r="D465" s="1167"/>
      <c r="E465" s="11"/>
      <c r="F465" s="11"/>
      <c r="G465" s="11"/>
      <c r="H465" s="11"/>
      <c r="I465" s="11"/>
      <c r="J465" s="1127"/>
      <c r="K465" s="11"/>
      <c r="L465" s="11"/>
    </row>
    <row r="466" ht="13.5" customHeight="1">
      <c r="A466" s="11"/>
      <c r="B466" s="11"/>
      <c r="C466" s="11"/>
      <c r="D466" s="1167"/>
      <c r="E466" s="11"/>
      <c r="F466" s="11"/>
      <c r="G466" s="11"/>
      <c r="H466" s="11"/>
      <c r="I466" s="11"/>
      <c r="J466" s="1127"/>
      <c r="K466" s="11"/>
      <c r="L466" s="11"/>
    </row>
    <row r="467" ht="13.5" customHeight="1">
      <c r="A467" s="11"/>
      <c r="B467" s="11"/>
      <c r="C467" s="11"/>
      <c r="D467" s="1167"/>
      <c r="E467" s="11"/>
      <c r="F467" s="11"/>
      <c r="G467" s="11"/>
      <c r="H467" s="11"/>
      <c r="I467" s="11"/>
      <c r="J467" s="1127"/>
      <c r="K467" s="11"/>
      <c r="L467" s="11"/>
    </row>
    <row r="468" ht="13.5" customHeight="1">
      <c r="A468" s="11"/>
      <c r="B468" s="11"/>
      <c r="C468" s="11"/>
      <c r="D468" s="1167"/>
      <c r="E468" s="11"/>
      <c r="F468" s="11"/>
      <c r="G468" s="11"/>
      <c r="H468" s="11"/>
      <c r="I468" s="11"/>
      <c r="J468" s="1127"/>
      <c r="K468" s="11"/>
      <c r="L468" s="11"/>
    </row>
    <row r="469" ht="13.5" customHeight="1">
      <c r="A469" s="11"/>
      <c r="B469" s="11"/>
      <c r="C469" s="11"/>
      <c r="D469" s="1167"/>
      <c r="E469" s="11"/>
      <c r="F469" s="11"/>
      <c r="G469" s="11"/>
      <c r="H469" s="11"/>
      <c r="I469" s="11"/>
      <c r="J469" s="1127"/>
      <c r="K469" s="11"/>
      <c r="L469" s="11"/>
    </row>
    <row r="470" ht="13.5" customHeight="1">
      <c r="A470" s="11"/>
      <c r="B470" s="11"/>
      <c r="C470" s="11"/>
      <c r="D470" s="1167"/>
      <c r="E470" s="11"/>
      <c r="F470" s="11"/>
      <c r="G470" s="11"/>
      <c r="H470" s="11"/>
      <c r="I470" s="11"/>
      <c r="J470" s="1127"/>
      <c r="K470" s="11"/>
      <c r="L470" s="11"/>
    </row>
    <row r="471" ht="13.5" customHeight="1">
      <c r="A471" s="11"/>
      <c r="B471" s="11"/>
      <c r="C471" s="11"/>
      <c r="D471" s="1167"/>
      <c r="E471" s="11"/>
      <c r="F471" s="11"/>
      <c r="G471" s="11"/>
      <c r="H471" s="11"/>
      <c r="I471" s="11"/>
      <c r="J471" s="1127"/>
      <c r="K471" s="11"/>
      <c r="L471" s="11"/>
    </row>
    <row r="472" ht="13.5" customHeight="1">
      <c r="A472" s="11"/>
      <c r="B472" s="11"/>
      <c r="C472" s="11"/>
      <c r="D472" s="1167"/>
      <c r="E472" s="11"/>
      <c r="F472" s="11"/>
      <c r="G472" s="11"/>
      <c r="H472" s="11"/>
      <c r="I472" s="11"/>
      <c r="J472" s="1127"/>
      <c r="K472" s="11"/>
      <c r="L472" s="11"/>
    </row>
    <row r="473" ht="13.5" customHeight="1">
      <c r="A473" s="11"/>
      <c r="B473" s="11"/>
      <c r="C473" s="11"/>
      <c r="D473" s="1167"/>
      <c r="E473" s="11"/>
      <c r="F473" s="11"/>
      <c r="G473" s="11"/>
      <c r="H473" s="11"/>
      <c r="I473" s="11"/>
      <c r="J473" s="1127"/>
      <c r="K473" s="11"/>
      <c r="L473" s="11"/>
    </row>
    <row r="474" ht="13.5" customHeight="1">
      <c r="A474" s="11"/>
      <c r="B474" s="11"/>
      <c r="C474" s="11"/>
      <c r="D474" s="1167"/>
      <c r="E474" s="11"/>
      <c r="F474" s="11"/>
      <c r="G474" s="11"/>
      <c r="H474" s="11"/>
      <c r="I474" s="11"/>
      <c r="J474" s="1127"/>
      <c r="K474" s="11"/>
      <c r="L474" s="11"/>
    </row>
    <row r="475" ht="13.5" customHeight="1">
      <c r="A475" s="11"/>
      <c r="B475" s="11"/>
      <c r="C475" s="11"/>
      <c r="D475" s="1167"/>
      <c r="E475" s="11"/>
      <c r="F475" s="11"/>
      <c r="G475" s="11"/>
      <c r="H475" s="11"/>
      <c r="I475" s="11"/>
      <c r="J475" s="1127"/>
      <c r="K475" s="11"/>
      <c r="L475" s="11"/>
    </row>
    <row r="476" ht="13.5" customHeight="1">
      <c r="A476" s="11"/>
      <c r="B476" s="11"/>
      <c r="C476" s="11"/>
      <c r="D476" s="1167"/>
      <c r="E476" s="11"/>
      <c r="F476" s="11"/>
      <c r="G476" s="11"/>
      <c r="H476" s="11"/>
      <c r="I476" s="11"/>
      <c r="J476" s="1127"/>
      <c r="K476" s="11"/>
      <c r="L476" s="11"/>
    </row>
    <row r="477" ht="13.5" customHeight="1">
      <c r="A477" s="11"/>
      <c r="B477" s="11"/>
      <c r="C477" s="11"/>
      <c r="D477" s="1167"/>
      <c r="E477" s="11"/>
      <c r="F477" s="11"/>
      <c r="G477" s="11"/>
      <c r="H477" s="11"/>
      <c r="I477" s="11"/>
      <c r="J477" s="1127"/>
      <c r="K477" s="11"/>
      <c r="L477" s="11"/>
    </row>
    <row r="478" ht="13.5" customHeight="1">
      <c r="A478" s="11"/>
      <c r="B478" s="11"/>
      <c r="C478" s="11"/>
      <c r="D478" s="1167"/>
      <c r="E478" s="11"/>
      <c r="F478" s="11"/>
      <c r="G478" s="11"/>
      <c r="H478" s="11"/>
      <c r="I478" s="11"/>
      <c r="J478" s="1127"/>
      <c r="K478" s="11"/>
      <c r="L478" s="11"/>
    </row>
    <row r="479" ht="13.5" customHeight="1">
      <c r="A479" s="11"/>
      <c r="B479" s="11"/>
      <c r="C479" s="11"/>
      <c r="D479" s="1167"/>
      <c r="E479" s="11"/>
      <c r="F479" s="11"/>
      <c r="G479" s="11"/>
      <c r="H479" s="11"/>
      <c r="I479" s="11"/>
      <c r="J479" s="1127"/>
      <c r="K479" s="11"/>
      <c r="L479" s="11"/>
    </row>
    <row r="480" ht="13.5" customHeight="1">
      <c r="A480" s="11"/>
      <c r="B480" s="11"/>
      <c r="C480" s="11"/>
      <c r="D480" s="1167"/>
      <c r="E480" s="11"/>
      <c r="F480" s="11"/>
      <c r="G480" s="11"/>
      <c r="H480" s="11"/>
      <c r="I480" s="11"/>
      <c r="J480" s="1127"/>
      <c r="K480" s="11"/>
      <c r="L480" s="11"/>
    </row>
    <row r="481" ht="13.5" customHeight="1">
      <c r="A481" s="11"/>
      <c r="B481" s="11"/>
      <c r="C481" s="11"/>
      <c r="D481" s="1167"/>
      <c r="E481" s="11"/>
      <c r="F481" s="11"/>
      <c r="G481" s="11"/>
      <c r="H481" s="11"/>
      <c r="I481" s="11"/>
      <c r="J481" s="1127"/>
      <c r="K481" s="11"/>
      <c r="L481" s="11"/>
    </row>
    <row r="482" ht="13.5" customHeight="1">
      <c r="A482" s="11"/>
      <c r="B482" s="11"/>
      <c r="C482" s="11"/>
      <c r="D482" s="1167"/>
      <c r="E482" s="11"/>
      <c r="F482" s="11"/>
      <c r="G482" s="11"/>
      <c r="H482" s="11"/>
      <c r="I482" s="11"/>
      <c r="J482" s="1127"/>
      <c r="K482" s="11"/>
      <c r="L482" s="11"/>
    </row>
    <row r="483" ht="13.5" customHeight="1">
      <c r="A483" s="11"/>
      <c r="B483" s="11"/>
      <c r="C483" s="11"/>
      <c r="D483" s="1167"/>
      <c r="E483" s="11"/>
      <c r="F483" s="11"/>
      <c r="G483" s="11"/>
      <c r="H483" s="11"/>
      <c r="I483" s="11"/>
      <c r="J483" s="1127"/>
      <c r="K483" s="11"/>
      <c r="L483" s="11"/>
    </row>
    <row r="484" ht="13.5" customHeight="1">
      <c r="A484" s="11"/>
      <c r="B484" s="11"/>
      <c r="C484" s="11"/>
      <c r="D484" s="1167"/>
      <c r="E484" s="11"/>
      <c r="F484" s="11"/>
      <c r="G484" s="11"/>
      <c r="H484" s="11"/>
      <c r="I484" s="11"/>
      <c r="J484" s="1127"/>
      <c r="K484" s="11"/>
      <c r="L484" s="11"/>
    </row>
    <row r="485" ht="13.5" customHeight="1">
      <c r="A485" s="11"/>
      <c r="B485" s="11"/>
      <c r="C485" s="11"/>
      <c r="D485" s="1167"/>
      <c r="E485" s="11"/>
      <c r="F485" s="11"/>
      <c r="G485" s="11"/>
      <c r="H485" s="11"/>
      <c r="I485" s="11"/>
      <c r="J485" s="1127"/>
      <c r="K485" s="11"/>
      <c r="L485" s="11"/>
    </row>
    <row r="486" ht="13.5" customHeight="1">
      <c r="A486" s="11"/>
      <c r="B486" s="11"/>
      <c r="C486" s="11"/>
      <c r="D486" s="1167"/>
      <c r="E486" s="11"/>
      <c r="F486" s="11"/>
      <c r="G486" s="11"/>
      <c r="H486" s="11"/>
      <c r="I486" s="11"/>
      <c r="J486" s="1127"/>
      <c r="K486" s="11"/>
      <c r="L486" s="11"/>
    </row>
    <row r="487" ht="13.5" customHeight="1">
      <c r="A487" s="11"/>
      <c r="B487" s="11"/>
      <c r="C487" s="11"/>
      <c r="D487" s="1167"/>
      <c r="E487" s="11"/>
      <c r="F487" s="11"/>
      <c r="G487" s="11"/>
      <c r="H487" s="11"/>
      <c r="I487" s="11"/>
      <c r="J487" s="1127"/>
      <c r="K487" s="11"/>
      <c r="L487" s="11"/>
    </row>
    <row r="488" ht="13.5" customHeight="1">
      <c r="A488" s="11"/>
      <c r="B488" s="11"/>
      <c r="C488" s="11"/>
      <c r="D488" s="1167"/>
      <c r="E488" s="11"/>
      <c r="F488" s="11"/>
      <c r="G488" s="11"/>
      <c r="H488" s="11"/>
      <c r="I488" s="11"/>
      <c r="J488" s="1127"/>
      <c r="K488" s="11"/>
      <c r="L488" s="11"/>
    </row>
    <row r="489" ht="13.5" customHeight="1">
      <c r="A489" s="11"/>
      <c r="B489" s="11"/>
      <c r="C489" s="11"/>
      <c r="D489" s="1167"/>
      <c r="E489" s="11"/>
      <c r="F489" s="11"/>
      <c r="G489" s="11"/>
      <c r="H489" s="11"/>
      <c r="I489" s="11"/>
      <c r="J489" s="1127"/>
      <c r="K489" s="11"/>
      <c r="L489" s="11"/>
    </row>
    <row r="490" ht="13.5" customHeight="1">
      <c r="A490" s="11"/>
      <c r="B490" s="11"/>
      <c r="C490" s="11"/>
      <c r="D490" s="1167"/>
      <c r="E490" s="11"/>
      <c r="F490" s="11"/>
      <c r="G490" s="11"/>
      <c r="H490" s="11"/>
      <c r="I490" s="11"/>
      <c r="J490" s="1127"/>
      <c r="K490" s="11"/>
      <c r="L490" s="11"/>
    </row>
    <row r="491" ht="13.5" customHeight="1">
      <c r="A491" s="11"/>
      <c r="B491" s="11"/>
      <c r="C491" s="11"/>
      <c r="D491" s="1167"/>
      <c r="E491" s="11"/>
      <c r="F491" s="11"/>
      <c r="G491" s="11"/>
      <c r="H491" s="11"/>
      <c r="I491" s="11"/>
      <c r="J491" s="1127"/>
      <c r="K491" s="11"/>
      <c r="L491" s="11"/>
    </row>
    <row r="492" ht="13.5" customHeight="1">
      <c r="A492" s="11"/>
      <c r="B492" s="11"/>
      <c r="C492" s="11"/>
      <c r="D492" s="1167"/>
      <c r="E492" s="11"/>
      <c r="F492" s="11"/>
      <c r="G492" s="11"/>
      <c r="H492" s="11"/>
      <c r="I492" s="11"/>
      <c r="J492" s="1127"/>
      <c r="K492" s="11"/>
      <c r="L492" s="11"/>
    </row>
    <row r="493" ht="13.5" customHeight="1">
      <c r="A493" s="11"/>
      <c r="B493" s="11"/>
      <c r="C493" s="11"/>
      <c r="D493" s="1167"/>
      <c r="E493" s="11"/>
      <c r="F493" s="11"/>
      <c r="G493" s="11"/>
      <c r="H493" s="11"/>
      <c r="I493" s="11"/>
      <c r="J493" s="1127"/>
      <c r="K493" s="11"/>
      <c r="L493" s="11"/>
    </row>
    <row r="494" ht="13.5" customHeight="1">
      <c r="A494" s="11"/>
      <c r="B494" s="11"/>
      <c r="C494" s="11"/>
      <c r="D494" s="1167"/>
      <c r="E494" s="11"/>
      <c r="F494" s="11"/>
      <c r="G494" s="11"/>
      <c r="H494" s="11"/>
      <c r="I494" s="11"/>
      <c r="J494" s="1127"/>
      <c r="K494" s="11"/>
      <c r="L494" s="11"/>
    </row>
    <row r="495" ht="15.0" customHeight="1">
      <c r="A495" s="11"/>
      <c r="B495" s="11"/>
      <c r="C495" s="11"/>
      <c r="D495" s="1167"/>
      <c r="E495" s="11"/>
      <c r="F495" s="11"/>
      <c r="G495" s="11"/>
      <c r="H495" s="11"/>
      <c r="I495" s="11"/>
      <c r="J495" s="1127"/>
      <c r="K495" s="11"/>
      <c r="L495" s="11"/>
    </row>
    <row r="496" ht="15.0" customHeight="1">
      <c r="A496" s="11"/>
      <c r="B496" s="11"/>
      <c r="C496" s="11"/>
      <c r="D496" s="1167"/>
      <c r="E496" s="11"/>
      <c r="F496" s="11"/>
      <c r="G496" s="11"/>
      <c r="H496" s="11"/>
      <c r="I496" s="11"/>
      <c r="J496" s="1127"/>
      <c r="K496" s="11"/>
      <c r="L496" s="11"/>
    </row>
    <row r="497" ht="15.0" customHeight="1">
      <c r="A497" s="11"/>
      <c r="B497" s="11"/>
      <c r="C497" s="11"/>
      <c r="D497" s="1167"/>
      <c r="E497" s="11"/>
      <c r="F497" s="11"/>
      <c r="G497" s="11"/>
      <c r="H497" s="11"/>
      <c r="I497" s="11"/>
      <c r="J497" s="1127"/>
      <c r="K497" s="11"/>
      <c r="L497" s="11"/>
    </row>
    <row r="498" ht="13.5" customHeight="1">
      <c r="A498" s="11"/>
      <c r="B498" s="11"/>
      <c r="C498" s="11"/>
      <c r="D498" s="1167"/>
      <c r="E498" s="11"/>
      <c r="F498" s="11"/>
      <c r="G498" s="11"/>
      <c r="H498" s="11"/>
      <c r="I498" s="11"/>
      <c r="J498" s="1127"/>
      <c r="K498" s="11"/>
      <c r="L498" s="11"/>
    </row>
    <row r="499" ht="13.5" customHeight="1">
      <c r="A499" s="11"/>
      <c r="B499" s="11"/>
      <c r="C499" s="11"/>
      <c r="D499" s="1167"/>
      <c r="E499" s="11"/>
      <c r="F499" s="11"/>
      <c r="G499" s="11"/>
      <c r="H499" s="11"/>
      <c r="I499" s="11"/>
      <c r="J499" s="1127"/>
      <c r="K499" s="11"/>
      <c r="L499" s="11"/>
    </row>
    <row r="500" ht="13.5" customHeight="1">
      <c r="A500" s="11"/>
      <c r="B500" s="11"/>
      <c r="C500" s="11"/>
      <c r="D500" s="1167"/>
      <c r="E500" s="11"/>
      <c r="F500" s="11"/>
      <c r="G500" s="11"/>
      <c r="H500" s="11"/>
      <c r="I500" s="11"/>
      <c r="J500" s="1127"/>
      <c r="K500" s="11"/>
      <c r="L500" s="11"/>
    </row>
    <row r="501" ht="13.5" customHeight="1">
      <c r="A501" s="11"/>
      <c r="B501" s="11"/>
      <c r="C501" s="11"/>
      <c r="D501" s="1167"/>
      <c r="E501" s="11"/>
      <c r="F501" s="11"/>
      <c r="G501" s="11"/>
      <c r="H501" s="11"/>
      <c r="I501" s="11"/>
      <c r="J501" s="1127"/>
      <c r="K501" s="11"/>
      <c r="L501" s="11"/>
    </row>
    <row r="502" ht="15.75" customHeight="1">
      <c r="A502" s="11"/>
      <c r="B502" s="11"/>
      <c r="C502" s="11"/>
      <c r="D502" s="1167"/>
      <c r="E502" s="11"/>
      <c r="F502" s="11"/>
      <c r="G502" s="11"/>
      <c r="H502" s="11"/>
      <c r="I502" s="11"/>
      <c r="J502" s="1127"/>
      <c r="K502" s="11"/>
      <c r="L502" s="11"/>
    </row>
    <row r="503" ht="15.0" customHeight="1">
      <c r="A503" s="11"/>
      <c r="B503" s="11"/>
      <c r="C503" s="11"/>
      <c r="D503" s="1167"/>
      <c r="E503" s="11"/>
      <c r="F503" s="11"/>
      <c r="G503" s="11"/>
      <c r="H503" s="11"/>
      <c r="I503" s="11"/>
      <c r="J503" s="1127"/>
      <c r="K503" s="11"/>
      <c r="L503" s="11"/>
    </row>
    <row r="504" ht="13.5" customHeight="1">
      <c r="A504" s="11"/>
      <c r="B504" s="11"/>
      <c r="C504" s="11"/>
      <c r="D504" s="1167"/>
      <c r="E504" s="11"/>
      <c r="F504" s="11"/>
      <c r="G504" s="11"/>
      <c r="H504" s="11"/>
      <c r="I504" s="11"/>
      <c r="J504" s="1127"/>
      <c r="K504" s="11"/>
      <c r="L504" s="11"/>
    </row>
    <row r="505" ht="13.5" customHeight="1">
      <c r="A505" s="11"/>
      <c r="B505" s="11"/>
      <c r="C505" s="11"/>
      <c r="D505" s="1167"/>
      <c r="E505" s="11"/>
      <c r="F505" s="11"/>
      <c r="G505" s="11"/>
      <c r="H505" s="11"/>
      <c r="I505" s="11"/>
      <c r="J505" s="1127"/>
      <c r="K505" s="11"/>
      <c r="L505" s="11"/>
    </row>
    <row r="506" ht="13.5" customHeight="1">
      <c r="A506" s="11"/>
      <c r="B506" s="11"/>
      <c r="C506" s="11"/>
      <c r="D506" s="1167"/>
      <c r="E506" s="11"/>
      <c r="F506" s="11"/>
      <c r="G506" s="11"/>
      <c r="H506" s="11"/>
      <c r="I506" s="11"/>
      <c r="J506" s="1127"/>
      <c r="K506" s="11"/>
      <c r="L506" s="11"/>
    </row>
    <row r="507" ht="13.5" customHeight="1">
      <c r="A507" s="11"/>
      <c r="B507" s="11"/>
      <c r="C507" s="11"/>
      <c r="D507" s="1167"/>
      <c r="E507" s="11"/>
      <c r="F507" s="11"/>
      <c r="G507" s="11"/>
      <c r="H507" s="11"/>
      <c r="I507" s="11"/>
      <c r="J507" s="1127"/>
      <c r="K507" s="11"/>
      <c r="L507" s="11"/>
    </row>
    <row r="508" ht="13.5" customHeight="1">
      <c r="A508" s="11"/>
      <c r="B508" s="11"/>
      <c r="C508" s="11"/>
      <c r="D508" s="1167"/>
      <c r="E508" s="11"/>
      <c r="F508" s="11"/>
      <c r="G508" s="11"/>
      <c r="H508" s="11"/>
      <c r="I508" s="11"/>
      <c r="J508" s="1127"/>
      <c r="K508" s="11"/>
      <c r="L508" s="11"/>
    </row>
    <row r="509" ht="13.5" customHeight="1">
      <c r="A509" s="11"/>
      <c r="B509" s="11"/>
      <c r="C509" s="11"/>
      <c r="D509" s="1167"/>
      <c r="E509" s="11"/>
      <c r="F509" s="11"/>
      <c r="G509" s="11"/>
      <c r="H509" s="11"/>
      <c r="I509" s="11"/>
      <c r="J509" s="1127"/>
      <c r="K509" s="11"/>
      <c r="L509" s="11"/>
    </row>
    <row r="510" ht="13.5" customHeight="1">
      <c r="A510" s="11"/>
      <c r="B510" s="11"/>
      <c r="C510" s="11"/>
      <c r="D510" s="1167"/>
      <c r="E510" s="11"/>
      <c r="F510" s="11"/>
      <c r="G510" s="11"/>
      <c r="H510" s="11"/>
      <c r="I510" s="11"/>
      <c r="J510" s="1127"/>
      <c r="K510" s="11"/>
      <c r="L510" s="11"/>
    </row>
    <row r="511" ht="13.5" customHeight="1">
      <c r="A511" s="11"/>
      <c r="B511" s="11"/>
      <c r="C511" s="11"/>
      <c r="D511" s="1167"/>
      <c r="E511" s="11"/>
      <c r="F511" s="11"/>
      <c r="G511" s="11"/>
      <c r="H511" s="11"/>
      <c r="I511" s="11"/>
      <c r="J511" s="1127"/>
      <c r="K511" s="11"/>
      <c r="L511" s="11"/>
    </row>
    <row r="512" ht="13.5" customHeight="1">
      <c r="A512" s="11"/>
      <c r="B512" s="11"/>
      <c r="C512" s="11"/>
      <c r="D512" s="1167"/>
      <c r="E512" s="11"/>
      <c r="F512" s="11"/>
      <c r="G512" s="11"/>
      <c r="H512" s="11"/>
      <c r="I512" s="11"/>
      <c r="J512" s="1127"/>
      <c r="K512" s="11"/>
      <c r="L512" s="11"/>
    </row>
    <row r="513" ht="13.5" customHeight="1">
      <c r="A513" s="11"/>
      <c r="B513" s="11"/>
      <c r="C513" s="11"/>
      <c r="D513" s="1167"/>
      <c r="E513" s="11"/>
      <c r="F513" s="11"/>
      <c r="G513" s="11"/>
      <c r="H513" s="11"/>
      <c r="I513" s="11"/>
      <c r="J513" s="1127"/>
      <c r="K513" s="11"/>
      <c r="L513" s="11"/>
    </row>
    <row r="514" ht="13.5" customHeight="1">
      <c r="A514" s="11"/>
      <c r="B514" s="11"/>
      <c r="C514" s="11"/>
      <c r="D514" s="1167"/>
      <c r="E514" s="11"/>
      <c r="F514" s="11"/>
      <c r="G514" s="11"/>
      <c r="H514" s="11"/>
      <c r="I514" s="11"/>
      <c r="J514" s="1127"/>
      <c r="K514" s="11"/>
      <c r="L514" s="11"/>
    </row>
    <row r="515" ht="13.5" customHeight="1">
      <c r="A515" s="11"/>
      <c r="B515" s="11"/>
      <c r="C515" s="11"/>
      <c r="D515" s="1167"/>
      <c r="E515" s="11"/>
      <c r="F515" s="11"/>
      <c r="G515" s="11"/>
      <c r="H515" s="11"/>
      <c r="I515" s="11"/>
      <c r="J515" s="1127"/>
      <c r="K515" s="11"/>
      <c r="L515" s="11"/>
    </row>
    <row r="516" ht="13.5" customHeight="1">
      <c r="A516" s="11"/>
      <c r="B516" s="11"/>
      <c r="C516" s="11"/>
      <c r="D516" s="1167"/>
      <c r="E516" s="11"/>
      <c r="F516" s="11"/>
      <c r="G516" s="11"/>
      <c r="H516" s="11"/>
      <c r="I516" s="11"/>
      <c r="J516" s="1127"/>
      <c r="K516" s="11"/>
      <c r="L516" s="11"/>
    </row>
    <row r="517" ht="13.5" customHeight="1">
      <c r="A517" s="11"/>
      <c r="B517" s="11"/>
      <c r="C517" s="11"/>
      <c r="D517" s="1167"/>
      <c r="E517" s="11"/>
      <c r="F517" s="11"/>
      <c r="G517" s="11"/>
      <c r="H517" s="11"/>
      <c r="I517" s="11"/>
      <c r="J517" s="1127"/>
      <c r="K517" s="11"/>
      <c r="L517" s="11"/>
    </row>
    <row r="518" ht="13.5" customHeight="1">
      <c r="A518" s="11"/>
      <c r="B518" s="11"/>
      <c r="C518" s="11"/>
      <c r="D518" s="1167"/>
      <c r="E518" s="11"/>
      <c r="F518" s="11"/>
      <c r="G518" s="11"/>
      <c r="H518" s="11"/>
      <c r="I518" s="11"/>
      <c r="J518" s="1127"/>
      <c r="K518" s="11"/>
      <c r="L518" s="11"/>
    </row>
    <row r="519" ht="13.5" customHeight="1">
      <c r="A519" s="11"/>
      <c r="B519" s="11"/>
      <c r="C519" s="11"/>
      <c r="D519" s="1167"/>
      <c r="E519" s="11"/>
      <c r="F519" s="11"/>
      <c r="G519" s="11"/>
      <c r="H519" s="11"/>
      <c r="I519" s="11"/>
      <c r="J519" s="1127"/>
      <c r="K519" s="11"/>
      <c r="L519" s="11"/>
    </row>
    <row r="520" ht="13.5" customHeight="1">
      <c r="A520" s="11"/>
      <c r="B520" s="11"/>
      <c r="C520" s="11"/>
      <c r="D520" s="1167"/>
      <c r="E520" s="11"/>
      <c r="F520" s="11"/>
      <c r="G520" s="11"/>
      <c r="H520" s="11"/>
      <c r="I520" s="11"/>
      <c r="J520" s="1127"/>
      <c r="K520" s="11"/>
      <c r="L520" s="11"/>
    </row>
    <row r="521" ht="13.5" customHeight="1">
      <c r="A521" s="11"/>
      <c r="B521" s="11"/>
      <c r="C521" s="11"/>
      <c r="D521" s="1167"/>
      <c r="E521" s="11"/>
      <c r="F521" s="11"/>
      <c r="G521" s="11"/>
      <c r="H521" s="11"/>
      <c r="I521" s="11"/>
      <c r="J521" s="1127"/>
      <c r="K521" s="11"/>
      <c r="L521" s="11"/>
    </row>
    <row r="522" ht="13.5" customHeight="1">
      <c r="A522" s="11"/>
      <c r="B522" s="11"/>
      <c r="C522" s="11"/>
      <c r="D522" s="1167"/>
      <c r="E522" s="11"/>
      <c r="F522" s="11"/>
      <c r="G522" s="11"/>
      <c r="H522" s="11"/>
      <c r="I522" s="11"/>
      <c r="J522" s="1127"/>
      <c r="K522" s="11"/>
      <c r="L522" s="11"/>
    </row>
    <row r="523" ht="13.5" customHeight="1">
      <c r="A523" s="11"/>
      <c r="B523" s="11"/>
      <c r="C523" s="11"/>
      <c r="D523" s="1167"/>
      <c r="E523" s="11"/>
      <c r="F523" s="11"/>
      <c r="G523" s="11"/>
      <c r="H523" s="11"/>
      <c r="I523" s="11"/>
      <c r="J523" s="1127"/>
      <c r="K523" s="11"/>
      <c r="L523" s="11"/>
    </row>
    <row r="524" ht="13.5" customHeight="1">
      <c r="A524" s="11"/>
      <c r="B524" s="11"/>
      <c r="C524" s="11"/>
      <c r="D524" s="1167"/>
      <c r="E524" s="11"/>
      <c r="F524" s="11"/>
      <c r="G524" s="11"/>
      <c r="H524" s="11"/>
      <c r="I524" s="11"/>
      <c r="J524" s="1127"/>
      <c r="K524" s="11"/>
      <c r="L524" s="11"/>
    </row>
    <row r="525" ht="13.5" customHeight="1">
      <c r="A525" s="11"/>
      <c r="B525" s="11"/>
      <c r="C525" s="11"/>
      <c r="D525" s="1167"/>
      <c r="E525" s="11"/>
      <c r="F525" s="11"/>
      <c r="G525" s="11"/>
      <c r="H525" s="11"/>
      <c r="I525" s="11"/>
      <c r="J525" s="1127"/>
      <c r="K525" s="11"/>
      <c r="L525" s="11"/>
    </row>
    <row r="526" ht="13.5" customHeight="1">
      <c r="A526" s="11"/>
      <c r="B526" s="11"/>
      <c r="C526" s="11"/>
      <c r="D526" s="1167"/>
      <c r="E526" s="11"/>
      <c r="F526" s="11"/>
      <c r="G526" s="11"/>
      <c r="H526" s="11"/>
      <c r="I526" s="11"/>
      <c r="J526" s="1127"/>
      <c r="K526" s="11"/>
      <c r="L526" s="11"/>
    </row>
    <row r="527" ht="13.5" customHeight="1">
      <c r="A527" s="11"/>
      <c r="B527" s="11"/>
      <c r="C527" s="11"/>
      <c r="D527" s="1167"/>
      <c r="E527" s="11"/>
      <c r="F527" s="11"/>
      <c r="G527" s="11"/>
      <c r="H527" s="11"/>
      <c r="I527" s="11"/>
      <c r="J527" s="1127"/>
      <c r="K527" s="11"/>
      <c r="L527" s="11"/>
    </row>
    <row r="528" ht="13.5" customHeight="1">
      <c r="A528" s="11"/>
      <c r="B528" s="11"/>
      <c r="C528" s="11"/>
      <c r="D528" s="1167"/>
      <c r="E528" s="11"/>
      <c r="F528" s="11"/>
      <c r="G528" s="11"/>
      <c r="H528" s="11"/>
      <c r="I528" s="11"/>
      <c r="J528" s="1127"/>
      <c r="K528" s="11"/>
      <c r="L528" s="11"/>
    </row>
    <row r="529" ht="13.5" customHeight="1">
      <c r="A529" s="11"/>
      <c r="B529" s="11"/>
      <c r="C529" s="11"/>
      <c r="D529" s="1167"/>
      <c r="E529" s="11"/>
      <c r="F529" s="11"/>
      <c r="G529" s="11"/>
      <c r="H529" s="11"/>
      <c r="I529" s="11"/>
      <c r="J529" s="1127"/>
      <c r="K529" s="11"/>
      <c r="L529" s="11"/>
    </row>
    <row r="530" ht="13.5" customHeight="1">
      <c r="A530" s="11"/>
      <c r="B530" s="11"/>
      <c r="C530" s="11"/>
      <c r="D530" s="1167"/>
      <c r="E530" s="11"/>
      <c r="F530" s="11"/>
      <c r="G530" s="11"/>
      <c r="H530" s="11"/>
      <c r="I530" s="11"/>
      <c r="J530" s="1127"/>
      <c r="K530" s="11"/>
      <c r="L530" s="11"/>
    </row>
    <row r="531" ht="13.5" customHeight="1">
      <c r="A531" s="11"/>
      <c r="B531" s="11"/>
      <c r="C531" s="11"/>
      <c r="D531" s="1167"/>
      <c r="E531" s="11"/>
      <c r="F531" s="11"/>
      <c r="G531" s="11"/>
      <c r="H531" s="11"/>
      <c r="I531" s="11"/>
      <c r="J531" s="1127"/>
      <c r="K531" s="11"/>
      <c r="L531" s="11"/>
    </row>
    <row r="532" ht="13.5" customHeight="1">
      <c r="A532" s="11"/>
      <c r="B532" s="11"/>
      <c r="C532" s="11"/>
      <c r="D532" s="1167"/>
      <c r="E532" s="11"/>
      <c r="F532" s="11"/>
      <c r="G532" s="11"/>
      <c r="H532" s="11"/>
      <c r="I532" s="11"/>
      <c r="J532" s="1127"/>
      <c r="K532" s="11"/>
      <c r="L532" s="11"/>
    </row>
    <row r="533" ht="15.0" customHeight="1">
      <c r="A533" s="11"/>
      <c r="B533" s="11"/>
      <c r="C533" s="11"/>
      <c r="D533" s="1167"/>
      <c r="E533" s="11"/>
      <c r="F533" s="11"/>
      <c r="G533" s="11"/>
      <c r="H533" s="11"/>
      <c r="I533" s="11"/>
      <c r="J533" s="1127"/>
      <c r="K533" s="11"/>
      <c r="L533" s="11"/>
    </row>
    <row r="534" ht="13.5" customHeight="1">
      <c r="A534" s="11"/>
      <c r="B534" s="11"/>
      <c r="C534" s="11"/>
      <c r="D534" s="1167"/>
      <c r="E534" s="11"/>
      <c r="F534" s="11"/>
      <c r="G534" s="11"/>
      <c r="H534" s="11"/>
      <c r="I534" s="11"/>
      <c r="J534" s="1127"/>
      <c r="K534" s="11"/>
      <c r="L534" s="11"/>
    </row>
    <row r="535" ht="13.5" customHeight="1">
      <c r="A535" s="11"/>
      <c r="B535" s="11"/>
      <c r="C535" s="11"/>
      <c r="D535" s="1167"/>
      <c r="E535" s="11"/>
      <c r="F535" s="11"/>
      <c r="G535" s="11"/>
      <c r="H535" s="11"/>
      <c r="I535" s="11"/>
      <c r="J535" s="1127"/>
      <c r="K535" s="11"/>
      <c r="L535" s="11"/>
    </row>
    <row r="536" ht="13.5" customHeight="1">
      <c r="A536" s="11"/>
      <c r="B536" s="11"/>
      <c r="C536" s="11"/>
      <c r="D536" s="1167"/>
      <c r="E536" s="11"/>
      <c r="F536" s="11"/>
      <c r="G536" s="11"/>
      <c r="H536" s="11"/>
      <c r="I536" s="11"/>
      <c r="J536" s="1127"/>
      <c r="K536" s="11"/>
      <c r="L536" s="11"/>
    </row>
    <row r="537" ht="13.5" customHeight="1">
      <c r="A537" s="11"/>
      <c r="B537" s="11"/>
      <c r="C537" s="11"/>
      <c r="D537" s="1167"/>
      <c r="E537" s="11"/>
      <c r="F537" s="11"/>
      <c r="G537" s="11"/>
      <c r="H537" s="11"/>
      <c r="I537" s="11"/>
      <c r="J537" s="1127"/>
      <c r="K537" s="11"/>
      <c r="L537" s="11"/>
    </row>
    <row r="538" ht="13.5" customHeight="1">
      <c r="A538" s="11"/>
      <c r="B538" s="11"/>
      <c r="C538" s="11"/>
      <c r="D538" s="1167"/>
      <c r="E538" s="11"/>
      <c r="F538" s="11"/>
      <c r="G538" s="11"/>
      <c r="H538" s="11"/>
      <c r="I538" s="11"/>
      <c r="J538" s="1127"/>
      <c r="K538" s="11"/>
      <c r="L538" s="11"/>
    </row>
    <row r="539" ht="13.5" customHeight="1">
      <c r="A539" s="11"/>
      <c r="B539" s="11"/>
      <c r="C539" s="11"/>
      <c r="D539" s="1167"/>
      <c r="E539" s="11"/>
      <c r="F539" s="11"/>
      <c r="G539" s="11"/>
      <c r="H539" s="11"/>
      <c r="I539" s="11"/>
      <c r="J539" s="1127"/>
      <c r="K539" s="11"/>
      <c r="L539" s="11"/>
    </row>
    <row r="540" ht="13.5" customHeight="1">
      <c r="A540" s="11"/>
      <c r="B540" s="11"/>
      <c r="C540" s="11"/>
      <c r="D540" s="1167"/>
      <c r="E540" s="11"/>
      <c r="F540" s="11"/>
      <c r="G540" s="11"/>
      <c r="H540" s="11"/>
      <c r="I540" s="11"/>
      <c r="J540" s="1127"/>
      <c r="K540" s="11"/>
      <c r="L540" s="11"/>
    </row>
    <row r="541" ht="13.5" customHeight="1">
      <c r="A541" s="11"/>
      <c r="B541" s="11"/>
      <c r="C541" s="11"/>
      <c r="D541" s="1167"/>
      <c r="E541" s="11"/>
      <c r="F541" s="11"/>
      <c r="G541" s="11"/>
      <c r="H541" s="11"/>
      <c r="I541" s="11"/>
      <c r="J541" s="1127"/>
      <c r="K541" s="11"/>
      <c r="L541" s="11"/>
    </row>
    <row r="542" ht="13.5" customHeight="1">
      <c r="A542" s="11"/>
      <c r="B542" s="11"/>
      <c r="C542" s="11"/>
      <c r="D542" s="1167"/>
      <c r="E542" s="11"/>
      <c r="F542" s="11"/>
      <c r="G542" s="11"/>
      <c r="H542" s="11"/>
      <c r="I542" s="11"/>
      <c r="J542" s="1127"/>
      <c r="K542" s="11"/>
      <c r="L542" s="11"/>
    </row>
    <row r="543" ht="13.5" customHeight="1">
      <c r="A543" s="11"/>
      <c r="B543" s="11"/>
      <c r="C543" s="11"/>
      <c r="D543" s="1167"/>
      <c r="E543" s="11"/>
      <c r="F543" s="11"/>
      <c r="G543" s="11"/>
      <c r="H543" s="11"/>
      <c r="I543" s="11"/>
      <c r="J543" s="1127"/>
      <c r="K543" s="11"/>
      <c r="L543" s="11"/>
    </row>
    <row r="544" ht="13.5" customHeight="1">
      <c r="A544" s="11"/>
      <c r="B544" s="11"/>
      <c r="C544" s="11"/>
      <c r="D544" s="1167"/>
      <c r="E544" s="11"/>
      <c r="F544" s="11"/>
      <c r="G544" s="11"/>
      <c r="H544" s="11"/>
      <c r="I544" s="11"/>
      <c r="J544" s="1127"/>
      <c r="K544" s="11"/>
      <c r="L544" s="11"/>
    </row>
    <row r="545" ht="13.5" customHeight="1">
      <c r="A545" s="11"/>
      <c r="B545" s="11"/>
      <c r="C545" s="11"/>
      <c r="D545" s="1167"/>
      <c r="E545" s="11"/>
      <c r="F545" s="11"/>
      <c r="G545" s="11"/>
      <c r="H545" s="11"/>
      <c r="I545" s="11"/>
      <c r="J545" s="1127"/>
      <c r="K545" s="11"/>
      <c r="L545" s="11"/>
    </row>
    <row r="546" ht="13.5" customHeight="1">
      <c r="A546" s="11"/>
      <c r="B546" s="11"/>
      <c r="C546" s="11"/>
      <c r="D546" s="1167"/>
      <c r="E546" s="11"/>
      <c r="F546" s="11"/>
      <c r="G546" s="11"/>
      <c r="H546" s="11"/>
      <c r="I546" s="11"/>
      <c r="J546" s="1127"/>
      <c r="K546" s="11"/>
      <c r="L546" s="11"/>
    </row>
    <row r="547" ht="13.5" customHeight="1">
      <c r="A547" s="11"/>
      <c r="B547" s="11"/>
      <c r="C547" s="11"/>
      <c r="D547" s="1167"/>
      <c r="E547" s="11"/>
      <c r="F547" s="11"/>
      <c r="G547" s="11"/>
      <c r="H547" s="11"/>
      <c r="I547" s="11"/>
      <c r="J547" s="1127"/>
      <c r="K547" s="11"/>
      <c r="L547" s="11"/>
    </row>
    <row r="548" ht="13.5" customHeight="1">
      <c r="A548" s="11"/>
      <c r="B548" s="11"/>
      <c r="C548" s="11"/>
      <c r="D548" s="1167"/>
      <c r="E548" s="11"/>
      <c r="F548" s="11"/>
      <c r="G548" s="11"/>
      <c r="H548" s="11"/>
      <c r="I548" s="11"/>
      <c r="J548" s="1127"/>
      <c r="K548" s="11"/>
      <c r="L548" s="11"/>
    </row>
    <row r="549" ht="13.5" customHeight="1">
      <c r="A549" s="11"/>
      <c r="B549" s="11"/>
      <c r="C549" s="11"/>
      <c r="D549" s="1167"/>
      <c r="E549" s="11"/>
      <c r="F549" s="11"/>
      <c r="G549" s="11"/>
      <c r="H549" s="11"/>
      <c r="I549" s="11"/>
      <c r="J549" s="1127"/>
      <c r="K549" s="11"/>
      <c r="L549" s="11"/>
    </row>
    <row r="550" ht="13.5" customHeight="1">
      <c r="A550" s="11"/>
      <c r="B550" s="11"/>
      <c r="C550" s="11"/>
      <c r="D550" s="1167"/>
      <c r="E550" s="11"/>
      <c r="F550" s="11"/>
      <c r="G550" s="11"/>
      <c r="H550" s="11"/>
      <c r="I550" s="11"/>
      <c r="J550" s="1127"/>
      <c r="K550" s="11"/>
      <c r="L550" s="11"/>
    </row>
    <row r="551" ht="13.5" customHeight="1">
      <c r="A551" s="11"/>
      <c r="B551" s="11"/>
      <c r="C551" s="11"/>
      <c r="D551" s="1167"/>
      <c r="E551" s="11"/>
      <c r="F551" s="11"/>
      <c r="G551" s="11"/>
      <c r="H551" s="11"/>
      <c r="I551" s="11"/>
      <c r="J551" s="1127"/>
      <c r="K551" s="11"/>
      <c r="L551" s="11"/>
    </row>
    <row r="552" ht="13.5" customHeight="1">
      <c r="A552" s="11"/>
      <c r="B552" s="11"/>
      <c r="C552" s="11"/>
      <c r="D552" s="1167"/>
      <c r="E552" s="11"/>
      <c r="F552" s="11"/>
      <c r="G552" s="11"/>
      <c r="H552" s="11"/>
      <c r="I552" s="11"/>
      <c r="J552" s="1127"/>
      <c r="K552" s="11"/>
      <c r="L552" s="11"/>
    </row>
    <row r="553" ht="13.5" customHeight="1">
      <c r="A553" s="11"/>
      <c r="B553" s="11"/>
      <c r="C553" s="11"/>
      <c r="D553" s="1167"/>
      <c r="E553" s="11"/>
      <c r="F553" s="11"/>
      <c r="G553" s="11"/>
      <c r="H553" s="11"/>
      <c r="I553" s="11"/>
      <c r="J553" s="1127"/>
      <c r="K553" s="11"/>
      <c r="L553" s="11"/>
    </row>
    <row r="554" ht="13.5" customHeight="1">
      <c r="A554" s="11"/>
      <c r="B554" s="11"/>
      <c r="C554" s="11"/>
      <c r="D554" s="1167"/>
      <c r="E554" s="11"/>
      <c r="F554" s="11"/>
      <c r="G554" s="11"/>
      <c r="H554" s="11"/>
      <c r="I554" s="11"/>
      <c r="J554" s="1127"/>
      <c r="K554" s="11"/>
      <c r="L554" s="11"/>
    </row>
    <row r="555" ht="13.5" customHeight="1">
      <c r="A555" s="11"/>
      <c r="B555" s="11"/>
      <c r="C555" s="11"/>
      <c r="D555" s="1167"/>
      <c r="E555" s="11"/>
      <c r="F555" s="11"/>
      <c r="G555" s="11"/>
      <c r="H555" s="11"/>
      <c r="I555" s="11"/>
      <c r="J555" s="1127"/>
      <c r="K555" s="11"/>
      <c r="L555" s="11"/>
    </row>
    <row r="556" ht="13.5" customHeight="1">
      <c r="A556" s="11"/>
      <c r="B556" s="11"/>
      <c r="C556" s="11"/>
      <c r="D556" s="1167"/>
      <c r="E556" s="11"/>
      <c r="F556" s="11"/>
      <c r="G556" s="11"/>
      <c r="H556" s="11"/>
      <c r="I556" s="11"/>
      <c r="J556" s="1127"/>
      <c r="K556" s="11"/>
      <c r="L556" s="11"/>
    </row>
    <row r="557" ht="13.5" customHeight="1">
      <c r="A557" s="11"/>
      <c r="B557" s="11"/>
      <c r="C557" s="11"/>
      <c r="D557" s="1167"/>
      <c r="E557" s="11"/>
      <c r="F557" s="11"/>
      <c r="G557" s="11"/>
      <c r="H557" s="11"/>
      <c r="I557" s="11"/>
      <c r="J557" s="1127"/>
      <c r="K557" s="11"/>
      <c r="L557" s="11"/>
    </row>
    <row r="558" ht="13.5" customHeight="1">
      <c r="A558" s="11"/>
      <c r="B558" s="11"/>
      <c r="C558" s="11"/>
      <c r="D558" s="1167"/>
      <c r="E558" s="11"/>
      <c r="F558" s="11"/>
      <c r="G558" s="11"/>
      <c r="H558" s="11"/>
      <c r="I558" s="11"/>
      <c r="J558" s="1127"/>
      <c r="K558" s="11"/>
      <c r="L558" s="11"/>
    </row>
    <row r="559" ht="13.5" customHeight="1">
      <c r="A559" s="11"/>
      <c r="B559" s="11"/>
      <c r="C559" s="11"/>
      <c r="D559" s="1167"/>
      <c r="E559" s="11"/>
      <c r="F559" s="11"/>
      <c r="G559" s="11"/>
      <c r="H559" s="11"/>
      <c r="I559" s="11"/>
      <c r="J559" s="1127"/>
      <c r="K559" s="11"/>
      <c r="L559" s="11"/>
    </row>
    <row r="560" ht="13.5" customHeight="1">
      <c r="A560" s="11"/>
      <c r="B560" s="11"/>
      <c r="C560" s="11"/>
      <c r="D560" s="1167"/>
      <c r="E560" s="11"/>
      <c r="F560" s="11"/>
      <c r="G560" s="11"/>
      <c r="H560" s="11"/>
      <c r="I560" s="11"/>
      <c r="J560" s="1127"/>
      <c r="K560" s="11"/>
      <c r="L560" s="11"/>
    </row>
    <row r="561" ht="13.5" customHeight="1">
      <c r="A561" s="11"/>
      <c r="B561" s="11"/>
      <c r="C561" s="11"/>
      <c r="D561" s="1167"/>
      <c r="E561" s="11"/>
      <c r="F561" s="11"/>
      <c r="G561" s="11"/>
      <c r="H561" s="11"/>
      <c r="I561" s="11"/>
      <c r="J561" s="1127"/>
      <c r="K561" s="11"/>
      <c r="L561" s="11"/>
    </row>
    <row r="562" ht="13.5" customHeight="1">
      <c r="A562" s="11"/>
      <c r="B562" s="11"/>
      <c r="C562" s="11"/>
      <c r="D562" s="1167"/>
      <c r="E562" s="11"/>
      <c r="F562" s="11"/>
      <c r="G562" s="11"/>
      <c r="H562" s="11"/>
      <c r="I562" s="11"/>
      <c r="J562" s="1127"/>
      <c r="K562" s="11"/>
      <c r="L562" s="11"/>
    </row>
    <row r="563" ht="13.5" customHeight="1">
      <c r="A563" s="11"/>
      <c r="B563" s="11"/>
      <c r="C563" s="11"/>
      <c r="D563" s="1167"/>
      <c r="E563" s="11"/>
      <c r="F563" s="11"/>
      <c r="G563" s="11"/>
      <c r="H563" s="11"/>
      <c r="I563" s="11"/>
      <c r="J563" s="1127"/>
      <c r="K563" s="11"/>
      <c r="L563" s="11"/>
    </row>
    <row r="564" ht="13.5" customHeight="1">
      <c r="A564" s="11"/>
      <c r="B564" s="11"/>
      <c r="C564" s="11"/>
      <c r="D564" s="1167"/>
      <c r="E564" s="11"/>
      <c r="F564" s="11"/>
      <c r="G564" s="11"/>
      <c r="H564" s="11"/>
      <c r="I564" s="11"/>
      <c r="J564" s="1127"/>
      <c r="K564" s="11"/>
      <c r="L564" s="11"/>
    </row>
    <row r="565" ht="13.5" customHeight="1">
      <c r="A565" s="11"/>
      <c r="B565" s="11"/>
      <c r="C565" s="11"/>
      <c r="D565" s="1167"/>
      <c r="E565" s="11"/>
      <c r="F565" s="11"/>
      <c r="G565" s="11"/>
      <c r="H565" s="11"/>
      <c r="I565" s="11"/>
      <c r="J565" s="1127"/>
      <c r="K565" s="11"/>
      <c r="L565" s="11"/>
    </row>
    <row r="566" ht="19.5" customHeight="1">
      <c r="A566" s="11"/>
      <c r="B566" s="11"/>
      <c r="C566" s="11"/>
      <c r="D566" s="1167"/>
      <c r="E566" s="11"/>
      <c r="F566" s="11"/>
      <c r="G566" s="11"/>
      <c r="H566" s="11"/>
      <c r="I566" s="11"/>
      <c r="J566" s="1127"/>
      <c r="K566" s="11"/>
      <c r="L566" s="11"/>
    </row>
    <row r="567" ht="15.0" customHeight="1">
      <c r="A567" s="11"/>
      <c r="B567" s="11"/>
      <c r="C567" s="11"/>
      <c r="D567" s="1167"/>
      <c r="E567" s="11"/>
      <c r="F567" s="11"/>
      <c r="G567" s="11"/>
      <c r="H567" s="11"/>
      <c r="I567" s="11"/>
      <c r="J567" s="1127"/>
      <c r="K567" s="11"/>
      <c r="L567" s="11"/>
    </row>
    <row r="568" ht="15.0" customHeight="1">
      <c r="A568" s="11"/>
      <c r="B568" s="11"/>
      <c r="C568" s="11"/>
      <c r="D568" s="1167"/>
      <c r="E568" s="11"/>
      <c r="F568" s="11"/>
      <c r="G568" s="11"/>
      <c r="H568" s="11"/>
      <c r="I568" s="11"/>
      <c r="J568" s="1127"/>
      <c r="K568" s="11"/>
      <c r="L568" s="11"/>
    </row>
    <row r="569" ht="13.5" customHeight="1">
      <c r="A569" s="11"/>
      <c r="B569" s="11"/>
      <c r="C569" s="11"/>
      <c r="D569" s="1167"/>
      <c r="E569" s="11"/>
      <c r="F569" s="11"/>
      <c r="G569" s="11"/>
      <c r="H569" s="11"/>
      <c r="I569" s="11"/>
      <c r="J569" s="1127"/>
      <c r="K569" s="11"/>
      <c r="L569" s="11"/>
    </row>
    <row r="570" ht="13.5" customHeight="1">
      <c r="A570" s="11"/>
      <c r="B570" s="11"/>
      <c r="C570" s="11"/>
      <c r="D570" s="1167"/>
      <c r="E570" s="11"/>
      <c r="F570" s="11"/>
      <c r="G570" s="11"/>
      <c r="H570" s="11"/>
      <c r="I570" s="11"/>
      <c r="J570" s="1127"/>
      <c r="K570" s="11"/>
      <c r="L570" s="11"/>
    </row>
    <row r="571" ht="15.75" customHeight="1">
      <c r="A571" s="11"/>
      <c r="B571" s="11"/>
      <c r="C571" s="11"/>
      <c r="D571" s="1167"/>
      <c r="E571" s="11"/>
      <c r="F571" s="11"/>
      <c r="G571" s="11"/>
      <c r="H571" s="11"/>
      <c r="I571" s="11"/>
      <c r="J571" s="1127"/>
      <c r="K571" s="11"/>
      <c r="L571" s="11"/>
    </row>
    <row r="572" ht="15.0" customHeight="1">
      <c r="A572" s="11"/>
      <c r="B572" s="11"/>
      <c r="C572" s="11"/>
      <c r="D572" s="1167"/>
      <c r="E572" s="11"/>
      <c r="F572" s="11"/>
      <c r="G572" s="11"/>
      <c r="H572" s="11"/>
      <c r="I572" s="11"/>
      <c r="J572" s="1127"/>
      <c r="K572" s="11"/>
      <c r="L572" s="11"/>
    </row>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
    <mergeCell ref="F176:F184"/>
    <mergeCell ref="F185:F186"/>
    <mergeCell ref="B190:E190"/>
    <mergeCell ref="F193:F199"/>
    <mergeCell ref="F200:F206"/>
    <mergeCell ref="F207:F210"/>
    <mergeCell ref="F211:F218"/>
    <mergeCell ref="F219:F224"/>
    <mergeCell ref="F225:F229"/>
    <mergeCell ref="B240:E240"/>
    <mergeCell ref="B255:E255"/>
    <mergeCell ref="F256:F262"/>
    <mergeCell ref="B263:E264"/>
    <mergeCell ref="B269:E269"/>
    <mergeCell ref="B1:E1"/>
    <mergeCell ref="F4:F11"/>
    <mergeCell ref="F12:F13"/>
    <mergeCell ref="F14:F15"/>
    <mergeCell ref="F16:F19"/>
    <mergeCell ref="B25:E25"/>
    <mergeCell ref="F27:F30"/>
    <mergeCell ref="F31:F40"/>
    <mergeCell ref="F42:F44"/>
    <mergeCell ref="B56:E56"/>
    <mergeCell ref="F58:F59"/>
    <mergeCell ref="F60:F64"/>
    <mergeCell ref="B65:D68"/>
    <mergeCell ref="B73:E73"/>
    <mergeCell ref="L99:L108"/>
    <mergeCell ref="L109:L113"/>
    <mergeCell ref="L137:L142"/>
    <mergeCell ref="F76:F79"/>
    <mergeCell ref="F80:F86"/>
    <mergeCell ref="B88:D91"/>
    <mergeCell ref="B96:E96"/>
    <mergeCell ref="H96:K96"/>
    <mergeCell ref="F99:F107"/>
    <mergeCell ref="F108:F112"/>
    <mergeCell ref="B117:E117"/>
    <mergeCell ref="H117:K117"/>
    <mergeCell ref="F120:F125"/>
    <mergeCell ref="L120:L125"/>
    <mergeCell ref="F126:F132"/>
    <mergeCell ref="L126:L132"/>
    <mergeCell ref="L133:L136"/>
    <mergeCell ref="F133:F136"/>
    <mergeCell ref="B141:E141"/>
    <mergeCell ref="F144:F153"/>
    <mergeCell ref="F154:F158"/>
    <mergeCell ref="B164:E164"/>
    <mergeCell ref="F166:F173"/>
    <mergeCell ref="B174:E174"/>
    <mergeCell ref="B343:E343"/>
    <mergeCell ref="F345:F346"/>
    <mergeCell ref="F348:F360"/>
    <mergeCell ref="B367:E367"/>
    <mergeCell ref="F273:F284"/>
    <mergeCell ref="B292:E292"/>
    <mergeCell ref="B307:E307"/>
    <mergeCell ref="F308:F320"/>
    <mergeCell ref="B327:E327"/>
    <mergeCell ref="G327:J327"/>
    <mergeCell ref="C338:E338"/>
  </mergeCells>
  <hyperlinks>
    <hyperlink display="BACK" location="'Recipe Index'!BN55" ref="B21"/>
    <hyperlink display="HOME" location="'Recipe Index'!B5" ref="C21"/>
    <hyperlink display="BACK" location="'Recipe Index'!BN55" ref="B46"/>
    <hyperlink display="HOME" location="'Recipe Index'!B5" ref="C46"/>
    <hyperlink display="BACK" location="'Recipe Index'!BN55" ref="B69"/>
    <hyperlink display="HOME" location="'Recipe Index'!B5" ref="C69"/>
    <hyperlink display="BACK" location="'Recipe Index'!BN55" ref="B87"/>
    <hyperlink display="HOME" location="'Recipe Index'!B5" ref="C87"/>
    <hyperlink display="BACK" location="'Recipe Index'!BN55" ref="B113"/>
    <hyperlink display="HOME" location="'Recipe Index'!B5" ref="C113"/>
    <hyperlink display="BACK" location="'Recipe Index'!BN55" ref="B137"/>
    <hyperlink display="HOME" location="'Recipe Index'!B5" ref="C137"/>
    <hyperlink display="BACK" location="'Recipe Index'!BN55" ref="B159"/>
    <hyperlink display="HOME" location="'Recipe Index'!A2" ref="C159"/>
    <hyperlink display="BACK" location="'Recipe Index'!BN55" ref="B188"/>
    <hyperlink display="HOME" location="'Recipe Index'!A2" ref="C188"/>
    <hyperlink display="BACK" location="'Recipe Index'!BN55" ref="B238"/>
    <hyperlink display="HOME" location="'Recipe Index'!A2" ref="C238"/>
    <hyperlink display="BACK" location="'Recipe Index'!BN55" ref="B253"/>
    <hyperlink display="HOME" location="'Recipe Index'!A2" ref="C253"/>
    <hyperlink display="BACK" location="'Recipe Index'!BN55" ref="B265"/>
    <hyperlink display="HOME" location="'Recipe Index'!A2" ref="C265"/>
    <hyperlink display="BACK" location="'Recipe Index'!BN55" ref="B290"/>
    <hyperlink display="HOME" location="'Recipe Index'!A2" ref="C290"/>
    <hyperlink display="BACK" location="'Recipe Index'!BN55" ref="B303"/>
    <hyperlink display="HOME" location="'Recipe Index'!A2" ref="C303"/>
    <hyperlink display="BACK" location="'Recipe Index'!BN55" ref="B323"/>
    <hyperlink display="BACK" location="'Recipe Index'!BN55" ref="B339"/>
    <hyperlink display="HOME" location="'Recipe Index'!A2" ref="C339"/>
    <hyperlink display="BACK" location="'Recipe Index'!BN55" ref="G339"/>
    <hyperlink display="HOME" location="'Recipe Index'!A2" ref="H339"/>
    <hyperlink display="BACK" location="'Recipe Index'!BN55" ref="B362"/>
    <hyperlink display="HOME" location="'Recipe Index'!A2" ref="C362"/>
  </hyperlinks>
  <printOptions/>
  <pageMargins bottom="0.75" footer="0.0" header="0.0" left="0.41" right="0.7" top="0.16"/>
  <pageSetup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9.25"/>
    <col customWidth="1" min="2" max="2" width="28.25"/>
    <col customWidth="1" hidden="1" min="3" max="3" width="10.25"/>
    <col customWidth="1" min="4" max="4" width="10.25"/>
    <col customWidth="1" min="5" max="5" width="5.75"/>
    <col customWidth="1" min="6" max="6" width="21.75"/>
    <col customWidth="1" min="7" max="7" width="12.25"/>
    <col customWidth="1" min="8" max="8" width="23.25"/>
    <col customWidth="1" min="9" max="9" width="11.38"/>
    <col customWidth="1" min="10" max="35" width="9.25"/>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326" t="s">
        <v>1493</v>
      </c>
      <c r="C5" s="18"/>
      <c r="D5" s="18"/>
      <c r="E5" s="19"/>
      <c r="F5" s="1"/>
      <c r="G5" s="1"/>
      <c r="H5" s="1"/>
      <c r="I5" s="1"/>
      <c r="J5" s="1"/>
      <c r="K5" s="1"/>
      <c r="L5" s="1"/>
      <c r="M5" s="1"/>
      <c r="N5" s="1"/>
      <c r="O5" s="1"/>
      <c r="P5" s="1"/>
      <c r="Q5" s="1"/>
      <c r="R5" s="1"/>
      <c r="S5" s="1"/>
      <c r="T5" s="1"/>
      <c r="U5" s="1"/>
      <c r="V5" s="1"/>
      <c r="W5" s="1"/>
      <c r="X5" s="1"/>
      <c r="Y5" s="1"/>
      <c r="Z5" s="1"/>
    </row>
    <row r="6" ht="14.25" customHeight="1">
      <c r="A6" s="1"/>
      <c r="B6" s="68" t="s">
        <v>1497</v>
      </c>
      <c r="C6" s="210">
        <v>10.0</v>
      </c>
      <c r="D6" s="210">
        <v>28.0</v>
      </c>
      <c r="E6" s="216" t="s">
        <v>14</v>
      </c>
      <c r="F6" s="1"/>
      <c r="G6" s="1"/>
      <c r="H6" s="1"/>
      <c r="I6" s="1"/>
      <c r="J6" s="1"/>
      <c r="K6" s="1"/>
      <c r="L6" s="1"/>
      <c r="M6" s="1"/>
      <c r="N6" s="1"/>
      <c r="O6" s="1"/>
      <c r="P6" s="1"/>
      <c r="Q6" s="1"/>
      <c r="R6" s="1"/>
      <c r="S6" s="1"/>
      <c r="T6" s="1"/>
      <c r="U6" s="1"/>
      <c r="V6" s="1"/>
      <c r="W6" s="1"/>
      <c r="X6" s="1"/>
      <c r="Y6" s="1"/>
      <c r="Z6" s="1"/>
    </row>
    <row r="7" ht="14.25" customHeight="1">
      <c r="A7" s="1"/>
      <c r="B7" s="119" t="s">
        <v>743</v>
      </c>
      <c r="C7" s="523">
        <v>0.825</v>
      </c>
      <c r="D7" s="523">
        <f>(C7*D6)/C6</f>
        <v>2.31</v>
      </c>
      <c r="E7" s="520" t="s">
        <v>14</v>
      </c>
      <c r="F7" s="1"/>
      <c r="G7" s="1"/>
      <c r="H7" s="1"/>
      <c r="I7" s="1"/>
      <c r="J7" s="1"/>
      <c r="K7" s="1"/>
      <c r="L7" s="1"/>
      <c r="M7" s="1"/>
      <c r="N7" s="1"/>
      <c r="O7" s="1"/>
      <c r="P7" s="1"/>
      <c r="Q7" s="1"/>
      <c r="R7" s="1"/>
      <c r="S7" s="1"/>
      <c r="T7" s="1"/>
      <c r="U7" s="1"/>
      <c r="V7" s="1"/>
      <c r="W7" s="1"/>
      <c r="X7" s="1"/>
      <c r="Y7" s="1"/>
      <c r="Z7" s="1"/>
    </row>
    <row r="8" ht="14.25" customHeight="1">
      <c r="A8" s="1"/>
      <c r="B8" s="959" t="s">
        <v>563</v>
      </c>
      <c r="C8" s="960">
        <v>50.0</v>
      </c>
      <c r="D8" s="960">
        <f>(C8*D6)/C6</f>
        <v>140</v>
      </c>
      <c r="E8" s="962" t="s">
        <v>18</v>
      </c>
      <c r="F8" s="924" t="s">
        <v>1502</v>
      </c>
      <c r="G8" s="1"/>
      <c r="H8" s="1"/>
      <c r="I8" s="1"/>
      <c r="J8" s="1"/>
      <c r="K8" s="1"/>
      <c r="L8" s="1"/>
      <c r="M8" s="1"/>
      <c r="N8" s="1"/>
      <c r="O8" s="1"/>
      <c r="P8" s="1"/>
      <c r="Q8" s="1"/>
      <c r="R8" s="1"/>
      <c r="S8" s="1"/>
      <c r="T8" s="1"/>
      <c r="U8" s="1"/>
      <c r="V8" s="1"/>
      <c r="W8" s="1"/>
      <c r="X8" s="1"/>
      <c r="Y8" s="1"/>
      <c r="Z8" s="1"/>
    </row>
    <row r="9" ht="14.25" customHeight="1">
      <c r="A9" s="1"/>
      <c r="B9" s="1333" t="s">
        <v>563</v>
      </c>
      <c r="C9" s="1334">
        <v>40.0</v>
      </c>
      <c r="D9" s="1334">
        <f t="shared" ref="D9:D14" si="1">(C9*D8)/C8</f>
        <v>112</v>
      </c>
      <c r="E9" s="1338" t="s">
        <v>18</v>
      </c>
      <c r="F9" s="924" t="s">
        <v>1506</v>
      </c>
      <c r="G9" s="1"/>
      <c r="H9" s="1"/>
      <c r="I9" s="1"/>
      <c r="J9" s="1"/>
      <c r="K9" s="1"/>
      <c r="L9" s="1"/>
      <c r="M9" s="1"/>
      <c r="N9" s="1"/>
      <c r="O9" s="1"/>
      <c r="P9" s="1"/>
      <c r="Q9" s="1"/>
      <c r="R9" s="1"/>
      <c r="S9" s="1"/>
      <c r="T9" s="1"/>
      <c r="U9" s="1"/>
      <c r="V9" s="1"/>
      <c r="W9" s="1"/>
      <c r="X9" s="1"/>
      <c r="Y9" s="1"/>
      <c r="Z9" s="1"/>
    </row>
    <row r="10" ht="14.25" customHeight="1">
      <c r="A10" s="1"/>
      <c r="B10" s="93" t="s">
        <v>13</v>
      </c>
      <c r="C10" s="247">
        <v>2.0</v>
      </c>
      <c r="D10" s="247">
        <f t="shared" si="1"/>
        <v>5.6</v>
      </c>
      <c r="E10" s="249" t="s">
        <v>14</v>
      </c>
      <c r="F10" s="1"/>
      <c r="G10" s="1"/>
      <c r="H10" s="1"/>
      <c r="I10" s="1"/>
      <c r="J10" s="1"/>
      <c r="K10" s="1"/>
      <c r="L10" s="1"/>
      <c r="M10" s="1"/>
      <c r="N10" s="1"/>
      <c r="O10" s="1"/>
      <c r="P10" s="1"/>
      <c r="Q10" s="1"/>
      <c r="R10" s="1"/>
      <c r="S10" s="1"/>
      <c r="T10" s="1"/>
      <c r="U10" s="1"/>
      <c r="V10" s="1"/>
      <c r="W10" s="1"/>
      <c r="X10" s="1"/>
      <c r="Y10" s="1"/>
      <c r="Z10" s="1"/>
    </row>
    <row r="11" ht="14.25" customHeight="1">
      <c r="A11" s="1"/>
      <c r="B11" s="959" t="s">
        <v>92</v>
      </c>
      <c r="C11" s="960">
        <v>100.0</v>
      </c>
      <c r="D11" s="960">
        <f t="shared" si="1"/>
        <v>280</v>
      </c>
      <c r="E11" s="962" t="s">
        <v>82</v>
      </c>
      <c r="F11" s="1"/>
      <c r="G11" s="1"/>
      <c r="H11" s="1"/>
      <c r="I11" s="1"/>
      <c r="J11" s="1"/>
      <c r="K11" s="1"/>
      <c r="L11" s="1"/>
      <c r="M11" s="1"/>
      <c r="N11" s="1"/>
      <c r="O11" s="1"/>
      <c r="P11" s="1"/>
      <c r="Q11" s="1"/>
      <c r="R11" s="1"/>
      <c r="S11" s="1"/>
      <c r="T11" s="1"/>
      <c r="U11" s="1"/>
      <c r="V11" s="1"/>
      <c r="W11" s="1"/>
      <c r="X11" s="1"/>
      <c r="Y11" s="1"/>
      <c r="Z11" s="1"/>
    </row>
    <row r="12" ht="14.25" customHeight="1">
      <c r="A12" s="1"/>
      <c r="B12" s="1343" t="s">
        <v>1510</v>
      </c>
      <c r="C12" s="1344">
        <v>60.0</v>
      </c>
      <c r="D12" s="1344">
        <f t="shared" si="1"/>
        <v>168</v>
      </c>
      <c r="E12" s="1346" t="s">
        <v>18</v>
      </c>
      <c r="F12" s="924" t="s">
        <v>1501</v>
      </c>
      <c r="G12" s="1"/>
      <c r="H12" s="1"/>
      <c r="I12" s="1"/>
      <c r="J12" s="1"/>
      <c r="K12" s="1"/>
      <c r="L12" s="1"/>
      <c r="M12" s="1"/>
      <c r="N12" s="1"/>
      <c r="O12" s="1"/>
      <c r="P12" s="1"/>
      <c r="Q12" s="1"/>
      <c r="R12" s="1"/>
      <c r="S12" s="1"/>
      <c r="T12" s="1"/>
      <c r="U12" s="1"/>
      <c r="V12" s="1"/>
      <c r="W12" s="1"/>
      <c r="X12" s="1"/>
      <c r="Y12" s="1"/>
      <c r="Z12" s="1"/>
    </row>
    <row r="13" ht="14.25" customHeight="1">
      <c r="A13" s="1"/>
      <c r="B13" s="149" t="s">
        <v>1515</v>
      </c>
      <c r="C13" s="272">
        <v>8.0</v>
      </c>
      <c r="D13" s="272">
        <f t="shared" si="1"/>
        <v>22.4</v>
      </c>
      <c r="E13" s="288" t="s">
        <v>5</v>
      </c>
      <c r="F13" s="1"/>
      <c r="G13" s="1"/>
      <c r="H13" s="1"/>
      <c r="I13" s="1"/>
      <c r="J13" s="1"/>
      <c r="K13" s="1"/>
      <c r="L13" s="1"/>
      <c r="M13" s="1"/>
      <c r="N13" s="1"/>
      <c r="O13" s="1"/>
      <c r="P13" s="1"/>
      <c r="Q13" s="1"/>
      <c r="R13" s="1"/>
      <c r="S13" s="1"/>
      <c r="T13" s="1"/>
      <c r="U13" s="1"/>
      <c r="V13" s="1"/>
      <c r="W13" s="1"/>
      <c r="X13" s="1"/>
      <c r="Y13" s="1"/>
      <c r="Z13" s="1"/>
    </row>
    <row r="14" ht="14.25" customHeight="1">
      <c r="A14" s="1"/>
      <c r="B14" s="105" t="s">
        <v>1516</v>
      </c>
      <c r="C14" s="522">
        <v>13.0</v>
      </c>
      <c r="D14" s="522">
        <f t="shared" si="1"/>
        <v>36.4</v>
      </c>
      <c r="E14" s="518" t="s">
        <v>14</v>
      </c>
      <c r="F14" s="1"/>
      <c r="G14" s="1"/>
      <c r="H14" s="1"/>
      <c r="I14" s="1"/>
      <c r="J14" s="1"/>
      <c r="K14" s="1"/>
      <c r="L14" s="1"/>
      <c r="M14" s="1"/>
      <c r="N14" s="1"/>
      <c r="O14" s="1"/>
      <c r="P14" s="1"/>
      <c r="Q14" s="1"/>
      <c r="R14" s="1"/>
      <c r="S14" s="1"/>
      <c r="T14" s="1"/>
      <c r="U14" s="1"/>
      <c r="V14" s="1"/>
      <c r="W14" s="1"/>
      <c r="X14" s="1"/>
      <c r="Y14" s="1"/>
      <c r="Z14" s="1"/>
    </row>
    <row r="15" ht="14.25" customHeight="1">
      <c r="A15" s="1"/>
      <c r="B15" s="1349" t="s">
        <v>50</v>
      </c>
      <c r="C15" s="972">
        <v>40822.0</v>
      </c>
      <c r="D15" s="1350" t="s">
        <v>42</v>
      </c>
      <c r="E15" s="1"/>
      <c r="F15" s="1"/>
      <c r="G15" s="1"/>
      <c r="H15" s="1"/>
      <c r="I15" s="1"/>
      <c r="J15" s="1"/>
      <c r="K15" s="1"/>
      <c r="L15" s="1"/>
      <c r="M15" s="1"/>
      <c r="N15" s="1"/>
      <c r="O15" s="1"/>
      <c r="P15" s="1"/>
      <c r="Q15" s="1"/>
      <c r="R15" s="1"/>
      <c r="S15" s="1"/>
      <c r="T15" s="1"/>
      <c r="U15" s="1"/>
      <c r="V15" s="1"/>
      <c r="W15" s="1"/>
      <c r="X15" s="1"/>
      <c r="Y15" s="1"/>
      <c r="Z15" s="1"/>
    </row>
    <row r="16" ht="14.25" customHeight="1">
      <c r="A16" s="1"/>
      <c r="B16" s="1349" t="s">
        <v>50</v>
      </c>
      <c r="C16" s="972">
        <v>42046.0</v>
      </c>
      <c r="D16" s="763"/>
      <c r="E16" s="1"/>
      <c r="F16" s="1"/>
      <c r="G16" s="1"/>
      <c r="H16" s="1"/>
      <c r="I16" s="1"/>
      <c r="J16" s="1"/>
      <c r="K16" s="1"/>
      <c r="L16" s="1"/>
      <c r="M16" s="1"/>
      <c r="N16" s="1"/>
      <c r="O16" s="1"/>
      <c r="P16" s="1"/>
      <c r="Q16" s="1"/>
      <c r="R16" s="1"/>
      <c r="S16" s="1"/>
      <c r="T16" s="1"/>
      <c r="U16" s="1"/>
      <c r="V16" s="1"/>
      <c r="W16" s="1"/>
      <c r="X16" s="1"/>
      <c r="Y16" s="1"/>
      <c r="Z16" s="1"/>
    </row>
    <row r="17" ht="14.25" customHeight="1">
      <c r="A17" s="1"/>
      <c r="B17" s="681" t="s">
        <v>1518</v>
      </c>
      <c r="C17" s="6"/>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02"/>
      <c r="C18" s="106"/>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326" t="s">
        <v>1520</v>
      </c>
      <c r="C20" s="18"/>
      <c r="D20" s="18"/>
      <c r="E20" s="19"/>
      <c r="F20" s="1"/>
      <c r="G20" s="1"/>
      <c r="H20" s="1"/>
      <c r="I20" s="1"/>
      <c r="J20" s="1"/>
      <c r="K20" s="1"/>
      <c r="L20" s="1"/>
      <c r="M20" s="1"/>
      <c r="N20" s="1"/>
      <c r="O20" s="1"/>
      <c r="P20" s="1"/>
      <c r="Q20" s="1"/>
      <c r="R20" s="1"/>
      <c r="S20" s="1"/>
      <c r="T20" s="1"/>
      <c r="U20" s="1"/>
      <c r="V20" s="1"/>
      <c r="W20" s="1"/>
      <c r="X20" s="1"/>
      <c r="Y20" s="1"/>
      <c r="Z20" s="1"/>
    </row>
    <row r="21" ht="14.25" customHeight="1">
      <c r="A21" s="1"/>
      <c r="B21" s="51" t="s">
        <v>1521</v>
      </c>
      <c r="C21" s="53">
        <v>2.0</v>
      </c>
      <c r="D21" s="53">
        <v>60.0</v>
      </c>
      <c r="E21" s="514" t="s">
        <v>5</v>
      </c>
      <c r="F21" s="1"/>
      <c r="G21" s="1"/>
      <c r="H21" s="1"/>
      <c r="I21" s="1"/>
      <c r="J21" s="1"/>
      <c r="K21" s="1"/>
      <c r="L21" s="1"/>
      <c r="M21" s="1"/>
      <c r="N21" s="1"/>
      <c r="O21" s="1"/>
      <c r="P21" s="1"/>
      <c r="Q21" s="1"/>
      <c r="R21" s="1"/>
      <c r="S21" s="1"/>
      <c r="T21" s="1"/>
      <c r="U21" s="1"/>
      <c r="V21" s="1"/>
      <c r="W21" s="1"/>
      <c r="X21" s="1"/>
      <c r="Y21" s="1"/>
      <c r="Z21" s="1"/>
    </row>
    <row r="22" ht="26.25" customHeight="1">
      <c r="A22" s="1"/>
      <c r="B22" s="51" t="s">
        <v>1387</v>
      </c>
      <c r="C22" s="53">
        <v>2.75</v>
      </c>
      <c r="D22" s="53">
        <f t="shared" ref="D22:D24" si="2">(C22*D21)/C21</f>
        <v>82.5</v>
      </c>
      <c r="E22" s="514" t="s">
        <v>14</v>
      </c>
      <c r="F22" s="1"/>
      <c r="G22" s="1"/>
      <c r="H22" s="1"/>
      <c r="I22" s="1"/>
      <c r="J22" s="1"/>
      <c r="K22" s="1"/>
      <c r="L22" s="1"/>
      <c r="M22" s="1"/>
      <c r="N22" s="1"/>
      <c r="O22" s="1"/>
      <c r="P22" s="1"/>
      <c r="Q22" s="1"/>
      <c r="R22" s="1"/>
      <c r="S22" s="1"/>
      <c r="T22" s="1"/>
      <c r="U22" s="1"/>
      <c r="V22" s="1"/>
      <c r="W22" s="1"/>
      <c r="X22" s="1"/>
      <c r="Y22" s="1"/>
      <c r="Z22" s="1"/>
    </row>
    <row r="23" ht="14.25" customHeight="1">
      <c r="A23" s="1"/>
      <c r="B23" s="68" t="s">
        <v>1523</v>
      </c>
      <c r="C23" s="210">
        <v>1.0</v>
      </c>
      <c r="D23" s="210">
        <f t="shared" si="2"/>
        <v>30</v>
      </c>
      <c r="E23" s="216" t="s">
        <v>14</v>
      </c>
      <c r="F23" s="44" t="s">
        <v>1524</v>
      </c>
      <c r="G23" s="1"/>
      <c r="H23" s="1"/>
      <c r="I23" s="1"/>
      <c r="J23" s="1"/>
      <c r="K23" s="1"/>
      <c r="L23" s="1"/>
      <c r="M23" s="1"/>
      <c r="N23" s="1"/>
      <c r="O23" s="1"/>
      <c r="P23" s="1"/>
      <c r="Q23" s="1"/>
      <c r="R23" s="1"/>
      <c r="S23" s="1"/>
      <c r="T23" s="1"/>
      <c r="U23" s="1"/>
      <c r="V23" s="1"/>
      <c r="W23" s="1"/>
      <c r="X23" s="1"/>
      <c r="Y23" s="1"/>
      <c r="Z23" s="1"/>
    </row>
    <row r="24" ht="14.25" customHeight="1">
      <c r="A24" s="1"/>
      <c r="B24" s="93" t="s">
        <v>13</v>
      </c>
      <c r="C24" s="247">
        <v>2.0</v>
      </c>
      <c r="D24" s="247">
        <f t="shared" si="2"/>
        <v>60</v>
      </c>
      <c r="E24" s="249" t="s">
        <v>14</v>
      </c>
      <c r="F24" s="47"/>
      <c r="G24" s="1"/>
      <c r="H24" s="1"/>
      <c r="I24" s="1"/>
      <c r="J24" s="1"/>
      <c r="K24" s="1"/>
      <c r="L24" s="1"/>
      <c r="M24" s="1"/>
      <c r="N24" s="1"/>
      <c r="O24" s="1"/>
      <c r="P24" s="1"/>
      <c r="Q24" s="1"/>
      <c r="R24" s="1"/>
      <c r="S24" s="1"/>
      <c r="T24" s="1"/>
      <c r="U24" s="1"/>
      <c r="V24" s="1"/>
      <c r="W24" s="1"/>
      <c r="X24" s="1"/>
      <c r="Y24" s="1"/>
      <c r="Z24" s="1"/>
    </row>
    <row r="25" ht="14.25" customHeight="1">
      <c r="A25" s="1"/>
      <c r="B25" s="93" t="s">
        <v>31</v>
      </c>
      <c r="C25" s="247">
        <v>10.0</v>
      </c>
      <c r="D25" s="247">
        <f>(C25*D29)/C29</f>
        <v>300</v>
      </c>
      <c r="E25" s="249" t="s">
        <v>18</v>
      </c>
      <c r="F25" s="47"/>
      <c r="G25" s="1"/>
      <c r="H25" s="1"/>
      <c r="I25" s="1"/>
      <c r="J25" s="1"/>
      <c r="K25" s="1"/>
      <c r="L25" s="1"/>
      <c r="M25" s="1"/>
      <c r="N25" s="1"/>
      <c r="O25" s="1"/>
      <c r="P25" s="1"/>
      <c r="Q25" s="1"/>
      <c r="R25" s="1"/>
      <c r="S25" s="1"/>
      <c r="T25" s="1"/>
      <c r="U25" s="1"/>
      <c r="V25" s="1"/>
      <c r="W25" s="1"/>
      <c r="X25" s="1"/>
      <c r="Y25" s="1"/>
      <c r="Z25" s="1"/>
    </row>
    <row r="26" ht="55.5" customHeight="1">
      <c r="A26" s="1"/>
      <c r="B26" s="93" t="s">
        <v>234</v>
      </c>
      <c r="C26" s="247">
        <v>15.0</v>
      </c>
      <c r="D26" s="247">
        <f>(C26*D24)/C24</f>
        <v>450</v>
      </c>
      <c r="E26" s="249" t="s">
        <v>18</v>
      </c>
      <c r="F26" s="47"/>
      <c r="G26" s="1"/>
      <c r="H26" s="1"/>
      <c r="I26" s="1"/>
      <c r="J26" s="1"/>
      <c r="K26" s="1"/>
      <c r="L26" s="1"/>
      <c r="M26" s="1"/>
      <c r="N26" s="1"/>
      <c r="O26" s="1"/>
      <c r="P26" s="1"/>
      <c r="Q26" s="1"/>
      <c r="R26" s="1"/>
      <c r="S26" s="1"/>
      <c r="T26" s="1"/>
      <c r="U26" s="1"/>
      <c r="V26" s="1"/>
      <c r="W26" s="1"/>
      <c r="X26" s="1"/>
      <c r="Y26" s="1"/>
      <c r="Z26" s="1"/>
    </row>
    <row r="27" ht="14.25" customHeight="1">
      <c r="A27" s="1"/>
      <c r="B27" s="93" t="s">
        <v>112</v>
      </c>
      <c r="C27" s="247">
        <v>4.0</v>
      </c>
      <c r="D27" s="247">
        <f t="shared" ref="D27:D29" si="3">(C27*D26)/C26</f>
        <v>120</v>
      </c>
      <c r="E27" s="249" t="s">
        <v>18</v>
      </c>
      <c r="F27" s="47"/>
      <c r="G27" s="1"/>
      <c r="H27" s="1"/>
      <c r="I27" s="1"/>
      <c r="J27" s="1"/>
      <c r="K27" s="1"/>
      <c r="L27" s="1"/>
      <c r="M27" s="1"/>
      <c r="N27" s="1"/>
      <c r="O27" s="1"/>
      <c r="P27" s="1"/>
      <c r="Q27" s="1"/>
      <c r="R27" s="1"/>
      <c r="S27" s="1"/>
      <c r="T27" s="1"/>
      <c r="U27" s="1"/>
      <c r="V27" s="1"/>
      <c r="W27" s="1"/>
      <c r="X27" s="1"/>
      <c r="Y27" s="1"/>
      <c r="Z27" s="1"/>
    </row>
    <row r="28" ht="14.25" customHeight="1">
      <c r="A28" s="1"/>
      <c r="B28" s="105" t="s">
        <v>208</v>
      </c>
      <c r="C28" s="522">
        <v>4.0</v>
      </c>
      <c r="D28" s="522">
        <f t="shared" si="3"/>
        <v>120</v>
      </c>
      <c r="E28" s="518" t="s">
        <v>18</v>
      </c>
      <c r="F28" s="76"/>
      <c r="G28" s="1"/>
      <c r="H28" s="1"/>
      <c r="I28" s="1"/>
      <c r="J28" s="1"/>
      <c r="K28" s="1"/>
      <c r="L28" s="1"/>
      <c r="M28" s="1"/>
      <c r="N28" s="1"/>
      <c r="O28" s="1"/>
      <c r="P28" s="1"/>
      <c r="Q28" s="1"/>
      <c r="R28" s="1"/>
      <c r="S28" s="1"/>
      <c r="T28" s="1"/>
      <c r="U28" s="1"/>
      <c r="V28" s="1"/>
      <c r="W28" s="1"/>
      <c r="X28" s="1"/>
      <c r="Y28" s="1"/>
      <c r="Z28" s="1"/>
    </row>
    <row r="29" ht="14.25" customHeight="1">
      <c r="A29" s="1"/>
      <c r="B29" s="149" t="s">
        <v>17</v>
      </c>
      <c r="C29" s="272">
        <v>4.0</v>
      </c>
      <c r="D29" s="272">
        <f t="shared" si="3"/>
        <v>120</v>
      </c>
      <c r="E29" s="288" t="s">
        <v>18</v>
      </c>
      <c r="F29" s="44" t="s">
        <v>204</v>
      </c>
      <c r="G29" s="1"/>
      <c r="H29" s="1"/>
      <c r="I29" s="1"/>
      <c r="J29" s="1"/>
      <c r="K29" s="1"/>
      <c r="L29" s="1"/>
      <c r="M29" s="1"/>
      <c r="N29" s="1"/>
      <c r="O29" s="1"/>
      <c r="P29" s="1"/>
      <c r="Q29" s="1"/>
      <c r="R29" s="1"/>
      <c r="S29" s="1"/>
      <c r="T29" s="1"/>
      <c r="U29" s="1"/>
      <c r="V29" s="1"/>
      <c r="W29" s="1"/>
      <c r="X29" s="1"/>
      <c r="Y29" s="1"/>
      <c r="Z29" s="1"/>
    </row>
    <row r="30" ht="14.25" customHeight="1">
      <c r="A30" s="1"/>
      <c r="B30" s="1350" t="s">
        <v>42</v>
      </c>
      <c r="C30" s="220" t="s">
        <v>47</v>
      </c>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354" t="s">
        <v>1534</v>
      </c>
      <c r="C31" s="18"/>
      <c r="D31" s="18"/>
      <c r="E31" s="19"/>
      <c r="F31" s="1"/>
      <c r="G31" s="1"/>
      <c r="H31" s="1"/>
      <c r="I31" s="1"/>
      <c r="J31" s="1"/>
      <c r="K31" s="1"/>
      <c r="L31" s="1"/>
      <c r="M31" s="1"/>
      <c r="N31" s="1"/>
      <c r="O31" s="1"/>
      <c r="P31" s="1"/>
      <c r="Q31" s="1"/>
      <c r="R31" s="1"/>
      <c r="S31" s="1"/>
      <c r="T31" s="1"/>
      <c r="U31" s="1"/>
      <c r="V31" s="1"/>
      <c r="W31" s="1"/>
      <c r="X31" s="1"/>
      <c r="Y31" s="1"/>
      <c r="Z31" s="1"/>
    </row>
    <row r="32" ht="14.25" customHeight="1">
      <c r="A32" s="1"/>
      <c r="B32" s="1355" t="s">
        <v>1536</v>
      </c>
      <c r="C32" s="18"/>
      <c r="D32" s="18"/>
      <c r="E32" s="19"/>
      <c r="F32" s="1"/>
      <c r="G32" s="1"/>
      <c r="H32" s="1"/>
      <c r="I32" s="1"/>
      <c r="J32" s="1"/>
      <c r="K32" s="1"/>
      <c r="L32" s="1"/>
      <c r="M32" s="1"/>
      <c r="N32" s="1"/>
      <c r="O32" s="1"/>
      <c r="P32" s="1"/>
      <c r="Q32" s="1"/>
      <c r="R32" s="1"/>
      <c r="S32" s="1"/>
      <c r="T32" s="1"/>
      <c r="U32" s="1"/>
      <c r="V32" s="1"/>
      <c r="W32" s="1"/>
      <c r="X32" s="1"/>
      <c r="Y32" s="1"/>
      <c r="Z32" s="1"/>
    </row>
    <row r="33" ht="14.25" customHeight="1">
      <c r="A33" s="1"/>
      <c r="B33" s="203" t="s">
        <v>49</v>
      </c>
      <c r="C33" s="205">
        <v>41021.0</v>
      </c>
      <c r="D33" s="1"/>
      <c r="E33" s="7"/>
      <c r="F33" s="1"/>
      <c r="G33" s="1"/>
      <c r="H33" s="1"/>
      <c r="I33" s="1"/>
      <c r="J33" s="1"/>
      <c r="K33" s="1"/>
      <c r="L33" s="1"/>
      <c r="M33" s="1"/>
      <c r="N33" s="1"/>
      <c r="O33" s="1"/>
      <c r="P33" s="1"/>
      <c r="Q33" s="1"/>
      <c r="R33" s="1"/>
      <c r="S33" s="1"/>
      <c r="T33" s="1"/>
      <c r="U33" s="1"/>
      <c r="V33" s="1"/>
      <c r="W33" s="1"/>
      <c r="X33" s="1"/>
      <c r="Y33" s="1"/>
      <c r="Z33" s="1"/>
    </row>
    <row r="34" ht="14.25" customHeight="1">
      <c r="A34" s="1"/>
      <c r="B34" s="342" t="s">
        <v>50</v>
      </c>
      <c r="C34" s="205">
        <v>41039.0</v>
      </c>
      <c r="D34" s="1"/>
      <c r="E34" s="7"/>
      <c r="F34" s="7"/>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326" t="s">
        <v>1537</v>
      </c>
      <c r="C36" s="18"/>
      <c r="D36" s="18"/>
      <c r="E36" s="19"/>
      <c r="F36" s="1"/>
      <c r="G36" s="1"/>
      <c r="H36" s="1"/>
      <c r="I36" s="1"/>
      <c r="J36" s="1"/>
      <c r="K36" s="1"/>
      <c r="L36" s="1"/>
      <c r="M36" s="1"/>
      <c r="N36" s="1"/>
      <c r="O36" s="1"/>
      <c r="P36" s="1"/>
      <c r="Q36" s="1"/>
      <c r="R36" s="1"/>
      <c r="S36" s="1"/>
      <c r="T36" s="1"/>
      <c r="U36" s="1"/>
      <c r="V36" s="1"/>
      <c r="W36" s="1"/>
      <c r="X36" s="1"/>
      <c r="Y36" s="1"/>
      <c r="Z36" s="1"/>
    </row>
    <row r="37" ht="14.25" customHeight="1">
      <c r="A37" s="1"/>
      <c r="B37" s="1356" t="s">
        <v>1</v>
      </c>
      <c r="C37" s="1357">
        <v>8.0</v>
      </c>
      <c r="D37" s="1357">
        <v>4.3</v>
      </c>
      <c r="E37" s="1358" t="s">
        <v>5</v>
      </c>
      <c r="F37" s="638"/>
      <c r="G37" s="1"/>
      <c r="H37" s="1"/>
      <c r="I37" s="1"/>
      <c r="J37" s="1"/>
      <c r="K37" s="1"/>
      <c r="L37" s="1"/>
      <c r="M37" s="1"/>
      <c r="N37" s="1"/>
      <c r="O37" s="1"/>
      <c r="P37" s="1"/>
      <c r="Q37" s="1"/>
      <c r="R37" s="1"/>
      <c r="S37" s="1"/>
      <c r="T37" s="1"/>
      <c r="U37" s="1"/>
      <c r="V37" s="1"/>
      <c r="W37" s="1"/>
      <c r="X37" s="1"/>
      <c r="Y37" s="1"/>
      <c r="Z37" s="1"/>
    </row>
    <row r="38" ht="14.25" customHeight="1">
      <c r="A38" s="1"/>
      <c r="B38" s="1359" t="s">
        <v>1539</v>
      </c>
      <c r="C38" s="545">
        <v>5.0</v>
      </c>
      <c r="D38" s="545">
        <f t="shared" ref="D38:D45" si="4">(C38*D37)/C37</f>
        <v>2.6875</v>
      </c>
      <c r="E38" s="547" t="s">
        <v>14</v>
      </c>
      <c r="F38" s="47"/>
      <c r="G38" s="1"/>
      <c r="H38" s="1"/>
      <c r="I38" s="1"/>
      <c r="J38" s="1"/>
      <c r="K38" s="1"/>
      <c r="L38" s="1"/>
      <c r="M38" s="1"/>
      <c r="N38" s="1"/>
      <c r="O38" s="1"/>
      <c r="P38" s="1"/>
      <c r="Q38" s="1"/>
      <c r="R38" s="1"/>
      <c r="S38" s="1"/>
      <c r="T38" s="1"/>
      <c r="U38" s="1"/>
      <c r="V38" s="1"/>
      <c r="W38" s="1"/>
      <c r="X38" s="1"/>
      <c r="Y38" s="1"/>
      <c r="Z38" s="1"/>
    </row>
    <row r="39" ht="14.25" customHeight="1">
      <c r="A39" s="1"/>
      <c r="B39" s="119" t="s">
        <v>91</v>
      </c>
      <c r="C39" s="523">
        <v>1.2</v>
      </c>
      <c r="D39" s="523">
        <f t="shared" si="4"/>
        <v>0.645</v>
      </c>
      <c r="E39" s="520" t="s">
        <v>5</v>
      </c>
      <c r="F39" s="47"/>
      <c r="G39" s="1"/>
      <c r="H39" s="1"/>
      <c r="I39" s="1"/>
      <c r="J39" s="1"/>
      <c r="K39" s="1"/>
      <c r="L39" s="1"/>
      <c r="M39" s="1"/>
      <c r="N39" s="1"/>
      <c r="O39" s="1"/>
      <c r="P39" s="1"/>
      <c r="Q39" s="1"/>
      <c r="R39" s="1"/>
      <c r="S39" s="1"/>
      <c r="T39" s="1"/>
      <c r="U39" s="1"/>
      <c r="V39" s="1"/>
      <c r="W39" s="1"/>
      <c r="X39" s="1"/>
      <c r="Y39" s="1"/>
      <c r="Z39" s="1"/>
    </row>
    <row r="40" ht="14.25" customHeight="1">
      <c r="A40" s="1"/>
      <c r="B40" s="93" t="s">
        <v>1544</v>
      </c>
      <c r="C40" s="247">
        <v>500.0</v>
      </c>
      <c r="D40" s="247">
        <f t="shared" si="4"/>
        <v>268.75</v>
      </c>
      <c r="E40" s="249" t="s">
        <v>18</v>
      </c>
      <c r="F40" s="47"/>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ht="14.25" customHeight="1">
      <c r="A41" s="1"/>
      <c r="B41" s="93" t="s">
        <v>52</v>
      </c>
      <c r="C41" s="247">
        <v>100.0</v>
      </c>
      <c r="D41" s="247">
        <f t="shared" si="4"/>
        <v>53.75</v>
      </c>
      <c r="E41" s="249" t="s">
        <v>18</v>
      </c>
      <c r="F41" s="47"/>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ht="18.0" customHeight="1">
      <c r="A42" s="1"/>
      <c r="B42" s="93" t="s">
        <v>554</v>
      </c>
      <c r="C42" s="247">
        <v>500.0</v>
      </c>
      <c r="D42" s="247">
        <f t="shared" si="4"/>
        <v>268.75</v>
      </c>
      <c r="E42" s="249" t="s">
        <v>18</v>
      </c>
      <c r="F42" s="47"/>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ht="14.25" customHeight="1">
      <c r="A43" s="1"/>
      <c r="B43" s="93" t="s">
        <v>1173</v>
      </c>
      <c r="C43" s="247">
        <v>60.0</v>
      </c>
      <c r="D43" s="247">
        <f t="shared" si="4"/>
        <v>32.25</v>
      </c>
      <c r="E43" s="249" t="s">
        <v>18</v>
      </c>
      <c r="F43" s="47"/>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ht="14.25" customHeight="1">
      <c r="A44" s="1"/>
      <c r="B44" s="93" t="s">
        <v>103</v>
      </c>
      <c r="C44" s="247">
        <v>80.0</v>
      </c>
      <c r="D44" s="247">
        <f t="shared" si="4"/>
        <v>43</v>
      </c>
      <c r="E44" s="249" t="s">
        <v>18</v>
      </c>
      <c r="F44" s="47"/>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row r="45" ht="14.25" customHeight="1">
      <c r="A45" s="1"/>
      <c r="B45" s="105" t="s">
        <v>31</v>
      </c>
      <c r="C45" s="522">
        <v>1100.0</v>
      </c>
      <c r="D45" s="522">
        <f t="shared" si="4"/>
        <v>591.25</v>
      </c>
      <c r="E45" s="518" t="s">
        <v>18</v>
      </c>
      <c r="F45" s="76"/>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row>
    <row r="46" ht="14.25" customHeight="1">
      <c r="A46" s="1"/>
      <c r="B46" s="215" t="s">
        <v>42</v>
      </c>
      <c r="C46" s="818" t="s">
        <v>47</v>
      </c>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row>
    <row r="48" ht="14.25" customHeight="1">
      <c r="A48" s="1"/>
      <c r="B48" s="1326" t="s">
        <v>1561</v>
      </c>
      <c r="C48" s="18"/>
      <c r="D48" s="18"/>
      <c r="E48" s="19"/>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ht="15.0" customHeight="1">
      <c r="A49" s="1"/>
      <c r="B49" s="119" t="s">
        <v>1</v>
      </c>
      <c r="C49" s="523">
        <v>10.0</v>
      </c>
      <c r="D49" s="523">
        <v>6.0</v>
      </c>
      <c r="E49" s="520" t="s">
        <v>5</v>
      </c>
      <c r="F49" s="610" t="s">
        <v>1564</v>
      </c>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ht="14.25" customHeight="1">
      <c r="A50" s="1"/>
      <c r="B50" s="93" t="s">
        <v>91</v>
      </c>
      <c r="C50" s="247">
        <v>4.0</v>
      </c>
      <c r="D50" s="247">
        <f t="shared" ref="D50:D57" si="5">D49/C49*C50</f>
        <v>2.4</v>
      </c>
      <c r="E50" s="249" t="s">
        <v>5</v>
      </c>
      <c r="F50" s="47"/>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ht="14.25" customHeight="1">
      <c r="A51" s="1"/>
      <c r="B51" s="93" t="s">
        <v>1565</v>
      </c>
      <c r="C51" s="247">
        <v>10.0</v>
      </c>
      <c r="D51" s="247">
        <f t="shared" si="5"/>
        <v>6</v>
      </c>
      <c r="E51" s="249" t="s">
        <v>14</v>
      </c>
      <c r="F51" s="47"/>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ht="18.0" customHeight="1">
      <c r="A52" s="1"/>
      <c r="B52" s="93" t="s">
        <v>1566</v>
      </c>
      <c r="C52" s="247">
        <v>1.8</v>
      </c>
      <c r="D52" s="247">
        <f t="shared" si="5"/>
        <v>1.08</v>
      </c>
      <c r="E52" s="249" t="s">
        <v>5</v>
      </c>
      <c r="F52" s="47"/>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ht="16.5" customHeight="1">
      <c r="A53" s="1"/>
      <c r="B53" s="93" t="s">
        <v>1567</v>
      </c>
      <c r="C53" s="247">
        <v>350.0</v>
      </c>
      <c r="D53" s="247">
        <f t="shared" si="5"/>
        <v>210</v>
      </c>
      <c r="E53" s="249" t="s">
        <v>82</v>
      </c>
      <c r="F53" s="47"/>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ht="14.25" customHeight="1">
      <c r="A54" s="1"/>
      <c r="B54" s="93" t="s">
        <v>1568</v>
      </c>
      <c r="C54" s="247">
        <v>650.0</v>
      </c>
      <c r="D54" s="247">
        <f t="shared" si="5"/>
        <v>390</v>
      </c>
      <c r="E54" s="249" t="s">
        <v>82</v>
      </c>
      <c r="F54" s="47"/>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ht="14.25" customHeight="1">
      <c r="A55" s="1"/>
      <c r="B55" s="93" t="s">
        <v>1569</v>
      </c>
      <c r="C55" s="247">
        <v>24.0</v>
      </c>
      <c r="D55" s="247">
        <f t="shared" si="5"/>
        <v>14.4</v>
      </c>
      <c r="E55" s="249" t="s">
        <v>18</v>
      </c>
      <c r="F55" s="47"/>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v>36.0</v>
      </c>
    </row>
    <row r="56" ht="14.25" customHeight="1">
      <c r="A56" s="1"/>
      <c r="B56" s="93" t="s">
        <v>98</v>
      </c>
      <c r="C56" s="247">
        <v>120.0</v>
      </c>
      <c r="D56" s="247">
        <f t="shared" si="5"/>
        <v>72</v>
      </c>
      <c r="E56" s="249" t="s">
        <v>18</v>
      </c>
      <c r="F56" s="47"/>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v>37.0</v>
      </c>
    </row>
    <row r="57" ht="14.25" customHeight="1">
      <c r="A57" s="1"/>
      <c r="B57" s="93" t="s">
        <v>1570</v>
      </c>
      <c r="C57" s="247">
        <v>150.0</v>
      </c>
      <c r="D57" s="247">
        <f t="shared" si="5"/>
        <v>90</v>
      </c>
      <c r="E57" s="249" t="s">
        <v>18</v>
      </c>
      <c r="F57" s="47"/>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ht="14.25" customHeight="1">
      <c r="A58" s="1"/>
      <c r="B58" s="138" t="s">
        <v>31</v>
      </c>
      <c r="C58" s="239">
        <v>1.0</v>
      </c>
      <c r="D58" s="239">
        <v>1.0</v>
      </c>
      <c r="E58" s="242" t="s">
        <v>14</v>
      </c>
      <c r="F58" s="47"/>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ht="14.25" customHeight="1">
      <c r="A59" s="1"/>
      <c r="B59" s="105" t="s">
        <v>149</v>
      </c>
      <c r="C59" s="522">
        <v>50.0</v>
      </c>
      <c r="D59" s="522">
        <f>D57/C57*C59</f>
        <v>30</v>
      </c>
      <c r="E59" s="518" t="s">
        <v>18</v>
      </c>
      <c r="F59" s="76"/>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ht="14.25" customHeight="1">
      <c r="A60" s="1"/>
      <c r="B60" s="1350" t="s">
        <v>42</v>
      </c>
      <c r="C60" s="818" t="s">
        <v>47</v>
      </c>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ht="14.25" customHeight="1">
      <c r="A61" s="1"/>
      <c r="B61" s="1370" t="s">
        <v>1579</v>
      </c>
      <c r="C61" s="5"/>
      <c r="D61" s="5"/>
      <c r="E61" s="6"/>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ht="14.25" customHeight="1">
      <c r="A62" s="1"/>
      <c r="B62" s="63"/>
      <c r="E62" s="66"/>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ht="14.25" customHeight="1">
      <c r="A63" s="1"/>
      <c r="B63" s="102"/>
      <c r="C63" s="104"/>
      <c r="D63" s="104"/>
      <c r="E63" s="106"/>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ht="14.25" customHeight="1">
      <c r="A65" s="1"/>
      <c r="B65" s="550" t="s">
        <v>1583</v>
      </c>
      <c r="C65" s="1371">
        <v>42778.0</v>
      </c>
      <c r="D65" s="19"/>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row>
    <row r="66" ht="14.25" customHeight="1">
      <c r="A66" s="1"/>
      <c r="B66" s="342" t="s">
        <v>1585</v>
      </c>
      <c r="C66" s="1373"/>
      <c r="D66" s="1374"/>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row>
    <row r="70" ht="14.25" customHeight="1">
      <c r="A70" s="1"/>
      <c r="B70" s="1326" t="s">
        <v>1592</v>
      </c>
      <c r="C70" s="18"/>
      <c r="D70" s="18"/>
      <c r="E70" s="19"/>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ht="14.25" customHeight="1">
      <c r="A71" s="1"/>
      <c r="B71" s="68" t="s">
        <v>1</v>
      </c>
      <c r="C71" s="145">
        <v>10.0</v>
      </c>
      <c r="D71" s="145">
        <v>5.0</v>
      </c>
      <c r="E71" s="216" t="s">
        <v>5</v>
      </c>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ht="14.25" customHeight="1">
      <c r="A72" s="1"/>
      <c r="B72" s="93" t="s">
        <v>1593</v>
      </c>
      <c r="C72" s="195">
        <v>100.0</v>
      </c>
      <c r="D72" s="1378">
        <f t="shared" ref="D72:D79" si="6">D71/C71*C72</f>
        <v>50</v>
      </c>
      <c r="E72" s="249" t="s">
        <v>1197</v>
      </c>
      <c r="F72" s="1449" t="s">
        <v>1594</v>
      </c>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row>
    <row r="73" ht="14.25" customHeight="1">
      <c r="A73" s="1"/>
      <c r="B73" s="93" t="s">
        <v>1686</v>
      </c>
      <c r="C73" s="195">
        <v>4.9</v>
      </c>
      <c r="D73" s="1378">
        <f t="shared" si="6"/>
        <v>2.45</v>
      </c>
      <c r="E73" s="249" t="s">
        <v>14</v>
      </c>
      <c r="F73" s="47"/>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row>
    <row r="74" ht="14.25" customHeight="1">
      <c r="A74" s="1"/>
      <c r="B74" s="93" t="s">
        <v>1688</v>
      </c>
      <c r="C74" s="195">
        <v>200.0</v>
      </c>
      <c r="D74" s="1378">
        <f t="shared" si="6"/>
        <v>100</v>
      </c>
      <c r="E74" s="249" t="s">
        <v>18</v>
      </c>
      <c r="F74" s="47"/>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row>
    <row r="75" ht="14.25" customHeight="1">
      <c r="A75" s="1"/>
      <c r="B75" s="93" t="s">
        <v>1689</v>
      </c>
      <c r="C75" s="195">
        <v>100.0</v>
      </c>
      <c r="D75" s="1378">
        <f t="shared" si="6"/>
        <v>50</v>
      </c>
      <c r="E75" s="249" t="s">
        <v>18</v>
      </c>
      <c r="F75" s="47"/>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ht="14.25" customHeight="1">
      <c r="A76" s="1"/>
      <c r="B76" s="93" t="s">
        <v>13</v>
      </c>
      <c r="C76" s="195">
        <v>5.0</v>
      </c>
      <c r="D76" s="1378">
        <f t="shared" si="6"/>
        <v>2.5</v>
      </c>
      <c r="E76" s="249" t="s">
        <v>366</v>
      </c>
      <c r="F76" s="47"/>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row>
    <row r="77" ht="14.25" customHeight="1">
      <c r="A77" s="1"/>
      <c r="B77" s="93" t="s">
        <v>1690</v>
      </c>
      <c r="C77" s="195">
        <v>450.0</v>
      </c>
      <c r="D77" s="1378">
        <f t="shared" si="6"/>
        <v>225</v>
      </c>
      <c r="E77" s="249" t="s">
        <v>18</v>
      </c>
      <c r="F77" s="47"/>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row>
    <row r="78" ht="14.25" customHeight="1">
      <c r="A78" s="1"/>
      <c r="B78" s="93" t="s">
        <v>1692</v>
      </c>
      <c r="C78" s="195">
        <v>200.0</v>
      </c>
      <c r="D78" s="1378">
        <f t="shared" si="6"/>
        <v>100</v>
      </c>
      <c r="E78" s="249" t="s">
        <v>18</v>
      </c>
      <c r="F78" s="47"/>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row>
    <row r="79" ht="14.25" customHeight="1">
      <c r="A79" s="1"/>
      <c r="B79" s="105" t="s">
        <v>1693</v>
      </c>
      <c r="C79" s="200">
        <v>20.0</v>
      </c>
      <c r="D79" s="1459">
        <f t="shared" si="6"/>
        <v>10</v>
      </c>
      <c r="E79" s="518" t="s">
        <v>18</v>
      </c>
      <c r="F79" s="76"/>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ht="14.25" customHeight="1">
      <c r="A80" s="1"/>
      <c r="B80" s="1350" t="s">
        <v>42</v>
      </c>
      <c r="C80" s="818" t="s">
        <v>47</v>
      </c>
      <c r="D80" s="107"/>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ht="14.25" customHeight="1">
      <c r="A81" s="1"/>
      <c r="B81" s="663" t="s">
        <v>186</v>
      </c>
      <c r="C81" s="625"/>
      <c r="D81" s="625">
        <v>42933.0</v>
      </c>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row>
    <row r="82" ht="14.25" customHeight="1">
      <c r="A82" s="1"/>
      <c r="B82" s="664" t="s">
        <v>50</v>
      </c>
      <c r="C82" s="625"/>
      <c r="D82" s="625">
        <v>43270.0</v>
      </c>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row>
    <row r="83" ht="14.25" customHeight="1">
      <c r="A83" s="1"/>
      <c r="B83" s="1"/>
      <c r="C83" s="107"/>
      <c r="D83" s="107"/>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row>
    <row r="85" ht="14.25" customHeight="1">
      <c r="A85" s="1"/>
      <c r="B85" s="1326" t="s">
        <v>1694</v>
      </c>
      <c r="C85" s="18"/>
      <c r="D85" s="18"/>
      <c r="E85" s="19"/>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ht="15.0" customHeight="1">
      <c r="A86" s="1"/>
      <c r="B86" s="119" t="s">
        <v>1</v>
      </c>
      <c r="C86" s="523">
        <v>10.0</v>
      </c>
      <c r="D86" s="523">
        <v>7.5</v>
      </c>
      <c r="E86" s="520" t="s">
        <v>5</v>
      </c>
      <c r="F86" s="610" t="s">
        <v>1564</v>
      </c>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ht="14.25" customHeight="1">
      <c r="A87" s="1"/>
      <c r="B87" s="93" t="s">
        <v>91</v>
      </c>
      <c r="C87" s="247">
        <v>2.2</v>
      </c>
      <c r="D87" s="247">
        <f t="shared" ref="D87:D93" si="7">D86/C86*C87</f>
        <v>1.65</v>
      </c>
      <c r="E87" s="249" t="s">
        <v>5</v>
      </c>
      <c r="F87" s="47"/>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ht="14.25" customHeight="1">
      <c r="A88" s="1"/>
      <c r="B88" s="93" t="s">
        <v>1565</v>
      </c>
      <c r="C88" s="247">
        <v>6.0</v>
      </c>
      <c r="D88" s="247">
        <f t="shared" si="7"/>
        <v>4.5</v>
      </c>
      <c r="E88" s="249" t="s">
        <v>14</v>
      </c>
      <c r="F88" s="47"/>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ht="14.25" customHeight="1">
      <c r="A89" s="1"/>
      <c r="B89" s="93" t="s">
        <v>1566</v>
      </c>
      <c r="C89" s="247">
        <v>600.0</v>
      </c>
      <c r="D89" s="247">
        <f t="shared" si="7"/>
        <v>450</v>
      </c>
      <c r="E89" s="249" t="s">
        <v>18</v>
      </c>
      <c r="F89" s="47"/>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ht="14.25" customHeight="1">
      <c r="A90" s="1"/>
      <c r="B90" s="93" t="s">
        <v>1695</v>
      </c>
      <c r="C90" s="247">
        <v>840.0</v>
      </c>
      <c r="D90" s="247">
        <f t="shared" si="7"/>
        <v>630</v>
      </c>
      <c r="E90" s="249" t="s">
        <v>18</v>
      </c>
      <c r="F90" s="47"/>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ht="14.25" customHeight="1">
      <c r="A91" s="1"/>
      <c r="B91" s="93" t="s">
        <v>1696</v>
      </c>
      <c r="C91" s="247">
        <v>350.0</v>
      </c>
      <c r="D91" s="247">
        <f t="shared" si="7"/>
        <v>262.5</v>
      </c>
      <c r="E91" s="249" t="s">
        <v>82</v>
      </c>
      <c r="F91" s="47"/>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ht="14.25" customHeight="1">
      <c r="A92" s="1"/>
      <c r="B92" s="93" t="s">
        <v>52</v>
      </c>
      <c r="C92" s="247">
        <v>20.0</v>
      </c>
      <c r="D92" s="247">
        <f t="shared" si="7"/>
        <v>15</v>
      </c>
      <c r="E92" s="249" t="s">
        <v>18</v>
      </c>
      <c r="F92" s="47"/>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row>
    <row r="93" ht="14.25" customHeight="1">
      <c r="A93" s="1"/>
      <c r="B93" s="93" t="s">
        <v>31</v>
      </c>
      <c r="C93" s="247">
        <v>1300.0</v>
      </c>
      <c r="D93" s="247">
        <f t="shared" si="7"/>
        <v>975</v>
      </c>
      <c r="E93" s="249" t="s">
        <v>18</v>
      </c>
      <c r="F93" s="76"/>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ht="14.25" customHeight="1">
      <c r="A94" s="1"/>
      <c r="B94" s="1350" t="s">
        <v>42</v>
      </c>
      <c r="C94" s="818" t="s">
        <v>47</v>
      </c>
      <c r="D94" s="1"/>
      <c r="E94" s="1"/>
      <c r="F94" s="1460"/>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row>
    <row r="95" ht="14.25" customHeight="1">
      <c r="A95" s="1"/>
      <c r="B95" s="663" t="s">
        <v>186</v>
      </c>
      <c r="C95" s="625"/>
      <c r="D95" s="625" t="s">
        <v>1697</v>
      </c>
      <c r="E95" s="1"/>
      <c r="F95" s="1460"/>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ht="14.25" customHeight="1">
      <c r="A96" s="1"/>
      <c r="B96" s="664" t="s">
        <v>50</v>
      </c>
      <c r="C96" s="625"/>
      <c r="D96" s="625" t="s">
        <v>1697</v>
      </c>
      <c r="E96" s="1"/>
      <c r="F96" s="146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ht="15.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row>
    <row r="164" ht="15.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row>
    <row r="167" ht="15.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ht="15.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ht="15.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ht="15.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ht="15.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ht="15.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row r="267" ht="15.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row>
    <row r="282"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row>
    <row r="285" ht="15.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row>
    <row r="287" ht="15.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row>
    <row r="288" ht="15.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row>
    <row r="290" ht="15.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row>
    <row r="294" ht="15.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row>
    <row r="295" ht="15.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5:E5"/>
    <mergeCell ref="B17:C18"/>
    <mergeCell ref="B20:E20"/>
    <mergeCell ref="F23:F28"/>
    <mergeCell ref="B31:E31"/>
    <mergeCell ref="B32:E32"/>
    <mergeCell ref="F37:F45"/>
    <mergeCell ref="B70:E70"/>
    <mergeCell ref="B85:E85"/>
    <mergeCell ref="F86:F93"/>
    <mergeCell ref="B36:E36"/>
    <mergeCell ref="B48:E48"/>
    <mergeCell ref="F49:F59"/>
    <mergeCell ref="B61:E63"/>
    <mergeCell ref="C65:D65"/>
    <mergeCell ref="C66:D66"/>
    <mergeCell ref="F72:F79"/>
  </mergeCells>
  <hyperlinks>
    <hyperlink display="Back" location="'Recipe Index'!CQ43" ref="D15"/>
    <hyperlink display="Back" location="'Recipe Index'!CQ43" ref="B30"/>
    <hyperlink display="HOME" location="'Recipe Index'!B1" ref="C30"/>
    <hyperlink display="Back" location="'Recipe Index'!CQ43" ref="B46"/>
    <hyperlink display="HOME" location="'Recipe Index'!A2" ref="C46"/>
    <hyperlink display="Back" location="'Recipe Index'!CQ43" ref="B60"/>
    <hyperlink display="HOME" location="'Recipe Index'!A2" ref="C60"/>
    <hyperlink display="Back" location="'Recipe Index'!CQ43" ref="B80"/>
    <hyperlink display="HOME" location="'Recipe Index'!A2" ref="C80"/>
    <hyperlink display="Back" location="'Recipe Index'!CQ43" ref="B94"/>
    <hyperlink display="HOME" location="'Recipe Index'!A2" ref="C94"/>
  </hyperlink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22.75"/>
    <col customWidth="1" min="2" max="2" width="12.38"/>
    <col customWidth="1" min="3" max="3" width="18.0"/>
    <col customWidth="1" min="4" max="4" width="3.63"/>
    <col customWidth="1" min="5" max="5" width="29.25"/>
    <col customWidth="1" min="6" max="6" width="9.38"/>
    <col customWidth="1" min="7" max="7" width="10.75"/>
    <col customWidth="1" min="8" max="11" width="9.25"/>
    <col customWidth="1" min="12" max="26" width="14.38"/>
  </cols>
  <sheetData>
    <row r="1" ht="15.75" customHeight="1">
      <c r="A1" s="1240" t="s">
        <v>1653</v>
      </c>
      <c r="B1" s="5"/>
      <c r="C1" s="5"/>
      <c r="D1" s="6"/>
      <c r="E1" s="1206"/>
      <c r="F1" s="1"/>
      <c r="G1" s="1"/>
      <c r="H1" s="1"/>
      <c r="I1" s="1"/>
      <c r="J1" s="1"/>
      <c r="K1" s="1"/>
    </row>
    <row r="2" ht="15.0" customHeight="1">
      <c r="A2" s="25" t="s">
        <v>1</v>
      </c>
      <c r="B2" s="314">
        <v>100.0</v>
      </c>
      <c r="C2" s="1426">
        <v>50.0</v>
      </c>
      <c r="D2" s="28" t="s">
        <v>5</v>
      </c>
      <c r="E2" s="1206"/>
      <c r="F2" s="1"/>
      <c r="G2" s="1"/>
      <c r="H2" s="1"/>
      <c r="I2" s="1"/>
      <c r="J2" s="1"/>
      <c r="K2" s="1"/>
    </row>
    <row r="3" ht="15.0" customHeight="1">
      <c r="A3" s="163" t="s">
        <v>122</v>
      </c>
      <c r="B3" s="285">
        <v>33.0</v>
      </c>
      <c r="C3" s="285">
        <f t="shared" ref="C3:C18" si="1">(B3*C2)/B2</f>
        <v>16.5</v>
      </c>
      <c r="D3" s="991" t="s">
        <v>5</v>
      </c>
      <c r="E3" s="1427" t="s">
        <v>1654</v>
      </c>
      <c r="F3" s="1"/>
      <c r="G3" s="1"/>
      <c r="H3" s="1"/>
      <c r="I3" s="1"/>
      <c r="J3" s="1"/>
      <c r="K3" s="1"/>
    </row>
    <row r="4" ht="15.0" customHeight="1">
      <c r="A4" s="177" t="s">
        <v>1274</v>
      </c>
      <c r="B4" s="198">
        <v>5.0</v>
      </c>
      <c r="C4" s="500">
        <f t="shared" si="1"/>
        <v>2.5</v>
      </c>
      <c r="D4" s="993" t="s">
        <v>14</v>
      </c>
      <c r="E4" s="98"/>
      <c r="F4" s="1"/>
      <c r="G4" s="1"/>
      <c r="H4" s="1"/>
      <c r="I4" s="1"/>
      <c r="J4" s="1"/>
      <c r="K4" s="1"/>
    </row>
    <row r="5" ht="15.0" customHeight="1">
      <c r="A5" s="177" t="s">
        <v>52</v>
      </c>
      <c r="B5" s="198">
        <v>125.0</v>
      </c>
      <c r="C5" s="500">
        <f t="shared" si="1"/>
        <v>62.5</v>
      </c>
      <c r="D5" s="993" t="s">
        <v>18</v>
      </c>
      <c r="E5" s="98"/>
      <c r="F5" s="1"/>
      <c r="G5" s="1"/>
      <c r="H5" s="1"/>
      <c r="I5" s="1"/>
      <c r="J5" s="1"/>
      <c r="K5" s="1"/>
    </row>
    <row r="6" ht="15.0" customHeight="1">
      <c r="A6" s="262" t="s">
        <v>243</v>
      </c>
      <c r="B6" s="383">
        <v>75.0</v>
      </c>
      <c r="C6" s="1266">
        <f t="shared" si="1"/>
        <v>37.5</v>
      </c>
      <c r="D6" s="986" t="s">
        <v>5</v>
      </c>
      <c r="E6" s="115"/>
      <c r="F6" s="1"/>
      <c r="G6" s="1"/>
      <c r="H6" s="1"/>
      <c r="I6" s="1"/>
      <c r="J6" s="1"/>
      <c r="K6" s="1"/>
    </row>
    <row r="7" ht="15.75" customHeight="1">
      <c r="A7" s="163" t="s">
        <v>91</v>
      </c>
      <c r="B7" s="285">
        <v>1.0</v>
      </c>
      <c r="C7" s="666">
        <f t="shared" si="1"/>
        <v>0.5</v>
      </c>
      <c r="D7" s="991" t="s">
        <v>5</v>
      </c>
      <c r="E7" s="1427" t="s">
        <v>1655</v>
      </c>
      <c r="F7" s="1"/>
      <c r="G7" s="1"/>
      <c r="H7" s="1"/>
      <c r="I7" s="1"/>
      <c r="J7" s="1"/>
      <c r="K7" s="1"/>
    </row>
    <row r="8" ht="15.0" customHeight="1">
      <c r="A8" s="177" t="s">
        <v>97</v>
      </c>
      <c r="B8" s="198">
        <v>125.0</v>
      </c>
      <c r="C8" s="500">
        <f t="shared" si="1"/>
        <v>62.5</v>
      </c>
      <c r="D8" s="993" t="s">
        <v>18</v>
      </c>
      <c r="E8" s="98"/>
      <c r="F8" s="1"/>
      <c r="G8" s="1"/>
      <c r="H8" s="1"/>
      <c r="I8" s="1"/>
      <c r="J8" s="1"/>
      <c r="K8" s="1"/>
    </row>
    <row r="9" ht="15.0" customHeight="1">
      <c r="A9" s="177" t="s">
        <v>1241</v>
      </c>
      <c r="B9" s="198">
        <v>75.0</v>
      </c>
      <c r="C9" s="500">
        <f t="shared" si="1"/>
        <v>37.5</v>
      </c>
      <c r="D9" s="993" t="s">
        <v>18</v>
      </c>
      <c r="E9" s="98"/>
      <c r="F9" s="1"/>
      <c r="G9" s="1"/>
      <c r="H9" s="1"/>
      <c r="I9" s="1"/>
      <c r="J9" s="1"/>
      <c r="K9" s="1"/>
    </row>
    <row r="10" ht="15.0" customHeight="1">
      <c r="A10" s="177" t="s">
        <v>126</v>
      </c>
      <c r="B10" s="198">
        <v>100.0</v>
      </c>
      <c r="C10" s="500">
        <f t="shared" si="1"/>
        <v>50</v>
      </c>
      <c r="D10" s="993" t="s">
        <v>18</v>
      </c>
      <c r="E10" s="98"/>
      <c r="F10" s="1"/>
      <c r="G10" s="1"/>
      <c r="H10" s="1"/>
      <c r="I10" s="1"/>
      <c r="J10" s="1"/>
      <c r="K10" s="1"/>
    </row>
    <row r="11" ht="15.75" customHeight="1">
      <c r="A11" s="177" t="s">
        <v>83</v>
      </c>
      <c r="B11" s="198">
        <v>400.0</v>
      </c>
      <c r="C11" s="500">
        <f t="shared" si="1"/>
        <v>200</v>
      </c>
      <c r="D11" s="993" t="s">
        <v>18</v>
      </c>
      <c r="E11" s="98"/>
      <c r="F11" s="1"/>
      <c r="G11" s="1"/>
      <c r="H11" s="1"/>
      <c r="I11" s="1"/>
      <c r="J11" s="1"/>
      <c r="K11" s="1"/>
    </row>
    <row r="12" ht="15.0" customHeight="1">
      <c r="A12" s="177" t="s">
        <v>753</v>
      </c>
      <c r="B12" s="198">
        <v>500.0</v>
      </c>
      <c r="C12" s="500">
        <f t="shared" si="1"/>
        <v>250</v>
      </c>
      <c r="D12" s="993" t="s">
        <v>18</v>
      </c>
      <c r="E12" s="98"/>
      <c r="F12" s="1"/>
      <c r="G12" s="1"/>
      <c r="H12" s="1"/>
      <c r="I12" s="1"/>
      <c r="J12" s="1"/>
      <c r="K12" s="1"/>
    </row>
    <row r="13" ht="15.75" customHeight="1">
      <c r="A13" s="177" t="s">
        <v>63</v>
      </c>
      <c r="B13" s="198">
        <v>75.0</v>
      </c>
      <c r="C13" s="500">
        <f t="shared" si="1"/>
        <v>37.5</v>
      </c>
      <c r="D13" s="993" t="s">
        <v>18</v>
      </c>
      <c r="E13" s="98"/>
      <c r="F13" s="1"/>
      <c r="G13" s="1"/>
      <c r="H13" s="1"/>
      <c r="I13" s="1"/>
      <c r="J13" s="1"/>
      <c r="K13" s="1"/>
    </row>
    <row r="14" ht="15.75" customHeight="1">
      <c r="A14" s="177" t="s">
        <v>103</v>
      </c>
      <c r="B14" s="198">
        <v>150.0</v>
      </c>
      <c r="C14" s="500">
        <f t="shared" si="1"/>
        <v>75</v>
      </c>
      <c r="D14" s="993" t="s">
        <v>18</v>
      </c>
      <c r="E14" s="98"/>
      <c r="F14" s="1"/>
      <c r="G14" s="1"/>
      <c r="H14" s="1"/>
      <c r="I14" s="1"/>
      <c r="J14" s="1"/>
      <c r="K14" s="1"/>
    </row>
    <row r="15" ht="14.25" customHeight="1">
      <c r="A15" s="177" t="s">
        <v>101</v>
      </c>
      <c r="B15" s="198">
        <v>2.0</v>
      </c>
      <c r="C15" s="500">
        <f t="shared" si="1"/>
        <v>1</v>
      </c>
      <c r="D15" s="993" t="s">
        <v>5</v>
      </c>
      <c r="E15" s="98"/>
      <c r="F15" s="1"/>
      <c r="G15" s="1"/>
      <c r="H15" s="1"/>
      <c r="I15" s="1"/>
      <c r="J15" s="1"/>
      <c r="K15" s="1"/>
    </row>
    <row r="16" ht="14.25" customHeight="1">
      <c r="A16" s="208" t="s">
        <v>31</v>
      </c>
      <c r="B16" s="211">
        <v>1100.0</v>
      </c>
      <c r="C16" s="684">
        <f t="shared" si="1"/>
        <v>550</v>
      </c>
      <c r="D16" s="996" t="s">
        <v>18</v>
      </c>
      <c r="E16" s="115"/>
      <c r="F16" s="1"/>
      <c r="G16" s="1"/>
      <c r="H16" s="1"/>
      <c r="I16" s="1"/>
      <c r="J16" s="1"/>
      <c r="K16" s="1"/>
    </row>
    <row r="17" ht="14.25" customHeight="1">
      <c r="A17" s="157" t="s">
        <v>856</v>
      </c>
      <c r="B17" s="390">
        <v>2.5</v>
      </c>
      <c r="C17" s="767">
        <f t="shared" si="1"/>
        <v>1.25</v>
      </c>
      <c r="D17" s="1001" t="s">
        <v>14</v>
      </c>
      <c r="E17" s="1427" t="s">
        <v>1656</v>
      </c>
      <c r="F17" s="1"/>
      <c r="G17" s="1"/>
      <c r="H17" s="1"/>
      <c r="I17" s="1"/>
      <c r="J17" s="1"/>
      <c r="K17" s="1"/>
    </row>
    <row r="18" ht="14.25" customHeight="1">
      <c r="A18" s="208" t="s">
        <v>1657</v>
      </c>
      <c r="B18" s="211">
        <v>150.0</v>
      </c>
      <c r="C18" s="684">
        <f t="shared" si="1"/>
        <v>75</v>
      </c>
      <c r="D18" s="996" t="s">
        <v>18</v>
      </c>
      <c r="E18" s="115"/>
      <c r="F18" s="1"/>
      <c r="G18" s="1"/>
      <c r="H18" s="1"/>
      <c r="I18" s="1"/>
      <c r="J18" s="1"/>
      <c r="K18" s="1"/>
    </row>
    <row r="19" ht="14.25" customHeight="1">
      <c r="A19" s="1428" t="s">
        <v>42</v>
      </c>
      <c r="B19" s="818" t="s">
        <v>47</v>
      </c>
      <c r="C19" s="1"/>
      <c r="D19" s="1"/>
      <c r="E19" s="1"/>
      <c r="F19" s="1"/>
      <c r="G19" s="1"/>
      <c r="H19" s="1"/>
      <c r="I19" s="1"/>
      <c r="J19" s="1"/>
      <c r="K19" s="1"/>
    </row>
    <row r="20" ht="14.25" customHeight="1">
      <c r="A20" s="88" t="s">
        <v>49</v>
      </c>
      <c r="B20" s="972">
        <v>40787.0</v>
      </c>
      <c r="C20" s="1"/>
      <c r="D20" s="1"/>
      <c r="E20" s="1"/>
      <c r="F20" s="1"/>
      <c r="G20" s="1"/>
      <c r="H20" s="1"/>
      <c r="I20" s="1"/>
      <c r="J20" s="1"/>
      <c r="K20" s="1"/>
    </row>
    <row r="21" ht="14.25" customHeight="1">
      <c r="A21" s="305" t="s">
        <v>50</v>
      </c>
      <c r="B21" s="974">
        <v>41818.0</v>
      </c>
      <c r="C21" s="1"/>
      <c r="D21" s="1"/>
      <c r="E21" s="1"/>
      <c r="F21" s="1"/>
      <c r="G21" s="1"/>
      <c r="H21" s="1"/>
      <c r="I21" s="1"/>
      <c r="J21" s="1"/>
      <c r="K21" s="1"/>
    </row>
    <row r="22" ht="14.25" customHeight="1">
      <c r="A22" s="1"/>
      <c r="B22" s="1"/>
      <c r="C22" s="1"/>
      <c r="D22" s="1"/>
      <c r="E22" s="1"/>
      <c r="F22" s="1"/>
      <c r="G22" s="1"/>
      <c r="H22" s="1"/>
      <c r="I22" s="1"/>
      <c r="J22" s="1"/>
      <c r="K22" s="1"/>
    </row>
    <row r="23" ht="14.25" customHeight="1">
      <c r="A23" s="1240" t="s">
        <v>282</v>
      </c>
      <c r="B23" s="5"/>
      <c r="C23" s="5"/>
      <c r="D23" s="6"/>
      <c r="E23" s="1"/>
      <c r="F23" s="1"/>
      <c r="G23" s="1"/>
      <c r="H23" s="1"/>
      <c r="I23" s="1"/>
      <c r="J23" s="1"/>
      <c r="K23" s="1"/>
    </row>
    <row r="24" ht="14.25" customHeight="1">
      <c r="A24" s="25" t="s">
        <v>1</v>
      </c>
      <c r="B24" s="314">
        <v>100.0</v>
      </c>
      <c r="C24" s="1426">
        <v>40.0</v>
      </c>
      <c r="D24" s="28" t="s">
        <v>5</v>
      </c>
      <c r="E24" s="1"/>
      <c r="F24" s="1"/>
      <c r="G24" s="1"/>
      <c r="H24" s="1"/>
      <c r="I24" s="1"/>
      <c r="J24" s="1"/>
      <c r="K24" s="1"/>
    </row>
    <row r="25" ht="16.5" customHeight="1">
      <c r="A25" s="25" t="s">
        <v>1658</v>
      </c>
      <c r="B25" s="314">
        <v>95.0</v>
      </c>
      <c r="C25" s="1426">
        <f t="shared" ref="C25:C34" si="2">(B25*C24)/B24</f>
        <v>38</v>
      </c>
      <c r="D25" s="198" t="s">
        <v>5</v>
      </c>
      <c r="E25" s="1"/>
      <c r="F25" s="1"/>
      <c r="G25" s="1"/>
      <c r="H25" s="1"/>
      <c r="I25" s="1"/>
      <c r="J25" s="1"/>
      <c r="K25" s="1"/>
    </row>
    <row r="26" ht="14.25" customHeight="1">
      <c r="A26" s="163" t="s">
        <v>122</v>
      </c>
      <c r="B26" s="285">
        <v>25.0</v>
      </c>
      <c r="C26" s="285">
        <f t="shared" si="2"/>
        <v>10</v>
      </c>
      <c r="D26" s="1001" t="s">
        <v>5</v>
      </c>
      <c r="E26" s="1427" t="s">
        <v>1654</v>
      </c>
      <c r="F26" s="1"/>
      <c r="G26" s="1"/>
      <c r="H26" s="1"/>
      <c r="I26" s="1"/>
      <c r="J26" s="1"/>
      <c r="K26" s="1"/>
    </row>
    <row r="27" ht="14.25" customHeight="1">
      <c r="A27" s="177" t="s">
        <v>1274</v>
      </c>
      <c r="B27" s="198">
        <v>4.5</v>
      </c>
      <c r="C27" s="500">
        <f t="shared" si="2"/>
        <v>1.8</v>
      </c>
      <c r="D27" s="993" t="s">
        <v>14</v>
      </c>
      <c r="E27" s="98"/>
      <c r="F27" s="1"/>
      <c r="G27" s="1"/>
      <c r="H27" s="1"/>
      <c r="I27" s="1"/>
      <c r="J27" s="1"/>
      <c r="K27" s="1"/>
    </row>
    <row r="28" ht="14.25" customHeight="1">
      <c r="A28" s="177" t="s">
        <v>52</v>
      </c>
      <c r="B28" s="198">
        <v>100.0</v>
      </c>
      <c r="C28" s="500">
        <f t="shared" si="2"/>
        <v>40</v>
      </c>
      <c r="D28" s="993" t="s">
        <v>18</v>
      </c>
      <c r="E28" s="98"/>
      <c r="F28" s="1"/>
      <c r="G28" s="1"/>
      <c r="H28" s="1"/>
      <c r="I28" s="1"/>
      <c r="J28" s="1"/>
      <c r="K28" s="1"/>
    </row>
    <row r="29" ht="14.25" customHeight="1">
      <c r="A29" s="208" t="s">
        <v>243</v>
      </c>
      <c r="B29" s="211">
        <v>70.0</v>
      </c>
      <c r="C29" s="684">
        <f t="shared" si="2"/>
        <v>28</v>
      </c>
      <c r="D29" s="996" t="s">
        <v>5</v>
      </c>
      <c r="E29" s="115"/>
      <c r="F29" s="1"/>
      <c r="G29" s="1"/>
      <c r="H29" s="1"/>
      <c r="I29" s="1"/>
      <c r="J29" s="1"/>
      <c r="K29" s="1"/>
    </row>
    <row r="30" ht="15.0" customHeight="1">
      <c r="A30" s="163" t="s">
        <v>91</v>
      </c>
      <c r="B30" s="285">
        <v>1.5</v>
      </c>
      <c r="C30" s="666">
        <f t="shared" si="2"/>
        <v>0.6</v>
      </c>
      <c r="D30" s="991" t="s">
        <v>5</v>
      </c>
      <c r="E30" s="1427" t="s">
        <v>1655</v>
      </c>
      <c r="F30" s="1"/>
      <c r="G30" s="1"/>
      <c r="H30" s="1"/>
      <c r="I30" s="1"/>
      <c r="J30" s="1"/>
      <c r="K30" s="1"/>
    </row>
    <row r="31" ht="15.0" customHeight="1">
      <c r="A31" s="177" t="s">
        <v>97</v>
      </c>
      <c r="B31" s="198">
        <v>150.0</v>
      </c>
      <c r="C31" s="500">
        <f t="shared" si="2"/>
        <v>60</v>
      </c>
      <c r="D31" s="993" t="s">
        <v>18</v>
      </c>
      <c r="E31" s="98"/>
      <c r="F31" s="1"/>
      <c r="G31" s="1"/>
      <c r="H31" s="1"/>
      <c r="I31" s="1"/>
      <c r="J31" s="1"/>
      <c r="K31" s="1"/>
    </row>
    <row r="32" ht="15.0" customHeight="1">
      <c r="A32" s="177" t="s">
        <v>1241</v>
      </c>
      <c r="B32" s="198">
        <v>50.0</v>
      </c>
      <c r="C32" s="500">
        <f t="shared" si="2"/>
        <v>20</v>
      </c>
      <c r="D32" s="993" t="s">
        <v>18</v>
      </c>
      <c r="E32" s="98"/>
      <c r="F32" s="1"/>
      <c r="G32" s="1"/>
      <c r="H32" s="1"/>
      <c r="I32" s="1"/>
      <c r="J32" s="1"/>
      <c r="K32" s="1"/>
    </row>
    <row r="33" ht="15.0" customHeight="1">
      <c r="A33" s="177" t="s">
        <v>63</v>
      </c>
      <c r="B33" s="198">
        <v>100.0</v>
      </c>
      <c r="C33" s="500">
        <f t="shared" si="2"/>
        <v>40</v>
      </c>
      <c r="D33" s="993" t="s">
        <v>18</v>
      </c>
      <c r="E33" s="98"/>
      <c r="F33" s="1"/>
      <c r="G33" s="1"/>
      <c r="H33" s="1"/>
      <c r="I33" s="1"/>
      <c r="J33" s="1"/>
      <c r="K33" s="1"/>
    </row>
    <row r="34" ht="15.0" customHeight="1">
      <c r="A34" s="177" t="s">
        <v>390</v>
      </c>
      <c r="B34" s="198">
        <v>100.0</v>
      </c>
      <c r="C34" s="500">
        <f t="shared" si="2"/>
        <v>40</v>
      </c>
      <c r="D34" s="993" t="s">
        <v>18</v>
      </c>
      <c r="E34" s="98"/>
      <c r="F34" s="1"/>
      <c r="G34" s="1"/>
      <c r="H34" s="1"/>
      <c r="I34" s="1"/>
      <c r="J34" s="1"/>
      <c r="K34" s="1"/>
    </row>
    <row r="35" ht="15.0" customHeight="1">
      <c r="A35" s="177" t="s">
        <v>83</v>
      </c>
      <c r="B35" s="198">
        <v>250.0</v>
      </c>
      <c r="C35" s="500">
        <f t="shared" ref="C35:C36" si="3">(B35*C33)/B33</f>
        <v>100</v>
      </c>
      <c r="D35" s="993" t="s">
        <v>18</v>
      </c>
      <c r="E35" s="98"/>
      <c r="F35" s="1"/>
      <c r="G35" s="1"/>
      <c r="H35" s="1"/>
      <c r="I35" s="1"/>
      <c r="J35" s="1"/>
      <c r="K35" s="1"/>
    </row>
    <row r="36" ht="15.0" customHeight="1">
      <c r="A36" s="177" t="s">
        <v>101</v>
      </c>
      <c r="B36" s="198">
        <v>1.5</v>
      </c>
      <c r="C36" s="500">
        <f t="shared" si="3"/>
        <v>0.6</v>
      </c>
      <c r="D36" s="993" t="s">
        <v>5</v>
      </c>
      <c r="E36" s="98"/>
      <c r="F36" s="1"/>
      <c r="G36" s="1"/>
      <c r="H36" s="1"/>
      <c r="I36" s="1"/>
      <c r="J36" s="1"/>
      <c r="K36" s="1"/>
    </row>
    <row r="37" ht="15.0" customHeight="1">
      <c r="A37" s="177" t="s">
        <v>103</v>
      </c>
      <c r="B37" s="198">
        <v>125.0</v>
      </c>
      <c r="C37" s="500">
        <f t="shared" ref="C37:C54" si="4">(B37*C36)/B36</f>
        <v>50</v>
      </c>
      <c r="D37" s="993" t="s">
        <v>18</v>
      </c>
      <c r="E37" s="98"/>
      <c r="F37" s="1"/>
      <c r="G37" s="1"/>
      <c r="H37" s="1"/>
      <c r="I37" s="1"/>
      <c r="J37" s="1"/>
      <c r="K37" s="1"/>
    </row>
    <row r="38" ht="15.75" customHeight="1">
      <c r="A38" s="208" t="s">
        <v>84</v>
      </c>
      <c r="B38" s="211">
        <v>500.0</v>
      </c>
      <c r="C38" s="684">
        <f t="shared" si="4"/>
        <v>200</v>
      </c>
      <c r="D38" s="996" t="s">
        <v>18</v>
      </c>
      <c r="E38" s="115"/>
      <c r="F38" s="1"/>
      <c r="G38" s="1"/>
      <c r="H38" s="1"/>
      <c r="I38" s="1"/>
      <c r="J38" s="1"/>
      <c r="K38" s="1"/>
    </row>
    <row r="39" ht="14.25" customHeight="1">
      <c r="A39" s="251" t="s">
        <v>31</v>
      </c>
      <c r="B39" s="1005">
        <v>800.0</v>
      </c>
      <c r="C39" s="1429">
        <f t="shared" si="4"/>
        <v>320</v>
      </c>
      <c r="D39" s="1006" t="s">
        <v>18</v>
      </c>
      <c r="E39" s="1430"/>
      <c r="F39" s="1"/>
      <c r="G39" s="1"/>
      <c r="H39" s="1"/>
      <c r="I39" s="1"/>
      <c r="J39" s="1"/>
      <c r="K39" s="1"/>
    </row>
    <row r="40" ht="14.25" customHeight="1">
      <c r="A40" s="163" t="s">
        <v>856</v>
      </c>
      <c r="B40" s="285">
        <v>1.5</v>
      </c>
      <c r="C40" s="666">
        <f t="shared" si="4"/>
        <v>0.6</v>
      </c>
      <c r="D40" s="991" t="s">
        <v>14</v>
      </c>
      <c r="E40" s="1431" t="s">
        <v>1656</v>
      </c>
      <c r="F40" s="1"/>
      <c r="G40" s="1"/>
      <c r="H40" s="1"/>
      <c r="I40" s="1"/>
      <c r="J40" s="1"/>
      <c r="K40" s="1"/>
    </row>
    <row r="41" ht="14.25" customHeight="1">
      <c r="A41" s="262" t="s">
        <v>1657</v>
      </c>
      <c r="B41" s="383">
        <v>15.0</v>
      </c>
      <c r="C41" s="1266">
        <f t="shared" si="4"/>
        <v>6</v>
      </c>
      <c r="D41" s="986" t="s">
        <v>18</v>
      </c>
      <c r="E41" s="115"/>
      <c r="F41" s="1"/>
      <c r="G41" s="1"/>
      <c r="H41" s="1"/>
      <c r="I41" s="1"/>
      <c r="J41" s="1"/>
      <c r="K41" s="1"/>
    </row>
    <row r="42" ht="14.25" customHeight="1">
      <c r="A42" s="163" t="s">
        <v>1278</v>
      </c>
      <c r="B42" s="285">
        <v>5.0</v>
      </c>
      <c r="C42" s="1426">
        <f t="shared" si="4"/>
        <v>2</v>
      </c>
      <c r="D42" s="991" t="s">
        <v>5</v>
      </c>
      <c r="E42" s="1427" t="s">
        <v>1659</v>
      </c>
      <c r="F42" s="1432" t="s">
        <v>1660</v>
      </c>
      <c r="G42" s="1"/>
      <c r="H42" s="1"/>
      <c r="I42" s="1"/>
      <c r="J42" s="1"/>
      <c r="K42" s="1"/>
    </row>
    <row r="43" ht="14.25" customHeight="1">
      <c r="A43" s="177" t="s">
        <v>1661</v>
      </c>
      <c r="B43" s="198">
        <v>1500.0</v>
      </c>
      <c r="C43" s="1266">
        <f t="shared" si="4"/>
        <v>600</v>
      </c>
      <c r="D43" s="993" t="s">
        <v>9</v>
      </c>
      <c r="E43" s="98"/>
      <c r="F43" s="47"/>
      <c r="G43" s="1"/>
      <c r="H43" s="1"/>
      <c r="I43" s="1"/>
      <c r="J43" s="1"/>
      <c r="K43" s="1"/>
    </row>
    <row r="44" ht="14.25" customHeight="1">
      <c r="A44" s="177" t="s">
        <v>1274</v>
      </c>
      <c r="B44" s="198">
        <v>6.0</v>
      </c>
      <c r="C44" s="500">
        <f t="shared" si="4"/>
        <v>2.4</v>
      </c>
      <c r="D44" s="95" t="s">
        <v>14</v>
      </c>
      <c r="E44" s="98"/>
      <c r="F44" s="47"/>
      <c r="G44" s="1"/>
      <c r="H44" s="1"/>
      <c r="I44" s="1"/>
      <c r="J44" s="1"/>
      <c r="K44" s="1"/>
    </row>
    <row r="45" ht="14.25" customHeight="1">
      <c r="A45" s="1433" t="s">
        <v>1662</v>
      </c>
      <c r="B45" s="1434">
        <v>4.0</v>
      </c>
      <c r="C45" s="1435">
        <f t="shared" si="4"/>
        <v>1.6</v>
      </c>
      <c r="D45" s="1436" t="s">
        <v>14</v>
      </c>
      <c r="E45" s="98"/>
      <c r="F45" s="47"/>
      <c r="G45" s="1"/>
      <c r="H45" s="1"/>
      <c r="I45" s="1"/>
      <c r="J45" s="1"/>
      <c r="K45" s="1"/>
    </row>
    <row r="46" ht="14.25" customHeight="1">
      <c r="A46" s="1433" t="s">
        <v>1663</v>
      </c>
      <c r="B46" s="1434">
        <v>10.0</v>
      </c>
      <c r="C46" s="1435">
        <f t="shared" si="4"/>
        <v>4</v>
      </c>
      <c r="D46" s="1436" t="s">
        <v>93</v>
      </c>
      <c r="E46" s="98"/>
      <c r="F46" s="47"/>
      <c r="G46" s="1"/>
      <c r="H46" s="1"/>
      <c r="I46" s="1"/>
      <c r="J46" s="1"/>
      <c r="K46" s="1"/>
    </row>
    <row r="47" ht="14.25" customHeight="1">
      <c r="A47" s="177" t="s">
        <v>112</v>
      </c>
      <c r="B47" s="198">
        <v>100.0</v>
      </c>
      <c r="C47" s="500">
        <f t="shared" si="4"/>
        <v>40</v>
      </c>
      <c r="D47" s="95" t="s">
        <v>18</v>
      </c>
      <c r="E47" s="98"/>
      <c r="F47" s="47"/>
      <c r="G47" s="1"/>
      <c r="H47" s="1"/>
      <c r="I47" s="1"/>
      <c r="J47" s="1"/>
      <c r="K47" s="1"/>
    </row>
    <row r="48" ht="14.25" customHeight="1">
      <c r="A48" s="177" t="s">
        <v>52</v>
      </c>
      <c r="B48" s="198">
        <v>75.0</v>
      </c>
      <c r="C48" s="500">
        <f t="shared" si="4"/>
        <v>30</v>
      </c>
      <c r="D48" s="95" t="s">
        <v>18</v>
      </c>
      <c r="E48" s="98"/>
      <c r="F48" s="47"/>
      <c r="G48" s="1"/>
      <c r="H48" s="1"/>
      <c r="I48" s="1"/>
      <c r="J48" s="1"/>
      <c r="K48" s="1"/>
    </row>
    <row r="49" ht="14.25" customHeight="1">
      <c r="A49" s="177" t="s">
        <v>31</v>
      </c>
      <c r="B49" s="198">
        <v>225.0</v>
      </c>
      <c r="C49" s="500">
        <f t="shared" si="4"/>
        <v>90</v>
      </c>
      <c r="D49" s="95" t="s">
        <v>18</v>
      </c>
      <c r="E49" s="98"/>
      <c r="F49" s="47"/>
      <c r="G49" s="1"/>
      <c r="H49" s="1"/>
      <c r="I49" s="1"/>
      <c r="J49" s="1"/>
      <c r="K49" s="1"/>
    </row>
    <row r="50" ht="15.75" customHeight="1">
      <c r="A50" s="177" t="s">
        <v>1321</v>
      </c>
      <c r="B50" s="198">
        <v>75.0</v>
      </c>
      <c r="C50" s="500">
        <f t="shared" si="4"/>
        <v>30</v>
      </c>
      <c r="D50" s="95" t="s">
        <v>18</v>
      </c>
      <c r="E50" s="98"/>
      <c r="F50" s="47"/>
      <c r="G50" s="1"/>
      <c r="H50" s="1"/>
      <c r="I50" s="1"/>
      <c r="J50" s="1"/>
      <c r="K50" s="1"/>
    </row>
    <row r="51" ht="15.75" customHeight="1">
      <c r="A51" s="177" t="s">
        <v>179</v>
      </c>
      <c r="B51" s="198">
        <v>500.0</v>
      </c>
      <c r="C51" s="500">
        <f t="shared" si="4"/>
        <v>200</v>
      </c>
      <c r="D51" s="95" t="s">
        <v>18</v>
      </c>
      <c r="E51" s="98"/>
      <c r="F51" s="47"/>
      <c r="G51" s="1"/>
      <c r="H51" s="1"/>
      <c r="I51" s="1"/>
      <c r="J51" s="1"/>
      <c r="K51" s="1"/>
    </row>
    <row r="52" ht="15.0" customHeight="1">
      <c r="A52" s="177" t="s">
        <v>92</v>
      </c>
      <c r="B52" s="198">
        <v>500.0</v>
      </c>
      <c r="C52" s="500">
        <f t="shared" si="4"/>
        <v>200</v>
      </c>
      <c r="D52" s="95" t="s">
        <v>18</v>
      </c>
      <c r="E52" s="98"/>
      <c r="F52" s="47"/>
      <c r="G52" s="1"/>
      <c r="H52" s="1"/>
      <c r="I52" s="1"/>
      <c r="J52" s="1"/>
      <c r="K52" s="1"/>
    </row>
    <row r="53" ht="15.0" customHeight="1">
      <c r="A53" s="177" t="s">
        <v>1664</v>
      </c>
      <c r="B53" s="198">
        <v>100.0</v>
      </c>
      <c r="C53" s="500">
        <f t="shared" si="4"/>
        <v>40</v>
      </c>
      <c r="D53" s="95" t="s">
        <v>18</v>
      </c>
      <c r="E53" s="98"/>
      <c r="F53" s="47"/>
      <c r="G53" s="1"/>
      <c r="H53" s="1"/>
      <c r="I53" s="1"/>
      <c r="J53" s="1"/>
      <c r="K53" s="1"/>
    </row>
    <row r="54" ht="15.0" customHeight="1">
      <c r="A54" s="208" t="s">
        <v>113</v>
      </c>
      <c r="B54" s="211">
        <v>40.0</v>
      </c>
      <c r="C54" s="684">
        <f t="shared" si="4"/>
        <v>16</v>
      </c>
      <c r="D54" s="114" t="s">
        <v>18</v>
      </c>
      <c r="E54" s="115"/>
      <c r="F54" s="76"/>
      <c r="G54" s="1"/>
      <c r="H54" s="1"/>
      <c r="I54" s="1"/>
      <c r="J54" s="1"/>
      <c r="K54" s="1"/>
    </row>
    <row r="55" ht="15.75" customHeight="1">
      <c r="A55" s="1428" t="s">
        <v>42</v>
      </c>
      <c r="B55" s="818" t="s">
        <v>47</v>
      </c>
      <c r="C55" s="1"/>
      <c r="D55" s="1"/>
      <c r="E55" s="1"/>
      <c r="F55" s="1"/>
      <c r="G55" s="1"/>
      <c r="H55" s="1"/>
      <c r="I55" s="1"/>
      <c r="J55" s="1"/>
      <c r="K55" s="1"/>
    </row>
    <row r="56" ht="15.0" customHeight="1">
      <c r="A56" s="88" t="s">
        <v>502</v>
      </c>
      <c r="B56" s="972">
        <v>40940.0</v>
      </c>
      <c r="C56" s="1"/>
      <c r="D56" s="1"/>
      <c r="E56" s="1"/>
      <c r="F56" s="1"/>
      <c r="G56" s="1"/>
      <c r="H56" s="1"/>
      <c r="I56" s="1"/>
      <c r="J56" s="1"/>
      <c r="K56" s="1"/>
    </row>
    <row r="57" ht="15.0" customHeight="1">
      <c r="A57" s="88" t="s">
        <v>50</v>
      </c>
      <c r="B57" s="972">
        <v>41685.0</v>
      </c>
      <c r="C57" s="1"/>
      <c r="D57" s="1"/>
      <c r="E57" s="1"/>
      <c r="F57" s="1"/>
      <c r="G57" s="1"/>
      <c r="H57" s="1"/>
      <c r="I57" s="1"/>
      <c r="J57" s="1"/>
      <c r="K57" s="1"/>
    </row>
    <row r="58" ht="15.75" customHeight="1">
      <c r="A58" s="1"/>
      <c r="B58" s="1"/>
      <c r="C58" s="1"/>
      <c r="D58" s="1"/>
      <c r="E58" s="1"/>
      <c r="F58" s="1"/>
      <c r="G58" s="1"/>
      <c r="H58" s="1"/>
      <c r="I58" s="1"/>
      <c r="J58" s="1"/>
      <c r="K58" s="1"/>
    </row>
    <row r="59" ht="15.75" customHeight="1">
      <c r="A59" s="1123" t="s">
        <v>386</v>
      </c>
      <c r="B59" s="5"/>
      <c r="C59" s="5"/>
      <c r="D59" s="6"/>
      <c r="E59" s="1"/>
      <c r="F59" s="1"/>
      <c r="G59" s="1"/>
      <c r="H59" s="1"/>
      <c r="I59" s="1"/>
      <c r="J59" s="1"/>
      <c r="K59" s="1"/>
    </row>
    <row r="60" ht="15.0" customHeight="1">
      <c r="A60" s="333" t="s">
        <v>1</v>
      </c>
      <c r="B60" s="1437">
        <v>100.0</v>
      </c>
      <c r="C60" s="1437">
        <v>60.0</v>
      </c>
      <c r="D60" s="335" t="s">
        <v>190</v>
      </c>
      <c r="E60" s="1"/>
      <c r="F60" s="1"/>
      <c r="G60" s="1"/>
      <c r="H60" s="1"/>
      <c r="I60" s="1"/>
      <c r="J60" s="1"/>
      <c r="K60" s="1"/>
    </row>
    <row r="61" ht="15.75" customHeight="1">
      <c r="A61" s="341" t="s">
        <v>1393</v>
      </c>
      <c r="B61" s="198">
        <v>70.0</v>
      </c>
      <c r="C61" s="198">
        <f t="shared" ref="C61:C70" si="5">(B61*C60)/B60</f>
        <v>42</v>
      </c>
      <c r="D61" s="347" t="s">
        <v>5</v>
      </c>
      <c r="E61" s="1"/>
      <c r="F61" s="1"/>
      <c r="G61" s="1"/>
      <c r="H61" s="1"/>
      <c r="I61" s="1"/>
      <c r="J61" s="1"/>
      <c r="K61" s="1"/>
    </row>
    <row r="62" ht="15.75" customHeight="1">
      <c r="A62" s="341" t="s">
        <v>1665</v>
      </c>
      <c r="B62" s="198">
        <v>25.0</v>
      </c>
      <c r="C62" s="198">
        <f t="shared" si="5"/>
        <v>15</v>
      </c>
      <c r="D62" s="347" t="s">
        <v>14</v>
      </c>
      <c r="E62" s="1"/>
      <c r="F62" s="1"/>
      <c r="G62" s="1"/>
      <c r="H62" s="1"/>
      <c r="I62" s="1"/>
      <c r="J62" s="1"/>
      <c r="K62" s="1"/>
    </row>
    <row r="63" ht="15.0" customHeight="1">
      <c r="A63" s="341" t="s">
        <v>200</v>
      </c>
      <c r="B63" s="198">
        <v>7.5</v>
      </c>
      <c r="C63" s="198">
        <f t="shared" si="5"/>
        <v>4.5</v>
      </c>
      <c r="D63" s="347" t="s">
        <v>14</v>
      </c>
      <c r="E63" s="1"/>
      <c r="F63" s="1"/>
      <c r="G63" s="1"/>
      <c r="H63" s="1"/>
      <c r="I63" s="1"/>
      <c r="J63" s="1"/>
      <c r="K63" s="1"/>
    </row>
    <row r="64" ht="15.0" customHeight="1">
      <c r="A64" s="341" t="s">
        <v>1666</v>
      </c>
      <c r="B64" s="198">
        <v>150.0</v>
      </c>
      <c r="C64" s="198">
        <f t="shared" si="5"/>
        <v>90</v>
      </c>
      <c r="D64" s="347" t="s">
        <v>18</v>
      </c>
      <c r="E64" s="1"/>
      <c r="F64" s="1"/>
      <c r="G64" s="1"/>
      <c r="H64" s="1"/>
      <c r="I64" s="1"/>
      <c r="J64" s="1"/>
      <c r="K64" s="1"/>
    </row>
    <row r="65" ht="15.0" customHeight="1">
      <c r="A65" s="341" t="s">
        <v>105</v>
      </c>
      <c r="B65" s="198">
        <v>500.0</v>
      </c>
      <c r="C65" s="198">
        <f t="shared" si="5"/>
        <v>300</v>
      </c>
      <c r="D65" s="347" t="s">
        <v>18</v>
      </c>
      <c r="E65" s="1"/>
      <c r="F65" s="1"/>
      <c r="G65" s="1"/>
      <c r="H65" s="1"/>
      <c r="I65" s="1"/>
      <c r="J65" s="1"/>
      <c r="K65" s="1"/>
    </row>
    <row r="66" ht="15.0" customHeight="1">
      <c r="A66" s="341" t="s">
        <v>31</v>
      </c>
      <c r="B66" s="198">
        <v>500.0</v>
      </c>
      <c r="C66" s="198">
        <f t="shared" si="5"/>
        <v>300</v>
      </c>
      <c r="D66" s="347" t="s">
        <v>18</v>
      </c>
      <c r="E66" s="1"/>
      <c r="F66" s="1"/>
      <c r="G66" s="1"/>
      <c r="H66" s="1"/>
      <c r="I66" s="1"/>
      <c r="J66" s="1"/>
      <c r="K66" s="1"/>
    </row>
    <row r="67" ht="15.0" customHeight="1">
      <c r="A67" s="341" t="s">
        <v>13</v>
      </c>
      <c r="B67" s="198">
        <v>2.0</v>
      </c>
      <c r="C67" s="198">
        <f t="shared" si="5"/>
        <v>1.2</v>
      </c>
      <c r="D67" s="347" t="s">
        <v>14</v>
      </c>
      <c r="E67" s="1"/>
      <c r="F67" s="1"/>
      <c r="G67" s="1"/>
      <c r="H67" s="1"/>
      <c r="I67" s="1"/>
      <c r="J67" s="1"/>
      <c r="K67" s="1"/>
    </row>
    <row r="68" ht="15.0" customHeight="1">
      <c r="A68" s="341" t="s">
        <v>252</v>
      </c>
      <c r="B68" s="198">
        <v>150.0</v>
      </c>
      <c r="C68" s="198">
        <f t="shared" si="5"/>
        <v>90</v>
      </c>
      <c r="D68" s="347" t="s">
        <v>18</v>
      </c>
      <c r="E68" s="1"/>
      <c r="F68" s="1"/>
      <c r="G68" s="1"/>
      <c r="H68" s="1"/>
      <c r="I68" s="1"/>
      <c r="J68" s="1"/>
      <c r="K68" s="1"/>
    </row>
    <row r="69" ht="15.0" customHeight="1">
      <c r="A69" s="341" t="s">
        <v>1588</v>
      </c>
      <c r="B69" s="198">
        <v>5.0</v>
      </c>
      <c r="C69" s="198">
        <f t="shared" si="5"/>
        <v>3</v>
      </c>
      <c r="D69" s="347" t="s">
        <v>5</v>
      </c>
      <c r="E69" s="1"/>
      <c r="F69" s="1"/>
      <c r="G69" s="1"/>
      <c r="H69" s="1"/>
      <c r="I69" s="1"/>
      <c r="J69" s="1"/>
      <c r="K69" s="1"/>
    </row>
    <row r="70" ht="15.0" customHeight="1">
      <c r="A70" s="358" t="s">
        <v>1667</v>
      </c>
      <c r="B70" s="211">
        <v>500.0</v>
      </c>
      <c r="C70" s="198">
        <f t="shared" si="5"/>
        <v>300</v>
      </c>
      <c r="D70" s="388" t="s">
        <v>18</v>
      </c>
      <c r="E70" s="1"/>
      <c r="F70" s="1"/>
      <c r="G70" s="1"/>
      <c r="H70" s="1"/>
      <c r="I70" s="1"/>
      <c r="J70" s="1"/>
      <c r="K70" s="1"/>
    </row>
    <row r="71" ht="15.0" customHeight="1">
      <c r="A71" s="1428" t="s">
        <v>42</v>
      </c>
      <c r="B71" s="818" t="s">
        <v>47</v>
      </c>
      <c r="C71" s="11"/>
      <c r="D71" s="11"/>
      <c r="E71" s="1"/>
      <c r="F71" s="1"/>
      <c r="G71" s="1"/>
      <c r="H71" s="1"/>
      <c r="I71" s="1"/>
      <c r="J71" s="1"/>
      <c r="K71" s="1"/>
    </row>
    <row r="72" ht="15.0" customHeight="1">
      <c r="A72" s="90" t="s">
        <v>120</v>
      </c>
      <c r="B72" s="974">
        <v>40822.0</v>
      </c>
      <c r="C72" s="1438"/>
      <c r="D72" s="1438"/>
      <c r="E72" s="1"/>
      <c r="F72" s="1"/>
      <c r="G72" s="1"/>
      <c r="H72" s="1"/>
      <c r="I72" s="1"/>
      <c r="J72" s="1"/>
      <c r="K72" s="1"/>
    </row>
    <row r="73" ht="15.0" customHeight="1">
      <c r="A73" s="305" t="s">
        <v>50</v>
      </c>
      <c r="B73" s="974">
        <v>41001.0</v>
      </c>
      <c r="C73" s="1438"/>
      <c r="D73" s="1438"/>
      <c r="E73" s="1"/>
      <c r="F73" s="1"/>
      <c r="G73" s="1"/>
      <c r="H73" s="1"/>
      <c r="I73" s="1"/>
      <c r="J73" s="1"/>
      <c r="K73" s="1"/>
    </row>
    <row r="74" ht="15.0" customHeight="1">
      <c r="A74" s="1"/>
      <c r="B74" s="1"/>
      <c r="C74" s="1"/>
      <c r="D74" s="1"/>
      <c r="E74" s="1"/>
      <c r="F74" s="1"/>
      <c r="G74" s="1"/>
      <c r="H74" s="1"/>
      <c r="I74" s="1"/>
      <c r="J74" s="1"/>
      <c r="K74" s="1"/>
    </row>
    <row r="75" ht="15.75" customHeight="1">
      <c r="A75" s="1123" t="s">
        <v>421</v>
      </c>
      <c r="B75" s="5"/>
      <c r="C75" s="5"/>
      <c r="D75" s="6"/>
      <c r="E75" s="1"/>
      <c r="F75" s="1"/>
      <c r="G75" s="1"/>
      <c r="H75" s="1"/>
      <c r="I75" s="1"/>
      <c r="J75" s="1"/>
      <c r="K75" s="1"/>
    </row>
    <row r="76" ht="14.25" customHeight="1">
      <c r="A76" s="333" t="s">
        <v>1</v>
      </c>
      <c r="B76" s="1437">
        <v>100.0</v>
      </c>
      <c r="C76" s="1437">
        <v>140.0</v>
      </c>
      <c r="D76" s="335" t="s">
        <v>190</v>
      </c>
      <c r="E76" s="1"/>
      <c r="F76" s="1"/>
      <c r="G76" s="1"/>
      <c r="H76" s="1"/>
      <c r="I76" s="1"/>
      <c r="J76" s="1"/>
      <c r="K76" s="1"/>
    </row>
    <row r="77" ht="14.25" customHeight="1">
      <c r="A77" s="341" t="s">
        <v>1668</v>
      </c>
      <c r="B77" s="1439">
        <v>75.0</v>
      </c>
      <c r="C77" s="198">
        <f t="shared" ref="C77:C83" si="6">(B77*C76)/B76</f>
        <v>105</v>
      </c>
      <c r="D77" s="347" t="s">
        <v>5</v>
      </c>
      <c r="E77" s="1"/>
      <c r="F77" s="1"/>
      <c r="G77" s="1"/>
      <c r="H77" s="1"/>
      <c r="I77" s="1"/>
      <c r="J77" s="1"/>
      <c r="K77" s="1"/>
    </row>
    <row r="78" ht="14.25" customHeight="1">
      <c r="A78" s="341" t="s">
        <v>1669</v>
      </c>
      <c r="B78" s="1439">
        <v>45.0</v>
      </c>
      <c r="C78" s="198">
        <f t="shared" si="6"/>
        <v>63</v>
      </c>
      <c r="D78" s="347" t="s">
        <v>5</v>
      </c>
      <c r="E78" s="1"/>
      <c r="F78" s="1"/>
      <c r="G78" s="1"/>
      <c r="H78" s="1"/>
      <c r="I78" s="1"/>
      <c r="J78" s="1"/>
      <c r="K78" s="1"/>
    </row>
    <row r="79" ht="14.25" customHeight="1">
      <c r="A79" s="341" t="s">
        <v>124</v>
      </c>
      <c r="B79" s="1439">
        <v>500.0</v>
      </c>
      <c r="C79" s="198">
        <f t="shared" si="6"/>
        <v>700</v>
      </c>
      <c r="D79" s="347" t="s">
        <v>18</v>
      </c>
      <c r="E79" s="1"/>
      <c r="F79" s="1"/>
      <c r="G79" s="1"/>
      <c r="H79" s="1"/>
      <c r="I79" s="1"/>
      <c r="J79" s="1"/>
      <c r="K79" s="1"/>
    </row>
    <row r="80" ht="14.25" customHeight="1">
      <c r="A80" s="341" t="s">
        <v>1670</v>
      </c>
      <c r="B80" s="1439">
        <v>500.0</v>
      </c>
      <c r="C80" s="198">
        <f t="shared" si="6"/>
        <v>700</v>
      </c>
      <c r="D80" s="347" t="s">
        <v>18</v>
      </c>
      <c r="E80" s="1"/>
      <c r="F80" s="1"/>
      <c r="G80" s="1"/>
      <c r="H80" s="1"/>
      <c r="I80" s="1"/>
      <c r="J80" s="1"/>
      <c r="K80" s="1"/>
    </row>
    <row r="81" ht="14.25" customHeight="1">
      <c r="A81" s="341" t="s">
        <v>13</v>
      </c>
      <c r="B81" s="1439">
        <v>2.0</v>
      </c>
      <c r="C81" s="198">
        <f t="shared" si="6"/>
        <v>2.8</v>
      </c>
      <c r="D81" s="347" t="s">
        <v>366</v>
      </c>
      <c r="E81" s="1"/>
      <c r="F81" s="1"/>
      <c r="G81" s="1"/>
      <c r="H81" s="1"/>
      <c r="I81" s="1"/>
      <c r="J81" s="1"/>
      <c r="K81" s="1"/>
    </row>
    <row r="82" ht="14.25" customHeight="1">
      <c r="A82" s="341" t="s">
        <v>1588</v>
      </c>
      <c r="B82" s="1439">
        <v>2.5</v>
      </c>
      <c r="C82" s="198">
        <f t="shared" si="6"/>
        <v>3.5</v>
      </c>
      <c r="D82" s="347" t="s">
        <v>5</v>
      </c>
      <c r="E82" s="1"/>
      <c r="F82" s="1"/>
      <c r="G82" s="1"/>
      <c r="H82" s="1"/>
      <c r="I82" s="1"/>
      <c r="J82" s="1"/>
      <c r="K82" s="1"/>
    </row>
    <row r="83" ht="14.25" customHeight="1">
      <c r="A83" s="358" t="s">
        <v>1667</v>
      </c>
      <c r="B83" s="1443">
        <v>500.0</v>
      </c>
      <c r="C83" s="211">
        <f t="shared" si="6"/>
        <v>700</v>
      </c>
      <c r="D83" s="388" t="s">
        <v>82</v>
      </c>
      <c r="E83" s="1"/>
      <c r="F83" s="1"/>
      <c r="G83" s="1"/>
      <c r="H83" s="1"/>
      <c r="I83" s="1"/>
      <c r="J83" s="1"/>
      <c r="K83" s="1"/>
    </row>
    <row r="84" ht="14.25" customHeight="1">
      <c r="A84" s="1428" t="s">
        <v>42</v>
      </c>
      <c r="B84" s="818" t="s">
        <v>47</v>
      </c>
      <c r="C84" s="11"/>
      <c r="D84" s="11"/>
      <c r="E84" s="1"/>
      <c r="F84" s="1"/>
      <c r="G84" s="1"/>
      <c r="H84" s="1"/>
      <c r="I84" s="1"/>
      <c r="J84" s="1"/>
      <c r="K84" s="1"/>
    </row>
    <row r="85" ht="14.25" customHeight="1">
      <c r="A85" s="90" t="s">
        <v>120</v>
      </c>
      <c r="B85" s="974">
        <v>41156.0</v>
      </c>
      <c r="C85" s="1438"/>
      <c r="D85" s="1438"/>
      <c r="E85" s="1"/>
      <c r="F85" s="1"/>
      <c r="G85" s="1"/>
      <c r="H85" s="1"/>
      <c r="I85" s="1"/>
      <c r="J85" s="1"/>
      <c r="K85" s="1"/>
    </row>
    <row r="86" ht="14.25" customHeight="1">
      <c r="A86" s="305" t="s">
        <v>50</v>
      </c>
      <c r="B86" s="974"/>
      <c r="C86" s="1438"/>
      <c r="D86" s="1438"/>
      <c r="E86" s="1"/>
      <c r="F86" s="1"/>
      <c r="G86" s="1"/>
      <c r="H86" s="1"/>
      <c r="I86" s="1"/>
      <c r="J86" s="1"/>
      <c r="K86" s="1"/>
    </row>
    <row r="87" ht="15.0" customHeight="1">
      <c r="A87" s="11"/>
      <c r="B87" s="11"/>
      <c r="C87" s="11"/>
      <c r="D87" s="11"/>
      <c r="E87" s="1"/>
      <c r="F87" s="1"/>
      <c r="G87" s="1"/>
      <c r="H87" s="1"/>
      <c r="I87" s="1"/>
      <c r="J87" s="1"/>
      <c r="K87" s="1"/>
    </row>
    <row r="88" ht="14.25" customHeight="1">
      <c r="A88" s="11"/>
      <c r="B88" s="11"/>
      <c r="C88" s="11"/>
      <c r="D88" s="11"/>
      <c r="E88" s="1"/>
      <c r="F88" s="1"/>
      <c r="G88" s="1"/>
      <c r="H88" s="1"/>
      <c r="I88" s="1"/>
      <c r="J88" s="1"/>
      <c r="K88" s="1"/>
    </row>
    <row r="89" ht="14.25" customHeight="1">
      <c r="A89" s="577" t="s">
        <v>1671</v>
      </c>
      <c r="B89" s="18"/>
      <c r="C89" s="18"/>
      <c r="D89" s="19"/>
      <c r="E89" s="1"/>
      <c r="F89" s="1"/>
      <c r="G89" s="1"/>
      <c r="H89" s="1"/>
      <c r="I89" s="1"/>
      <c r="J89" s="1"/>
      <c r="K89" s="1"/>
    </row>
    <row r="90" ht="14.25" customHeight="1">
      <c r="A90" s="51" t="s">
        <v>1</v>
      </c>
      <c r="B90" s="53">
        <v>5.0</v>
      </c>
      <c r="C90" s="513">
        <v>10.0</v>
      </c>
      <c r="D90" s="514" t="s">
        <v>5</v>
      </c>
      <c r="E90" s="1"/>
      <c r="F90" s="1"/>
      <c r="G90" s="1"/>
      <c r="H90" s="1"/>
      <c r="I90" s="1"/>
      <c r="J90" s="1"/>
      <c r="K90" s="1"/>
    </row>
    <row r="91" ht="14.25" customHeight="1">
      <c r="A91" s="247" t="s">
        <v>1672</v>
      </c>
      <c r="B91" s="247">
        <v>60.0</v>
      </c>
      <c r="C91" s="78">
        <f>(C90*B91)/B90</f>
        <v>120</v>
      </c>
      <c r="D91" s="247" t="s">
        <v>18</v>
      </c>
      <c r="E91" s="1444" t="s">
        <v>1673</v>
      </c>
      <c r="F91" s="1"/>
      <c r="G91" s="1"/>
      <c r="H91" s="1"/>
      <c r="I91" s="1"/>
      <c r="J91" s="1"/>
      <c r="K91" s="1"/>
    </row>
    <row r="92" ht="15.0" customHeight="1">
      <c r="A92" s="247" t="s">
        <v>1674</v>
      </c>
      <c r="B92" s="247">
        <v>60.0</v>
      </c>
      <c r="C92" s="78">
        <f t="shared" ref="C92:C98" si="7">(B92*C91)/B91</f>
        <v>120</v>
      </c>
      <c r="D92" s="247" t="s">
        <v>5</v>
      </c>
      <c r="E92" s="98"/>
      <c r="F92" s="1"/>
      <c r="G92" s="1"/>
      <c r="H92" s="1"/>
      <c r="I92" s="1"/>
      <c r="J92" s="1"/>
      <c r="K92" s="1"/>
    </row>
    <row r="93" ht="14.25" customHeight="1">
      <c r="A93" s="247" t="s">
        <v>1675</v>
      </c>
      <c r="B93" s="247">
        <v>0.5</v>
      </c>
      <c r="C93" s="78">
        <f t="shared" si="7"/>
        <v>1</v>
      </c>
      <c r="D93" s="247" t="s">
        <v>1676</v>
      </c>
      <c r="E93" s="98"/>
      <c r="F93" s="1"/>
      <c r="G93" s="1"/>
      <c r="H93" s="1"/>
      <c r="I93" s="1"/>
      <c r="J93" s="1"/>
      <c r="K93" s="1"/>
    </row>
    <row r="94" ht="14.25" customHeight="1">
      <c r="A94" s="247" t="s">
        <v>39</v>
      </c>
      <c r="B94" s="247">
        <v>50.0</v>
      </c>
      <c r="C94" s="78">
        <f t="shared" si="7"/>
        <v>100</v>
      </c>
      <c r="D94" s="247" t="s">
        <v>18</v>
      </c>
      <c r="E94" s="98"/>
      <c r="F94" s="1"/>
      <c r="G94" s="1"/>
      <c r="H94" s="1"/>
      <c r="I94" s="1"/>
      <c r="J94" s="1"/>
      <c r="K94" s="1"/>
    </row>
    <row r="95" ht="14.25" customHeight="1">
      <c r="A95" s="247" t="s">
        <v>149</v>
      </c>
      <c r="B95" s="247">
        <v>30.0</v>
      </c>
      <c r="C95" s="78">
        <f t="shared" si="7"/>
        <v>60</v>
      </c>
      <c r="D95" s="247" t="s">
        <v>18</v>
      </c>
      <c r="E95" s="115"/>
      <c r="F95" s="1"/>
      <c r="G95" s="1"/>
      <c r="H95" s="1"/>
      <c r="I95" s="1"/>
      <c r="J95" s="1"/>
      <c r="K95" s="1"/>
    </row>
    <row r="96" ht="14.25" customHeight="1">
      <c r="A96" s="247" t="s">
        <v>1677</v>
      </c>
      <c r="B96" s="247">
        <v>100.0</v>
      </c>
      <c r="C96" s="78">
        <f t="shared" si="7"/>
        <v>200</v>
      </c>
      <c r="D96" s="247" t="s">
        <v>5</v>
      </c>
      <c r="E96" s="1444" t="s">
        <v>1678</v>
      </c>
      <c r="F96" s="1"/>
      <c r="G96" s="1"/>
      <c r="H96" s="1"/>
      <c r="I96" s="1"/>
      <c r="J96" s="1"/>
      <c r="K96" s="1"/>
    </row>
    <row r="97" ht="15.0" customHeight="1">
      <c r="A97" s="247" t="s">
        <v>97</v>
      </c>
      <c r="B97" s="247">
        <v>30.0</v>
      </c>
      <c r="C97" s="78">
        <f t="shared" si="7"/>
        <v>60</v>
      </c>
      <c r="D97" s="247" t="s">
        <v>18</v>
      </c>
      <c r="E97" s="98"/>
      <c r="F97" s="1"/>
      <c r="G97" s="1"/>
      <c r="H97" s="1"/>
      <c r="I97" s="1"/>
      <c r="J97" s="1"/>
      <c r="K97" s="1"/>
    </row>
    <row r="98" ht="14.25" customHeight="1">
      <c r="A98" s="247" t="s">
        <v>311</v>
      </c>
      <c r="B98" s="247">
        <v>50.0</v>
      </c>
      <c r="C98" s="78">
        <f t="shared" si="7"/>
        <v>100</v>
      </c>
      <c r="D98" s="247" t="s">
        <v>18</v>
      </c>
      <c r="E98" s="98"/>
      <c r="F98" s="1"/>
      <c r="G98" s="1"/>
      <c r="H98" s="1"/>
      <c r="I98" s="1"/>
      <c r="J98" s="1"/>
      <c r="K98" s="1"/>
    </row>
    <row r="99" ht="14.25" customHeight="1">
      <c r="A99" s="247" t="s">
        <v>193</v>
      </c>
      <c r="B99" s="247">
        <v>100.0</v>
      </c>
      <c r="C99" s="78">
        <f>(B99*C97)/B97</f>
        <v>200</v>
      </c>
      <c r="D99" s="247" t="s">
        <v>82</v>
      </c>
      <c r="E99" s="98"/>
      <c r="F99" s="1"/>
      <c r="G99" s="1"/>
      <c r="H99" s="1"/>
      <c r="I99" s="1"/>
      <c r="J99" s="1"/>
      <c r="K99" s="1"/>
    </row>
    <row r="100" ht="15.0" customHeight="1">
      <c r="A100" s="247" t="s">
        <v>31</v>
      </c>
      <c r="B100" s="247">
        <v>50.0</v>
      </c>
      <c r="C100" s="78">
        <f t="shared" ref="C100:C101" si="8">(B100*C99)/B99</f>
        <v>100</v>
      </c>
      <c r="D100" s="247" t="s">
        <v>18</v>
      </c>
      <c r="E100" s="98"/>
      <c r="F100" s="1"/>
      <c r="G100" s="1"/>
      <c r="H100" s="1"/>
      <c r="I100" s="1"/>
      <c r="J100" s="1"/>
      <c r="K100" s="1"/>
    </row>
    <row r="101" ht="14.25" customHeight="1">
      <c r="A101" s="247" t="s">
        <v>122</v>
      </c>
      <c r="B101" s="247">
        <v>2.5</v>
      </c>
      <c r="C101" s="78">
        <f t="shared" si="8"/>
        <v>5</v>
      </c>
      <c r="D101" s="247" t="s">
        <v>1679</v>
      </c>
      <c r="E101" s="115"/>
      <c r="F101" s="1"/>
      <c r="G101" s="1"/>
      <c r="H101" s="1"/>
      <c r="I101" s="1"/>
      <c r="J101" s="1"/>
      <c r="K101" s="1"/>
    </row>
    <row r="102" ht="14.25" customHeight="1">
      <c r="A102" s="1445" t="s">
        <v>1680</v>
      </c>
      <c r="B102" s="1"/>
      <c r="C102" s="184"/>
      <c r="D102" s="1"/>
      <c r="E102" s="1"/>
      <c r="F102" s="1"/>
      <c r="G102" s="1"/>
      <c r="H102" s="1"/>
      <c r="I102" s="1"/>
      <c r="J102" s="1"/>
      <c r="K102" s="1"/>
    </row>
    <row r="103" ht="15.0" customHeight="1">
      <c r="A103" s="1428" t="s">
        <v>42</v>
      </c>
      <c r="B103" s="818" t="s">
        <v>47</v>
      </c>
      <c r="C103" s="1446" t="s">
        <v>47</v>
      </c>
      <c r="D103" s="1"/>
      <c r="E103" s="1"/>
      <c r="F103" s="1"/>
      <c r="G103" s="1"/>
      <c r="H103" s="1"/>
      <c r="I103" s="1"/>
      <c r="J103" s="1"/>
      <c r="K103" s="1"/>
    </row>
    <row r="104" ht="14.25" customHeight="1">
      <c r="A104" s="203" t="s">
        <v>120</v>
      </c>
      <c r="B104" s="1363">
        <v>43614.0</v>
      </c>
      <c r="C104" s="1363">
        <v>43614.0</v>
      </c>
      <c r="D104" s="1"/>
      <c r="E104" s="1"/>
      <c r="F104" s="1"/>
      <c r="G104" s="1"/>
      <c r="H104" s="1"/>
      <c r="I104" s="1"/>
      <c r="J104" s="1"/>
      <c r="K104" s="1"/>
    </row>
    <row r="105" ht="14.25" customHeight="1">
      <c r="A105" s="203" t="s">
        <v>50</v>
      </c>
      <c r="B105" s="1363">
        <v>43614.0</v>
      </c>
      <c r="C105" s="1363">
        <v>43614.0</v>
      </c>
      <c r="D105" s="1"/>
      <c r="E105" s="1"/>
      <c r="F105" s="1"/>
      <c r="G105" s="1"/>
      <c r="H105" s="1"/>
      <c r="I105" s="1"/>
      <c r="J105" s="1"/>
      <c r="K105" s="1"/>
    </row>
    <row r="106" ht="14.25" customHeight="1">
      <c r="A106" s="1"/>
      <c r="B106" s="1"/>
      <c r="C106" s="1"/>
      <c r="D106" s="1"/>
      <c r="E106" s="1"/>
      <c r="F106" s="1"/>
      <c r="G106" s="1"/>
      <c r="H106" s="1"/>
      <c r="I106" s="1"/>
      <c r="J106" s="1"/>
      <c r="K106" s="1"/>
    </row>
    <row r="107" ht="14.25" customHeight="1">
      <c r="A107" s="1"/>
      <c r="B107" s="1"/>
      <c r="C107" s="1"/>
      <c r="D107" s="1"/>
      <c r="E107" s="1"/>
      <c r="F107" s="1"/>
      <c r="G107" s="1"/>
      <c r="H107" s="1"/>
      <c r="I107" s="1"/>
      <c r="J107" s="1"/>
      <c r="K107" s="1"/>
    </row>
    <row r="108" ht="14.25" customHeight="1">
      <c r="A108" s="1"/>
      <c r="B108" s="1"/>
      <c r="C108" s="1"/>
      <c r="D108" s="1"/>
      <c r="E108" s="1"/>
      <c r="F108" s="1"/>
      <c r="G108" s="1"/>
      <c r="H108" s="1"/>
      <c r="I108" s="1"/>
      <c r="J108" s="1"/>
      <c r="K108" s="1"/>
    </row>
    <row r="109" ht="15.0" customHeight="1">
      <c r="A109" s="1"/>
      <c r="B109" s="1"/>
      <c r="C109" s="1"/>
      <c r="D109" s="1"/>
      <c r="E109" s="1"/>
      <c r="F109" s="1"/>
      <c r="G109" s="1"/>
      <c r="H109" s="1"/>
      <c r="I109" s="1"/>
      <c r="J109" s="1"/>
      <c r="K109" s="1"/>
    </row>
    <row r="110" ht="14.25" customHeight="1">
      <c r="A110" s="577" t="s">
        <v>1681</v>
      </c>
      <c r="B110" s="18"/>
      <c r="C110" s="18"/>
      <c r="D110" s="19"/>
      <c r="E110" s="1447" t="s">
        <v>1682</v>
      </c>
      <c r="F110" s="1"/>
      <c r="G110" s="1"/>
      <c r="H110" s="1"/>
      <c r="I110" s="1"/>
      <c r="J110" s="1"/>
      <c r="K110" s="1"/>
    </row>
    <row r="111" ht="14.25" customHeight="1">
      <c r="A111" s="173" t="s">
        <v>1</v>
      </c>
      <c r="B111" s="545">
        <v>20.0</v>
      </c>
      <c r="C111" s="1448">
        <v>40.0</v>
      </c>
      <c r="D111" s="332" t="s">
        <v>190</v>
      </c>
      <c r="E111" s="1"/>
      <c r="F111" s="1"/>
      <c r="G111" s="1"/>
      <c r="H111" s="1"/>
      <c r="I111" s="1"/>
      <c r="J111" s="1"/>
      <c r="K111" s="1"/>
    </row>
    <row r="112" ht="14.25" customHeight="1">
      <c r="A112" s="68" t="s">
        <v>1683</v>
      </c>
      <c r="B112" s="210">
        <v>19.0</v>
      </c>
      <c r="C112" s="285">
        <f t="shared" ref="C112:C113" si="9">(B112*C111)/B111</f>
        <v>38</v>
      </c>
      <c r="D112" s="335" t="s">
        <v>5</v>
      </c>
      <c r="E112" s="1"/>
      <c r="F112" s="1"/>
      <c r="G112" s="1"/>
      <c r="H112" s="1"/>
      <c r="I112" s="1"/>
      <c r="J112" s="1"/>
      <c r="K112" s="1"/>
    </row>
    <row r="113" ht="14.25" customHeight="1">
      <c r="A113" s="119" t="s">
        <v>1684</v>
      </c>
      <c r="B113" s="523">
        <v>12.0</v>
      </c>
      <c r="C113" s="285">
        <f t="shared" si="9"/>
        <v>24</v>
      </c>
      <c r="D113" s="335" t="s">
        <v>5</v>
      </c>
      <c r="E113" s="1"/>
      <c r="F113" s="1"/>
      <c r="G113" s="1"/>
      <c r="H113" s="1"/>
      <c r="I113" s="1"/>
      <c r="J113" s="1"/>
      <c r="K113" s="1"/>
    </row>
    <row r="114" ht="14.25" customHeight="1">
      <c r="A114" s="93" t="s">
        <v>1685</v>
      </c>
      <c r="B114" s="247">
        <v>0.6</v>
      </c>
      <c r="C114" s="198">
        <f>(B114*C112)/B112</f>
        <v>1.2</v>
      </c>
      <c r="D114" s="347" t="s">
        <v>14</v>
      </c>
      <c r="E114" s="1"/>
      <c r="F114" s="1"/>
      <c r="G114" s="1"/>
      <c r="H114" s="1"/>
      <c r="I114" s="1"/>
      <c r="J114" s="1"/>
      <c r="K114" s="1"/>
    </row>
    <row r="115" ht="14.25" customHeight="1">
      <c r="A115" s="93" t="s">
        <v>1677</v>
      </c>
      <c r="B115" s="247">
        <v>0.2</v>
      </c>
      <c r="C115" s="198">
        <f t="shared" ref="C115:C124" si="10">(B115*C114)/B114</f>
        <v>0.4</v>
      </c>
      <c r="D115" s="347" t="s">
        <v>14</v>
      </c>
      <c r="E115" s="1"/>
      <c r="F115" s="1"/>
      <c r="G115" s="1"/>
      <c r="H115" s="1"/>
      <c r="I115" s="1"/>
      <c r="J115" s="1"/>
      <c r="K115" s="1"/>
    </row>
    <row r="116" ht="14.25" customHeight="1">
      <c r="A116" s="93" t="s">
        <v>97</v>
      </c>
      <c r="B116" s="247">
        <v>25.0</v>
      </c>
      <c r="C116" s="198">
        <f t="shared" si="10"/>
        <v>50</v>
      </c>
      <c r="D116" s="347" t="s">
        <v>18</v>
      </c>
      <c r="E116" s="1"/>
      <c r="F116" s="1"/>
      <c r="G116" s="1"/>
      <c r="H116" s="1"/>
      <c r="I116" s="1"/>
      <c r="J116" s="1"/>
      <c r="K116" s="1"/>
    </row>
    <row r="117" ht="14.25" customHeight="1">
      <c r="A117" s="177" t="s">
        <v>126</v>
      </c>
      <c r="B117" s="198">
        <v>100.0</v>
      </c>
      <c r="C117" s="198">
        <f t="shared" si="10"/>
        <v>200</v>
      </c>
      <c r="D117" s="347" t="s">
        <v>18</v>
      </c>
      <c r="E117" s="1"/>
      <c r="F117" s="1"/>
      <c r="G117" s="1"/>
      <c r="H117" s="1"/>
      <c r="I117" s="1"/>
      <c r="J117" s="1"/>
      <c r="K117" s="1"/>
    </row>
    <row r="118" ht="14.25" customHeight="1">
      <c r="A118" s="177" t="s">
        <v>83</v>
      </c>
      <c r="B118" s="198">
        <v>80.0</v>
      </c>
      <c r="C118" s="198">
        <f t="shared" si="10"/>
        <v>160</v>
      </c>
      <c r="D118" s="347" t="s">
        <v>18</v>
      </c>
      <c r="E118" s="1"/>
      <c r="F118" s="1"/>
      <c r="G118" s="1"/>
      <c r="H118" s="1"/>
      <c r="I118" s="1"/>
      <c r="J118" s="1"/>
      <c r="K118" s="1"/>
    </row>
    <row r="119" ht="14.25" customHeight="1">
      <c r="A119" s="177" t="s">
        <v>101</v>
      </c>
      <c r="B119" s="198">
        <v>0.4</v>
      </c>
      <c r="C119" s="198">
        <f t="shared" si="10"/>
        <v>0.8</v>
      </c>
      <c r="D119" s="347" t="s">
        <v>18</v>
      </c>
      <c r="E119" s="1"/>
      <c r="F119" s="1"/>
      <c r="G119" s="1"/>
      <c r="H119" s="1"/>
      <c r="I119" s="1"/>
      <c r="J119" s="1"/>
      <c r="K119" s="1"/>
    </row>
    <row r="120" ht="14.25" customHeight="1">
      <c r="A120" s="93" t="s">
        <v>103</v>
      </c>
      <c r="B120" s="247">
        <v>30.0</v>
      </c>
      <c r="C120" s="198">
        <f t="shared" si="10"/>
        <v>60</v>
      </c>
      <c r="D120" s="347" t="s">
        <v>14</v>
      </c>
      <c r="E120" s="1"/>
      <c r="F120" s="1"/>
      <c r="G120" s="1"/>
      <c r="H120" s="1"/>
      <c r="I120" s="1"/>
      <c r="J120" s="1"/>
      <c r="K120" s="1"/>
    </row>
    <row r="121" ht="14.25" customHeight="1">
      <c r="A121" s="93" t="s">
        <v>193</v>
      </c>
      <c r="B121" s="247">
        <v>100.0</v>
      </c>
      <c r="C121" s="198">
        <f t="shared" si="10"/>
        <v>200</v>
      </c>
      <c r="D121" s="347" t="s">
        <v>18</v>
      </c>
      <c r="E121" s="1"/>
      <c r="F121" s="1"/>
      <c r="G121" s="1"/>
      <c r="H121" s="1"/>
      <c r="I121" s="1"/>
      <c r="J121" s="1"/>
      <c r="K121" s="1"/>
    </row>
    <row r="122" ht="14.25" customHeight="1">
      <c r="A122" s="93" t="s">
        <v>31</v>
      </c>
      <c r="B122" s="247">
        <v>220.0</v>
      </c>
      <c r="C122" s="198">
        <f t="shared" si="10"/>
        <v>440</v>
      </c>
      <c r="D122" s="347" t="s">
        <v>5</v>
      </c>
      <c r="E122" s="1"/>
      <c r="F122" s="1"/>
      <c r="G122" s="1"/>
      <c r="H122" s="1"/>
      <c r="I122" s="1"/>
      <c r="J122" s="1"/>
      <c r="K122" s="1"/>
    </row>
    <row r="123" ht="14.25" customHeight="1">
      <c r="A123" s="93" t="s">
        <v>31</v>
      </c>
      <c r="B123" s="247">
        <v>0.4</v>
      </c>
      <c r="C123" s="198">
        <f t="shared" si="10"/>
        <v>0.8</v>
      </c>
      <c r="D123" s="347" t="s">
        <v>366</v>
      </c>
      <c r="E123" s="1"/>
      <c r="F123" s="1"/>
      <c r="G123" s="1"/>
      <c r="H123" s="1"/>
      <c r="I123" s="1"/>
      <c r="J123" s="1"/>
      <c r="K123" s="1"/>
    </row>
    <row r="124" ht="14.25" customHeight="1">
      <c r="A124" s="105" t="s">
        <v>525</v>
      </c>
      <c r="B124" s="522">
        <v>0.5</v>
      </c>
      <c r="C124" s="211">
        <f t="shared" si="10"/>
        <v>1</v>
      </c>
      <c r="D124" s="388" t="s">
        <v>1679</v>
      </c>
      <c r="E124" s="1"/>
      <c r="F124" s="1"/>
      <c r="G124" s="1"/>
      <c r="H124" s="1"/>
      <c r="I124" s="1"/>
      <c r="J124" s="1"/>
      <c r="K124" s="1"/>
    </row>
    <row r="125" ht="14.25" customHeight="1">
      <c r="A125" s="1445" t="s">
        <v>1680</v>
      </c>
      <c r="B125" s="1"/>
      <c r="C125" s="184"/>
      <c r="D125" s="1"/>
      <c r="E125" s="1"/>
      <c r="F125" s="1"/>
      <c r="G125" s="1"/>
      <c r="H125" s="1"/>
      <c r="I125" s="1"/>
      <c r="J125" s="1"/>
      <c r="K125" s="1"/>
    </row>
    <row r="126" ht="14.25" customHeight="1">
      <c r="A126" s="1428" t="s">
        <v>42</v>
      </c>
      <c r="B126" s="818" t="s">
        <v>47</v>
      </c>
      <c r="C126" s="1446" t="s">
        <v>47</v>
      </c>
      <c r="D126" s="1"/>
      <c r="E126" s="1"/>
      <c r="F126" s="1"/>
      <c r="G126" s="1"/>
      <c r="H126" s="1"/>
      <c r="I126" s="1"/>
      <c r="J126" s="1"/>
      <c r="K126" s="1"/>
    </row>
    <row r="127" ht="14.25" customHeight="1">
      <c r="A127" s="203" t="s">
        <v>120</v>
      </c>
      <c r="B127" s="1363">
        <v>43614.0</v>
      </c>
      <c r="C127" s="1363">
        <v>43614.0</v>
      </c>
      <c r="D127" s="1"/>
      <c r="E127" s="1"/>
      <c r="F127" s="1"/>
      <c r="G127" s="1"/>
      <c r="H127" s="1"/>
      <c r="I127" s="1"/>
      <c r="J127" s="1"/>
      <c r="K127" s="1"/>
    </row>
    <row r="128" ht="14.25" customHeight="1">
      <c r="A128" s="203" t="s">
        <v>50</v>
      </c>
      <c r="B128" s="1363">
        <v>43614.0</v>
      </c>
      <c r="C128" s="1363">
        <v>43619.0</v>
      </c>
      <c r="D128" s="1"/>
      <c r="E128" s="1"/>
      <c r="F128" s="1"/>
      <c r="G128" s="1"/>
      <c r="H128" s="1"/>
      <c r="I128" s="1"/>
      <c r="J128" s="1"/>
      <c r="K128" s="1"/>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D1"/>
    <mergeCell ref="E3:E6"/>
    <mergeCell ref="E7:E16"/>
    <mergeCell ref="E17:E18"/>
    <mergeCell ref="A23:D23"/>
    <mergeCell ref="E26:E29"/>
    <mergeCell ref="E30:E38"/>
    <mergeCell ref="E96:E101"/>
    <mergeCell ref="A110:D110"/>
    <mergeCell ref="E40:E41"/>
    <mergeCell ref="E42:E54"/>
    <mergeCell ref="F42:F54"/>
    <mergeCell ref="A59:D59"/>
    <mergeCell ref="A75:D75"/>
    <mergeCell ref="A89:D89"/>
    <mergeCell ref="E91:E95"/>
  </mergeCells>
  <hyperlinks>
    <hyperlink display="Back" location="'Recipe Index'!BI40" ref="A19"/>
    <hyperlink display="HOME" location="'Recipe Index'!B5" ref="B19"/>
    <hyperlink display="Back" location="'Recipe Index'!BI40" ref="A55"/>
    <hyperlink display="HOME" location="'Recipe Index'!B5" ref="B55"/>
    <hyperlink display="Back" location="'Recipe Index'!BI40" ref="A71"/>
    <hyperlink display="HOME" location="'Recipe Index'!B5" ref="B71"/>
    <hyperlink display="Back" location="'Recipe Index'!BI40" ref="A84"/>
    <hyperlink display="HOME" location="'Recipe Index'!B5" ref="B84"/>
    <hyperlink display="Back" location="'Recipe Index'!BI40" ref="A103"/>
    <hyperlink display="HOME" location="'Recipe Index'!B5" ref="B103"/>
    <hyperlink display="HOME" location="'Recipe Index'!B5" ref="C103"/>
    <hyperlink display="Back" location="'Recipe Index'!BI40" ref="A126"/>
    <hyperlink display="HOME" location="'Recipe Index'!B5" ref="B126"/>
    <hyperlink display="HOME" location="'Recipe Index'!B5" ref="C126"/>
  </hyperlink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9.38"/>
    <col customWidth="1" min="2" max="2" width="10.75"/>
    <col customWidth="1" min="3" max="3" width="11.75"/>
    <col customWidth="1" min="4" max="4" width="6.63"/>
    <col customWidth="1" min="5" max="5" width="24.63"/>
    <col customWidth="1" min="6" max="6" width="20.38"/>
    <col customWidth="1" min="7" max="7" width="7.0"/>
    <col customWidth="1" min="8" max="8" width="10.75"/>
    <col customWidth="1" min="9" max="9" width="6.75"/>
    <col customWidth="1" min="10" max="10" width="5.38"/>
    <col customWidth="1" min="11" max="11" width="15.75"/>
    <col customWidth="1" min="12" max="14" width="9.25"/>
    <col customWidth="1" min="15" max="15" width="19.25"/>
    <col customWidth="1" min="16" max="26" width="14.38"/>
  </cols>
  <sheetData>
    <row r="1" ht="14.25" customHeight="1">
      <c r="A1" s="386" t="s">
        <v>259</v>
      </c>
      <c r="B1" s="5"/>
      <c r="C1" s="5"/>
      <c r="D1" s="6"/>
      <c r="E1" s="7"/>
      <c r="F1" s="1"/>
      <c r="G1" s="1"/>
      <c r="H1" s="1"/>
      <c r="I1" s="1"/>
      <c r="J1" s="1"/>
      <c r="K1" s="1"/>
      <c r="L1" s="1"/>
      <c r="M1" s="1"/>
      <c r="N1" s="1"/>
      <c r="O1" s="1"/>
    </row>
    <row r="2" ht="14.25" customHeight="1">
      <c r="A2" s="1440" t="s">
        <v>1</v>
      </c>
      <c r="B2" s="1441">
        <v>100.0</v>
      </c>
      <c r="C2" s="1442">
        <v>30.0</v>
      </c>
      <c r="D2" s="1451" t="s">
        <v>5</v>
      </c>
      <c r="E2" s="7"/>
      <c r="F2" s="1"/>
      <c r="G2" s="1"/>
      <c r="H2" s="1"/>
      <c r="I2" s="1"/>
      <c r="J2" s="1"/>
      <c r="K2" s="1"/>
      <c r="L2" s="1"/>
      <c r="M2" s="1"/>
      <c r="N2" s="1"/>
      <c r="O2" s="1"/>
    </row>
    <row r="3" ht="14.25" customHeight="1">
      <c r="A3" s="345" t="s">
        <v>53</v>
      </c>
      <c r="B3" s="1454">
        <v>5.8</v>
      </c>
      <c r="C3" s="285">
        <f t="shared" ref="C3:C10" si="1">(B3*C2)/B2</f>
        <v>1.74</v>
      </c>
      <c r="D3" s="1456" t="s">
        <v>14</v>
      </c>
      <c r="E3" s="1458" t="s">
        <v>1691</v>
      </c>
      <c r="F3" s="1"/>
      <c r="G3" s="1"/>
      <c r="H3" s="1"/>
      <c r="I3" s="1"/>
      <c r="J3" s="1"/>
      <c r="K3" s="1"/>
      <c r="L3" s="1"/>
      <c r="M3" s="1"/>
      <c r="N3" s="1"/>
      <c r="O3" s="1"/>
    </row>
    <row r="4" ht="14.25" customHeight="1">
      <c r="A4" s="350" t="s">
        <v>805</v>
      </c>
      <c r="B4" s="1463">
        <v>5.8</v>
      </c>
      <c r="C4" s="198">
        <f t="shared" si="1"/>
        <v>1.74</v>
      </c>
      <c r="D4" s="1468" t="s">
        <v>14</v>
      </c>
      <c r="E4" s="47"/>
      <c r="F4" s="1"/>
      <c r="G4" s="1"/>
      <c r="H4" s="1"/>
      <c r="I4" s="1"/>
      <c r="J4" s="1"/>
      <c r="K4" s="1"/>
      <c r="L4" s="1"/>
      <c r="M4" s="1"/>
      <c r="N4" s="1"/>
      <c r="O4" s="1"/>
    </row>
    <row r="5" ht="14.25" customHeight="1">
      <c r="A5" s="341" t="s">
        <v>1698</v>
      </c>
      <c r="B5" s="1439">
        <v>4.0</v>
      </c>
      <c r="C5" s="198">
        <f t="shared" si="1"/>
        <v>1.2</v>
      </c>
      <c r="D5" s="347" t="s">
        <v>14</v>
      </c>
      <c r="E5" s="47"/>
      <c r="F5" s="1"/>
      <c r="G5" s="1"/>
      <c r="H5" s="1"/>
      <c r="I5" s="1"/>
      <c r="J5" s="1"/>
      <c r="K5" s="1"/>
      <c r="L5" s="1"/>
      <c r="M5" s="1"/>
      <c r="N5" s="1"/>
      <c r="O5" s="1"/>
    </row>
    <row r="6" ht="14.25" customHeight="1">
      <c r="A6" s="341" t="s">
        <v>1794</v>
      </c>
      <c r="B6" s="1439">
        <v>4.0</v>
      </c>
      <c r="C6" s="198">
        <f t="shared" si="1"/>
        <v>1.2</v>
      </c>
      <c r="D6" s="347" t="s">
        <v>14</v>
      </c>
      <c r="E6" s="47"/>
      <c r="F6" s="1"/>
      <c r="G6" s="1"/>
      <c r="H6" s="1"/>
      <c r="I6" s="1"/>
      <c r="J6" s="1"/>
      <c r="K6" s="1"/>
      <c r="L6" s="1"/>
      <c r="M6" s="1"/>
      <c r="N6" s="1"/>
      <c r="O6" s="1"/>
    </row>
    <row r="7" ht="15.0" customHeight="1">
      <c r="A7" s="341" t="s">
        <v>1795</v>
      </c>
      <c r="B7" s="1439">
        <v>4.0</v>
      </c>
      <c r="C7" s="198">
        <f t="shared" si="1"/>
        <v>1.2</v>
      </c>
      <c r="D7" s="347" t="s">
        <v>14</v>
      </c>
      <c r="E7" s="47"/>
      <c r="F7" s="1"/>
      <c r="G7" s="1"/>
      <c r="H7" s="1"/>
      <c r="I7" s="1"/>
      <c r="J7" s="1"/>
      <c r="K7" s="1"/>
      <c r="L7" s="1"/>
      <c r="M7" s="1"/>
      <c r="N7" s="1"/>
      <c r="O7" s="1"/>
    </row>
    <row r="8" ht="14.25" customHeight="1">
      <c r="A8" s="341" t="s">
        <v>1796</v>
      </c>
      <c r="B8" s="1439">
        <v>8.0</v>
      </c>
      <c r="C8" s="198">
        <f t="shared" si="1"/>
        <v>2.4</v>
      </c>
      <c r="D8" s="347" t="s">
        <v>14</v>
      </c>
      <c r="E8" s="47"/>
      <c r="F8" s="1"/>
      <c r="G8" s="1"/>
      <c r="H8" s="1"/>
      <c r="I8" s="1"/>
      <c r="J8" s="1"/>
      <c r="K8" s="1"/>
      <c r="L8" s="1"/>
      <c r="M8" s="1"/>
      <c r="N8" s="1"/>
      <c r="O8" s="1"/>
    </row>
    <row r="9" ht="14.25" customHeight="1">
      <c r="A9" s="341" t="s">
        <v>1797</v>
      </c>
      <c r="B9" s="1439">
        <v>4.0</v>
      </c>
      <c r="C9" s="198">
        <f t="shared" si="1"/>
        <v>1.2</v>
      </c>
      <c r="D9" s="347" t="s">
        <v>14</v>
      </c>
      <c r="E9" s="47"/>
      <c r="F9" s="1"/>
      <c r="G9" s="1"/>
      <c r="H9" s="1"/>
      <c r="I9" s="1"/>
      <c r="J9" s="1"/>
      <c r="K9" s="1"/>
      <c r="L9" s="1"/>
      <c r="M9" s="1"/>
      <c r="N9" s="1"/>
      <c r="O9" s="1"/>
    </row>
    <row r="10" ht="14.25" customHeight="1">
      <c r="A10" s="358" t="s">
        <v>1798</v>
      </c>
      <c r="B10" s="1443">
        <v>13.0</v>
      </c>
      <c r="C10" s="211">
        <f t="shared" si="1"/>
        <v>3.9</v>
      </c>
      <c r="D10" s="388" t="s">
        <v>14</v>
      </c>
      <c r="E10" s="76"/>
      <c r="F10" s="1"/>
      <c r="G10" s="1"/>
      <c r="H10" s="1"/>
      <c r="I10" s="1"/>
      <c r="J10" s="1"/>
      <c r="K10" s="1"/>
      <c r="L10" s="1"/>
      <c r="M10" s="1"/>
      <c r="N10" s="1"/>
      <c r="O10" s="1"/>
    </row>
    <row r="11" ht="14.25" customHeight="1">
      <c r="A11" s="330" t="s">
        <v>157</v>
      </c>
      <c r="B11" s="1558">
        <v>45.0</v>
      </c>
      <c r="C11" s="460">
        <f t="shared" ref="C11:C12" si="2">(B11*C9)/B9</f>
        <v>13.5</v>
      </c>
      <c r="D11" s="332" t="s">
        <v>5</v>
      </c>
      <c r="E11" s="1561"/>
      <c r="F11" s="1"/>
      <c r="G11" s="1"/>
      <c r="H11" s="1"/>
      <c r="I11" s="1"/>
      <c r="J11" s="1"/>
      <c r="K11" s="1"/>
      <c r="L11" s="1"/>
      <c r="M11" s="1"/>
      <c r="N11" s="1"/>
      <c r="O11" s="1"/>
    </row>
    <row r="12" ht="14.25" customHeight="1">
      <c r="A12" s="357" t="s">
        <v>91</v>
      </c>
      <c r="B12" s="1562">
        <v>3.0</v>
      </c>
      <c r="C12" s="390">
        <f t="shared" si="2"/>
        <v>0.9</v>
      </c>
      <c r="D12" s="361" t="s">
        <v>5</v>
      </c>
      <c r="E12" s="1563" t="s">
        <v>1800</v>
      </c>
      <c r="F12" s="1"/>
      <c r="G12" s="1"/>
      <c r="H12" s="1"/>
      <c r="I12" s="1"/>
      <c r="J12" s="1"/>
      <c r="K12" s="1"/>
      <c r="L12" s="1"/>
      <c r="M12" s="1"/>
      <c r="N12" s="1"/>
      <c r="O12" s="1"/>
    </row>
    <row r="13" ht="14.25" customHeight="1">
      <c r="A13" s="341" t="s">
        <v>97</v>
      </c>
      <c r="B13" s="1439">
        <v>100.0</v>
      </c>
      <c r="C13" s="198">
        <f t="shared" ref="C13:C24" si="3">(B13*C12)/B12</f>
        <v>30</v>
      </c>
      <c r="D13" s="347" t="s">
        <v>18</v>
      </c>
      <c r="E13" s="66"/>
      <c r="F13" s="1"/>
      <c r="G13" s="1"/>
      <c r="H13" s="1"/>
      <c r="I13" s="1"/>
      <c r="J13" s="1"/>
      <c r="K13" s="1"/>
      <c r="L13" s="1"/>
      <c r="M13" s="1"/>
      <c r="N13" s="1"/>
      <c r="O13" s="1"/>
    </row>
    <row r="14" ht="14.25" customHeight="1">
      <c r="A14" s="341" t="s">
        <v>98</v>
      </c>
      <c r="B14" s="1439">
        <v>80.0</v>
      </c>
      <c r="C14" s="198">
        <f t="shared" si="3"/>
        <v>24</v>
      </c>
      <c r="D14" s="347" t="s">
        <v>18</v>
      </c>
      <c r="E14" s="66"/>
      <c r="F14" s="1"/>
      <c r="G14" s="1"/>
      <c r="H14" s="1"/>
      <c r="I14" s="1"/>
      <c r="J14" s="1"/>
      <c r="K14" s="1"/>
      <c r="L14" s="1"/>
      <c r="M14" s="1"/>
      <c r="N14" s="1"/>
      <c r="O14" s="1"/>
    </row>
    <row r="15" ht="14.25" customHeight="1">
      <c r="A15" s="341" t="s">
        <v>1801</v>
      </c>
      <c r="B15" s="1439">
        <v>60.0</v>
      </c>
      <c r="C15" s="198">
        <f t="shared" si="3"/>
        <v>18</v>
      </c>
      <c r="D15" s="347" t="s">
        <v>18</v>
      </c>
      <c r="E15" s="66"/>
      <c r="F15" s="1"/>
      <c r="G15" s="1"/>
      <c r="H15" s="1"/>
      <c r="I15" s="1"/>
      <c r="J15" s="1"/>
      <c r="K15" s="1"/>
      <c r="L15" s="1"/>
      <c r="M15" s="1"/>
      <c r="N15" s="1"/>
      <c r="O15" s="1"/>
    </row>
    <row r="16" ht="14.25" customHeight="1">
      <c r="A16" s="341" t="s">
        <v>1751</v>
      </c>
      <c r="B16" s="1439">
        <v>50.0</v>
      </c>
      <c r="C16" s="198">
        <f t="shared" si="3"/>
        <v>15</v>
      </c>
      <c r="D16" s="347" t="s">
        <v>18</v>
      </c>
      <c r="E16" s="66"/>
      <c r="F16" s="1"/>
      <c r="G16" s="1"/>
      <c r="H16" s="1"/>
      <c r="I16" s="1"/>
      <c r="J16" s="1"/>
      <c r="K16" s="1"/>
      <c r="L16" s="1"/>
      <c r="M16" s="1"/>
      <c r="N16" s="1"/>
      <c r="O16" s="1"/>
    </row>
    <row r="17" ht="14.25" customHeight="1">
      <c r="A17" s="341" t="s">
        <v>63</v>
      </c>
      <c r="B17" s="1439">
        <v>25.0</v>
      </c>
      <c r="C17" s="198">
        <f t="shared" si="3"/>
        <v>7.5</v>
      </c>
      <c r="D17" s="347" t="s">
        <v>18</v>
      </c>
      <c r="E17" s="66"/>
      <c r="F17" s="1"/>
      <c r="G17" s="1"/>
      <c r="H17" s="1"/>
      <c r="I17" s="1"/>
      <c r="J17" s="1"/>
      <c r="K17" s="1"/>
      <c r="L17" s="1"/>
      <c r="M17" s="1"/>
      <c r="N17" s="1"/>
      <c r="O17" s="1"/>
    </row>
    <row r="18" ht="14.25" customHeight="1">
      <c r="A18" s="341" t="s">
        <v>193</v>
      </c>
      <c r="B18" s="1439">
        <v>2.0</v>
      </c>
      <c r="C18" s="198">
        <f t="shared" si="3"/>
        <v>0.6</v>
      </c>
      <c r="D18" s="347" t="s">
        <v>5</v>
      </c>
      <c r="E18" s="66"/>
      <c r="F18" s="1"/>
      <c r="G18" s="1"/>
      <c r="H18" s="1"/>
      <c r="I18" s="1"/>
      <c r="J18" s="1"/>
      <c r="K18" s="1"/>
      <c r="L18" s="1"/>
      <c r="M18" s="1"/>
      <c r="N18" s="1"/>
      <c r="O18" s="1"/>
    </row>
    <row r="19" ht="14.25" customHeight="1">
      <c r="A19" s="341" t="s">
        <v>52</v>
      </c>
      <c r="B19" s="1439">
        <v>160.0</v>
      </c>
      <c r="C19" s="198">
        <f t="shared" si="3"/>
        <v>48</v>
      </c>
      <c r="D19" s="347" t="s">
        <v>18</v>
      </c>
      <c r="E19" s="66"/>
      <c r="F19" s="1"/>
      <c r="G19" s="1"/>
      <c r="H19" s="1"/>
      <c r="I19" s="1"/>
      <c r="J19" s="1"/>
      <c r="K19" s="1"/>
      <c r="L19" s="1"/>
      <c r="M19" s="1"/>
      <c r="N19" s="1"/>
      <c r="O19" s="1"/>
    </row>
    <row r="20" ht="15.75" customHeight="1">
      <c r="A20" s="341" t="s">
        <v>39</v>
      </c>
      <c r="B20" s="1439">
        <v>300.0</v>
      </c>
      <c r="C20" s="198">
        <f t="shared" si="3"/>
        <v>90</v>
      </c>
      <c r="D20" s="347" t="s">
        <v>18</v>
      </c>
      <c r="E20" s="66"/>
      <c r="F20" s="1"/>
      <c r="G20" s="1"/>
      <c r="H20" s="1"/>
      <c r="I20" s="1"/>
      <c r="J20" s="1"/>
      <c r="K20" s="1"/>
      <c r="L20" s="1"/>
      <c r="M20" s="1"/>
      <c r="N20" s="1"/>
      <c r="O20" s="1"/>
    </row>
    <row r="21" ht="14.25" customHeight="1">
      <c r="A21" s="341" t="s">
        <v>149</v>
      </c>
      <c r="B21" s="1439">
        <v>500.0000000000002</v>
      </c>
      <c r="C21" s="198">
        <f t="shared" si="3"/>
        <v>150</v>
      </c>
      <c r="D21" s="347" t="s">
        <v>18</v>
      </c>
      <c r="E21" s="66"/>
      <c r="F21" s="1"/>
      <c r="G21" s="1"/>
      <c r="H21" s="1"/>
      <c r="I21" s="1"/>
      <c r="J21" s="1"/>
      <c r="K21" s="1"/>
      <c r="L21" s="1"/>
      <c r="M21" s="1"/>
      <c r="N21" s="1"/>
      <c r="O21" s="1"/>
    </row>
    <row r="22" ht="14.25" customHeight="1">
      <c r="A22" s="341" t="s">
        <v>66</v>
      </c>
      <c r="B22" s="1439">
        <v>30.0</v>
      </c>
      <c r="C22" s="198">
        <f t="shared" si="3"/>
        <v>9</v>
      </c>
      <c r="D22" s="347" t="s">
        <v>18</v>
      </c>
      <c r="E22" s="66"/>
      <c r="F22" s="1"/>
      <c r="G22" s="1"/>
      <c r="H22" s="1"/>
      <c r="I22" s="1"/>
      <c r="J22" s="1"/>
      <c r="K22" s="1"/>
      <c r="L22" s="1"/>
      <c r="M22" s="1"/>
      <c r="N22" s="1"/>
      <c r="O22" s="1"/>
    </row>
    <row r="23" ht="14.25" customHeight="1">
      <c r="A23" s="341" t="s">
        <v>1803</v>
      </c>
      <c r="B23" s="1439">
        <v>9.0</v>
      </c>
      <c r="C23" s="198">
        <f t="shared" si="3"/>
        <v>2.7</v>
      </c>
      <c r="D23" s="347" t="s">
        <v>14</v>
      </c>
      <c r="E23" s="66"/>
      <c r="F23" s="1"/>
      <c r="G23" s="1"/>
      <c r="H23" s="1"/>
      <c r="I23" s="1"/>
      <c r="J23" s="1"/>
      <c r="K23" s="1"/>
      <c r="L23" s="1"/>
      <c r="M23" s="1"/>
      <c r="N23" s="1"/>
      <c r="O23" s="1"/>
    </row>
    <row r="24" ht="14.25" customHeight="1">
      <c r="A24" s="358" t="s">
        <v>31</v>
      </c>
      <c r="B24" s="1443">
        <v>1100.0</v>
      </c>
      <c r="C24" s="211">
        <f t="shared" si="3"/>
        <v>330</v>
      </c>
      <c r="D24" s="388" t="s">
        <v>18</v>
      </c>
      <c r="E24" s="106"/>
      <c r="F24" s="1"/>
      <c r="G24" s="1"/>
      <c r="H24" s="1"/>
      <c r="I24" s="1"/>
      <c r="J24" s="1"/>
      <c r="K24" s="1"/>
      <c r="L24" s="1"/>
      <c r="M24" s="1"/>
      <c r="N24" s="1"/>
      <c r="O24" s="1"/>
    </row>
    <row r="25" ht="14.25" customHeight="1">
      <c r="A25" s="396"/>
      <c r="B25" s="20"/>
      <c r="C25" s="20"/>
      <c r="D25" s="7"/>
      <c r="E25" s="1"/>
      <c r="F25" s="1"/>
      <c r="G25" s="1"/>
      <c r="H25" s="1"/>
      <c r="I25" s="1"/>
      <c r="J25" s="1"/>
      <c r="K25" s="1"/>
      <c r="L25" s="1"/>
      <c r="M25" s="1"/>
      <c r="N25" s="1"/>
      <c r="O25" s="1"/>
    </row>
    <row r="26" ht="14.25" customHeight="1">
      <c r="A26" s="1564" t="s">
        <v>1805</v>
      </c>
      <c r="B26" s="5"/>
      <c r="C26" s="5"/>
      <c r="D26" s="6"/>
      <c r="E26" s="1"/>
      <c r="F26" s="1"/>
      <c r="G26" s="1"/>
      <c r="H26" s="1"/>
      <c r="I26" s="1"/>
      <c r="J26" s="1"/>
      <c r="K26" s="1"/>
      <c r="L26" s="1"/>
      <c r="M26" s="1"/>
      <c r="N26" s="1"/>
      <c r="O26" s="1"/>
    </row>
    <row r="27" ht="14.25" customHeight="1">
      <c r="A27" s="63"/>
      <c r="D27" s="66"/>
      <c r="E27" s="1"/>
      <c r="F27" s="1"/>
      <c r="G27" s="1"/>
      <c r="H27" s="1"/>
      <c r="I27" s="1"/>
      <c r="J27" s="1"/>
      <c r="K27" s="1"/>
      <c r="L27" s="1"/>
      <c r="M27" s="1"/>
      <c r="N27" s="1"/>
      <c r="O27" s="1"/>
    </row>
    <row r="28" ht="14.25" customHeight="1">
      <c r="A28" s="102"/>
      <c r="B28" s="104"/>
      <c r="C28" s="104"/>
      <c r="D28" s="106"/>
      <c r="E28" s="1"/>
      <c r="F28" s="1"/>
      <c r="G28" s="1"/>
      <c r="H28" s="1"/>
      <c r="I28" s="1"/>
      <c r="J28" s="1"/>
      <c r="K28" s="1"/>
      <c r="L28" s="1"/>
      <c r="M28" s="1"/>
      <c r="N28" s="1"/>
      <c r="O28" s="1"/>
    </row>
    <row r="29" ht="14.25" customHeight="1">
      <c r="A29" s="1566" t="s">
        <v>502</v>
      </c>
      <c r="B29" s="1567">
        <v>41833.0</v>
      </c>
      <c r="C29" s="20"/>
      <c r="D29" s="1547"/>
      <c r="E29" s="1"/>
      <c r="F29" s="1"/>
      <c r="G29" s="1"/>
      <c r="H29" s="1"/>
      <c r="I29" s="1"/>
      <c r="J29" s="1"/>
      <c r="K29" s="1"/>
      <c r="L29" s="1"/>
      <c r="M29" s="1"/>
      <c r="N29" s="1"/>
      <c r="O29" s="1"/>
    </row>
    <row r="30" ht="14.25" customHeight="1">
      <c r="A30" s="90" t="s">
        <v>50</v>
      </c>
      <c r="B30" s="974">
        <v>41999.0</v>
      </c>
      <c r="C30" s="20"/>
      <c r="D30" s="1547"/>
      <c r="E30" s="1"/>
      <c r="F30" s="1"/>
      <c r="G30" s="1"/>
      <c r="H30" s="1"/>
      <c r="I30" s="1"/>
      <c r="J30" s="1"/>
      <c r="K30" s="1"/>
      <c r="L30" s="1"/>
      <c r="M30" s="1"/>
      <c r="N30" s="1"/>
      <c r="O30" s="1"/>
    </row>
    <row r="31" ht="14.25" customHeight="1">
      <c r="A31" s="1143" t="s">
        <v>42</v>
      </c>
      <c r="B31" s="183" t="s">
        <v>47</v>
      </c>
      <c r="C31" s="20"/>
      <c r="D31" s="1547"/>
      <c r="E31" s="1"/>
      <c r="F31" s="1"/>
      <c r="G31" s="1"/>
      <c r="H31" s="1"/>
      <c r="I31" s="1"/>
      <c r="J31" s="1"/>
      <c r="K31" s="1"/>
      <c r="L31" s="1"/>
      <c r="M31" s="1"/>
      <c r="N31" s="1"/>
      <c r="O31" s="1"/>
    </row>
    <row r="32" ht="14.25" customHeight="1">
      <c r="A32" s="1"/>
      <c r="B32" s="1"/>
      <c r="C32" s="1"/>
      <c r="D32" s="1"/>
      <c r="E32" s="921"/>
      <c r="F32" s="1"/>
      <c r="G32" s="1"/>
      <c r="H32" s="1"/>
      <c r="I32" s="1"/>
      <c r="J32" s="1"/>
      <c r="K32" s="1"/>
      <c r="L32" s="1"/>
      <c r="M32" s="1"/>
      <c r="N32" s="1"/>
      <c r="O32" s="1"/>
    </row>
    <row r="33" ht="14.25" customHeight="1">
      <c r="A33" s="240" t="s">
        <v>385</v>
      </c>
      <c r="B33" s="5"/>
      <c r="C33" s="5"/>
      <c r="D33" s="6"/>
      <c r="E33" s="1"/>
      <c r="F33" s="1"/>
      <c r="G33" s="1"/>
      <c r="H33" s="1"/>
      <c r="I33" s="1"/>
      <c r="J33" s="1"/>
      <c r="K33" s="1"/>
      <c r="L33" s="1"/>
      <c r="M33" s="1"/>
      <c r="N33" s="1"/>
      <c r="O33" s="1"/>
    </row>
    <row r="34" ht="14.25" customHeight="1">
      <c r="A34" s="25" t="s">
        <v>1</v>
      </c>
      <c r="B34" s="26">
        <v>100.0</v>
      </c>
      <c r="C34" s="314">
        <v>60.0</v>
      </c>
      <c r="D34" s="28" t="s">
        <v>5</v>
      </c>
      <c r="E34" s="269" t="s">
        <v>1807</v>
      </c>
      <c r="F34" s="1"/>
      <c r="G34" s="1"/>
      <c r="H34" s="1"/>
      <c r="I34" s="1"/>
      <c r="J34" s="1"/>
      <c r="K34" s="1"/>
      <c r="L34" s="1"/>
      <c r="M34" s="1"/>
      <c r="N34" s="1"/>
      <c r="O34" s="1"/>
    </row>
    <row r="35" ht="14.25" customHeight="1">
      <c r="A35" s="163" t="s">
        <v>956</v>
      </c>
      <c r="B35" s="316">
        <v>10.0</v>
      </c>
      <c r="C35" s="285">
        <f t="shared" ref="C35:C49" si="4">(B35*C34)/B34</f>
        <v>6</v>
      </c>
      <c r="D35" s="169" t="s">
        <v>14</v>
      </c>
      <c r="E35" s="47"/>
      <c r="F35" s="1"/>
      <c r="G35" s="1"/>
      <c r="H35" s="1"/>
      <c r="I35" s="1"/>
      <c r="J35" s="1"/>
      <c r="K35" s="1"/>
      <c r="L35" s="1"/>
      <c r="M35" s="1"/>
      <c r="N35" s="1"/>
      <c r="O35" s="1"/>
    </row>
    <row r="36" ht="14.25" customHeight="1">
      <c r="A36" s="177" t="s">
        <v>1808</v>
      </c>
      <c r="B36" s="321">
        <v>7.0</v>
      </c>
      <c r="C36" s="198">
        <f t="shared" si="4"/>
        <v>4.2</v>
      </c>
      <c r="D36" s="204" t="s">
        <v>14</v>
      </c>
      <c r="E36" s="47"/>
      <c r="F36" s="1"/>
      <c r="G36" s="1"/>
      <c r="H36" s="1"/>
      <c r="I36" s="1"/>
      <c r="J36" s="1"/>
      <c r="K36" s="1"/>
      <c r="L36" s="1"/>
      <c r="M36" s="1"/>
      <c r="N36" s="1"/>
      <c r="O36" s="1"/>
    </row>
    <row r="37" ht="14.25" customHeight="1">
      <c r="A37" s="177" t="s">
        <v>31</v>
      </c>
      <c r="B37" s="321">
        <v>1050.0</v>
      </c>
      <c r="C37" s="198">
        <f t="shared" si="4"/>
        <v>630</v>
      </c>
      <c r="D37" s="204" t="s">
        <v>18</v>
      </c>
      <c r="E37" s="47"/>
      <c r="F37" s="1"/>
      <c r="G37" s="1"/>
      <c r="H37" s="1"/>
      <c r="I37" s="1"/>
      <c r="J37" s="1"/>
      <c r="K37" s="1"/>
      <c r="L37" s="1"/>
      <c r="M37" s="1"/>
      <c r="N37" s="1"/>
      <c r="O37" s="1"/>
    </row>
    <row r="38" ht="15.75" customHeight="1">
      <c r="A38" s="177" t="s">
        <v>52</v>
      </c>
      <c r="B38" s="321">
        <v>100.0</v>
      </c>
      <c r="C38" s="198">
        <f t="shared" si="4"/>
        <v>60</v>
      </c>
      <c r="D38" s="249" t="s">
        <v>18</v>
      </c>
      <c r="E38" s="47"/>
      <c r="F38" s="1"/>
      <c r="G38" s="1"/>
      <c r="H38" s="1"/>
      <c r="I38" s="1"/>
      <c r="J38" s="1"/>
      <c r="K38" s="1"/>
      <c r="L38" s="1"/>
      <c r="M38" s="1"/>
      <c r="N38" s="1"/>
      <c r="O38" s="1"/>
    </row>
    <row r="39" ht="15.75" customHeight="1">
      <c r="A39" s="177" t="s">
        <v>157</v>
      </c>
      <c r="B39" s="321">
        <v>100.0</v>
      </c>
      <c r="C39" s="198">
        <f t="shared" si="4"/>
        <v>60</v>
      </c>
      <c r="D39" s="204" t="s">
        <v>5</v>
      </c>
      <c r="E39" s="47"/>
      <c r="F39" s="1"/>
      <c r="G39" s="1"/>
      <c r="H39" s="1"/>
      <c r="I39" s="1"/>
      <c r="J39" s="1"/>
      <c r="K39" s="1"/>
      <c r="L39" s="1"/>
      <c r="M39" s="1"/>
      <c r="N39" s="1"/>
      <c r="O39" s="1"/>
    </row>
    <row r="40" ht="14.25" customHeight="1">
      <c r="A40" s="208" t="s">
        <v>1811</v>
      </c>
      <c r="B40" s="318">
        <v>10.0</v>
      </c>
      <c r="C40" s="211">
        <f t="shared" si="4"/>
        <v>6</v>
      </c>
      <c r="D40" s="212" t="s">
        <v>14</v>
      </c>
      <c r="E40" s="76"/>
      <c r="F40" s="1"/>
      <c r="G40" s="1"/>
      <c r="H40" s="1"/>
      <c r="I40" s="1"/>
      <c r="J40" s="1"/>
      <c r="K40" s="1"/>
      <c r="L40" s="1"/>
      <c r="M40" s="1"/>
      <c r="N40" s="1"/>
      <c r="O40" s="1"/>
    </row>
    <row r="41" ht="14.25" customHeight="1">
      <c r="A41" s="157" t="s">
        <v>13</v>
      </c>
      <c r="B41" s="839">
        <v>0.5</v>
      </c>
      <c r="C41" s="390">
        <f t="shared" si="4"/>
        <v>0.3</v>
      </c>
      <c r="D41" s="159" t="s">
        <v>14</v>
      </c>
      <c r="E41" s="1100" t="s">
        <v>1814</v>
      </c>
      <c r="F41" s="1"/>
      <c r="G41" s="1"/>
      <c r="H41" s="1"/>
      <c r="I41" s="1"/>
      <c r="J41" s="1"/>
      <c r="K41" s="1"/>
      <c r="L41" s="1"/>
      <c r="M41" s="1"/>
      <c r="N41" s="1"/>
      <c r="O41" s="1"/>
    </row>
    <row r="42" ht="14.25" customHeight="1">
      <c r="A42" s="177" t="s">
        <v>1027</v>
      </c>
      <c r="B42" s="321">
        <v>200.0</v>
      </c>
      <c r="C42" s="198">
        <f t="shared" si="4"/>
        <v>120</v>
      </c>
      <c r="D42" s="204" t="s">
        <v>18</v>
      </c>
      <c r="E42" s="47"/>
      <c r="F42" s="1"/>
      <c r="G42" s="1"/>
      <c r="H42" s="1"/>
      <c r="I42" s="1"/>
      <c r="J42" s="1"/>
      <c r="K42" s="1"/>
      <c r="L42" s="1"/>
      <c r="M42" s="1"/>
      <c r="N42" s="1"/>
      <c r="O42" s="1"/>
    </row>
    <row r="43" ht="14.25" customHeight="1">
      <c r="A43" s="177" t="s">
        <v>105</v>
      </c>
      <c r="B43" s="321">
        <v>150.0</v>
      </c>
      <c r="C43" s="198">
        <f t="shared" si="4"/>
        <v>90</v>
      </c>
      <c r="D43" s="204" t="s">
        <v>18</v>
      </c>
      <c r="E43" s="76"/>
      <c r="F43" s="1"/>
      <c r="G43" s="1"/>
      <c r="H43" s="1"/>
      <c r="I43" s="1"/>
      <c r="J43" s="1"/>
      <c r="K43" s="1"/>
      <c r="L43" s="1"/>
      <c r="M43" s="1"/>
      <c r="N43" s="1"/>
      <c r="O43" s="1"/>
    </row>
    <row r="44" ht="14.25" customHeight="1">
      <c r="A44" s="163" t="s">
        <v>743</v>
      </c>
      <c r="B44" s="316">
        <v>1.5</v>
      </c>
      <c r="C44" s="285">
        <f t="shared" si="4"/>
        <v>0.9</v>
      </c>
      <c r="D44" s="216" t="s">
        <v>5</v>
      </c>
      <c r="E44" s="269" t="s">
        <v>1815</v>
      </c>
      <c r="F44" s="1"/>
      <c r="G44" s="1"/>
      <c r="H44" s="1"/>
      <c r="I44" s="1"/>
      <c r="J44" s="1"/>
      <c r="K44" s="1"/>
      <c r="L44" s="1"/>
      <c r="M44" s="1"/>
      <c r="N44" s="1"/>
      <c r="O44" s="1"/>
    </row>
    <row r="45" ht="14.25" customHeight="1">
      <c r="A45" s="177" t="s">
        <v>98</v>
      </c>
      <c r="B45" s="321">
        <v>250.0</v>
      </c>
      <c r="C45" s="198">
        <f t="shared" si="4"/>
        <v>150</v>
      </c>
      <c r="D45" s="249" t="s">
        <v>18</v>
      </c>
      <c r="E45" s="47"/>
      <c r="F45" s="1"/>
      <c r="G45" s="1"/>
      <c r="H45" s="1"/>
      <c r="I45" s="1"/>
      <c r="J45" s="1"/>
      <c r="K45" s="1"/>
      <c r="L45" s="1"/>
      <c r="M45" s="1"/>
      <c r="N45" s="1"/>
      <c r="O45" s="1"/>
    </row>
    <row r="46" ht="14.25" customHeight="1">
      <c r="A46" s="177" t="s">
        <v>101</v>
      </c>
      <c r="B46" s="321">
        <v>1.0</v>
      </c>
      <c r="C46" s="198">
        <f t="shared" si="4"/>
        <v>0.6</v>
      </c>
      <c r="D46" s="249" t="s">
        <v>5</v>
      </c>
      <c r="E46" s="47"/>
      <c r="F46" s="1"/>
      <c r="G46" s="1"/>
      <c r="H46" s="1"/>
      <c r="I46" s="1"/>
      <c r="J46" s="1"/>
      <c r="K46" s="1"/>
      <c r="L46" s="1"/>
      <c r="M46" s="1"/>
      <c r="N46" s="1"/>
      <c r="O46" s="1"/>
    </row>
    <row r="47" ht="14.25" customHeight="1">
      <c r="A47" s="177" t="s">
        <v>103</v>
      </c>
      <c r="B47" s="321">
        <v>100.0</v>
      </c>
      <c r="C47" s="198">
        <f t="shared" si="4"/>
        <v>60</v>
      </c>
      <c r="D47" s="249" t="s">
        <v>18</v>
      </c>
      <c r="E47" s="47"/>
      <c r="F47" s="1"/>
      <c r="G47" s="1"/>
      <c r="H47" s="1"/>
      <c r="I47" s="1"/>
      <c r="J47" s="1"/>
      <c r="K47" s="1"/>
      <c r="L47" s="1"/>
      <c r="M47" s="1"/>
      <c r="N47" s="1"/>
      <c r="O47" s="1"/>
    </row>
    <row r="48" ht="14.25" customHeight="1">
      <c r="A48" s="208" t="s">
        <v>822</v>
      </c>
      <c r="B48" s="318">
        <v>200.0</v>
      </c>
      <c r="C48" s="211">
        <f t="shared" si="4"/>
        <v>120</v>
      </c>
      <c r="D48" s="518" t="s">
        <v>18</v>
      </c>
      <c r="E48" s="76"/>
      <c r="F48" s="1"/>
      <c r="G48" s="1"/>
      <c r="H48" s="1"/>
      <c r="I48" s="1"/>
      <c r="J48" s="1"/>
      <c r="K48" s="1"/>
      <c r="L48" s="1"/>
      <c r="M48" s="1"/>
      <c r="N48" s="1"/>
      <c r="O48" s="1"/>
    </row>
    <row r="49" ht="15.0" customHeight="1">
      <c r="A49" s="208" t="s">
        <v>335</v>
      </c>
      <c r="B49" s="318">
        <v>5.0</v>
      </c>
      <c r="C49" s="211">
        <f t="shared" si="4"/>
        <v>3</v>
      </c>
      <c r="D49" s="212" t="s">
        <v>5</v>
      </c>
      <c r="E49" s="1570" t="s">
        <v>1816</v>
      </c>
      <c r="F49" s="1"/>
      <c r="G49" s="1"/>
      <c r="H49" s="1"/>
      <c r="I49" s="1"/>
      <c r="J49" s="1"/>
      <c r="K49" s="1"/>
      <c r="L49" s="1"/>
      <c r="M49" s="1"/>
      <c r="N49" s="1"/>
      <c r="O49" s="1"/>
    </row>
    <row r="50" ht="14.25" customHeight="1">
      <c r="A50" s="1143" t="s">
        <v>42</v>
      </c>
      <c r="B50" s="183" t="s">
        <v>47</v>
      </c>
      <c r="C50" s="1"/>
      <c r="D50" s="1"/>
      <c r="E50" s="1"/>
      <c r="F50" s="1"/>
      <c r="G50" s="1"/>
      <c r="H50" s="1"/>
      <c r="I50" s="1"/>
      <c r="J50" s="1"/>
      <c r="K50" s="1"/>
      <c r="L50" s="1"/>
      <c r="M50" s="1"/>
      <c r="N50" s="1"/>
      <c r="O50" s="1"/>
    </row>
    <row r="51" ht="14.25" customHeight="1">
      <c r="A51" s="186" t="s">
        <v>49</v>
      </c>
      <c r="B51" s="974">
        <v>41132.0</v>
      </c>
      <c r="C51" s="1"/>
      <c r="D51" s="1"/>
      <c r="E51" s="1"/>
      <c r="F51" s="1"/>
      <c r="G51" s="1"/>
      <c r="H51" s="1"/>
      <c r="I51" s="1"/>
      <c r="J51" s="1"/>
      <c r="K51" s="1"/>
      <c r="L51" s="1"/>
      <c r="M51" s="1"/>
      <c r="N51" s="1"/>
      <c r="O51" s="1"/>
    </row>
    <row r="52" ht="14.25" customHeight="1">
      <c r="A52" s="90" t="s">
        <v>50</v>
      </c>
      <c r="B52" s="974">
        <v>42174.0</v>
      </c>
      <c r="C52" s="1"/>
      <c r="D52" s="1"/>
      <c r="E52" s="1"/>
      <c r="F52" s="1"/>
      <c r="G52" s="1"/>
      <c r="H52" s="1"/>
      <c r="I52" s="1"/>
      <c r="J52" s="1"/>
      <c r="K52" s="1"/>
      <c r="L52" s="1"/>
      <c r="M52" s="1"/>
      <c r="N52" s="1"/>
      <c r="O52" s="1"/>
    </row>
    <row r="53" ht="14.25" customHeight="1">
      <c r="A53" s="1"/>
      <c r="B53" s="1"/>
      <c r="C53" s="1"/>
      <c r="D53" s="1"/>
      <c r="E53" s="921"/>
      <c r="F53" s="1"/>
      <c r="G53" s="1"/>
      <c r="H53" s="1"/>
      <c r="I53" s="1"/>
      <c r="J53" s="1"/>
      <c r="K53" s="1"/>
      <c r="L53" s="1"/>
      <c r="M53" s="1"/>
      <c r="N53" s="1"/>
      <c r="O53" s="1"/>
    </row>
    <row r="54" ht="14.25" customHeight="1">
      <c r="A54" s="16" t="s">
        <v>419</v>
      </c>
      <c r="B54" s="18"/>
      <c r="C54" s="18"/>
      <c r="D54" s="19"/>
      <c r="E54" s="921"/>
      <c r="F54" s="1"/>
      <c r="G54" s="1"/>
      <c r="H54" s="1"/>
      <c r="I54" s="1"/>
      <c r="J54" s="1"/>
      <c r="K54" s="1"/>
      <c r="L54" s="1"/>
      <c r="M54" s="1"/>
      <c r="N54" s="1"/>
      <c r="O54" s="1"/>
    </row>
    <row r="55" ht="14.25" customHeight="1">
      <c r="A55" s="25" t="s">
        <v>1</v>
      </c>
      <c r="B55" s="26">
        <v>100.0</v>
      </c>
      <c r="C55" s="1574">
        <v>1.0</v>
      </c>
      <c r="D55" s="28" t="s">
        <v>5</v>
      </c>
      <c r="E55" s="921"/>
      <c r="F55" s="1"/>
      <c r="G55" s="1"/>
      <c r="H55" s="1"/>
      <c r="I55" s="1"/>
      <c r="J55" s="1"/>
      <c r="K55" s="1"/>
      <c r="L55" s="1"/>
      <c r="M55" s="1"/>
      <c r="N55" s="1"/>
      <c r="O55" s="1"/>
    </row>
    <row r="56" ht="14.25" customHeight="1">
      <c r="A56" s="25" t="s">
        <v>1818</v>
      </c>
      <c r="B56" s="26">
        <v>12.5</v>
      </c>
      <c r="C56" s="1426">
        <f t="shared" ref="C56:C62" si="5">(B56*C55)/B55</f>
        <v>0.125</v>
      </c>
      <c r="D56" s="1505" t="s">
        <v>14</v>
      </c>
      <c r="E56" s="92" t="s">
        <v>1819</v>
      </c>
      <c r="F56" s="1"/>
      <c r="G56" s="1">
        <v>45.0</v>
      </c>
      <c r="H56" s="1"/>
      <c r="I56" s="1"/>
      <c r="J56" s="1"/>
      <c r="K56" s="1"/>
      <c r="L56" s="1"/>
      <c r="M56" s="1"/>
      <c r="N56" s="1"/>
      <c r="O56" s="1"/>
    </row>
    <row r="57" ht="14.25" customHeight="1">
      <c r="A57" s="163" t="s">
        <v>338</v>
      </c>
      <c r="B57" s="73">
        <v>6.5</v>
      </c>
      <c r="C57" s="666">
        <f t="shared" si="5"/>
        <v>0.065</v>
      </c>
      <c r="D57" s="991" t="s">
        <v>14</v>
      </c>
      <c r="E57" s="98"/>
      <c r="F57" s="1"/>
      <c r="G57" s="1">
        <f>25*0.55</f>
        <v>13.75</v>
      </c>
      <c r="H57" s="1"/>
      <c r="I57" s="1"/>
      <c r="J57" s="1"/>
      <c r="K57" s="1"/>
      <c r="L57" s="1"/>
      <c r="M57" s="1"/>
      <c r="N57" s="1"/>
      <c r="O57" s="1"/>
    </row>
    <row r="58" ht="14.25" customHeight="1">
      <c r="A58" s="177" t="s">
        <v>876</v>
      </c>
      <c r="B58" s="94">
        <v>2.0</v>
      </c>
      <c r="C58" s="500">
        <f t="shared" si="5"/>
        <v>0.02</v>
      </c>
      <c r="D58" s="993" t="s">
        <v>14</v>
      </c>
      <c r="E58" s="98"/>
      <c r="F58" s="1"/>
      <c r="G58" s="1"/>
      <c r="H58" s="1"/>
      <c r="I58" s="1"/>
      <c r="J58" s="1"/>
      <c r="K58" s="1"/>
      <c r="L58" s="1"/>
      <c r="M58" s="1"/>
      <c r="N58" s="1"/>
      <c r="O58" s="1"/>
    </row>
    <row r="59" ht="15.75" customHeight="1">
      <c r="A59" s="177" t="s">
        <v>952</v>
      </c>
      <c r="B59" s="94">
        <v>1.5</v>
      </c>
      <c r="C59" s="500">
        <f t="shared" si="5"/>
        <v>0.015</v>
      </c>
      <c r="D59" s="993" t="s">
        <v>14</v>
      </c>
      <c r="E59" s="98"/>
      <c r="F59" s="1"/>
      <c r="G59" s="1"/>
      <c r="H59" s="1"/>
      <c r="I59" s="1"/>
      <c r="J59" s="1"/>
      <c r="K59" s="1"/>
      <c r="L59" s="1"/>
      <c r="M59" s="1"/>
      <c r="N59" s="1"/>
      <c r="O59" s="1"/>
    </row>
    <row r="60" ht="18.75" customHeight="1">
      <c r="A60" s="177" t="s">
        <v>1820</v>
      </c>
      <c r="B60" s="94">
        <v>1.0</v>
      </c>
      <c r="C60" s="500">
        <f t="shared" si="5"/>
        <v>0.01</v>
      </c>
      <c r="D60" s="993" t="s">
        <v>14</v>
      </c>
      <c r="E60" s="98"/>
      <c r="F60" s="1" t="s">
        <v>1821</v>
      </c>
      <c r="G60" s="1">
        <v>32.0</v>
      </c>
      <c r="H60" s="1"/>
      <c r="I60" s="1"/>
      <c r="J60" s="1"/>
      <c r="K60" s="1">
        <v>390.0</v>
      </c>
      <c r="L60" s="1"/>
      <c r="M60" s="1"/>
      <c r="N60" s="1"/>
      <c r="O60" s="1"/>
    </row>
    <row r="61" ht="14.25" customHeight="1">
      <c r="A61" s="208" t="s">
        <v>1443</v>
      </c>
      <c r="B61" s="110">
        <v>1.5</v>
      </c>
      <c r="C61" s="684">
        <f t="shared" si="5"/>
        <v>0.015</v>
      </c>
      <c r="D61" s="996" t="s">
        <v>14</v>
      </c>
      <c r="E61" s="115"/>
      <c r="F61" s="1" t="s">
        <v>1824</v>
      </c>
      <c r="G61" s="1">
        <v>30.0</v>
      </c>
      <c r="H61" s="1"/>
      <c r="I61" s="1"/>
      <c r="J61" s="1"/>
      <c r="K61" s="1">
        <v>390.0</v>
      </c>
      <c r="L61" s="1"/>
      <c r="M61" s="1"/>
      <c r="N61" s="1"/>
      <c r="O61" s="1"/>
    </row>
    <row r="62" ht="14.25" customHeight="1">
      <c r="A62" s="163" t="s">
        <v>1825</v>
      </c>
      <c r="B62" s="73">
        <v>65.0</v>
      </c>
      <c r="C62" s="666">
        <f t="shared" si="5"/>
        <v>0.65</v>
      </c>
      <c r="D62" s="991" t="s">
        <v>5</v>
      </c>
      <c r="E62" s="1582"/>
      <c r="F62" s="1" t="s">
        <v>1826</v>
      </c>
      <c r="G62" s="1">
        <v>165.0</v>
      </c>
      <c r="H62" s="1"/>
      <c r="I62" s="1"/>
      <c r="J62" s="1"/>
      <c r="K62" s="1">
        <v>2000.0</v>
      </c>
      <c r="L62" s="1"/>
      <c r="M62" s="1"/>
      <c r="N62" s="1"/>
      <c r="O62" s="1"/>
    </row>
    <row r="63" ht="15.0" customHeight="1">
      <c r="A63" s="177" t="s">
        <v>52</v>
      </c>
      <c r="B63" s="321">
        <v>125.0</v>
      </c>
      <c r="C63" s="500">
        <f>(B63*C71)/B71</f>
        <v>1.25</v>
      </c>
      <c r="D63" s="993" t="s">
        <v>18</v>
      </c>
      <c r="E63" s="1585"/>
      <c r="F63" s="1" t="s">
        <v>1828</v>
      </c>
      <c r="G63" s="1">
        <v>60.0</v>
      </c>
      <c r="H63" s="1"/>
      <c r="I63" s="1"/>
      <c r="J63" s="1"/>
      <c r="K63" s="1">
        <v>720.0</v>
      </c>
      <c r="L63" s="1"/>
      <c r="M63" s="1"/>
      <c r="N63" s="1"/>
      <c r="O63" s="1">
        <f>4000/20000</f>
        <v>0.2</v>
      </c>
    </row>
    <row r="64" ht="15.75" customHeight="1">
      <c r="A64" s="208" t="s">
        <v>31</v>
      </c>
      <c r="B64" s="318">
        <v>1300.0</v>
      </c>
      <c r="C64" s="684">
        <f>(B64*C62)/B62</f>
        <v>13</v>
      </c>
      <c r="D64" s="996" t="s">
        <v>18</v>
      </c>
      <c r="E64" s="1582"/>
      <c r="F64" s="1"/>
      <c r="G64" s="1"/>
      <c r="H64" s="1"/>
      <c r="I64" s="1"/>
      <c r="J64" s="1"/>
      <c r="K64" s="1"/>
      <c r="L64" s="1"/>
      <c r="M64" s="1"/>
      <c r="N64" s="1"/>
      <c r="O64" s="1"/>
    </row>
    <row r="65" ht="15.0" customHeight="1">
      <c r="A65" s="163" t="s">
        <v>1829</v>
      </c>
      <c r="B65" s="316">
        <v>2.0</v>
      </c>
      <c r="C65" s="666">
        <f t="shared" ref="C65:C66" si="6">(B65*C64)/B64</f>
        <v>0.02</v>
      </c>
      <c r="D65" s="169" t="s">
        <v>5</v>
      </c>
      <c r="E65" s="1587" t="s">
        <v>1830</v>
      </c>
      <c r="F65" s="1"/>
      <c r="G65" s="1"/>
      <c r="H65" s="1"/>
      <c r="I65" s="1"/>
      <c r="J65" s="1"/>
      <c r="K65" s="1"/>
      <c r="L65" s="1"/>
      <c r="M65" s="1"/>
      <c r="N65" s="1"/>
      <c r="O65" s="1"/>
    </row>
    <row r="66" ht="15.0" customHeight="1">
      <c r="A66" s="177" t="s">
        <v>97</v>
      </c>
      <c r="B66" s="321">
        <v>125.0</v>
      </c>
      <c r="C66" s="500">
        <f t="shared" si="6"/>
        <v>1.25</v>
      </c>
      <c r="D66" s="204" t="s">
        <v>18</v>
      </c>
      <c r="E66" s="47"/>
      <c r="F66" s="1"/>
      <c r="G66" s="1"/>
      <c r="H66" s="1"/>
      <c r="I66" s="1"/>
      <c r="J66" s="1"/>
      <c r="K66" s="1"/>
      <c r="L66" s="1"/>
      <c r="M66" s="1"/>
      <c r="N66" s="1"/>
      <c r="O66" s="1"/>
    </row>
    <row r="67" ht="14.25" customHeight="1">
      <c r="A67" s="177" t="s">
        <v>1833</v>
      </c>
      <c r="B67" s="321">
        <v>100.0</v>
      </c>
      <c r="C67" s="500">
        <f>(B67*C68)/B68</f>
        <v>1</v>
      </c>
      <c r="D67" s="204" t="s">
        <v>18</v>
      </c>
      <c r="E67" s="47"/>
      <c r="F67" s="1308" t="s">
        <v>1835</v>
      </c>
      <c r="G67" s="18"/>
      <c r="H67" s="18"/>
      <c r="I67" s="19"/>
      <c r="J67" s="1"/>
      <c r="K67" s="1494" t="s">
        <v>1837</v>
      </c>
      <c r="N67" s="1"/>
      <c r="O67" s="1"/>
    </row>
    <row r="68" ht="14.25" customHeight="1">
      <c r="A68" s="177" t="s">
        <v>83</v>
      </c>
      <c r="B68" s="321">
        <v>250.0</v>
      </c>
      <c r="C68" s="500">
        <f t="shared" ref="C68:C69" si="7">(B68*C66)/B66</f>
        <v>2.5</v>
      </c>
      <c r="D68" s="204" t="s">
        <v>18</v>
      </c>
      <c r="E68" s="47"/>
      <c r="F68" s="1590" t="s">
        <v>1839</v>
      </c>
      <c r="G68" s="1591">
        <v>4000.0</v>
      </c>
      <c r="H68" s="1591"/>
      <c r="I68" s="1592" t="s">
        <v>5</v>
      </c>
      <c r="J68" s="1"/>
      <c r="K68" s="1">
        <v>5000.0</v>
      </c>
      <c r="L68" s="1"/>
      <c r="M68" s="1" t="s">
        <v>1388</v>
      </c>
      <c r="N68" s="1"/>
      <c r="O68" s="1"/>
    </row>
    <row r="69" ht="14.25" customHeight="1">
      <c r="A69" s="177" t="s">
        <v>101</v>
      </c>
      <c r="B69" s="198">
        <v>1.0</v>
      </c>
      <c r="C69" s="500">
        <f t="shared" si="7"/>
        <v>0.01</v>
      </c>
      <c r="D69" s="204" t="s">
        <v>5</v>
      </c>
      <c r="E69" s="47"/>
      <c r="F69" s="1594" t="s">
        <v>1821</v>
      </c>
      <c r="G69" s="1265">
        <v>260.0</v>
      </c>
      <c r="H69" s="1265"/>
      <c r="I69" s="1595" t="s">
        <v>366</v>
      </c>
      <c r="J69" s="1"/>
      <c r="K69" s="1">
        <v>1000.0</v>
      </c>
      <c r="L69" s="1"/>
      <c r="M69" s="1" t="s">
        <v>53</v>
      </c>
      <c r="N69" s="1"/>
      <c r="O69" s="1"/>
    </row>
    <row r="70" ht="14.25" customHeight="1">
      <c r="A70" s="177" t="s">
        <v>149</v>
      </c>
      <c r="B70" s="321">
        <v>750.0</v>
      </c>
      <c r="C70" s="500">
        <f t="shared" ref="C70:C81" si="8">(B70*C69)/B69</f>
        <v>7.5</v>
      </c>
      <c r="D70" s="204" t="s">
        <v>82</v>
      </c>
      <c r="E70" s="47"/>
      <c r="F70" s="1594" t="s">
        <v>1824</v>
      </c>
      <c r="G70" s="1265">
        <v>240.0</v>
      </c>
      <c r="H70" s="1265"/>
      <c r="I70" s="1595" t="s">
        <v>366</v>
      </c>
      <c r="J70" s="1"/>
      <c r="K70" s="1">
        <v>1000.0</v>
      </c>
      <c r="L70" s="1"/>
      <c r="M70" s="1" t="s">
        <v>1842</v>
      </c>
      <c r="N70" s="1"/>
      <c r="O70" s="1"/>
    </row>
    <row r="71" ht="14.25" customHeight="1">
      <c r="A71" s="177" t="s">
        <v>103</v>
      </c>
      <c r="B71" s="321">
        <v>100.0</v>
      </c>
      <c r="C71" s="500">
        <f t="shared" si="8"/>
        <v>1</v>
      </c>
      <c r="D71" s="204" t="s">
        <v>18</v>
      </c>
      <c r="E71" s="47"/>
      <c r="F71" s="1594" t="s">
        <v>1826</v>
      </c>
      <c r="G71" s="1265">
        <v>1350.0</v>
      </c>
      <c r="H71" s="1265"/>
      <c r="I71" s="1595" t="s">
        <v>366</v>
      </c>
      <c r="J71" s="1"/>
      <c r="K71" s="1"/>
      <c r="L71" s="1"/>
      <c r="M71" s="1"/>
      <c r="N71" s="1"/>
      <c r="O71" s="1"/>
    </row>
    <row r="72" ht="15.0" customHeight="1">
      <c r="A72" s="177" t="s">
        <v>112</v>
      </c>
      <c r="B72" s="321">
        <v>25.0</v>
      </c>
      <c r="C72" s="500">
        <f t="shared" si="8"/>
        <v>0.25</v>
      </c>
      <c r="D72" s="204" t="s">
        <v>18</v>
      </c>
      <c r="E72" s="47"/>
      <c r="F72" s="1367" t="s">
        <v>1828</v>
      </c>
      <c r="G72" s="1597">
        <v>480.0</v>
      </c>
      <c r="H72" s="1597"/>
      <c r="I72" s="1598" t="s">
        <v>526</v>
      </c>
      <c r="J72" s="1"/>
      <c r="K72" s="1"/>
      <c r="L72" s="1"/>
      <c r="M72" s="1"/>
      <c r="N72" s="1"/>
      <c r="O72" s="1"/>
    </row>
    <row r="73" ht="14.25" customHeight="1">
      <c r="A73" s="177" t="s">
        <v>1261</v>
      </c>
      <c r="B73" s="321">
        <v>150.0</v>
      </c>
      <c r="C73" s="500">
        <f t="shared" si="8"/>
        <v>1.5</v>
      </c>
      <c r="D73" s="204" t="s">
        <v>18</v>
      </c>
      <c r="E73" s="47"/>
      <c r="F73" s="1265" t="s">
        <v>1610</v>
      </c>
      <c r="G73" s="1265">
        <v>60.0</v>
      </c>
      <c r="H73" s="247"/>
      <c r="I73" s="1265" t="s">
        <v>14</v>
      </c>
      <c r="J73" s="1"/>
      <c r="K73" s="1"/>
      <c r="L73" s="1"/>
      <c r="M73" s="1"/>
      <c r="N73" s="1"/>
      <c r="O73" s="1"/>
    </row>
    <row r="74" ht="14.25" customHeight="1">
      <c r="A74" s="177" t="s">
        <v>1843</v>
      </c>
      <c r="B74" s="94">
        <v>1.5</v>
      </c>
      <c r="C74" s="500">
        <f t="shared" si="8"/>
        <v>0.015</v>
      </c>
      <c r="D74" s="204" t="s">
        <v>14</v>
      </c>
      <c r="E74" s="47"/>
      <c r="F74" s="1600" t="s">
        <v>491</v>
      </c>
      <c r="G74" s="1600">
        <v>80.0</v>
      </c>
      <c r="H74" s="1601"/>
      <c r="I74" s="1600" t="s">
        <v>5</v>
      </c>
      <c r="J74" s="1"/>
      <c r="K74" s="1"/>
      <c r="L74" s="1"/>
      <c r="M74" s="1"/>
      <c r="N74" s="1"/>
      <c r="O74" s="1"/>
    </row>
    <row r="75" ht="14.25" customHeight="1">
      <c r="A75" s="112" t="s">
        <v>1283</v>
      </c>
      <c r="B75" s="1602">
        <v>1.6</v>
      </c>
      <c r="C75" s="1603">
        <f t="shared" si="8"/>
        <v>0.016</v>
      </c>
      <c r="D75" s="123" t="s">
        <v>14</v>
      </c>
      <c r="E75" s="47"/>
      <c r="F75" s="1"/>
      <c r="G75" s="1"/>
      <c r="H75" s="1"/>
      <c r="I75" s="1"/>
      <c r="J75" s="1"/>
      <c r="K75" s="1"/>
      <c r="L75" s="1"/>
      <c r="M75" s="1"/>
      <c r="N75" s="1"/>
      <c r="O75" s="1"/>
    </row>
    <row r="76" ht="14.25" customHeight="1">
      <c r="A76" s="177" t="s">
        <v>105</v>
      </c>
      <c r="B76" s="321">
        <v>100.0</v>
      </c>
      <c r="C76" s="500">
        <f t="shared" si="8"/>
        <v>1</v>
      </c>
      <c r="D76" s="204" t="s">
        <v>18</v>
      </c>
      <c r="E76" s="47"/>
      <c r="F76" s="1"/>
      <c r="G76" s="1"/>
      <c r="H76" s="1"/>
      <c r="I76" s="1"/>
      <c r="J76" s="1"/>
      <c r="K76" s="1"/>
      <c r="L76" s="1"/>
      <c r="M76" s="1"/>
      <c r="N76" s="1"/>
      <c r="O76" s="1"/>
    </row>
    <row r="77" ht="14.25" customHeight="1">
      <c r="A77" s="208" t="s">
        <v>1027</v>
      </c>
      <c r="B77" s="318">
        <v>150.0</v>
      </c>
      <c r="C77" s="684">
        <f t="shared" si="8"/>
        <v>1.5</v>
      </c>
      <c r="D77" s="212" t="s">
        <v>18</v>
      </c>
      <c r="E77" s="47"/>
      <c r="F77" s="1"/>
      <c r="G77" s="1"/>
      <c r="H77" s="1"/>
      <c r="I77" s="1"/>
      <c r="J77" s="1"/>
      <c r="K77" s="1"/>
      <c r="L77" s="1"/>
      <c r="M77" s="1"/>
      <c r="N77" s="1"/>
      <c r="O77" s="1"/>
    </row>
    <row r="78" ht="14.25" customHeight="1">
      <c r="A78" s="157" t="s">
        <v>1845</v>
      </c>
      <c r="B78" s="122">
        <v>5.0</v>
      </c>
      <c r="C78" s="767">
        <f t="shared" si="8"/>
        <v>0.05</v>
      </c>
      <c r="D78" s="1001" t="s">
        <v>14</v>
      </c>
      <c r="E78" s="92" t="s">
        <v>1846</v>
      </c>
      <c r="F78" s="1"/>
      <c r="G78" s="1"/>
      <c r="H78" s="1"/>
      <c r="I78" s="1"/>
      <c r="J78" s="1"/>
      <c r="K78" s="1"/>
      <c r="L78" s="1"/>
      <c r="M78" s="1"/>
      <c r="N78" s="1"/>
      <c r="O78" s="1"/>
    </row>
    <row r="79" ht="14.25" customHeight="1">
      <c r="A79" s="177" t="s">
        <v>487</v>
      </c>
      <c r="B79" s="94">
        <v>4.0</v>
      </c>
      <c r="C79" s="500">
        <f t="shared" si="8"/>
        <v>0.04</v>
      </c>
      <c r="D79" s="993" t="s">
        <v>14</v>
      </c>
      <c r="E79" s="98"/>
      <c r="F79" s="1"/>
      <c r="G79" s="1"/>
      <c r="H79" s="1"/>
      <c r="I79" s="1"/>
      <c r="J79" s="1"/>
      <c r="K79" s="1"/>
      <c r="L79" s="1"/>
      <c r="M79" s="1"/>
      <c r="N79" s="1"/>
      <c r="O79" s="1"/>
    </row>
    <row r="80" ht="14.25" customHeight="1">
      <c r="A80" s="1606" t="s">
        <v>1411</v>
      </c>
      <c r="B80" s="1608">
        <v>4.0</v>
      </c>
      <c r="C80" s="1609">
        <f t="shared" si="8"/>
        <v>0.04</v>
      </c>
      <c r="D80" s="1611" t="s">
        <v>14</v>
      </c>
      <c r="E80" s="98"/>
      <c r="F80" s="1"/>
      <c r="G80" s="1"/>
      <c r="H80" s="1"/>
      <c r="I80" s="1"/>
      <c r="J80" s="1"/>
      <c r="K80" s="1"/>
      <c r="L80" s="1"/>
      <c r="M80" s="1"/>
      <c r="N80" s="1"/>
      <c r="O80" s="1"/>
    </row>
    <row r="81" ht="14.25" customHeight="1">
      <c r="A81" s="1612" t="s">
        <v>1850</v>
      </c>
      <c r="B81" s="1615">
        <v>4.0</v>
      </c>
      <c r="C81" s="1617">
        <f t="shared" si="8"/>
        <v>0.04</v>
      </c>
      <c r="D81" s="1618" t="s">
        <v>14</v>
      </c>
      <c r="E81" s="98"/>
      <c r="F81" s="1"/>
      <c r="G81" s="1"/>
      <c r="H81" s="1"/>
      <c r="I81" s="1"/>
      <c r="J81" s="1"/>
      <c r="K81" s="1"/>
      <c r="L81" s="1"/>
      <c r="M81" s="1"/>
      <c r="N81" s="1"/>
      <c r="O81" s="1"/>
    </row>
    <row r="82" ht="14.25" customHeight="1">
      <c r="A82" s="177" t="s">
        <v>153</v>
      </c>
      <c r="B82" s="94">
        <v>2.0</v>
      </c>
      <c r="C82" s="500">
        <f>(B82*C86)/B86</f>
        <v>0.02</v>
      </c>
      <c r="D82" s="993" t="s">
        <v>14</v>
      </c>
      <c r="E82" s="98"/>
      <c r="F82" s="1"/>
      <c r="G82" s="1"/>
      <c r="H82" s="1"/>
      <c r="I82" s="1"/>
      <c r="J82" s="1"/>
      <c r="K82" s="1"/>
      <c r="L82" s="1"/>
      <c r="M82" s="1"/>
      <c r="N82" s="1"/>
      <c r="O82" s="1"/>
    </row>
    <row r="83" ht="14.25" customHeight="1">
      <c r="A83" s="177" t="s">
        <v>1406</v>
      </c>
      <c r="B83" s="94">
        <v>8.0</v>
      </c>
      <c r="C83" s="500">
        <f>(B83*C81)/B81</f>
        <v>0.08</v>
      </c>
      <c r="D83" s="993" t="s">
        <v>14</v>
      </c>
      <c r="E83" s="98"/>
      <c r="F83" s="1"/>
      <c r="G83" s="1"/>
      <c r="H83" s="1"/>
      <c r="I83" s="1"/>
      <c r="J83" s="1"/>
      <c r="K83" s="1"/>
      <c r="L83" s="1"/>
      <c r="M83" s="1"/>
      <c r="N83" s="1"/>
      <c r="O83" s="1"/>
    </row>
    <row r="84" ht="14.25" customHeight="1">
      <c r="A84" s="177" t="s">
        <v>1843</v>
      </c>
      <c r="B84" s="94">
        <v>1.5</v>
      </c>
      <c r="C84" s="500">
        <f t="shared" ref="C84:C88" si="9">(B84*C83)/B83</f>
        <v>0.015</v>
      </c>
      <c r="D84" s="993" t="s">
        <v>14</v>
      </c>
      <c r="E84" s="98"/>
      <c r="F84" s="1"/>
      <c r="G84" s="1"/>
      <c r="H84" s="1"/>
      <c r="I84" s="1"/>
      <c r="J84" s="1"/>
      <c r="K84" s="1"/>
      <c r="L84" s="1"/>
      <c r="M84" s="1"/>
      <c r="N84" s="1"/>
      <c r="O84" s="1"/>
    </row>
    <row r="85" ht="14.25" customHeight="1">
      <c r="A85" s="1529" t="s">
        <v>1854</v>
      </c>
      <c r="B85" s="1624">
        <v>5.0</v>
      </c>
      <c r="C85" s="1625">
        <f t="shared" si="9"/>
        <v>0.05</v>
      </c>
      <c r="D85" s="1532" t="s">
        <v>14</v>
      </c>
      <c r="E85" s="98"/>
      <c r="F85" s="1"/>
      <c r="G85" s="1"/>
      <c r="H85" s="1"/>
      <c r="I85" s="1"/>
      <c r="J85" s="1"/>
      <c r="K85" s="1"/>
      <c r="L85" s="1"/>
      <c r="M85" s="1"/>
      <c r="N85" s="1"/>
      <c r="O85" s="1"/>
    </row>
    <row r="86" ht="14.25" customHeight="1">
      <c r="A86" s="1627" t="s">
        <v>1860</v>
      </c>
      <c r="B86" s="1629">
        <v>12.0</v>
      </c>
      <c r="C86" s="1632">
        <f t="shared" si="9"/>
        <v>0.12</v>
      </c>
      <c r="D86" s="1634" t="s">
        <v>526</v>
      </c>
      <c r="E86" s="115"/>
      <c r="F86" s="1"/>
      <c r="G86" s="1"/>
      <c r="H86" s="1"/>
      <c r="I86" s="1"/>
      <c r="J86" s="1"/>
      <c r="K86" s="1"/>
      <c r="L86" s="1"/>
      <c r="M86" s="1"/>
      <c r="N86" s="1"/>
      <c r="O86" s="1"/>
    </row>
    <row r="87" ht="14.25" customHeight="1">
      <c r="A87" s="157" t="s">
        <v>1864</v>
      </c>
      <c r="B87" s="122">
        <v>2.5</v>
      </c>
      <c r="C87" s="767">
        <f t="shared" si="9"/>
        <v>0.025</v>
      </c>
      <c r="D87" s="159" t="s">
        <v>5</v>
      </c>
      <c r="E87" s="897" t="s">
        <v>1183</v>
      </c>
      <c r="F87" s="1"/>
      <c r="G87" s="1"/>
      <c r="H87" s="1"/>
      <c r="I87" s="1"/>
      <c r="J87" s="1"/>
      <c r="K87" s="1"/>
      <c r="L87" s="1"/>
      <c r="M87" s="1"/>
      <c r="N87" s="1"/>
      <c r="O87" s="1"/>
    </row>
    <row r="88" ht="14.25" customHeight="1">
      <c r="A88" s="208" t="s">
        <v>1790</v>
      </c>
      <c r="B88" s="318">
        <v>300.0</v>
      </c>
      <c r="C88" s="684">
        <f t="shared" si="9"/>
        <v>3</v>
      </c>
      <c r="D88" s="212" t="s">
        <v>82</v>
      </c>
      <c r="E88" s="76"/>
      <c r="F88" s="1"/>
      <c r="G88" s="1"/>
      <c r="H88" s="1"/>
      <c r="I88" s="1"/>
      <c r="J88" s="1"/>
      <c r="K88" s="1"/>
      <c r="L88" s="1"/>
      <c r="M88" s="1"/>
      <c r="N88" s="1"/>
      <c r="O88" s="1"/>
    </row>
    <row r="89" ht="14.25" customHeight="1">
      <c r="A89" s="1143" t="s">
        <v>42</v>
      </c>
      <c r="B89" s="1"/>
      <c r="C89" s="1"/>
      <c r="D89" s="1"/>
      <c r="E89" s="1"/>
      <c r="F89" s="1"/>
      <c r="G89" s="1"/>
      <c r="H89" s="1"/>
      <c r="I89" s="1"/>
      <c r="J89" s="1"/>
      <c r="K89" s="1"/>
      <c r="L89" s="1"/>
      <c r="M89" s="1"/>
      <c r="N89" s="1"/>
      <c r="O89" s="1"/>
    </row>
    <row r="90" ht="14.25" customHeight="1">
      <c r="A90" s="186" t="s">
        <v>49</v>
      </c>
      <c r="B90" s="974">
        <v>40756.0</v>
      </c>
      <c r="C90" s="1"/>
      <c r="D90" s="1"/>
      <c r="E90" s="1"/>
      <c r="F90" s="1"/>
      <c r="G90" s="1"/>
      <c r="H90" s="1"/>
      <c r="I90" s="1"/>
      <c r="J90" s="1"/>
      <c r="K90" s="1"/>
      <c r="L90" s="1"/>
      <c r="M90" s="1"/>
      <c r="N90" s="1"/>
      <c r="O90" s="1"/>
    </row>
    <row r="91" ht="15.75" customHeight="1">
      <c r="A91" s="90" t="s">
        <v>50</v>
      </c>
      <c r="B91" s="974">
        <v>41294.0</v>
      </c>
      <c r="C91" s="1"/>
      <c r="D91" s="1"/>
      <c r="E91" s="1"/>
      <c r="F91" s="1"/>
      <c r="G91" s="1"/>
      <c r="H91" s="1"/>
      <c r="I91" s="1"/>
      <c r="J91" s="1"/>
      <c r="K91" s="1"/>
      <c r="L91" s="1"/>
      <c r="M91" s="1"/>
      <c r="N91" s="1"/>
      <c r="O91" s="1"/>
    </row>
    <row r="92" ht="15.0" customHeight="1">
      <c r="A92" s="1"/>
      <c r="B92" s="1"/>
      <c r="C92" s="1"/>
      <c r="D92" s="1"/>
      <c r="E92" s="1"/>
      <c r="F92" s="1"/>
      <c r="G92" s="1"/>
      <c r="H92" s="1"/>
      <c r="I92" s="1"/>
      <c r="J92" s="1"/>
      <c r="K92" s="1"/>
      <c r="L92" s="1"/>
      <c r="M92" s="1"/>
      <c r="N92" s="1"/>
      <c r="O92" s="1"/>
    </row>
    <row r="93" ht="14.25" customHeight="1">
      <c r="A93" s="1"/>
      <c r="B93" s="1"/>
      <c r="C93" s="1"/>
      <c r="D93" s="1"/>
      <c r="E93" s="1"/>
      <c r="F93" s="1"/>
      <c r="G93" s="1"/>
      <c r="H93" s="1"/>
      <c r="I93" s="1"/>
      <c r="J93" s="1"/>
      <c r="K93" s="1"/>
      <c r="L93" s="1"/>
      <c r="M93" s="1"/>
      <c r="N93" s="1"/>
      <c r="O93" s="1"/>
    </row>
    <row r="94" ht="14.25" customHeight="1">
      <c r="A94" s="1"/>
      <c r="B94" s="1"/>
      <c r="C94" s="1"/>
      <c r="D94" s="1"/>
      <c r="E94" s="1"/>
      <c r="F94" s="1"/>
      <c r="G94" s="1"/>
      <c r="H94" s="1"/>
      <c r="I94" s="1"/>
      <c r="J94" s="1"/>
      <c r="K94" s="1"/>
      <c r="L94" s="1"/>
      <c r="M94" s="1"/>
      <c r="N94" s="1"/>
      <c r="O94" s="1"/>
    </row>
    <row r="95" ht="14.25" customHeight="1">
      <c r="A95" s="1"/>
      <c r="B95" s="1"/>
      <c r="C95" s="1"/>
      <c r="D95" s="1"/>
      <c r="E95" s="1"/>
      <c r="F95" s="1"/>
      <c r="G95" s="1"/>
      <c r="H95" s="1"/>
      <c r="I95" s="1"/>
      <c r="J95" s="1"/>
      <c r="K95" s="1"/>
      <c r="L95" s="1"/>
      <c r="M95" s="1"/>
      <c r="N95" s="1"/>
      <c r="O95" s="1"/>
    </row>
    <row r="96" ht="14.25" customHeight="1">
      <c r="A96" s="209" t="s">
        <v>452</v>
      </c>
      <c r="B96" s="18"/>
      <c r="C96" s="18"/>
      <c r="D96" s="19"/>
      <c r="E96" s="1"/>
      <c r="F96" s="1"/>
      <c r="G96" s="1"/>
      <c r="H96" s="1"/>
      <c r="I96" s="1"/>
      <c r="J96" s="1"/>
      <c r="K96" s="1"/>
      <c r="L96" s="1"/>
      <c r="M96" s="1"/>
      <c r="N96" s="1"/>
      <c r="O96" s="1"/>
    </row>
    <row r="97" ht="14.25" customHeight="1">
      <c r="A97" s="173" t="s">
        <v>1</v>
      </c>
      <c r="B97" s="275">
        <v>10.0</v>
      </c>
      <c r="C97" s="179">
        <v>10.0</v>
      </c>
      <c r="D97" s="278" t="s">
        <v>5</v>
      </c>
      <c r="E97" s="763"/>
      <c r="F97" s="1"/>
      <c r="G97" s="1"/>
      <c r="H97" s="1"/>
      <c r="I97" s="1"/>
      <c r="J97" s="1"/>
      <c r="K97" s="1"/>
      <c r="L97" s="1"/>
      <c r="M97" s="1"/>
      <c r="N97" s="1"/>
      <c r="O97" s="1"/>
    </row>
    <row r="98" ht="14.25" customHeight="1">
      <c r="A98" s="68" t="s">
        <v>1867</v>
      </c>
      <c r="B98" s="145">
        <v>10.0</v>
      </c>
      <c r="C98" s="155">
        <f t="shared" ref="C98:C109" si="10">(B98*C97)/B97</f>
        <v>10</v>
      </c>
      <c r="D98" s="137" t="s">
        <v>82</v>
      </c>
      <c r="E98" s="1100" t="s">
        <v>1869</v>
      </c>
      <c r="F98" s="1"/>
      <c r="G98" s="1"/>
      <c r="H98" s="1"/>
      <c r="I98" s="1"/>
      <c r="J98" s="1"/>
      <c r="K98" s="1"/>
      <c r="L98" s="1"/>
      <c r="M98" s="1"/>
      <c r="N98" s="1"/>
      <c r="O98" s="1"/>
    </row>
    <row r="99" ht="14.25" customHeight="1">
      <c r="A99" s="93" t="s">
        <v>97</v>
      </c>
      <c r="B99" s="195">
        <v>10.0</v>
      </c>
      <c r="C99" s="78">
        <f t="shared" si="10"/>
        <v>10</v>
      </c>
      <c r="D99" s="165" t="s">
        <v>18</v>
      </c>
      <c r="E99" s="47"/>
      <c r="F99" s="1"/>
      <c r="G99" s="1"/>
      <c r="H99" s="1"/>
      <c r="I99" s="1"/>
      <c r="J99" s="1"/>
      <c r="K99" s="1"/>
      <c r="L99" s="1"/>
      <c r="M99" s="1"/>
      <c r="N99" s="1"/>
      <c r="O99" s="1"/>
    </row>
    <row r="100" ht="14.25" customHeight="1">
      <c r="A100" s="93" t="s">
        <v>1871</v>
      </c>
      <c r="B100" s="195">
        <v>20.0</v>
      </c>
      <c r="C100" s="78">
        <f t="shared" si="10"/>
        <v>20</v>
      </c>
      <c r="D100" s="165" t="s">
        <v>18</v>
      </c>
      <c r="E100" s="47"/>
      <c r="F100" s="1"/>
      <c r="G100" s="1"/>
      <c r="H100" s="1"/>
      <c r="I100" s="1"/>
      <c r="J100" s="1"/>
      <c r="K100" s="1"/>
      <c r="L100" s="1"/>
      <c r="M100" s="1"/>
      <c r="N100" s="1"/>
      <c r="O100" s="1"/>
    </row>
    <row r="101" ht="14.25" customHeight="1">
      <c r="A101" s="93" t="s">
        <v>357</v>
      </c>
      <c r="B101" s="195">
        <v>20.0</v>
      </c>
      <c r="C101" s="78">
        <f t="shared" si="10"/>
        <v>20</v>
      </c>
      <c r="D101" s="165" t="s">
        <v>18</v>
      </c>
      <c r="E101" s="47"/>
      <c r="F101" s="1"/>
      <c r="G101" s="1"/>
      <c r="H101" s="1"/>
      <c r="I101" s="1"/>
      <c r="J101" s="1"/>
      <c r="K101" s="1"/>
      <c r="L101" s="1"/>
      <c r="M101" s="1"/>
      <c r="N101" s="1"/>
      <c r="O101" s="1"/>
    </row>
    <row r="102" ht="14.25" customHeight="1">
      <c r="A102" s="93" t="s">
        <v>1618</v>
      </c>
      <c r="B102" s="195">
        <v>15.0</v>
      </c>
      <c r="C102" s="78">
        <f t="shared" si="10"/>
        <v>15</v>
      </c>
      <c r="D102" s="165" t="s">
        <v>18</v>
      </c>
      <c r="E102" s="47"/>
      <c r="F102" s="1"/>
      <c r="G102" s="1"/>
      <c r="H102" s="1"/>
      <c r="I102" s="1"/>
      <c r="J102" s="1"/>
      <c r="K102" s="1"/>
      <c r="L102" s="1"/>
      <c r="M102" s="1"/>
      <c r="N102" s="1"/>
      <c r="O102" s="1"/>
    </row>
    <row r="103" ht="14.25" customHeight="1">
      <c r="A103" s="93" t="s">
        <v>95</v>
      </c>
      <c r="B103" s="195">
        <v>10.0</v>
      </c>
      <c r="C103" s="78">
        <f t="shared" si="10"/>
        <v>10</v>
      </c>
      <c r="D103" s="165" t="s">
        <v>18</v>
      </c>
      <c r="E103" s="47"/>
      <c r="F103" s="1"/>
      <c r="G103" s="1"/>
      <c r="H103" s="1"/>
      <c r="I103" s="1"/>
      <c r="J103" s="1"/>
      <c r="K103" s="1"/>
      <c r="L103" s="1"/>
      <c r="M103" s="1"/>
      <c r="N103" s="1"/>
      <c r="O103" s="1"/>
    </row>
    <row r="104" ht="14.25" customHeight="1">
      <c r="A104" s="93" t="s">
        <v>96</v>
      </c>
      <c r="B104" s="195">
        <v>5.0</v>
      </c>
      <c r="C104" s="78">
        <f t="shared" si="10"/>
        <v>5</v>
      </c>
      <c r="D104" s="165" t="s">
        <v>18</v>
      </c>
      <c r="E104" s="47"/>
      <c r="F104" s="1"/>
      <c r="G104" s="1"/>
      <c r="H104" s="1"/>
      <c r="I104" s="1"/>
      <c r="J104" s="1"/>
      <c r="K104" s="1"/>
      <c r="L104" s="1"/>
      <c r="M104" s="1"/>
      <c r="N104" s="1"/>
      <c r="O104" s="1"/>
    </row>
    <row r="105" ht="14.25" customHeight="1">
      <c r="A105" s="93" t="s">
        <v>98</v>
      </c>
      <c r="B105" s="195">
        <v>10.0</v>
      </c>
      <c r="C105" s="78">
        <f t="shared" si="10"/>
        <v>10</v>
      </c>
      <c r="D105" s="165" t="s">
        <v>18</v>
      </c>
      <c r="E105" s="47"/>
      <c r="F105" s="1"/>
      <c r="G105" s="1"/>
      <c r="H105" s="1"/>
      <c r="I105" s="1"/>
      <c r="J105" s="1"/>
      <c r="K105" s="1"/>
      <c r="L105" s="1"/>
      <c r="M105" s="1"/>
      <c r="N105" s="1"/>
      <c r="O105" s="1"/>
    </row>
    <row r="106" ht="14.25" customHeight="1">
      <c r="A106" s="93" t="s">
        <v>1243</v>
      </c>
      <c r="B106" s="195">
        <v>10.0</v>
      </c>
      <c r="C106" s="78">
        <f t="shared" si="10"/>
        <v>10</v>
      </c>
      <c r="D106" s="165" t="s">
        <v>18</v>
      </c>
      <c r="E106" s="47"/>
      <c r="F106" s="1"/>
      <c r="G106" s="1"/>
      <c r="H106" s="1"/>
      <c r="I106" s="1"/>
      <c r="J106" s="1"/>
      <c r="K106" s="1"/>
      <c r="L106" s="1"/>
      <c r="M106" s="1"/>
      <c r="N106" s="1"/>
      <c r="O106" s="1"/>
    </row>
    <row r="107" ht="14.25" customHeight="1">
      <c r="A107" s="93" t="s">
        <v>1204</v>
      </c>
      <c r="B107" s="195">
        <v>10.0</v>
      </c>
      <c r="C107" s="78">
        <f t="shared" si="10"/>
        <v>10</v>
      </c>
      <c r="D107" s="165" t="s">
        <v>18</v>
      </c>
      <c r="E107" s="47"/>
      <c r="F107" s="1"/>
      <c r="G107" s="1"/>
      <c r="H107" s="1"/>
      <c r="I107" s="1"/>
      <c r="J107" s="1"/>
      <c r="K107" s="1"/>
      <c r="L107" s="1"/>
      <c r="M107" s="1"/>
      <c r="N107" s="1"/>
      <c r="O107" s="1"/>
    </row>
    <row r="108" ht="14.25" customHeight="1">
      <c r="A108" s="138" t="s">
        <v>1873</v>
      </c>
      <c r="B108" s="279">
        <v>15.0</v>
      </c>
      <c r="C108" s="146">
        <f t="shared" si="10"/>
        <v>15</v>
      </c>
      <c r="D108" s="281" t="s">
        <v>18</v>
      </c>
      <c r="E108" s="76"/>
      <c r="F108" s="1"/>
      <c r="G108" s="1"/>
      <c r="H108" s="1"/>
      <c r="I108" s="1"/>
      <c r="J108" s="1"/>
      <c r="K108" s="1"/>
      <c r="L108" s="1"/>
      <c r="M108" s="1"/>
      <c r="N108" s="1"/>
      <c r="O108" s="1"/>
    </row>
    <row r="109" ht="14.25" customHeight="1">
      <c r="A109" s="68" t="s">
        <v>1874</v>
      </c>
      <c r="B109" s="145">
        <v>0.5</v>
      </c>
      <c r="C109" s="155">
        <f t="shared" si="10"/>
        <v>0.5</v>
      </c>
      <c r="D109" s="137" t="s">
        <v>18</v>
      </c>
      <c r="E109" s="1658" t="s">
        <v>1876</v>
      </c>
      <c r="F109" s="1"/>
      <c r="G109" s="1"/>
      <c r="H109" s="1"/>
      <c r="I109" s="1"/>
      <c r="J109" s="1"/>
      <c r="K109" s="1"/>
      <c r="L109" s="1"/>
      <c r="M109" s="1"/>
      <c r="N109" s="1"/>
      <c r="O109" s="1"/>
    </row>
    <row r="110" ht="14.25" customHeight="1">
      <c r="A110" s="93" t="s">
        <v>792</v>
      </c>
      <c r="B110" s="195">
        <v>0.5</v>
      </c>
      <c r="C110" s="78">
        <f t="shared" ref="C110:C111" si="11">(B110*C108)/B108</f>
        <v>0.5</v>
      </c>
      <c r="D110" s="165" t="s">
        <v>18</v>
      </c>
      <c r="E110" s="66"/>
      <c r="F110" s="1"/>
      <c r="G110" s="1"/>
      <c r="H110" s="1"/>
      <c r="I110" s="1"/>
      <c r="J110" s="1"/>
      <c r="K110" s="1"/>
      <c r="L110" s="1"/>
      <c r="M110" s="1"/>
      <c r="N110" s="1"/>
      <c r="O110" s="1"/>
    </row>
    <row r="111" ht="14.25" customHeight="1">
      <c r="A111" s="105" t="s">
        <v>469</v>
      </c>
      <c r="B111" s="200">
        <v>6.5</v>
      </c>
      <c r="C111" s="56">
        <f t="shared" si="11"/>
        <v>6.5</v>
      </c>
      <c r="D111" s="172" t="s">
        <v>5</v>
      </c>
      <c r="E111" s="106"/>
      <c r="F111" s="1"/>
      <c r="G111" s="1"/>
      <c r="H111" s="1"/>
      <c r="I111" s="1"/>
      <c r="J111" s="1"/>
      <c r="K111" s="1"/>
      <c r="L111" s="1"/>
      <c r="M111" s="1"/>
      <c r="N111" s="1"/>
      <c r="O111" s="1"/>
    </row>
    <row r="112" ht="14.25" customHeight="1">
      <c r="A112" s="119" t="s">
        <v>91</v>
      </c>
      <c r="B112" s="238">
        <v>150.0</v>
      </c>
      <c r="C112" s="129">
        <f t="shared" ref="C112:C123" si="12">(B112*C111)/B111</f>
        <v>150</v>
      </c>
      <c r="D112" s="176" t="s">
        <v>82</v>
      </c>
      <c r="E112" s="250" t="s">
        <v>1881</v>
      </c>
      <c r="F112" s="1"/>
      <c r="G112" s="1"/>
      <c r="H112" s="1"/>
      <c r="I112" s="1"/>
      <c r="J112" s="1"/>
      <c r="K112" s="1"/>
      <c r="L112" s="1"/>
      <c r="M112" s="1"/>
      <c r="N112" s="1"/>
      <c r="O112" s="1"/>
    </row>
    <row r="113" ht="14.25" customHeight="1">
      <c r="A113" s="93" t="s">
        <v>97</v>
      </c>
      <c r="B113" s="195">
        <v>15.0</v>
      </c>
      <c r="C113" s="78">
        <f t="shared" si="12"/>
        <v>15</v>
      </c>
      <c r="D113" s="165" t="s">
        <v>18</v>
      </c>
      <c r="E113" s="47"/>
      <c r="F113" s="1"/>
      <c r="G113" s="1"/>
      <c r="H113" s="1"/>
      <c r="I113" s="1"/>
      <c r="J113" s="1"/>
      <c r="K113" s="1"/>
      <c r="L113" s="1"/>
      <c r="M113" s="1"/>
      <c r="N113" s="1"/>
      <c r="O113" s="1"/>
    </row>
    <row r="114" ht="14.25" customHeight="1">
      <c r="A114" s="93" t="s">
        <v>98</v>
      </c>
      <c r="B114" s="195">
        <v>15.0</v>
      </c>
      <c r="C114" s="78">
        <f t="shared" si="12"/>
        <v>15</v>
      </c>
      <c r="D114" s="165" t="s">
        <v>18</v>
      </c>
      <c r="E114" s="47"/>
      <c r="F114" s="1"/>
      <c r="G114" s="1"/>
      <c r="H114" s="1"/>
      <c r="I114" s="1"/>
      <c r="J114" s="1"/>
      <c r="K114" s="1"/>
      <c r="L114" s="1"/>
      <c r="M114" s="1"/>
      <c r="N114" s="1"/>
      <c r="O114" s="1"/>
    </row>
    <row r="115" ht="14.25" customHeight="1">
      <c r="A115" s="93" t="s">
        <v>1873</v>
      </c>
      <c r="B115" s="195">
        <v>15.0</v>
      </c>
      <c r="C115" s="78">
        <f t="shared" si="12"/>
        <v>15</v>
      </c>
      <c r="D115" s="165" t="s">
        <v>18</v>
      </c>
      <c r="E115" s="47"/>
      <c r="F115" s="1"/>
      <c r="G115" s="1"/>
      <c r="H115" s="1"/>
      <c r="I115" s="1"/>
      <c r="J115" s="1"/>
      <c r="K115" s="1"/>
      <c r="L115" s="1"/>
      <c r="M115" s="1"/>
      <c r="N115" s="1"/>
      <c r="O115" s="1"/>
    </row>
    <row r="116" ht="14.25" customHeight="1">
      <c r="A116" s="93" t="s">
        <v>1883</v>
      </c>
      <c r="B116" s="195">
        <v>0.15</v>
      </c>
      <c r="C116" s="78">
        <f t="shared" si="12"/>
        <v>0.15</v>
      </c>
      <c r="D116" s="165" t="s">
        <v>5</v>
      </c>
      <c r="E116" s="47"/>
      <c r="F116" s="1"/>
      <c r="G116" s="1"/>
      <c r="H116" s="1"/>
      <c r="I116" s="1"/>
      <c r="J116" s="1"/>
      <c r="K116" s="1"/>
      <c r="L116" s="1"/>
      <c r="M116" s="1"/>
      <c r="N116" s="1"/>
      <c r="O116" s="1"/>
    </row>
    <row r="117" ht="14.25" customHeight="1">
      <c r="A117" s="93" t="s">
        <v>103</v>
      </c>
      <c r="B117" s="195">
        <v>20.0</v>
      </c>
      <c r="C117" s="78">
        <f t="shared" si="12"/>
        <v>20</v>
      </c>
      <c r="D117" s="165" t="s">
        <v>18</v>
      </c>
      <c r="E117" s="47"/>
      <c r="F117" s="1"/>
      <c r="G117" s="1"/>
      <c r="H117" s="1"/>
      <c r="I117" s="1"/>
      <c r="J117" s="1"/>
      <c r="K117" s="1"/>
      <c r="L117" s="1"/>
      <c r="M117" s="1"/>
      <c r="N117" s="1"/>
      <c r="O117" s="1"/>
    </row>
    <row r="118" ht="14.25" customHeight="1">
      <c r="A118" s="93" t="s">
        <v>1236</v>
      </c>
      <c r="B118" s="195">
        <v>60.0</v>
      </c>
      <c r="C118" s="78">
        <f t="shared" si="12"/>
        <v>60</v>
      </c>
      <c r="D118" s="165" t="s">
        <v>18</v>
      </c>
      <c r="E118" s="47"/>
      <c r="F118" s="1"/>
      <c r="G118" s="1"/>
      <c r="H118" s="1"/>
      <c r="I118" s="1"/>
      <c r="J118" s="1"/>
      <c r="K118" s="1"/>
      <c r="L118" s="1"/>
      <c r="M118" s="1"/>
      <c r="N118" s="1"/>
      <c r="O118" s="1"/>
    </row>
    <row r="119" ht="14.25" customHeight="1">
      <c r="A119" s="93" t="s">
        <v>1887</v>
      </c>
      <c r="B119" s="195">
        <v>40.0</v>
      </c>
      <c r="C119" s="78">
        <f t="shared" si="12"/>
        <v>40</v>
      </c>
      <c r="D119" s="165" t="s">
        <v>18</v>
      </c>
      <c r="E119" s="47"/>
      <c r="F119" s="1"/>
      <c r="G119" s="1"/>
      <c r="H119" s="1"/>
      <c r="I119" s="1"/>
      <c r="J119" s="1"/>
      <c r="K119" s="1"/>
      <c r="L119" s="1"/>
      <c r="M119" s="1"/>
      <c r="N119" s="1"/>
      <c r="O119" s="1"/>
    </row>
    <row r="120" ht="14.25" customHeight="1">
      <c r="A120" s="138" t="s">
        <v>52</v>
      </c>
      <c r="B120" s="279">
        <v>12.5</v>
      </c>
      <c r="C120" s="146">
        <f t="shared" si="12"/>
        <v>12.5</v>
      </c>
      <c r="D120" s="281" t="s">
        <v>18</v>
      </c>
      <c r="E120" s="76"/>
      <c r="F120" s="1"/>
      <c r="G120" s="1"/>
      <c r="H120" s="1"/>
      <c r="I120" s="1"/>
      <c r="J120" s="1"/>
      <c r="K120" s="1"/>
      <c r="L120" s="1"/>
      <c r="M120" s="1"/>
      <c r="N120" s="1"/>
      <c r="O120" s="1"/>
    </row>
    <row r="121" ht="14.25" customHeight="1">
      <c r="A121" s="68" t="s">
        <v>1888</v>
      </c>
      <c r="B121" s="145">
        <v>0.5</v>
      </c>
      <c r="C121" s="155">
        <f t="shared" si="12"/>
        <v>0.5</v>
      </c>
      <c r="D121" s="137" t="s">
        <v>18</v>
      </c>
      <c r="E121" s="250" t="s">
        <v>1889</v>
      </c>
      <c r="F121" s="1"/>
      <c r="G121" s="1"/>
      <c r="H121" s="1"/>
      <c r="I121" s="1"/>
      <c r="J121" s="1"/>
      <c r="K121" s="1"/>
      <c r="L121" s="1"/>
      <c r="M121" s="1"/>
      <c r="N121" s="1"/>
      <c r="O121" s="1"/>
    </row>
    <row r="122" ht="14.25" customHeight="1">
      <c r="A122" s="93" t="s">
        <v>1890</v>
      </c>
      <c r="B122" s="195">
        <v>0.5</v>
      </c>
      <c r="C122" s="78">
        <f t="shared" si="12"/>
        <v>0.5</v>
      </c>
      <c r="D122" s="165" t="s">
        <v>18</v>
      </c>
      <c r="E122" s="47"/>
      <c r="F122" s="1"/>
      <c r="G122" s="1"/>
      <c r="H122" s="1"/>
      <c r="I122" s="1"/>
      <c r="J122" s="1"/>
      <c r="K122" s="1"/>
      <c r="L122" s="1"/>
      <c r="M122" s="1"/>
      <c r="N122" s="1"/>
      <c r="O122" s="1"/>
    </row>
    <row r="123" ht="14.25" customHeight="1">
      <c r="A123" s="93" t="s">
        <v>1891</v>
      </c>
      <c r="B123" s="195">
        <v>0.4</v>
      </c>
      <c r="C123" s="78">
        <f t="shared" si="12"/>
        <v>0.4</v>
      </c>
      <c r="D123" s="165" t="s">
        <v>18</v>
      </c>
      <c r="E123" s="47"/>
      <c r="F123" s="1"/>
      <c r="G123" s="1"/>
      <c r="H123" s="1"/>
      <c r="I123" s="1"/>
      <c r="J123" s="1"/>
      <c r="K123" s="1"/>
      <c r="L123" s="1"/>
      <c r="M123" s="1"/>
      <c r="N123" s="1"/>
      <c r="O123" s="1"/>
    </row>
    <row r="124" ht="14.25" customHeight="1">
      <c r="A124" s="93" t="s">
        <v>1893</v>
      </c>
      <c r="B124" s="195">
        <v>0.4</v>
      </c>
      <c r="C124" s="78">
        <f t="shared" ref="C124:C125" si="13">(B124*C122)/B122</f>
        <v>0.4</v>
      </c>
      <c r="D124" s="165" t="s">
        <v>18</v>
      </c>
      <c r="E124" s="47"/>
      <c r="F124" s="1"/>
      <c r="G124" s="1"/>
      <c r="H124" s="1"/>
      <c r="I124" s="1"/>
      <c r="J124" s="1"/>
      <c r="K124" s="1"/>
      <c r="L124" s="1"/>
      <c r="M124" s="1"/>
      <c r="N124" s="1"/>
      <c r="O124" s="1"/>
    </row>
    <row r="125" ht="14.25" customHeight="1">
      <c r="A125" s="93" t="s">
        <v>1894</v>
      </c>
      <c r="B125" s="195">
        <v>0.4</v>
      </c>
      <c r="C125" s="78">
        <f t="shared" si="13"/>
        <v>0.4</v>
      </c>
      <c r="D125" s="165" t="s">
        <v>18</v>
      </c>
      <c r="E125" s="47"/>
      <c r="F125" s="1"/>
      <c r="G125" s="1"/>
      <c r="H125" s="1"/>
      <c r="I125" s="1"/>
      <c r="J125" s="1"/>
      <c r="K125" s="1"/>
      <c r="L125" s="1"/>
      <c r="M125" s="1"/>
      <c r="N125" s="1"/>
      <c r="O125" s="1"/>
    </row>
    <row r="126" ht="14.25" customHeight="1">
      <c r="A126" s="93" t="s">
        <v>1895</v>
      </c>
      <c r="B126" s="195">
        <v>0.4</v>
      </c>
      <c r="C126" s="78">
        <f t="shared" ref="C126:C133" si="14">(B126*C125)/B125</f>
        <v>0.4</v>
      </c>
      <c r="D126" s="165" t="s">
        <v>18</v>
      </c>
      <c r="E126" s="47"/>
      <c r="F126" s="1"/>
      <c r="G126" s="1"/>
      <c r="H126" s="1"/>
      <c r="I126" s="1"/>
      <c r="J126" s="1"/>
      <c r="K126" s="1"/>
      <c r="L126" s="1"/>
      <c r="M126" s="1"/>
      <c r="N126" s="1"/>
      <c r="O126" s="1"/>
    </row>
    <row r="127" ht="14.25" customHeight="1">
      <c r="A127" s="105" t="s">
        <v>440</v>
      </c>
      <c r="B127" s="200">
        <v>0.5</v>
      </c>
      <c r="C127" s="56">
        <f t="shared" si="14"/>
        <v>0.5</v>
      </c>
      <c r="D127" s="172" t="s">
        <v>18</v>
      </c>
      <c r="E127" s="76"/>
      <c r="F127" s="1"/>
      <c r="G127" s="1"/>
      <c r="H127" s="1"/>
      <c r="I127" s="1"/>
      <c r="J127" s="1"/>
      <c r="K127" s="1"/>
      <c r="L127" s="1"/>
      <c r="M127" s="1"/>
      <c r="N127" s="1"/>
      <c r="O127" s="1"/>
    </row>
    <row r="128" ht="14.25" customHeight="1">
      <c r="A128" s="149" t="s">
        <v>1897</v>
      </c>
      <c r="B128" s="152">
        <f>1.8*12</f>
        <v>21.6</v>
      </c>
      <c r="C128" s="274">
        <f t="shared" si="14"/>
        <v>21.6</v>
      </c>
      <c r="D128" s="156" t="s">
        <v>18</v>
      </c>
      <c r="E128" s="1100" t="s">
        <v>1900</v>
      </c>
      <c r="F128" s="1"/>
      <c r="G128" s="1"/>
      <c r="H128" s="1"/>
      <c r="I128" s="1"/>
      <c r="J128" s="1"/>
      <c r="K128" s="1"/>
      <c r="L128" s="1"/>
      <c r="M128" s="1"/>
      <c r="N128" s="1"/>
      <c r="O128" s="1"/>
    </row>
    <row r="129" ht="14.25" customHeight="1">
      <c r="A129" s="68" t="s">
        <v>31</v>
      </c>
      <c r="B129" s="145">
        <v>110.0</v>
      </c>
      <c r="C129" s="155">
        <f t="shared" si="14"/>
        <v>110</v>
      </c>
      <c r="D129" s="137" t="s">
        <v>18</v>
      </c>
      <c r="E129" s="47"/>
      <c r="F129" s="1"/>
      <c r="G129" s="1"/>
      <c r="H129" s="1"/>
      <c r="I129" s="1"/>
      <c r="J129" s="1"/>
      <c r="K129" s="1"/>
      <c r="L129" s="1"/>
      <c r="M129" s="1"/>
      <c r="N129" s="1"/>
      <c r="O129" s="1"/>
    </row>
    <row r="130" ht="14.25" customHeight="1">
      <c r="A130" s="93" t="s">
        <v>1903</v>
      </c>
      <c r="B130" s="195">
        <v>80.0</v>
      </c>
      <c r="C130" s="78">
        <f t="shared" si="14"/>
        <v>80</v>
      </c>
      <c r="D130" s="165" t="s">
        <v>18</v>
      </c>
      <c r="E130" s="47"/>
      <c r="F130" s="1"/>
      <c r="G130" s="1"/>
      <c r="H130" s="1"/>
      <c r="I130" s="1"/>
      <c r="J130" s="1"/>
      <c r="K130" s="1"/>
      <c r="L130" s="1"/>
      <c r="M130" s="1"/>
      <c r="N130" s="1"/>
      <c r="O130" s="1"/>
    </row>
    <row r="131" ht="14.25" customHeight="1">
      <c r="A131" s="93" t="s">
        <v>1904</v>
      </c>
      <c r="B131" s="195">
        <v>0.2</v>
      </c>
      <c r="C131" s="78">
        <f t="shared" si="14"/>
        <v>0.2</v>
      </c>
      <c r="D131" s="165" t="s">
        <v>18</v>
      </c>
      <c r="E131" s="47"/>
      <c r="F131" s="1"/>
      <c r="G131" s="1"/>
      <c r="H131" s="1"/>
      <c r="I131" s="1"/>
      <c r="J131" s="1"/>
      <c r="K131" s="1"/>
      <c r="L131" s="1"/>
      <c r="M131" s="1"/>
      <c r="N131" s="1"/>
      <c r="O131" s="1"/>
    </row>
    <row r="132" ht="14.25" customHeight="1">
      <c r="A132" s="93" t="s">
        <v>733</v>
      </c>
      <c r="B132" s="195">
        <v>0.2</v>
      </c>
      <c r="C132" s="78">
        <f t="shared" si="14"/>
        <v>0.2</v>
      </c>
      <c r="D132" s="165" t="s">
        <v>18</v>
      </c>
      <c r="E132" s="76"/>
      <c r="F132" s="1"/>
      <c r="G132" s="1"/>
      <c r="H132" s="1"/>
      <c r="I132" s="1"/>
      <c r="J132" s="1"/>
      <c r="K132" s="1"/>
      <c r="L132" s="1"/>
      <c r="M132" s="1"/>
      <c r="N132" s="1"/>
      <c r="O132" s="1"/>
    </row>
    <row r="133" ht="14.25" customHeight="1">
      <c r="A133" s="105" t="s">
        <v>1907</v>
      </c>
      <c r="B133" s="200">
        <v>1.5</v>
      </c>
      <c r="C133" s="56">
        <f t="shared" si="14"/>
        <v>1.5</v>
      </c>
      <c r="D133" s="172" t="s">
        <v>5</v>
      </c>
      <c r="E133" s="1"/>
      <c r="F133" s="1"/>
      <c r="G133" s="1"/>
      <c r="H133" s="1"/>
      <c r="I133" s="1"/>
      <c r="J133" s="1"/>
      <c r="K133" s="1"/>
      <c r="L133" s="1"/>
      <c r="M133" s="1"/>
      <c r="N133" s="1"/>
      <c r="O133" s="1"/>
    </row>
    <row r="134" ht="14.25" customHeight="1">
      <c r="A134" s="305" t="s">
        <v>120</v>
      </c>
      <c r="B134" s="804"/>
      <c r="C134" s="804">
        <v>43528.0</v>
      </c>
      <c r="D134" s="1"/>
      <c r="E134" s="1"/>
      <c r="F134" s="1"/>
      <c r="G134" s="1"/>
      <c r="H134" s="1"/>
      <c r="I134" s="1"/>
      <c r="J134" s="1"/>
      <c r="K134" s="1"/>
      <c r="L134" s="1"/>
      <c r="M134" s="1"/>
      <c r="N134" s="1"/>
      <c r="O134" s="1"/>
    </row>
    <row r="135" ht="14.25" customHeight="1">
      <c r="A135" s="305" t="s">
        <v>50</v>
      </c>
      <c r="B135" s="804"/>
      <c r="C135" s="804">
        <v>43532.0</v>
      </c>
      <c r="D135" s="1315" t="s">
        <v>1911</v>
      </c>
      <c r="E135" s="1"/>
      <c r="F135" s="1"/>
      <c r="G135" s="1"/>
      <c r="H135" s="1"/>
      <c r="I135" s="1"/>
      <c r="J135" s="1"/>
      <c r="K135" s="1"/>
      <c r="L135" s="1"/>
      <c r="M135" s="1"/>
      <c r="N135" s="1"/>
      <c r="O135" s="1"/>
    </row>
    <row r="136" ht="14.25" customHeight="1">
      <c r="A136" s="1143" t="s">
        <v>42</v>
      </c>
      <c r="B136" s="1"/>
      <c r="C136" s="1"/>
      <c r="D136" s="1"/>
      <c r="E136" s="1"/>
      <c r="F136" s="1"/>
      <c r="G136" s="1"/>
      <c r="H136" s="1"/>
      <c r="I136" s="1"/>
      <c r="J136" s="1"/>
      <c r="K136" s="1"/>
      <c r="L136" s="1"/>
      <c r="M136" s="1"/>
      <c r="N136" s="1"/>
      <c r="O136" s="1"/>
    </row>
    <row r="137" ht="14.25" customHeight="1">
      <c r="A137" s="1"/>
      <c r="B137" s="1"/>
      <c r="C137" s="1"/>
      <c r="D137" s="1"/>
      <c r="E137" s="1"/>
      <c r="F137" s="1"/>
      <c r="G137" s="1"/>
      <c r="H137" s="1"/>
      <c r="I137" s="1"/>
      <c r="J137" s="1"/>
      <c r="K137" s="1"/>
      <c r="L137" s="1"/>
      <c r="M137" s="1"/>
      <c r="N137" s="1"/>
      <c r="O137" s="1"/>
    </row>
    <row r="138" ht="14.25" customHeight="1">
      <c r="A138" s="1"/>
      <c r="B138" s="1"/>
      <c r="C138" s="1"/>
      <c r="D138" s="1"/>
      <c r="E138" s="1"/>
      <c r="F138" s="1"/>
      <c r="G138" s="1"/>
      <c r="H138" s="1"/>
      <c r="I138" s="1"/>
      <c r="J138" s="1"/>
      <c r="K138" s="1"/>
      <c r="L138" s="1"/>
      <c r="M138" s="1"/>
      <c r="N138" s="1"/>
      <c r="O138" s="1"/>
    </row>
    <row r="139" ht="14.25" customHeight="1">
      <c r="A139" s="1"/>
      <c r="B139" s="1"/>
      <c r="C139" s="1"/>
      <c r="D139" s="1"/>
      <c r="E139" s="1"/>
      <c r="F139" s="1"/>
      <c r="G139" s="1"/>
      <c r="H139" s="1"/>
      <c r="I139" s="1"/>
      <c r="J139" s="1"/>
      <c r="K139" s="1"/>
      <c r="L139" s="1"/>
      <c r="M139" s="1"/>
      <c r="N139" s="1"/>
      <c r="O139" s="1"/>
    </row>
    <row r="140" ht="14.25" customHeight="1">
      <c r="A140" s="1"/>
      <c r="B140" s="1"/>
      <c r="C140" s="1"/>
      <c r="D140" s="1"/>
      <c r="E140" s="1"/>
      <c r="F140" s="1"/>
      <c r="G140" s="1"/>
      <c r="H140" s="1"/>
      <c r="I140" s="1"/>
      <c r="J140" s="1"/>
      <c r="K140" s="1"/>
      <c r="L140" s="1"/>
      <c r="M140" s="1"/>
      <c r="N140" s="1"/>
      <c r="O140" s="1"/>
    </row>
    <row r="141" ht="14.25" customHeight="1">
      <c r="A141" s="16" t="s">
        <v>481</v>
      </c>
      <c r="B141" s="18"/>
      <c r="C141" s="18"/>
      <c r="D141" s="19"/>
      <c r="E141" s="1"/>
      <c r="F141" s="1"/>
      <c r="G141" s="1"/>
      <c r="H141" s="1"/>
      <c r="I141" s="1"/>
      <c r="J141" s="1"/>
      <c r="K141" s="1"/>
      <c r="L141" s="1"/>
      <c r="M141" s="1"/>
      <c r="N141" s="1"/>
      <c r="O141" s="1"/>
    </row>
    <row r="142" ht="14.25" customHeight="1">
      <c r="A142" s="25" t="s">
        <v>1</v>
      </c>
      <c r="B142" s="26">
        <v>100.0</v>
      </c>
      <c r="C142" s="314">
        <v>13.0</v>
      </c>
      <c r="D142" s="28" t="s">
        <v>5</v>
      </c>
      <c r="E142" s="1"/>
      <c r="F142" s="1"/>
      <c r="G142" s="1"/>
      <c r="H142" s="1"/>
      <c r="I142" s="1"/>
      <c r="J142" s="1"/>
      <c r="K142" s="1"/>
      <c r="L142" s="1"/>
      <c r="M142" s="1"/>
      <c r="N142" s="1"/>
      <c r="O142" s="1"/>
    </row>
    <row r="143" ht="14.25" customHeight="1">
      <c r="A143" s="163" t="s">
        <v>1919</v>
      </c>
      <c r="B143" s="316">
        <v>10.0</v>
      </c>
      <c r="C143" s="285">
        <f t="shared" ref="C143:C147" si="15">(B143*C142)/B142</f>
        <v>1.3</v>
      </c>
      <c r="D143" s="169" t="s">
        <v>14</v>
      </c>
      <c r="E143" s="1"/>
      <c r="F143" s="1"/>
      <c r="G143" s="1"/>
      <c r="H143" s="1"/>
      <c r="I143" s="1"/>
      <c r="J143" s="1"/>
      <c r="K143" s="1"/>
      <c r="L143" s="1"/>
      <c r="M143" s="1"/>
      <c r="N143" s="1"/>
      <c r="O143" s="1"/>
    </row>
    <row r="144" ht="14.25" customHeight="1">
      <c r="A144" s="177" t="s">
        <v>805</v>
      </c>
      <c r="B144" s="321">
        <v>7.0</v>
      </c>
      <c r="C144" s="198">
        <f t="shared" si="15"/>
        <v>0.91</v>
      </c>
      <c r="D144" s="204" t="s">
        <v>14</v>
      </c>
      <c r="E144" s="1"/>
      <c r="F144" s="1"/>
      <c r="G144" s="1"/>
      <c r="H144" s="1"/>
      <c r="I144" s="1"/>
      <c r="J144" s="1"/>
      <c r="K144" s="1"/>
      <c r="L144" s="1"/>
      <c r="M144" s="1"/>
      <c r="N144" s="1"/>
      <c r="O144" s="1"/>
    </row>
    <row r="145" ht="14.25" customHeight="1">
      <c r="A145" s="177" t="s">
        <v>31</v>
      </c>
      <c r="B145" s="321">
        <v>1050.0</v>
      </c>
      <c r="C145" s="198">
        <f t="shared" si="15"/>
        <v>136.5</v>
      </c>
      <c r="D145" s="204" t="s">
        <v>18</v>
      </c>
      <c r="E145" s="1"/>
      <c r="F145" s="1"/>
      <c r="G145" s="1"/>
      <c r="H145" s="1"/>
      <c r="I145" s="1"/>
      <c r="J145" s="1"/>
      <c r="K145" s="1"/>
      <c r="L145" s="1"/>
      <c r="M145" s="1"/>
      <c r="N145" s="1"/>
      <c r="O145" s="1"/>
    </row>
    <row r="146" ht="14.25" customHeight="1">
      <c r="A146" s="177" t="s">
        <v>52</v>
      </c>
      <c r="B146" s="321">
        <v>100.0</v>
      </c>
      <c r="C146" s="198">
        <f t="shared" si="15"/>
        <v>13</v>
      </c>
      <c r="D146" s="249" t="s">
        <v>18</v>
      </c>
      <c r="E146" s="1"/>
      <c r="F146" s="1"/>
      <c r="G146" s="1"/>
      <c r="H146" s="1"/>
      <c r="I146" s="1"/>
      <c r="J146" s="1"/>
      <c r="K146" s="1"/>
      <c r="L146" s="1"/>
      <c r="M146" s="1"/>
      <c r="N146" s="1"/>
      <c r="O146" s="1"/>
    </row>
    <row r="147" ht="14.25" customHeight="1">
      <c r="A147" s="262" t="s">
        <v>157</v>
      </c>
      <c r="B147" s="355">
        <v>100.0</v>
      </c>
      <c r="C147" s="383">
        <f t="shared" si="15"/>
        <v>13</v>
      </c>
      <c r="D147" s="267" t="s">
        <v>5</v>
      </c>
      <c r="E147" s="1"/>
      <c r="F147" s="1"/>
      <c r="G147" s="1"/>
      <c r="H147" s="1"/>
      <c r="I147" s="1"/>
      <c r="J147" s="1"/>
      <c r="K147" s="1"/>
      <c r="L147" s="1"/>
      <c r="M147" s="1"/>
      <c r="N147" s="1"/>
      <c r="O147" s="1"/>
    </row>
    <row r="148" ht="14.25" customHeight="1">
      <c r="A148" s="163" t="s">
        <v>1169</v>
      </c>
      <c r="B148" s="316">
        <v>4.0</v>
      </c>
      <c r="C148" s="285">
        <f t="shared" ref="C148:C152" si="16">(B148*C143)/B143</f>
        <v>0.52</v>
      </c>
      <c r="D148" s="169" t="s">
        <v>14</v>
      </c>
      <c r="E148" s="1"/>
      <c r="F148" s="1"/>
      <c r="G148" s="1"/>
      <c r="H148" s="1"/>
      <c r="I148" s="1"/>
      <c r="J148" s="1"/>
      <c r="K148" s="1"/>
      <c r="L148" s="1"/>
      <c r="M148" s="1"/>
      <c r="N148" s="1"/>
      <c r="O148" s="1"/>
    </row>
    <row r="149" ht="14.25" customHeight="1">
      <c r="A149" s="177" t="s">
        <v>1167</v>
      </c>
      <c r="B149" s="321">
        <v>4.0</v>
      </c>
      <c r="C149" s="198">
        <f t="shared" si="16"/>
        <v>0.52</v>
      </c>
      <c r="D149" s="204" t="s">
        <v>14</v>
      </c>
      <c r="E149" s="1"/>
      <c r="F149" s="1"/>
      <c r="G149" s="1"/>
      <c r="H149" s="1"/>
      <c r="I149" s="1"/>
      <c r="J149" s="1"/>
      <c r="K149" s="1"/>
      <c r="L149" s="1"/>
      <c r="M149" s="1"/>
      <c r="N149" s="1"/>
      <c r="O149" s="1"/>
    </row>
    <row r="150" ht="14.25" customHeight="1">
      <c r="A150" s="177" t="s">
        <v>1252</v>
      </c>
      <c r="B150" s="321">
        <v>4.0</v>
      </c>
      <c r="C150" s="198">
        <f t="shared" si="16"/>
        <v>0.52</v>
      </c>
      <c r="D150" s="204" t="s">
        <v>14</v>
      </c>
      <c r="E150" s="1"/>
      <c r="F150" s="1"/>
      <c r="G150" s="1"/>
      <c r="H150" s="1"/>
      <c r="I150" s="1"/>
      <c r="J150" s="1"/>
      <c r="K150" s="1"/>
      <c r="L150" s="1"/>
      <c r="M150" s="1"/>
      <c r="N150" s="1"/>
      <c r="O150" s="1"/>
    </row>
    <row r="151" ht="14.25" customHeight="1">
      <c r="A151" s="177" t="s">
        <v>1165</v>
      </c>
      <c r="B151" s="321">
        <v>4.0</v>
      </c>
      <c r="C151" s="198">
        <f t="shared" si="16"/>
        <v>0.52</v>
      </c>
      <c r="D151" s="204" t="s">
        <v>14</v>
      </c>
      <c r="E151" s="1"/>
      <c r="F151" s="1"/>
      <c r="G151" s="1"/>
      <c r="H151" s="1"/>
      <c r="I151" s="1"/>
      <c r="J151" s="1"/>
      <c r="K151" s="1"/>
      <c r="L151" s="1"/>
      <c r="M151" s="1"/>
      <c r="N151" s="1"/>
      <c r="O151" s="1"/>
    </row>
    <row r="152" ht="14.25" customHeight="1">
      <c r="A152" s="208" t="s">
        <v>1189</v>
      </c>
      <c r="B152" s="318">
        <v>8.0</v>
      </c>
      <c r="C152" s="586">
        <f t="shared" si="16"/>
        <v>1.04</v>
      </c>
      <c r="D152" s="212" t="s">
        <v>526</v>
      </c>
      <c r="E152" s="1"/>
      <c r="F152" s="1"/>
      <c r="G152" s="1"/>
      <c r="H152" s="1"/>
      <c r="I152" s="1"/>
      <c r="J152" s="1"/>
      <c r="K152" s="1"/>
      <c r="L152" s="1"/>
      <c r="M152" s="1"/>
      <c r="N152" s="1"/>
      <c r="O152" s="1"/>
    </row>
    <row r="153" ht="14.25" customHeight="1">
      <c r="A153" s="157" t="s">
        <v>13</v>
      </c>
      <c r="B153" s="839">
        <v>0.5</v>
      </c>
      <c r="C153" s="390">
        <f>(B153*C152)/B152</f>
        <v>0.065</v>
      </c>
      <c r="D153" s="159" t="s">
        <v>14</v>
      </c>
      <c r="E153" s="1"/>
      <c r="F153" s="1"/>
      <c r="G153" s="1"/>
      <c r="H153" s="1"/>
      <c r="I153" s="1"/>
      <c r="J153" s="1"/>
      <c r="K153" s="1"/>
      <c r="L153" s="1"/>
      <c r="M153" s="1"/>
      <c r="N153" s="1"/>
      <c r="O153" s="1"/>
    </row>
    <row r="154" ht="14.25" customHeight="1">
      <c r="A154" s="157" t="s">
        <v>1385</v>
      </c>
      <c r="B154" s="321">
        <v>50.0</v>
      </c>
      <c r="C154" s="198">
        <f t="shared" ref="C154:C155" si="17">(B154*C152)/B152</f>
        <v>6.5</v>
      </c>
      <c r="D154" s="204" t="s">
        <v>18</v>
      </c>
      <c r="E154" s="1"/>
      <c r="F154" s="1"/>
      <c r="G154" s="1"/>
      <c r="H154" s="1"/>
      <c r="I154" s="1"/>
      <c r="J154" s="1"/>
      <c r="K154" s="1"/>
      <c r="L154" s="1"/>
      <c r="M154" s="1"/>
      <c r="N154" s="1"/>
      <c r="O154" s="1"/>
    </row>
    <row r="155" ht="14.25" customHeight="1">
      <c r="A155" s="177" t="s">
        <v>1027</v>
      </c>
      <c r="B155" s="321">
        <v>200.0</v>
      </c>
      <c r="C155" s="198">
        <f t="shared" si="17"/>
        <v>26</v>
      </c>
      <c r="D155" s="204" t="s">
        <v>18</v>
      </c>
      <c r="E155" s="1"/>
      <c r="F155" s="1"/>
      <c r="G155" s="1"/>
      <c r="H155" s="1"/>
      <c r="I155" s="1"/>
      <c r="J155" s="1"/>
      <c r="K155" s="1"/>
      <c r="L155" s="1"/>
      <c r="M155" s="1"/>
      <c r="N155" s="1"/>
      <c r="O155" s="1"/>
    </row>
    <row r="156" ht="14.25" customHeight="1">
      <c r="A156" s="177" t="s">
        <v>234</v>
      </c>
      <c r="B156" s="321">
        <v>150.0</v>
      </c>
      <c r="C156" s="198">
        <f t="shared" ref="C156:C162" si="18">(B156*C155)/B155</f>
        <v>19.5</v>
      </c>
      <c r="D156" s="204" t="s">
        <v>18</v>
      </c>
      <c r="E156" s="1"/>
      <c r="F156" s="1"/>
      <c r="G156" s="1"/>
      <c r="H156" s="1"/>
      <c r="I156" s="1"/>
      <c r="J156" s="1"/>
      <c r="K156" s="1"/>
      <c r="L156" s="1"/>
      <c r="M156" s="1"/>
      <c r="N156" s="1"/>
      <c r="O156" s="1"/>
    </row>
    <row r="157" ht="14.25" customHeight="1">
      <c r="A157" s="163" t="s">
        <v>743</v>
      </c>
      <c r="B157" s="316">
        <v>1.5</v>
      </c>
      <c r="C157" s="285">
        <f t="shared" si="18"/>
        <v>0.195</v>
      </c>
      <c r="D157" s="216" t="s">
        <v>5</v>
      </c>
      <c r="E157" s="1"/>
      <c r="F157" s="1"/>
      <c r="G157" s="1"/>
      <c r="H157" s="1"/>
      <c r="I157" s="1"/>
      <c r="J157" s="1"/>
      <c r="K157" s="1"/>
      <c r="L157" s="1"/>
      <c r="M157" s="1"/>
      <c r="N157" s="1"/>
      <c r="O157" s="1"/>
    </row>
    <row r="158" ht="14.25" customHeight="1">
      <c r="A158" s="177" t="s">
        <v>98</v>
      </c>
      <c r="B158" s="321">
        <v>250.0</v>
      </c>
      <c r="C158" s="198">
        <f t="shared" si="18"/>
        <v>32.5</v>
      </c>
      <c r="D158" s="249" t="s">
        <v>18</v>
      </c>
      <c r="E158" s="1"/>
      <c r="F158" s="1"/>
      <c r="G158" s="1"/>
      <c r="H158" s="1"/>
      <c r="I158" s="1"/>
      <c r="J158" s="1"/>
      <c r="K158" s="1"/>
      <c r="L158" s="1"/>
      <c r="M158" s="1"/>
      <c r="N158" s="1"/>
      <c r="O158" s="1"/>
    </row>
    <row r="159" ht="14.25" customHeight="1">
      <c r="A159" s="177" t="s">
        <v>101</v>
      </c>
      <c r="B159" s="321">
        <v>1.0</v>
      </c>
      <c r="C159" s="198">
        <f t="shared" si="18"/>
        <v>0.13</v>
      </c>
      <c r="D159" s="249" t="s">
        <v>5</v>
      </c>
      <c r="E159" s="1"/>
      <c r="F159" s="1"/>
      <c r="G159" s="1"/>
      <c r="H159" s="1"/>
      <c r="I159" s="1"/>
      <c r="J159" s="1"/>
      <c r="K159" s="1"/>
      <c r="L159" s="1"/>
      <c r="M159" s="1"/>
      <c r="N159" s="1"/>
      <c r="O159" s="1"/>
    </row>
    <row r="160" ht="14.25" customHeight="1">
      <c r="A160" s="177" t="s">
        <v>103</v>
      </c>
      <c r="B160" s="321">
        <v>120.0</v>
      </c>
      <c r="C160" s="198">
        <f t="shared" si="18"/>
        <v>15.6</v>
      </c>
      <c r="D160" s="249" t="s">
        <v>18</v>
      </c>
      <c r="E160" s="1"/>
      <c r="F160" s="1"/>
      <c r="G160" s="1"/>
      <c r="H160" s="1"/>
      <c r="I160" s="1"/>
      <c r="J160" s="1"/>
      <c r="K160" s="1"/>
      <c r="L160" s="1"/>
      <c r="M160" s="1"/>
      <c r="N160" s="1"/>
      <c r="O160" s="1"/>
    </row>
    <row r="161" ht="14.25" customHeight="1">
      <c r="A161" s="208" t="s">
        <v>822</v>
      </c>
      <c r="B161" s="318">
        <v>200.0</v>
      </c>
      <c r="C161" s="211">
        <f t="shared" si="18"/>
        <v>26</v>
      </c>
      <c r="D161" s="518" t="s">
        <v>18</v>
      </c>
      <c r="E161" s="1"/>
      <c r="F161" s="1"/>
      <c r="G161" s="1"/>
      <c r="H161" s="1"/>
      <c r="I161" s="1"/>
      <c r="J161" s="1"/>
      <c r="K161" s="1"/>
      <c r="L161" s="1"/>
      <c r="M161" s="1"/>
      <c r="N161" s="1"/>
      <c r="O161" s="1"/>
    </row>
    <row r="162" ht="14.25" customHeight="1">
      <c r="A162" s="208" t="s">
        <v>335</v>
      </c>
      <c r="B162" s="318">
        <v>5.0</v>
      </c>
      <c r="C162" s="211">
        <f t="shared" si="18"/>
        <v>0.65</v>
      </c>
      <c r="D162" s="212" t="s">
        <v>5</v>
      </c>
      <c r="E162" s="1"/>
      <c r="F162" s="1"/>
      <c r="G162" s="1"/>
      <c r="H162" s="1"/>
      <c r="I162" s="1"/>
      <c r="J162" s="1"/>
      <c r="K162" s="1"/>
      <c r="L162" s="1"/>
      <c r="M162" s="1"/>
      <c r="N162" s="1"/>
      <c r="O162" s="1"/>
    </row>
    <row r="163" ht="14.25" customHeight="1">
      <c r="A163" s="305" t="s">
        <v>120</v>
      </c>
      <c r="B163" s="804"/>
      <c r="C163" s="804">
        <v>43528.0</v>
      </c>
      <c r="D163" s="1"/>
      <c r="E163" s="1"/>
      <c r="F163" s="1"/>
      <c r="G163" s="1"/>
      <c r="H163" s="1"/>
      <c r="I163" s="1"/>
      <c r="J163" s="1"/>
      <c r="K163" s="1"/>
      <c r="L163" s="1"/>
      <c r="M163" s="1"/>
      <c r="N163" s="1"/>
      <c r="O163" s="1"/>
    </row>
    <row r="164" ht="14.25" customHeight="1">
      <c r="A164" s="305" t="s">
        <v>50</v>
      </c>
      <c r="B164" s="804"/>
      <c r="C164" s="804">
        <v>43532.0</v>
      </c>
      <c r="D164" s="1"/>
      <c r="E164" s="1"/>
      <c r="F164" s="1"/>
      <c r="G164" s="1"/>
      <c r="H164" s="1"/>
      <c r="I164" s="1"/>
      <c r="J164" s="1"/>
      <c r="K164" s="1"/>
      <c r="L164" s="1"/>
      <c r="M164" s="1"/>
      <c r="N164" s="1"/>
      <c r="O164" s="1"/>
    </row>
    <row r="165" ht="14.25" customHeight="1">
      <c r="A165" s="1143" t="s">
        <v>42</v>
      </c>
      <c r="B165" s="1"/>
      <c r="C165" s="1"/>
      <c r="D165" s="1"/>
      <c r="E165" s="1"/>
      <c r="F165" s="1"/>
      <c r="G165" s="1"/>
      <c r="H165" s="1"/>
      <c r="I165" s="1"/>
      <c r="J165" s="1"/>
      <c r="K165" s="1"/>
      <c r="L165" s="1"/>
      <c r="M165" s="1"/>
      <c r="N165" s="1"/>
      <c r="O165" s="1"/>
    </row>
    <row r="166" ht="14.25" customHeight="1">
      <c r="A166" s="1"/>
      <c r="B166" s="1"/>
      <c r="C166" s="1"/>
      <c r="D166" s="1"/>
      <c r="E166" s="1"/>
      <c r="F166" s="1"/>
      <c r="G166" s="1"/>
      <c r="H166" s="1"/>
      <c r="I166" s="1"/>
      <c r="J166" s="1"/>
      <c r="K166" s="1"/>
      <c r="L166" s="1"/>
      <c r="M166" s="1"/>
      <c r="N166" s="1"/>
      <c r="O166" s="1"/>
    </row>
    <row r="167" ht="14.25" customHeight="1">
      <c r="A167" s="1"/>
      <c r="B167" s="1"/>
      <c r="C167" s="1"/>
      <c r="D167" s="1"/>
      <c r="E167" s="1"/>
      <c r="F167" s="1"/>
      <c r="G167" s="1"/>
      <c r="H167" s="1"/>
      <c r="I167" s="1"/>
      <c r="J167" s="1"/>
      <c r="K167" s="1"/>
      <c r="L167" s="1"/>
      <c r="M167" s="1"/>
      <c r="N167" s="1"/>
      <c r="O167" s="1"/>
    </row>
    <row r="168" ht="14.25" customHeight="1">
      <c r="A168" s="16" t="s">
        <v>512</v>
      </c>
      <c r="B168" s="18"/>
      <c r="C168" s="18"/>
      <c r="D168" s="19"/>
      <c r="E168" s="1"/>
      <c r="F168" s="1"/>
      <c r="G168" s="1"/>
      <c r="H168" s="1"/>
      <c r="I168" s="1"/>
      <c r="J168" s="1"/>
      <c r="K168" s="1"/>
      <c r="L168" s="1"/>
      <c r="M168" s="1"/>
      <c r="N168" s="1"/>
      <c r="O168" s="1"/>
    </row>
    <row r="169" ht="14.25" customHeight="1">
      <c r="A169" s="25" t="s">
        <v>1</v>
      </c>
      <c r="B169" s="26">
        <v>100.0</v>
      </c>
      <c r="C169" s="314">
        <v>13.0</v>
      </c>
      <c r="D169" s="28" t="s">
        <v>5</v>
      </c>
      <c r="E169" s="1"/>
      <c r="F169" s="1"/>
      <c r="G169" s="1"/>
      <c r="H169" s="1"/>
      <c r="I169" s="1"/>
      <c r="J169" s="1"/>
      <c r="K169" s="1"/>
      <c r="L169" s="1"/>
      <c r="M169" s="1"/>
      <c r="N169" s="1"/>
      <c r="O169" s="1"/>
    </row>
    <row r="170" ht="14.25" customHeight="1">
      <c r="A170" s="163" t="s">
        <v>1926</v>
      </c>
      <c r="B170" s="316">
        <v>10.0</v>
      </c>
      <c r="C170" s="1025">
        <f>(B170*C169)/B169</f>
        <v>1.3</v>
      </c>
      <c r="D170" s="169" t="s">
        <v>14</v>
      </c>
      <c r="E170" s="1"/>
      <c r="F170" s="1"/>
      <c r="G170" s="1"/>
      <c r="H170" s="1"/>
      <c r="I170" s="1"/>
      <c r="J170" s="1"/>
      <c r="K170" s="1"/>
      <c r="L170" s="1"/>
      <c r="M170" s="1"/>
      <c r="N170" s="1"/>
      <c r="O170" s="1"/>
    </row>
    <row r="171" ht="14.25" customHeight="1">
      <c r="A171" s="177" t="s">
        <v>805</v>
      </c>
      <c r="B171" s="321">
        <v>3.85</v>
      </c>
      <c r="C171" s="581">
        <f t="shared" ref="C171:C172" si="19">(B171*C169)/B169</f>
        <v>0.5005</v>
      </c>
      <c r="D171" s="204" t="s">
        <v>14</v>
      </c>
      <c r="E171" s="1"/>
      <c r="F171" s="1"/>
      <c r="G171" s="1"/>
      <c r="H171" s="1"/>
      <c r="I171" s="1"/>
      <c r="J171" s="1"/>
      <c r="K171" s="1"/>
      <c r="L171" s="1"/>
      <c r="M171" s="1"/>
      <c r="N171" s="1"/>
      <c r="O171" s="1"/>
    </row>
    <row r="172" ht="14.25" customHeight="1">
      <c r="A172" s="177" t="s">
        <v>1928</v>
      </c>
      <c r="B172" s="321">
        <v>3.85</v>
      </c>
      <c r="C172" s="581">
        <f t="shared" si="19"/>
        <v>0.5005</v>
      </c>
      <c r="D172" s="204" t="s">
        <v>14</v>
      </c>
      <c r="E172" s="1"/>
      <c r="F172" s="1"/>
      <c r="G172" s="1"/>
      <c r="H172" s="1"/>
      <c r="I172" s="1"/>
      <c r="J172" s="1"/>
      <c r="K172" s="1"/>
      <c r="L172" s="1"/>
      <c r="M172" s="1"/>
      <c r="N172" s="1"/>
      <c r="O172" s="1"/>
    </row>
    <row r="173" ht="14.25" customHeight="1">
      <c r="A173" s="177" t="s">
        <v>31</v>
      </c>
      <c r="B173" s="321">
        <v>1050.0</v>
      </c>
      <c r="C173" s="581">
        <f t="shared" ref="C173:C175" si="20">(B173*C172)/B172</f>
        <v>136.5</v>
      </c>
      <c r="D173" s="204" t="s">
        <v>18</v>
      </c>
      <c r="E173" s="1"/>
      <c r="F173" s="1"/>
      <c r="G173" s="1"/>
      <c r="H173" s="1"/>
      <c r="I173" s="1"/>
      <c r="J173" s="1"/>
      <c r="K173" s="1"/>
      <c r="L173" s="1"/>
      <c r="M173" s="1"/>
      <c r="N173" s="1"/>
      <c r="O173" s="1"/>
    </row>
    <row r="174" ht="14.25" customHeight="1">
      <c r="A174" s="177" t="s">
        <v>52</v>
      </c>
      <c r="B174" s="321">
        <v>100.0</v>
      </c>
      <c r="C174" s="581">
        <f t="shared" si="20"/>
        <v>13</v>
      </c>
      <c r="D174" s="249" t="s">
        <v>18</v>
      </c>
      <c r="E174" s="1"/>
      <c r="F174" s="1"/>
      <c r="G174" s="1"/>
      <c r="H174" s="1"/>
      <c r="I174" s="1"/>
      <c r="J174" s="1"/>
      <c r="K174" s="1"/>
      <c r="L174" s="1"/>
      <c r="M174" s="1"/>
      <c r="N174" s="1"/>
      <c r="O174" s="1"/>
    </row>
    <row r="175" ht="14.25" customHeight="1">
      <c r="A175" s="262" t="s">
        <v>157</v>
      </c>
      <c r="B175" s="355">
        <v>100.0</v>
      </c>
      <c r="C175" s="1189">
        <f t="shared" si="20"/>
        <v>13</v>
      </c>
      <c r="D175" s="267" t="s">
        <v>5</v>
      </c>
      <c r="E175" s="1"/>
      <c r="F175" s="1"/>
      <c r="G175" s="1"/>
      <c r="H175" s="1"/>
      <c r="I175" s="1"/>
      <c r="J175" s="1"/>
      <c r="K175" s="1"/>
      <c r="L175" s="1"/>
      <c r="M175" s="1"/>
      <c r="N175" s="1"/>
      <c r="O175" s="1"/>
    </row>
    <row r="176" ht="14.25" customHeight="1">
      <c r="A176" s="163" t="s">
        <v>1169</v>
      </c>
      <c r="B176" s="316">
        <v>4.0</v>
      </c>
      <c r="C176" s="285">
        <f>(B176*C170)/B170</f>
        <v>0.52</v>
      </c>
      <c r="D176" s="169" t="s">
        <v>14</v>
      </c>
      <c r="E176" s="1"/>
      <c r="F176" s="1"/>
      <c r="G176" s="1"/>
      <c r="H176" s="1"/>
      <c r="I176" s="1"/>
      <c r="J176" s="1"/>
      <c r="K176" s="1"/>
      <c r="L176" s="1"/>
      <c r="M176" s="1"/>
      <c r="N176" s="1"/>
      <c r="O176" s="1"/>
    </row>
    <row r="177" ht="14.25" customHeight="1">
      <c r="A177" s="177" t="s">
        <v>1167</v>
      </c>
      <c r="B177" s="321">
        <v>4.0</v>
      </c>
      <c r="C177" s="198">
        <f t="shared" ref="C177:C180" si="21">(B177*C172)/B172</f>
        <v>0.52</v>
      </c>
      <c r="D177" s="204" t="s">
        <v>14</v>
      </c>
      <c r="E177" s="1"/>
      <c r="F177" s="1"/>
      <c r="G177" s="1"/>
      <c r="H177" s="1"/>
      <c r="I177" s="1"/>
      <c r="J177" s="1"/>
      <c r="K177" s="1"/>
      <c r="L177" s="1"/>
      <c r="M177" s="1"/>
      <c r="N177" s="1"/>
      <c r="O177" s="1"/>
    </row>
    <row r="178" ht="14.25" customHeight="1">
      <c r="A178" s="177" t="s">
        <v>1252</v>
      </c>
      <c r="B178" s="321">
        <v>4.0</v>
      </c>
      <c r="C178" s="198">
        <f t="shared" si="21"/>
        <v>0.52</v>
      </c>
      <c r="D178" s="204" t="s">
        <v>14</v>
      </c>
      <c r="E178" s="1"/>
      <c r="F178" s="1"/>
      <c r="G178" s="1"/>
      <c r="H178" s="1"/>
      <c r="I178" s="1"/>
      <c r="J178" s="1"/>
      <c r="K178" s="1"/>
      <c r="L178" s="1"/>
      <c r="M178" s="1"/>
      <c r="N178" s="1"/>
      <c r="O178" s="1"/>
    </row>
    <row r="179" ht="14.25" customHeight="1">
      <c r="A179" s="177" t="s">
        <v>1165</v>
      </c>
      <c r="B179" s="321">
        <v>4.0</v>
      </c>
      <c r="C179" s="198">
        <f t="shared" si="21"/>
        <v>0.52</v>
      </c>
      <c r="D179" s="204" t="s">
        <v>14</v>
      </c>
      <c r="E179" s="1"/>
      <c r="F179" s="1"/>
      <c r="G179" s="1"/>
      <c r="H179" s="1"/>
      <c r="I179" s="1"/>
      <c r="J179" s="1"/>
      <c r="K179" s="1"/>
      <c r="L179" s="1"/>
      <c r="M179" s="1"/>
      <c r="N179" s="1"/>
      <c r="O179" s="1"/>
    </row>
    <row r="180" ht="14.25" customHeight="1">
      <c r="A180" s="208" t="s">
        <v>1189</v>
      </c>
      <c r="B180" s="318">
        <v>8.0</v>
      </c>
      <c r="C180" s="586">
        <f t="shared" si="21"/>
        <v>1.04</v>
      </c>
      <c r="D180" s="212" t="s">
        <v>526</v>
      </c>
      <c r="E180" s="1"/>
      <c r="F180" s="1"/>
      <c r="G180" s="1"/>
      <c r="H180" s="1"/>
      <c r="I180" s="1"/>
      <c r="J180" s="1"/>
      <c r="K180" s="1"/>
      <c r="L180" s="1"/>
      <c r="M180" s="1"/>
      <c r="N180" s="1"/>
      <c r="O180" s="1"/>
    </row>
    <row r="181" ht="14.25" customHeight="1">
      <c r="A181" s="157" t="s">
        <v>13</v>
      </c>
      <c r="B181" s="839">
        <v>0.5</v>
      </c>
      <c r="C181" s="390">
        <f>(B181*C180)/B180</f>
        <v>0.065</v>
      </c>
      <c r="D181" s="159" t="s">
        <v>14</v>
      </c>
      <c r="E181" s="1"/>
      <c r="F181" s="1"/>
      <c r="G181" s="1"/>
      <c r="H181" s="1"/>
      <c r="I181" s="1"/>
      <c r="J181" s="1"/>
      <c r="K181" s="1"/>
      <c r="L181" s="1"/>
      <c r="M181" s="1"/>
      <c r="N181" s="1"/>
      <c r="O181" s="1"/>
    </row>
    <row r="182" ht="14.25" customHeight="1">
      <c r="A182" s="157" t="s">
        <v>1385</v>
      </c>
      <c r="B182" s="321">
        <v>50.0</v>
      </c>
      <c r="C182" s="198">
        <f t="shared" ref="C182:C183" si="22">(B182*C180)/B180</f>
        <v>6.5</v>
      </c>
      <c r="D182" s="204" t="s">
        <v>18</v>
      </c>
      <c r="E182" s="1"/>
      <c r="F182" s="1"/>
      <c r="G182" s="1"/>
      <c r="H182" s="1"/>
      <c r="I182" s="1"/>
      <c r="J182" s="1"/>
      <c r="K182" s="1"/>
      <c r="L182" s="1"/>
      <c r="M182" s="1"/>
      <c r="N182" s="1"/>
      <c r="O182" s="1"/>
    </row>
    <row r="183" ht="14.25" customHeight="1">
      <c r="A183" s="177" t="s">
        <v>1027</v>
      </c>
      <c r="B183" s="321">
        <v>200.0</v>
      </c>
      <c r="C183" s="198">
        <f t="shared" si="22"/>
        <v>26</v>
      </c>
      <c r="D183" s="204" t="s">
        <v>18</v>
      </c>
      <c r="E183" s="1"/>
      <c r="F183" s="1"/>
      <c r="G183" s="1"/>
      <c r="H183" s="1"/>
      <c r="I183" s="1"/>
      <c r="J183" s="1"/>
      <c r="K183" s="1"/>
      <c r="L183" s="1"/>
      <c r="M183" s="1"/>
      <c r="N183" s="1"/>
      <c r="O183" s="1"/>
    </row>
    <row r="184" ht="14.25" customHeight="1">
      <c r="A184" s="177" t="s">
        <v>234</v>
      </c>
      <c r="B184" s="321">
        <v>150.0</v>
      </c>
      <c r="C184" s="198">
        <f t="shared" ref="C184:C190" si="23">(B184*C183)/B183</f>
        <v>19.5</v>
      </c>
      <c r="D184" s="204" t="s">
        <v>18</v>
      </c>
      <c r="E184" s="1"/>
      <c r="F184" s="1"/>
      <c r="G184" s="1"/>
      <c r="H184" s="1"/>
      <c r="I184" s="1"/>
      <c r="J184" s="1"/>
      <c r="K184" s="1"/>
      <c r="L184" s="1"/>
      <c r="M184" s="1"/>
      <c r="N184" s="1"/>
      <c r="O184" s="1"/>
    </row>
    <row r="185" ht="14.25" customHeight="1">
      <c r="A185" s="163" t="s">
        <v>743</v>
      </c>
      <c r="B185" s="316">
        <v>1.5</v>
      </c>
      <c r="C185" s="285">
        <f t="shared" si="23"/>
        <v>0.195</v>
      </c>
      <c r="D185" s="216" t="s">
        <v>5</v>
      </c>
      <c r="E185" s="1"/>
      <c r="F185" s="1"/>
      <c r="G185" s="1"/>
      <c r="H185" s="1"/>
      <c r="I185" s="1"/>
      <c r="J185" s="1"/>
      <c r="K185" s="1"/>
      <c r="L185" s="1"/>
      <c r="M185" s="1"/>
      <c r="N185" s="1"/>
      <c r="O185" s="1"/>
    </row>
    <row r="186" ht="14.25" customHeight="1">
      <c r="A186" s="177" t="s">
        <v>98</v>
      </c>
      <c r="B186" s="321">
        <v>250.0</v>
      </c>
      <c r="C186" s="198">
        <f t="shared" si="23"/>
        <v>32.5</v>
      </c>
      <c r="D186" s="249" t="s">
        <v>18</v>
      </c>
      <c r="E186" s="1"/>
      <c r="F186" s="1"/>
      <c r="G186" s="1"/>
      <c r="H186" s="1"/>
      <c r="I186" s="1"/>
      <c r="J186" s="1"/>
      <c r="K186" s="1"/>
      <c r="L186" s="1"/>
      <c r="M186" s="1"/>
      <c r="N186" s="1"/>
      <c r="O186" s="1"/>
    </row>
    <row r="187" ht="14.25" customHeight="1">
      <c r="A187" s="177" t="s">
        <v>101</v>
      </c>
      <c r="B187" s="321">
        <v>1.0</v>
      </c>
      <c r="C187" s="198">
        <f t="shared" si="23"/>
        <v>0.13</v>
      </c>
      <c r="D187" s="249" t="s">
        <v>5</v>
      </c>
      <c r="E187" s="1"/>
      <c r="F187" s="1"/>
      <c r="G187" s="1"/>
      <c r="H187" s="1"/>
      <c r="I187" s="1"/>
      <c r="J187" s="1"/>
      <c r="K187" s="1"/>
      <c r="L187" s="1"/>
      <c r="M187" s="1"/>
      <c r="N187" s="1"/>
      <c r="O187" s="1"/>
    </row>
    <row r="188" ht="14.25" customHeight="1">
      <c r="A188" s="177" t="s">
        <v>103</v>
      </c>
      <c r="B188" s="321">
        <v>120.0</v>
      </c>
      <c r="C188" s="198">
        <f t="shared" si="23"/>
        <v>15.6</v>
      </c>
      <c r="D188" s="249" t="s">
        <v>18</v>
      </c>
      <c r="E188" s="1"/>
      <c r="F188" s="1"/>
      <c r="G188" s="1"/>
      <c r="H188" s="1"/>
      <c r="I188" s="1"/>
      <c r="J188" s="1"/>
      <c r="K188" s="1"/>
      <c r="L188" s="1"/>
      <c r="M188" s="1"/>
      <c r="N188" s="1"/>
      <c r="O188" s="1"/>
    </row>
    <row r="189" ht="14.25" customHeight="1">
      <c r="A189" s="208" t="s">
        <v>822</v>
      </c>
      <c r="B189" s="318">
        <v>200.0</v>
      </c>
      <c r="C189" s="211">
        <f t="shared" si="23"/>
        <v>26</v>
      </c>
      <c r="D189" s="518" t="s">
        <v>18</v>
      </c>
      <c r="E189" s="1"/>
      <c r="F189" s="1"/>
      <c r="G189" s="1"/>
      <c r="H189" s="1"/>
      <c r="I189" s="1"/>
      <c r="J189" s="1"/>
      <c r="K189" s="1"/>
      <c r="L189" s="1"/>
      <c r="M189" s="1"/>
      <c r="N189" s="1"/>
      <c r="O189" s="1"/>
    </row>
    <row r="190" ht="14.25" customHeight="1">
      <c r="A190" s="208" t="s">
        <v>335</v>
      </c>
      <c r="B190" s="318">
        <v>5.0</v>
      </c>
      <c r="C190" s="211">
        <f t="shared" si="23"/>
        <v>0.65</v>
      </c>
      <c r="D190" s="212" t="s">
        <v>5</v>
      </c>
      <c r="E190" s="1"/>
      <c r="F190" s="1"/>
      <c r="G190" s="1"/>
      <c r="H190" s="1"/>
      <c r="I190" s="1"/>
      <c r="J190" s="1"/>
      <c r="K190" s="1"/>
      <c r="L190" s="1"/>
      <c r="M190" s="1"/>
      <c r="N190" s="1"/>
      <c r="O190" s="1"/>
    </row>
    <row r="191" ht="14.25" customHeight="1">
      <c r="A191" s="305" t="s">
        <v>120</v>
      </c>
      <c r="B191" s="804"/>
      <c r="C191" s="804">
        <v>43528.0</v>
      </c>
      <c r="D191" s="1"/>
      <c r="E191" s="1"/>
      <c r="F191" s="1"/>
      <c r="G191" s="1"/>
      <c r="H191" s="1"/>
      <c r="I191" s="1"/>
      <c r="J191" s="1"/>
      <c r="K191" s="1"/>
      <c r="L191" s="1"/>
      <c r="M191" s="1"/>
      <c r="N191" s="1"/>
      <c r="O191" s="1"/>
    </row>
    <row r="192" ht="14.25" customHeight="1">
      <c r="A192" s="305" t="s">
        <v>50</v>
      </c>
      <c r="B192" s="804"/>
      <c r="C192" s="804">
        <v>43532.0</v>
      </c>
      <c r="D192" s="1"/>
      <c r="E192" s="1"/>
      <c r="F192" s="1"/>
      <c r="G192" s="1"/>
      <c r="H192" s="1"/>
      <c r="I192" s="1"/>
      <c r="J192" s="1"/>
      <c r="K192" s="1"/>
      <c r="L192" s="1"/>
      <c r="M192" s="1"/>
      <c r="N192" s="1"/>
      <c r="O192" s="1"/>
    </row>
    <row r="193" ht="14.25" customHeight="1">
      <c r="A193" s="1143" t="s">
        <v>42</v>
      </c>
      <c r="B193" s="1"/>
      <c r="C193" s="1"/>
      <c r="D193" s="1"/>
      <c r="E193" s="1"/>
      <c r="F193" s="1"/>
      <c r="G193" s="1"/>
      <c r="H193" s="1"/>
      <c r="I193" s="1"/>
      <c r="J193" s="1"/>
      <c r="K193" s="1"/>
      <c r="L193" s="1"/>
      <c r="M193" s="1"/>
      <c r="N193" s="1"/>
      <c r="O193" s="1"/>
    </row>
    <row r="194" ht="14.25" customHeight="1">
      <c r="A194" s="1"/>
      <c r="B194" s="1"/>
      <c r="C194" s="1"/>
      <c r="D194" s="1"/>
      <c r="E194" s="1"/>
      <c r="F194" s="1"/>
      <c r="G194" s="1"/>
      <c r="H194" s="1"/>
      <c r="I194" s="1"/>
      <c r="J194" s="1"/>
      <c r="K194" s="1"/>
      <c r="L194" s="1"/>
      <c r="M194" s="1"/>
      <c r="N194" s="1"/>
      <c r="O194" s="1"/>
    </row>
    <row r="195" ht="14.25" customHeight="1">
      <c r="A195" s="1"/>
      <c r="B195" s="1"/>
      <c r="C195" s="1"/>
      <c r="D195" s="1"/>
      <c r="E195" s="1"/>
      <c r="F195" s="1"/>
      <c r="G195" s="1"/>
      <c r="H195" s="1"/>
      <c r="I195" s="1"/>
      <c r="J195" s="1"/>
      <c r="K195" s="1"/>
      <c r="L195" s="1"/>
      <c r="M195" s="1"/>
      <c r="N195" s="1"/>
      <c r="O195" s="1"/>
    </row>
    <row r="196" ht="14.25" customHeight="1">
      <c r="A196" s="1"/>
      <c r="B196" s="1"/>
      <c r="C196" s="1"/>
      <c r="D196" s="1"/>
      <c r="E196" s="1"/>
      <c r="F196" s="1"/>
      <c r="G196" s="1"/>
      <c r="H196" s="1"/>
      <c r="I196" s="1"/>
      <c r="J196" s="1"/>
      <c r="K196" s="1"/>
      <c r="L196" s="1"/>
      <c r="M196" s="1"/>
      <c r="N196" s="1"/>
      <c r="O196" s="1"/>
    </row>
    <row r="197" ht="14.25" customHeight="1">
      <c r="A197" s="16" t="s">
        <v>545</v>
      </c>
      <c r="B197" s="18"/>
      <c r="C197" s="18"/>
      <c r="D197" s="19"/>
      <c r="E197" s="1"/>
      <c r="F197" s="1"/>
      <c r="G197" s="1"/>
      <c r="H197" s="1"/>
      <c r="I197" s="1"/>
      <c r="J197" s="1"/>
      <c r="K197" s="1"/>
      <c r="L197" s="1"/>
      <c r="M197" s="1"/>
      <c r="N197" s="1"/>
      <c r="O197" s="1"/>
    </row>
    <row r="198" ht="14.25" customHeight="1">
      <c r="A198" s="25" t="s">
        <v>1</v>
      </c>
      <c r="B198" s="26">
        <v>100.0</v>
      </c>
      <c r="C198" s="314">
        <v>13.0</v>
      </c>
      <c r="D198" s="28" t="s">
        <v>5</v>
      </c>
      <c r="E198" s="1"/>
      <c r="F198" s="1"/>
      <c r="G198" s="1"/>
      <c r="H198" s="1"/>
      <c r="I198" s="1"/>
      <c r="J198" s="1"/>
      <c r="K198" s="1"/>
      <c r="L198" s="1"/>
      <c r="M198" s="1"/>
      <c r="N198" s="1"/>
      <c r="O198" s="1"/>
    </row>
    <row r="199" ht="14.25" customHeight="1">
      <c r="A199" s="163" t="s">
        <v>1938</v>
      </c>
      <c r="B199" s="316">
        <v>10.0</v>
      </c>
      <c r="C199" s="1025">
        <f>(B199*C198)/B198</f>
        <v>1.3</v>
      </c>
      <c r="D199" s="169" t="s">
        <v>14</v>
      </c>
      <c r="E199" s="1"/>
      <c r="F199" s="1"/>
      <c r="G199" s="1"/>
      <c r="H199" s="1"/>
      <c r="I199" s="1"/>
      <c r="J199" s="1"/>
      <c r="K199" s="1"/>
      <c r="L199" s="1"/>
      <c r="M199" s="1"/>
      <c r="N199" s="1"/>
      <c r="O199" s="1"/>
    </row>
    <row r="200" ht="14.25" customHeight="1">
      <c r="A200" s="177" t="s">
        <v>1928</v>
      </c>
      <c r="B200" s="321">
        <v>6.0</v>
      </c>
      <c r="C200" s="581">
        <f t="shared" ref="C200:C218" si="24">(B200*C198)/B198</f>
        <v>0.78</v>
      </c>
      <c r="D200" s="204" t="s">
        <v>14</v>
      </c>
      <c r="E200" s="1"/>
      <c r="F200" s="1"/>
      <c r="G200" s="1"/>
      <c r="H200" s="1"/>
      <c r="I200" s="1"/>
      <c r="J200" s="1"/>
      <c r="K200" s="1"/>
      <c r="L200" s="1"/>
      <c r="M200" s="1"/>
      <c r="N200" s="1"/>
      <c r="O200" s="1"/>
    </row>
    <row r="201" ht="14.25" customHeight="1">
      <c r="A201" s="177" t="s">
        <v>31</v>
      </c>
      <c r="B201" s="321">
        <v>1100.0</v>
      </c>
      <c r="C201" s="581">
        <f t="shared" si="24"/>
        <v>143</v>
      </c>
      <c r="D201" s="204" t="s">
        <v>18</v>
      </c>
      <c r="E201" s="1"/>
      <c r="F201" s="1"/>
      <c r="G201" s="1"/>
      <c r="H201" s="1"/>
      <c r="I201" s="1"/>
      <c r="J201" s="1"/>
      <c r="K201" s="1"/>
      <c r="L201" s="1"/>
      <c r="M201" s="1"/>
      <c r="N201" s="1"/>
      <c r="O201" s="1"/>
    </row>
    <row r="202" ht="14.25" customHeight="1">
      <c r="A202" s="177" t="s">
        <v>52</v>
      </c>
      <c r="B202" s="321">
        <v>100.0</v>
      </c>
      <c r="C202" s="581">
        <f t="shared" si="24"/>
        <v>13</v>
      </c>
      <c r="D202" s="249" t="s">
        <v>18</v>
      </c>
      <c r="E202" s="1"/>
      <c r="F202" s="1"/>
      <c r="G202" s="1"/>
      <c r="H202" s="1"/>
      <c r="I202" s="1"/>
      <c r="J202" s="1"/>
      <c r="K202" s="1"/>
      <c r="L202" s="1"/>
      <c r="M202" s="1"/>
      <c r="N202" s="1"/>
      <c r="O202" s="1"/>
    </row>
    <row r="203" ht="14.25" customHeight="1">
      <c r="A203" s="262" t="s">
        <v>157</v>
      </c>
      <c r="B203" s="355">
        <v>100.0</v>
      </c>
      <c r="C203" s="581">
        <f t="shared" si="24"/>
        <v>13</v>
      </c>
      <c r="D203" s="267" t="s">
        <v>5</v>
      </c>
      <c r="E203" s="1"/>
      <c r="F203" s="1"/>
      <c r="G203" s="1"/>
      <c r="H203" s="1"/>
      <c r="I203" s="1"/>
      <c r="J203" s="1"/>
      <c r="K203" s="1"/>
      <c r="L203" s="1"/>
      <c r="M203" s="1"/>
      <c r="N203" s="1"/>
      <c r="O203" s="1"/>
    </row>
    <row r="204" ht="14.25" customHeight="1">
      <c r="A204" s="163" t="s">
        <v>1169</v>
      </c>
      <c r="B204" s="316">
        <v>4.0</v>
      </c>
      <c r="C204" s="581">
        <f t="shared" si="24"/>
        <v>0.52</v>
      </c>
      <c r="D204" s="169" t="s">
        <v>14</v>
      </c>
      <c r="E204" s="1"/>
      <c r="F204" s="1"/>
      <c r="G204" s="1"/>
      <c r="H204" s="1"/>
      <c r="I204" s="1"/>
      <c r="J204" s="1"/>
      <c r="K204" s="1"/>
      <c r="L204" s="1"/>
      <c r="M204" s="1"/>
      <c r="N204" s="1"/>
      <c r="O204" s="1"/>
    </row>
    <row r="205" ht="14.25" customHeight="1">
      <c r="A205" s="177" t="s">
        <v>1167</v>
      </c>
      <c r="B205" s="321">
        <v>4.0</v>
      </c>
      <c r="C205" s="581">
        <f t="shared" si="24"/>
        <v>0.52</v>
      </c>
      <c r="D205" s="204" t="s">
        <v>14</v>
      </c>
      <c r="E205" s="1"/>
      <c r="F205" s="1"/>
      <c r="G205" s="1"/>
      <c r="H205" s="1"/>
      <c r="I205" s="1"/>
      <c r="J205" s="1"/>
      <c r="K205" s="1"/>
      <c r="L205" s="1"/>
      <c r="M205" s="1"/>
      <c r="N205" s="1"/>
      <c r="O205" s="1"/>
    </row>
    <row r="206" ht="14.25" customHeight="1">
      <c r="A206" s="177" t="s">
        <v>1252</v>
      </c>
      <c r="B206" s="321">
        <v>4.0</v>
      </c>
      <c r="C206" s="581">
        <f t="shared" si="24"/>
        <v>0.52</v>
      </c>
      <c r="D206" s="204" t="s">
        <v>14</v>
      </c>
      <c r="E206" s="1"/>
      <c r="F206" s="1"/>
      <c r="G206" s="1"/>
      <c r="H206" s="1"/>
      <c r="I206" s="1"/>
      <c r="J206" s="1"/>
      <c r="K206" s="1"/>
      <c r="L206" s="1"/>
      <c r="M206" s="1"/>
      <c r="N206" s="1"/>
      <c r="O206" s="1"/>
    </row>
    <row r="207" ht="14.25" customHeight="1">
      <c r="A207" s="177" t="s">
        <v>1165</v>
      </c>
      <c r="B207" s="321">
        <v>4.0</v>
      </c>
      <c r="C207" s="581">
        <f t="shared" si="24"/>
        <v>0.52</v>
      </c>
      <c r="D207" s="204" t="s">
        <v>14</v>
      </c>
      <c r="E207" s="1"/>
      <c r="F207" s="1"/>
      <c r="G207" s="1"/>
      <c r="H207" s="1"/>
      <c r="I207" s="1"/>
      <c r="J207" s="1"/>
      <c r="K207" s="1"/>
      <c r="L207" s="1"/>
      <c r="M207" s="1"/>
      <c r="N207" s="1"/>
      <c r="O207" s="1"/>
    </row>
    <row r="208" ht="14.25" customHeight="1">
      <c r="A208" s="208" t="s">
        <v>1189</v>
      </c>
      <c r="B208" s="318">
        <v>8.0</v>
      </c>
      <c r="C208" s="581">
        <f t="shared" si="24"/>
        <v>1.04</v>
      </c>
      <c r="D208" s="212" t="s">
        <v>526</v>
      </c>
      <c r="E208" s="1"/>
      <c r="F208" s="1"/>
      <c r="G208" s="1"/>
      <c r="H208" s="1"/>
      <c r="I208" s="1"/>
      <c r="J208" s="1"/>
      <c r="K208" s="1"/>
      <c r="L208" s="1"/>
      <c r="M208" s="1"/>
      <c r="N208" s="1"/>
      <c r="O208" s="1"/>
    </row>
    <row r="209" ht="14.25" customHeight="1">
      <c r="A209" s="157" t="s">
        <v>13</v>
      </c>
      <c r="B209" s="839">
        <v>0.1</v>
      </c>
      <c r="C209" s="581">
        <f t="shared" si="24"/>
        <v>0.013</v>
      </c>
      <c r="D209" s="159" t="s">
        <v>14</v>
      </c>
      <c r="E209" s="1"/>
      <c r="F209" s="1"/>
      <c r="G209" s="1"/>
      <c r="H209" s="1"/>
      <c r="I209" s="1"/>
      <c r="J209" s="1"/>
      <c r="K209" s="1"/>
      <c r="L209" s="1"/>
      <c r="M209" s="1"/>
      <c r="N209" s="1"/>
      <c r="O209" s="1"/>
    </row>
    <row r="210" ht="14.25" customHeight="1">
      <c r="A210" s="157" t="s">
        <v>1385</v>
      </c>
      <c r="B210" s="321">
        <v>50.0</v>
      </c>
      <c r="C210" s="581">
        <f t="shared" si="24"/>
        <v>6.5</v>
      </c>
      <c r="D210" s="204" t="s">
        <v>18</v>
      </c>
      <c r="E210" s="1"/>
      <c r="F210" s="1"/>
      <c r="G210" s="1"/>
      <c r="H210" s="1"/>
      <c r="I210" s="1"/>
      <c r="J210" s="1"/>
      <c r="K210" s="1"/>
      <c r="L210" s="1"/>
      <c r="M210" s="1"/>
      <c r="N210" s="1"/>
      <c r="O210" s="1"/>
    </row>
    <row r="211" ht="14.25" customHeight="1">
      <c r="A211" s="177" t="s">
        <v>1941</v>
      </c>
      <c r="B211" s="321">
        <v>150.0</v>
      </c>
      <c r="C211" s="581">
        <f t="shared" si="24"/>
        <v>19.5</v>
      </c>
      <c r="D211" s="204" t="s">
        <v>18</v>
      </c>
      <c r="E211" s="1"/>
      <c r="F211" s="1"/>
      <c r="G211" s="1"/>
      <c r="H211" s="1"/>
      <c r="I211" s="1"/>
      <c r="J211" s="1"/>
      <c r="K211" s="1"/>
      <c r="L211" s="1"/>
      <c r="M211" s="1"/>
      <c r="N211" s="1"/>
      <c r="O211" s="1"/>
    </row>
    <row r="212" ht="14.25" customHeight="1">
      <c r="A212" s="177" t="s">
        <v>234</v>
      </c>
      <c r="B212" s="321">
        <v>150.0</v>
      </c>
      <c r="C212" s="581">
        <f t="shared" si="24"/>
        <v>19.5</v>
      </c>
      <c r="D212" s="204" t="s">
        <v>18</v>
      </c>
      <c r="E212" s="1"/>
      <c r="F212" s="1"/>
      <c r="G212" s="1"/>
      <c r="H212" s="1"/>
      <c r="I212" s="1"/>
      <c r="J212" s="1"/>
      <c r="K212" s="1"/>
      <c r="L212" s="1"/>
      <c r="M212" s="1"/>
      <c r="N212" s="1"/>
      <c r="O212" s="1"/>
    </row>
    <row r="213" ht="14.25" customHeight="1">
      <c r="A213" s="163" t="s">
        <v>743</v>
      </c>
      <c r="B213" s="316">
        <v>1.5</v>
      </c>
      <c r="C213" s="581">
        <f t="shared" si="24"/>
        <v>0.195</v>
      </c>
      <c r="D213" s="216" t="s">
        <v>5</v>
      </c>
      <c r="E213" s="1"/>
      <c r="F213" s="1"/>
      <c r="G213" s="1"/>
      <c r="H213" s="1"/>
      <c r="I213" s="1"/>
      <c r="J213" s="1"/>
      <c r="K213" s="1"/>
      <c r="L213" s="1"/>
      <c r="M213" s="1"/>
      <c r="N213" s="1"/>
      <c r="O213" s="1"/>
    </row>
    <row r="214" ht="14.25" customHeight="1">
      <c r="A214" s="177" t="s">
        <v>98</v>
      </c>
      <c r="B214" s="321">
        <v>250.0</v>
      </c>
      <c r="C214" s="581">
        <f t="shared" si="24"/>
        <v>32.5</v>
      </c>
      <c r="D214" s="249" t="s">
        <v>18</v>
      </c>
      <c r="E214" s="1"/>
      <c r="F214" s="1"/>
      <c r="G214" s="1"/>
      <c r="H214" s="1"/>
      <c r="I214" s="1"/>
      <c r="J214" s="1"/>
      <c r="K214" s="1"/>
      <c r="L214" s="1"/>
      <c r="M214" s="1"/>
      <c r="N214" s="1"/>
      <c r="O214" s="1"/>
    </row>
    <row r="215" ht="14.25" customHeight="1">
      <c r="A215" s="177" t="s">
        <v>101</v>
      </c>
      <c r="B215" s="321">
        <v>1.0</v>
      </c>
      <c r="C215" s="581">
        <f t="shared" si="24"/>
        <v>0.13</v>
      </c>
      <c r="D215" s="249" t="s">
        <v>5</v>
      </c>
      <c r="E215" s="1"/>
      <c r="F215" s="1"/>
      <c r="G215" s="1"/>
      <c r="H215" s="1"/>
      <c r="I215" s="1"/>
      <c r="J215" s="1"/>
      <c r="K215" s="1"/>
      <c r="L215" s="1"/>
      <c r="M215" s="1"/>
      <c r="N215" s="1"/>
      <c r="O215" s="1"/>
    </row>
    <row r="216" ht="14.25" customHeight="1">
      <c r="A216" s="177" t="s">
        <v>103</v>
      </c>
      <c r="B216" s="321">
        <v>120.0</v>
      </c>
      <c r="C216" s="581">
        <f t="shared" si="24"/>
        <v>15.6</v>
      </c>
      <c r="D216" s="249" t="s">
        <v>18</v>
      </c>
      <c r="E216" s="1"/>
      <c r="F216" s="1"/>
      <c r="G216" s="1"/>
      <c r="H216" s="1"/>
      <c r="I216" s="1"/>
      <c r="J216" s="1"/>
      <c r="K216" s="1"/>
      <c r="L216" s="1"/>
      <c r="M216" s="1"/>
      <c r="N216" s="1"/>
      <c r="O216" s="1"/>
    </row>
    <row r="217" ht="14.25" customHeight="1">
      <c r="A217" s="208" t="s">
        <v>822</v>
      </c>
      <c r="B217" s="318">
        <v>200.0</v>
      </c>
      <c r="C217" s="581">
        <f t="shared" si="24"/>
        <v>26</v>
      </c>
      <c r="D217" s="518" t="s">
        <v>18</v>
      </c>
      <c r="E217" s="1"/>
      <c r="F217" s="1"/>
      <c r="G217" s="1"/>
      <c r="H217" s="1"/>
      <c r="I217" s="1"/>
      <c r="J217" s="1"/>
      <c r="K217" s="1"/>
      <c r="L217" s="1"/>
      <c r="M217" s="1"/>
      <c r="N217" s="1"/>
      <c r="O217" s="1"/>
    </row>
    <row r="218" ht="14.25" customHeight="1">
      <c r="A218" s="208" t="s">
        <v>335</v>
      </c>
      <c r="B218" s="318">
        <v>5.0</v>
      </c>
      <c r="C218" s="581">
        <f t="shared" si="24"/>
        <v>0.65</v>
      </c>
      <c r="D218" s="212" t="s">
        <v>5</v>
      </c>
      <c r="E218" s="1"/>
      <c r="F218" s="1"/>
      <c r="G218" s="1"/>
      <c r="H218" s="1"/>
      <c r="I218" s="1"/>
      <c r="J218" s="1"/>
      <c r="K218" s="1"/>
      <c r="L218" s="1"/>
      <c r="M218" s="1"/>
      <c r="N218" s="1"/>
      <c r="O218" s="1"/>
    </row>
    <row r="219" ht="14.25" customHeight="1">
      <c r="A219" s="305" t="s">
        <v>120</v>
      </c>
      <c r="B219" s="804"/>
      <c r="C219" s="804">
        <v>43528.0</v>
      </c>
      <c r="D219" s="1"/>
      <c r="E219" s="1"/>
      <c r="F219" s="1"/>
      <c r="G219" s="1"/>
      <c r="H219" s="1"/>
      <c r="I219" s="1"/>
      <c r="J219" s="1"/>
      <c r="K219" s="1"/>
      <c r="L219" s="1"/>
      <c r="M219" s="1"/>
      <c r="N219" s="1"/>
      <c r="O219" s="1"/>
    </row>
    <row r="220" ht="14.25" customHeight="1">
      <c r="A220" s="305" t="s">
        <v>50</v>
      </c>
      <c r="B220" s="804"/>
      <c r="C220" s="804">
        <v>43532.0</v>
      </c>
      <c r="D220" s="1"/>
      <c r="E220" s="1"/>
      <c r="F220" s="1"/>
      <c r="G220" s="1"/>
      <c r="H220" s="1"/>
      <c r="I220" s="1"/>
      <c r="J220" s="1"/>
      <c r="K220" s="1"/>
      <c r="L220" s="1"/>
      <c r="M220" s="1"/>
      <c r="N220" s="1"/>
      <c r="O220" s="1"/>
    </row>
    <row r="221" ht="14.25" customHeight="1">
      <c r="A221" s="1143" t="s">
        <v>42</v>
      </c>
      <c r="B221" s="1"/>
      <c r="C221" s="1"/>
      <c r="D221" s="1"/>
      <c r="E221" s="1"/>
      <c r="F221" s="1"/>
      <c r="G221" s="1"/>
      <c r="H221" s="1"/>
      <c r="I221" s="1"/>
      <c r="J221" s="1"/>
      <c r="K221" s="1"/>
      <c r="L221" s="1"/>
      <c r="M221" s="1"/>
      <c r="N221" s="1"/>
      <c r="O221" s="1"/>
    </row>
    <row r="222" ht="14.25" customHeight="1">
      <c r="A222" s="1"/>
      <c r="B222" s="1"/>
      <c r="C222" s="1"/>
      <c r="D222" s="1"/>
      <c r="E222" s="1"/>
      <c r="F222" s="1"/>
      <c r="G222" s="1"/>
      <c r="H222" s="1"/>
      <c r="I222" s="1"/>
      <c r="J222" s="1"/>
      <c r="K222" s="1"/>
      <c r="L222" s="1"/>
      <c r="M222" s="1"/>
      <c r="N222" s="1"/>
      <c r="O222" s="1"/>
    </row>
    <row r="223" ht="14.25" customHeight="1">
      <c r="A223" s="1"/>
      <c r="B223" s="1"/>
      <c r="C223" s="1"/>
      <c r="D223" s="1"/>
      <c r="E223" s="1"/>
      <c r="F223" s="1"/>
      <c r="G223" s="1"/>
      <c r="H223" s="1"/>
      <c r="I223" s="1"/>
      <c r="J223" s="1"/>
      <c r="K223" s="1"/>
      <c r="L223" s="1"/>
      <c r="M223" s="1"/>
      <c r="N223" s="1"/>
      <c r="O223" s="1"/>
    </row>
    <row r="224" ht="14.25" customHeight="1">
      <c r="A224" s="1"/>
      <c r="B224" s="1"/>
      <c r="C224" s="1"/>
      <c r="D224" s="1"/>
      <c r="E224" s="1"/>
      <c r="F224" s="1"/>
      <c r="G224" s="1"/>
      <c r="H224" s="1"/>
      <c r="I224" s="1"/>
      <c r="J224" s="1"/>
      <c r="K224" s="1"/>
      <c r="L224" s="1"/>
      <c r="M224" s="1"/>
      <c r="N224" s="1"/>
      <c r="O224" s="1"/>
    </row>
    <row r="225" ht="14.25" customHeight="1">
      <c r="A225" s="16" t="s">
        <v>573</v>
      </c>
      <c r="B225" s="18"/>
      <c r="C225" s="18"/>
      <c r="D225" s="19"/>
      <c r="E225" s="1"/>
      <c r="F225" s="1"/>
      <c r="G225" s="1"/>
      <c r="H225" s="1"/>
      <c r="I225" s="1"/>
      <c r="J225" s="1"/>
      <c r="K225" s="1"/>
      <c r="L225" s="1"/>
      <c r="M225" s="1"/>
      <c r="N225" s="1"/>
      <c r="O225" s="1"/>
    </row>
    <row r="226" ht="14.25" customHeight="1">
      <c r="A226" s="25" t="s">
        <v>1</v>
      </c>
      <c r="B226" s="26">
        <v>100.0</v>
      </c>
      <c r="C226" s="314">
        <v>13.0</v>
      </c>
      <c r="D226" s="28" t="s">
        <v>5</v>
      </c>
      <c r="E226" s="1"/>
      <c r="F226" s="1"/>
      <c r="G226" s="1"/>
      <c r="H226" s="1"/>
      <c r="I226" s="1"/>
      <c r="J226" s="1"/>
      <c r="K226" s="1"/>
      <c r="L226" s="1"/>
      <c r="M226" s="1"/>
      <c r="N226" s="1"/>
      <c r="O226" s="1"/>
    </row>
    <row r="227" ht="14.25" customHeight="1">
      <c r="A227" s="163" t="s">
        <v>1938</v>
      </c>
      <c r="B227" s="316">
        <v>10.0</v>
      </c>
      <c r="C227" s="1025">
        <f t="shared" ref="C227:C230" si="25">(B227*C226)/B226</f>
        <v>1.3</v>
      </c>
      <c r="D227" s="169" t="s">
        <v>14</v>
      </c>
      <c r="E227" s="1"/>
      <c r="F227" s="1"/>
      <c r="G227" s="1"/>
      <c r="H227" s="1"/>
      <c r="I227" s="1"/>
      <c r="J227" s="1"/>
      <c r="K227" s="1"/>
      <c r="L227" s="1"/>
      <c r="M227" s="1"/>
      <c r="N227" s="1"/>
      <c r="O227" s="1"/>
    </row>
    <row r="228" ht="14.25" customHeight="1">
      <c r="A228" s="177" t="s">
        <v>805</v>
      </c>
      <c r="B228" s="94">
        <v>2.0</v>
      </c>
      <c r="C228" s="1702">
        <f t="shared" si="25"/>
        <v>0.26</v>
      </c>
      <c r="D228" s="169" t="s">
        <v>14</v>
      </c>
      <c r="E228" s="1"/>
      <c r="F228" s="1"/>
      <c r="G228" s="1"/>
      <c r="H228" s="1"/>
      <c r="I228" s="1"/>
      <c r="J228" s="1"/>
      <c r="K228" s="1"/>
      <c r="L228" s="1"/>
      <c r="M228" s="1"/>
      <c r="N228" s="1"/>
      <c r="O228" s="1"/>
    </row>
    <row r="229" ht="14.25" customHeight="1">
      <c r="A229" s="177" t="s">
        <v>1928</v>
      </c>
      <c r="B229" s="94">
        <v>1.5</v>
      </c>
      <c r="C229" s="1702">
        <f t="shared" si="25"/>
        <v>0.195</v>
      </c>
      <c r="D229" s="169" t="s">
        <v>14</v>
      </c>
      <c r="E229" s="1"/>
      <c r="F229" s="1"/>
      <c r="G229" s="1"/>
      <c r="H229" s="1"/>
      <c r="I229" s="1"/>
      <c r="J229" s="1"/>
      <c r="K229" s="1"/>
      <c r="L229" s="1"/>
      <c r="M229" s="1"/>
      <c r="N229" s="1"/>
      <c r="O229" s="1"/>
    </row>
    <row r="230" ht="14.25" customHeight="1">
      <c r="A230" s="177" t="s">
        <v>810</v>
      </c>
      <c r="B230" s="94">
        <v>0.5</v>
      </c>
      <c r="C230" s="1702">
        <f t="shared" si="25"/>
        <v>0.065</v>
      </c>
      <c r="D230" s="204" t="s">
        <v>14</v>
      </c>
      <c r="E230" s="1"/>
      <c r="F230" s="1"/>
      <c r="G230" s="1"/>
      <c r="H230" s="1"/>
      <c r="I230" s="1"/>
      <c r="J230" s="1"/>
      <c r="K230" s="1"/>
      <c r="L230" s="1"/>
      <c r="M230" s="1"/>
      <c r="N230" s="1"/>
      <c r="O230" s="1"/>
    </row>
    <row r="231" ht="14.25" customHeight="1">
      <c r="A231" s="177" t="s">
        <v>942</v>
      </c>
      <c r="B231" s="94">
        <v>1.5</v>
      </c>
      <c r="C231" s="581">
        <f>(B231*C227)/B227</f>
        <v>0.195</v>
      </c>
      <c r="D231" s="204" t="s">
        <v>14</v>
      </c>
      <c r="E231" s="1"/>
      <c r="F231" s="1"/>
      <c r="G231" s="1"/>
      <c r="H231" s="1"/>
      <c r="I231" s="1"/>
      <c r="J231" s="1"/>
      <c r="K231" s="1"/>
      <c r="L231" s="1"/>
      <c r="M231" s="1"/>
      <c r="N231" s="1"/>
      <c r="O231" s="1"/>
    </row>
    <row r="232" ht="14.25" customHeight="1">
      <c r="A232" s="325" t="s">
        <v>31</v>
      </c>
      <c r="B232" s="328">
        <v>1050.0</v>
      </c>
      <c r="C232" s="1707">
        <f t="shared" ref="C232:C234" si="26">(B232*C231)/B231</f>
        <v>136.5</v>
      </c>
      <c r="D232" s="338" t="s">
        <v>18</v>
      </c>
      <c r="E232" s="1"/>
      <c r="F232" s="1"/>
      <c r="G232" s="1"/>
      <c r="H232" s="1"/>
      <c r="I232" s="1"/>
      <c r="J232" s="1"/>
      <c r="K232" s="1"/>
      <c r="L232" s="1"/>
      <c r="M232" s="1"/>
      <c r="N232" s="1"/>
      <c r="O232" s="1"/>
    </row>
    <row r="233" ht="14.25" customHeight="1">
      <c r="A233" s="157" t="s">
        <v>52</v>
      </c>
      <c r="B233" s="839">
        <v>100.0</v>
      </c>
      <c r="C233" s="498">
        <f t="shared" si="26"/>
        <v>13</v>
      </c>
      <c r="D233" s="520" t="s">
        <v>18</v>
      </c>
      <c r="E233" s="1"/>
      <c r="F233" s="1"/>
      <c r="G233" s="1"/>
      <c r="H233" s="1"/>
      <c r="I233" s="1"/>
      <c r="J233" s="1"/>
      <c r="K233" s="1"/>
      <c r="L233" s="1"/>
      <c r="M233" s="1"/>
      <c r="N233" s="1"/>
      <c r="O233" s="1"/>
    </row>
    <row r="234" ht="14.25" customHeight="1">
      <c r="A234" s="262" t="s">
        <v>157</v>
      </c>
      <c r="B234" s="355">
        <v>100.0</v>
      </c>
      <c r="C234" s="1189">
        <f t="shared" si="26"/>
        <v>13</v>
      </c>
      <c r="D234" s="267" t="s">
        <v>5</v>
      </c>
      <c r="E234" s="1"/>
      <c r="F234" s="1"/>
      <c r="G234" s="1"/>
      <c r="H234" s="1"/>
      <c r="I234" s="1"/>
      <c r="J234" s="1"/>
      <c r="K234" s="1"/>
      <c r="L234" s="1"/>
      <c r="M234" s="1"/>
      <c r="N234" s="1"/>
      <c r="O234" s="1"/>
    </row>
    <row r="235" ht="14.25" customHeight="1">
      <c r="A235" s="163" t="s">
        <v>1946</v>
      </c>
      <c r="B235" s="316">
        <v>4.0</v>
      </c>
      <c r="C235" s="285">
        <f>(B235*C227)/B227</f>
        <v>0.52</v>
      </c>
      <c r="D235" s="169" t="s">
        <v>14</v>
      </c>
      <c r="E235" s="1"/>
      <c r="F235" s="1"/>
      <c r="G235" s="1"/>
      <c r="H235" s="1"/>
      <c r="I235" s="1"/>
      <c r="J235" s="1"/>
      <c r="K235" s="1"/>
      <c r="L235" s="1"/>
      <c r="M235" s="1"/>
      <c r="N235" s="1"/>
      <c r="O235" s="1"/>
    </row>
    <row r="236" ht="14.25" customHeight="1">
      <c r="A236" s="177" t="s">
        <v>1947</v>
      </c>
      <c r="B236" s="321">
        <v>4.0</v>
      </c>
      <c r="C236" s="198">
        <f t="shared" ref="C236:C238" si="27">(B236*C231)/B231</f>
        <v>0.52</v>
      </c>
      <c r="D236" s="204" t="s">
        <v>14</v>
      </c>
      <c r="E236" s="1"/>
      <c r="F236" s="1"/>
      <c r="G236" s="1"/>
      <c r="H236" s="1"/>
      <c r="I236" s="1"/>
      <c r="J236" s="1"/>
      <c r="K236" s="1"/>
      <c r="L236" s="1"/>
      <c r="M236" s="1"/>
      <c r="N236" s="1"/>
      <c r="O236" s="1"/>
    </row>
    <row r="237" ht="14.25" customHeight="1">
      <c r="A237" s="177" t="s">
        <v>1948</v>
      </c>
      <c r="B237" s="321">
        <v>4.0</v>
      </c>
      <c r="C237" s="198">
        <f t="shared" si="27"/>
        <v>0.52</v>
      </c>
      <c r="D237" s="204" t="s">
        <v>14</v>
      </c>
      <c r="E237" s="1"/>
      <c r="F237" s="1"/>
      <c r="G237" s="1"/>
      <c r="H237" s="1"/>
      <c r="I237" s="1"/>
      <c r="J237" s="1"/>
      <c r="K237" s="1"/>
      <c r="L237" s="1"/>
      <c r="M237" s="1"/>
      <c r="N237" s="1"/>
      <c r="O237" s="1"/>
    </row>
    <row r="238" ht="14.25" customHeight="1">
      <c r="A238" s="177" t="s">
        <v>1949</v>
      </c>
      <c r="B238" s="321">
        <v>4.0</v>
      </c>
      <c r="C238" s="198">
        <f t="shared" si="27"/>
        <v>0.52</v>
      </c>
      <c r="D238" s="204" t="s">
        <v>14</v>
      </c>
      <c r="E238" s="1"/>
      <c r="F238" s="1"/>
      <c r="G238" s="1"/>
      <c r="H238" s="1"/>
      <c r="I238" s="1"/>
      <c r="J238" s="1"/>
      <c r="K238" s="1"/>
      <c r="L238" s="1"/>
      <c r="M238" s="1"/>
      <c r="N238" s="1"/>
      <c r="O238" s="1"/>
    </row>
    <row r="239" ht="14.25" customHeight="1">
      <c r="A239" s="208" t="s">
        <v>1950</v>
      </c>
      <c r="B239" s="318">
        <v>8.0</v>
      </c>
      <c r="C239" s="586">
        <f t="shared" ref="C239:C240" si="28">(B239*C233)/B233</f>
        <v>1.04</v>
      </c>
      <c r="D239" s="212" t="s">
        <v>526</v>
      </c>
      <c r="E239" s="1"/>
      <c r="F239" s="1"/>
      <c r="G239" s="1"/>
      <c r="H239" s="1"/>
      <c r="I239" s="1"/>
      <c r="J239" s="1"/>
      <c r="K239" s="1"/>
      <c r="L239" s="1"/>
      <c r="M239" s="1"/>
      <c r="N239" s="1"/>
      <c r="O239" s="1"/>
    </row>
    <row r="240" ht="14.25" customHeight="1">
      <c r="A240" s="208" t="s">
        <v>1951</v>
      </c>
      <c r="B240" s="318">
        <v>1.5</v>
      </c>
      <c r="C240" s="586">
        <f t="shared" si="28"/>
        <v>0.195</v>
      </c>
      <c r="D240" s="212" t="s">
        <v>14</v>
      </c>
      <c r="E240" s="1"/>
      <c r="F240" s="1"/>
      <c r="G240" s="1"/>
      <c r="H240" s="1"/>
      <c r="I240" s="1"/>
      <c r="J240" s="1"/>
      <c r="K240" s="1"/>
      <c r="L240" s="1"/>
      <c r="M240" s="1"/>
      <c r="N240" s="1"/>
      <c r="O240" s="1"/>
    </row>
    <row r="241" ht="14.25" customHeight="1">
      <c r="A241" s="157" t="s">
        <v>13</v>
      </c>
      <c r="B241" s="839">
        <v>0.5</v>
      </c>
      <c r="C241" s="390">
        <f>(B241*C240)/B240</f>
        <v>0.065</v>
      </c>
      <c r="D241" s="159" t="s">
        <v>14</v>
      </c>
      <c r="E241" s="1"/>
      <c r="F241" s="1"/>
      <c r="G241" s="1"/>
      <c r="H241" s="1"/>
      <c r="I241" s="1"/>
      <c r="J241" s="1"/>
      <c r="K241" s="1"/>
      <c r="L241" s="1"/>
      <c r="M241" s="1"/>
      <c r="N241" s="1"/>
      <c r="O241" s="1"/>
    </row>
    <row r="242" ht="14.25" customHeight="1">
      <c r="A242" s="157" t="s">
        <v>1385</v>
      </c>
      <c r="B242" s="321">
        <v>50.0</v>
      </c>
      <c r="C242" s="198">
        <f t="shared" ref="C242:C243" si="29">(B242*C240)/B240</f>
        <v>6.5</v>
      </c>
      <c r="D242" s="204" t="s">
        <v>18</v>
      </c>
      <c r="E242" s="1"/>
      <c r="F242" s="1"/>
      <c r="G242" s="1"/>
      <c r="H242" s="1"/>
      <c r="I242" s="1"/>
      <c r="J242" s="1"/>
      <c r="K242" s="1"/>
      <c r="L242" s="1"/>
      <c r="M242" s="1"/>
      <c r="N242" s="1"/>
      <c r="O242" s="1"/>
    </row>
    <row r="243" ht="14.25" customHeight="1">
      <c r="A243" s="177" t="s">
        <v>1941</v>
      </c>
      <c r="B243" s="321">
        <v>100.0</v>
      </c>
      <c r="C243" s="198">
        <f t="shared" si="29"/>
        <v>13</v>
      </c>
      <c r="D243" s="204" t="s">
        <v>18</v>
      </c>
      <c r="E243" s="1"/>
      <c r="F243" s="1"/>
      <c r="G243" s="1"/>
      <c r="H243" s="1"/>
      <c r="I243" s="1"/>
      <c r="J243" s="1"/>
      <c r="K243" s="1"/>
      <c r="L243" s="1"/>
      <c r="M243" s="1"/>
      <c r="N243" s="1"/>
      <c r="O243" s="1"/>
    </row>
    <row r="244" ht="14.25" customHeight="1">
      <c r="A244" s="177" t="s">
        <v>234</v>
      </c>
      <c r="B244" s="321">
        <v>150.0</v>
      </c>
      <c r="C244" s="198">
        <f t="shared" ref="C244:C250" si="30">(B244*C243)/B243</f>
        <v>19.5</v>
      </c>
      <c r="D244" s="204" t="s">
        <v>18</v>
      </c>
      <c r="E244" s="1"/>
      <c r="F244" s="1"/>
      <c r="G244" s="1"/>
      <c r="H244" s="1"/>
      <c r="I244" s="1"/>
      <c r="J244" s="1"/>
      <c r="K244" s="1"/>
      <c r="L244" s="1"/>
      <c r="M244" s="1"/>
      <c r="N244" s="1"/>
      <c r="O244" s="1"/>
    </row>
    <row r="245" ht="14.25" customHeight="1">
      <c r="A245" s="163" t="s">
        <v>743</v>
      </c>
      <c r="B245" s="316">
        <v>1.5</v>
      </c>
      <c r="C245" s="285">
        <f t="shared" si="30"/>
        <v>0.195</v>
      </c>
      <c r="D245" s="216" t="s">
        <v>5</v>
      </c>
      <c r="E245" s="1"/>
      <c r="F245" s="1"/>
      <c r="G245" s="1"/>
      <c r="H245" s="1"/>
      <c r="I245" s="1"/>
      <c r="J245" s="1"/>
      <c r="K245" s="1"/>
      <c r="L245" s="1"/>
      <c r="M245" s="1"/>
      <c r="N245" s="1"/>
      <c r="O245" s="1"/>
    </row>
    <row r="246" ht="14.25" customHeight="1">
      <c r="A246" s="177" t="s">
        <v>98</v>
      </c>
      <c r="B246" s="321">
        <v>250.0</v>
      </c>
      <c r="C246" s="198">
        <f t="shared" si="30"/>
        <v>32.5</v>
      </c>
      <c r="D246" s="249" t="s">
        <v>18</v>
      </c>
      <c r="E246" s="1"/>
      <c r="F246" s="1"/>
      <c r="G246" s="1"/>
      <c r="H246" s="1"/>
      <c r="I246" s="1"/>
      <c r="J246" s="1"/>
      <c r="K246" s="1"/>
      <c r="L246" s="1"/>
      <c r="M246" s="1"/>
      <c r="N246" s="1"/>
      <c r="O246" s="1"/>
    </row>
    <row r="247" ht="14.25" customHeight="1">
      <c r="A247" s="177" t="s">
        <v>101</v>
      </c>
      <c r="B247" s="321">
        <v>1.0</v>
      </c>
      <c r="C247" s="198">
        <f t="shared" si="30"/>
        <v>0.13</v>
      </c>
      <c r="D247" s="249" t="s">
        <v>5</v>
      </c>
      <c r="E247" s="1"/>
      <c r="F247" s="1"/>
      <c r="G247" s="1"/>
      <c r="H247" s="1"/>
      <c r="I247" s="1"/>
      <c r="J247" s="1"/>
      <c r="K247" s="1"/>
      <c r="L247" s="1"/>
      <c r="M247" s="1"/>
      <c r="N247" s="1"/>
      <c r="O247" s="1"/>
    </row>
    <row r="248" ht="14.25" customHeight="1">
      <c r="A248" s="177" t="s">
        <v>103</v>
      </c>
      <c r="B248" s="321">
        <v>120.0</v>
      </c>
      <c r="C248" s="198">
        <f t="shared" si="30"/>
        <v>15.6</v>
      </c>
      <c r="D248" s="249" t="s">
        <v>18</v>
      </c>
      <c r="E248" s="1"/>
      <c r="F248" s="1"/>
      <c r="G248" s="1"/>
      <c r="H248" s="1"/>
      <c r="I248" s="1"/>
      <c r="J248" s="1"/>
      <c r="K248" s="1"/>
      <c r="L248" s="1"/>
      <c r="M248" s="1"/>
      <c r="N248" s="1"/>
      <c r="O248" s="1"/>
    </row>
    <row r="249" ht="14.25" customHeight="1">
      <c r="A249" s="208" t="s">
        <v>822</v>
      </c>
      <c r="B249" s="318">
        <v>200.0</v>
      </c>
      <c r="C249" s="211">
        <f t="shared" si="30"/>
        <v>26</v>
      </c>
      <c r="D249" s="518" t="s">
        <v>18</v>
      </c>
      <c r="E249" s="1"/>
      <c r="F249" s="1"/>
      <c r="G249" s="1"/>
      <c r="H249" s="1"/>
      <c r="I249" s="1"/>
      <c r="J249" s="1"/>
      <c r="K249" s="1"/>
      <c r="L249" s="1"/>
      <c r="M249" s="1"/>
      <c r="N249" s="1"/>
      <c r="O249" s="1"/>
    </row>
    <row r="250" ht="14.25" customHeight="1">
      <c r="A250" s="208" t="s">
        <v>335</v>
      </c>
      <c r="B250" s="318">
        <v>5.0</v>
      </c>
      <c r="C250" s="211">
        <f t="shared" si="30"/>
        <v>0.65</v>
      </c>
      <c r="D250" s="212" t="s">
        <v>5</v>
      </c>
      <c r="E250" s="1"/>
      <c r="F250" s="1"/>
      <c r="G250" s="1"/>
      <c r="H250" s="1"/>
      <c r="I250" s="1"/>
      <c r="J250" s="1"/>
      <c r="K250" s="1"/>
      <c r="L250" s="1"/>
      <c r="M250" s="1"/>
      <c r="N250" s="1"/>
      <c r="O250" s="1"/>
    </row>
    <row r="251" ht="14.25" customHeight="1">
      <c r="A251" s="305" t="s">
        <v>120</v>
      </c>
      <c r="B251" s="804"/>
      <c r="C251" s="804">
        <v>43528.0</v>
      </c>
      <c r="D251" s="1"/>
      <c r="E251" s="1"/>
      <c r="F251" s="1"/>
      <c r="G251" s="1"/>
      <c r="H251" s="1"/>
      <c r="I251" s="1"/>
      <c r="J251" s="1"/>
      <c r="K251" s="1"/>
      <c r="L251" s="1"/>
      <c r="M251" s="1"/>
      <c r="N251" s="1"/>
      <c r="O251" s="1"/>
    </row>
    <row r="252" ht="15.75" customHeight="1">
      <c r="A252" s="305" t="s">
        <v>50</v>
      </c>
      <c r="B252" s="804"/>
      <c r="C252" s="804">
        <v>43532.0</v>
      </c>
      <c r="D252" s="1"/>
      <c r="E252" s="1"/>
      <c r="F252" s="1"/>
      <c r="G252" s="1"/>
      <c r="H252" s="1"/>
      <c r="I252" s="1"/>
      <c r="J252" s="1"/>
      <c r="K252" s="1"/>
      <c r="L252" s="1"/>
      <c r="M252" s="1"/>
      <c r="N252" s="1"/>
      <c r="O252" s="1"/>
    </row>
    <row r="253" ht="14.25" customHeight="1">
      <c r="A253" s="1143" t="s">
        <v>42</v>
      </c>
      <c r="B253" s="1"/>
      <c r="C253" s="1"/>
      <c r="D253" s="1"/>
      <c r="E253" s="1"/>
      <c r="F253" s="1"/>
      <c r="G253" s="1"/>
      <c r="H253" s="1"/>
      <c r="I253" s="1"/>
      <c r="J253" s="1"/>
      <c r="K253" s="1"/>
      <c r="L253" s="1"/>
      <c r="M253" s="1"/>
      <c r="N253" s="1"/>
      <c r="O253" s="1"/>
    </row>
    <row r="254" ht="14.25" customHeight="1">
      <c r="A254" s="1"/>
      <c r="B254" s="1"/>
      <c r="C254" s="1"/>
      <c r="D254" s="1"/>
      <c r="E254" s="1"/>
      <c r="F254" s="1"/>
      <c r="G254" s="1"/>
      <c r="H254" s="1"/>
      <c r="I254" s="1"/>
      <c r="J254" s="1"/>
      <c r="K254" s="1"/>
      <c r="L254" s="1"/>
      <c r="M254" s="1"/>
      <c r="N254" s="1"/>
      <c r="O254" s="1"/>
    </row>
    <row r="255" ht="14.25" customHeight="1">
      <c r="A255" s="1"/>
      <c r="B255" s="1"/>
      <c r="C255" s="1"/>
      <c r="D255" s="1"/>
      <c r="E255" s="1"/>
      <c r="F255" s="1"/>
      <c r="G255" s="1"/>
      <c r="H255" s="1"/>
      <c r="I255" s="1"/>
      <c r="J255" s="1"/>
      <c r="K255" s="1"/>
      <c r="L255" s="1"/>
      <c r="M255" s="1"/>
      <c r="N255" s="1"/>
      <c r="O255" s="1"/>
    </row>
    <row r="256" ht="14.25" customHeight="1">
      <c r="A256" s="1"/>
      <c r="B256" s="1"/>
      <c r="C256" s="1"/>
      <c r="D256" s="1"/>
      <c r="E256" s="1"/>
      <c r="F256" s="1"/>
      <c r="G256" s="1"/>
      <c r="H256" s="1"/>
      <c r="I256" s="1"/>
      <c r="J256" s="1"/>
      <c r="K256" s="1"/>
      <c r="L256" s="1"/>
      <c r="M256" s="1"/>
      <c r="N256" s="1"/>
      <c r="O256" s="1"/>
    </row>
    <row r="257" ht="14.25" customHeight="1">
      <c r="A257" s="16" t="s">
        <v>1955</v>
      </c>
      <c r="B257" s="18"/>
      <c r="C257" s="18"/>
      <c r="D257" s="19"/>
      <c r="E257" s="1"/>
      <c r="F257" s="16" t="s">
        <v>1955</v>
      </c>
      <c r="G257" s="18"/>
      <c r="H257" s="18"/>
      <c r="I257" s="19"/>
      <c r="J257" s="1"/>
      <c r="K257" s="1"/>
      <c r="L257" s="1"/>
      <c r="M257" s="1"/>
      <c r="N257" s="1"/>
      <c r="O257" s="1"/>
    </row>
    <row r="258" ht="14.25" customHeight="1">
      <c r="A258" s="25" t="s">
        <v>1</v>
      </c>
      <c r="B258" s="26">
        <v>110.0</v>
      </c>
      <c r="C258" s="314">
        <v>10.0</v>
      </c>
      <c r="D258" s="28" t="s">
        <v>5</v>
      </c>
      <c r="E258" s="1"/>
      <c r="F258" s="25" t="s">
        <v>1</v>
      </c>
      <c r="G258" s="26">
        <v>110.0</v>
      </c>
      <c r="H258" s="1710">
        <v>10.0</v>
      </c>
      <c r="I258" s="28" t="s">
        <v>5</v>
      </c>
      <c r="J258" s="1"/>
      <c r="K258" s="1"/>
      <c r="L258" s="1"/>
      <c r="M258" s="1"/>
      <c r="N258" s="1"/>
      <c r="O258" s="1"/>
    </row>
    <row r="259" ht="14.25" customHeight="1">
      <c r="A259" s="163" t="s">
        <v>1938</v>
      </c>
      <c r="B259" s="316">
        <v>5.8</v>
      </c>
      <c r="C259" s="666">
        <f t="shared" ref="C259:C280" si="31">(B259*C258)/B258</f>
        <v>0.5272727273</v>
      </c>
      <c r="D259" s="169" t="s">
        <v>14</v>
      </c>
      <c r="E259" s="1"/>
      <c r="F259" s="163" t="s">
        <v>1938</v>
      </c>
      <c r="G259" s="316">
        <v>6.8</v>
      </c>
      <c r="H259" s="666">
        <f t="shared" ref="H259:H274" si="32">(G259*H258)/G258</f>
        <v>0.6181818182</v>
      </c>
      <c r="I259" s="169" t="s">
        <v>14</v>
      </c>
      <c r="J259" s="1"/>
      <c r="K259" s="1"/>
      <c r="L259" s="1"/>
      <c r="M259" s="1"/>
      <c r="N259" s="1"/>
      <c r="O259" s="1"/>
    </row>
    <row r="260" ht="14.25" customHeight="1">
      <c r="A260" s="177" t="s">
        <v>805</v>
      </c>
      <c r="B260" s="94">
        <v>5.8</v>
      </c>
      <c r="C260" s="500">
        <f t="shared" si="31"/>
        <v>0.5272727273</v>
      </c>
      <c r="D260" s="204" t="s">
        <v>14</v>
      </c>
      <c r="E260" s="1"/>
      <c r="F260" s="177" t="s">
        <v>805</v>
      </c>
      <c r="G260" s="94">
        <v>6.0</v>
      </c>
      <c r="H260" s="500">
        <f t="shared" si="32"/>
        <v>0.5454545455</v>
      </c>
      <c r="I260" s="204" t="s">
        <v>14</v>
      </c>
      <c r="J260" s="1"/>
      <c r="K260" s="1"/>
      <c r="L260" s="1"/>
      <c r="M260" s="1"/>
      <c r="N260" s="1"/>
      <c r="O260" s="1"/>
    </row>
    <row r="261" ht="14.25" customHeight="1">
      <c r="A261" s="262" t="s">
        <v>157</v>
      </c>
      <c r="B261" s="355">
        <v>45.0</v>
      </c>
      <c r="C261" s="1266">
        <f t="shared" si="31"/>
        <v>4.090909091</v>
      </c>
      <c r="D261" s="267" t="s">
        <v>5</v>
      </c>
      <c r="E261" s="1"/>
      <c r="F261" s="262" t="s">
        <v>157</v>
      </c>
      <c r="G261" s="355">
        <v>45.0</v>
      </c>
      <c r="H261" s="1266">
        <f t="shared" si="32"/>
        <v>4.090909091</v>
      </c>
      <c r="I261" s="267" t="s">
        <v>5</v>
      </c>
      <c r="J261" s="1"/>
      <c r="K261" s="1"/>
      <c r="L261" s="1"/>
      <c r="M261" s="1"/>
      <c r="N261" s="1"/>
      <c r="O261" s="1"/>
    </row>
    <row r="262" ht="14.25" customHeight="1">
      <c r="A262" s="163" t="s">
        <v>1946</v>
      </c>
      <c r="B262" s="316">
        <v>4.0</v>
      </c>
      <c r="C262" s="666">
        <f t="shared" si="31"/>
        <v>0.3636363636</v>
      </c>
      <c r="D262" s="169" t="s">
        <v>14</v>
      </c>
      <c r="E262" s="1"/>
      <c r="F262" s="163" t="s">
        <v>1946</v>
      </c>
      <c r="G262" s="316">
        <v>4.5</v>
      </c>
      <c r="H262" s="666">
        <f t="shared" si="32"/>
        <v>0.4090909091</v>
      </c>
      <c r="I262" s="169" t="s">
        <v>14</v>
      </c>
      <c r="J262" s="1"/>
      <c r="K262" s="1"/>
      <c r="L262" s="1"/>
      <c r="M262" s="1"/>
      <c r="N262" s="1"/>
      <c r="O262" s="1"/>
    </row>
    <row r="263" ht="14.25" customHeight="1">
      <c r="A263" s="177" t="s">
        <v>1947</v>
      </c>
      <c r="B263" s="321">
        <v>4.0</v>
      </c>
      <c r="C263" s="500">
        <f t="shared" si="31"/>
        <v>0.3636363636</v>
      </c>
      <c r="D263" s="204" t="s">
        <v>14</v>
      </c>
      <c r="E263" s="1"/>
      <c r="F263" s="177" t="s">
        <v>1947</v>
      </c>
      <c r="G263" s="321">
        <v>4.5</v>
      </c>
      <c r="H263" s="500">
        <f t="shared" si="32"/>
        <v>0.4090909091</v>
      </c>
      <c r="I263" s="204" t="s">
        <v>14</v>
      </c>
      <c r="J263" s="1"/>
      <c r="K263" s="1"/>
      <c r="L263" s="1"/>
      <c r="M263" s="1"/>
      <c r="N263" s="1"/>
      <c r="O263" s="1"/>
    </row>
    <row r="264" ht="14.25" customHeight="1">
      <c r="A264" s="177" t="s">
        <v>1948</v>
      </c>
      <c r="B264" s="321">
        <v>4.0</v>
      </c>
      <c r="C264" s="500">
        <f t="shared" si="31"/>
        <v>0.3636363636</v>
      </c>
      <c r="D264" s="204" t="s">
        <v>14</v>
      </c>
      <c r="E264" s="1"/>
      <c r="F264" s="177" t="s">
        <v>1948</v>
      </c>
      <c r="G264" s="321">
        <v>4.5</v>
      </c>
      <c r="H264" s="500">
        <f t="shared" si="32"/>
        <v>0.4090909091</v>
      </c>
      <c r="I264" s="204" t="s">
        <v>14</v>
      </c>
      <c r="J264" s="1"/>
      <c r="K264" s="1"/>
      <c r="L264" s="1"/>
      <c r="M264" s="1"/>
      <c r="N264" s="1"/>
      <c r="O264" s="1"/>
    </row>
    <row r="265" ht="14.25" customHeight="1">
      <c r="A265" s="177" t="s">
        <v>1958</v>
      </c>
      <c r="B265" s="321">
        <v>4.0</v>
      </c>
      <c r="C265" s="500">
        <f t="shared" si="31"/>
        <v>0.3636363636</v>
      </c>
      <c r="D265" s="204" t="s">
        <v>14</v>
      </c>
      <c r="E265" s="1"/>
      <c r="F265" s="208" t="s">
        <v>1949</v>
      </c>
      <c r="G265" s="318">
        <v>4.5</v>
      </c>
      <c r="H265" s="684">
        <f t="shared" si="32"/>
        <v>0.4090909091</v>
      </c>
      <c r="I265" s="212" t="s">
        <v>14</v>
      </c>
      <c r="J265" s="1"/>
      <c r="K265" s="1"/>
      <c r="L265" s="1"/>
      <c r="M265" s="1"/>
      <c r="N265" s="1"/>
      <c r="O265" s="1"/>
    </row>
    <row r="266" ht="14.25" customHeight="1">
      <c r="A266" s="177" t="s">
        <v>1949</v>
      </c>
      <c r="B266" s="321">
        <v>4.0</v>
      </c>
      <c r="C266" s="500">
        <f t="shared" si="31"/>
        <v>0.3636363636</v>
      </c>
      <c r="D266" s="204" t="s">
        <v>14</v>
      </c>
      <c r="E266" s="1"/>
      <c r="F266" s="333" t="s">
        <v>91</v>
      </c>
      <c r="G266" s="1712">
        <v>3.0</v>
      </c>
      <c r="H266" s="666">
        <f t="shared" si="32"/>
        <v>0.2727272727</v>
      </c>
      <c r="I266" s="169" t="s">
        <v>5</v>
      </c>
      <c r="J266" s="1"/>
      <c r="K266" s="1"/>
      <c r="L266" s="1"/>
      <c r="M266" s="1"/>
      <c r="N266" s="1"/>
      <c r="O266" s="1"/>
    </row>
    <row r="267" ht="14.25" customHeight="1">
      <c r="A267" s="262" t="s">
        <v>1950</v>
      </c>
      <c r="B267" s="355">
        <v>8.0</v>
      </c>
      <c r="C267" s="1266">
        <f t="shared" si="31"/>
        <v>0.7272727273</v>
      </c>
      <c r="D267" s="267" t="s">
        <v>526</v>
      </c>
      <c r="E267" s="1"/>
      <c r="F267" s="341" t="s">
        <v>1959</v>
      </c>
      <c r="G267" s="1439">
        <v>300.0</v>
      </c>
      <c r="H267" s="500">
        <f t="shared" si="32"/>
        <v>27.27272727</v>
      </c>
      <c r="I267" s="204" t="s">
        <v>18</v>
      </c>
      <c r="J267" s="1"/>
      <c r="K267" s="1"/>
      <c r="L267" s="1"/>
      <c r="M267" s="1"/>
      <c r="N267" s="1"/>
      <c r="O267" s="1"/>
    </row>
    <row r="268" ht="14.25" customHeight="1">
      <c r="A268" s="333" t="s">
        <v>91</v>
      </c>
      <c r="B268" s="1712">
        <v>3.0</v>
      </c>
      <c r="C268" s="666">
        <f t="shared" si="31"/>
        <v>0.2727272727</v>
      </c>
      <c r="D268" s="169" t="s">
        <v>5</v>
      </c>
      <c r="E268" s="1"/>
      <c r="F268" s="341" t="s">
        <v>193</v>
      </c>
      <c r="G268" s="1439">
        <v>2.0</v>
      </c>
      <c r="H268" s="500">
        <f t="shared" si="32"/>
        <v>0.1818181818</v>
      </c>
      <c r="I268" s="249" t="s">
        <v>5</v>
      </c>
      <c r="J268" s="1"/>
      <c r="K268" s="1"/>
      <c r="L268" s="1"/>
      <c r="M268" s="1"/>
      <c r="N268" s="1"/>
      <c r="O268" s="1"/>
    </row>
    <row r="269" ht="14.25" customHeight="1">
      <c r="A269" s="341" t="s">
        <v>97</v>
      </c>
      <c r="B269" s="1439">
        <v>100.0</v>
      </c>
      <c r="C269" s="500">
        <f t="shared" si="31"/>
        <v>9.090909091</v>
      </c>
      <c r="D269" s="204" t="s">
        <v>18</v>
      </c>
      <c r="E269" s="1"/>
      <c r="F269" s="341" t="s">
        <v>52</v>
      </c>
      <c r="G269" s="1439">
        <v>160.0</v>
      </c>
      <c r="H269" s="500">
        <f t="shared" si="32"/>
        <v>14.54545455</v>
      </c>
      <c r="I269" s="249" t="s">
        <v>18</v>
      </c>
      <c r="J269" s="1"/>
      <c r="K269" s="1"/>
      <c r="L269" s="1"/>
      <c r="M269" s="1"/>
      <c r="N269" s="1"/>
      <c r="O269" s="1"/>
    </row>
    <row r="270" ht="14.25" customHeight="1">
      <c r="A270" s="341" t="s">
        <v>98</v>
      </c>
      <c r="B270" s="1439">
        <v>80.0</v>
      </c>
      <c r="C270" s="500">
        <f t="shared" si="31"/>
        <v>7.272727273</v>
      </c>
      <c r="D270" s="204" t="s">
        <v>18</v>
      </c>
      <c r="E270" s="1"/>
      <c r="F270" s="341" t="s">
        <v>39</v>
      </c>
      <c r="G270" s="1439">
        <v>50.0</v>
      </c>
      <c r="H270" s="500">
        <f t="shared" si="32"/>
        <v>4.545454545</v>
      </c>
      <c r="I270" s="249" t="s">
        <v>18</v>
      </c>
      <c r="J270" s="1"/>
      <c r="K270" s="1"/>
      <c r="L270" s="1"/>
      <c r="M270" s="1"/>
      <c r="N270" s="1"/>
      <c r="O270" s="1"/>
    </row>
    <row r="271" ht="14.25" customHeight="1">
      <c r="A271" s="341" t="s">
        <v>1801</v>
      </c>
      <c r="B271" s="1439">
        <v>60.0</v>
      </c>
      <c r="C271" s="500">
        <f t="shared" si="31"/>
        <v>5.454545455</v>
      </c>
      <c r="D271" s="204" t="s">
        <v>18</v>
      </c>
      <c r="E271" s="1"/>
      <c r="F271" s="341" t="s">
        <v>149</v>
      </c>
      <c r="G271" s="1439">
        <v>500.0000000000002</v>
      </c>
      <c r="H271" s="500">
        <f t="shared" si="32"/>
        <v>45.45454545</v>
      </c>
      <c r="I271" s="249" t="s">
        <v>18</v>
      </c>
      <c r="J271" s="1"/>
      <c r="K271" s="1"/>
      <c r="L271" s="1"/>
      <c r="M271" s="1"/>
      <c r="N271" s="1"/>
      <c r="O271" s="1"/>
    </row>
    <row r="272" ht="14.25" customHeight="1">
      <c r="A272" s="341" t="s">
        <v>1751</v>
      </c>
      <c r="B272" s="1439">
        <v>50.0</v>
      </c>
      <c r="C272" s="500">
        <f t="shared" si="31"/>
        <v>4.545454545</v>
      </c>
      <c r="D272" s="204" t="s">
        <v>18</v>
      </c>
      <c r="E272" s="1"/>
      <c r="F272" s="341" t="s">
        <v>66</v>
      </c>
      <c r="G272" s="1439">
        <v>30.0</v>
      </c>
      <c r="H272" s="500">
        <f t="shared" si="32"/>
        <v>2.727272727</v>
      </c>
      <c r="I272" s="204" t="s">
        <v>18</v>
      </c>
      <c r="J272" s="1"/>
      <c r="K272" s="1"/>
      <c r="L272" s="1"/>
      <c r="M272" s="1"/>
      <c r="N272" s="1"/>
      <c r="O272" s="1"/>
    </row>
    <row r="273" ht="14.25" customHeight="1">
      <c r="A273" s="341" t="s">
        <v>63</v>
      </c>
      <c r="B273" s="1439">
        <v>25.0</v>
      </c>
      <c r="C273" s="500">
        <f t="shared" si="31"/>
        <v>2.272727273</v>
      </c>
      <c r="D273" s="249" t="s">
        <v>5</v>
      </c>
      <c r="E273" s="1"/>
      <c r="F273" s="341" t="s">
        <v>1803</v>
      </c>
      <c r="G273" s="1439">
        <v>3.5</v>
      </c>
      <c r="H273" s="500">
        <f t="shared" si="32"/>
        <v>0.3181818182</v>
      </c>
      <c r="I273" s="249" t="s">
        <v>14</v>
      </c>
      <c r="J273" s="1"/>
      <c r="K273" s="1"/>
      <c r="L273" s="1"/>
      <c r="M273" s="1"/>
      <c r="N273" s="1"/>
      <c r="O273" s="1"/>
    </row>
    <row r="274" ht="14.25" customHeight="1">
      <c r="A274" s="341" t="s">
        <v>193</v>
      </c>
      <c r="B274" s="1439">
        <v>2.0</v>
      </c>
      <c r="C274" s="500">
        <f t="shared" si="31"/>
        <v>0.1818181818</v>
      </c>
      <c r="D274" s="249" t="s">
        <v>18</v>
      </c>
      <c r="E274" s="1"/>
      <c r="F274" s="358" t="s">
        <v>31</v>
      </c>
      <c r="G274" s="1443">
        <v>1000.0</v>
      </c>
      <c r="H274" s="684">
        <f t="shared" si="32"/>
        <v>90.90909091</v>
      </c>
      <c r="I274" s="212" t="s">
        <v>18</v>
      </c>
      <c r="J274" s="1"/>
      <c r="K274" s="1"/>
      <c r="L274" s="1"/>
      <c r="M274" s="1"/>
      <c r="N274" s="1"/>
      <c r="O274" s="1"/>
    </row>
    <row r="275" ht="14.25" customHeight="1">
      <c r="A275" s="341" t="s">
        <v>52</v>
      </c>
      <c r="B275" s="1439">
        <v>160.0</v>
      </c>
      <c r="C275" s="500">
        <f t="shared" si="31"/>
        <v>14.54545455</v>
      </c>
      <c r="D275" s="249" t="s">
        <v>5</v>
      </c>
      <c r="E275" s="1"/>
      <c r="F275" s="305" t="s">
        <v>120</v>
      </c>
      <c r="G275" s="804"/>
      <c r="H275" s="804">
        <v>43528.0</v>
      </c>
      <c r="I275" s="1"/>
      <c r="J275" s="1"/>
      <c r="K275" s="1"/>
      <c r="L275" s="1"/>
      <c r="M275" s="1"/>
      <c r="N275" s="1"/>
      <c r="O275" s="1"/>
    </row>
    <row r="276" ht="14.25" customHeight="1">
      <c r="A276" s="341" t="s">
        <v>39</v>
      </c>
      <c r="B276" s="1439">
        <v>50.0</v>
      </c>
      <c r="C276" s="500">
        <f t="shared" si="31"/>
        <v>4.545454545</v>
      </c>
      <c r="D276" s="249" t="s">
        <v>18</v>
      </c>
      <c r="E276" s="1"/>
      <c r="F276" s="305" t="s">
        <v>50</v>
      </c>
      <c r="G276" s="804"/>
      <c r="H276" s="804">
        <v>43532.0</v>
      </c>
      <c r="I276" s="1"/>
      <c r="J276" s="1"/>
      <c r="K276" s="1"/>
      <c r="L276" s="1"/>
      <c r="M276" s="1"/>
      <c r="N276" s="1"/>
      <c r="O276" s="1"/>
    </row>
    <row r="277" ht="14.25" customHeight="1">
      <c r="A277" s="341" t="s">
        <v>149</v>
      </c>
      <c r="B277" s="1439">
        <v>500.0000000000002</v>
      </c>
      <c r="C277" s="500">
        <f t="shared" si="31"/>
        <v>45.45454545</v>
      </c>
      <c r="D277" s="249" t="s">
        <v>18</v>
      </c>
      <c r="E277" s="1"/>
      <c r="F277" s="1"/>
      <c r="G277" s="1"/>
      <c r="H277" s="1"/>
      <c r="I277" s="1"/>
      <c r="J277" s="1"/>
      <c r="K277" s="1"/>
      <c r="L277" s="1"/>
      <c r="M277" s="1"/>
      <c r="N277" s="1"/>
      <c r="O277" s="1"/>
    </row>
    <row r="278" ht="14.25" customHeight="1">
      <c r="A278" s="341" t="s">
        <v>66</v>
      </c>
      <c r="B278" s="1439">
        <v>30.0</v>
      </c>
      <c r="C278" s="500">
        <f t="shared" si="31"/>
        <v>2.727272727</v>
      </c>
      <c r="D278" s="204" t="s">
        <v>5</v>
      </c>
      <c r="E278" s="1"/>
      <c r="F278" s="1"/>
      <c r="G278" s="1"/>
      <c r="H278" s="1"/>
      <c r="I278" s="1"/>
      <c r="J278" s="1"/>
      <c r="K278" s="1"/>
      <c r="L278" s="1"/>
      <c r="M278" s="1"/>
      <c r="N278" s="1"/>
      <c r="O278" s="1"/>
    </row>
    <row r="279" ht="14.25" customHeight="1">
      <c r="A279" s="341" t="s">
        <v>1803</v>
      </c>
      <c r="B279" s="1439">
        <v>2.0</v>
      </c>
      <c r="C279" s="500">
        <f t="shared" si="31"/>
        <v>0.1818181818</v>
      </c>
      <c r="D279" s="249" t="s">
        <v>18</v>
      </c>
      <c r="E279" s="1"/>
      <c r="F279" s="1"/>
      <c r="G279" s="1"/>
      <c r="H279" s="1"/>
      <c r="I279" s="1"/>
      <c r="J279" s="1"/>
      <c r="K279" s="1"/>
      <c r="L279" s="1"/>
      <c r="M279" s="1"/>
      <c r="N279" s="1"/>
      <c r="O279" s="1"/>
    </row>
    <row r="280" ht="14.25" customHeight="1">
      <c r="A280" s="358" t="s">
        <v>31</v>
      </c>
      <c r="B280" s="1443">
        <v>1100.0</v>
      </c>
      <c r="C280" s="684">
        <f t="shared" si="31"/>
        <v>100</v>
      </c>
      <c r="D280" s="212" t="s">
        <v>5</v>
      </c>
      <c r="E280" s="1"/>
      <c r="F280" s="1"/>
      <c r="G280" s="1"/>
      <c r="H280" s="1"/>
      <c r="I280" s="1"/>
      <c r="J280" s="1"/>
      <c r="K280" s="1"/>
      <c r="L280" s="1"/>
      <c r="M280" s="1"/>
      <c r="N280" s="1"/>
      <c r="O280" s="1"/>
    </row>
    <row r="281" ht="14.25" customHeight="1">
      <c r="A281" s="305" t="s">
        <v>120</v>
      </c>
      <c r="B281" s="804"/>
      <c r="C281" s="804">
        <v>43528.0</v>
      </c>
      <c r="D281" s="1"/>
      <c r="E281" s="1"/>
      <c r="F281" s="1"/>
      <c r="G281" s="1"/>
      <c r="H281" s="1"/>
      <c r="I281" s="1"/>
      <c r="J281" s="1"/>
      <c r="K281" s="1"/>
      <c r="L281" s="1"/>
      <c r="M281" s="1"/>
      <c r="N281" s="1"/>
      <c r="O281" s="1"/>
    </row>
    <row r="282" ht="14.25" customHeight="1">
      <c r="A282" s="305" t="s">
        <v>50</v>
      </c>
      <c r="B282" s="804"/>
      <c r="C282" s="804">
        <v>43532.0</v>
      </c>
      <c r="D282" s="1"/>
      <c r="E282" s="1"/>
      <c r="F282" s="1"/>
      <c r="G282" s="1"/>
      <c r="H282" s="1"/>
      <c r="I282" s="1"/>
      <c r="J282" s="1"/>
      <c r="K282" s="1"/>
      <c r="L282" s="1"/>
      <c r="M282" s="1"/>
      <c r="N282" s="1"/>
      <c r="O282" s="1"/>
    </row>
    <row r="283" ht="14.25" customHeight="1">
      <c r="A283" s="1143" t="s">
        <v>42</v>
      </c>
      <c r="B283" s="1"/>
      <c r="C283" s="1"/>
      <c r="D283" s="1"/>
      <c r="E283" s="1"/>
      <c r="F283" s="1"/>
      <c r="G283" s="1"/>
      <c r="H283" s="1"/>
      <c r="I283" s="1"/>
      <c r="J283" s="1"/>
      <c r="K283" s="1"/>
      <c r="L283" s="1"/>
      <c r="M283" s="1"/>
      <c r="N283" s="1"/>
      <c r="O283" s="1"/>
    </row>
    <row r="284" ht="14.25" customHeight="1">
      <c r="A284" s="1"/>
      <c r="B284" s="1"/>
      <c r="C284" s="1"/>
      <c r="D284" s="1"/>
      <c r="E284" s="1"/>
      <c r="F284" s="1"/>
      <c r="G284" s="1"/>
      <c r="H284" s="1"/>
      <c r="I284" s="1"/>
      <c r="J284" s="1"/>
      <c r="K284" s="1"/>
      <c r="L284" s="1"/>
      <c r="M284" s="1"/>
      <c r="N284" s="1"/>
      <c r="O284" s="1"/>
    </row>
    <row r="285" ht="14.25" customHeight="1">
      <c r="A285" s="1721" t="s">
        <v>1966</v>
      </c>
      <c r="B285" s="18"/>
      <c r="C285" s="18"/>
      <c r="D285" s="19"/>
      <c r="E285" s="1"/>
      <c r="F285" s="1"/>
      <c r="G285" s="1"/>
      <c r="H285" s="1"/>
      <c r="I285" s="1"/>
      <c r="J285" s="1"/>
      <c r="K285" s="1"/>
      <c r="L285" s="1"/>
      <c r="M285" s="1"/>
      <c r="N285" s="1"/>
      <c r="O285" s="1"/>
    </row>
    <row r="286" ht="14.25" customHeight="1">
      <c r="A286" s="1723" t="s">
        <v>1</v>
      </c>
      <c r="B286" s="1727">
        <v>100.0</v>
      </c>
      <c r="C286" s="1732">
        <v>30.0</v>
      </c>
      <c r="D286" s="1733" t="s">
        <v>5</v>
      </c>
      <c r="E286" s="1"/>
      <c r="F286" s="1"/>
      <c r="G286" s="1"/>
      <c r="H286" s="1"/>
      <c r="I286" s="1"/>
      <c r="J286" s="1"/>
      <c r="K286" s="1"/>
      <c r="L286" s="1"/>
      <c r="M286" s="1"/>
      <c r="N286" s="1"/>
      <c r="O286" s="1"/>
    </row>
    <row r="287" ht="14.25" customHeight="1">
      <c r="A287" s="345" t="s">
        <v>1974</v>
      </c>
      <c r="B287" s="1737">
        <v>7.0</v>
      </c>
      <c r="C287" s="1025">
        <f t="shared" ref="C287:C307" si="33">(B287*C286)/B286</f>
        <v>2.1</v>
      </c>
      <c r="D287" s="1739" t="s">
        <v>14</v>
      </c>
      <c r="E287" s="1"/>
      <c r="F287" s="1"/>
      <c r="G287" s="1"/>
      <c r="H287" s="1"/>
      <c r="I287" s="1"/>
      <c r="J287" s="1"/>
      <c r="K287" s="1"/>
      <c r="L287" s="1"/>
      <c r="M287" s="1"/>
      <c r="N287" s="1"/>
      <c r="O287" s="1"/>
    </row>
    <row r="288" ht="14.25" customHeight="1">
      <c r="A288" s="350" t="s">
        <v>805</v>
      </c>
      <c r="B288" s="1740">
        <v>7.0</v>
      </c>
      <c r="C288" s="581">
        <f t="shared" si="33"/>
        <v>2.1</v>
      </c>
      <c r="D288" s="1742" t="s">
        <v>14</v>
      </c>
      <c r="E288" s="1"/>
      <c r="F288" s="1"/>
      <c r="G288" s="1"/>
      <c r="H288" s="1"/>
      <c r="I288" s="1"/>
      <c r="J288" s="1"/>
      <c r="K288" s="1"/>
      <c r="L288" s="1"/>
      <c r="M288" s="1"/>
      <c r="N288" s="1"/>
      <c r="O288" s="1"/>
    </row>
    <row r="289" ht="14.25" customHeight="1">
      <c r="A289" s="341" t="s">
        <v>1698</v>
      </c>
      <c r="B289" s="1295">
        <v>8.0</v>
      </c>
      <c r="C289" s="581">
        <f t="shared" si="33"/>
        <v>2.4</v>
      </c>
      <c r="D289" s="38" t="s">
        <v>14</v>
      </c>
      <c r="E289" s="1"/>
      <c r="F289" s="1"/>
      <c r="G289" s="1"/>
      <c r="H289" s="1"/>
      <c r="I289" s="1"/>
      <c r="J289" s="1"/>
      <c r="K289" s="1"/>
      <c r="L289" s="1"/>
      <c r="M289" s="1"/>
      <c r="N289" s="1"/>
      <c r="O289" s="1"/>
    </row>
    <row r="290" ht="14.25" customHeight="1">
      <c r="A290" s="341" t="s">
        <v>1794</v>
      </c>
      <c r="B290" s="1295">
        <v>8.0</v>
      </c>
      <c r="C290" s="581">
        <f t="shared" si="33"/>
        <v>2.4</v>
      </c>
      <c r="D290" s="38" t="s">
        <v>14</v>
      </c>
      <c r="E290" s="1"/>
      <c r="F290" s="1"/>
      <c r="G290" s="1"/>
      <c r="H290" s="1"/>
      <c r="I290" s="1"/>
      <c r="J290" s="1"/>
      <c r="K290" s="1"/>
      <c r="L290" s="1"/>
      <c r="M290" s="1"/>
      <c r="N290" s="1"/>
      <c r="O290" s="1"/>
    </row>
    <row r="291" ht="14.25" customHeight="1">
      <c r="A291" s="341" t="s">
        <v>1795</v>
      </c>
      <c r="B291" s="1295">
        <v>8.0</v>
      </c>
      <c r="C291" s="581">
        <f t="shared" si="33"/>
        <v>2.4</v>
      </c>
      <c r="D291" s="38" t="s">
        <v>14</v>
      </c>
      <c r="E291" s="1"/>
      <c r="F291" s="1"/>
      <c r="G291" s="1"/>
      <c r="H291" s="1"/>
      <c r="I291" s="1"/>
      <c r="J291" s="1"/>
      <c r="K291" s="1"/>
      <c r="L291" s="1"/>
      <c r="M291" s="1"/>
      <c r="N291" s="1"/>
      <c r="O291" s="1"/>
    </row>
    <row r="292" ht="14.25" customHeight="1">
      <c r="A292" s="341" t="s">
        <v>1796</v>
      </c>
      <c r="B292" s="1295">
        <v>10.0</v>
      </c>
      <c r="C292" s="581">
        <f t="shared" si="33"/>
        <v>3</v>
      </c>
      <c r="D292" s="38" t="s">
        <v>14</v>
      </c>
      <c r="E292" s="1"/>
      <c r="F292" s="1"/>
      <c r="G292" s="1"/>
      <c r="H292" s="1"/>
      <c r="I292" s="1"/>
      <c r="J292" s="1"/>
      <c r="K292" s="1"/>
      <c r="L292" s="1"/>
      <c r="M292" s="1"/>
      <c r="N292" s="1"/>
      <c r="O292" s="1"/>
    </row>
    <row r="293" ht="14.25" customHeight="1">
      <c r="A293" s="341" t="s">
        <v>1797</v>
      </c>
      <c r="B293" s="1295">
        <v>1.0</v>
      </c>
      <c r="C293" s="581">
        <f t="shared" si="33"/>
        <v>0.3</v>
      </c>
      <c r="D293" s="38" t="s">
        <v>14</v>
      </c>
      <c r="E293" s="1"/>
      <c r="F293" s="1"/>
      <c r="G293" s="1"/>
      <c r="H293" s="1"/>
      <c r="I293" s="1"/>
      <c r="J293" s="1"/>
      <c r="K293" s="1"/>
      <c r="L293" s="1"/>
      <c r="M293" s="1"/>
      <c r="N293" s="1"/>
      <c r="O293" s="1"/>
    </row>
    <row r="294" ht="14.25" customHeight="1">
      <c r="A294" s="330" t="s">
        <v>157</v>
      </c>
      <c r="B294" s="1286">
        <v>45.0</v>
      </c>
      <c r="C294" s="1759">
        <f t="shared" si="33"/>
        <v>13.5</v>
      </c>
      <c r="D294" s="823" t="s">
        <v>5</v>
      </c>
      <c r="E294" s="1"/>
      <c r="F294" s="1"/>
      <c r="G294" s="1"/>
      <c r="H294" s="1"/>
      <c r="I294" s="1"/>
      <c r="J294" s="1"/>
      <c r="K294" s="1"/>
      <c r="L294" s="1"/>
      <c r="M294" s="1"/>
      <c r="N294" s="1"/>
      <c r="O294" s="1"/>
    </row>
    <row r="295" ht="14.25" customHeight="1">
      <c r="A295" s="357" t="s">
        <v>1559</v>
      </c>
      <c r="B295" s="1295">
        <v>3.0</v>
      </c>
      <c r="C295" s="581">
        <f t="shared" si="33"/>
        <v>0.9</v>
      </c>
      <c r="D295" s="38" t="s">
        <v>5</v>
      </c>
      <c r="E295" s="1"/>
      <c r="F295" s="1"/>
      <c r="G295" s="1"/>
      <c r="H295" s="1"/>
      <c r="I295" s="1"/>
      <c r="J295" s="1"/>
      <c r="K295" s="1"/>
      <c r="L295" s="1"/>
      <c r="M295" s="1"/>
      <c r="N295" s="1"/>
      <c r="O295" s="1"/>
    </row>
    <row r="296" ht="14.25" customHeight="1">
      <c r="A296" s="341" t="s">
        <v>97</v>
      </c>
      <c r="B296" s="1295">
        <v>100.0</v>
      </c>
      <c r="C296" s="581">
        <f t="shared" si="33"/>
        <v>30</v>
      </c>
      <c r="D296" s="38" t="s">
        <v>18</v>
      </c>
      <c r="E296" s="1"/>
      <c r="F296" s="1"/>
      <c r="G296" s="1"/>
      <c r="H296" s="1"/>
      <c r="I296" s="1"/>
      <c r="J296" s="1"/>
      <c r="K296" s="1"/>
      <c r="L296" s="1"/>
      <c r="M296" s="1"/>
      <c r="N296" s="1"/>
      <c r="O296" s="1"/>
    </row>
    <row r="297" ht="14.25" customHeight="1">
      <c r="A297" s="341" t="s">
        <v>98</v>
      </c>
      <c r="B297" s="1295">
        <v>80.0</v>
      </c>
      <c r="C297" s="581">
        <f t="shared" si="33"/>
        <v>24</v>
      </c>
      <c r="D297" s="38" t="s">
        <v>18</v>
      </c>
      <c r="E297" s="1"/>
      <c r="F297" s="1"/>
      <c r="G297" s="1"/>
      <c r="H297" s="1"/>
      <c r="I297" s="1"/>
      <c r="J297" s="1"/>
      <c r="K297" s="1"/>
      <c r="L297" s="1"/>
      <c r="M297" s="1"/>
      <c r="N297" s="1"/>
      <c r="O297" s="1"/>
    </row>
    <row r="298" ht="14.25" customHeight="1">
      <c r="A298" s="341" t="s">
        <v>1801</v>
      </c>
      <c r="B298" s="1295">
        <v>60.0</v>
      </c>
      <c r="C298" s="581">
        <f t="shared" si="33"/>
        <v>18</v>
      </c>
      <c r="D298" s="38" t="s">
        <v>18</v>
      </c>
      <c r="E298" s="1"/>
      <c r="F298" s="1"/>
      <c r="G298" s="1"/>
      <c r="H298" s="1"/>
      <c r="I298" s="1"/>
      <c r="J298" s="1"/>
      <c r="K298" s="1"/>
      <c r="L298" s="1"/>
      <c r="M298" s="1"/>
      <c r="N298" s="1"/>
      <c r="O298" s="1"/>
    </row>
    <row r="299" ht="14.25" customHeight="1">
      <c r="A299" s="341" t="s">
        <v>1751</v>
      </c>
      <c r="B299" s="1295">
        <v>50.0</v>
      </c>
      <c r="C299" s="581">
        <f t="shared" si="33"/>
        <v>15</v>
      </c>
      <c r="D299" s="38" t="s">
        <v>18</v>
      </c>
      <c r="E299" s="1"/>
      <c r="F299" s="1"/>
      <c r="G299" s="1"/>
      <c r="H299" s="1"/>
      <c r="I299" s="1"/>
      <c r="J299" s="1"/>
      <c r="K299" s="1"/>
      <c r="L299" s="1"/>
      <c r="M299" s="1"/>
      <c r="N299" s="1"/>
      <c r="O299" s="1"/>
    </row>
    <row r="300" ht="14.25" customHeight="1">
      <c r="A300" s="341" t="s">
        <v>63</v>
      </c>
      <c r="B300" s="1295">
        <v>25.0</v>
      </c>
      <c r="C300" s="581">
        <f t="shared" si="33"/>
        <v>7.5</v>
      </c>
      <c r="D300" s="38" t="s">
        <v>18</v>
      </c>
      <c r="E300" s="1"/>
      <c r="F300" s="1"/>
      <c r="G300" s="1"/>
      <c r="H300" s="1"/>
      <c r="I300" s="1"/>
      <c r="J300" s="1"/>
      <c r="K300" s="1"/>
      <c r="L300" s="1"/>
      <c r="M300" s="1"/>
      <c r="N300" s="1"/>
      <c r="O300" s="1"/>
    </row>
    <row r="301" ht="14.25" customHeight="1">
      <c r="A301" s="341" t="s">
        <v>193</v>
      </c>
      <c r="B301" s="1295">
        <v>2.0</v>
      </c>
      <c r="C301" s="581">
        <f t="shared" si="33"/>
        <v>0.6</v>
      </c>
      <c r="D301" s="38" t="s">
        <v>5</v>
      </c>
      <c r="E301" s="1"/>
      <c r="F301" s="1"/>
      <c r="G301" s="1"/>
      <c r="H301" s="1"/>
      <c r="I301" s="1"/>
      <c r="J301" s="1"/>
      <c r="K301" s="1"/>
      <c r="L301" s="1"/>
      <c r="M301" s="1"/>
      <c r="N301" s="1"/>
      <c r="O301" s="1"/>
    </row>
    <row r="302" ht="14.25" customHeight="1">
      <c r="A302" s="341" t="s">
        <v>52</v>
      </c>
      <c r="B302" s="1295">
        <v>160.0</v>
      </c>
      <c r="C302" s="581">
        <f t="shared" si="33"/>
        <v>48</v>
      </c>
      <c r="D302" s="38" t="s">
        <v>18</v>
      </c>
      <c r="E302" s="1"/>
      <c r="F302" s="1"/>
      <c r="G302" s="1"/>
      <c r="H302" s="1"/>
      <c r="I302" s="1"/>
      <c r="J302" s="1"/>
      <c r="K302" s="1"/>
      <c r="L302" s="1"/>
      <c r="M302" s="1"/>
      <c r="N302" s="1"/>
      <c r="O302" s="1"/>
    </row>
    <row r="303" ht="14.25" customHeight="1">
      <c r="A303" s="341" t="s">
        <v>39</v>
      </c>
      <c r="B303" s="1295">
        <v>300.0</v>
      </c>
      <c r="C303" s="581">
        <f t="shared" si="33"/>
        <v>90</v>
      </c>
      <c r="D303" s="38" t="s">
        <v>18</v>
      </c>
      <c r="E303" s="1"/>
      <c r="F303" s="1"/>
      <c r="G303" s="1"/>
      <c r="H303" s="1"/>
      <c r="I303" s="1"/>
      <c r="J303" s="1"/>
      <c r="K303" s="1"/>
      <c r="L303" s="1"/>
      <c r="M303" s="1"/>
      <c r="N303" s="1"/>
      <c r="O303" s="1"/>
    </row>
    <row r="304" ht="14.25" customHeight="1">
      <c r="A304" s="341" t="s">
        <v>149</v>
      </c>
      <c r="B304" s="1295">
        <v>500.0000000000002</v>
      </c>
      <c r="C304" s="581">
        <f t="shared" si="33"/>
        <v>150</v>
      </c>
      <c r="D304" s="38" t="s">
        <v>18</v>
      </c>
      <c r="E304" s="1"/>
      <c r="F304" s="1"/>
      <c r="G304" s="1"/>
      <c r="H304" s="1"/>
      <c r="I304" s="1"/>
      <c r="J304" s="1"/>
      <c r="K304" s="1"/>
      <c r="L304" s="1"/>
      <c r="M304" s="1"/>
      <c r="N304" s="1"/>
      <c r="O304" s="1"/>
    </row>
    <row r="305" ht="15.75" customHeight="1">
      <c r="A305" s="341" t="s">
        <v>66</v>
      </c>
      <c r="B305" s="1295">
        <v>70.0</v>
      </c>
      <c r="C305" s="581">
        <f t="shared" si="33"/>
        <v>21</v>
      </c>
      <c r="D305" s="38" t="s">
        <v>18</v>
      </c>
      <c r="E305" s="1"/>
      <c r="F305" s="1"/>
      <c r="G305" s="1"/>
      <c r="H305" s="1"/>
      <c r="I305" s="1"/>
      <c r="J305" s="1"/>
      <c r="K305" s="1"/>
      <c r="L305" s="1"/>
      <c r="M305" s="1"/>
      <c r="N305" s="1"/>
      <c r="O305" s="1"/>
    </row>
    <row r="306" ht="15.0" customHeight="1">
      <c r="A306" s="341" t="s">
        <v>1803</v>
      </c>
      <c r="B306" s="1295">
        <v>9.0</v>
      </c>
      <c r="C306" s="581">
        <f t="shared" si="33"/>
        <v>2.7</v>
      </c>
      <c r="D306" s="38" t="s">
        <v>14</v>
      </c>
      <c r="E306" s="1"/>
      <c r="F306" s="1"/>
      <c r="G306" s="1"/>
      <c r="H306" s="1"/>
      <c r="I306" s="1"/>
      <c r="J306" s="1"/>
      <c r="K306" s="1"/>
      <c r="L306" s="1"/>
      <c r="M306" s="1"/>
      <c r="N306" s="1"/>
      <c r="O306" s="1"/>
    </row>
    <row r="307" ht="15.0" customHeight="1">
      <c r="A307" s="358" t="s">
        <v>31</v>
      </c>
      <c r="B307" s="1300">
        <v>1100.0</v>
      </c>
      <c r="C307" s="586">
        <f t="shared" si="33"/>
        <v>330</v>
      </c>
      <c r="D307" s="362" t="s">
        <v>18</v>
      </c>
      <c r="E307" s="1"/>
      <c r="F307" s="1"/>
      <c r="G307" s="1"/>
      <c r="H307" s="1"/>
      <c r="I307" s="1"/>
      <c r="J307" s="1"/>
      <c r="K307" s="1"/>
      <c r="L307" s="1"/>
      <c r="M307" s="1"/>
      <c r="N307" s="1"/>
      <c r="O307" s="1"/>
    </row>
    <row r="308" ht="15.0" customHeight="1">
      <c r="A308" s="305" t="s">
        <v>120</v>
      </c>
      <c r="B308" s="804"/>
      <c r="C308" s="804">
        <v>43528.0</v>
      </c>
      <c r="D308" s="1"/>
      <c r="E308" s="1"/>
      <c r="F308" s="1"/>
      <c r="G308" s="1"/>
      <c r="H308" s="1"/>
      <c r="I308" s="1"/>
      <c r="J308" s="1"/>
      <c r="K308" s="1"/>
      <c r="L308" s="1"/>
      <c r="M308" s="1"/>
      <c r="N308" s="1"/>
      <c r="O308" s="1"/>
    </row>
    <row r="309" ht="15.0" customHeight="1">
      <c r="A309" s="305" t="s">
        <v>50</v>
      </c>
      <c r="B309" s="804"/>
      <c r="C309" s="804">
        <v>43532.0</v>
      </c>
      <c r="D309" s="1"/>
      <c r="E309" s="1"/>
      <c r="F309" s="1"/>
      <c r="G309" s="1"/>
      <c r="H309" s="1"/>
      <c r="I309" s="1"/>
      <c r="J309" s="1"/>
      <c r="K309" s="1"/>
      <c r="L309" s="1"/>
      <c r="M309" s="1"/>
      <c r="N309" s="1"/>
      <c r="O309" s="1"/>
    </row>
    <row r="310" ht="15.0" customHeight="1">
      <c r="A310" s="1143" t="s">
        <v>42</v>
      </c>
      <c r="B310" s="1"/>
      <c r="C310" s="1"/>
      <c r="D310" s="1"/>
      <c r="E310" s="1"/>
      <c r="F310" s="1"/>
      <c r="G310" s="1"/>
      <c r="H310" s="1"/>
      <c r="I310" s="1"/>
      <c r="J310" s="1"/>
      <c r="K310" s="1"/>
      <c r="L310" s="1"/>
      <c r="M310" s="1"/>
      <c r="N310" s="1"/>
      <c r="O310" s="1"/>
    </row>
    <row r="311" ht="15.0" customHeight="1">
      <c r="A311" s="1"/>
      <c r="B311" s="1"/>
      <c r="C311" s="1"/>
      <c r="D311" s="1"/>
      <c r="E311" s="1"/>
      <c r="F311" s="1"/>
      <c r="G311" s="1"/>
      <c r="H311" s="1"/>
      <c r="I311" s="1"/>
      <c r="J311" s="1"/>
      <c r="K311" s="1"/>
      <c r="L311" s="1"/>
      <c r="M311" s="1"/>
      <c r="N311" s="1"/>
      <c r="O311" s="1"/>
    </row>
    <row r="312" ht="15.0" customHeight="1">
      <c r="A312" s="1"/>
      <c r="B312" s="1"/>
      <c r="C312" s="1"/>
      <c r="D312" s="1"/>
      <c r="E312" s="1"/>
      <c r="F312" s="1"/>
      <c r="G312" s="1"/>
      <c r="H312" s="1"/>
      <c r="I312" s="1"/>
      <c r="J312" s="1"/>
      <c r="K312" s="1"/>
      <c r="L312" s="1"/>
      <c r="M312" s="1"/>
      <c r="N312" s="1"/>
      <c r="O312" s="1"/>
    </row>
    <row r="313" ht="15.0" customHeight="1">
      <c r="A313" s="1"/>
      <c r="B313" s="1"/>
      <c r="C313" s="1"/>
      <c r="D313" s="1"/>
      <c r="E313" s="1"/>
      <c r="F313" s="1"/>
      <c r="G313" s="1"/>
      <c r="H313" s="1"/>
      <c r="I313" s="1"/>
      <c r="J313" s="1"/>
      <c r="K313" s="1"/>
      <c r="L313" s="1"/>
      <c r="M313" s="1"/>
      <c r="N313" s="1"/>
      <c r="O313" s="1"/>
    </row>
    <row r="314" ht="15.0" customHeight="1">
      <c r="A314" s="1"/>
      <c r="B314" s="1"/>
      <c r="C314" s="1"/>
      <c r="D314" s="1"/>
      <c r="E314" s="1"/>
      <c r="F314" s="1"/>
      <c r="G314" s="1"/>
      <c r="H314" s="1"/>
      <c r="I314" s="1"/>
      <c r="J314" s="1"/>
      <c r="K314" s="1"/>
      <c r="L314" s="1"/>
      <c r="M314" s="1"/>
      <c r="N314" s="1"/>
      <c r="O314" s="1"/>
    </row>
    <row r="315" ht="15.0" customHeight="1">
      <c r="A315" s="1"/>
      <c r="B315" s="1"/>
      <c r="C315" s="1"/>
      <c r="D315" s="1"/>
      <c r="E315" s="1"/>
      <c r="F315" s="1"/>
      <c r="G315" s="1"/>
      <c r="H315" s="1"/>
      <c r="I315" s="1"/>
      <c r="J315" s="1"/>
      <c r="K315" s="1"/>
      <c r="L315" s="1"/>
      <c r="M315" s="1"/>
      <c r="N315" s="1"/>
      <c r="O315" s="1"/>
    </row>
    <row r="316" ht="15.0" customHeight="1">
      <c r="A316" s="1"/>
      <c r="B316" s="1"/>
      <c r="C316" s="1"/>
      <c r="D316" s="1"/>
      <c r="E316" s="1"/>
      <c r="F316" s="1"/>
      <c r="G316" s="1"/>
      <c r="H316" s="1"/>
      <c r="I316" s="1"/>
      <c r="J316" s="1"/>
      <c r="K316" s="1"/>
      <c r="L316" s="1"/>
      <c r="M316" s="1"/>
      <c r="N316" s="1"/>
      <c r="O316" s="1"/>
    </row>
    <row r="317" ht="15.0" customHeight="1">
      <c r="A317" s="1"/>
      <c r="B317" s="1"/>
      <c r="C317" s="1"/>
      <c r="D317" s="1"/>
      <c r="E317" s="1"/>
      <c r="F317" s="1"/>
      <c r="G317" s="1"/>
      <c r="H317" s="1"/>
      <c r="I317" s="1"/>
      <c r="J317" s="1"/>
      <c r="K317" s="1"/>
      <c r="L317" s="1"/>
      <c r="M317" s="1"/>
      <c r="N317" s="1"/>
      <c r="O317" s="1"/>
    </row>
    <row r="318" ht="15.75" customHeight="1">
      <c r="A318" s="1"/>
      <c r="B318" s="1"/>
      <c r="C318" s="1"/>
      <c r="D318" s="1"/>
      <c r="E318" s="1"/>
      <c r="F318" s="1"/>
      <c r="G318" s="1"/>
      <c r="H318" s="1"/>
      <c r="I318" s="1"/>
      <c r="J318" s="1"/>
      <c r="K318" s="1"/>
      <c r="L318" s="1"/>
      <c r="M318" s="1"/>
      <c r="N318" s="1"/>
      <c r="O318" s="1"/>
    </row>
    <row r="319" ht="14.25" customHeight="1">
      <c r="A319" s="1"/>
      <c r="B319" s="1"/>
      <c r="C319" s="1"/>
      <c r="D319" s="1"/>
      <c r="E319" s="1"/>
      <c r="F319" s="1"/>
      <c r="G319" s="1"/>
      <c r="H319" s="1"/>
      <c r="I319" s="1"/>
      <c r="J319" s="1"/>
      <c r="K319" s="1"/>
      <c r="L319" s="1"/>
      <c r="M319" s="1"/>
      <c r="N319" s="1"/>
      <c r="O319" s="1"/>
    </row>
    <row r="320" ht="15.0" customHeight="1">
      <c r="A320" s="1"/>
      <c r="B320" s="1"/>
      <c r="C320" s="1"/>
      <c r="D320" s="1"/>
      <c r="E320" s="1"/>
      <c r="F320" s="1"/>
      <c r="G320" s="1"/>
      <c r="H320" s="1"/>
      <c r="I320" s="1"/>
      <c r="J320" s="1"/>
      <c r="K320" s="1"/>
      <c r="L320" s="1"/>
      <c r="M320" s="1"/>
      <c r="N320" s="1"/>
      <c r="O320" s="1"/>
    </row>
    <row r="321" ht="15.0" customHeight="1">
      <c r="A321" s="1"/>
      <c r="B321" s="1"/>
      <c r="C321" s="1"/>
      <c r="D321" s="1"/>
      <c r="E321" s="1"/>
      <c r="F321" s="1"/>
      <c r="G321" s="1"/>
      <c r="H321" s="1"/>
      <c r="I321" s="1"/>
      <c r="J321" s="1"/>
      <c r="K321" s="1"/>
      <c r="L321" s="1"/>
      <c r="M321" s="1"/>
      <c r="N321" s="1"/>
      <c r="O321" s="1"/>
    </row>
    <row r="322" ht="16.5" customHeight="1">
      <c r="A322" s="1"/>
      <c r="B322" s="1"/>
      <c r="C322" s="1"/>
      <c r="D322" s="1"/>
      <c r="E322" s="1"/>
      <c r="F322" s="1"/>
      <c r="G322" s="1"/>
      <c r="H322" s="1"/>
      <c r="I322" s="1"/>
      <c r="J322" s="1"/>
      <c r="K322" s="1"/>
      <c r="L322" s="1"/>
      <c r="M322" s="1"/>
      <c r="N322" s="1"/>
      <c r="O322" s="1"/>
    </row>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D1"/>
    <mergeCell ref="E3:E10"/>
    <mergeCell ref="E12:E24"/>
    <mergeCell ref="A26:D28"/>
    <mergeCell ref="A33:D33"/>
    <mergeCell ref="E34:E40"/>
    <mergeCell ref="E41:E43"/>
    <mergeCell ref="E44:E48"/>
    <mergeCell ref="A54:D54"/>
    <mergeCell ref="E56:E61"/>
    <mergeCell ref="E65:E77"/>
    <mergeCell ref="F67:I67"/>
    <mergeCell ref="K67:M67"/>
    <mergeCell ref="E78:E86"/>
    <mergeCell ref="A141:D141"/>
    <mergeCell ref="A168:D168"/>
    <mergeCell ref="A197:D197"/>
    <mergeCell ref="A225:D225"/>
    <mergeCell ref="A257:D257"/>
    <mergeCell ref="F257:I257"/>
    <mergeCell ref="A285:D285"/>
    <mergeCell ref="E87:E88"/>
    <mergeCell ref="A96:D96"/>
    <mergeCell ref="E98:E108"/>
    <mergeCell ref="E109:E111"/>
    <mergeCell ref="E112:E120"/>
    <mergeCell ref="E121:E127"/>
    <mergeCell ref="E128:E132"/>
  </mergeCells>
  <hyperlinks>
    <hyperlink display="Back" location="'Recipe Index'!BA38" ref="A31"/>
    <hyperlink display="HOME" location="'Recipe Index'!B5" ref="B31"/>
    <hyperlink display="Back" location="'Recipe Index'!BA38" ref="A50"/>
    <hyperlink display="HOME" location="'Recipe Index'!B5" ref="B50"/>
    <hyperlink display="Back" location="'Recipe Index'!BA38" ref="A89"/>
    <hyperlink display="Back" location="'Recipe Index'!BA38" ref="A136"/>
    <hyperlink display="Back" location="'Recipe Index'!BA38" ref="A165"/>
    <hyperlink display="Back" location="'Recipe Index'!BA38" ref="A193"/>
    <hyperlink display="Back" location="'Recipe Index'!BA38" ref="A221"/>
    <hyperlink display="Back" location="'Recipe Index'!BA38" ref="A253"/>
    <hyperlink display="Back" location="'Recipe Index'!BA38" ref="A283"/>
    <hyperlink display="Back" location="'Recipe Index'!BA38" ref="A310"/>
  </hyperlinks>
  <printOptions/>
  <pageMargins bottom="0.75" footer="0.0" header="0.0" left="0.25" right="0.25"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36.75"/>
    <col customWidth="1" min="2" max="2" width="11.25"/>
    <col customWidth="1" min="3" max="3" width="8.25"/>
    <col customWidth="1" min="4" max="4" width="15.63"/>
    <col customWidth="1" min="5" max="5" width="28.38"/>
    <col customWidth="1" min="6" max="6" width="23.25"/>
    <col customWidth="1" min="7" max="7" width="9.38"/>
    <col customWidth="1" min="8" max="8" width="19.25"/>
    <col customWidth="1" min="9" max="10" width="18.75"/>
    <col customWidth="1" min="11" max="11" width="9.25"/>
    <col customWidth="1" min="12" max="26" width="14.38"/>
  </cols>
  <sheetData>
    <row r="1" ht="15.75" customHeight="1">
      <c r="A1" s="266" t="s">
        <v>288</v>
      </c>
      <c r="B1" s="5"/>
      <c r="C1" s="5"/>
      <c r="D1" s="6"/>
      <c r="E1" s="1"/>
      <c r="F1" s="1"/>
      <c r="G1" s="1"/>
      <c r="H1" s="1"/>
      <c r="I1" s="1"/>
      <c r="J1" s="1"/>
      <c r="K1" s="1"/>
    </row>
    <row r="2" ht="15.75" customHeight="1">
      <c r="A2" s="506" t="s">
        <v>1</v>
      </c>
      <c r="B2" s="1452">
        <v>1000.0</v>
      </c>
      <c r="C2" s="1453">
        <v>2000.0</v>
      </c>
      <c r="D2" s="79" t="s">
        <v>18</v>
      </c>
      <c r="E2" s="1"/>
      <c r="F2" s="1"/>
      <c r="G2" s="1"/>
      <c r="H2" s="1"/>
      <c r="I2" s="1"/>
      <c r="J2" s="1"/>
      <c r="K2" s="1"/>
    </row>
    <row r="3" ht="15.0" customHeight="1">
      <c r="A3" s="591" t="s">
        <v>98</v>
      </c>
      <c r="B3" s="1455">
        <v>400.0</v>
      </c>
      <c r="C3" s="985">
        <f t="shared" ref="C3:C7" si="1">(B3*C2)/B2</f>
        <v>800</v>
      </c>
      <c r="D3" s="1457" t="s">
        <v>18</v>
      </c>
      <c r="E3" s="1"/>
      <c r="F3" s="1"/>
      <c r="G3" s="1"/>
      <c r="H3" s="1"/>
      <c r="I3" s="1"/>
      <c r="J3" s="1"/>
      <c r="K3" s="1"/>
    </row>
    <row r="4" ht="15.0" customHeight="1">
      <c r="A4" s="350" t="s">
        <v>210</v>
      </c>
      <c r="B4" s="1465">
        <v>200.0</v>
      </c>
      <c r="C4" s="992">
        <f t="shared" si="1"/>
        <v>400</v>
      </c>
      <c r="D4" s="352" t="s">
        <v>18</v>
      </c>
      <c r="E4" s="1"/>
      <c r="F4" s="1"/>
      <c r="G4" s="1"/>
      <c r="H4" s="1"/>
      <c r="I4" s="1"/>
      <c r="J4" s="1"/>
      <c r="K4" s="1"/>
    </row>
    <row r="5" ht="15.0" customHeight="1">
      <c r="A5" s="350" t="s">
        <v>884</v>
      </c>
      <c r="B5" s="1465">
        <v>200.0</v>
      </c>
      <c r="C5" s="992">
        <f t="shared" si="1"/>
        <v>400</v>
      </c>
      <c r="D5" s="352" t="s">
        <v>18</v>
      </c>
      <c r="E5" s="1"/>
      <c r="F5" s="1"/>
      <c r="G5" s="1"/>
      <c r="H5" s="1"/>
      <c r="I5" s="1"/>
      <c r="J5" s="1"/>
      <c r="K5" s="1"/>
    </row>
    <row r="6" ht="15.0" customHeight="1">
      <c r="A6" s="350" t="s">
        <v>95</v>
      </c>
      <c r="B6" s="1465">
        <v>60.0</v>
      </c>
      <c r="C6" s="992">
        <f t="shared" si="1"/>
        <v>120</v>
      </c>
      <c r="D6" s="352" t="s">
        <v>18</v>
      </c>
      <c r="E6" s="1"/>
      <c r="F6" s="1"/>
      <c r="G6" s="1"/>
      <c r="H6" s="1"/>
      <c r="I6" s="1"/>
      <c r="J6" s="1"/>
      <c r="K6" s="1"/>
    </row>
    <row r="7" ht="15.75" customHeight="1">
      <c r="A7" s="350" t="s">
        <v>102</v>
      </c>
      <c r="B7" s="1465">
        <v>40.0</v>
      </c>
      <c r="C7" s="992">
        <f t="shared" si="1"/>
        <v>80</v>
      </c>
      <c r="D7" s="352" t="s">
        <v>18</v>
      </c>
      <c r="E7" s="1"/>
      <c r="F7" s="1"/>
      <c r="G7" s="1"/>
      <c r="H7" s="1"/>
      <c r="I7" s="1"/>
      <c r="J7" s="1"/>
      <c r="K7" s="1"/>
    </row>
    <row r="8" ht="15.0" customHeight="1">
      <c r="A8" s="350" t="s">
        <v>1195</v>
      </c>
      <c r="B8" s="1465">
        <v>40.0</v>
      </c>
      <c r="C8" s="992">
        <f>(B8*C10)/B10</f>
        <v>80</v>
      </c>
      <c r="D8" s="352" t="s">
        <v>18</v>
      </c>
      <c r="E8" s="1"/>
      <c r="F8" s="1"/>
      <c r="G8" s="1"/>
      <c r="H8" s="1"/>
      <c r="I8" s="1"/>
      <c r="J8" s="1"/>
      <c r="K8" s="1"/>
    </row>
    <row r="9" ht="15.0" customHeight="1">
      <c r="A9" s="350" t="s">
        <v>1179</v>
      </c>
      <c r="B9" s="1473">
        <v>20.0</v>
      </c>
      <c r="C9" s="992">
        <f>(B9*C12)/B12</f>
        <v>40</v>
      </c>
      <c r="D9" s="352" t="s">
        <v>18</v>
      </c>
      <c r="E9" s="1"/>
      <c r="F9" s="1"/>
      <c r="G9" s="1"/>
      <c r="H9" s="1"/>
      <c r="I9" s="1"/>
      <c r="J9" s="1"/>
      <c r="K9" s="1"/>
    </row>
    <row r="10" ht="15.0" customHeight="1">
      <c r="A10" s="350" t="s">
        <v>96</v>
      </c>
      <c r="B10" s="1465">
        <v>15.0</v>
      </c>
      <c r="C10" s="992">
        <f t="shared" ref="C10:C11" si="2">(B10*C7)/B7</f>
        <v>30</v>
      </c>
      <c r="D10" s="352" t="s">
        <v>18</v>
      </c>
      <c r="E10" s="1"/>
      <c r="F10" s="1"/>
      <c r="G10" s="1"/>
      <c r="H10" s="1"/>
      <c r="I10" s="1"/>
      <c r="J10" s="1"/>
      <c r="K10" s="1"/>
    </row>
    <row r="11" ht="15.0" customHeight="1">
      <c r="A11" s="350" t="s">
        <v>1176</v>
      </c>
      <c r="B11" s="1465">
        <v>15.0</v>
      </c>
      <c r="C11" s="992">
        <f t="shared" si="2"/>
        <v>30</v>
      </c>
      <c r="D11" s="352" t="s">
        <v>18</v>
      </c>
      <c r="E11" s="1"/>
      <c r="F11" s="1"/>
      <c r="G11" s="1"/>
      <c r="H11" s="1"/>
      <c r="I11" s="1"/>
      <c r="J11" s="1"/>
      <c r="K11" s="1"/>
    </row>
    <row r="12" ht="15.0" customHeight="1">
      <c r="A12" s="606" t="s">
        <v>1036</v>
      </c>
      <c r="B12" s="1474">
        <v>10.0</v>
      </c>
      <c r="C12" s="981">
        <f>(B12*C11)/B11</f>
        <v>20</v>
      </c>
      <c r="D12" s="1475" t="s">
        <v>18</v>
      </c>
      <c r="E12" s="1"/>
      <c r="F12" s="1"/>
      <c r="G12" s="1"/>
      <c r="H12" s="1"/>
      <c r="I12" s="1"/>
      <c r="J12" s="1"/>
      <c r="K12" s="1"/>
    </row>
    <row r="13" ht="15.0" customHeight="1">
      <c r="A13" s="1476" t="s">
        <v>42</v>
      </c>
      <c r="B13" s="85" t="s">
        <v>47</v>
      </c>
      <c r="C13" s="615"/>
      <c r="D13" s="7"/>
      <c r="E13" s="1"/>
      <c r="F13" s="1"/>
      <c r="G13" s="1"/>
      <c r="H13" s="1"/>
      <c r="I13" s="1"/>
      <c r="J13" s="1"/>
      <c r="K13" s="1"/>
    </row>
    <row r="14" ht="15.0" customHeight="1">
      <c r="A14" s="1477" t="s">
        <v>1700</v>
      </c>
      <c r="B14" s="1478"/>
      <c r="C14" s="1478"/>
      <c r="D14" s="1479"/>
      <c r="E14" s="1"/>
      <c r="F14" s="1"/>
      <c r="G14" s="1"/>
      <c r="H14" s="1"/>
      <c r="I14" s="1"/>
      <c r="J14" s="1"/>
      <c r="K14" s="1"/>
    </row>
    <row r="15" ht="15.0" customHeight="1">
      <c r="A15" s="1480" t="s">
        <v>1701</v>
      </c>
      <c r="B15" s="1478"/>
      <c r="C15" s="1478"/>
      <c r="D15" s="1479"/>
      <c r="E15" s="1"/>
      <c r="F15" s="1"/>
      <c r="G15" s="1"/>
      <c r="H15" s="1"/>
      <c r="I15" s="1"/>
      <c r="J15" s="1"/>
      <c r="K15" s="1"/>
    </row>
    <row r="16" ht="15.0" customHeight="1">
      <c r="A16" s="1481" t="s">
        <v>1703</v>
      </c>
      <c r="B16" s="1478"/>
      <c r="C16" s="1478"/>
      <c r="D16" s="1479"/>
      <c r="E16" s="1"/>
      <c r="F16" s="1"/>
      <c r="G16" s="1"/>
      <c r="H16" s="1"/>
      <c r="I16" s="1"/>
      <c r="J16" s="1"/>
      <c r="K16" s="1"/>
    </row>
    <row r="17" ht="15.75" customHeight="1">
      <c r="A17" s="1"/>
      <c r="B17" s="1"/>
      <c r="C17" s="1"/>
      <c r="D17" s="1"/>
      <c r="E17" s="1"/>
      <c r="F17" s="1"/>
      <c r="G17" s="1"/>
      <c r="H17" s="1"/>
      <c r="I17" s="1"/>
      <c r="J17" s="1"/>
      <c r="K17" s="1"/>
    </row>
    <row r="18" ht="15.75" customHeight="1">
      <c r="A18" s="266" t="s">
        <v>1706</v>
      </c>
      <c r="B18" s="5"/>
      <c r="C18" s="5"/>
      <c r="D18" s="6"/>
      <c r="E18" s="1"/>
      <c r="F18" s="1"/>
      <c r="G18" s="1"/>
      <c r="H18" s="1"/>
      <c r="I18" s="1"/>
      <c r="J18" s="1"/>
      <c r="K18" s="1"/>
    </row>
    <row r="19" ht="15.75" customHeight="1">
      <c r="A19" s="324" t="s">
        <v>1</v>
      </c>
      <c r="B19" s="1482">
        <v>1125.0</v>
      </c>
      <c r="C19" s="1483">
        <v>100.0</v>
      </c>
      <c r="D19" s="447" t="s">
        <v>18</v>
      </c>
      <c r="E19" s="1"/>
      <c r="F19" s="1"/>
      <c r="G19" s="1"/>
      <c r="H19" s="1"/>
      <c r="I19" s="1"/>
      <c r="J19" s="1"/>
      <c r="K19" s="1"/>
    </row>
    <row r="20" ht="15.75" customHeight="1">
      <c r="A20" s="345" t="s">
        <v>96</v>
      </c>
      <c r="B20" s="1484">
        <v>225.0</v>
      </c>
      <c r="C20" s="976">
        <f t="shared" ref="C20:C22" si="3">(B20*C19)/B19</f>
        <v>20</v>
      </c>
      <c r="D20" s="348" t="s">
        <v>18</v>
      </c>
      <c r="E20" s="44" t="s">
        <v>1712</v>
      </c>
      <c r="F20" s="1"/>
      <c r="G20" s="1"/>
      <c r="H20" s="1"/>
      <c r="I20" s="1"/>
      <c r="J20" s="1"/>
      <c r="K20" s="1"/>
    </row>
    <row r="21" ht="15.75" customHeight="1">
      <c r="A21" s="350" t="s">
        <v>95</v>
      </c>
      <c r="B21" s="1465">
        <v>450.0</v>
      </c>
      <c r="C21" s="992">
        <f t="shared" si="3"/>
        <v>40</v>
      </c>
      <c r="D21" s="352" t="s">
        <v>18</v>
      </c>
      <c r="E21" s="47"/>
      <c r="F21" s="1"/>
      <c r="G21" s="1"/>
      <c r="H21" s="1"/>
      <c r="I21" s="1"/>
      <c r="J21" s="1"/>
      <c r="K21" s="1"/>
    </row>
    <row r="22" ht="15.75" customHeight="1">
      <c r="A22" s="606" t="s">
        <v>102</v>
      </c>
      <c r="B22" s="1485">
        <v>450.0</v>
      </c>
      <c r="C22" s="981">
        <f t="shared" si="3"/>
        <v>40</v>
      </c>
      <c r="D22" s="1475" t="s">
        <v>18</v>
      </c>
      <c r="E22" s="76"/>
      <c r="F22" s="1"/>
      <c r="G22" s="1"/>
      <c r="H22" s="1"/>
      <c r="I22" s="1"/>
      <c r="J22" s="1"/>
      <c r="K22" s="1"/>
    </row>
    <row r="23" ht="15.75" customHeight="1">
      <c r="A23" s="1"/>
      <c r="B23" s="1"/>
      <c r="C23" s="1"/>
      <c r="D23" s="1"/>
      <c r="E23" s="1"/>
      <c r="F23" s="1"/>
      <c r="G23" s="1"/>
      <c r="H23" s="1"/>
      <c r="I23" s="1"/>
      <c r="J23" s="1"/>
      <c r="K23" s="1"/>
    </row>
    <row r="24" ht="15.75" customHeight="1">
      <c r="A24" s="1476" t="s">
        <v>42</v>
      </c>
      <c r="B24" s="85" t="s">
        <v>47</v>
      </c>
      <c r="C24" s="1"/>
      <c r="D24" s="1"/>
      <c r="E24" s="1"/>
      <c r="F24" s="1"/>
      <c r="G24" s="1"/>
      <c r="H24" s="1"/>
      <c r="I24" s="1"/>
      <c r="J24" s="1"/>
      <c r="K24" s="1"/>
    </row>
    <row r="25" ht="15.75" customHeight="1">
      <c r="A25" s="786" t="s">
        <v>49</v>
      </c>
      <c r="B25" s="303">
        <v>41162.0</v>
      </c>
      <c r="C25" s="1"/>
      <c r="D25" s="1"/>
      <c r="E25" s="1"/>
      <c r="F25" s="1"/>
      <c r="G25" s="1"/>
      <c r="H25" s="1"/>
      <c r="I25" s="1"/>
      <c r="J25" s="1"/>
      <c r="K25" s="1"/>
    </row>
    <row r="26" ht="15.75" customHeight="1">
      <c r="A26" s="786" t="s">
        <v>50</v>
      </c>
      <c r="B26" s="303">
        <v>41170.0</v>
      </c>
      <c r="C26" s="1"/>
      <c r="D26" s="1"/>
      <c r="E26" s="1"/>
      <c r="F26" s="1"/>
      <c r="G26" s="1"/>
      <c r="H26" s="1"/>
      <c r="I26" s="1"/>
      <c r="J26" s="1"/>
      <c r="K26" s="1"/>
    </row>
    <row r="27" ht="15.75" customHeight="1">
      <c r="A27" s="1"/>
      <c r="B27" s="1"/>
      <c r="C27" s="1"/>
      <c r="D27" s="1"/>
      <c r="E27" s="1"/>
      <c r="F27" s="1"/>
      <c r="G27" s="1"/>
      <c r="H27" s="1"/>
      <c r="I27" s="1"/>
      <c r="J27" s="1"/>
      <c r="K27" s="1"/>
    </row>
    <row r="28" ht="14.25" customHeight="1">
      <c r="A28" s="266" t="s">
        <v>427</v>
      </c>
      <c r="B28" s="5"/>
      <c r="C28" s="5"/>
      <c r="D28" s="6"/>
      <c r="E28" s="1"/>
      <c r="F28" s="1"/>
      <c r="G28" s="1"/>
      <c r="H28" s="1"/>
      <c r="I28" s="1"/>
      <c r="J28" s="1"/>
      <c r="K28" s="1"/>
    </row>
    <row r="29" ht="14.25" customHeight="1">
      <c r="A29" s="173" t="s">
        <v>1</v>
      </c>
      <c r="B29" s="545">
        <v>1000.0</v>
      </c>
      <c r="C29" s="545">
        <v>1000.0</v>
      </c>
      <c r="D29" s="547" t="s">
        <v>18</v>
      </c>
      <c r="E29" s="1"/>
      <c r="F29" s="1"/>
      <c r="G29" s="1"/>
      <c r="H29" s="1"/>
      <c r="I29" s="1"/>
      <c r="J29" s="1"/>
      <c r="K29" s="1"/>
    </row>
    <row r="30" ht="14.25" customHeight="1">
      <c r="A30" s="119" t="s">
        <v>1714</v>
      </c>
      <c r="B30" s="122">
        <v>0.125</v>
      </c>
      <c r="C30" s="523">
        <f t="shared" ref="C30:C37" si="4">(B30*C29)/B29</f>
        <v>0.125</v>
      </c>
      <c r="D30" s="520" t="s">
        <v>14</v>
      </c>
      <c r="E30" s="1491" t="s">
        <v>1715</v>
      </c>
      <c r="F30" s="1"/>
      <c r="G30" s="1"/>
      <c r="H30" s="1"/>
      <c r="I30" s="1"/>
      <c r="J30" s="1"/>
      <c r="K30" s="1"/>
    </row>
    <row r="31" ht="14.25" customHeight="1">
      <c r="A31" s="93" t="s">
        <v>1240</v>
      </c>
      <c r="B31" s="94">
        <v>0.125</v>
      </c>
      <c r="C31" s="247">
        <f t="shared" si="4"/>
        <v>0.125</v>
      </c>
      <c r="D31" s="249" t="s">
        <v>14</v>
      </c>
      <c r="E31" s="76"/>
      <c r="F31" s="1"/>
      <c r="G31" s="1"/>
      <c r="H31" s="1"/>
      <c r="I31" s="1"/>
      <c r="J31" s="1"/>
      <c r="K31" s="1"/>
    </row>
    <row r="32" ht="14.25" customHeight="1">
      <c r="A32" s="93" t="s">
        <v>91</v>
      </c>
      <c r="B32" s="94">
        <v>0.15</v>
      </c>
      <c r="C32" s="247">
        <f t="shared" si="4"/>
        <v>0.15</v>
      </c>
      <c r="D32" s="249" t="s">
        <v>5</v>
      </c>
      <c r="E32" s="610" t="s">
        <v>1716</v>
      </c>
      <c r="F32" s="1"/>
      <c r="G32" s="1"/>
      <c r="H32" s="1"/>
      <c r="I32" s="1"/>
      <c r="J32" s="1"/>
      <c r="K32" s="1"/>
    </row>
    <row r="33" ht="14.25" customHeight="1">
      <c r="A33" s="93" t="s">
        <v>1241</v>
      </c>
      <c r="B33" s="94">
        <v>600.0</v>
      </c>
      <c r="C33" s="247">
        <f t="shared" si="4"/>
        <v>600</v>
      </c>
      <c r="D33" s="249" t="s">
        <v>18</v>
      </c>
      <c r="E33" s="47"/>
      <c r="F33" s="1"/>
      <c r="G33" s="1"/>
      <c r="H33" s="1"/>
      <c r="I33" s="1"/>
      <c r="J33" s="1"/>
      <c r="K33" s="1"/>
    </row>
    <row r="34" ht="14.25" customHeight="1">
      <c r="A34" s="93" t="s">
        <v>98</v>
      </c>
      <c r="B34" s="94">
        <v>125.0</v>
      </c>
      <c r="C34" s="247">
        <f t="shared" si="4"/>
        <v>125</v>
      </c>
      <c r="D34" s="249" t="s">
        <v>18</v>
      </c>
      <c r="E34" s="47"/>
      <c r="F34" s="1"/>
      <c r="G34" s="1"/>
      <c r="H34" s="1"/>
      <c r="I34" s="1"/>
      <c r="J34" s="1"/>
      <c r="K34" s="1"/>
    </row>
    <row r="35" ht="16.5" customHeight="1">
      <c r="A35" s="93" t="s">
        <v>96</v>
      </c>
      <c r="B35" s="94">
        <v>2.5</v>
      </c>
      <c r="C35" s="247">
        <f t="shared" si="4"/>
        <v>2.5</v>
      </c>
      <c r="D35" s="249" t="s">
        <v>18</v>
      </c>
      <c r="E35" s="47"/>
      <c r="F35" s="1"/>
      <c r="G35" s="1"/>
      <c r="H35" s="1"/>
      <c r="I35" s="1"/>
      <c r="J35" s="1"/>
      <c r="K35" s="1"/>
    </row>
    <row r="36" ht="16.5" customHeight="1">
      <c r="A36" s="93" t="s">
        <v>95</v>
      </c>
      <c r="B36" s="94">
        <v>2.5</v>
      </c>
      <c r="C36" s="247">
        <f t="shared" si="4"/>
        <v>2.5</v>
      </c>
      <c r="D36" s="249" t="s">
        <v>18</v>
      </c>
      <c r="E36" s="76"/>
      <c r="F36" s="1"/>
      <c r="G36" s="1"/>
      <c r="H36" s="1"/>
      <c r="I36" s="1"/>
      <c r="J36" s="1"/>
      <c r="K36" s="1"/>
    </row>
    <row r="37" ht="14.25" customHeight="1">
      <c r="A37" s="105" t="s">
        <v>103</v>
      </c>
      <c r="B37" s="110">
        <v>5.0</v>
      </c>
      <c r="C37" s="522">
        <f t="shared" si="4"/>
        <v>5</v>
      </c>
      <c r="D37" s="518" t="s">
        <v>18</v>
      </c>
      <c r="E37" s="924" t="s">
        <v>1717</v>
      </c>
      <c r="F37" s="1"/>
      <c r="G37" s="1"/>
      <c r="H37" s="1"/>
      <c r="I37" s="1"/>
      <c r="J37" s="1"/>
      <c r="K37" s="1"/>
    </row>
    <row r="38" ht="14.25" customHeight="1">
      <c r="A38" s="1476" t="s">
        <v>42</v>
      </c>
      <c r="B38" s="85" t="s">
        <v>47</v>
      </c>
      <c r="C38" s="1"/>
      <c r="D38" s="1"/>
      <c r="E38" s="1"/>
      <c r="F38" s="1"/>
      <c r="G38" s="1"/>
      <c r="H38" s="1"/>
      <c r="I38" s="1"/>
      <c r="J38" s="1"/>
      <c r="K38" s="1"/>
    </row>
    <row r="39" ht="14.25" customHeight="1">
      <c r="A39" s="1494" t="s">
        <v>1719</v>
      </c>
      <c r="E39" s="1"/>
      <c r="F39" s="1"/>
      <c r="G39" s="1"/>
      <c r="H39" s="1"/>
      <c r="I39" s="1"/>
      <c r="J39" s="1"/>
      <c r="K39" s="1"/>
    </row>
    <row r="40" ht="14.25" customHeight="1">
      <c r="A40" s="1"/>
      <c r="B40" s="1"/>
      <c r="C40" s="1"/>
      <c r="D40" s="1"/>
      <c r="E40" s="1"/>
      <c r="F40" s="1"/>
      <c r="G40" s="1"/>
      <c r="H40" s="1"/>
      <c r="I40" s="1"/>
      <c r="J40" s="1"/>
      <c r="K40" s="1"/>
    </row>
    <row r="41" ht="14.25" customHeight="1">
      <c r="A41" s="1495" t="s">
        <v>462</v>
      </c>
      <c r="B41" s="5"/>
      <c r="C41" s="5"/>
      <c r="D41" s="6"/>
      <c r="E41" s="1"/>
      <c r="F41" s="1"/>
      <c r="G41" s="1"/>
      <c r="H41" s="1"/>
      <c r="I41" s="1"/>
      <c r="J41" s="1"/>
      <c r="K41" s="1"/>
    </row>
    <row r="42" ht="14.25" customHeight="1">
      <c r="A42" s="1496" t="s">
        <v>1</v>
      </c>
      <c r="B42" s="210">
        <v>4000.0</v>
      </c>
      <c r="C42" s="210">
        <v>1000.0</v>
      </c>
      <c r="D42" s="216" t="s">
        <v>18</v>
      </c>
      <c r="E42" s="1"/>
      <c r="F42" s="1"/>
      <c r="G42" s="1"/>
      <c r="H42" s="1"/>
      <c r="I42" s="1"/>
      <c r="J42" s="1"/>
      <c r="K42" s="1"/>
    </row>
    <row r="43" ht="14.25" customHeight="1">
      <c r="A43" s="1061" t="s">
        <v>1720</v>
      </c>
      <c r="B43" s="1498">
        <v>200.0</v>
      </c>
      <c r="C43" s="992">
        <f t="shared" ref="C43:C55" si="5">(B43*C42)/B42</f>
        <v>50</v>
      </c>
      <c r="D43" s="352" t="s">
        <v>18</v>
      </c>
      <c r="E43" s="1"/>
      <c r="F43" s="1"/>
      <c r="G43" s="1"/>
      <c r="H43" s="1"/>
      <c r="I43" s="1"/>
      <c r="J43" s="1"/>
      <c r="K43" s="1"/>
    </row>
    <row r="44" ht="14.25" customHeight="1">
      <c r="A44" s="1061" t="s">
        <v>345</v>
      </c>
      <c r="B44" s="1498">
        <v>0.25</v>
      </c>
      <c r="C44" s="992">
        <f t="shared" si="5"/>
        <v>0.0625</v>
      </c>
      <c r="D44" s="352" t="s">
        <v>14</v>
      </c>
      <c r="E44" s="1"/>
      <c r="F44" s="1"/>
      <c r="G44" s="1"/>
      <c r="H44" s="1"/>
      <c r="I44" s="1"/>
      <c r="J44" s="1"/>
      <c r="K44" s="1"/>
    </row>
    <row r="45" ht="14.25" customHeight="1">
      <c r="A45" s="1061" t="s">
        <v>311</v>
      </c>
      <c r="B45" s="1498">
        <v>0.1</v>
      </c>
      <c r="C45" s="992">
        <f t="shared" si="5"/>
        <v>0.025</v>
      </c>
      <c r="D45" s="352" t="s">
        <v>14</v>
      </c>
      <c r="E45" s="1"/>
      <c r="F45" s="1"/>
      <c r="G45" s="1"/>
      <c r="H45" s="1"/>
      <c r="I45" s="1"/>
      <c r="J45" s="1"/>
      <c r="K45" s="1"/>
    </row>
    <row r="46" ht="14.25" customHeight="1">
      <c r="A46" s="1061" t="s">
        <v>1722</v>
      </c>
      <c r="B46" s="1498">
        <v>50.0</v>
      </c>
      <c r="C46" s="992">
        <f t="shared" si="5"/>
        <v>12.5</v>
      </c>
      <c r="D46" s="352" t="s">
        <v>18</v>
      </c>
      <c r="E46" s="1"/>
      <c r="F46" s="1"/>
      <c r="G46" s="1"/>
      <c r="H46" s="1"/>
      <c r="I46" s="1"/>
      <c r="J46" s="1"/>
      <c r="K46" s="1"/>
    </row>
    <row r="47" ht="14.25" customHeight="1">
      <c r="A47" s="1061" t="s">
        <v>1723</v>
      </c>
      <c r="B47" s="1498">
        <v>250.0</v>
      </c>
      <c r="C47" s="992">
        <f t="shared" si="5"/>
        <v>62.5</v>
      </c>
      <c r="D47" s="352" t="s">
        <v>18</v>
      </c>
      <c r="E47" s="1"/>
      <c r="F47" s="1"/>
      <c r="G47" s="1"/>
      <c r="H47" s="1"/>
      <c r="I47" s="1"/>
      <c r="J47" s="1"/>
      <c r="K47" s="1"/>
    </row>
    <row r="48" ht="14.25" customHeight="1">
      <c r="A48" s="1061" t="s">
        <v>1241</v>
      </c>
      <c r="B48" s="1498">
        <v>1000.0</v>
      </c>
      <c r="C48" s="992">
        <f t="shared" si="5"/>
        <v>250</v>
      </c>
      <c r="D48" s="352" t="s">
        <v>18</v>
      </c>
      <c r="E48" s="1"/>
      <c r="F48" s="1"/>
      <c r="G48" s="1"/>
      <c r="H48" s="1"/>
      <c r="I48" s="1"/>
      <c r="J48" s="1"/>
      <c r="K48" s="1"/>
    </row>
    <row r="49" ht="14.25" customHeight="1">
      <c r="A49" s="1061" t="s">
        <v>63</v>
      </c>
      <c r="B49" s="1498">
        <v>100.0</v>
      </c>
      <c r="C49" s="992">
        <f t="shared" si="5"/>
        <v>25</v>
      </c>
      <c r="D49" s="352" t="s">
        <v>18</v>
      </c>
      <c r="E49" s="1"/>
      <c r="F49" s="1"/>
      <c r="G49" s="1"/>
      <c r="H49" s="1"/>
      <c r="I49" s="1"/>
      <c r="J49" s="1"/>
      <c r="K49" s="1"/>
    </row>
    <row r="50" ht="14.25" customHeight="1">
      <c r="A50" s="1061" t="s">
        <v>98</v>
      </c>
      <c r="B50" s="1498">
        <v>250.0</v>
      </c>
      <c r="C50" s="992">
        <f t="shared" si="5"/>
        <v>62.5</v>
      </c>
      <c r="D50" s="352" t="s">
        <v>18</v>
      </c>
      <c r="E50" s="1"/>
      <c r="F50" s="1"/>
      <c r="G50" s="1"/>
      <c r="H50" s="1"/>
      <c r="I50" s="1"/>
      <c r="J50" s="1"/>
      <c r="K50" s="1"/>
    </row>
    <row r="51" ht="14.25" customHeight="1">
      <c r="A51" s="1061" t="s">
        <v>884</v>
      </c>
      <c r="B51" s="1498">
        <v>250.0</v>
      </c>
      <c r="C51" s="992">
        <f t="shared" si="5"/>
        <v>62.5</v>
      </c>
      <c r="D51" s="352" t="s">
        <v>18</v>
      </c>
      <c r="E51" s="1"/>
      <c r="F51" s="1"/>
      <c r="G51" s="1"/>
      <c r="H51" s="1"/>
      <c r="I51" s="1"/>
      <c r="J51" s="1"/>
      <c r="K51" s="1"/>
    </row>
    <row r="52" ht="14.25" customHeight="1">
      <c r="A52" s="1061" t="s">
        <v>103</v>
      </c>
      <c r="B52" s="1498">
        <v>50.0</v>
      </c>
      <c r="C52" s="992">
        <f t="shared" si="5"/>
        <v>12.5</v>
      </c>
      <c r="D52" s="352" t="s">
        <v>18</v>
      </c>
      <c r="E52" s="1"/>
      <c r="F52" s="1"/>
      <c r="G52" s="1"/>
      <c r="H52" s="1"/>
      <c r="I52" s="1"/>
      <c r="J52" s="1"/>
      <c r="K52" s="1"/>
    </row>
    <row r="53" ht="14.25" customHeight="1">
      <c r="A53" s="1061" t="s">
        <v>101</v>
      </c>
      <c r="B53" s="1498">
        <v>0.5</v>
      </c>
      <c r="C53" s="992">
        <f t="shared" si="5"/>
        <v>0.125</v>
      </c>
      <c r="D53" s="352" t="s">
        <v>5</v>
      </c>
      <c r="E53" s="1"/>
      <c r="F53" s="1"/>
      <c r="G53" s="1"/>
      <c r="H53" s="1"/>
      <c r="I53" s="1"/>
      <c r="J53" s="1"/>
      <c r="K53" s="1"/>
    </row>
    <row r="54" ht="14.25" customHeight="1">
      <c r="A54" s="1061" t="s">
        <v>1726</v>
      </c>
      <c r="B54" s="1498">
        <v>1000.0</v>
      </c>
      <c r="C54" s="992">
        <f t="shared" si="5"/>
        <v>250</v>
      </c>
      <c r="D54" s="352" t="s">
        <v>18</v>
      </c>
      <c r="E54" s="1"/>
      <c r="F54" s="1"/>
      <c r="G54" s="1"/>
      <c r="H54" s="1"/>
      <c r="I54" s="1"/>
      <c r="J54" s="1"/>
      <c r="K54" s="1"/>
    </row>
    <row r="55" ht="14.25" customHeight="1">
      <c r="A55" s="1065" t="s">
        <v>162</v>
      </c>
      <c r="B55" s="1502">
        <v>500.0</v>
      </c>
      <c r="C55" s="981">
        <f t="shared" si="5"/>
        <v>125</v>
      </c>
      <c r="D55" s="1475" t="s">
        <v>18</v>
      </c>
      <c r="E55" s="1"/>
      <c r="F55" s="1"/>
      <c r="G55" s="1"/>
      <c r="H55" s="1"/>
      <c r="I55" s="1"/>
      <c r="J55" s="1"/>
      <c r="K55" s="1"/>
    </row>
    <row r="56" ht="14.25" customHeight="1">
      <c r="A56" s="1476" t="s">
        <v>42</v>
      </c>
      <c r="B56" s="85" t="s">
        <v>47</v>
      </c>
      <c r="C56" s="7"/>
      <c r="D56" s="7"/>
      <c r="E56" s="1"/>
      <c r="F56" s="1"/>
      <c r="G56" s="1"/>
      <c r="H56" s="1"/>
      <c r="I56" s="1"/>
      <c r="J56" s="1"/>
      <c r="K56" s="1"/>
    </row>
    <row r="57" ht="14.25" customHeight="1">
      <c r="A57" s="1503" t="s">
        <v>1730</v>
      </c>
      <c r="B57" s="1504"/>
      <c r="C57" s="1504"/>
      <c r="D57" s="1504"/>
      <c r="E57" s="1"/>
      <c r="F57" s="1"/>
      <c r="G57" s="1"/>
      <c r="H57" s="1"/>
      <c r="I57" s="1"/>
      <c r="J57" s="1"/>
      <c r="K57" s="1"/>
    </row>
    <row r="58" ht="14.25" customHeight="1">
      <c r="A58" s="758" t="s">
        <v>1731</v>
      </c>
      <c r="B58" s="5"/>
      <c r="C58" s="5"/>
      <c r="D58" s="6"/>
      <c r="E58" s="578"/>
      <c r="F58" s="1"/>
      <c r="G58" s="1"/>
      <c r="H58" s="1"/>
      <c r="I58" s="1"/>
      <c r="J58" s="1"/>
      <c r="K58" s="1"/>
    </row>
    <row r="59" ht="14.25" customHeight="1">
      <c r="A59" s="25" t="s">
        <v>1</v>
      </c>
      <c r="B59" s="314">
        <v>10.0</v>
      </c>
      <c r="C59" s="314">
        <v>1.0</v>
      </c>
      <c r="D59" s="1505" t="s">
        <v>14</v>
      </c>
      <c r="E59" s="1506"/>
      <c r="F59" s="1"/>
      <c r="G59" s="1"/>
      <c r="H59" s="1"/>
      <c r="I59" s="1"/>
      <c r="J59" s="1"/>
      <c r="K59" s="1"/>
    </row>
    <row r="60" ht="14.25" customHeight="1">
      <c r="A60" s="163" t="s">
        <v>91</v>
      </c>
      <c r="B60" s="285">
        <v>0.4</v>
      </c>
      <c r="C60" s="210">
        <f t="shared" ref="C60:C77" si="6">(B60*C59)/B59</f>
        <v>0.04</v>
      </c>
      <c r="D60" s="991" t="s">
        <v>5</v>
      </c>
      <c r="E60" s="92" t="s">
        <v>1735</v>
      </c>
      <c r="F60" s="1"/>
      <c r="G60" s="1"/>
      <c r="H60" s="1"/>
      <c r="I60" s="1"/>
      <c r="J60" s="7"/>
      <c r="K60" s="1"/>
    </row>
    <row r="61" ht="14.25" customHeight="1">
      <c r="A61" s="177" t="s">
        <v>1237</v>
      </c>
      <c r="B61" s="321">
        <v>200.0</v>
      </c>
      <c r="C61" s="247">
        <f t="shared" si="6"/>
        <v>20</v>
      </c>
      <c r="D61" s="993" t="s">
        <v>18</v>
      </c>
      <c r="E61" s="98"/>
      <c r="F61" s="1"/>
      <c r="G61" s="1"/>
      <c r="H61" s="1"/>
      <c r="I61" s="1"/>
      <c r="J61" s="7"/>
      <c r="K61" s="1"/>
    </row>
    <row r="62" ht="14.25" customHeight="1">
      <c r="A62" s="177" t="s">
        <v>1736</v>
      </c>
      <c r="B62" s="321">
        <v>600.0</v>
      </c>
      <c r="C62" s="247">
        <f t="shared" si="6"/>
        <v>60</v>
      </c>
      <c r="D62" s="993" t="s">
        <v>18</v>
      </c>
      <c r="E62" s="98"/>
      <c r="F62" s="1"/>
      <c r="G62" s="1"/>
      <c r="H62" s="1"/>
      <c r="I62" s="1"/>
      <c r="J62" s="7"/>
      <c r="K62" s="1"/>
    </row>
    <row r="63" ht="14.25" customHeight="1">
      <c r="A63" s="1239" t="s">
        <v>162</v>
      </c>
      <c r="B63" s="198">
        <v>1600.0</v>
      </c>
      <c r="C63" s="198">
        <f t="shared" si="6"/>
        <v>160</v>
      </c>
      <c r="D63" s="993" t="s">
        <v>18</v>
      </c>
      <c r="E63" s="98"/>
      <c r="F63" s="1"/>
      <c r="G63" s="1"/>
      <c r="H63" s="1"/>
      <c r="I63" s="1"/>
      <c r="J63" s="7"/>
      <c r="K63" s="1"/>
    </row>
    <row r="64" ht="14.25" customHeight="1">
      <c r="A64" s="208" t="s">
        <v>52</v>
      </c>
      <c r="B64" s="211">
        <v>400.0</v>
      </c>
      <c r="C64" s="211">
        <f t="shared" si="6"/>
        <v>40</v>
      </c>
      <c r="D64" s="996" t="s">
        <v>18</v>
      </c>
      <c r="E64" s="115"/>
      <c r="F64" s="1"/>
      <c r="G64" s="1"/>
      <c r="H64" s="1"/>
      <c r="I64" s="1"/>
      <c r="J64" s="7"/>
      <c r="K64" s="1"/>
    </row>
    <row r="65" ht="14.25" customHeight="1">
      <c r="A65" s="1236" t="s">
        <v>884</v>
      </c>
      <c r="B65" s="285">
        <v>200.0</v>
      </c>
      <c r="C65" s="210">
        <f t="shared" si="6"/>
        <v>20</v>
      </c>
      <c r="D65" s="991" t="s">
        <v>18</v>
      </c>
      <c r="E65" s="92" t="s">
        <v>1737</v>
      </c>
      <c r="F65" s="1"/>
      <c r="G65" s="1"/>
      <c r="H65" s="1"/>
      <c r="I65" s="1"/>
      <c r="J65" s="7"/>
      <c r="K65" s="1"/>
    </row>
    <row r="66" ht="14.25" customHeight="1">
      <c r="A66" s="1239" t="s">
        <v>1241</v>
      </c>
      <c r="B66" s="198">
        <v>1800.0</v>
      </c>
      <c r="C66" s="321">
        <f t="shared" si="6"/>
        <v>180</v>
      </c>
      <c r="D66" s="993" t="s">
        <v>18</v>
      </c>
      <c r="E66" s="98"/>
      <c r="F66" s="1"/>
      <c r="G66" s="1"/>
      <c r="H66" s="1"/>
      <c r="I66" s="1"/>
      <c r="J66" s="7"/>
      <c r="K66" s="1"/>
    </row>
    <row r="67" ht="14.25" customHeight="1">
      <c r="A67" s="177" t="s">
        <v>98</v>
      </c>
      <c r="B67" s="198">
        <v>600.0</v>
      </c>
      <c r="C67" s="198">
        <f t="shared" si="6"/>
        <v>60</v>
      </c>
      <c r="D67" s="993" t="s">
        <v>18</v>
      </c>
      <c r="E67" s="98"/>
      <c r="F67" s="1"/>
      <c r="G67" s="1"/>
      <c r="H67" s="1"/>
      <c r="I67" s="1"/>
      <c r="J67" s="7"/>
      <c r="K67" s="1"/>
    </row>
    <row r="68" ht="14.25" customHeight="1">
      <c r="A68" s="1239" t="s">
        <v>1664</v>
      </c>
      <c r="B68" s="198">
        <v>600.0</v>
      </c>
      <c r="C68" s="198">
        <f t="shared" si="6"/>
        <v>60</v>
      </c>
      <c r="D68" s="993" t="s">
        <v>18</v>
      </c>
      <c r="E68" s="98"/>
      <c r="F68" s="1"/>
      <c r="G68" s="1"/>
      <c r="H68" s="1"/>
      <c r="I68" s="1"/>
      <c r="J68" s="7"/>
      <c r="K68" s="1"/>
    </row>
    <row r="69" ht="14.25" customHeight="1">
      <c r="A69" s="208" t="s">
        <v>1738</v>
      </c>
      <c r="B69" s="211">
        <v>0.2</v>
      </c>
      <c r="C69" s="211">
        <f t="shared" si="6"/>
        <v>0.02</v>
      </c>
      <c r="D69" s="996" t="s">
        <v>5</v>
      </c>
      <c r="E69" s="98"/>
      <c r="F69" s="1"/>
      <c r="G69" s="1"/>
      <c r="H69" s="1"/>
      <c r="I69" s="1"/>
      <c r="J69" s="7"/>
      <c r="K69" s="1"/>
    </row>
    <row r="70" ht="14.25" customHeight="1">
      <c r="A70" s="251" t="s">
        <v>1243</v>
      </c>
      <c r="B70" s="1047">
        <v>200.0</v>
      </c>
      <c r="C70" s="541">
        <f t="shared" si="6"/>
        <v>20</v>
      </c>
      <c r="D70" s="1006" t="s">
        <v>18</v>
      </c>
      <c r="E70" s="115"/>
      <c r="F70" s="1"/>
      <c r="G70" s="1"/>
      <c r="H70" s="1"/>
      <c r="I70" s="1"/>
      <c r="J70" s="7"/>
      <c r="K70" s="1"/>
    </row>
    <row r="71" ht="14.25" customHeight="1">
      <c r="A71" s="1509" t="s">
        <v>345</v>
      </c>
      <c r="B71" s="1510">
        <v>1.6</v>
      </c>
      <c r="C71" s="1511">
        <f t="shared" si="6"/>
        <v>0.16</v>
      </c>
      <c r="D71" s="1512" t="s">
        <v>14</v>
      </c>
      <c r="E71" s="92" t="s">
        <v>1740</v>
      </c>
      <c r="F71" s="1"/>
      <c r="G71" s="1"/>
      <c r="H71" s="1"/>
      <c r="I71" s="1"/>
      <c r="J71" s="7"/>
      <c r="K71" s="1"/>
    </row>
    <row r="72" ht="14.25" customHeight="1">
      <c r="A72" s="1513" t="s">
        <v>792</v>
      </c>
      <c r="B72" s="1514">
        <v>0.8</v>
      </c>
      <c r="C72" s="1515">
        <f t="shared" si="6"/>
        <v>0.08</v>
      </c>
      <c r="D72" s="1516" t="s">
        <v>14</v>
      </c>
      <c r="E72" s="98"/>
      <c r="F72" s="1"/>
      <c r="G72" s="1"/>
      <c r="H72" s="1"/>
      <c r="I72" s="1"/>
      <c r="J72" s="7"/>
      <c r="K72" s="1"/>
    </row>
    <row r="73" ht="15.75" customHeight="1">
      <c r="A73" s="1513" t="s">
        <v>311</v>
      </c>
      <c r="B73" s="1517">
        <v>0.8</v>
      </c>
      <c r="C73" s="1517">
        <f t="shared" si="6"/>
        <v>0.08</v>
      </c>
      <c r="D73" s="1516" t="s">
        <v>14</v>
      </c>
      <c r="E73" s="98"/>
      <c r="F73" s="1"/>
      <c r="G73" s="1"/>
      <c r="H73" s="1"/>
      <c r="I73" s="1"/>
      <c r="J73" s="7"/>
      <c r="K73" s="1"/>
    </row>
    <row r="74" ht="14.25" customHeight="1">
      <c r="A74" s="1518" t="s">
        <v>53</v>
      </c>
      <c r="B74" s="1519">
        <v>0.6</v>
      </c>
      <c r="C74" s="1519">
        <f t="shared" si="6"/>
        <v>0.06</v>
      </c>
      <c r="D74" s="1520" t="s">
        <v>14</v>
      </c>
      <c r="E74" s="115"/>
      <c r="F74" s="1"/>
      <c r="G74" s="20"/>
      <c r="H74" s="20"/>
      <c r="I74" s="20"/>
      <c r="J74" s="7"/>
      <c r="K74" s="1"/>
    </row>
    <row r="75" ht="14.25" customHeight="1">
      <c r="A75" s="1242" t="s">
        <v>345</v>
      </c>
      <c r="B75" s="817">
        <v>2.2</v>
      </c>
      <c r="C75" s="1521">
        <f t="shared" si="6"/>
        <v>0.22</v>
      </c>
      <c r="D75" s="1522" t="s">
        <v>18</v>
      </c>
      <c r="E75" s="92" t="s">
        <v>1740</v>
      </c>
      <c r="F75" s="1523" t="s">
        <v>1742</v>
      </c>
      <c r="G75" s="1524"/>
      <c r="H75" s="1524"/>
      <c r="I75" s="1524"/>
      <c r="J75" s="1524"/>
      <c r="K75" s="1"/>
    </row>
    <row r="76" ht="16.5" customHeight="1">
      <c r="A76" s="1529" t="s">
        <v>792</v>
      </c>
      <c r="B76" s="1530">
        <v>1000.0</v>
      </c>
      <c r="C76" s="1531">
        <f t="shared" si="6"/>
        <v>100</v>
      </c>
      <c r="D76" s="1532" t="s">
        <v>18</v>
      </c>
      <c r="E76" s="98"/>
      <c r="F76" s="66"/>
      <c r="G76" s="1"/>
      <c r="H76" s="1"/>
      <c r="I76" s="1"/>
      <c r="J76" s="1"/>
      <c r="K76" s="1"/>
    </row>
    <row r="77" ht="16.5" customHeight="1">
      <c r="A77" s="1533" t="s">
        <v>53</v>
      </c>
      <c r="B77" s="1534">
        <v>600.0</v>
      </c>
      <c r="C77" s="1534">
        <f t="shared" si="6"/>
        <v>60</v>
      </c>
      <c r="D77" s="1535" t="s">
        <v>18</v>
      </c>
      <c r="E77" s="115"/>
      <c r="F77" s="106"/>
      <c r="G77" s="1"/>
      <c r="H77" s="1"/>
      <c r="I77" s="1"/>
      <c r="J77" s="1"/>
      <c r="K77" s="1"/>
    </row>
    <row r="78" ht="14.25" customHeight="1">
      <c r="A78" s="1476" t="s">
        <v>42</v>
      </c>
      <c r="B78" s="85" t="s">
        <v>47</v>
      </c>
      <c r="C78" s="1"/>
      <c r="D78" s="1"/>
      <c r="E78" s="1"/>
      <c r="F78" s="1"/>
      <c r="G78" s="1"/>
      <c r="H78" s="1"/>
      <c r="I78" s="1"/>
      <c r="J78" s="1"/>
      <c r="K78" s="1"/>
    </row>
    <row r="79" ht="14.25" customHeight="1">
      <c r="A79" s="1536" t="s">
        <v>1749</v>
      </c>
      <c r="B79" s="18"/>
      <c r="C79" s="19"/>
      <c r="D79" s="1"/>
      <c r="E79" s="1"/>
      <c r="F79" s="1"/>
      <c r="G79" s="1"/>
      <c r="H79" s="1"/>
      <c r="I79" s="1"/>
      <c r="J79" s="1"/>
      <c r="K79" s="1"/>
    </row>
    <row r="80" ht="14.25" customHeight="1">
      <c r="A80" s="1537" t="s">
        <v>186</v>
      </c>
      <c r="B80" s="1538">
        <v>41174.0</v>
      </c>
      <c r="C80" s="1"/>
      <c r="D80" s="1"/>
      <c r="E80" s="1"/>
      <c r="F80" s="1"/>
      <c r="G80" s="1"/>
      <c r="H80" s="1"/>
      <c r="I80" s="1"/>
      <c r="J80" s="1"/>
      <c r="K80" s="1"/>
    </row>
    <row r="81" ht="14.25" customHeight="1">
      <c r="A81" s="1539" t="s">
        <v>50</v>
      </c>
      <c r="B81" s="1540">
        <v>41565.0</v>
      </c>
      <c r="C81" s="1"/>
      <c r="D81" s="1"/>
      <c r="E81" s="1"/>
      <c r="F81" s="1"/>
      <c r="G81" s="1"/>
      <c r="H81" s="1"/>
      <c r="I81" s="1"/>
      <c r="J81" s="1"/>
      <c r="K81" s="1"/>
    </row>
    <row r="82" ht="14.25" customHeight="1">
      <c r="A82" s="1"/>
      <c r="B82" s="1"/>
      <c r="C82" s="1"/>
      <c r="D82" s="1"/>
      <c r="E82" s="1"/>
      <c r="F82" s="1"/>
      <c r="G82" s="1"/>
      <c r="H82" s="1"/>
      <c r="I82" s="1"/>
      <c r="J82" s="1"/>
      <c r="K82" s="1"/>
    </row>
    <row r="83" ht="14.25" customHeight="1">
      <c r="A83" s="1326" t="s">
        <v>486</v>
      </c>
      <c r="B83" s="18"/>
      <c r="C83" s="18"/>
      <c r="D83" s="19"/>
      <c r="E83" s="1"/>
      <c r="F83" s="1"/>
      <c r="G83" s="1"/>
      <c r="H83" s="1"/>
      <c r="I83" s="1"/>
      <c r="J83" s="1"/>
      <c r="K83" s="1"/>
    </row>
    <row r="84" ht="14.25" customHeight="1">
      <c r="A84" s="51" t="s">
        <v>1750</v>
      </c>
      <c r="B84" s="53">
        <v>1000.0</v>
      </c>
      <c r="C84" s="53">
        <v>800.0</v>
      </c>
      <c r="D84" s="514" t="s">
        <v>18</v>
      </c>
      <c r="E84" s="1"/>
      <c r="F84" s="1"/>
      <c r="G84" s="1"/>
      <c r="H84" s="1"/>
      <c r="I84" s="1"/>
      <c r="J84" s="1"/>
      <c r="K84" s="1"/>
    </row>
    <row r="85" ht="14.25" customHeight="1">
      <c r="A85" s="68" t="s">
        <v>98</v>
      </c>
      <c r="B85" s="210">
        <v>225.0</v>
      </c>
      <c r="C85" s="976">
        <f t="shared" ref="C85:C89" si="7">(B85*C84)/B84</f>
        <v>180</v>
      </c>
      <c r="D85" s="216" t="s">
        <v>18</v>
      </c>
      <c r="E85" s="1541" t="s">
        <v>218</v>
      </c>
      <c r="F85" s="1"/>
      <c r="G85" s="1"/>
      <c r="H85" s="1"/>
      <c r="I85" s="1"/>
      <c r="J85" s="1"/>
      <c r="K85" s="1"/>
    </row>
    <row r="86" ht="14.25" customHeight="1">
      <c r="A86" s="93" t="s">
        <v>97</v>
      </c>
      <c r="B86" s="247">
        <v>325.0</v>
      </c>
      <c r="C86" s="992">
        <f t="shared" si="7"/>
        <v>260</v>
      </c>
      <c r="D86" s="249" t="s">
        <v>18</v>
      </c>
      <c r="E86" s="47"/>
      <c r="F86" s="1"/>
      <c r="G86" s="1"/>
      <c r="H86" s="1"/>
      <c r="I86" s="1"/>
      <c r="J86" s="1"/>
      <c r="K86" s="1"/>
    </row>
    <row r="87" ht="14.25" customHeight="1">
      <c r="A87" s="93" t="s">
        <v>1664</v>
      </c>
      <c r="B87" s="247">
        <v>200.0</v>
      </c>
      <c r="C87" s="992">
        <f t="shared" si="7"/>
        <v>160</v>
      </c>
      <c r="D87" s="249" t="s">
        <v>18</v>
      </c>
      <c r="E87" s="47"/>
      <c r="F87" s="1"/>
      <c r="G87" s="1"/>
      <c r="H87" s="1"/>
      <c r="I87" s="1"/>
      <c r="J87" s="1"/>
      <c r="K87" s="1"/>
    </row>
    <row r="88" ht="14.25" customHeight="1">
      <c r="A88" s="93" t="s">
        <v>1751</v>
      </c>
      <c r="B88" s="247">
        <v>150.0</v>
      </c>
      <c r="C88" s="992">
        <f t="shared" si="7"/>
        <v>120</v>
      </c>
      <c r="D88" s="249" t="s">
        <v>18</v>
      </c>
      <c r="E88" s="47"/>
      <c r="F88" s="1"/>
      <c r="G88" s="1"/>
      <c r="H88" s="1"/>
      <c r="I88" s="1"/>
      <c r="J88" s="1"/>
      <c r="K88" s="1"/>
    </row>
    <row r="89" ht="14.25" customHeight="1">
      <c r="A89" s="105" t="s">
        <v>63</v>
      </c>
      <c r="B89" s="522">
        <v>100.0</v>
      </c>
      <c r="C89" s="981">
        <f t="shared" si="7"/>
        <v>80</v>
      </c>
      <c r="D89" s="518" t="s">
        <v>18</v>
      </c>
      <c r="E89" s="76"/>
      <c r="F89" s="1"/>
      <c r="G89" s="1"/>
      <c r="H89" s="1"/>
      <c r="I89" s="1"/>
      <c r="J89" s="1"/>
      <c r="K89" s="1"/>
    </row>
    <row r="90" ht="14.25" customHeight="1">
      <c r="A90" s="1476" t="s">
        <v>42</v>
      </c>
      <c r="B90" s="85" t="s">
        <v>47</v>
      </c>
      <c r="C90" s="1"/>
      <c r="D90" s="1"/>
      <c r="E90" s="1"/>
      <c r="F90" s="1"/>
      <c r="G90" s="1"/>
      <c r="H90" s="1"/>
      <c r="I90" s="1"/>
      <c r="J90" s="1"/>
      <c r="K90" s="1"/>
    </row>
    <row r="91" ht="14.25" customHeight="1">
      <c r="A91" s="1"/>
      <c r="B91" s="1"/>
      <c r="C91" s="1"/>
      <c r="D91" s="1"/>
      <c r="E91" s="1"/>
      <c r="F91" s="1"/>
      <c r="G91" s="1"/>
      <c r="H91" s="1"/>
      <c r="I91" s="1"/>
      <c r="J91" s="1"/>
      <c r="K91" s="1"/>
    </row>
    <row r="92" ht="14.25" customHeight="1">
      <c r="A92" s="1495" t="s">
        <v>516</v>
      </c>
      <c r="B92" s="5"/>
      <c r="C92" s="5"/>
      <c r="D92" s="6"/>
      <c r="E92" s="1"/>
      <c r="F92" s="1"/>
      <c r="G92" s="1"/>
      <c r="H92" s="1"/>
      <c r="I92" s="1"/>
      <c r="J92" s="1"/>
      <c r="K92" s="1"/>
    </row>
    <row r="93" ht="14.25" customHeight="1">
      <c r="A93" s="63"/>
      <c r="D93" s="66"/>
      <c r="E93" s="1"/>
      <c r="F93" s="1"/>
      <c r="G93" s="1"/>
      <c r="H93" s="1"/>
      <c r="I93" s="1"/>
      <c r="J93" s="1"/>
      <c r="K93" s="1"/>
    </row>
    <row r="94" ht="14.25" customHeight="1">
      <c r="A94" s="1496" t="s">
        <v>1</v>
      </c>
      <c r="B94" s="210">
        <v>1.5</v>
      </c>
      <c r="C94" s="216" t="s">
        <v>1752</v>
      </c>
      <c r="D94" s="841"/>
      <c r="E94" s="1"/>
      <c r="F94" s="1"/>
      <c r="G94" s="1"/>
      <c r="H94" s="1"/>
      <c r="I94" s="1"/>
      <c r="J94" s="1"/>
      <c r="K94" s="1"/>
    </row>
    <row r="95" ht="14.25" customHeight="1">
      <c r="A95" s="350" t="s">
        <v>1753</v>
      </c>
      <c r="B95" s="1542">
        <v>2.0</v>
      </c>
      <c r="C95" s="352" t="s">
        <v>1364</v>
      </c>
      <c r="D95" s="1543"/>
      <c r="E95" s="1"/>
      <c r="F95" s="1"/>
      <c r="G95" s="1"/>
      <c r="H95" s="1"/>
      <c r="I95" s="1"/>
      <c r="J95" s="1"/>
      <c r="K95" s="1"/>
    </row>
    <row r="96" ht="14.25" customHeight="1">
      <c r="A96" s="350" t="s">
        <v>98</v>
      </c>
      <c r="B96" s="1542">
        <v>1.0</v>
      </c>
      <c r="C96" s="352" t="s">
        <v>1364</v>
      </c>
      <c r="D96" s="1543"/>
      <c r="E96" s="1"/>
      <c r="F96" s="1"/>
      <c r="G96" s="1"/>
      <c r="H96" s="1"/>
      <c r="I96" s="1"/>
      <c r="J96" s="1"/>
      <c r="K96" s="1"/>
    </row>
    <row r="97" ht="14.25" customHeight="1">
      <c r="A97" s="350" t="s">
        <v>1754</v>
      </c>
      <c r="B97" s="1542">
        <v>0.25</v>
      </c>
      <c r="C97" s="352" t="s">
        <v>1364</v>
      </c>
      <c r="D97" s="1543"/>
      <c r="E97" s="1"/>
      <c r="F97" s="1"/>
      <c r="G97" s="1"/>
      <c r="H97" s="1"/>
      <c r="I97" s="1"/>
      <c r="J97" s="1"/>
      <c r="K97" s="1"/>
    </row>
    <row r="98" ht="14.25" customHeight="1">
      <c r="A98" s="350" t="s">
        <v>103</v>
      </c>
      <c r="B98" s="1542">
        <v>0.5</v>
      </c>
      <c r="C98" s="352" t="s">
        <v>1364</v>
      </c>
      <c r="D98" s="1543"/>
      <c r="E98" s="1"/>
      <c r="F98" s="1"/>
      <c r="G98" s="1"/>
      <c r="H98" s="1"/>
      <c r="I98" s="1"/>
      <c r="J98" s="1"/>
      <c r="K98" s="1"/>
    </row>
    <row r="99" ht="14.25" customHeight="1">
      <c r="A99" s="350" t="s">
        <v>884</v>
      </c>
      <c r="B99" s="1542">
        <v>0.5</v>
      </c>
      <c r="C99" s="352" t="s">
        <v>1364</v>
      </c>
      <c r="D99" s="1543"/>
      <c r="E99" s="1"/>
      <c r="F99" s="1"/>
      <c r="G99" s="1"/>
      <c r="H99" s="1"/>
      <c r="I99" s="1"/>
      <c r="J99" s="1"/>
      <c r="K99" s="1"/>
    </row>
    <row r="100" ht="14.25" customHeight="1">
      <c r="A100" s="350" t="s">
        <v>173</v>
      </c>
      <c r="B100" s="1542">
        <v>500.0</v>
      </c>
      <c r="C100" s="352" t="s">
        <v>18</v>
      </c>
      <c r="D100" s="1543"/>
      <c r="E100" s="1"/>
      <c r="F100" s="1"/>
      <c r="G100" s="1"/>
      <c r="H100" s="1"/>
      <c r="I100" s="1"/>
      <c r="J100" s="1"/>
      <c r="K100" s="1"/>
    </row>
    <row r="101" ht="14.25" customHeight="1">
      <c r="A101" s="350" t="s">
        <v>31</v>
      </c>
      <c r="B101" s="1542">
        <v>1.5</v>
      </c>
      <c r="C101" s="352" t="s">
        <v>1364</v>
      </c>
      <c r="D101" s="1543"/>
      <c r="E101" s="1"/>
      <c r="F101" s="1"/>
      <c r="G101" s="1"/>
      <c r="H101" s="1"/>
      <c r="I101" s="1"/>
      <c r="J101" s="1"/>
      <c r="K101" s="1"/>
    </row>
    <row r="102" ht="14.25" customHeight="1">
      <c r="A102" s="350" t="s">
        <v>52</v>
      </c>
      <c r="B102" s="1542">
        <v>0.5</v>
      </c>
      <c r="C102" s="352" t="s">
        <v>1364</v>
      </c>
      <c r="D102" s="1543"/>
      <c r="E102" s="1"/>
      <c r="F102" s="1"/>
      <c r="G102" s="1"/>
      <c r="H102" s="1"/>
      <c r="I102" s="1"/>
      <c r="J102" s="1"/>
      <c r="K102" s="1"/>
    </row>
    <row r="103" ht="14.25" customHeight="1">
      <c r="A103" s="1544" t="s">
        <v>1755</v>
      </c>
      <c r="B103" s="1542"/>
      <c r="C103" s="352"/>
      <c r="D103" s="1543"/>
      <c r="E103" s="1"/>
      <c r="F103" s="1"/>
      <c r="G103" s="1"/>
      <c r="H103" s="1"/>
      <c r="I103" s="1"/>
      <c r="J103" s="1"/>
      <c r="K103" s="1"/>
    </row>
    <row r="104" ht="14.25" customHeight="1">
      <c r="A104" s="350" t="s">
        <v>91</v>
      </c>
      <c r="B104" s="1542">
        <v>0.75</v>
      </c>
      <c r="C104" s="352" t="s">
        <v>5</v>
      </c>
      <c r="D104" s="1543"/>
      <c r="E104" s="1"/>
      <c r="F104" s="1"/>
      <c r="G104" s="1"/>
      <c r="H104" s="1"/>
      <c r="I104" s="1"/>
      <c r="J104" s="1"/>
      <c r="K104" s="1"/>
    </row>
    <row r="105" ht="14.25" customHeight="1">
      <c r="A105" s="350" t="s">
        <v>97</v>
      </c>
      <c r="B105" s="1542">
        <v>0.5</v>
      </c>
      <c r="C105" s="352" t="s">
        <v>1364</v>
      </c>
      <c r="D105" s="1543"/>
      <c r="E105" s="1"/>
      <c r="F105" s="1"/>
      <c r="G105" s="1"/>
      <c r="H105" s="1"/>
      <c r="I105" s="1"/>
      <c r="J105" s="1"/>
      <c r="K105" s="1"/>
    </row>
    <row r="106" ht="14.25" customHeight="1">
      <c r="A106" s="350" t="s">
        <v>98</v>
      </c>
      <c r="B106" s="1542">
        <v>0.5</v>
      </c>
      <c r="C106" s="352" t="s">
        <v>1364</v>
      </c>
      <c r="D106" s="1543"/>
      <c r="E106" s="1"/>
      <c r="F106" s="1"/>
      <c r="G106" s="1"/>
      <c r="H106" s="1"/>
      <c r="I106" s="1"/>
      <c r="J106" s="1"/>
      <c r="K106" s="1"/>
    </row>
    <row r="107" ht="14.25" customHeight="1">
      <c r="A107" s="350" t="s">
        <v>390</v>
      </c>
      <c r="B107" s="1542">
        <v>3.0</v>
      </c>
      <c r="C107" s="352" t="s">
        <v>1364</v>
      </c>
      <c r="D107" s="1543"/>
      <c r="E107" s="1"/>
      <c r="F107" s="1"/>
      <c r="G107" s="1"/>
      <c r="H107" s="1"/>
      <c r="I107" s="1"/>
      <c r="J107" s="1"/>
      <c r="K107" s="1"/>
    </row>
    <row r="108" ht="14.25" customHeight="1">
      <c r="A108" s="606" t="s">
        <v>114</v>
      </c>
      <c r="B108" s="1545">
        <v>1.0</v>
      </c>
      <c r="C108" s="1475" t="s">
        <v>1756</v>
      </c>
      <c r="D108" s="1543"/>
      <c r="E108" s="1"/>
      <c r="F108" s="1"/>
      <c r="G108" s="1"/>
      <c r="H108" s="1"/>
      <c r="I108" s="1"/>
      <c r="J108" s="1"/>
      <c r="K108" s="1"/>
    </row>
    <row r="109" ht="14.25" customHeight="1">
      <c r="A109" s="1476" t="s">
        <v>42</v>
      </c>
      <c r="B109" s="85" t="s">
        <v>47</v>
      </c>
      <c r="C109" s="1547"/>
      <c r="D109" s="1"/>
      <c r="E109" s="1"/>
      <c r="F109" s="1"/>
      <c r="G109" s="1"/>
      <c r="H109" s="1"/>
      <c r="I109" s="1"/>
      <c r="J109" s="1"/>
      <c r="K109" s="1"/>
    </row>
    <row r="110" ht="14.25" customHeight="1">
      <c r="A110" s="20"/>
      <c r="B110" s="7"/>
      <c r="C110" s="1547"/>
      <c r="D110" s="1"/>
      <c r="E110" s="1"/>
      <c r="F110" s="1"/>
      <c r="G110" s="1"/>
      <c r="H110" s="1"/>
      <c r="I110" s="1"/>
      <c r="J110" s="1"/>
      <c r="K110" s="1"/>
    </row>
    <row r="111" ht="14.25" customHeight="1">
      <c r="A111" s="1"/>
      <c r="B111" s="1"/>
      <c r="C111" s="1"/>
      <c r="D111" s="1"/>
      <c r="E111" s="1"/>
      <c r="F111" s="1"/>
      <c r="G111" s="1"/>
      <c r="H111" s="1"/>
      <c r="I111" s="1"/>
      <c r="J111" s="1"/>
      <c r="K111" s="1"/>
    </row>
    <row r="112" ht="14.25" customHeight="1">
      <c r="A112" s="1"/>
      <c r="B112" s="1"/>
      <c r="C112" s="1"/>
      <c r="D112" s="1"/>
      <c r="E112" s="1"/>
      <c r="F112" s="20"/>
      <c r="G112" s="1"/>
      <c r="H112" s="1"/>
      <c r="I112" s="1"/>
      <c r="J112" s="1"/>
      <c r="K112" s="1"/>
    </row>
    <row r="113" ht="14.25" customHeight="1">
      <c r="A113" s="1"/>
      <c r="B113" s="1"/>
      <c r="C113" s="1"/>
      <c r="D113" s="7"/>
      <c r="E113" s="455"/>
      <c r="F113" s="1524"/>
      <c r="G113" s="1"/>
      <c r="H113" s="1"/>
      <c r="I113" s="1"/>
      <c r="J113" s="1"/>
      <c r="K113" s="1"/>
    </row>
    <row r="114" ht="14.25" customHeight="1">
      <c r="A114" s="97" t="s">
        <v>51</v>
      </c>
      <c r="B114" s="20"/>
      <c r="C114" s="20" t="s">
        <v>1757</v>
      </c>
      <c r="D114" s="455"/>
      <c r="E114" s="1"/>
      <c r="F114" s="1"/>
      <c r="G114" s="1"/>
      <c r="H114" s="1"/>
      <c r="I114" s="1"/>
      <c r="J114" s="1"/>
      <c r="K114" s="1"/>
    </row>
    <row r="115" ht="14.25" customHeight="1">
      <c r="A115" s="7" t="s">
        <v>1758</v>
      </c>
      <c r="B115" s="20"/>
      <c r="C115" s="20"/>
      <c r="D115" s="455"/>
      <c r="E115" s="1"/>
      <c r="F115" s="1"/>
      <c r="G115" s="1"/>
      <c r="H115" s="1"/>
      <c r="I115" s="1"/>
      <c r="J115" s="1"/>
      <c r="K115" s="1"/>
    </row>
    <row r="116" ht="14.25" customHeight="1">
      <c r="A116" s="7" t="s">
        <v>1759</v>
      </c>
      <c r="B116" s="20"/>
      <c r="C116" s="20"/>
      <c r="D116" s="455"/>
      <c r="E116" s="1"/>
      <c r="F116" s="1"/>
      <c r="G116" s="1"/>
      <c r="H116" s="1"/>
      <c r="I116" s="1"/>
      <c r="J116" s="1"/>
      <c r="K116" s="1"/>
    </row>
    <row r="117" ht="14.25" customHeight="1">
      <c r="A117" s="7" t="s">
        <v>1760</v>
      </c>
      <c r="B117" s="20"/>
      <c r="C117" s="20"/>
      <c r="D117" s="455"/>
      <c r="E117" s="1"/>
      <c r="F117" s="1"/>
      <c r="G117" s="1"/>
      <c r="H117" s="1"/>
      <c r="I117" s="1"/>
      <c r="J117" s="1"/>
      <c r="K117" s="1"/>
    </row>
    <row r="118" ht="14.25" customHeight="1">
      <c r="A118" s="7" t="s">
        <v>1761</v>
      </c>
      <c r="B118" s="20"/>
      <c r="C118" s="7"/>
      <c r="D118" s="1547"/>
      <c r="E118" s="1"/>
      <c r="F118" s="1"/>
      <c r="G118" s="1"/>
      <c r="H118" s="1"/>
      <c r="I118" s="1"/>
      <c r="J118" s="1"/>
      <c r="K118" s="1"/>
    </row>
    <row r="119" ht="14.25" customHeight="1">
      <c r="A119" s="7" t="s">
        <v>1762</v>
      </c>
      <c r="B119" s="20"/>
      <c r="C119" s="7"/>
      <c r="D119" s="1547"/>
      <c r="E119" s="1"/>
      <c r="F119" s="1"/>
      <c r="G119" s="1"/>
      <c r="H119" s="1"/>
      <c r="I119" s="1"/>
      <c r="J119" s="1"/>
      <c r="K119" s="1"/>
    </row>
    <row r="120" ht="14.25" customHeight="1">
      <c r="A120" s="1"/>
      <c r="B120" s="1"/>
      <c r="C120" s="1"/>
      <c r="D120" s="1"/>
      <c r="E120" s="1"/>
      <c r="F120" s="1"/>
      <c r="G120" s="1"/>
      <c r="H120" s="1"/>
      <c r="I120" s="1"/>
      <c r="J120" s="1"/>
      <c r="K120" s="1"/>
    </row>
    <row r="121" ht="14.25" customHeight="1">
      <c r="A121" s="1"/>
      <c r="B121" s="1"/>
      <c r="C121" s="1"/>
      <c r="D121" s="1"/>
      <c r="E121" s="1"/>
      <c r="F121" s="1"/>
      <c r="G121" s="1"/>
      <c r="H121" s="1"/>
      <c r="I121" s="1"/>
      <c r="J121" s="1"/>
      <c r="K121" s="1"/>
    </row>
    <row r="122" ht="14.25" customHeight="1">
      <c r="A122" s="1"/>
      <c r="B122" s="1"/>
      <c r="C122" s="1"/>
      <c r="D122" s="1"/>
      <c r="E122" s="1"/>
      <c r="F122" s="1"/>
      <c r="G122" s="1"/>
      <c r="H122" s="1"/>
      <c r="I122" s="1"/>
      <c r="J122" s="1"/>
      <c r="K122" s="1"/>
    </row>
    <row r="123" ht="14.25" customHeight="1">
      <c r="A123" s="511" t="s">
        <v>1763</v>
      </c>
      <c r="B123" s="18"/>
      <c r="C123" s="18"/>
      <c r="D123" s="19"/>
      <c r="E123" s="1548" t="s">
        <v>1764</v>
      </c>
      <c r="F123" s="1"/>
      <c r="G123" s="1"/>
      <c r="H123" s="1"/>
      <c r="I123" s="1"/>
      <c r="J123" s="1"/>
      <c r="K123" s="1"/>
    </row>
    <row r="124" ht="14.25" customHeight="1">
      <c r="A124" s="51" t="s">
        <v>1</v>
      </c>
      <c r="B124" s="190">
        <v>1.5</v>
      </c>
      <c r="C124" s="513">
        <v>0.5</v>
      </c>
      <c r="D124" s="514" t="s">
        <v>366</v>
      </c>
      <c r="E124" s="47"/>
      <c r="F124" s="1"/>
      <c r="G124" s="1"/>
      <c r="H124" s="1"/>
      <c r="I124" s="1"/>
      <c r="J124" s="1"/>
      <c r="K124" s="1"/>
    </row>
    <row r="125" ht="14.25" customHeight="1">
      <c r="A125" s="51" t="s">
        <v>1766</v>
      </c>
      <c r="B125" s="190">
        <v>1.0</v>
      </c>
      <c r="C125" s="513">
        <f t="shared" ref="C125:C127" si="8">(B125*C124)/B124</f>
        <v>0.3333333333</v>
      </c>
      <c r="D125" s="514" t="s">
        <v>14</v>
      </c>
      <c r="E125" s="76"/>
      <c r="F125" s="1"/>
      <c r="G125" s="1"/>
      <c r="H125" s="1"/>
      <c r="I125" s="1"/>
      <c r="J125" s="1"/>
      <c r="K125" s="1"/>
    </row>
    <row r="126" ht="14.25" customHeight="1">
      <c r="A126" s="68" t="s">
        <v>1767</v>
      </c>
      <c r="B126" s="145">
        <v>50.0</v>
      </c>
      <c r="C126" s="155">
        <f t="shared" si="8"/>
        <v>16.66666667</v>
      </c>
      <c r="D126" s="216" t="s">
        <v>18</v>
      </c>
      <c r="E126" s="1100" t="s">
        <v>1769</v>
      </c>
      <c r="F126" s="1"/>
      <c r="G126" s="1"/>
      <c r="H126" s="1"/>
      <c r="I126" s="1"/>
      <c r="J126" s="1"/>
      <c r="K126" s="1"/>
    </row>
    <row r="127" ht="14.25" customHeight="1">
      <c r="A127" s="93" t="s">
        <v>942</v>
      </c>
      <c r="B127" s="195">
        <v>50.0</v>
      </c>
      <c r="C127" s="78">
        <f t="shared" si="8"/>
        <v>16.66666667</v>
      </c>
      <c r="D127" s="249" t="s">
        <v>18</v>
      </c>
      <c r="E127" s="47"/>
      <c r="F127" s="1"/>
      <c r="G127" s="1"/>
      <c r="H127" s="1"/>
      <c r="I127" s="1"/>
      <c r="J127" s="1"/>
      <c r="K127" s="1"/>
    </row>
    <row r="128" ht="14.25" customHeight="1">
      <c r="A128" s="105" t="s">
        <v>1771</v>
      </c>
      <c r="B128" s="200">
        <v>50.0</v>
      </c>
      <c r="C128" s="56">
        <f>(B128*C126)/B126</f>
        <v>16.66666667</v>
      </c>
      <c r="D128" s="518" t="s">
        <v>18</v>
      </c>
      <c r="E128" s="47"/>
      <c r="F128" s="1"/>
      <c r="G128" s="1"/>
      <c r="H128" s="1"/>
      <c r="I128" s="1"/>
      <c r="J128" s="1"/>
      <c r="K128" s="1"/>
    </row>
    <row r="129" ht="14.25" customHeight="1">
      <c r="A129" s="68" t="s">
        <v>1773</v>
      </c>
      <c r="B129" s="145">
        <v>30.0</v>
      </c>
      <c r="C129" s="155">
        <f t="shared" ref="C129:C135" si="9">(B129*C128)/B128</f>
        <v>10</v>
      </c>
      <c r="D129" s="216" t="s">
        <v>18</v>
      </c>
      <c r="E129" s="47"/>
      <c r="F129" s="1"/>
      <c r="G129" s="1"/>
      <c r="H129" s="1"/>
      <c r="I129" s="1"/>
      <c r="J129" s="1"/>
      <c r="K129" s="1"/>
    </row>
    <row r="130" ht="14.25" customHeight="1">
      <c r="A130" s="93" t="s">
        <v>1774</v>
      </c>
      <c r="B130" s="195">
        <v>30.0</v>
      </c>
      <c r="C130" s="78">
        <f t="shared" si="9"/>
        <v>10</v>
      </c>
      <c r="D130" s="249" t="s">
        <v>18</v>
      </c>
      <c r="E130" s="47"/>
      <c r="F130" s="1"/>
      <c r="G130" s="1"/>
      <c r="H130" s="1"/>
      <c r="I130" s="1"/>
      <c r="J130" s="1"/>
      <c r="K130" s="1"/>
    </row>
    <row r="131" ht="14.25" customHeight="1">
      <c r="A131" s="93" t="s">
        <v>1775</v>
      </c>
      <c r="B131" s="195">
        <v>30.0</v>
      </c>
      <c r="C131" s="78">
        <f t="shared" si="9"/>
        <v>10</v>
      </c>
      <c r="D131" s="249" t="s">
        <v>18</v>
      </c>
      <c r="E131" s="47"/>
      <c r="F131" s="1" t="s">
        <v>1776</v>
      </c>
      <c r="G131" s="1"/>
      <c r="H131" s="1"/>
      <c r="I131" s="1"/>
      <c r="J131" s="1"/>
      <c r="K131" s="1"/>
    </row>
    <row r="132" ht="14.25" customHeight="1">
      <c r="A132" s="93" t="s">
        <v>1777</v>
      </c>
      <c r="B132" s="195">
        <v>50.0</v>
      </c>
      <c r="C132" s="78">
        <f t="shared" si="9"/>
        <v>16.66666667</v>
      </c>
      <c r="D132" s="249" t="s">
        <v>18</v>
      </c>
      <c r="E132" s="47"/>
      <c r="F132" s="1"/>
      <c r="G132" s="1"/>
      <c r="H132" s="1"/>
      <c r="I132" s="1"/>
      <c r="J132" s="1"/>
      <c r="K132" s="1"/>
    </row>
    <row r="133" ht="14.25" customHeight="1">
      <c r="A133" s="93" t="s">
        <v>1778</v>
      </c>
      <c r="B133" s="195">
        <v>25.0</v>
      </c>
      <c r="C133" s="78">
        <f t="shared" si="9"/>
        <v>8.333333333</v>
      </c>
      <c r="D133" s="249" t="s">
        <v>18</v>
      </c>
      <c r="E133" s="47"/>
      <c r="F133" s="1"/>
      <c r="G133" s="1"/>
      <c r="H133" s="1"/>
      <c r="I133" s="1"/>
      <c r="J133" s="1"/>
      <c r="K133" s="1"/>
    </row>
    <row r="134" ht="14.25" customHeight="1">
      <c r="A134" s="93" t="s">
        <v>1779</v>
      </c>
      <c r="B134" s="195">
        <v>25.0</v>
      </c>
      <c r="C134" s="78">
        <f t="shared" si="9"/>
        <v>8.333333333</v>
      </c>
      <c r="D134" s="249" t="s">
        <v>18</v>
      </c>
      <c r="E134" s="47"/>
      <c r="F134" s="1"/>
      <c r="G134" s="1"/>
      <c r="H134" s="1"/>
      <c r="I134" s="1"/>
      <c r="J134" s="1"/>
      <c r="K134" s="1"/>
    </row>
    <row r="135" ht="14.25" customHeight="1">
      <c r="A135" s="93" t="s">
        <v>1780</v>
      </c>
      <c r="B135" s="195">
        <v>25.0</v>
      </c>
      <c r="C135" s="78">
        <f t="shared" si="9"/>
        <v>8.333333333</v>
      </c>
      <c r="D135" s="249" t="s">
        <v>18</v>
      </c>
      <c r="E135" s="47"/>
      <c r="F135" s="1"/>
      <c r="G135" s="1"/>
      <c r="H135" s="1"/>
      <c r="I135" s="1"/>
      <c r="J135" s="1"/>
      <c r="K135" s="1"/>
    </row>
    <row r="136" ht="14.25" customHeight="1">
      <c r="A136" s="377" t="s">
        <v>97</v>
      </c>
      <c r="B136" s="195">
        <v>25.0</v>
      </c>
      <c r="C136" s="78">
        <f>(B136*C134)/B134</f>
        <v>8.333333333</v>
      </c>
      <c r="D136" s="249" t="s">
        <v>18</v>
      </c>
      <c r="E136" s="47"/>
      <c r="F136" s="1"/>
      <c r="G136" s="1"/>
      <c r="H136" s="1"/>
      <c r="I136" s="1"/>
      <c r="J136" s="1"/>
      <c r="K136" s="1"/>
    </row>
    <row r="137" ht="14.25" customHeight="1">
      <c r="A137" s="93" t="s">
        <v>98</v>
      </c>
      <c r="B137" s="195">
        <v>50.0</v>
      </c>
      <c r="C137" s="78">
        <f t="shared" ref="C137:C138" si="10">(B137*C136)/B136</f>
        <v>16.66666667</v>
      </c>
      <c r="D137" s="249" t="s">
        <v>82</v>
      </c>
      <c r="E137" s="47"/>
      <c r="F137" s="1"/>
      <c r="G137" s="1"/>
      <c r="H137" s="1"/>
      <c r="I137" s="1"/>
      <c r="J137" s="1"/>
      <c r="K137" s="1"/>
    </row>
    <row r="138" ht="14.25" customHeight="1">
      <c r="A138" s="105" t="s">
        <v>1781</v>
      </c>
      <c r="B138" s="200">
        <v>50.0</v>
      </c>
      <c r="C138" s="56">
        <f t="shared" si="10"/>
        <v>16.66666667</v>
      </c>
      <c r="D138" s="518" t="s">
        <v>18</v>
      </c>
      <c r="E138" s="76"/>
      <c r="F138" s="1"/>
      <c r="G138" s="1"/>
      <c r="H138" s="1"/>
      <c r="I138" s="1"/>
      <c r="J138" s="1"/>
      <c r="K138" s="1"/>
    </row>
    <row r="139" ht="14.25" customHeight="1">
      <c r="A139" s="1476" t="s">
        <v>42</v>
      </c>
      <c r="B139" s="85" t="s">
        <v>47</v>
      </c>
      <c r="C139" s="1"/>
      <c r="D139" s="1"/>
      <c r="E139" s="1"/>
      <c r="F139" s="1"/>
      <c r="G139" s="1"/>
      <c r="H139" s="1"/>
      <c r="I139" s="1"/>
      <c r="J139" s="1"/>
      <c r="K139" s="1"/>
    </row>
    <row r="140" ht="14.25" customHeight="1">
      <c r="A140" s="1"/>
      <c r="B140" s="1"/>
      <c r="C140" s="1"/>
      <c r="D140" s="1"/>
      <c r="E140" s="1"/>
      <c r="F140" s="1"/>
      <c r="G140" s="1"/>
      <c r="H140" s="1"/>
      <c r="I140" s="1"/>
      <c r="J140" s="1"/>
      <c r="K140" s="1"/>
    </row>
    <row r="141" ht="14.25" customHeight="1">
      <c r="A141" s="1"/>
      <c r="B141" s="1"/>
      <c r="C141" s="1"/>
      <c r="D141" s="1"/>
      <c r="E141" s="1"/>
      <c r="F141" s="1"/>
      <c r="G141" s="1"/>
      <c r="H141" s="1"/>
      <c r="I141" s="1"/>
      <c r="J141" s="1"/>
      <c r="K141" s="1"/>
    </row>
    <row r="142" ht="14.25" customHeight="1">
      <c r="A142" s="1"/>
      <c r="B142" s="1"/>
      <c r="C142" s="1"/>
      <c r="D142" s="1"/>
      <c r="E142" s="1"/>
      <c r="F142" s="1"/>
      <c r="G142" s="1"/>
      <c r="H142" s="1"/>
      <c r="I142" s="1"/>
      <c r="J142" s="1"/>
      <c r="K142" s="1"/>
    </row>
    <row r="143" ht="14.25" customHeight="1">
      <c r="A143" s="1"/>
      <c r="B143" s="1"/>
      <c r="C143" s="1"/>
      <c r="D143" s="1"/>
      <c r="E143" s="1"/>
      <c r="F143" s="1"/>
      <c r="G143" s="1"/>
      <c r="H143" s="1"/>
      <c r="I143" s="1"/>
      <c r="J143" s="1"/>
      <c r="K143" s="1"/>
    </row>
    <row r="144" ht="14.25" customHeight="1">
      <c r="A144" s="1"/>
      <c r="B144" s="1"/>
      <c r="C144" s="1"/>
      <c r="D144" s="1"/>
      <c r="E144" s="1"/>
      <c r="F144" s="1"/>
      <c r="G144" s="1"/>
      <c r="H144" s="1"/>
      <c r="I144" s="1"/>
      <c r="J144" s="1"/>
      <c r="K144" s="1"/>
    </row>
    <row r="145" ht="14.25" customHeight="1">
      <c r="A145" s="1"/>
      <c r="B145" s="1"/>
      <c r="C145" s="1"/>
      <c r="D145" s="1"/>
      <c r="E145" s="1"/>
      <c r="F145" s="1"/>
      <c r="G145" s="1"/>
      <c r="H145" s="1"/>
      <c r="I145" s="1"/>
      <c r="J145" s="1"/>
      <c r="K145" s="1"/>
    </row>
    <row r="146" ht="14.25" customHeight="1">
      <c r="A146" s="1"/>
      <c r="B146" s="1"/>
      <c r="C146" s="1"/>
      <c r="D146" s="1"/>
      <c r="E146" s="1"/>
      <c r="F146" s="1"/>
      <c r="G146" s="1"/>
      <c r="H146" s="1"/>
      <c r="I146" s="1"/>
      <c r="J146" s="1"/>
      <c r="K146" s="1"/>
    </row>
    <row r="147" ht="14.25" customHeight="1">
      <c r="A147" s="1"/>
      <c r="B147" s="1"/>
      <c r="C147" s="1"/>
      <c r="D147" s="1"/>
      <c r="E147" s="1"/>
      <c r="F147" s="1"/>
      <c r="G147" s="1"/>
      <c r="H147" s="1"/>
      <c r="I147" s="1"/>
      <c r="J147" s="1"/>
      <c r="K147" s="1"/>
    </row>
    <row r="148" ht="14.25" customHeight="1">
      <c r="A148" s="1"/>
      <c r="B148" s="1"/>
      <c r="C148" s="1"/>
      <c r="D148" s="1"/>
      <c r="E148" s="1"/>
      <c r="F148" s="1"/>
      <c r="G148" s="1"/>
      <c r="H148" s="1"/>
      <c r="I148" s="1"/>
      <c r="J148" s="1"/>
      <c r="K148" s="1"/>
    </row>
    <row r="149" ht="14.25" customHeight="1">
      <c r="A149" s="1"/>
      <c r="B149" s="1"/>
      <c r="C149" s="1"/>
      <c r="D149" s="1"/>
      <c r="E149" s="1"/>
      <c r="F149" s="1"/>
      <c r="G149" s="1"/>
      <c r="H149" s="1"/>
      <c r="I149" s="1"/>
      <c r="J149" s="1"/>
      <c r="K149" s="1"/>
    </row>
    <row r="150" ht="14.25" customHeight="1">
      <c r="A150" s="1"/>
      <c r="B150" s="1"/>
      <c r="C150" s="1"/>
      <c r="D150" s="1"/>
      <c r="E150" s="1"/>
      <c r="F150" s="1"/>
      <c r="G150" s="1"/>
      <c r="H150" s="1"/>
      <c r="I150" s="1"/>
      <c r="J150" s="1"/>
      <c r="K150" s="1"/>
    </row>
    <row r="151" ht="14.25" customHeight="1">
      <c r="A151" s="1"/>
      <c r="B151" s="1"/>
      <c r="C151" s="1"/>
      <c r="D151" s="1"/>
      <c r="E151" s="1"/>
      <c r="F151" s="1"/>
      <c r="G151" s="1"/>
      <c r="H151" s="1"/>
      <c r="I151" s="1"/>
      <c r="J151" s="1"/>
      <c r="K151" s="1"/>
    </row>
    <row r="152" ht="14.25" customHeight="1">
      <c r="A152" s="1"/>
      <c r="B152" s="1"/>
      <c r="C152" s="1"/>
      <c r="D152" s="1"/>
      <c r="E152" s="1"/>
      <c r="F152" s="1"/>
      <c r="G152" s="1"/>
      <c r="H152" s="1"/>
      <c r="I152" s="1"/>
      <c r="J152" s="1"/>
      <c r="K152" s="1"/>
    </row>
    <row r="153" ht="14.25" customHeight="1">
      <c r="A153" s="1"/>
      <c r="B153" s="1"/>
      <c r="C153" s="1"/>
      <c r="D153" s="1"/>
      <c r="E153" s="1"/>
      <c r="F153" s="1"/>
      <c r="G153" s="1"/>
      <c r="H153" s="1"/>
      <c r="I153" s="1"/>
      <c r="J153" s="1"/>
      <c r="K153" s="1"/>
    </row>
    <row r="154" ht="14.25" customHeight="1">
      <c r="A154" s="1"/>
      <c r="B154" s="1"/>
      <c r="C154" s="1"/>
      <c r="D154" s="1"/>
      <c r="E154" s="1"/>
      <c r="F154" s="1"/>
      <c r="G154" s="1"/>
      <c r="H154" s="1"/>
      <c r="I154" s="1"/>
      <c r="J154" s="1"/>
      <c r="K154" s="1"/>
    </row>
    <row r="155" ht="15.0" customHeight="1">
      <c r="A155" s="1"/>
      <c r="B155" s="1"/>
      <c r="C155" s="1"/>
      <c r="D155" s="1"/>
      <c r="E155" s="1"/>
      <c r="F155" s="1"/>
      <c r="G155" s="1"/>
      <c r="H155" s="1"/>
      <c r="I155" s="1"/>
      <c r="J155" s="1"/>
      <c r="K155" s="1"/>
    </row>
    <row r="156" ht="14.25" customHeight="1">
      <c r="A156" s="1"/>
      <c r="B156" s="1"/>
      <c r="C156" s="1"/>
      <c r="D156" s="1"/>
      <c r="E156" s="1"/>
      <c r="F156" s="1"/>
      <c r="G156" s="1"/>
      <c r="H156" s="1"/>
      <c r="I156" s="1"/>
      <c r="J156" s="1"/>
      <c r="K156" s="1"/>
    </row>
    <row r="157" ht="14.25" customHeight="1">
      <c r="A157" s="1"/>
      <c r="B157" s="1"/>
      <c r="C157" s="1"/>
      <c r="D157" s="1"/>
      <c r="E157" s="1"/>
      <c r="F157" s="1"/>
      <c r="G157" s="1"/>
      <c r="H157" s="1"/>
      <c r="I157" s="1"/>
      <c r="J157" s="1"/>
      <c r="K157" s="1"/>
    </row>
    <row r="158" ht="14.25" customHeight="1">
      <c r="A158" s="1"/>
      <c r="B158" s="1"/>
      <c r="C158" s="1"/>
      <c r="D158" s="1"/>
      <c r="E158" s="1"/>
      <c r="F158" s="1"/>
      <c r="G158" s="1"/>
      <c r="H158" s="1"/>
      <c r="I158" s="1"/>
      <c r="J158" s="1"/>
      <c r="K158" s="1"/>
    </row>
    <row r="159" ht="14.25" customHeight="1">
      <c r="A159" s="1"/>
      <c r="B159" s="1"/>
      <c r="C159" s="1"/>
      <c r="D159" s="1"/>
      <c r="E159" s="1"/>
      <c r="F159" s="1"/>
      <c r="G159" s="1"/>
      <c r="H159" s="1"/>
      <c r="I159" s="1"/>
      <c r="J159" s="1"/>
      <c r="K159" s="1"/>
    </row>
    <row r="160" ht="14.25" customHeight="1">
      <c r="A160" s="1"/>
      <c r="B160" s="1"/>
      <c r="C160" s="1"/>
      <c r="D160" s="1"/>
      <c r="E160" s="1"/>
      <c r="F160" s="1"/>
      <c r="G160" s="1"/>
      <c r="H160" s="1"/>
      <c r="I160" s="1"/>
      <c r="J160" s="1"/>
      <c r="K160" s="1"/>
    </row>
    <row r="161" ht="14.25" customHeight="1">
      <c r="A161" s="1"/>
      <c r="B161" s="1"/>
      <c r="C161" s="1"/>
      <c r="D161" s="1"/>
      <c r="E161" s="1"/>
      <c r="F161" s="1"/>
      <c r="G161" s="1"/>
      <c r="H161" s="1"/>
      <c r="I161" s="1"/>
      <c r="J161" s="1"/>
      <c r="K161" s="1"/>
    </row>
    <row r="162" ht="14.25" customHeight="1">
      <c r="A162" s="1"/>
      <c r="B162" s="1"/>
      <c r="C162" s="1"/>
      <c r="D162" s="1"/>
      <c r="E162" s="1"/>
      <c r="F162" s="1"/>
      <c r="G162" s="1"/>
      <c r="H162" s="1"/>
      <c r="I162" s="1"/>
      <c r="J162" s="1"/>
      <c r="K162" s="1"/>
    </row>
    <row r="163" ht="14.25" customHeight="1">
      <c r="A163" s="1"/>
      <c r="B163" s="1"/>
      <c r="C163" s="1"/>
      <c r="D163" s="1"/>
      <c r="E163" s="1"/>
      <c r="F163" s="1"/>
      <c r="G163" s="1"/>
      <c r="H163" s="1"/>
      <c r="I163" s="1"/>
      <c r="J163" s="1"/>
      <c r="K163" s="1"/>
    </row>
    <row r="164" ht="14.25" customHeight="1">
      <c r="A164" s="1"/>
      <c r="B164" s="1"/>
      <c r="C164" s="1"/>
      <c r="D164" s="1"/>
      <c r="E164" s="1"/>
      <c r="F164" s="1"/>
      <c r="G164" s="1"/>
      <c r="H164" s="1"/>
      <c r="I164" s="1"/>
      <c r="J164" s="1"/>
      <c r="K164" s="1"/>
    </row>
    <row r="165" ht="14.25" customHeight="1">
      <c r="A165" s="1"/>
      <c r="B165" s="1"/>
      <c r="C165" s="1"/>
      <c r="D165" s="1"/>
      <c r="E165" s="1"/>
      <c r="F165" s="1"/>
      <c r="G165" s="1"/>
      <c r="H165" s="1"/>
      <c r="I165" s="1"/>
      <c r="J165" s="1"/>
      <c r="K165" s="1"/>
    </row>
    <row r="166" ht="14.25" customHeight="1">
      <c r="A166" s="1"/>
      <c r="B166" s="1"/>
      <c r="C166" s="1"/>
      <c r="D166" s="1"/>
      <c r="E166" s="1"/>
      <c r="F166" s="1"/>
      <c r="G166" s="1"/>
      <c r="H166" s="1"/>
      <c r="I166" s="1"/>
      <c r="J166" s="1"/>
      <c r="K166" s="1"/>
    </row>
    <row r="167" ht="14.25" customHeight="1">
      <c r="A167" s="1"/>
      <c r="B167" s="1"/>
      <c r="C167" s="1"/>
      <c r="D167" s="1"/>
      <c r="E167" s="1"/>
      <c r="F167" s="1"/>
      <c r="G167" s="1"/>
      <c r="H167" s="1"/>
      <c r="I167" s="1"/>
      <c r="J167" s="1"/>
      <c r="K167" s="1"/>
    </row>
    <row r="168" ht="14.25" customHeight="1">
      <c r="A168" s="1"/>
      <c r="B168" s="1"/>
      <c r="C168" s="1"/>
      <c r="D168" s="1"/>
      <c r="E168" s="1"/>
      <c r="F168" s="1"/>
      <c r="G168" s="1"/>
      <c r="H168" s="1"/>
      <c r="I168" s="1"/>
      <c r="J168" s="1"/>
      <c r="K168" s="1"/>
    </row>
    <row r="169" ht="14.25" customHeight="1">
      <c r="A169" s="1"/>
      <c r="B169" s="1"/>
      <c r="C169" s="1"/>
      <c r="D169" s="1"/>
      <c r="E169" s="1"/>
      <c r="F169" s="1"/>
      <c r="G169" s="1"/>
      <c r="H169" s="1"/>
      <c r="I169" s="1"/>
      <c r="J169" s="1"/>
      <c r="K169" s="1"/>
    </row>
    <row r="170" ht="14.25" customHeight="1">
      <c r="A170" s="1"/>
      <c r="B170" s="1"/>
      <c r="C170" s="1"/>
      <c r="D170" s="1"/>
      <c r="E170" s="1"/>
      <c r="F170" s="1"/>
      <c r="G170" s="1"/>
      <c r="H170" s="1"/>
      <c r="I170" s="1"/>
      <c r="J170" s="1"/>
      <c r="K170" s="1"/>
    </row>
    <row r="171" ht="14.25" customHeight="1">
      <c r="A171" s="1"/>
      <c r="B171" s="1"/>
      <c r="C171" s="1"/>
      <c r="D171" s="1"/>
      <c r="E171" s="1"/>
      <c r="F171" s="1"/>
      <c r="G171" s="1"/>
      <c r="H171" s="1"/>
      <c r="I171" s="1"/>
      <c r="J171" s="1"/>
      <c r="K171" s="1"/>
    </row>
    <row r="172" ht="14.25" customHeight="1">
      <c r="A172" s="1"/>
      <c r="B172" s="1"/>
      <c r="C172" s="1"/>
      <c r="D172" s="1"/>
      <c r="E172" s="1"/>
      <c r="F172" s="1"/>
      <c r="G172" s="1"/>
      <c r="H172" s="1"/>
      <c r="I172" s="1"/>
      <c r="J172" s="1"/>
      <c r="K172" s="1"/>
    </row>
    <row r="173" ht="14.25" customHeight="1">
      <c r="A173" s="1"/>
      <c r="B173" s="1"/>
      <c r="C173" s="1"/>
      <c r="D173" s="1"/>
      <c r="E173" s="1"/>
      <c r="F173" s="1"/>
      <c r="G173" s="1"/>
      <c r="H173" s="1"/>
      <c r="I173" s="1"/>
      <c r="J173" s="1"/>
      <c r="K173" s="1"/>
    </row>
    <row r="174" ht="14.25" customHeight="1">
      <c r="A174" s="1"/>
      <c r="B174" s="1"/>
      <c r="C174" s="1"/>
      <c r="D174" s="1"/>
      <c r="E174" s="1"/>
      <c r="F174" s="1"/>
      <c r="G174" s="1"/>
      <c r="H174" s="1"/>
      <c r="I174" s="1"/>
      <c r="J174" s="1"/>
      <c r="K174" s="1"/>
    </row>
    <row r="175" ht="14.25" customHeight="1">
      <c r="A175" s="1"/>
      <c r="B175" s="1"/>
      <c r="C175" s="1"/>
      <c r="D175" s="1"/>
      <c r="E175" s="1"/>
      <c r="F175" s="1"/>
      <c r="G175" s="1"/>
      <c r="H175" s="1"/>
      <c r="I175" s="1"/>
      <c r="J175" s="1"/>
      <c r="K175" s="1"/>
    </row>
    <row r="176" ht="14.25" customHeight="1">
      <c r="A176" s="1"/>
      <c r="B176" s="1"/>
      <c r="C176" s="1"/>
      <c r="D176" s="1"/>
      <c r="E176" s="1"/>
      <c r="F176" s="1"/>
      <c r="G176" s="1"/>
      <c r="H176" s="1"/>
      <c r="I176" s="1"/>
      <c r="J176" s="1"/>
      <c r="K176" s="1"/>
    </row>
    <row r="177" ht="14.25" customHeight="1">
      <c r="A177" s="1"/>
      <c r="B177" s="1"/>
      <c r="C177" s="1"/>
      <c r="D177" s="1"/>
      <c r="E177" s="1"/>
      <c r="F177" s="1"/>
      <c r="G177" s="1"/>
      <c r="H177" s="1"/>
      <c r="I177" s="1"/>
      <c r="J177" s="1"/>
      <c r="K177" s="1"/>
    </row>
    <row r="178" ht="14.25" customHeight="1">
      <c r="A178" s="1"/>
      <c r="B178" s="1"/>
      <c r="C178" s="1"/>
      <c r="D178" s="1"/>
      <c r="E178" s="1"/>
      <c r="F178" s="1"/>
      <c r="G178" s="1"/>
      <c r="H178" s="1"/>
      <c r="I178" s="1"/>
      <c r="J178" s="1"/>
      <c r="K178" s="1"/>
    </row>
    <row r="179" ht="14.25" customHeight="1">
      <c r="A179" s="1"/>
      <c r="B179" s="1"/>
      <c r="C179" s="1"/>
      <c r="D179" s="1"/>
      <c r="E179" s="1"/>
      <c r="F179" s="1"/>
      <c r="G179" s="1"/>
      <c r="H179" s="1"/>
      <c r="I179" s="1"/>
      <c r="J179" s="1"/>
      <c r="K179" s="1"/>
    </row>
    <row r="180" ht="14.25" customHeight="1">
      <c r="A180" s="1"/>
      <c r="B180" s="1"/>
      <c r="C180" s="1"/>
      <c r="D180" s="1"/>
      <c r="E180" s="1"/>
      <c r="F180" s="1"/>
      <c r="G180" s="1"/>
      <c r="H180" s="1"/>
      <c r="I180" s="1"/>
      <c r="J180" s="1"/>
      <c r="K180" s="1"/>
    </row>
    <row r="181" ht="14.25" customHeight="1">
      <c r="A181" s="1"/>
      <c r="B181" s="1"/>
      <c r="C181" s="1"/>
      <c r="D181" s="1"/>
      <c r="E181" s="1"/>
      <c r="F181" s="1"/>
      <c r="G181" s="1"/>
      <c r="H181" s="1"/>
      <c r="I181" s="1"/>
      <c r="J181" s="1"/>
      <c r="K181" s="1"/>
    </row>
    <row r="182" ht="14.25" customHeight="1">
      <c r="A182" s="1"/>
      <c r="B182" s="1"/>
      <c r="C182" s="1"/>
      <c r="D182" s="1"/>
      <c r="E182" s="1"/>
      <c r="F182" s="1"/>
      <c r="G182" s="1"/>
      <c r="H182" s="1"/>
      <c r="I182" s="1"/>
      <c r="J182" s="1"/>
      <c r="K182" s="1"/>
    </row>
    <row r="183" ht="14.25" customHeight="1">
      <c r="A183" s="1"/>
      <c r="B183" s="1"/>
      <c r="C183" s="1"/>
      <c r="D183" s="1"/>
      <c r="E183" s="1"/>
      <c r="F183" s="1"/>
      <c r="G183" s="1"/>
      <c r="H183" s="1"/>
      <c r="I183" s="1"/>
      <c r="J183" s="1"/>
      <c r="K183" s="1"/>
    </row>
    <row r="184" ht="14.25" customHeight="1">
      <c r="A184" s="1"/>
      <c r="B184" s="1"/>
      <c r="C184" s="1"/>
      <c r="D184" s="1"/>
      <c r="E184" s="1"/>
      <c r="F184" s="1"/>
      <c r="G184" s="1"/>
      <c r="H184" s="1"/>
      <c r="I184" s="1"/>
      <c r="J184" s="1"/>
      <c r="K184" s="1"/>
    </row>
    <row r="185" ht="14.25" customHeight="1">
      <c r="A185" s="1"/>
      <c r="B185" s="1"/>
      <c r="C185" s="1"/>
      <c r="D185" s="1"/>
      <c r="E185" s="1"/>
      <c r="F185" s="1"/>
      <c r="G185" s="1"/>
      <c r="H185" s="1"/>
      <c r="I185" s="1"/>
      <c r="J185" s="1"/>
      <c r="K185" s="1"/>
    </row>
    <row r="186" ht="14.25" customHeight="1">
      <c r="A186" s="1"/>
      <c r="B186" s="1"/>
      <c r="C186" s="1"/>
      <c r="D186" s="1"/>
      <c r="E186" s="1"/>
      <c r="F186" s="1"/>
      <c r="G186" s="1"/>
      <c r="H186" s="1"/>
      <c r="I186" s="1"/>
      <c r="J186" s="1"/>
      <c r="K186" s="1"/>
    </row>
    <row r="187" ht="14.25" customHeight="1">
      <c r="A187" s="1"/>
      <c r="B187" s="1"/>
      <c r="C187" s="1"/>
      <c r="D187" s="1"/>
      <c r="E187" s="1"/>
      <c r="F187" s="1"/>
      <c r="G187" s="1"/>
      <c r="H187" s="1"/>
      <c r="I187" s="1"/>
      <c r="J187" s="1"/>
      <c r="K187" s="1"/>
    </row>
    <row r="188" ht="14.25" customHeight="1">
      <c r="A188" s="1"/>
      <c r="B188" s="1"/>
      <c r="C188" s="1"/>
      <c r="D188" s="1"/>
      <c r="E188" s="1"/>
      <c r="F188" s="1"/>
      <c r="G188" s="1"/>
      <c r="H188" s="1"/>
      <c r="I188" s="1"/>
      <c r="J188" s="1"/>
      <c r="K188" s="1"/>
    </row>
    <row r="189" ht="14.25" customHeight="1">
      <c r="A189" s="1"/>
      <c r="B189" s="1"/>
      <c r="C189" s="1"/>
      <c r="D189" s="1"/>
      <c r="E189" s="1"/>
      <c r="F189" s="1"/>
      <c r="G189" s="1"/>
      <c r="H189" s="1"/>
      <c r="I189" s="1"/>
      <c r="J189" s="1"/>
      <c r="K189" s="1"/>
    </row>
    <row r="190" ht="14.25" customHeight="1">
      <c r="A190" s="1"/>
      <c r="B190" s="1"/>
      <c r="C190" s="1"/>
      <c r="D190" s="1"/>
      <c r="E190" s="1"/>
      <c r="F190" s="1"/>
      <c r="G190" s="1"/>
      <c r="H190" s="1"/>
      <c r="I190" s="1"/>
      <c r="J190" s="1"/>
      <c r="K190" s="1"/>
    </row>
    <row r="191" ht="14.25" customHeight="1">
      <c r="A191" s="1"/>
      <c r="B191" s="1"/>
      <c r="C191" s="1"/>
      <c r="D191" s="1"/>
      <c r="E191" s="1"/>
      <c r="F191" s="1"/>
      <c r="G191" s="1"/>
      <c r="H191" s="1"/>
      <c r="I191" s="1"/>
      <c r="J191" s="1"/>
      <c r="K191" s="1"/>
    </row>
    <row r="192" ht="14.25" customHeight="1">
      <c r="A192" s="1"/>
      <c r="B192" s="1"/>
      <c r="C192" s="1"/>
      <c r="D192" s="1"/>
      <c r="E192" s="1"/>
      <c r="F192" s="1"/>
      <c r="G192" s="1"/>
      <c r="H192" s="1"/>
      <c r="I192" s="1"/>
      <c r="J192" s="1"/>
      <c r="K192" s="1"/>
    </row>
    <row r="193" ht="14.25" customHeight="1">
      <c r="A193" s="1"/>
      <c r="B193" s="1"/>
      <c r="C193" s="1"/>
      <c r="D193" s="1"/>
      <c r="E193" s="1"/>
      <c r="F193" s="1"/>
      <c r="G193" s="1"/>
      <c r="H193" s="1"/>
      <c r="I193" s="1"/>
      <c r="J193" s="1"/>
      <c r="K193" s="1"/>
    </row>
    <row r="194" ht="14.25" customHeight="1">
      <c r="A194" s="1"/>
      <c r="B194" s="1"/>
      <c r="C194" s="1"/>
      <c r="D194" s="1"/>
      <c r="E194" s="1"/>
      <c r="F194" s="1"/>
      <c r="G194" s="1"/>
      <c r="H194" s="1"/>
      <c r="I194" s="1"/>
      <c r="J194" s="1"/>
      <c r="K194" s="1"/>
    </row>
    <row r="195" ht="14.25" customHeight="1">
      <c r="A195" s="1"/>
      <c r="B195" s="1"/>
      <c r="C195" s="1"/>
      <c r="D195" s="1"/>
      <c r="E195" s="1"/>
      <c r="F195" s="1"/>
      <c r="G195" s="1"/>
      <c r="H195" s="1"/>
      <c r="I195" s="1"/>
      <c r="J195" s="1"/>
      <c r="K195" s="1"/>
    </row>
    <row r="196" ht="14.25" customHeight="1">
      <c r="A196" s="1"/>
      <c r="B196" s="1"/>
      <c r="C196" s="1"/>
      <c r="D196" s="1"/>
      <c r="E196" s="1"/>
      <c r="F196" s="1"/>
      <c r="G196" s="1"/>
      <c r="H196" s="1"/>
      <c r="I196" s="1"/>
      <c r="J196" s="1"/>
      <c r="K196" s="1"/>
    </row>
    <row r="197" ht="14.25" customHeight="1">
      <c r="A197" s="1"/>
      <c r="B197" s="1"/>
      <c r="C197" s="1"/>
      <c r="D197" s="1"/>
      <c r="E197" s="1"/>
      <c r="F197" s="1"/>
      <c r="G197" s="1"/>
      <c r="H197" s="1"/>
      <c r="I197" s="1"/>
      <c r="J197" s="1"/>
      <c r="K197" s="1"/>
    </row>
    <row r="198" ht="14.25" customHeight="1">
      <c r="A198" s="1"/>
      <c r="B198" s="1"/>
      <c r="C198" s="1"/>
      <c r="D198" s="1"/>
      <c r="E198" s="1"/>
      <c r="F198" s="1"/>
      <c r="G198" s="1"/>
      <c r="H198" s="1"/>
      <c r="I198" s="1"/>
      <c r="J198" s="1"/>
      <c r="K198" s="1"/>
    </row>
    <row r="199" ht="14.25" customHeight="1">
      <c r="A199" s="1"/>
      <c r="B199" s="1"/>
      <c r="C199" s="1"/>
      <c r="D199" s="1"/>
      <c r="E199" s="1"/>
      <c r="F199" s="1"/>
      <c r="G199" s="1"/>
      <c r="H199" s="1"/>
      <c r="I199" s="1"/>
      <c r="J199" s="1"/>
      <c r="K199" s="1"/>
    </row>
    <row r="200" ht="14.25" customHeight="1">
      <c r="A200" s="1"/>
      <c r="B200" s="1"/>
      <c r="C200" s="1"/>
      <c r="D200" s="1"/>
      <c r="E200" s="1"/>
      <c r="F200" s="1"/>
      <c r="G200" s="1"/>
      <c r="H200" s="1"/>
      <c r="I200" s="1"/>
      <c r="J200" s="1"/>
      <c r="K200" s="1"/>
    </row>
    <row r="201" ht="14.25" customHeight="1">
      <c r="A201" s="1"/>
      <c r="B201" s="1"/>
      <c r="C201" s="1"/>
      <c r="D201" s="1"/>
      <c r="E201" s="1"/>
      <c r="F201" s="1"/>
      <c r="G201" s="1"/>
      <c r="H201" s="1"/>
      <c r="I201" s="1"/>
      <c r="J201" s="1"/>
      <c r="K201" s="1"/>
    </row>
    <row r="202" ht="14.25" customHeight="1">
      <c r="A202" s="1"/>
      <c r="B202" s="1"/>
      <c r="C202" s="1"/>
      <c r="D202" s="1"/>
      <c r="E202" s="1"/>
      <c r="F202" s="1"/>
      <c r="G202" s="1"/>
      <c r="H202" s="1"/>
      <c r="I202" s="1"/>
      <c r="J202" s="1"/>
      <c r="K202" s="1"/>
    </row>
    <row r="203" ht="14.25" customHeight="1">
      <c r="A203" s="1"/>
      <c r="B203" s="1"/>
      <c r="C203" s="1"/>
      <c r="D203" s="1"/>
      <c r="E203" s="1"/>
      <c r="F203" s="1"/>
      <c r="G203" s="1"/>
      <c r="H203" s="1"/>
      <c r="I203" s="1"/>
      <c r="J203" s="1"/>
      <c r="K203" s="1"/>
    </row>
    <row r="204" ht="14.25" customHeight="1">
      <c r="A204" s="1"/>
      <c r="B204" s="1"/>
      <c r="C204" s="1"/>
      <c r="D204" s="1"/>
      <c r="E204" s="1"/>
      <c r="F204" s="1"/>
      <c r="G204" s="1"/>
      <c r="H204" s="1"/>
      <c r="I204" s="1"/>
      <c r="J204" s="1"/>
      <c r="K204" s="1"/>
    </row>
    <row r="205" ht="14.25" customHeight="1">
      <c r="A205" s="1"/>
      <c r="B205" s="1"/>
      <c r="C205" s="1"/>
      <c r="D205" s="1"/>
      <c r="E205" s="1"/>
      <c r="F205" s="1"/>
      <c r="G205" s="1"/>
      <c r="H205" s="1"/>
      <c r="I205" s="1"/>
      <c r="J205" s="1"/>
      <c r="K205" s="1"/>
    </row>
    <row r="206" ht="14.25" customHeight="1">
      <c r="A206" s="1"/>
      <c r="B206" s="1"/>
      <c r="C206" s="1"/>
      <c r="D206" s="1"/>
      <c r="E206" s="1"/>
      <c r="F206" s="1"/>
      <c r="G206" s="1"/>
      <c r="H206" s="1"/>
      <c r="I206" s="1"/>
      <c r="J206" s="1"/>
      <c r="K206" s="1"/>
    </row>
    <row r="207" ht="14.25" customHeight="1">
      <c r="A207" s="1"/>
      <c r="B207" s="1"/>
      <c r="C207" s="1"/>
      <c r="D207" s="1"/>
      <c r="E207" s="1"/>
      <c r="F207" s="1"/>
      <c r="G207" s="1"/>
      <c r="H207" s="1"/>
      <c r="I207" s="1"/>
      <c r="J207" s="1"/>
      <c r="K207" s="1"/>
    </row>
    <row r="208" ht="14.25" customHeight="1">
      <c r="A208" s="1"/>
      <c r="B208" s="1"/>
      <c r="C208" s="1"/>
      <c r="D208" s="1"/>
      <c r="E208" s="1"/>
      <c r="F208" s="1"/>
      <c r="G208" s="1"/>
      <c r="H208" s="1"/>
      <c r="I208" s="1"/>
      <c r="J208" s="1"/>
      <c r="K208" s="1"/>
    </row>
    <row r="209" ht="14.25" customHeight="1">
      <c r="A209" s="1"/>
      <c r="B209" s="1"/>
      <c r="C209" s="1"/>
      <c r="D209" s="1"/>
      <c r="E209" s="1"/>
      <c r="F209" s="1"/>
      <c r="G209" s="1"/>
      <c r="H209" s="1"/>
      <c r="I209" s="1"/>
      <c r="J209" s="1"/>
      <c r="K209" s="1"/>
    </row>
    <row r="210" ht="14.25" customHeight="1">
      <c r="A210" s="1"/>
      <c r="B210" s="1"/>
      <c r="C210" s="1"/>
      <c r="D210" s="1"/>
      <c r="E210" s="1"/>
      <c r="F210" s="1"/>
      <c r="G210" s="1"/>
      <c r="H210" s="1"/>
      <c r="I210" s="1"/>
      <c r="J210" s="1"/>
      <c r="K210" s="1"/>
    </row>
    <row r="211" ht="14.25" customHeight="1">
      <c r="A211" s="1"/>
      <c r="B211" s="1"/>
      <c r="C211" s="1"/>
      <c r="D211" s="1"/>
      <c r="E211" s="1"/>
      <c r="F211" s="1"/>
      <c r="G211" s="1"/>
      <c r="H211" s="1"/>
      <c r="I211" s="1"/>
      <c r="J211" s="1"/>
      <c r="K211" s="1"/>
    </row>
    <row r="212" ht="14.25" customHeight="1">
      <c r="A212" s="1"/>
      <c r="B212" s="1"/>
      <c r="C212" s="1"/>
      <c r="D212" s="1"/>
      <c r="E212" s="1"/>
      <c r="F212" s="1"/>
      <c r="G212" s="1"/>
      <c r="H212" s="1"/>
      <c r="I212" s="1"/>
      <c r="J212" s="1"/>
      <c r="K212" s="1"/>
    </row>
    <row r="213" ht="14.25" customHeight="1">
      <c r="A213" s="1"/>
      <c r="B213" s="1"/>
      <c r="C213" s="1"/>
      <c r="D213" s="1"/>
      <c r="E213" s="1"/>
      <c r="F213" s="1"/>
      <c r="G213" s="1"/>
      <c r="H213" s="1"/>
      <c r="I213" s="1"/>
      <c r="J213" s="1"/>
      <c r="K213" s="1"/>
    </row>
    <row r="214" ht="14.25" customHeight="1">
      <c r="A214" s="1"/>
      <c r="B214" s="1"/>
      <c r="C214" s="1"/>
      <c r="D214" s="1"/>
      <c r="E214" s="1"/>
      <c r="F214" s="1"/>
      <c r="G214" s="1"/>
      <c r="H214" s="1"/>
      <c r="I214" s="1"/>
      <c r="J214" s="1"/>
      <c r="K214" s="1"/>
    </row>
    <row r="215" ht="14.25" customHeight="1">
      <c r="A215" s="1"/>
      <c r="B215" s="1"/>
      <c r="C215" s="1"/>
      <c r="D215" s="1"/>
      <c r="E215" s="1"/>
      <c r="F215" s="1"/>
      <c r="G215" s="1"/>
      <c r="H215" s="1"/>
      <c r="I215" s="1"/>
      <c r="J215" s="1"/>
      <c r="K215" s="1"/>
    </row>
    <row r="216" ht="14.25" customHeight="1">
      <c r="A216" s="1"/>
      <c r="B216" s="1"/>
      <c r="C216" s="1"/>
      <c r="D216" s="1"/>
      <c r="E216" s="1"/>
      <c r="F216" s="1"/>
      <c r="G216" s="1"/>
      <c r="H216" s="1"/>
      <c r="I216" s="1"/>
      <c r="J216" s="1"/>
      <c r="K216" s="1"/>
    </row>
    <row r="217" ht="14.25" customHeight="1">
      <c r="A217" s="1"/>
      <c r="B217" s="1"/>
      <c r="C217" s="1"/>
      <c r="D217" s="1"/>
      <c r="E217" s="1"/>
      <c r="F217" s="1"/>
      <c r="G217" s="1"/>
      <c r="H217" s="1"/>
      <c r="I217" s="1"/>
      <c r="J217" s="1"/>
      <c r="K217" s="1"/>
    </row>
    <row r="218" ht="14.25" customHeight="1">
      <c r="A218" s="1"/>
      <c r="B218" s="1"/>
      <c r="C218" s="1"/>
      <c r="D218" s="1"/>
      <c r="E218" s="1"/>
      <c r="F218" s="1"/>
      <c r="G218" s="1"/>
      <c r="H218" s="1"/>
      <c r="I218" s="1"/>
      <c r="J218" s="1"/>
      <c r="K218" s="1"/>
    </row>
    <row r="219" ht="14.25" customHeight="1">
      <c r="A219" s="1"/>
      <c r="B219" s="1"/>
      <c r="C219" s="1"/>
      <c r="D219" s="1"/>
      <c r="E219" s="1"/>
      <c r="F219" s="1"/>
      <c r="G219" s="1"/>
      <c r="H219" s="1"/>
      <c r="I219" s="1"/>
      <c r="J219" s="1"/>
      <c r="K219" s="1"/>
    </row>
    <row r="220" ht="14.25" customHeight="1">
      <c r="A220" s="1"/>
      <c r="B220" s="1"/>
      <c r="C220" s="1"/>
      <c r="D220" s="1"/>
      <c r="E220" s="1"/>
      <c r="F220" s="1"/>
      <c r="G220" s="1"/>
      <c r="H220" s="1"/>
      <c r="I220" s="1"/>
      <c r="J220" s="1"/>
      <c r="K220" s="1"/>
    </row>
    <row r="221" ht="14.25" customHeight="1">
      <c r="A221" s="1"/>
      <c r="B221" s="1"/>
      <c r="C221" s="1"/>
      <c r="D221" s="1"/>
      <c r="E221" s="1"/>
      <c r="F221" s="1"/>
      <c r="G221" s="1"/>
      <c r="H221" s="1"/>
      <c r="I221" s="1"/>
      <c r="J221" s="1"/>
      <c r="K221" s="1"/>
    </row>
    <row r="222" ht="14.25" customHeight="1">
      <c r="A222" s="1"/>
      <c r="B222" s="1"/>
      <c r="C222" s="1"/>
      <c r="D222" s="1"/>
      <c r="E222" s="1"/>
      <c r="F222" s="1"/>
      <c r="G222" s="1"/>
      <c r="H222" s="1"/>
      <c r="I222" s="1"/>
      <c r="J222" s="1"/>
      <c r="K222" s="1"/>
    </row>
    <row r="223" ht="14.25" customHeight="1">
      <c r="A223" s="1"/>
      <c r="B223" s="1"/>
      <c r="C223" s="1"/>
      <c r="D223" s="1"/>
      <c r="E223" s="1"/>
      <c r="F223" s="1"/>
      <c r="G223" s="1"/>
      <c r="H223" s="1"/>
      <c r="I223" s="1"/>
      <c r="J223" s="1"/>
      <c r="K223" s="1"/>
    </row>
    <row r="224" ht="14.25" customHeight="1">
      <c r="A224" s="1"/>
      <c r="B224" s="1"/>
      <c r="C224" s="1"/>
      <c r="D224" s="1"/>
      <c r="E224" s="1"/>
      <c r="F224" s="1"/>
      <c r="G224" s="1"/>
      <c r="H224" s="1"/>
      <c r="I224" s="1"/>
      <c r="J224" s="1"/>
      <c r="K224" s="1"/>
    </row>
    <row r="225" ht="14.25" customHeight="1">
      <c r="A225" s="1"/>
      <c r="B225" s="1"/>
      <c r="C225" s="1"/>
      <c r="D225" s="1"/>
      <c r="E225" s="1"/>
      <c r="F225" s="1"/>
      <c r="G225" s="1"/>
      <c r="H225" s="1"/>
      <c r="I225" s="1"/>
      <c r="J225" s="1"/>
      <c r="K225" s="1"/>
    </row>
    <row r="226" ht="14.25" customHeight="1">
      <c r="A226" s="1"/>
      <c r="B226" s="1"/>
      <c r="C226" s="1"/>
      <c r="D226" s="1"/>
      <c r="E226" s="1"/>
      <c r="F226" s="1"/>
      <c r="G226" s="1"/>
      <c r="H226" s="1"/>
      <c r="I226" s="1"/>
      <c r="J226" s="1"/>
      <c r="K226" s="1"/>
    </row>
    <row r="227" ht="15.0" customHeight="1">
      <c r="A227" s="1"/>
      <c r="B227" s="1"/>
      <c r="C227" s="1"/>
      <c r="D227" s="1"/>
      <c r="E227" s="1"/>
      <c r="F227" s="1"/>
      <c r="G227" s="1"/>
      <c r="H227" s="1"/>
      <c r="I227" s="1"/>
      <c r="J227" s="1"/>
      <c r="K227" s="1"/>
    </row>
    <row r="228" ht="14.25" customHeight="1">
      <c r="A228" s="1"/>
      <c r="B228" s="1"/>
      <c r="C228" s="1"/>
      <c r="D228" s="1"/>
      <c r="E228" s="1"/>
      <c r="F228" s="1"/>
      <c r="G228" s="1"/>
      <c r="H228" s="1"/>
      <c r="I228" s="1"/>
      <c r="J228" s="1"/>
      <c r="K228" s="1"/>
    </row>
    <row r="229" ht="14.25" customHeight="1">
      <c r="A229" s="1"/>
      <c r="B229" s="1"/>
      <c r="C229" s="1"/>
      <c r="D229" s="1"/>
      <c r="E229" s="1"/>
      <c r="F229" s="1"/>
      <c r="G229" s="1"/>
      <c r="H229" s="1"/>
      <c r="I229" s="1"/>
      <c r="J229" s="1"/>
      <c r="K229" s="1"/>
    </row>
    <row r="230" ht="14.25" customHeight="1">
      <c r="A230" s="1"/>
      <c r="B230" s="1"/>
      <c r="C230" s="1"/>
      <c r="D230" s="1"/>
      <c r="E230" s="1"/>
      <c r="F230" s="1"/>
      <c r="G230" s="1"/>
      <c r="H230" s="1"/>
      <c r="I230" s="1"/>
      <c r="J230" s="1"/>
      <c r="K230" s="1"/>
    </row>
    <row r="231" ht="14.25" customHeight="1">
      <c r="A231" s="1"/>
      <c r="B231" s="1"/>
      <c r="C231" s="1"/>
      <c r="D231" s="1"/>
      <c r="E231" s="1"/>
      <c r="F231" s="1"/>
      <c r="G231" s="1"/>
      <c r="H231" s="1"/>
      <c r="I231" s="1"/>
      <c r="J231" s="1"/>
      <c r="K231" s="1"/>
    </row>
    <row r="232" ht="14.25" customHeight="1">
      <c r="A232" s="1"/>
      <c r="B232" s="1"/>
      <c r="C232" s="1"/>
      <c r="D232" s="1"/>
      <c r="E232" s="1"/>
      <c r="F232" s="1"/>
      <c r="G232" s="1"/>
      <c r="H232" s="1"/>
      <c r="I232" s="1"/>
      <c r="J232" s="1"/>
      <c r="K232" s="1"/>
    </row>
    <row r="233" ht="14.25" customHeight="1">
      <c r="A233" s="1"/>
      <c r="B233" s="1"/>
      <c r="C233" s="1"/>
      <c r="D233" s="1"/>
      <c r="E233" s="1"/>
      <c r="F233" s="1"/>
      <c r="G233" s="1"/>
      <c r="H233" s="1"/>
      <c r="I233" s="1"/>
      <c r="J233" s="1"/>
      <c r="K233" s="1"/>
    </row>
    <row r="234" ht="14.25" customHeight="1">
      <c r="A234" s="1"/>
      <c r="B234" s="1"/>
      <c r="C234" s="1"/>
      <c r="D234" s="1"/>
      <c r="E234" s="1"/>
      <c r="F234" s="1"/>
      <c r="G234" s="1"/>
      <c r="H234" s="1"/>
      <c r="I234" s="1"/>
      <c r="J234" s="1"/>
      <c r="K234" s="1"/>
    </row>
    <row r="235" ht="14.25" customHeight="1">
      <c r="A235" s="1"/>
      <c r="B235" s="1"/>
      <c r="C235" s="1"/>
      <c r="D235" s="1"/>
      <c r="E235" s="1"/>
      <c r="F235" s="1"/>
      <c r="G235" s="1"/>
      <c r="H235" s="1"/>
      <c r="I235" s="1"/>
      <c r="J235" s="1"/>
      <c r="K235" s="1"/>
    </row>
    <row r="236" ht="14.25" customHeight="1">
      <c r="A236" s="1"/>
      <c r="B236" s="1"/>
      <c r="C236" s="1"/>
      <c r="D236" s="1"/>
      <c r="E236" s="1"/>
      <c r="F236" s="1"/>
      <c r="G236" s="1"/>
      <c r="H236" s="1"/>
      <c r="I236" s="1"/>
      <c r="J236" s="1"/>
      <c r="K236" s="1"/>
    </row>
    <row r="237" ht="14.25" customHeight="1">
      <c r="A237" s="1"/>
      <c r="B237" s="1"/>
      <c r="C237" s="1"/>
      <c r="D237" s="1"/>
      <c r="E237" s="1"/>
      <c r="F237" s="1"/>
      <c r="G237" s="1"/>
      <c r="H237" s="1"/>
      <c r="I237" s="1"/>
      <c r="J237" s="1"/>
      <c r="K237" s="1"/>
    </row>
    <row r="238" ht="14.25" customHeight="1">
      <c r="A238" s="1"/>
      <c r="B238" s="1"/>
      <c r="C238" s="1"/>
      <c r="D238" s="1"/>
      <c r="E238" s="1"/>
      <c r="F238" s="1"/>
      <c r="G238" s="1"/>
      <c r="H238" s="1"/>
      <c r="I238" s="1"/>
      <c r="J238" s="1"/>
      <c r="K238" s="1"/>
    </row>
    <row r="239" ht="14.25" customHeight="1">
      <c r="A239" s="1"/>
      <c r="B239" s="1"/>
      <c r="C239" s="1"/>
      <c r="D239" s="1"/>
      <c r="E239" s="1"/>
      <c r="F239" s="1"/>
      <c r="G239" s="1"/>
      <c r="H239" s="1"/>
      <c r="I239" s="1"/>
      <c r="J239" s="1"/>
      <c r="K239" s="1"/>
    </row>
    <row r="240" ht="14.25" customHeight="1">
      <c r="A240" s="1"/>
      <c r="B240" s="1"/>
      <c r="C240" s="1"/>
      <c r="D240" s="1"/>
      <c r="E240" s="1"/>
      <c r="F240" s="1"/>
      <c r="G240" s="1"/>
      <c r="H240" s="1"/>
      <c r="I240" s="1"/>
      <c r="J240" s="1"/>
      <c r="K240" s="1"/>
    </row>
    <row r="241" ht="14.25" customHeight="1">
      <c r="A241" s="1"/>
      <c r="B241" s="1"/>
      <c r="C241" s="1"/>
      <c r="D241" s="1"/>
      <c r="E241" s="1"/>
      <c r="F241" s="1"/>
      <c r="G241" s="1"/>
      <c r="H241" s="1"/>
      <c r="I241" s="1"/>
      <c r="J241" s="1"/>
      <c r="K241" s="1"/>
    </row>
    <row r="242" ht="14.25" customHeight="1">
      <c r="A242" s="1"/>
      <c r="B242" s="1"/>
      <c r="C242" s="1"/>
      <c r="D242" s="1"/>
      <c r="E242" s="1"/>
      <c r="F242" s="1"/>
      <c r="G242" s="1"/>
      <c r="H242" s="1"/>
      <c r="I242" s="1"/>
      <c r="J242" s="1"/>
      <c r="K242" s="1"/>
    </row>
    <row r="243" ht="14.25" customHeight="1">
      <c r="A243" s="1"/>
      <c r="B243" s="1"/>
      <c r="C243" s="1"/>
      <c r="D243" s="1"/>
      <c r="E243" s="1"/>
      <c r="F243" s="1"/>
      <c r="G243" s="1"/>
      <c r="H243" s="1"/>
      <c r="I243" s="1"/>
      <c r="J243" s="1"/>
      <c r="K243" s="1"/>
    </row>
    <row r="244" ht="14.25" customHeight="1">
      <c r="A244" s="1"/>
      <c r="B244" s="1"/>
      <c r="C244" s="1"/>
      <c r="D244" s="1"/>
      <c r="E244" s="1"/>
      <c r="F244" s="1"/>
      <c r="G244" s="1"/>
      <c r="H244" s="1"/>
      <c r="I244" s="1"/>
      <c r="J244" s="1"/>
      <c r="K244" s="1"/>
    </row>
    <row r="245" ht="14.25" customHeight="1">
      <c r="A245" s="1"/>
      <c r="B245" s="1"/>
      <c r="C245" s="1"/>
      <c r="D245" s="1"/>
      <c r="E245" s="1"/>
      <c r="F245" s="1"/>
      <c r="G245" s="1"/>
      <c r="H245" s="1"/>
      <c r="I245" s="1"/>
      <c r="J245" s="1"/>
      <c r="K245" s="1"/>
    </row>
    <row r="246" ht="14.25" customHeight="1">
      <c r="A246" s="1"/>
      <c r="B246" s="1"/>
      <c r="C246" s="1"/>
      <c r="D246" s="1"/>
      <c r="E246" s="1"/>
      <c r="F246" s="1"/>
      <c r="G246" s="1"/>
      <c r="H246" s="1"/>
      <c r="I246" s="1"/>
      <c r="J246" s="1"/>
      <c r="K246" s="1"/>
    </row>
    <row r="247" ht="14.25" customHeight="1">
      <c r="A247" s="1"/>
      <c r="B247" s="1"/>
      <c r="C247" s="1"/>
      <c r="D247" s="1"/>
      <c r="E247" s="1"/>
      <c r="F247" s="1"/>
      <c r="G247" s="1"/>
      <c r="H247" s="1"/>
      <c r="I247" s="1"/>
      <c r="J247" s="1"/>
      <c r="K247" s="1"/>
    </row>
    <row r="248" ht="15.0" customHeight="1">
      <c r="A248" s="1"/>
      <c r="B248" s="1"/>
      <c r="C248" s="1"/>
      <c r="D248" s="1"/>
      <c r="E248" s="1"/>
      <c r="F248" s="1"/>
      <c r="G248" s="1"/>
      <c r="H248" s="1"/>
      <c r="I248" s="1"/>
      <c r="J248" s="1"/>
      <c r="K248" s="1"/>
    </row>
    <row r="249" ht="15.75" customHeight="1">
      <c r="A249" s="1"/>
      <c r="B249" s="1"/>
      <c r="C249" s="1"/>
      <c r="D249" s="1"/>
      <c r="E249" s="1"/>
      <c r="F249" s="1"/>
      <c r="G249" s="1"/>
      <c r="H249" s="1"/>
      <c r="I249" s="1"/>
      <c r="J249" s="1"/>
      <c r="K249" s="1"/>
    </row>
    <row r="250" ht="14.25" customHeight="1">
      <c r="A250" s="1"/>
      <c r="B250" s="1"/>
      <c r="C250" s="1"/>
      <c r="D250" s="1"/>
      <c r="E250" s="1"/>
      <c r="F250" s="1"/>
      <c r="G250" s="1"/>
      <c r="H250" s="1"/>
      <c r="I250" s="1"/>
      <c r="J250" s="1"/>
      <c r="K250" s="1"/>
    </row>
    <row r="251" ht="14.25" customHeight="1">
      <c r="A251" s="1"/>
      <c r="B251" s="1"/>
      <c r="C251" s="1"/>
      <c r="D251" s="1"/>
      <c r="E251" s="1"/>
      <c r="F251" s="1"/>
      <c r="G251" s="1"/>
      <c r="H251" s="1"/>
      <c r="I251" s="1"/>
      <c r="J251" s="1"/>
      <c r="K251" s="1"/>
    </row>
    <row r="252" ht="16.5" customHeight="1">
      <c r="A252" s="1"/>
      <c r="B252" s="1"/>
      <c r="C252" s="1"/>
      <c r="D252" s="1"/>
      <c r="E252" s="1"/>
      <c r="F252" s="1"/>
      <c r="G252" s="1"/>
      <c r="H252" s="1"/>
      <c r="I252" s="1"/>
      <c r="J252" s="1"/>
      <c r="K252" s="1"/>
    </row>
    <row r="253" ht="16.5" customHeight="1">
      <c r="A253" s="1"/>
      <c r="B253" s="1"/>
      <c r="C253" s="1"/>
      <c r="D253" s="1"/>
      <c r="E253" s="1"/>
      <c r="F253" s="1"/>
      <c r="G253" s="1"/>
      <c r="H253" s="1"/>
      <c r="I253" s="1"/>
      <c r="J253" s="1"/>
      <c r="K253" s="1"/>
    </row>
    <row r="254" ht="15.0" customHeight="1">
      <c r="A254" s="1"/>
      <c r="B254" s="1"/>
      <c r="C254" s="1"/>
      <c r="D254" s="1"/>
      <c r="E254" s="1"/>
      <c r="F254" s="1"/>
      <c r="G254" s="1"/>
      <c r="H254" s="1"/>
      <c r="I254" s="1"/>
      <c r="J254" s="1"/>
      <c r="K254" s="1"/>
    </row>
    <row r="255" ht="14.25" customHeight="1">
      <c r="A255" s="1"/>
      <c r="B255" s="1"/>
      <c r="C255" s="1"/>
      <c r="D255" s="1"/>
      <c r="E255" s="1"/>
      <c r="F255" s="1"/>
      <c r="G255" s="1"/>
      <c r="H255" s="1"/>
      <c r="I255" s="1"/>
      <c r="J255" s="1"/>
      <c r="K255" s="1"/>
    </row>
    <row r="256" ht="14.25" customHeight="1">
      <c r="A256" s="1"/>
      <c r="B256" s="1"/>
      <c r="C256" s="1"/>
      <c r="D256" s="1"/>
      <c r="E256" s="1"/>
      <c r="F256" s="1"/>
      <c r="G256" s="1"/>
      <c r="H256" s="1"/>
      <c r="I256" s="1"/>
      <c r="J256" s="1"/>
      <c r="K256" s="1"/>
    </row>
    <row r="257" ht="15.0" customHeight="1">
      <c r="A257" s="1"/>
      <c r="B257" s="1"/>
      <c r="C257" s="1"/>
      <c r="D257" s="1"/>
      <c r="E257" s="1"/>
      <c r="F257" s="1"/>
      <c r="G257" s="1"/>
      <c r="H257" s="1"/>
      <c r="I257" s="1"/>
      <c r="J257" s="1"/>
      <c r="K257" s="1"/>
    </row>
    <row r="258" ht="14.25" customHeight="1">
      <c r="A258" s="1"/>
      <c r="B258" s="1"/>
      <c r="C258" s="1"/>
      <c r="D258" s="1"/>
      <c r="E258" s="1"/>
      <c r="F258" s="1"/>
      <c r="G258" s="1"/>
      <c r="H258" s="1"/>
      <c r="I258" s="1"/>
      <c r="J258" s="1"/>
      <c r="K258" s="1"/>
    </row>
    <row r="259" ht="14.25" customHeight="1">
      <c r="A259" s="1"/>
      <c r="B259" s="1"/>
      <c r="C259" s="1"/>
      <c r="D259" s="1"/>
      <c r="E259" s="1"/>
      <c r="F259" s="1"/>
      <c r="G259" s="1"/>
      <c r="H259" s="1"/>
      <c r="I259" s="1"/>
      <c r="J259" s="1"/>
      <c r="K259" s="1"/>
    </row>
    <row r="260" ht="14.25" customHeight="1">
      <c r="A260" s="1"/>
      <c r="B260" s="1"/>
      <c r="C260" s="1"/>
      <c r="D260" s="1"/>
      <c r="E260" s="1"/>
      <c r="F260" s="1"/>
      <c r="G260" s="1"/>
      <c r="H260" s="1"/>
      <c r="I260" s="1"/>
      <c r="J260" s="1"/>
      <c r="K260" s="1"/>
    </row>
    <row r="261" ht="14.25" customHeight="1">
      <c r="A261" s="1"/>
      <c r="B261" s="1"/>
      <c r="C261" s="1"/>
      <c r="D261" s="1"/>
      <c r="E261" s="1"/>
      <c r="F261" s="1"/>
      <c r="G261" s="1"/>
      <c r="H261" s="1"/>
      <c r="I261" s="1"/>
      <c r="J261" s="1"/>
      <c r="K261" s="1"/>
    </row>
    <row r="262" ht="14.25" customHeight="1">
      <c r="A262" s="1"/>
      <c r="B262" s="1"/>
      <c r="C262" s="1"/>
      <c r="D262" s="1"/>
      <c r="E262" s="1"/>
      <c r="F262" s="1"/>
      <c r="G262" s="1"/>
      <c r="H262" s="1"/>
      <c r="I262" s="1"/>
      <c r="J262" s="1"/>
      <c r="K262" s="1"/>
    </row>
    <row r="263" ht="14.25" customHeight="1">
      <c r="A263" s="1"/>
      <c r="B263" s="1"/>
      <c r="C263" s="1"/>
      <c r="D263" s="1"/>
      <c r="E263" s="1"/>
      <c r="F263" s="1"/>
      <c r="G263" s="1"/>
      <c r="H263" s="1"/>
      <c r="I263" s="1"/>
      <c r="J263" s="1"/>
      <c r="K263" s="1"/>
    </row>
    <row r="264" ht="15.0" customHeight="1">
      <c r="A264" s="1"/>
      <c r="B264" s="1"/>
      <c r="C264" s="1"/>
      <c r="D264" s="1"/>
      <c r="E264" s="1"/>
      <c r="F264" s="1"/>
      <c r="G264" s="1"/>
      <c r="H264" s="1"/>
      <c r="I264" s="1"/>
      <c r="J264" s="1"/>
      <c r="K264" s="1"/>
    </row>
    <row r="265" ht="14.25" customHeight="1">
      <c r="A265" s="1"/>
      <c r="B265" s="1"/>
      <c r="C265" s="1"/>
      <c r="D265" s="1"/>
      <c r="E265" s="1"/>
      <c r="F265" s="1"/>
      <c r="G265" s="1"/>
      <c r="H265" s="1"/>
      <c r="I265" s="1"/>
      <c r="J265" s="1"/>
      <c r="K265" s="1"/>
    </row>
    <row r="266" ht="14.25" customHeight="1">
      <c r="A266" s="1"/>
      <c r="B266" s="1"/>
      <c r="C266" s="1"/>
      <c r="D266" s="1"/>
      <c r="E266" s="1"/>
      <c r="F266" s="1"/>
      <c r="G266" s="1"/>
      <c r="H266" s="1"/>
      <c r="I266" s="1"/>
      <c r="J266" s="1"/>
      <c r="K266" s="1"/>
    </row>
    <row r="267" ht="14.25" customHeight="1">
      <c r="A267" s="1"/>
      <c r="B267" s="1"/>
      <c r="C267" s="1"/>
      <c r="D267" s="1"/>
      <c r="E267" s="1"/>
      <c r="F267" s="1"/>
      <c r="G267" s="1"/>
      <c r="H267" s="1"/>
      <c r="I267" s="1"/>
      <c r="J267" s="1"/>
      <c r="K267" s="1"/>
    </row>
    <row r="268" ht="14.25" customHeight="1">
      <c r="A268" s="1"/>
      <c r="B268" s="1"/>
      <c r="C268" s="1"/>
      <c r="D268" s="1"/>
      <c r="E268" s="1"/>
      <c r="F268" s="1"/>
      <c r="G268" s="1"/>
      <c r="H268" s="1"/>
      <c r="I268" s="1"/>
      <c r="J268" s="1"/>
      <c r="K268" s="1"/>
    </row>
    <row r="269" ht="14.25" customHeight="1">
      <c r="A269" s="1"/>
      <c r="B269" s="1"/>
      <c r="C269" s="1"/>
      <c r="D269" s="1"/>
      <c r="E269" s="1"/>
      <c r="F269" s="1"/>
      <c r="G269" s="1"/>
      <c r="H269" s="1"/>
      <c r="I269" s="1"/>
      <c r="J269" s="1"/>
      <c r="K269" s="1"/>
    </row>
    <row r="270" ht="14.25" customHeight="1">
      <c r="A270" s="1"/>
      <c r="B270" s="1"/>
      <c r="C270" s="1"/>
      <c r="D270" s="1"/>
      <c r="E270" s="1"/>
      <c r="F270" s="1"/>
      <c r="G270" s="1"/>
      <c r="H270" s="1"/>
      <c r="I270" s="1"/>
      <c r="J270" s="1"/>
      <c r="K270" s="1"/>
    </row>
    <row r="271" ht="14.25" customHeight="1">
      <c r="A271" s="1"/>
      <c r="B271" s="1"/>
      <c r="C271" s="1"/>
      <c r="D271" s="1"/>
      <c r="E271" s="1"/>
      <c r="F271" s="1"/>
      <c r="G271" s="1"/>
      <c r="H271" s="1"/>
      <c r="I271" s="1"/>
      <c r="J271" s="1"/>
      <c r="K271" s="1"/>
    </row>
    <row r="272" ht="14.25" customHeight="1">
      <c r="A272" s="1"/>
      <c r="B272" s="1"/>
      <c r="C272" s="1"/>
      <c r="D272" s="1"/>
      <c r="E272" s="1"/>
      <c r="F272" s="1"/>
      <c r="G272" s="1"/>
      <c r="H272" s="1"/>
      <c r="I272" s="1"/>
      <c r="J272" s="1"/>
      <c r="K272" s="1"/>
    </row>
    <row r="273" ht="14.25" customHeight="1">
      <c r="A273" s="1"/>
      <c r="B273" s="1"/>
      <c r="C273" s="1"/>
      <c r="D273" s="1"/>
      <c r="E273" s="1"/>
      <c r="F273" s="1"/>
      <c r="G273" s="1"/>
      <c r="H273" s="1"/>
      <c r="I273" s="1"/>
      <c r="J273" s="1"/>
      <c r="K273" s="1"/>
    </row>
    <row r="274" ht="14.25" customHeight="1">
      <c r="A274" s="1"/>
      <c r="B274" s="1"/>
      <c r="C274" s="1"/>
      <c r="D274" s="1"/>
      <c r="E274" s="1"/>
      <c r="F274" s="1"/>
      <c r="G274" s="1"/>
      <c r="H274" s="1"/>
      <c r="I274" s="1"/>
      <c r="J274" s="1"/>
      <c r="K274" s="1"/>
    </row>
    <row r="275" ht="14.25" customHeight="1">
      <c r="A275" s="1"/>
      <c r="B275" s="1"/>
      <c r="C275" s="1"/>
      <c r="D275" s="1"/>
      <c r="E275" s="1"/>
      <c r="F275" s="1"/>
      <c r="G275" s="1"/>
      <c r="H275" s="1"/>
      <c r="I275" s="1"/>
      <c r="J275" s="1"/>
      <c r="K275" s="1"/>
    </row>
    <row r="276" ht="14.25" customHeight="1">
      <c r="A276" s="1"/>
      <c r="B276" s="1"/>
      <c r="C276" s="1"/>
      <c r="D276" s="1"/>
      <c r="E276" s="1"/>
      <c r="F276" s="1"/>
      <c r="G276" s="1"/>
      <c r="H276" s="1"/>
      <c r="I276" s="1"/>
      <c r="J276" s="1"/>
      <c r="K276" s="1"/>
    </row>
    <row r="277" ht="14.25" customHeight="1">
      <c r="A277" s="1"/>
      <c r="B277" s="1"/>
      <c r="C277" s="1"/>
      <c r="D277" s="1"/>
      <c r="E277" s="1"/>
      <c r="F277" s="1"/>
      <c r="G277" s="1"/>
      <c r="H277" s="1"/>
      <c r="I277" s="1"/>
      <c r="J277" s="1"/>
      <c r="K277" s="1"/>
    </row>
    <row r="278" ht="15.0" customHeight="1">
      <c r="A278" s="1"/>
      <c r="B278" s="1"/>
      <c r="C278" s="1"/>
      <c r="D278" s="1"/>
      <c r="E278" s="1"/>
      <c r="F278" s="1"/>
      <c r="G278" s="1"/>
      <c r="H278" s="1"/>
      <c r="I278" s="1"/>
      <c r="J278" s="1"/>
      <c r="K278" s="1"/>
    </row>
    <row r="279" ht="14.25" customHeight="1">
      <c r="A279" s="1"/>
      <c r="B279" s="1"/>
      <c r="C279" s="1"/>
      <c r="D279" s="1"/>
      <c r="E279" s="1"/>
      <c r="F279" s="1"/>
      <c r="G279" s="1"/>
      <c r="H279" s="1"/>
      <c r="I279" s="1"/>
      <c r="J279" s="1"/>
      <c r="K279" s="1"/>
    </row>
    <row r="280" ht="14.25" customHeight="1">
      <c r="A280" s="1"/>
      <c r="B280" s="1"/>
      <c r="C280" s="1"/>
      <c r="D280" s="1"/>
      <c r="E280" s="1"/>
      <c r="F280" s="1"/>
      <c r="G280" s="1"/>
      <c r="H280" s="1"/>
      <c r="I280" s="1"/>
      <c r="J280" s="1"/>
      <c r="K280" s="1"/>
    </row>
    <row r="281" ht="14.25" customHeight="1">
      <c r="A281" s="1"/>
      <c r="B281" s="1"/>
      <c r="C281" s="1"/>
      <c r="D281" s="1"/>
      <c r="E281" s="1"/>
      <c r="F281" s="1"/>
      <c r="G281" s="1"/>
      <c r="H281" s="1"/>
      <c r="I281" s="1"/>
      <c r="J281" s="1"/>
      <c r="K281" s="1"/>
    </row>
    <row r="282" ht="14.25" customHeight="1">
      <c r="A282" s="1"/>
      <c r="B282" s="1"/>
      <c r="C282" s="1"/>
      <c r="D282" s="1"/>
      <c r="E282" s="1"/>
      <c r="F282" s="1"/>
      <c r="G282" s="1"/>
      <c r="H282" s="1"/>
      <c r="I282" s="1"/>
      <c r="J282" s="1"/>
      <c r="K282" s="1"/>
    </row>
    <row r="283" ht="14.25" customHeight="1">
      <c r="A283" s="1"/>
      <c r="B283" s="1"/>
      <c r="C283" s="1"/>
      <c r="D283" s="1"/>
      <c r="E283" s="1"/>
      <c r="F283" s="1"/>
      <c r="G283" s="1"/>
      <c r="H283" s="1"/>
      <c r="I283" s="1"/>
      <c r="J283" s="1"/>
      <c r="K283" s="1"/>
    </row>
    <row r="284" ht="14.25" customHeight="1">
      <c r="A284" s="1"/>
      <c r="B284" s="1"/>
      <c r="C284" s="1"/>
      <c r="D284" s="1"/>
      <c r="E284" s="1"/>
      <c r="F284" s="1"/>
      <c r="G284" s="1"/>
      <c r="H284" s="1"/>
      <c r="I284" s="1"/>
      <c r="J284" s="1"/>
      <c r="K284" s="1"/>
    </row>
    <row r="285" ht="14.25" customHeight="1">
      <c r="A285" s="1"/>
      <c r="B285" s="1"/>
      <c r="C285" s="1"/>
      <c r="D285" s="1"/>
      <c r="E285" s="1"/>
      <c r="F285" s="1"/>
      <c r="G285" s="1"/>
      <c r="H285" s="1"/>
      <c r="I285" s="1"/>
      <c r="J285" s="1"/>
      <c r="K285" s="1"/>
    </row>
    <row r="286" ht="14.25" customHeight="1">
      <c r="A286" s="1"/>
      <c r="B286" s="1"/>
      <c r="C286" s="1"/>
      <c r="D286" s="1"/>
      <c r="E286" s="1"/>
      <c r="F286" s="1"/>
      <c r="G286" s="1"/>
      <c r="H286" s="1"/>
      <c r="I286" s="1"/>
      <c r="J286" s="1"/>
      <c r="K286" s="1"/>
    </row>
    <row r="287" ht="14.25" customHeight="1">
      <c r="A287" s="1"/>
      <c r="B287" s="1"/>
      <c r="C287" s="1"/>
      <c r="D287" s="1"/>
      <c r="E287" s="1"/>
      <c r="F287" s="1"/>
      <c r="G287" s="1"/>
      <c r="H287" s="1"/>
      <c r="I287" s="1"/>
      <c r="J287" s="1"/>
      <c r="K287" s="1"/>
    </row>
    <row r="288" ht="14.25" customHeight="1">
      <c r="A288" s="1"/>
      <c r="B288" s="1"/>
      <c r="C288" s="1"/>
      <c r="D288" s="1"/>
      <c r="E288" s="1"/>
      <c r="F288" s="1"/>
      <c r="G288" s="1"/>
      <c r="H288" s="1"/>
      <c r="I288" s="1"/>
      <c r="J288" s="1"/>
      <c r="K288" s="1"/>
    </row>
    <row r="289" ht="14.25" customHeight="1">
      <c r="A289" s="1"/>
      <c r="B289" s="1"/>
      <c r="C289" s="1"/>
      <c r="D289" s="1"/>
      <c r="E289" s="1"/>
      <c r="F289" s="1"/>
      <c r="G289" s="1"/>
      <c r="H289" s="1"/>
      <c r="I289" s="1"/>
      <c r="J289" s="1"/>
      <c r="K289" s="1"/>
    </row>
    <row r="290" ht="14.25" customHeight="1">
      <c r="A290" s="1"/>
      <c r="B290" s="1"/>
      <c r="C290" s="1"/>
      <c r="D290" s="1"/>
      <c r="E290" s="1"/>
      <c r="F290" s="1"/>
      <c r="G290" s="1"/>
      <c r="H290" s="1"/>
      <c r="I290" s="1"/>
      <c r="J290" s="1"/>
      <c r="K290" s="1"/>
    </row>
    <row r="291" ht="14.25" customHeight="1">
      <c r="A291" s="1"/>
      <c r="B291" s="1"/>
      <c r="C291" s="1"/>
      <c r="D291" s="1"/>
      <c r="E291" s="1"/>
      <c r="F291" s="1"/>
      <c r="G291" s="1"/>
      <c r="H291" s="1"/>
      <c r="I291" s="1"/>
      <c r="J291" s="1"/>
      <c r="K291" s="1"/>
    </row>
    <row r="292" ht="14.25" customHeight="1">
      <c r="A292" s="1"/>
      <c r="B292" s="1"/>
      <c r="C292" s="1"/>
      <c r="D292" s="1"/>
      <c r="E292" s="1"/>
      <c r="F292" s="1"/>
      <c r="G292" s="1"/>
      <c r="H292" s="1"/>
      <c r="I292" s="1"/>
      <c r="J292" s="1"/>
      <c r="K292" s="1"/>
    </row>
    <row r="293" ht="14.25" customHeight="1">
      <c r="A293" s="1"/>
      <c r="B293" s="1"/>
      <c r="C293" s="1"/>
      <c r="D293" s="1"/>
      <c r="E293" s="1"/>
      <c r="F293" s="1"/>
      <c r="G293" s="1"/>
      <c r="H293" s="1"/>
      <c r="I293" s="1"/>
      <c r="J293" s="1"/>
      <c r="K293" s="1"/>
    </row>
    <row r="294" ht="14.25" customHeight="1">
      <c r="A294" s="1"/>
      <c r="B294" s="1"/>
      <c r="C294" s="1"/>
      <c r="D294" s="1"/>
      <c r="E294" s="1"/>
      <c r="F294" s="1"/>
      <c r="G294" s="1"/>
      <c r="H294" s="1"/>
      <c r="I294" s="1"/>
      <c r="J294" s="1"/>
      <c r="K294" s="1"/>
    </row>
    <row r="295" ht="14.25" customHeight="1">
      <c r="A295" s="1"/>
      <c r="B295" s="1"/>
      <c r="C295" s="1"/>
      <c r="D295" s="1"/>
      <c r="E295" s="1"/>
      <c r="F295" s="1"/>
      <c r="G295" s="1"/>
      <c r="H295" s="1"/>
      <c r="I295" s="1"/>
      <c r="J295" s="1"/>
      <c r="K295" s="1"/>
    </row>
    <row r="296" ht="14.25" customHeight="1">
      <c r="A296" s="1"/>
      <c r="B296" s="1"/>
      <c r="C296" s="1"/>
      <c r="D296" s="1"/>
      <c r="E296" s="1"/>
      <c r="F296" s="1"/>
      <c r="G296" s="1"/>
      <c r="H296" s="1"/>
      <c r="I296" s="1"/>
      <c r="J296" s="1"/>
      <c r="K296" s="1"/>
    </row>
    <row r="297" ht="14.25" customHeight="1">
      <c r="A297" s="1"/>
      <c r="B297" s="1"/>
      <c r="C297" s="1"/>
      <c r="D297" s="1"/>
      <c r="E297" s="1"/>
      <c r="F297" s="1"/>
      <c r="G297" s="1"/>
      <c r="H297" s="1"/>
      <c r="I297" s="1"/>
      <c r="J297" s="1"/>
      <c r="K297" s="1"/>
    </row>
    <row r="298" ht="14.25" customHeight="1">
      <c r="A298" s="1"/>
      <c r="B298" s="1"/>
      <c r="C298" s="1"/>
      <c r="D298" s="1"/>
      <c r="E298" s="1"/>
      <c r="F298" s="1"/>
      <c r="G298" s="1"/>
      <c r="H298" s="1"/>
      <c r="I298" s="1"/>
      <c r="J298" s="1"/>
      <c r="K298" s="1"/>
    </row>
    <row r="299" ht="14.25" customHeight="1">
      <c r="A299" s="1"/>
      <c r="B299" s="1"/>
      <c r="C299" s="1"/>
      <c r="D299" s="1"/>
      <c r="E299" s="1"/>
      <c r="F299" s="1"/>
      <c r="G299" s="1"/>
      <c r="H299" s="1"/>
      <c r="I299" s="1"/>
      <c r="J299" s="1"/>
      <c r="K299" s="1"/>
    </row>
    <row r="300" ht="14.25" customHeight="1">
      <c r="A300" s="1"/>
      <c r="B300" s="1"/>
      <c r="C300" s="1"/>
      <c r="D300" s="1"/>
      <c r="E300" s="1"/>
      <c r="F300" s="1"/>
      <c r="G300" s="1"/>
      <c r="H300" s="1"/>
      <c r="I300" s="1"/>
      <c r="J300" s="1"/>
      <c r="K300" s="1"/>
    </row>
    <row r="301" ht="14.25" customHeight="1">
      <c r="A301" s="1"/>
      <c r="B301" s="1"/>
      <c r="C301" s="1"/>
      <c r="D301" s="1"/>
      <c r="E301" s="1"/>
      <c r="F301" s="1"/>
      <c r="G301" s="1"/>
      <c r="H301" s="1"/>
      <c r="I301" s="1"/>
      <c r="J301" s="1"/>
      <c r="K301" s="1"/>
    </row>
    <row r="302" ht="14.25" customHeight="1">
      <c r="A302" s="1"/>
      <c r="B302" s="1"/>
      <c r="C302" s="1"/>
      <c r="D302" s="1"/>
      <c r="E302" s="1"/>
      <c r="F302" s="1"/>
      <c r="G302" s="1"/>
      <c r="H302" s="1"/>
      <c r="I302" s="1"/>
      <c r="J302" s="1"/>
      <c r="K302" s="1"/>
    </row>
    <row r="303" ht="14.25" customHeight="1">
      <c r="A303" s="1"/>
      <c r="B303" s="1"/>
      <c r="C303" s="1"/>
      <c r="D303" s="1"/>
      <c r="E303" s="1"/>
      <c r="F303" s="1"/>
      <c r="G303" s="1"/>
      <c r="H303" s="1"/>
      <c r="I303" s="1"/>
      <c r="J303" s="1"/>
      <c r="K303" s="1"/>
    </row>
    <row r="304" ht="14.25" customHeight="1">
      <c r="A304" s="1"/>
      <c r="B304" s="1"/>
      <c r="C304" s="1"/>
      <c r="D304" s="1"/>
      <c r="E304" s="1"/>
      <c r="F304" s="1"/>
      <c r="G304" s="1"/>
      <c r="H304" s="1"/>
      <c r="I304" s="1"/>
      <c r="J304" s="1"/>
      <c r="K304" s="1"/>
    </row>
    <row r="305" ht="14.25" customHeight="1">
      <c r="A305" s="1"/>
      <c r="B305" s="1"/>
      <c r="C305" s="1"/>
      <c r="D305" s="1"/>
      <c r="E305" s="1"/>
      <c r="F305" s="1"/>
      <c r="G305" s="1"/>
      <c r="H305" s="1"/>
      <c r="I305" s="1"/>
      <c r="J305" s="1"/>
      <c r="K305" s="1"/>
    </row>
    <row r="306" ht="14.25" customHeight="1">
      <c r="A306" s="1"/>
      <c r="B306" s="1"/>
      <c r="C306" s="1"/>
      <c r="D306" s="1"/>
      <c r="E306" s="1"/>
      <c r="F306" s="1"/>
      <c r="G306" s="1"/>
      <c r="H306" s="1"/>
      <c r="I306" s="1"/>
      <c r="J306" s="1"/>
      <c r="K306" s="1"/>
    </row>
    <row r="307" ht="14.25" customHeight="1">
      <c r="A307" s="1"/>
      <c r="B307" s="1"/>
      <c r="C307" s="1"/>
      <c r="D307" s="1"/>
      <c r="E307" s="1"/>
      <c r="F307" s="1"/>
      <c r="G307" s="1"/>
      <c r="H307" s="1"/>
      <c r="I307" s="1"/>
      <c r="J307" s="1"/>
      <c r="K307" s="1"/>
    </row>
    <row r="308" ht="14.25" customHeight="1">
      <c r="A308" s="1"/>
      <c r="B308" s="1"/>
      <c r="C308" s="1"/>
      <c r="D308" s="1"/>
      <c r="E308" s="1"/>
      <c r="F308" s="1"/>
      <c r="G308" s="1"/>
      <c r="H308" s="1"/>
      <c r="I308" s="1"/>
      <c r="J308" s="1"/>
      <c r="K308" s="1"/>
    </row>
    <row r="309" ht="14.25" customHeight="1">
      <c r="A309" s="1"/>
      <c r="B309" s="1"/>
      <c r="C309" s="1"/>
      <c r="D309" s="1"/>
      <c r="E309" s="1"/>
      <c r="F309" s="1"/>
      <c r="G309" s="1"/>
      <c r="H309" s="1"/>
      <c r="I309" s="1"/>
      <c r="J309" s="1"/>
      <c r="K309" s="1"/>
    </row>
    <row r="310" ht="14.25" customHeight="1">
      <c r="A310" s="1"/>
      <c r="B310" s="1"/>
      <c r="C310" s="1"/>
      <c r="D310" s="1"/>
      <c r="E310" s="1"/>
      <c r="F310" s="1"/>
      <c r="G310" s="1"/>
      <c r="H310" s="1"/>
      <c r="I310" s="1"/>
      <c r="J310" s="1"/>
      <c r="K310" s="1"/>
    </row>
    <row r="311" ht="14.25" customHeight="1">
      <c r="A311" s="1"/>
      <c r="B311" s="1"/>
      <c r="C311" s="1"/>
      <c r="D311" s="1"/>
      <c r="E311" s="1"/>
      <c r="F311" s="1"/>
      <c r="G311" s="1"/>
      <c r="H311" s="1"/>
      <c r="I311" s="1"/>
      <c r="J311" s="1"/>
      <c r="K311" s="1"/>
    </row>
    <row r="312" ht="14.25" customHeight="1">
      <c r="A312" s="1"/>
      <c r="B312" s="1"/>
      <c r="C312" s="1"/>
      <c r="D312" s="1"/>
      <c r="E312" s="1"/>
      <c r="F312" s="1"/>
      <c r="G312" s="1"/>
      <c r="H312" s="1"/>
      <c r="I312" s="1"/>
      <c r="J312" s="1"/>
      <c r="K312" s="1"/>
    </row>
    <row r="313" ht="14.25" customHeight="1">
      <c r="A313" s="1"/>
      <c r="B313" s="1"/>
      <c r="C313" s="1"/>
      <c r="D313" s="1"/>
      <c r="E313" s="1"/>
      <c r="F313" s="1"/>
      <c r="G313" s="1"/>
      <c r="H313" s="1"/>
      <c r="I313" s="1"/>
      <c r="J313" s="1"/>
      <c r="K313" s="1"/>
    </row>
    <row r="314" ht="14.25" customHeight="1">
      <c r="A314" s="1"/>
      <c r="B314" s="1"/>
      <c r="C314" s="1"/>
      <c r="D314" s="1"/>
      <c r="E314" s="1"/>
      <c r="F314" s="1"/>
      <c r="G314" s="1"/>
      <c r="H314" s="1"/>
      <c r="I314" s="1"/>
      <c r="J314" s="1"/>
      <c r="K314" s="1"/>
    </row>
    <row r="315" ht="14.25" customHeight="1">
      <c r="A315" s="1"/>
      <c r="B315" s="1"/>
      <c r="C315" s="1"/>
      <c r="D315" s="1"/>
      <c r="E315" s="1"/>
      <c r="F315" s="1"/>
      <c r="G315" s="1"/>
      <c r="H315" s="1"/>
      <c r="I315" s="1"/>
      <c r="J315" s="1"/>
      <c r="K315" s="1"/>
    </row>
    <row r="316" ht="14.25" customHeight="1">
      <c r="A316" s="1"/>
      <c r="B316" s="1"/>
      <c r="C316" s="1"/>
      <c r="D316" s="1"/>
      <c r="E316" s="1"/>
      <c r="F316" s="1"/>
      <c r="G316" s="1"/>
      <c r="H316" s="1"/>
      <c r="I316" s="1"/>
      <c r="J316" s="1"/>
      <c r="K316" s="1"/>
    </row>
    <row r="317" ht="14.25" customHeight="1">
      <c r="A317" s="1"/>
      <c r="B317" s="1"/>
      <c r="C317" s="1"/>
      <c r="D317" s="1"/>
      <c r="E317" s="1"/>
      <c r="F317" s="1"/>
      <c r="G317" s="1"/>
      <c r="H317" s="1"/>
      <c r="I317" s="1"/>
      <c r="J317" s="1"/>
      <c r="K317" s="1"/>
    </row>
    <row r="318" ht="14.25" customHeight="1">
      <c r="A318" s="1"/>
      <c r="B318" s="1"/>
      <c r="C318" s="1"/>
      <c r="D318" s="1"/>
      <c r="E318" s="1"/>
      <c r="F318" s="1"/>
      <c r="G318" s="1"/>
      <c r="H318" s="1"/>
      <c r="I318" s="1"/>
      <c r="J318" s="1"/>
      <c r="K318" s="1"/>
    </row>
    <row r="319" ht="14.25" customHeight="1">
      <c r="A319" s="1"/>
      <c r="B319" s="1"/>
      <c r="C319" s="1"/>
      <c r="D319" s="1"/>
      <c r="E319" s="1"/>
      <c r="F319" s="1"/>
      <c r="G319" s="1"/>
      <c r="H319" s="1"/>
      <c r="I319" s="1"/>
      <c r="J319" s="1"/>
      <c r="K319" s="1"/>
    </row>
    <row r="320" ht="14.25" customHeight="1">
      <c r="A320" s="1"/>
      <c r="B320" s="1"/>
      <c r="C320" s="1"/>
      <c r="D320" s="1"/>
      <c r="E320" s="1"/>
      <c r="F320" s="1"/>
      <c r="G320" s="1"/>
      <c r="H320" s="1"/>
      <c r="I320" s="1"/>
      <c r="J320" s="1"/>
      <c r="K320" s="1"/>
    </row>
    <row r="321" ht="16.5" customHeight="1">
      <c r="A321" s="1"/>
      <c r="B321" s="1"/>
      <c r="C321" s="1"/>
      <c r="D321" s="1"/>
      <c r="E321" s="1"/>
      <c r="F321" s="1"/>
      <c r="G321" s="1"/>
      <c r="H321" s="1"/>
      <c r="I321" s="1"/>
      <c r="J321" s="1"/>
      <c r="K321" s="1"/>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D1"/>
    <mergeCell ref="A14:D14"/>
    <mergeCell ref="A15:D15"/>
    <mergeCell ref="A16:D16"/>
    <mergeCell ref="A18:D18"/>
    <mergeCell ref="E20:E22"/>
    <mergeCell ref="A28:D28"/>
    <mergeCell ref="E30:E31"/>
    <mergeCell ref="E32:E36"/>
    <mergeCell ref="A39:D39"/>
    <mergeCell ref="A41:D41"/>
    <mergeCell ref="A57:D57"/>
    <mergeCell ref="A58:D58"/>
    <mergeCell ref="E60:E64"/>
    <mergeCell ref="A92:D93"/>
    <mergeCell ref="A123:D123"/>
    <mergeCell ref="E123:E125"/>
    <mergeCell ref="E126:E138"/>
    <mergeCell ref="E65:E70"/>
    <mergeCell ref="E71:E74"/>
    <mergeCell ref="E75:E77"/>
    <mergeCell ref="F75:F77"/>
    <mergeCell ref="A79:C79"/>
    <mergeCell ref="A83:D83"/>
    <mergeCell ref="E85:E89"/>
  </mergeCells>
  <hyperlinks>
    <hyperlink display="Back" location="'Recipe Index'!CN37" ref="A13"/>
    <hyperlink display="HOME" location="'Recipe Index'!B5" ref="B13"/>
    <hyperlink display="Back" location="'Recipe Index'!CN37" ref="A24"/>
    <hyperlink display="HOME" location="'Recipe Index'!B5" ref="B24"/>
    <hyperlink display="Back" location="'Recipe Index'!CN37" ref="A38"/>
    <hyperlink display="HOME" location="'Recipe Index'!B5" ref="B38"/>
    <hyperlink display="Back" location="'Recipe Index'!CN37" ref="A56"/>
    <hyperlink display="HOME" location="'Recipe Index'!B5" ref="B56"/>
    <hyperlink display="Back" location="'Recipe Index'!CN37" ref="A78"/>
    <hyperlink display="HOME" location="'Recipe Index'!B5" ref="B78"/>
    <hyperlink display="Back" location="'Recipe Index'!CN37" ref="A90"/>
    <hyperlink display="HOME" location="'Recipe Index'!B5" ref="B90"/>
    <hyperlink display="Back" location="'Recipe Index'!CN37" ref="A109"/>
    <hyperlink display="HOME" location="'Recipe Index'!B5" ref="B109"/>
    <hyperlink display="Back" location="'Recipe Index'!CN37" ref="A139"/>
    <hyperlink display="HOME" location="'Recipe Index'!B5" ref="B139"/>
  </hyperlinks>
  <printOptions/>
  <pageMargins bottom="0.0" footer="0.0" header="0.0" left="0.0" right="0.0" top="0.0"/>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2.63" defaultRowHeight="15.0"/>
  <cols>
    <col customWidth="1" min="1" max="1" width="35.25"/>
    <col customWidth="1" hidden="1" min="2" max="2" width="10.63"/>
    <col customWidth="1" min="3" max="4" width="12.25"/>
    <col customWidth="1" min="5" max="5" width="5.75"/>
    <col customWidth="1" min="6" max="6" width="29.25"/>
    <col customWidth="1" min="7" max="7" width="11.25"/>
    <col customWidth="1" min="8" max="8" width="30.75"/>
    <col customWidth="1" min="9" max="9" width="10.25"/>
    <col customWidth="1" min="10" max="10" width="11.63"/>
    <col customWidth="1" min="11" max="11" width="6.75"/>
    <col customWidth="1" min="12" max="12" width="27.25"/>
    <col customWidth="1" min="13" max="27" width="14.38"/>
  </cols>
  <sheetData>
    <row r="1" ht="15.0" customHeight="1">
      <c r="A1" s="511" t="s">
        <v>471</v>
      </c>
      <c r="B1" s="18"/>
      <c r="C1" s="18"/>
      <c r="D1" s="18"/>
      <c r="E1" s="19"/>
      <c r="F1" s="1117"/>
      <c r="G1" s="1"/>
      <c r="H1" s="1"/>
      <c r="I1" s="1"/>
      <c r="J1" s="1"/>
      <c r="K1" s="1"/>
      <c r="L1" s="1"/>
    </row>
    <row r="2">
      <c r="A2" s="51" t="s">
        <v>1817</v>
      </c>
      <c r="B2" s="190">
        <v>65.0</v>
      </c>
      <c r="C2" s="1274">
        <v>195.0</v>
      </c>
      <c r="D2" s="1571"/>
      <c r="E2" s="1572" t="s">
        <v>5</v>
      </c>
      <c r="F2" s="1573"/>
      <c r="G2" s="1"/>
      <c r="H2" s="1"/>
      <c r="I2" s="1"/>
      <c r="J2" s="1"/>
      <c r="K2" s="1"/>
      <c r="L2" s="1"/>
    </row>
    <row r="3">
      <c r="A3" s="51" t="s">
        <v>53</v>
      </c>
      <c r="B3" s="190">
        <v>10.0</v>
      </c>
      <c r="C3" s="513">
        <f t="shared" ref="C3:C6" si="1">(B3*C2)/B2</f>
        <v>30</v>
      </c>
      <c r="D3" s="1576"/>
      <c r="E3" s="1572" t="s">
        <v>14</v>
      </c>
      <c r="F3" s="1577"/>
      <c r="G3" s="1"/>
      <c r="H3" s="1"/>
      <c r="I3" s="1"/>
      <c r="J3" s="1"/>
      <c r="K3" s="1"/>
      <c r="L3" s="1"/>
    </row>
    <row r="4">
      <c r="A4" s="68" t="s">
        <v>91</v>
      </c>
      <c r="B4" s="145">
        <v>3.5</v>
      </c>
      <c r="C4" s="155">
        <f t="shared" si="1"/>
        <v>10.5</v>
      </c>
      <c r="D4" s="899"/>
      <c r="E4" s="1579" t="s">
        <v>5</v>
      </c>
      <c r="F4" s="44" t="s">
        <v>1822</v>
      </c>
      <c r="G4" s="1"/>
      <c r="H4" s="1"/>
      <c r="I4" s="1"/>
      <c r="J4" s="1"/>
      <c r="K4" s="1"/>
      <c r="L4" s="1"/>
    </row>
    <row r="5">
      <c r="A5" s="119" t="s">
        <v>1823</v>
      </c>
      <c r="B5" s="238">
        <v>500.0</v>
      </c>
      <c r="C5" s="129">
        <f t="shared" si="1"/>
        <v>1500</v>
      </c>
      <c r="D5" s="1583"/>
      <c r="E5" s="1584" t="s">
        <v>18</v>
      </c>
      <c r="F5" s="47"/>
      <c r="G5" s="1"/>
      <c r="H5" s="1"/>
      <c r="I5" s="1"/>
      <c r="J5" s="1"/>
      <c r="K5" s="1"/>
      <c r="L5" s="1"/>
    </row>
    <row r="6">
      <c r="A6" s="93" t="s">
        <v>95</v>
      </c>
      <c r="B6" s="1213">
        <v>25.0</v>
      </c>
      <c r="C6" s="94">
        <f t="shared" si="1"/>
        <v>75</v>
      </c>
      <c r="D6" s="1586"/>
      <c r="E6" s="249" t="s">
        <v>18</v>
      </c>
      <c r="F6" s="47"/>
      <c r="G6" s="1"/>
      <c r="H6" s="1"/>
      <c r="I6" s="1"/>
      <c r="J6" s="1"/>
      <c r="K6" s="1"/>
      <c r="L6" s="1"/>
    </row>
    <row r="7">
      <c r="A7" s="93" t="s">
        <v>1746</v>
      </c>
      <c r="B7" s="1213">
        <v>30.0</v>
      </c>
      <c r="C7" s="94">
        <f>(B7*C8)/B8</f>
        <v>90</v>
      </c>
      <c r="D7" s="1586"/>
      <c r="E7" s="249" t="s">
        <v>18</v>
      </c>
      <c r="F7" s="47"/>
      <c r="G7" s="1"/>
      <c r="H7" s="1"/>
      <c r="I7" s="1"/>
      <c r="J7" s="1"/>
      <c r="K7" s="1"/>
      <c r="L7" s="1"/>
    </row>
    <row r="8">
      <c r="A8" s="93" t="s">
        <v>1176</v>
      </c>
      <c r="B8" s="1213">
        <v>25.0</v>
      </c>
      <c r="C8" s="94">
        <f>(B8*C13)/B13</f>
        <v>75</v>
      </c>
      <c r="D8" s="1586"/>
      <c r="E8" s="249" t="s">
        <v>18</v>
      </c>
      <c r="F8" s="47"/>
      <c r="G8" s="1"/>
      <c r="H8" s="1"/>
      <c r="I8" s="1"/>
      <c r="J8" s="1"/>
      <c r="K8" s="1"/>
      <c r="L8" s="1"/>
    </row>
    <row r="9">
      <c r="A9" s="93" t="s">
        <v>210</v>
      </c>
      <c r="B9" s="1213">
        <v>15.0</v>
      </c>
      <c r="C9" s="94">
        <f>(B9*C7)/B7</f>
        <v>45</v>
      </c>
      <c r="D9" s="1586"/>
      <c r="E9" s="249" t="s">
        <v>18</v>
      </c>
      <c r="F9" s="47"/>
      <c r="G9" s="1"/>
      <c r="H9" s="1"/>
      <c r="I9" s="1"/>
      <c r="J9" s="1"/>
      <c r="K9" s="1"/>
      <c r="L9" s="1"/>
    </row>
    <row r="10" ht="15.0" customHeight="1">
      <c r="A10" s="93" t="s">
        <v>98</v>
      </c>
      <c r="B10" s="195">
        <v>200.0</v>
      </c>
      <c r="C10" s="78">
        <f t="shared" ref="C10:C12" si="2">(B10*C9)/B9</f>
        <v>600</v>
      </c>
      <c r="D10" s="900"/>
      <c r="E10" s="1588" t="s">
        <v>18</v>
      </c>
      <c r="F10" s="47"/>
      <c r="G10" s="1"/>
      <c r="H10" s="1"/>
      <c r="I10" s="1"/>
      <c r="J10" s="1"/>
      <c r="K10" s="1"/>
      <c r="L10" s="1"/>
    </row>
    <row r="11">
      <c r="A11" s="93" t="s">
        <v>66</v>
      </c>
      <c r="B11" s="1213">
        <v>10.0</v>
      </c>
      <c r="C11" s="94">
        <f t="shared" si="2"/>
        <v>30</v>
      </c>
      <c r="D11" s="1586"/>
      <c r="E11" s="249" t="s">
        <v>18</v>
      </c>
      <c r="F11" s="47"/>
      <c r="G11" s="1"/>
      <c r="H11" s="1"/>
      <c r="I11" s="1"/>
      <c r="J11" s="1"/>
      <c r="K11" s="1"/>
      <c r="L11" s="1"/>
    </row>
    <row r="12">
      <c r="A12" s="93" t="s">
        <v>102</v>
      </c>
      <c r="B12" s="1213">
        <v>12.5</v>
      </c>
      <c r="C12" s="94">
        <f t="shared" si="2"/>
        <v>37.5</v>
      </c>
      <c r="D12" s="1586"/>
      <c r="E12" s="249" t="s">
        <v>18</v>
      </c>
      <c r="F12" s="47"/>
      <c r="G12" s="1"/>
      <c r="H12" s="1"/>
      <c r="I12" s="1"/>
      <c r="J12" s="1"/>
      <c r="K12" s="1"/>
      <c r="L12" s="1"/>
    </row>
    <row r="13">
      <c r="A13" s="93" t="s">
        <v>96</v>
      </c>
      <c r="B13" s="1213">
        <v>5.0</v>
      </c>
      <c r="C13" s="94">
        <f>(B13*C6)/B6</f>
        <v>15</v>
      </c>
      <c r="D13" s="1586"/>
      <c r="E13" s="249" t="s">
        <v>18</v>
      </c>
      <c r="F13" s="47"/>
      <c r="G13" s="1"/>
      <c r="H13" s="1"/>
      <c r="I13" s="1"/>
      <c r="J13" s="1"/>
      <c r="K13" s="1"/>
      <c r="L13" s="1"/>
    </row>
    <row r="14">
      <c r="A14" s="93" t="s">
        <v>1179</v>
      </c>
      <c r="B14" s="1213">
        <v>15.0</v>
      </c>
      <c r="C14" s="94">
        <f>(B14*C12)/B12</f>
        <v>45</v>
      </c>
      <c r="D14" s="1586"/>
      <c r="E14" s="249" t="s">
        <v>18</v>
      </c>
      <c r="F14" s="47"/>
      <c r="G14" s="1"/>
      <c r="H14" s="1"/>
      <c r="I14" s="1"/>
      <c r="J14" s="1"/>
      <c r="K14" s="1"/>
      <c r="L14" s="1"/>
    </row>
    <row r="15">
      <c r="A15" s="138" t="s">
        <v>753</v>
      </c>
      <c r="B15" s="351">
        <v>250.0</v>
      </c>
      <c r="C15" s="94">
        <f t="shared" ref="C15:C43" si="3">(B15*C14)/B14</f>
        <v>750</v>
      </c>
      <c r="D15" s="1596"/>
      <c r="E15" s="242" t="s">
        <v>18</v>
      </c>
      <c r="F15" s="47"/>
      <c r="G15" s="1"/>
      <c r="H15" s="1"/>
      <c r="I15" s="1"/>
      <c r="J15" s="1"/>
      <c r="K15" s="1"/>
      <c r="L15" s="1"/>
    </row>
    <row r="16" ht="15.0" customHeight="1">
      <c r="A16" s="138" t="s">
        <v>148</v>
      </c>
      <c r="B16" s="279">
        <v>250.0</v>
      </c>
      <c r="C16" s="94">
        <f t="shared" si="3"/>
        <v>750</v>
      </c>
      <c r="D16" s="1596"/>
      <c r="E16" s="1599" t="s">
        <v>18</v>
      </c>
      <c r="F16" s="47"/>
      <c r="G16" s="1"/>
      <c r="H16" s="1"/>
      <c r="I16" s="1"/>
      <c r="J16" s="1"/>
      <c r="K16" s="1"/>
      <c r="L16" s="1"/>
    </row>
    <row r="17">
      <c r="A17" s="68" t="s">
        <v>152</v>
      </c>
      <c r="B17" s="145">
        <v>2.5</v>
      </c>
      <c r="C17" s="155">
        <f t="shared" si="3"/>
        <v>7.5</v>
      </c>
      <c r="D17" s="899"/>
      <c r="E17" s="1579" t="s">
        <v>14</v>
      </c>
      <c r="F17" s="47"/>
      <c r="G17" s="1"/>
      <c r="H17" s="1"/>
      <c r="I17" s="1"/>
      <c r="J17" s="1"/>
      <c r="K17" s="1"/>
      <c r="L17" s="1"/>
    </row>
    <row r="18">
      <c r="A18" s="119" t="s">
        <v>150</v>
      </c>
      <c r="B18" s="238">
        <v>2.5</v>
      </c>
      <c r="C18" s="129">
        <f t="shared" si="3"/>
        <v>7.5</v>
      </c>
      <c r="D18" s="1583"/>
      <c r="E18" s="1584" t="s">
        <v>14</v>
      </c>
      <c r="F18" s="47"/>
      <c r="G18" s="1"/>
      <c r="H18" s="1"/>
      <c r="I18" s="1"/>
      <c r="J18" s="1"/>
      <c r="K18" s="1"/>
      <c r="L18" s="1"/>
    </row>
    <row r="19">
      <c r="A19" s="93" t="s">
        <v>1844</v>
      </c>
      <c r="B19" s="195">
        <v>5.0</v>
      </c>
      <c r="C19" s="78">
        <f t="shared" si="3"/>
        <v>15</v>
      </c>
      <c r="D19" s="900"/>
      <c r="E19" s="1588" t="s">
        <v>14</v>
      </c>
      <c r="F19" s="47"/>
      <c r="G19" s="1"/>
      <c r="H19" s="1"/>
      <c r="I19" s="1"/>
      <c r="J19" s="1"/>
      <c r="K19" s="1"/>
      <c r="L19" s="1"/>
    </row>
    <row r="20" ht="14.25" customHeight="1">
      <c r="A20" s="93" t="s">
        <v>153</v>
      </c>
      <c r="B20" s="195">
        <v>2.5</v>
      </c>
      <c r="C20" s="78">
        <f t="shared" si="3"/>
        <v>7.5</v>
      </c>
      <c r="D20" s="900"/>
      <c r="E20" s="1588" t="s">
        <v>14</v>
      </c>
      <c r="F20" s="47"/>
      <c r="G20" s="1"/>
      <c r="H20" s="1"/>
      <c r="I20" s="1"/>
      <c r="J20" s="1"/>
      <c r="K20" s="1"/>
      <c r="L20" s="1"/>
    </row>
    <row r="21" ht="15.75" customHeight="1">
      <c r="A21" s="93" t="s">
        <v>490</v>
      </c>
      <c r="B21" s="195">
        <v>2.5</v>
      </c>
      <c r="C21" s="78">
        <f t="shared" si="3"/>
        <v>7.5</v>
      </c>
      <c r="D21" s="900"/>
      <c r="E21" s="1588" t="s">
        <v>14</v>
      </c>
      <c r="F21" s="47"/>
      <c r="G21" s="1"/>
      <c r="H21" s="1"/>
      <c r="I21" s="1"/>
      <c r="J21" s="1"/>
      <c r="K21" s="1"/>
      <c r="L21" s="1"/>
    </row>
    <row r="22" ht="15.75" customHeight="1">
      <c r="A22" s="138" t="s">
        <v>1023</v>
      </c>
      <c r="B22" s="279">
        <v>5.0</v>
      </c>
      <c r="C22" s="78">
        <f t="shared" si="3"/>
        <v>15</v>
      </c>
      <c r="D22" s="900"/>
      <c r="E22" s="1588" t="s">
        <v>14</v>
      </c>
      <c r="F22" s="47"/>
      <c r="G22" s="1"/>
      <c r="H22" s="1"/>
      <c r="I22" s="1"/>
      <c r="J22" s="1"/>
      <c r="K22" s="1"/>
      <c r="L22" s="1"/>
    </row>
    <row r="23" ht="15.0" customHeight="1">
      <c r="A23" s="105" t="s">
        <v>329</v>
      </c>
      <c r="B23" s="200">
        <v>5.0</v>
      </c>
      <c r="C23" s="56">
        <f t="shared" si="3"/>
        <v>15</v>
      </c>
      <c r="D23" s="1604"/>
      <c r="E23" s="1605" t="s">
        <v>14</v>
      </c>
      <c r="F23" s="47"/>
      <c r="G23" s="1"/>
      <c r="H23" s="1"/>
      <c r="I23" s="1"/>
      <c r="J23" s="1"/>
      <c r="K23" s="1"/>
      <c r="L23" s="1"/>
    </row>
    <row r="24" ht="15.75" customHeight="1">
      <c r="A24" s="119" t="s">
        <v>52</v>
      </c>
      <c r="B24" s="238">
        <v>50.0</v>
      </c>
      <c r="C24" s="129">
        <f t="shared" si="3"/>
        <v>150</v>
      </c>
      <c r="D24" s="1583"/>
      <c r="E24" s="1584" t="s">
        <v>18</v>
      </c>
      <c r="F24" s="47"/>
      <c r="G24" s="1"/>
      <c r="H24" s="1"/>
      <c r="I24" s="1"/>
      <c r="J24" s="1"/>
      <c r="K24" s="1"/>
      <c r="L24" s="1"/>
    </row>
    <row r="25" ht="15.75" customHeight="1">
      <c r="A25" s="93" t="s">
        <v>208</v>
      </c>
      <c r="B25" s="195">
        <v>100.0</v>
      </c>
      <c r="C25" s="78">
        <f t="shared" si="3"/>
        <v>300</v>
      </c>
      <c r="D25" s="900"/>
      <c r="E25" s="1588" t="s">
        <v>18</v>
      </c>
      <c r="F25" s="47"/>
      <c r="G25" s="1"/>
      <c r="H25" s="1"/>
      <c r="I25" s="1"/>
      <c r="J25" s="1"/>
      <c r="K25" s="1"/>
      <c r="L25" s="1"/>
    </row>
    <row r="26" ht="15.0" customHeight="1">
      <c r="A26" s="138" t="s">
        <v>850</v>
      </c>
      <c r="B26" s="279">
        <v>5.0</v>
      </c>
      <c r="C26" s="146">
        <f t="shared" si="3"/>
        <v>15</v>
      </c>
      <c r="D26" s="1607"/>
      <c r="E26" s="1599" t="s">
        <v>14</v>
      </c>
      <c r="F26" s="76"/>
      <c r="G26" s="1"/>
      <c r="H26" s="1"/>
      <c r="I26" s="1"/>
      <c r="J26" s="1"/>
      <c r="K26" s="1"/>
      <c r="L26" s="1"/>
    </row>
    <row r="27" ht="15.0" customHeight="1">
      <c r="A27" s="68" t="s">
        <v>157</v>
      </c>
      <c r="B27" s="145">
        <v>25.0</v>
      </c>
      <c r="C27" s="155">
        <f t="shared" si="3"/>
        <v>75</v>
      </c>
      <c r="D27" s="899"/>
      <c r="E27" s="1579" t="s">
        <v>5</v>
      </c>
      <c r="F27" s="44" t="s">
        <v>1847</v>
      </c>
      <c r="G27" s="1"/>
      <c r="H27" s="1"/>
      <c r="I27" s="1"/>
      <c r="J27" s="1"/>
      <c r="K27" s="1"/>
      <c r="L27" s="1"/>
    </row>
    <row r="28" ht="15.0" customHeight="1">
      <c r="A28" s="93" t="s">
        <v>160</v>
      </c>
      <c r="B28" s="195">
        <v>400.0</v>
      </c>
      <c r="C28" s="78">
        <f t="shared" si="3"/>
        <v>1200</v>
      </c>
      <c r="D28" s="900"/>
      <c r="E28" s="1588" t="s">
        <v>18</v>
      </c>
      <c r="F28" s="47"/>
      <c r="G28" s="1"/>
      <c r="H28" s="1"/>
      <c r="I28" s="1"/>
      <c r="J28" s="1"/>
      <c r="K28" s="1"/>
      <c r="L28" s="1"/>
    </row>
    <row r="29" ht="15.75" customHeight="1">
      <c r="A29" s="138" t="s">
        <v>31</v>
      </c>
      <c r="B29" s="279">
        <v>900.0</v>
      </c>
      <c r="C29" s="146">
        <f t="shared" si="3"/>
        <v>2700</v>
      </c>
      <c r="D29" s="1607"/>
      <c r="E29" s="1599" t="s">
        <v>18</v>
      </c>
      <c r="F29" s="47"/>
      <c r="G29" s="1"/>
      <c r="H29" s="1"/>
      <c r="I29" s="1"/>
      <c r="J29" s="1"/>
      <c r="K29" s="1"/>
      <c r="L29" s="1"/>
    </row>
    <row r="30" ht="15.0" customHeight="1">
      <c r="A30" s="68" t="s">
        <v>335</v>
      </c>
      <c r="B30" s="145">
        <v>2.5</v>
      </c>
      <c r="C30" s="155">
        <f t="shared" si="3"/>
        <v>7.5</v>
      </c>
      <c r="D30" s="899"/>
      <c r="E30" s="1579" t="s">
        <v>5</v>
      </c>
      <c r="F30" s="44" t="s">
        <v>1848</v>
      </c>
      <c r="G30" s="1"/>
      <c r="H30" s="1"/>
      <c r="I30" s="1"/>
      <c r="J30" s="1"/>
      <c r="K30" s="1"/>
      <c r="L30" s="1"/>
    </row>
    <row r="31" ht="15.0" customHeight="1">
      <c r="A31" s="417" t="s">
        <v>1849</v>
      </c>
      <c r="B31" s="418">
        <v>500.0</v>
      </c>
      <c r="C31" s="542">
        <f t="shared" si="3"/>
        <v>1500</v>
      </c>
      <c r="D31" s="1614"/>
      <c r="E31" s="1616" t="s">
        <v>18</v>
      </c>
      <c r="F31" s="47"/>
      <c r="G31" s="1"/>
      <c r="H31" s="1"/>
      <c r="I31" s="1"/>
      <c r="J31" s="1"/>
      <c r="K31" s="1"/>
      <c r="L31" s="1"/>
    </row>
    <row r="32" ht="15.75" customHeight="1">
      <c r="A32" s="138" t="s">
        <v>1291</v>
      </c>
      <c r="B32" s="279">
        <v>10.0</v>
      </c>
      <c r="C32" s="146">
        <f t="shared" si="3"/>
        <v>30</v>
      </c>
      <c r="D32" s="1607"/>
      <c r="E32" s="1599" t="s">
        <v>93</v>
      </c>
      <c r="F32" s="47"/>
      <c r="G32" s="1"/>
      <c r="H32" s="1"/>
      <c r="I32" s="1"/>
      <c r="J32" s="1"/>
      <c r="K32" s="1"/>
      <c r="L32" s="1"/>
    </row>
    <row r="33" ht="15.75" customHeight="1">
      <c r="A33" s="68" t="s">
        <v>21</v>
      </c>
      <c r="B33" s="1202">
        <v>10.0</v>
      </c>
      <c r="C33" s="73">
        <f t="shared" si="3"/>
        <v>30</v>
      </c>
      <c r="D33" s="1620"/>
      <c r="E33" s="216" t="s">
        <v>18</v>
      </c>
      <c r="F33" s="47"/>
      <c r="G33" s="1"/>
      <c r="H33" s="1"/>
      <c r="I33" s="1"/>
      <c r="J33" s="1"/>
      <c r="K33" s="1"/>
      <c r="L33" s="1"/>
    </row>
    <row r="34" ht="15.0" customHeight="1">
      <c r="A34" s="93" t="s">
        <v>17</v>
      </c>
      <c r="B34" s="1213">
        <v>25.0</v>
      </c>
      <c r="C34" s="94">
        <f t="shared" si="3"/>
        <v>75</v>
      </c>
      <c r="D34" s="1586"/>
      <c r="E34" s="249" t="s">
        <v>18</v>
      </c>
      <c r="F34" s="47"/>
      <c r="G34" s="1"/>
      <c r="H34" s="1"/>
      <c r="I34" s="1"/>
      <c r="J34" s="1"/>
      <c r="K34" s="1"/>
      <c r="L34" s="1"/>
    </row>
    <row r="35" ht="15.75" customHeight="1">
      <c r="A35" s="93" t="s">
        <v>1851</v>
      </c>
      <c r="B35" s="1213">
        <v>10.0</v>
      </c>
      <c r="C35" s="94">
        <f t="shared" si="3"/>
        <v>30</v>
      </c>
      <c r="D35" s="1586"/>
      <c r="E35" s="249" t="s">
        <v>18</v>
      </c>
      <c r="F35" s="76"/>
      <c r="G35" s="1"/>
      <c r="H35" s="1"/>
      <c r="I35" s="1"/>
      <c r="J35" s="1"/>
      <c r="K35" s="1"/>
      <c r="L35" s="1"/>
    </row>
    <row r="36" ht="15.75" customHeight="1">
      <c r="A36" s="68" t="s">
        <v>335</v>
      </c>
      <c r="B36" s="145">
        <v>2.5</v>
      </c>
      <c r="C36" s="155">
        <f t="shared" si="3"/>
        <v>7.5</v>
      </c>
      <c r="D36" s="899"/>
      <c r="E36" s="1579" t="s">
        <v>5</v>
      </c>
      <c r="F36" s="44" t="s">
        <v>1852</v>
      </c>
      <c r="G36" s="1"/>
      <c r="H36" s="1"/>
      <c r="I36" s="1"/>
      <c r="J36" s="1"/>
      <c r="K36" s="1"/>
      <c r="L36" s="1"/>
    </row>
    <row r="37" ht="15.75" customHeight="1">
      <c r="A37" s="417" t="s">
        <v>1849</v>
      </c>
      <c r="B37" s="418">
        <v>500.0</v>
      </c>
      <c r="C37" s="542">
        <f t="shared" si="3"/>
        <v>1500</v>
      </c>
      <c r="D37" s="1614"/>
      <c r="E37" s="1616" t="s">
        <v>18</v>
      </c>
      <c r="F37" s="47"/>
      <c r="G37" s="1"/>
      <c r="H37" s="1"/>
      <c r="I37" s="1"/>
      <c r="J37" s="1"/>
      <c r="K37" s="1"/>
      <c r="L37" s="1"/>
    </row>
    <row r="38" ht="15.75" customHeight="1">
      <c r="A38" s="138" t="s">
        <v>1291</v>
      </c>
      <c r="B38" s="279">
        <v>10.0</v>
      </c>
      <c r="C38" s="146">
        <f t="shared" si="3"/>
        <v>30</v>
      </c>
      <c r="D38" s="1607"/>
      <c r="E38" s="1599" t="s">
        <v>93</v>
      </c>
      <c r="F38" s="47"/>
      <c r="G38" s="1"/>
      <c r="H38" s="1"/>
      <c r="I38" s="1"/>
      <c r="J38" s="1"/>
      <c r="K38" s="1"/>
      <c r="L38" s="1"/>
    </row>
    <row r="39" ht="15.0" customHeight="1">
      <c r="A39" s="68" t="s">
        <v>167</v>
      </c>
      <c r="B39" s="145">
        <v>0.25</v>
      </c>
      <c r="C39" s="155">
        <f t="shared" si="3"/>
        <v>0.75</v>
      </c>
      <c r="D39" s="899"/>
      <c r="E39" s="1579" t="s">
        <v>5</v>
      </c>
      <c r="F39" s="47"/>
      <c r="G39" s="1"/>
      <c r="H39" s="1"/>
      <c r="I39" s="1"/>
      <c r="J39" s="1"/>
      <c r="K39" s="1"/>
      <c r="L39" s="1"/>
    </row>
    <row r="40" ht="15.75" customHeight="1">
      <c r="A40" s="93" t="s">
        <v>1855</v>
      </c>
      <c r="B40" s="1213">
        <v>30.0</v>
      </c>
      <c r="C40" s="94">
        <f t="shared" si="3"/>
        <v>90</v>
      </c>
      <c r="D40" s="1586"/>
      <c r="E40" s="249" t="s">
        <v>82</v>
      </c>
      <c r="F40" s="47"/>
      <c r="G40" s="1"/>
      <c r="H40" s="1"/>
      <c r="I40" s="1"/>
      <c r="J40" s="1"/>
      <c r="K40" s="1"/>
      <c r="L40" s="1"/>
    </row>
    <row r="41" ht="15.75" customHeight="1">
      <c r="A41" s="93" t="s">
        <v>1857</v>
      </c>
      <c r="B41" s="1213">
        <v>500.0</v>
      </c>
      <c r="C41" s="94">
        <f t="shared" si="3"/>
        <v>1500</v>
      </c>
      <c r="D41" s="1586"/>
      <c r="E41" s="249" t="s">
        <v>82</v>
      </c>
      <c r="F41" s="47"/>
      <c r="G41" s="1"/>
      <c r="H41" s="1"/>
      <c r="I41" s="1"/>
      <c r="J41" s="1"/>
      <c r="K41" s="1"/>
      <c r="L41" s="1"/>
    </row>
    <row r="42" ht="15.75" customHeight="1">
      <c r="A42" s="1626" t="s">
        <v>1859</v>
      </c>
      <c r="B42" s="1628">
        <v>15.0</v>
      </c>
      <c r="C42" s="1631">
        <f t="shared" si="3"/>
        <v>45</v>
      </c>
      <c r="D42" s="1633"/>
      <c r="E42" s="1635" t="s">
        <v>82</v>
      </c>
      <c r="F42" s="47"/>
      <c r="G42" s="1"/>
      <c r="H42" s="1"/>
      <c r="I42" s="1"/>
      <c r="J42" s="1"/>
      <c r="K42" s="1"/>
      <c r="L42" s="1"/>
    </row>
    <row r="43" ht="15.75" customHeight="1">
      <c r="A43" s="1343" t="s">
        <v>1865</v>
      </c>
      <c r="B43" s="1636">
        <v>200.0</v>
      </c>
      <c r="C43" s="1637">
        <f t="shared" si="3"/>
        <v>600</v>
      </c>
      <c r="D43" s="1638"/>
      <c r="E43" s="1346" t="s">
        <v>82</v>
      </c>
      <c r="F43" s="76"/>
      <c r="G43" s="1"/>
      <c r="H43" s="1"/>
      <c r="I43" s="1"/>
      <c r="J43" s="1"/>
      <c r="K43" s="1"/>
      <c r="L43" s="1"/>
    </row>
    <row r="44" ht="15.75" customHeight="1">
      <c r="A44" s="1640" t="s">
        <v>119</v>
      </c>
      <c r="B44" s="1641" t="s">
        <v>47</v>
      </c>
      <c r="C44" s="184"/>
      <c r="D44" s="184"/>
      <c r="E44" s="1"/>
      <c r="F44" s="1"/>
      <c r="G44" s="1"/>
      <c r="H44" s="1"/>
      <c r="I44" s="1"/>
      <c r="J44" s="1"/>
      <c r="K44" s="1"/>
      <c r="L44" s="1"/>
    </row>
    <row r="45" ht="15.75" customHeight="1">
      <c r="A45" s="1645" t="s">
        <v>1866</v>
      </c>
      <c r="B45" s="18"/>
      <c r="C45" s="19"/>
      <c r="D45" s="1647"/>
      <c r="E45" s="1"/>
      <c r="F45" s="1"/>
      <c r="G45" s="1"/>
      <c r="H45" s="1"/>
      <c r="I45" s="1"/>
      <c r="J45" s="1"/>
      <c r="K45" s="1"/>
      <c r="L45" s="1"/>
    </row>
    <row r="46" ht="15.75" customHeight="1">
      <c r="A46" s="1"/>
      <c r="B46" s="107"/>
      <c r="C46" s="184"/>
      <c r="D46" s="184"/>
      <c r="E46" s="1"/>
      <c r="F46" s="1"/>
      <c r="G46" s="1"/>
      <c r="H46" s="1"/>
      <c r="I46" s="1"/>
      <c r="J46" s="1"/>
      <c r="K46" s="1"/>
      <c r="L46" s="1"/>
    </row>
    <row r="47" ht="15.75" customHeight="1">
      <c r="A47" s="550" t="s">
        <v>1583</v>
      </c>
      <c r="B47" s="1363">
        <v>41499.0</v>
      </c>
      <c r="C47" s="184"/>
      <c r="D47" s="184"/>
      <c r="E47" s="1"/>
      <c r="F47" s="1"/>
      <c r="G47" s="1"/>
      <c r="H47" s="1"/>
      <c r="I47" s="1"/>
      <c r="J47" s="1"/>
      <c r="K47" s="1"/>
      <c r="L47" s="1"/>
    </row>
    <row r="48" ht="15.75" customHeight="1">
      <c r="A48" s="342" t="s">
        <v>1585</v>
      </c>
      <c r="B48" s="1363">
        <v>42218.0</v>
      </c>
      <c r="C48" s="184"/>
      <c r="D48" s="184"/>
      <c r="E48" s="1"/>
      <c r="F48" s="1"/>
      <c r="G48" s="1"/>
      <c r="H48" s="1"/>
      <c r="I48" s="1"/>
      <c r="J48" s="1"/>
      <c r="K48" s="1"/>
      <c r="L48" s="1"/>
    </row>
    <row r="49" ht="15.75" customHeight="1">
      <c r="A49" s="1"/>
      <c r="B49" s="107"/>
      <c r="C49" s="184"/>
      <c r="D49" s="184"/>
      <c r="E49" s="1"/>
      <c r="F49" s="1"/>
      <c r="G49" s="1"/>
      <c r="H49" s="1"/>
      <c r="I49" s="1"/>
      <c r="J49" s="1"/>
      <c r="K49" s="1"/>
      <c r="L49" s="1"/>
    </row>
    <row r="50" ht="15.75" customHeight="1">
      <c r="A50" s="511" t="s">
        <v>1868</v>
      </c>
      <c r="B50" s="18"/>
      <c r="C50" s="18"/>
      <c r="D50" s="18"/>
      <c r="E50" s="19"/>
      <c r="F50" s="284"/>
      <c r="G50" s="1"/>
      <c r="H50" s="1"/>
      <c r="I50" s="1"/>
      <c r="J50" s="1"/>
      <c r="K50" s="1"/>
      <c r="L50" s="1"/>
    </row>
    <row r="51" ht="15.75" customHeight="1">
      <c r="A51" s="51" t="s">
        <v>1</v>
      </c>
      <c r="B51" s="190">
        <v>60.0</v>
      </c>
      <c r="C51" s="548">
        <v>60.0</v>
      </c>
      <c r="D51" s="1651"/>
      <c r="E51" s="514" t="s">
        <v>5</v>
      </c>
      <c r="F51" s="284"/>
      <c r="G51" s="1"/>
      <c r="H51" s="1"/>
      <c r="I51" s="1"/>
      <c r="J51" s="1"/>
      <c r="K51" s="1"/>
      <c r="L51" s="1"/>
    </row>
    <row r="52" ht="15.75" customHeight="1">
      <c r="A52" s="68" t="s">
        <v>53</v>
      </c>
      <c r="B52" s="145">
        <v>10.0</v>
      </c>
      <c r="C52" s="516">
        <f t="shared" ref="C52:C60" si="4">(B52*C51)/B51</f>
        <v>10</v>
      </c>
      <c r="D52" s="1652"/>
      <c r="E52" s="216" t="s">
        <v>14</v>
      </c>
      <c r="F52" s="922" t="s">
        <v>1872</v>
      </c>
      <c r="G52" s="1"/>
      <c r="H52" s="1"/>
      <c r="I52" s="1"/>
      <c r="J52" s="1"/>
      <c r="K52" s="1"/>
      <c r="L52" s="1"/>
    </row>
    <row r="53" ht="15.75" customHeight="1">
      <c r="A53" s="93" t="s">
        <v>59</v>
      </c>
      <c r="B53" s="195">
        <v>25.0</v>
      </c>
      <c r="C53" s="521">
        <f t="shared" si="4"/>
        <v>25</v>
      </c>
      <c r="D53" s="1653"/>
      <c r="E53" s="249" t="s">
        <v>5</v>
      </c>
      <c r="F53" s="63"/>
      <c r="G53" s="1"/>
      <c r="H53" s="1"/>
      <c r="I53" s="1"/>
      <c r="J53" s="1"/>
      <c r="K53" s="1"/>
      <c r="L53" s="1"/>
    </row>
    <row r="54" ht="15.75" customHeight="1">
      <c r="A54" s="138" t="s">
        <v>91</v>
      </c>
      <c r="B54" s="279">
        <v>0.1</v>
      </c>
      <c r="C54" s="521">
        <f t="shared" si="4"/>
        <v>0.1</v>
      </c>
      <c r="D54" s="1655"/>
      <c r="E54" s="242" t="s">
        <v>5</v>
      </c>
      <c r="F54" s="63"/>
      <c r="G54" s="1"/>
      <c r="H54" s="1"/>
      <c r="I54" s="1"/>
      <c r="J54" s="1"/>
      <c r="K54" s="1"/>
      <c r="L54" s="1"/>
    </row>
    <row r="55" ht="15.75" customHeight="1">
      <c r="A55" s="105" t="s">
        <v>31</v>
      </c>
      <c r="B55" s="200">
        <v>275.0</v>
      </c>
      <c r="C55" s="517">
        <f t="shared" si="4"/>
        <v>275</v>
      </c>
      <c r="D55" s="1656"/>
      <c r="E55" s="518" t="s">
        <v>18</v>
      </c>
      <c r="F55" s="102"/>
      <c r="G55" s="1"/>
      <c r="H55" s="1"/>
      <c r="I55" s="1"/>
      <c r="J55" s="1"/>
      <c r="K55" s="1"/>
      <c r="L55" s="1"/>
    </row>
    <row r="56" ht="15.75" customHeight="1">
      <c r="A56" s="119" t="s">
        <v>91</v>
      </c>
      <c r="B56" s="238">
        <v>1.0</v>
      </c>
      <c r="C56" s="519">
        <f t="shared" si="4"/>
        <v>1</v>
      </c>
      <c r="D56" s="1657"/>
      <c r="E56" s="520" t="s">
        <v>5</v>
      </c>
      <c r="F56" s="194" t="s">
        <v>1875</v>
      </c>
      <c r="G56" s="1"/>
      <c r="H56" s="1"/>
      <c r="I56" s="1"/>
      <c r="J56" s="1"/>
      <c r="K56" s="1"/>
      <c r="L56" s="1"/>
    </row>
    <row r="57" ht="15.75" customHeight="1">
      <c r="A57" s="93" t="s">
        <v>97</v>
      </c>
      <c r="B57" s="195">
        <v>75.0</v>
      </c>
      <c r="C57" s="519">
        <f t="shared" si="4"/>
        <v>75</v>
      </c>
      <c r="D57" s="1657"/>
      <c r="E57" s="249" t="s">
        <v>18</v>
      </c>
      <c r="F57" s="63"/>
      <c r="G57" s="1"/>
      <c r="H57" s="1"/>
      <c r="I57" s="1"/>
      <c r="J57" s="1"/>
      <c r="K57" s="1"/>
      <c r="L57" s="1"/>
    </row>
    <row r="58" ht="15.75" customHeight="1">
      <c r="A58" s="93" t="s">
        <v>103</v>
      </c>
      <c r="B58" s="195">
        <v>75.0</v>
      </c>
      <c r="C58" s="519">
        <f t="shared" si="4"/>
        <v>75</v>
      </c>
      <c r="D58" s="1657"/>
      <c r="E58" s="249" t="s">
        <v>18</v>
      </c>
      <c r="F58" s="63"/>
      <c r="G58" s="1"/>
      <c r="H58" s="1"/>
      <c r="I58" s="1"/>
      <c r="J58" s="1"/>
      <c r="K58" s="1"/>
      <c r="L58" s="1"/>
    </row>
    <row r="59" ht="15.0" customHeight="1">
      <c r="A59" s="93" t="s">
        <v>149</v>
      </c>
      <c r="B59" s="195">
        <v>250.0</v>
      </c>
      <c r="C59" s="519">
        <f t="shared" si="4"/>
        <v>250</v>
      </c>
      <c r="D59" s="1657"/>
      <c r="E59" s="249" t="s">
        <v>82</v>
      </c>
      <c r="F59" s="63"/>
      <c r="G59" s="1"/>
      <c r="H59" s="1"/>
      <c r="I59" s="1"/>
      <c r="J59" s="1"/>
      <c r="K59" s="1"/>
      <c r="L59" s="1"/>
    </row>
    <row r="60" ht="15.75" customHeight="1">
      <c r="A60" s="93" t="s">
        <v>1877</v>
      </c>
      <c r="B60" s="195">
        <v>80.0</v>
      </c>
      <c r="C60" s="519">
        <f t="shared" si="4"/>
        <v>80</v>
      </c>
      <c r="D60" s="1657"/>
      <c r="E60" s="249" t="s">
        <v>156</v>
      </c>
      <c r="F60" s="63"/>
      <c r="G60" s="1"/>
      <c r="H60" s="1"/>
      <c r="I60" s="1"/>
      <c r="J60" s="1"/>
      <c r="K60" s="1"/>
      <c r="L60" s="1"/>
    </row>
    <row r="61" ht="15.75" customHeight="1">
      <c r="A61" s="93" t="s">
        <v>593</v>
      </c>
      <c r="B61" s="195">
        <v>1.0</v>
      </c>
      <c r="C61" s="519">
        <f>(B61*C59)/B59</f>
        <v>1</v>
      </c>
      <c r="D61" s="1657"/>
      <c r="E61" s="249" t="s">
        <v>14</v>
      </c>
      <c r="F61" s="63"/>
      <c r="G61" s="1"/>
      <c r="H61" s="1"/>
      <c r="I61" s="1"/>
      <c r="J61" s="1"/>
      <c r="K61" s="1"/>
      <c r="L61" s="1"/>
    </row>
    <row r="62" ht="15.75" customHeight="1">
      <c r="A62" s="93" t="s">
        <v>1878</v>
      </c>
      <c r="B62" s="195">
        <v>10.0</v>
      </c>
      <c r="C62" s="519">
        <f t="shared" ref="C62:C66" si="5">(B62*C61)/B61</f>
        <v>10</v>
      </c>
      <c r="D62" s="1657"/>
      <c r="E62" s="249" t="s">
        <v>14</v>
      </c>
      <c r="F62" s="63"/>
      <c r="G62" s="1"/>
      <c r="H62" s="1"/>
      <c r="I62" s="1"/>
      <c r="J62" s="1"/>
      <c r="K62" s="1"/>
      <c r="L62" s="1"/>
    </row>
    <row r="63" ht="15.75" customHeight="1">
      <c r="A63" s="93" t="s">
        <v>1879</v>
      </c>
      <c r="B63" s="195">
        <v>1.0</v>
      </c>
      <c r="C63" s="519">
        <f t="shared" si="5"/>
        <v>1</v>
      </c>
      <c r="D63" s="1657"/>
      <c r="E63" s="249" t="s">
        <v>14</v>
      </c>
      <c r="F63" s="63"/>
      <c r="G63" s="1"/>
      <c r="H63" s="1"/>
      <c r="I63" s="1"/>
      <c r="J63" s="1"/>
      <c r="K63" s="1"/>
      <c r="L63" s="1"/>
    </row>
    <row r="64" ht="15.75" customHeight="1">
      <c r="A64" s="93" t="s">
        <v>31</v>
      </c>
      <c r="B64" s="195">
        <v>350.0</v>
      </c>
      <c r="C64" s="519">
        <f t="shared" si="5"/>
        <v>350</v>
      </c>
      <c r="D64" s="1657"/>
      <c r="E64" s="249" t="s">
        <v>18</v>
      </c>
      <c r="F64" s="63"/>
      <c r="G64" s="1"/>
      <c r="H64" s="1"/>
      <c r="I64" s="1"/>
      <c r="J64" s="1"/>
      <c r="K64" s="1"/>
      <c r="L64" s="1"/>
    </row>
    <row r="65" ht="15.75" customHeight="1">
      <c r="A65" s="93" t="s">
        <v>252</v>
      </c>
      <c r="B65" s="195">
        <v>175.0</v>
      </c>
      <c r="C65" s="519">
        <f t="shared" si="5"/>
        <v>175</v>
      </c>
      <c r="D65" s="1657"/>
      <c r="E65" s="249" t="s">
        <v>18</v>
      </c>
      <c r="F65" s="63"/>
      <c r="G65" s="1"/>
      <c r="H65" s="1"/>
      <c r="I65" s="1"/>
      <c r="J65" s="1"/>
      <c r="K65" s="1"/>
      <c r="L65" s="1"/>
    </row>
    <row r="66" ht="15.75" customHeight="1">
      <c r="A66" s="119" t="s">
        <v>213</v>
      </c>
      <c r="B66" s="238">
        <v>1.0</v>
      </c>
      <c r="C66" s="519">
        <f t="shared" si="5"/>
        <v>1</v>
      </c>
      <c r="D66" s="1657"/>
      <c r="E66" s="520" t="s">
        <v>5</v>
      </c>
      <c r="F66" s="102"/>
      <c r="G66" s="1"/>
      <c r="H66" s="1"/>
      <c r="I66" s="1"/>
      <c r="J66" s="1"/>
      <c r="K66" s="1"/>
      <c r="L66" s="1"/>
    </row>
    <row r="67" ht="15.75" customHeight="1">
      <c r="A67" s="1640" t="s">
        <v>119</v>
      </c>
      <c r="B67" s="1641" t="s">
        <v>47</v>
      </c>
      <c r="C67" s="184"/>
      <c r="D67" s="184"/>
      <c r="E67" s="1"/>
      <c r="F67" s="1"/>
      <c r="G67" s="1"/>
      <c r="H67" s="1"/>
      <c r="I67" s="1"/>
      <c r="J67" s="1"/>
      <c r="K67" s="1"/>
      <c r="L67" s="1"/>
    </row>
    <row r="68" ht="15.75" customHeight="1">
      <c r="A68" s="1"/>
      <c r="B68" s="107"/>
      <c r="C68" s="184"/>
      <c r="D68" s="184"/>
      <c r="E68" s="1"/>
      <c r="F68" s="1"/>
      <c r="G68" s="1"/>
      <c r="H68" s="1"/>
      <c r="I68" s="1"/>
      <c r="J68" s="1"/>
      <c r="K68" s="1"/>
      <c r="L68" s="1"/>
    </row>
    <row r="69" ht="15.75" customHeight="1">
      <c r="A69" s="1"/>
      <c r="B69" s="107"/>
      <c r="C69" s="184"/>
      <c r="D69" s="184"/>
      <c r="E69" s="1"/>
      <c r="F69" s="1"/>
      <c r="G69" s="1"/>
      <c r="H69" s="1"/>
      <c r="I69" s="1"/>
      <c r="J69" s="1"/>
      <c r="K69" s="1"/>
      <c r="L69" s="1"/>
    </row>
    <row r="70" ht="15.75" customHeight="1">
      <c r="A70" s="1"/>
      <c r="B70" s="107"/>
      <c r="C70" s="184"/>
      <c r="D70" s="184"/>
      <c r="E70" s="1"/>
      <c r="F70" s="1"/>
      <c r="G70" s="1"/>
      <c r="H70" s="1"/>
      <c r="I70" s="1"/>
      <c r="J70" s="1"/>
      <c r="K70" s="1"/>
      <c r="L70" s="1"/>
    </row>
    <row r="71" ht="15.75" customHeight="1">
      <c r="A71" s="1"/>
      <c r="B71" s="107"/>
      <c r="C71" s="184"/>
      <c r="D71" s="184"/>
      <c r="E71" s="1"/>
      <c r="F71" s="1"/>
      <c r="G71" s="1"/>
      <c r="H71" s="1"/>
      <c r="I71" s="1"/>
      <c r="J71" s="1"/>
      <c r="K71" s="1"/>
      <c r="L71" s="1"/>
    </row>
    <row r="72" ht="15.75" customHeight="1">
      <c r="A72" s="90" t="s">
        <v>502</v>
      </c>
      <c r="B72" s="260">
        <v>40878.0</v>
      </c>
      <c r="C72" s="184"/>
      <c r="D72" s="184"/>
      <c r="E72" s="1"/>
      <c r="F72" s="1"/>
      <c r="G72" s="1"/>
      <c r="H72" s="1"/>
      <c r="I72" s="1"/>
      <c r="J72" s="1"/>
      <c r="K72" s="1"/>
      <c r="L72" s="1"/>
    </row>
    <row r="73" ht="15.75" customHeight="1">
      <c r="A73" s="302" t="s">
        <v>1486</v>
      </c>
      <c r="B73" s="260">
        <v>41209.0</v>
      </c>
      <c r="C73" s="184"/>
      <c r="D73" s="184"/>
      <c r="E73" s="1"/>
      <c r="F73" s="1"/>
      <c r="G73" s="1"/>
      <c r="H73" s="1"/>
      <c r="I73" s="1"/>
      <c r="J73" s="1"/>
      <c r="K73" s="1"/>
      <c r="L73" s="1"/>
    </row>
    <row r="74" ht="15.75" customHeight="1">
      <c r="A74" s="1"/>
      <c r="B74" s="107"/>
      <c r="C74" s="184"/>
      <c r="D74" s="184"/>
      <c r="E74" s="1"/>
      <c r="F74" s="1"/>
      <c r="G74" s="1"/>
      <c r="H74" s="1"/>
      <c r="I74" s="1"/>
      <c r="J74" s="1"/>
      <c r="K74" s="1"/>
      <c r="L74" s="1"/>
    </row>
    <row r="75" ht="15.75" customHeight="1">
      <c r="A75" s="511" t="s">
        <v>1885</v>
      </c>
      <c r="B75" s="18"/>
      <c r="C75" s="18"/>
      <c r="D75" s="18"/>
      <c r="E75" s="19"/>
      <c r="F75" s="1662"/>
      <c r="G75" s="1"/>
      <c r="H75" s="1"/>
      <c r="I75" s="1"/>
      <c r="J75" s="1"/>
      <c r="K75" s="1"/>
      <c r="L75" s="1"/>
    </row>
    <row r="76" ht="15.75" customHeight="1">
      <c r="A76" s="417" t="s">
        <v>1</v>
      </c>
      <c r="B76" s="418">
        <v>45.0</v>
      </c>
      <c r="C76" s="542">
        <v>135.0</v>
      </c>
      <c r="D76" s="1614"/>
      <c r="E76" s="543" t="s">
        <v>5</v>
      </c>
      <c r="F76" s="1663"/>
      <c r="G76" s="1"/>
      <c r="H76" s="1"/>
      <c r="I76" s="1"/>
      <c r="J76" s="1"/>
      <c r="K76" s="1"/>
      <c r="L76" s="1"/>
    </row>
    <row r="77" ht="15.75" customHeight="1">
      <c r="A77" s="51" t="s">
        <v>53</v>
      </c>
      <c r="B77" s="190">
        <v>10.0</v>
      </c>
      <c r="C77" s="513">
        <f t="shared" ref="C77:C97" si="6">(B77*C76)/B76</f>
        <v>30</v>
      </c>
      <c r="D77" s="1576"/>
      <c r="E77" s="514" t="s">
        <v>14</v>
      </c>
      <c r="F77" s="44" t="s">
        <v>1892</v>
      </c>
      <c r="G77" s="1"/>
      <c r="H77" s="1"/>
      <c r="I77" s="1"/>
      <c r="J77" s="1"/>
      <c r="K77" s="1"/>
      <c r="L77" s="1"/>
    </row>
    <row r="78" ht="15.75" customHeight="1">
      <c r="A78" s="68" t="s">
        <v>91</v>
      </c>
      <c r="B78" s="145">
        <v>1.5</v>
      </c>
      <c r="C78" s="155">
        <f t="shared" si="6"/>
        <v>4.5</v>
      </c>
      <c r="D78" s="899"/>
      <c r="E78" s="216" t="s">
        <v>5</v>
      </c>
      <c r="F78" s="47"/>
      <c r="G78" s="1"/>
      <c r="H78" s="1"/>
      <c r="I78" s="1"/>
      <c r="J78" s="1"/>
      <c r="K78" s="1"/>
      <c r="L78" s="1"/>
    </row>
    <row r="79" ht="15.75" customHeight="1">
      <c r="A79" s="93" t="s">
        <v>95</v>
      </c>
      <c r="B79" s="1213">
        <v>25.0</v>
      </c>
      <c r="C79" s="94">
        <f t="shared" si="6"/>
        <v>75</v>
      </c>
      <c r="D79" s="1586"/>
      <c r="E79" s="249" t="s">
        <v>18</v>
      </c>
      <c r="F79" s="47"/>
      <c r="G79" s="1"/>
      <c r="H79" s="1"/>
      <c r="I79" s="1"/>
      <c r="J79" s="1"/>
      <c r="K79" s="1"/>
      <c r="L79" s="1"/>
    </row>
    <row r="80" ht="15.75" customHeight="1">
      <c r="A80" s="93" t="s">
        <v>96</v>
      </c>
      <c r="B80" s="1213">
        <v>5.0</v>
      </c>
      <c r="C80" s="94">
        <f t="shared" si="6"/>
        <v>15</v>
      </c>
      <c r="D80" s="1586"/>
      <c r="E80" s="249" t="s">
        <v>18</v>
      </c>
      <c r="F80" s="47"/>
      <c r="G80" s="1"/>
      <c r="H80" s="1"/>
      <c r="I80" s="1"/>
      <c r="J80" s="1"/>
      <c r="K80" s="1"/>
      <c r="L80" s="1"/>
    </row>
    <row r="81" ht="15.75" customHeight="1">
      <c r="A81" s="93" t="s">
        <v>1176</v>
      </c>
      <c r="B81" s="1213">
        <v>25.0</v>
      </c>
      <c r="C81" s="94">
        <f t="shared" si="6"/>
        <v>75</v>
      </c>
      <c r="D81" s="1586"/>
      <c r="E81" s="249" t="s">
        <v>18</v>
      </c>
      <c r="F81" s="47"/>
      <c r="G81" s="1"/>
      <c r="H81" s="1"/>
      <c r="I81" s="1"/>
      <c r="J81" s="1"/>
      <c r="K81" s="1"/>
      <c r="L81" s="1"/>
    </row>
    <row r="82" ht="15.75" customHeight="1">
      <c r="A82" s="93" t="s">
        <v>1746</v>
      </c>
      <c r="B82" s="1213">
        <v>30.0</v>
      </c>
      <c r="C82" s="94">
        <f t="shared" si="6"/>
        <v>90</v>
      </c>
      <c r="D82" s="1586"/>
      <c r="E82" s="249" t="s">
        <v>18</v>
      </c>
      <c r="F82" s="47"/>
      <c r="G82" s="1"/>
      <c r="H82" s="1"/>
      <c r="I82" s="1"/>
      <c r="J82" s="1"/>
      <c r="K82" s="1"/>
      <c r="L82" s="1"/>
    </row>
    <row r="83" ht="15.75" customHeight="1">
      <c r="A83" s="93" t="s">
        <v>210</v>
      </c>
      <c r="B83" s="1213">
        <v>15.0</v>
      </c>
      <c r="C83" s="94">
        <f t="shared" si="6"/>
        <v>45</v>
      </c>
      <c r="D83" s="1586"/>
      <c r="E83" s="249" t="s">
        <v>18</v>
      </c>
      <c r="F83" s="47"/>
      <c r="G83" s="1"/>
      <c r="H83" s="1"/>
      <c r="I83" s="1"/>
      <c r="J83" s="1"/>
      <c r="K83" s="1"/>
      <c r="L83" s="1"/>
    </row>
    <row r="84" ht="15.75" customHeight="1">
      <c r="A84" s="93" t="s">
        <v>98</v>
      </c>
      <c r="B84" s="195">
        <v>125.0</v>
      </c>
      <c r="C84" s="78">
        <f t="shared" si="6"/>
        <v>375</v>
      </c>
      <c r="D84" s="900"/>
      <c r="E84" s="1588" t="s">
        <v>18</v>
      </c>
      <c r="F84" s="47"/>
      <c r="G84" s="1"/>
      <c r="H84" s="1"/>
      <c r="I84" s="1"/>
      <c r="J84" s="1"/>
      <c r="K84" s="1"/>
      <c r="L84" s="1"/>
    </row>
    <row r="85" ht="15.75" customHeight="1">
      <c r="A85" s="93" t="s">
        <v>66</v>
      </c>
      <c r="B85" s="1213">
        <v>10.0</v>
      </c>
      <c r="C85" s="94">
        <f t="shared" si="6"/>
        <v>30</v>
      </c>
      <c r="D85" s="1586"/>
      <c r="E85" s="249" t="s">
        <v>18</v>
      </c>
      <c r="F85" s="47"/>
      <c r="G85" s="1"/>
      <c r="H85" s="1"/>
      <c r="I85" s="1"/>
      <c r="J85" s="1"/>
      <c r="K85" s="1"/>
      <c r="L85" s="1"/>
    </row>
    <row r="86" ht="15.75" customHeight="1">
      <c r="A86" s="93" t="s">
        <v>102</v>
      </c>
      <c r="B86" s="1213">
        <v>12.5</v>
      </c>
      <c r="C86" s="94">
        <f t="shared" si="6"/>
        <v>37.5</v>
      </c>
      <c r="D86" s="1586"/>
      <c r="E86" s="249" t="s">
        <v>18</v>
      </c>
      <c r="F86" s="47"/>
      <c r="G86" s="1"/>
      <c r="H86" s="1"/>
      <c r="I86" s="1"/>
      <c r="J86" s="1"/>
      <c r="K86" s="1"/>
      <c r="L86" s="1"/>
    </row>
    <row r="87" ht="19.5" customHeight="1">
      <c r="A87" s="93" t="s">
        <v>1179</v>
      </c>
      <c r="B87" s="1213">
        <v>15.0</v>
      </c>
      <c r="C87" s="94">
        <f t="shared" si="6"/>
        <v>45</v>
      </c>
      <c r="D87" s="1586"/>
      <c r="E87" s="249" t="s">
        <v>18</v>
      </c>
      <c r="F87" s="47"/>
      <c r="G87" s="1"/>
      <c r="H87" s="1"/>
      <c r="I87" s="1"/>
      <c r="J87" s="1"/>
      <c r="K87" s="1"/>
      <c r="L87" s="1"/>
    </row>
    <row r="88" ht="16.5" customHeight="1">
      <c r="A88" s="93" t="s">
        <v>83</v>
      </c>
      <c r="B88" s="195">
        <v>200.0</v>
      </c>
      <c r="C88" s="78">
        <f t="shared" si="6"/>
        <v>600</v>
      </c>
      <c r="D88" s="900"/>
      <c r="E88" s="249" t="s">
        <v>18</v>
      </c>
      <c r="F88" s="47"/>
      <c r="G88" s="1"/>
      <c r="H88" s="1"/>
      <c r="I88" s="1"/>
      <c r="J88" s="1"/>
      <c r="K88" s="1"/>
      <c r="L88" s="1"/>
    </row>
    <row r="89" ht="15.0" customHeight="1">
      <c r="A89" s="138" t="s">
        <v>753</v>
      </c>
      <c r="B89" s="279">
        <v>250.0</v>
      </c>
      <c r="C89" s="146">
        <f t="shared" si="6"/>
        <v>750</v>
      </c>
      <c r="D89" s="1607"/>
      <c r="E89" s="242" t="s">
        <v>18</v>
      </c>
      <c r="F89" s="47"/>
      <c r="G89" s="1"/>
      <c r="H89" s="1"/>
      <c r="I89" s="1"/>
      <c r="J89" s="1"/>
      <c r="K89" s="1"/>
      <c r="L89" s="1"/>
    </row>
    <row r="90" ht="15.0" customHeight="1">
      <c r="A90" s="105" t="s">
        <v>103</v>
      </c>
      <c r="B90" s="200">
        <v>50.0</v>
      </c>
      <c r="C90" s="56">
        <f t="shared" si="6"/>
        <v>150</v>
      </c>
      <c r="D90" s="1604"/>
      <c r="E90" s="518" t="s">
        <v>18</v>
      </c>
      <c r="F90" s="47"/>
      <c r="G90" s="1"/>
      <c r="H90" s="1"/>
      <c r="I90" s="1"/>
      <c r="J90" s="1"/>
      <c r="K90" s="1"/>
      <c r="L90" s="1"/>
    </row>
    <row r="91" ht="15.0" customHeight="1">
      <c r="A91" s="119" t="s">
        <v>628</v>
      </c>
      <c r="B91" s="238">
        <v>1.5</v>
      </c>
      <c r="C91" s="129">
        <f t="shared" si="6"/>
        <v>4.5</v>
      </c>
      <c r="D91" s="1583"/>
      <c r="E91" s="520" t="s">
        <v>14</v>
      </c>
      <c r="F91" s="47"/>
      <c r="G91" s="1"/>
      <c r="H91" s="1"/>
      <c r="I91" s="1"/>
      <c r="J91" s="1"/>
      <c r="K91" s="1"/>
      <c r="L91" s="1"/>
    </row>
    <row r="92" ht="15.0" customHeight="1">
      <c r="A92" s="93" t="s">
        <v>1905</v>
      </c>
      <c r="B92" s="195">
        <v>2.5</v>
      </c>
      <c r="C92" s="78">
        <f t="shared" si="6"/>
        <v>7.5</v>
      </c>
      <c r="D92" s="900"/>
      <c r="E92" s="249" t="s">
        <v>14</v>
      </c>
      <c r="F92" s="47"/>
      <c r="G92" s="1"/>
      <c r="H92" s="1"/>
      <c r="I92" s="1"/>
      <c r="J92" s="1"/>
      <c r="K92" s="1"/>
      <c r="L92" s="1"/>
    </row>
    <row r="93" ht="15.0" customHeight="1">
      <c r="A93" s="93" t="s">
        <v>1906</v>
      </c>
      <c r="B93" s="195">
        <v>3.5</v>
      </c>
      <c r="C93" s="78">
        <f t="shared" si="6"/>
        <v>10.5</v>
      </c>
      <c r="D93" s="900"/>
      <c r="E93" s="249" t="s">
        <v>1908</v>
      </c>
      <c r="F93" s="47"/>
      <c r="G93" s="1"/>
      <c r="H93" s="1"/>
      <c r="I93" s="1"/>
      <c r="J93" s="1"/>
      <c r="K93" s="1"/>
      <c r="L93" s="1"/>
    </row>
    <row r="94" ht="15.0" customHeight="1">
      <c r="A94" s="93" t="s">
        <v>1909</v>
      </c>
      <c r="B94" s="195">
        <v>8.0</v>
      </c>
      <c r="C94" s="78">
        <f t="shared" si="6"/>
        <v>24</v>
      </c>
      <c r="D94" s="900"/>
      <c r="E94" s="249" t="s">
        <v>93</v>
      </c>
      <c r="F94" s="47"/>
      <c r="G94" s="1"/>
      <c r="H94" s="1"/>
      <c r="I94" s="1"/>
      <c r="J94" s="1"/>
      <c r="K94" s="1"/>
      <c r="L94" s="1"/>
    </row>
    <row r="95" ht="15.0" customHeight="1">
      <c r="A95" s="93" t="s">
        <v>1910</v>
      </c>
      <c r="B95" s="195">
        <v>25.0</v>
      </c>
      <c r="C95" s="78">
        <f t="shared" si="6"/>
        <v>75</v>
      </c>
      <c r="D95" s="900"/>
      <c r="E95" s="249" t="s">
        <v>18</v>
      </c>
      <c r="F95" s="47"/>
      <c r="G95" s="1"/>
      <c r="H95" s="1"/>
      <c r="I95" s="1"/>
      <c r="J95" s="1"/>
      <c r="K95" s="1"/>
      <c r="L95" s="1"/>
    </row>
    <row r="96" ht="15.0" customHeight="1">
      <c r="A96" s="93" t="s">
        <v>31</v>
      </c>
      <c r="B96" s="195">
        <v>500.0</v>
      </c>
      <c r="C96" s="78">
        <f t="shared" si="6"/>
        <v>1500</v>
      </c>
      <c r="D96" s="900"/>
      <c r="E96" s="249" t="s">
        <v>18</v>
      </c>
      <c r="F96" s="47"/>
      <c r="G96" s="1"/>
      <c r="H96" s="1"/>
      <c r="I96" s="1"/>
      <c r="J96" s="1"/>
      <c r="K96" s="1"/>
      <c r="L96" s="1"/>
    </row>
    <row r="97" ht="15.0" customHeight="1">
      <c r="A97" s="105" t="s">
        <v>157</v>
      </c>
      <c r="B97" s="200">
        <v>25.0</v>
      </c>
      <c r="C97" s="56">
        <f t="shared" si="6"/>
        <v>75</v>
      </c>
      <c r="D97" s="1604"/>
      <c r="E97" s="518" t="s">
        <v>5</v>
      </c>
      <c r="F97" s="76"/>
      <c r="G97" s="1"/>
      <c r="H97" s="1"/>
      <c r="I97" s="1"/>
      <c r="J97" s="1"/>
      <c r="K97" s="1"/>
      <c r="L97" s="1"/>
    </row>
    <row r="98" ht="15.0" customHeight="1">
      <c r="A98" s="1640" t="s">
        <v>119</v>
      </c>
      <c r="B98" s="1641" t="s">
        <v>47</v>
      </c>
      <c r="C98" s="184"/>
      <c r="D98" s="184"/>
      <c r="E98" s="1"/>
      <c r="F98" s="1"/>
      <c r="G98" s="1"/>
      <c r="H98" s="1"/>
      <c r="I98" s="1"/>
      <c r="J98" s="1"/>
      <c r="K98" s="1"/>
      <c r="L98" s="1"/>
    </row>
    <row r="99" ht="15.0" customHeight="1">
      <c r="A99" s="1352" t="s">
        <v>120</v>
      </c>
      <c r="B99" s="1188">
        <v>41505.0</v>
      </c>
      <c r="C99" s="184"/>
      <c r="D99" s="184"/>
      <c r="E99" s="1"/>
      <c r="F99" s="1"/>
      <c r="G99" s="1"/>
      <c r="H99" s="1"/>
      <c r="I99" s="1"/>
      <c r="J99" s="1"/>
      <c r="K99" s="1"/>
      <c r="L99" s="1"/>
    </row>
    <row r="100" ht="15.0" customHeight="1">
      <c r="A100" s="90" t="s">
        <v>50</v>
      </c>
      <c r="B100" s="1188">
        <v>41530.0</v>
      </c>
      <c r="C100" s="184"/>
      <c r="D100" s="184"/>
      <c r="E100" s="1"/>
      <c r="F100" s="1"/>
      <c r="G100" s="1"/>
      <c r="H100" s="1"/>
      <c r="I100" s="1"/>
      <c r="J100" s="1"/>
      <c r="K100" s="1"/>
      <c r="L100" s="1"/>
    </row>
    <row r="101" ht="15.75" customHeight="1">
      <c r="A101" s="1"/>
      <c r="B101" s="107"/>
      <c r="C101" s="184"/>
      <c r="D101" s="184"/>
      <c r="E101" s="1"/>
      <c r="F101" s="1"/>
      <c r="G101" s="1"/>
      <c r="H101" s="1"/>
      <c r="I101" s="1"/>
      <c r="J101" s="1"/>
      <c r="K101" s="1"/>
      <c r="L101" s="1"/>
    </row>
    <row r="102" ht="15.75" customHeight="1">
      <c r="A102" s="1"/>
      <c r="B102" s="107"/>
      <c r="C102" s="184"/>
      <c r="D102" s="184"/>
      <c r="E102" s="1"/>
      <c r="F102" s="1"/>
      <c r="G102" s="1"/>
      <c r="H102" s="1"/>
      <c r="I102" s="1"/>
      <c r="J102" s="1"/>
      <c r="K102" s="1"/>
      <c r="L102" s="1"/>
    </row>
    <row r="103" ht="15.75" customHeight="1">
      <c r="A103" s="1"/>
      <c r="B103" s="107"/>
      <c r="C103" s="184"/>
      <c r="D103" s="184"/>
      <c r="E103" s="1"/>
      <c r="F103" s="1"/>
      <c r="G103" s="1"/>
      <c r="H103" s="1"/>
      <c r="I103" s="1"/>
      <c r="J103" s="1"/>
      <c r="K103" s="1"/>
      <c r="L103" s="1"/>
    </row>
    <row r="104" ht="15.75" customHeight="1">
      <c r="A104" s="1"/>
      <c r="B104" s="107"/>
      <c r="C104" s="184"/>
      <c r="D104" s="184"/>
      <c r="E104" s="1"/>
      <c r="F104" s="1"/>
      <c r="G104" s="1"/>
      <c r="H104" s="1"/>
      <c r="I104" s="1"/>
      <c r="J104" s="1"/>
      <c r="K104" s="1"/>
      <c r="L104" s="1"/>
    </row>
    <row r="105" ht="15.75" customHeight="1">
      <c r="A105" s="1"/>
      <c r="B105" s="107"/>
      <c r="C105" s="184"/>
      <c r="D105" s="184"/>
      <c r="E105" s="1"/>
      <c r="F105" s="1"/>
      <c r="G105" s="1"/>
      <c r="H105" s="1"/>
      <c r="I105" s="1"/>
      <c r="J105" s="1"/>
      <c r="K105" s="1"/>
      <c r="L105" s="1"/>
    </row>
    <row r="106" ht="15.75" customHeight="1">
      <c r="A106" s="209" t="s">
        <v>1917</v>
      </c>
      <c r="B106" s="18"/>
      <c r="C106" s="18"/>
      <c r="D106" s="18"/>
      <c r="E106" s="19"/>
      <c r="F106" s="284"/>
      <c r="G106" s="1"/>
      <c r="H106" s="1"/>
      <c r="I106" s="1"/>
      <c r="J106" s="1"/>
      <c r="K106" s="1"/>
      <c r="L106" s="1"/>
    </row>
    <row r="107" ht="15.75" customHeight="1">
      <c r="A107" s="1670" t="s">
        <v>1</v>
      </c>
      <c r="B107" s="1671">
        <v>45.0</v>
      </c>
      <c r="C107" s="1672">
        <v>11.0</v>
      </c>
      <c r="D107" s="1673"/>
      <c r="E107" s="1674" t="s">
        <v>5</v>
      </c>
      <c r="F107" s="284"/>
      <c r="G107" s="1"/>
      <c r="H107" s="1"/>
      <c r="I107" s="1"/>
      <c r="J107" s="1"/>
      <c r="K107" s="1"/>
      <c r="L107" s="1"/>
    </row>
    <row r="108" ht="15.75" customHeight="1">
      <c r="A108" s="68" t="s">
        <v>53</v>
      </c>
      <c r="B108" s="145">
        <v>10.0</v>
      </c>
      <c r="C108" s="521">
        <f>C107/B107*B108</f>
        <v>2.444444444</v>
      </c>
      <c r="D108" s="1657"/>
      <c r="E108" s="216" t="s">
        <v>14</v>
      </c>
      <c r="F108" s="284"/>
      <c r="G108" s="1"/>
      <c r="H108" s="1"/>
      <c r="I108" s="1"/>
      <c r="J108" s="1"/>
      <c r="K108" s="1"/>
      <c r="L108" s="1"/>
    </row>
    <row r="109" ht="15.75" customHeight="1">
      <c r="A109" s="93" t="s">
        <v>1921</v>
      </c>
      <c r="B109" s="195">
        <v>2.5</v>
      </c>
      <c r="C109" s="521">
        <f t="shared" ref="C109:C120" si="7">(B109*C108)/B108</f>
        <v>0.6111111111</v>
      </c>
      <c r="D109" s="1653"/>
      <c r="E109" s="249" t="s">
        <v>14</v>
      </c>
      <c r="F109" s="284"/>
      <c r="G109" s="1"/>
      <c r="H109" s="1"/>
      <c r="I109" s="1"/>
      <c r="J109" s="1"/>
      <c r="K109" s="1"/>
      <c r="L109" s="1"/>
    </row>
    <row r="110" ht="15.75" customHeight="1">
      <c r="A110" s="138" t="s">
        <v>329</v>
      </c>
      <c r="B110" s="279">
        <v>2.0</v>
      </c>
      <c r="C110" s="842">
        <f t="shared" si="7"/>
        <v>0.4888888889</v>
      </c>
      <c r="D110" s="1655"/>
      <c r="E110" s="242" t="s">
        <v>14</v>
      </c>
      <c r="F110" s="284"/>
      <c r="G110" s="1"/>
      <c r="H110" s="1"/>
      <c r="I110" s="1"/>
      <c r="J110" s="1"/>
      <c r="K110" s="1"/>
      <c r="L110" s="1"/>
    </row>
    <row r="111" ht="15.75" customHeight="1">
      <c r="A111" s="68" t="s">
        <v>91</v>
      </c>
      <c r="B111" s="145">
        <v>1.0</v>
      </c>
      <c r="C111" s="516">
        <f t="shared" si="7"/>
        <v>0.2444444444</v>
      </c>
      <c r="D111" s="1652"/>
      <c r="E111" s="216" t="s">
        <v>5</v>
      </c>
      <c r="F111" s="269" t="s">
        <v>1922</v>
      </c>
      <c r="G111" s="1"/>
      <c r="H111" s="1"/>
      <c r="I111" s="1"/>
      <c r="J111" s="1"/>
      <c r="K111" s="1"/>
      <c r="L111" s="1"/>
    </row>
    <row r="112" ht="15.75" customHeight="1">
      <c r="A112" s="93" t="s">
        <v>97</v>
      </c>
      <c r="B112" s="195">
        <v>50.0</v>
      </c>
      <c r="C112" s="521">
        <f t="shared" si="7"/>
        <v>12.22222222</v>
      </c>
      <c r="D112" s="1653"/>
      <c r="E112" s="249" t="s">
        <v>18</v>
      </c>
      <c r="F112" s="47"/>
      <c r="G112" s="1"/>
      <c r="H112" s="1"/>
      <c r="I112" s="1"/>
      <c r="J112" s="1"/>
      <c r="K112" s="1"/>
      <c r="L112" s="1"/>
    </row>
    <row r="113" ht="15.75" customHeight="1">
      <c r="A113" s="93" t="s">
        <v>390</v>
      </c>
      <c r="B113" s="195">
        <v>45.0</v>
      </c>
      <c r="C113" s="521">
        <f t="shared" si="7"/>
        <v>11</v>
      </c>
      <c r="D113" s="1653"/>
      <c r="E113" s="249" t="s">
        <v>18</v>
      </c>
      <c r="F113" s="47"/>
      <c r="G113" s="1"/>
      <c r="H113" s="1"/>
      <c r="I113" s="1"/>
      <c r="J113" s="1"/>
      <c r="K113" s="1"/>
      <c r="L113" s="1"/>
    </row>
    <row r="114" ht="15.75" customHeight="1">
      <c r="A114" s="93" t="s">
        <v>103</v>
      </c>
      <c r="B114" s="195">
        <v>30.0</v>
      </c>
      <c r="C114" s="521">
        <f t="shared" si="7"/>
        <v>7.333333333</v>
      </c>
      <c r="D114" s="1653"/>
      <c r="E114" s="249" t="s">
        <v>18</v>
      </c>
      <c r="F114" s="47"/>
      <c r="G114" s="1"/>
      <c r="H114" s="1"/>
      <c r="I114" s="1"/>
      <c r="J114" s="1"/>
      <c r="K114" s="1"/>
      <c r="L114" s="1"/>
    </row>
    <row r="115" ht="15.75" customHeight="1">
      <c r="A115" s="93" t="s">
        <v>83</v>
      </c>
      <c r="B115" s="195">
        <v>150.0</v>
      </c>
      <c r="C115" s="521">
        <f t="shared" si="7"/>
        <v>36.66666667</v>
      </c>
      <c r="D115" s="1653"/>
      <c r="E115" s="249" t="s">
        <v>18</v>
      </c>
      <c r="F115" s="47"/>
      <c r="G115" s="1"/>
      <c r="H115" s="1"/>
      <c r="I115" s="1"/>
      <c r="J115" s="1"/>
      <c r="K115" s="1"/>
      <c r="L115" s="1"/>
    </row>
    <row r="116" ht="15.75" customHeight="1">
      <c r="A116" s="93" t="s">
        <v>84</v>
      </c>
      <c r="B116" s="195">
        <v>250.0</v>
      </c>
      <c r="C116" s="521">
        <f t="shared" si="7"/>
        <v>61.11111111</v>
      </c>
      <c r="D116" s="1653"/>
      <c r="E116" s="249" t="s">
        <v>18</v>
      </c>
      <c r="F116" s="47"/>
      <c r="G116" s="1"/>
      <c r="H116" s="1"/>
      <c r="I116" s="1"/>
      <c r="J116" s="1"/>
      <c r="K116" s="1"/>
      <c r="L116" s="1"/>
    </row>
    <row r="117" ht="15.75" customHeight="1">
      <c r="A117" s="105" t="s">
        <v>101</v>
      </c>
      <c r="B117" s="200">
        <v>1.0</v>
      </c>
      <c r="C117" s="517">
        <f t="shared" si="7"/>
        <v>0.2444444444</v>
      </c>
      <c r="D117" s="1656"/>
      <c r="E117" s="518" t="s">
        <v>5</v>
      </c>
      <c r="F117" s="76"/>
      <c r="G117" s="1"/>
      <c r="H117" s="1"/>
      <c r="I117" s="1"/>
      <c r="J117" s="1"/>
      <c r="K117" s="1"/>
      <c r="L117" s="1"/>
    </row>
    <row r="118" ht="15.75" customHeight="1">
      <c r="A118" s="119" t="s">
        <v>31</v>
      </c>
      <c r="B118" s="238">
        <v>350.0</v>
      </c>
      <c r="C118" s="519">
        <f t="shared" si="7"/>
        <v>85.55555556</v>
      </c>
      <c r="D118" s="1657"/>
      <c r="E118" s="520" t="s">
        <v>18</v>
      </c>
      <c r="F118" s="284"/>
      <c r="G118" s="1"/>
      <c r="H118" s="1"/>
      <c r="I118" s="1"/>
      <c r="J118" s="1"/>
      <c r="K118" s="1"/>
      <c r="L118" s="1"/>
    </row>
    <row r="119" ht="15.75" customHeight="1">
      <c r="A119" s="93" t="s">
        <v>13</v>
      </c>
      <c r="B119" s="195">
        <v>0.25</v>
      </c>
      <c r="C119" s="521">
        <f t="shared" si="7"/>
        <v>0.06111111111</v>
      </c>
      <c r="D119" s="1653"/>
      <c r="E119" s="249" t="s">
        <v>14</v>
      </c>
      <c r="F119" s="284"/>
      <c r="G119" s="1"/>
      <c r="H119" s="1"/>
      <c r="I119" s="1"/>
      <c r="J119" s="1"/>
      <c r="K119" s="1"/>
      <c r="L119" s="1"/>
    </row>
    <row r="120" ht="15.75" customHeight="1">
      <c r="A120" s="105" t="s">
        <v>59</v>
      </c>
      <c r="B120" s="200">
        <v>24.0</v>
      </c>
      <c r="C120" s="517">
        <f t="shared" si="7"/>
        <v>5.866666667</v>
      </c>
      <c r="D120" s="1656"/>
      <c r="E120" s="518" t="s">
        <v>5</v>
      </c>
      <c r="F120" s="284"/>
      <c r="G120" s="1"/>
      <c r="H120" s="1"/>
      <c r="I120" s="1"/>
      <c r="J120" s="1"/>
      <c r="K120" s="1"/>
      <c r="L120" s="1"/>
    </row>
    <row r="121" ht="15.75" customHeight="1">
      <c r="A121" s="1640" t="s">
        <v>119</v>
      </c>
      <c r="B121" s="1641" t="s">
        <v>47</v>
      </c>
      <c r="C121" s="184"/>
      <c r="D121" s="184"/>
      <c r="E121" s="1"/>
      <c r="F121" s="1"/>
      <c r="G121" s="1"/>
      <c r="H121" s="1"/>
      <c r="I121" s="1"/>
      <c r="J121" s="1"/>
      <c r="K121" s="1"/>
      <c r="L121" s="1"/>
    </row>
    <row r="122" ht="15.75" customHeight="1">
      <c r="A122" s="1"/>
      <c r="B122" s="107"/>
      <c r="C122" s="184"/>
      <c r="D122" s="184"/>
      <c r="E122" s="1"/>
      <c r="F122" s="1"/>
      <c r="G122" s="1"/>
      <c r="H122" s="1"/>
      <c r="I122" s="1"/>
      <c r="J122" s="1"/>
      <c r="K122" s="1"/>
      <c r="L122" s="1"/>
    </row>
    <row r="123" ht="15.75" customHeight="1">
      <c r="A123" s="90" t="s">
        <v>120</v>
      </c>
      <c r="B123" s="1188">
        <v>40824.0</v>
      </c>
      <c r="C123" s="184"/>
      <c r="D123" s="184"/>
      <c r="E123" s="1"/>
      <c r="F123" s="1"/>
      <c r="G123" s="1"/>
      <c r="H123" s="1"/>
      <c r="I123" s="1"/>
      <c r="J123" s="1"/>
      <c r="K123" s="1"/>
      <c r="L123" s="1"/>
    </row>
    <row r="124" ht="15.75" customHeight="1">
      <c r="A124" s="305" t="s">
        <v>50</v>
      </c>
      <c r="B124" s="1188">
        <v>41713.0</v>
      </c>
      <c r="C124" s="184"/>
      <c r="D124" s="184"/>
      <c r="E124" s="1"/>
      <c r="F124" s="1"/>
      <c r="G124" s="1"/>
      <c r="H124" s="1"/>
      <c r="I124" s="1"/>
      <c r="J124" s="1"/>
      <c r="K124" s="1"/>
      <c r="L124" s="1"/>
    </row>
    <row r="125" ht="15.75" customHeight="1">
      <c r="A125" s="1"/>
      <c r="B125" s="107"/>
      <c r="C125" s="184"/>
      <c r="D125" s="184"/>
      <c r="E125" s="1"/>
      <c r="F125" s="1"/>
      <c r="G125" s="1"/>
      <c r="H125" s="1"/>
      <c r="I125" s="1"/>
      <c r="J125" s="1"/>
      <c r="K125" s="1"/>
      <c r="L125" s="1"/>
    </row>
    <row r="126" ht="15.75" customHeight="1">
      <c r="A126" s="209" t="s">
        <v>658</v>
      </c>
      <c r="B126" s="18"/>
      <c r="C126" s="18"/>
      <c r="D126" s="18"/>
      <c r="E126" s="19"/>
      <c r="F126" s="284"/>
      <c r="G126" s="1"/>
      <c r="H126" s="1"/>
      <c r="I126" s="1"/>
      <c r="J126" s="1"/>
      <c r="K126" s="1"/>
      <c r="L126" s="1"/>
    </row>
    <row r="127" ht="15.75" customHeight="1">
      <c r="A127" s="1678" t="s">
        <v>1</v>
      </c>
      <c r="B127" s="1679">
        <v>50.0</v>
      </c>
      <c r="C127" s="1680">
        <v>60.0</v>
      </c>
      <c r="D127" s="1681"/>
      <c r="E127" s="1682" t="s">
        <v>5</v>
      </c>
      <c r="F127" s="284"/>
      <c r="G127" s="1"/>
      <c r="H127" s="1"/>
      <c r="I127" s="1"/>
      <c r="J127" s="1"/>
      <c r="K127" s="1"/>
      <c r="L127" s="1"/>
    </row>
    <row r="128" ht="15.75" customHeight="1">
      <c r="A128" s="1683" t="s">
        <v>53</v>
      </c>
      <c r="B128" s="145">
        <v>10.0</v>
      </c>
      <c r="C128" s="155">
        <f t="shared" ref="C128:C131" si="8">(B128*C127)/B127</f>
        <v>12</v>
      </c>
      <c r="D128" s="899"/>
      <c r="E128" s="137" t="s">
        <v>14</v>
      </c>
      <c r="F128" s="44" t="s">
        <v>1924</v>
      </c>
      <c r="G128" s="1"/>
      <c r="H128" s="1"/>
      <c r="I128" s="1"/>
      <c r="J128" s="1"/>
      <c r="K128" s="1"/>
      <c r="L128" s="1"/>
    </row>
    <row r="129" ht="15.75" customHeight="1">
      <c r="A129" s="1684" t="s">
        <v>59</v>
      </c>
      <c r="B129" s="195">
        <v>25.0</v>
      </c>
      <c r="C129" s="78">
        <f t="shared" si="8"/>
        <v>30</v>
      </c>
      <c r="D129" s="900"/>
      <c r="E129" s="165" t="s">
        <v>5</v>
      </c>
      <c r="F129" s="47"/>
      <c r="G129" s="1"/>
      <c r="H129" s="1"/>
      <c r="I129" s="1"/>
      <c r="J129" s="1"/>
      <c r="K129" s="1"/>
      <c r="L129" s="1"/>
    </row>
    <row r="130" ht="15.75" customHeight="1">
      <c r="A130" s="1684" t="s">
        <v>31</v>
      </c>
      <c r="B130" s="195">
        <v>250.0</v>
      </c>
      <c r="C130" s="78">
        <f t="shared" si="8"/>
        <v>300</v>
      </c>
      <c r="D130" s="900"/>
      <c r="E130" s="165" t="s">
        <v>18</v>
      </c>
      <c r="F130" s="47"/>
      <c r="G130" s="1"/>
      <c r="H130" s="1"/>
      <c r="I130" s="1"/>
      <c r="J130" s="1"/>
      <c r="K130" s="1"/>
      <c r="L130" s="1"/>
    </row>
    <row r="131" ht="15.75" customHeight="1">
      <c r="A131" s="1685" t="s">
        <v>34</v>
      </c>
      <c r="B131" s="200">
        <v>0.25</v>
      </c>
      <c r="C131" s="56">
        <f t="shared" si="8"/>
        <v>0.3</v>
      </c>
      <c r="D131" s="1604"/>
      <c r="E131" s="172" t="s">
        <v>5</v>
      </c>
      <c r="F131" s="76"/>
      <c r="G131" s="1"/>
      <c r="H131" s="1"/>
      <c r="I131" s="1"/>
      <c r="J131" s="1"/>
      <c r="K131" s="1"/>
      <c r="L131" s="1"/>
    </row>
    <row r="132" ht="15.75" customHeight="1">
      <c r="A132" s="1686" t="s">
        <v>34</v>
      </c>
      <c r="B132" s="238">
        <v>1.0</v>
      </c>
      <c r="C132" s="129">
        <f t="shared" ref="C132:C134" si="9">(B132*C128)/B128</f>
        <v>1.2</v>
      </c>
      <c r="D132" s="1583"/>
      <c r="E132" s="176" t="s">
        <v>5</v>
      </c>
      <c r="F132" s="44" t="s">
        <v>94</v>
      </c>
      <c r="G132" s="1"/>
      <c r="H132" s="1"/>
      <c r="I132" s="1"/>
      <c r="J132" s="1"/>
      <c r="K132" s="1"/>
      <c r="L132" s="1"/>
    </row>
    <row r="133" ht="15.75" customHeight="1">
      <c r="A133" s="1684" t="s">
        <v>97</v>
      </c>
      <c r="B133" s="195">
        <v>75.0</v>
      </c>
      <c r="C133" s="78">
        <f t="shared" si="9"/>
        <v>90</v>
      </c>
      <c r="D133" s="900"/>
      <c r="E133" s="165" t="s">
        <v>18</v>
      </c>
      <c r="F133" s="47"/>
      <c r="G133" s="1"/>
      <c r="H133" s="1"/>
      <c r="I133" s="1"/>
      <c r="J133" s="1"/>
      <c r="K133" s="1"/>
      <c r="L133" s="1"/>
    </row>
    <row r="134" ht="15.75" customHeight="1">
      <c r="A134" s="1684" t="s">
        <v>126</v>
      </c>
      <c r="B134" s="195">
        <v>50.0</v>
      </c>
      <c r="C134" s="78">
        <f t="shared" si="9"/>
        <v>60</v>
      </c>
      <c r="D134" s="900"/>
      <c r="E134" s="249" t="s">
        <v>18</v>
      </c>
      <c r="F134" s="47"/>
      <c r="G134" s="1"/>
      <c r="H134" s="1"/>
      <c r="I134" s="1"/>
      <c r="J134" s="1"/>
      <c r="K134" s="1"/>
      <c r="L134" s="1"/>
    </row>
    <row r="135" ht="15.75" customHeight="1">
      <c r="A135" s="1684" t="s">
        <v>101</v>
      </c>
      <c r="B135" s="195">
        <v>0.6</v>
      </c>
      <c r="C135" s="78">
        <f t="shared" ref="C135:C138" si="10">(B135*C128)/B128</f>
        <v>0.72</v>
      </c>
      <c r="D135" s="900"/>
      <c r="E135" s="249" t="s">
        <v>5</v>
      </c>
      <c r="F135" s="47"/>
      <c r="G135" s="1"/>
      <c r="H135" s="1"/>
      <c r="I135" s="1"/>
      <c r="J135" s="1"/>
      <c r="K135" s="1"/>
      <c r="L135" s="1"/>
    </row>
    <row r="136" ht="15.75" customHeight="1">
      <c r="A136" s="1684" t="s">
        <v>103</v>
      </c>
      <c r="B136" s="195">
        <v>30.0</v>
      </c>
      <c r="C136" s="78">
        <f t="shared" si="10"/>
        <v>36</v>
      </c>
      <c r="D136" s="900"/>
      <c r="E136" s="249" t="s">
        <v>18</v>
      </c>
      <c r="F136" s="47"/>
      <c r="G136" s="1"/>
      <c r="H136" s="1"/>
      <c r="I136" s="1"/>
      <c r="J136" s="1"/>
      <c r="K136" s="1"/>
      <c r="L136" s="1"/>
    </row>
    <row r="137" ht="15.75" customHeight="1">
      <c r="A137" s="1684" t="s">
        <v>149</v>
      </c>
      <c r="B137" s="195">
        <v>200.0</v>
      </c>
      <c r="C137" s="78">
        <f t="shared" si="10"/>
        <v>240</v>
      </c>
      <c r="D137" s="900"/>
      <c r="E137" s="249" t="s">
        <v>82</v>
      </c>
      <c r="F137" s="47"/>
      <c r="G137" s="1"/>
      <c r="H137" s="1"/>
      <c r="I137" s="1"/>
      <c r="J137" s="1"/>
      <c r="K137" s="1"/>
      <c r="L137" s="1"/>
    </row>
    <row r="138" ht="15.75" customHeight="1">
      <c r="A138" s="1687" t="s">
        <v>1925</v>
      </c>
      <c r="B138" s="279">
        <v>2.0</v>
      </c>
      <c r="C138" s="146">
        <f t="shared" si="10"/>
        <v>2.4</v>
      </c>
      <c r="D138" s="1607"/>
      <c r="E138" s="281" t="s">
        <v>14</v>
      </c>
      <c r="F138" s="47"/>
      <c r="G138" s="1"/>
      <c r="H138" s="1"/>
      <c r="I138" s="1"/>
      <c r="J138" s="1"/>
      <c r="K138" s="1"/>
      <c r="L138" s="1"/>
    </row>
    <row r="139" ht="15.75" customHeight="1">
      <c r="A139" s="1683" t="s">
        <v>31</v>
      </c>
      <c r="B139" s="145">
        <v>250.0</v>
      </c>
      <c r="C139" s="155">
        <f t="shared" ref="C139:C141" si="11">(B139*C128)/B128</f>
        <v>300</v>
      </c>
      <c r="D139" s="899"/>
      <c r="E139" s="137" t="s">
        <v>18</v>
      </c>
      <c r="F139" s="44" t="s">
        <v>1927</v>
      </c>
      <c r="G139" s="1"/>
      <c r="H139" s="1"/>
      <c r="I139" s="1"/>
      <c r="J139" s="1"/>
      <c r="K139" s="1"/>
      <c r="L139" s="1"/>
    </row>
    <row r="140" ht="15.75" customHeight="1">
      <c r="A140" s="1684" t="s">
        <v>350</v>
      </c>
      <c r="B140" s="195">
        <v>5.0</v>
      </c>
      <c r="C140" s="78">
        <f t="shared" si="11"/>
        <v>6</v>
      </c>
      <c r="D140" s="900"/>
      <c r="E140" s="165" t="s">
        <v>9</v>
      </c>
      <c r="F140" s="47"/>
      <c r="G140" s="1"/>
      <c r="H140" s="1"/>
      <c r="I140" s="1"/>
      <c r="J140" s="1"/>
      <c r="K140" s="1"/>
      <c r="L140" s="1"/>
    </row>
    <row r="141" ht="15.75" customHeight="1">
      <c r="A141" s="1685" t="s">
        <v>114</v>
      </c>
      <c r="B141" s="200">
        <v>2.0</v>
      </c>
      <c r="C141" s="56">
        <f t="shared" si="11"/>
        <v>2.4</v>
      </c>
      <c r="D141" s="1604"/>
      <c r="E141" s="172" t="s">
        <v>5</v>
      </c>
      <c r="F141" s="76"/>
      <c r="G141" s="1"/>
      <c r="H141" s="1"/>
      <c r="I141" s="1"/>
      <c r="J141" s="1"/>
      <c r="K141" s="1"/>
      <c r="L141" s="1"/>
    </row>
    <row r="142" ht="15.75" customHeight="1">
      <c r="A142" s="1640" t="s">
        <v>119</v>
      </c>
      <c r="B142" s="1641" t="s">
        <v>47</v>
      </c>
      <c r="C142" s="184"/>
      <c r="D142" s="184"/>
      <c r="E142" s="1"/>
      <c r="F142" s="1"/>
      <c r="G142" s="1"/>
      <c r="H142" s="1"/>
      <c r="I142" s="1"/>
      <c r="J142" s="1"/>
      <c r="K142" s="1"/>
      <c r="L142" s="1"/>
    </row>
    <row r="143" ht="15.75" customHeight="1">
      <c r="A143" s="1"/>
      <c r="B143" s="107"/>
      <c r="C143" s="184"/>
      <c r="D143" s="184"/>
      <c r="E143" s="1"/>
      <c r="F143" s="1"/>
      <c r="G143" s="1"/>
      <c r="H143" s="1"/>
      <c r="I143" s="1"/>
      <c r="J143" s="1"/>
      <c r="K143" s="1"/>
      <c r="L143" s="1"/>
    </row>
    <row r="144" ht="15.75" customHeight="1">
      <c r="A144" s="1"/>
      <c r="B144" s="107"/>
      <c r="C144" s="184"/>
      <c r="D144" s="184"/>
      <c r="E144" s="1"/>
      <c r="F144" s="1"/>
      <c r="G144" s="1"/>
      <c r="H144" s="1"/>
      <c r="I144" s="1"/>
      <c r="J144" s="1"/>
      <c r="K144" s="1"/>
      <c r="L144" s="1"/>
    </row>
    <row r="145" ht="15.75" customHeight="1">
      <c r="A145" s="1"/>
      <c r="B145" s="107"/>
      <c r="C145" s="184"/>
      <c r="D145" s="184"/>
      <c r="E145" s="1"/>
      <c r="F145" s="1"/>
      <c r="G145" s="1"/>
      <c r="H145" s="1"/>
      <c r="I145" s="1"/>
      <c r="J145" s="1"/>
      <c r="K145" s="1"/>
      <c r="L145" s="1"/>
    </row>
    <row r="146" ht="15.75" customHeight="1">
      <c r="A146" s="1"/>
      <c r="B146" s="107"/>
      <c r="C146" s="184"/>
      <c r="D146" s="184"/>
      <c r="E146" s="1"/>
      <c r="F146" s="1"/>
      <c r="G146" s="1"/>
      <c r="H146" s="1"/>
      <c r="I146" s="1"/>
      <c r="J146" s="1"/>
      <c r="K146" s="1"/>
      <c r="L146" s="1"/>
    </row>
    <row r="147" ht="15.75" customHeight="1">
      <c r="A147" s="90" t="s">
        <v>120</v>
      </c>
      <c r="B147" s="260">
        <v>40796.0</v>
      </c>
      <c r="C147" s="184"/>
      <c r="D147" s="184"/>
      <c r="E147" s="1"/>
      <c r="F147" s="1"/>
      <c r="G147" s="1"/>
      <c r="H147" s="1"/>
      <c r="I147" s="1"/>
      <c r="J147" s="1"/>
      <c r="K147" s="1"/>
      <c r="L147" s="1"/>
    </row>
    <row r="148" ht="15.75" customHeight="1">
      <c r="A148" s="1688" t="s">
        <v>1930</v>
      </c>
      <c r="B148" s="260">
        <v>40797.0</v>
      </c>
      <c r="C148" s="184"/>
      <c r="D148" s="184"/>
      <c r="E148" s="1"/>
      <c r="F148" s="1"/>
      <c r="G148" s="1"/>
      <c r="H148" s="1"/>
      <c r="I148" s="1"/>
      <c r="J148" s="1"/>
      <c r="K148" s="1"/>
      <c r="L148" s="1"/>
    </row>
    <row r="149" ht="15.75" customHeight="1">
      <c r="A149" s="1"/>
      <c r="B149" s="107"/>
      <c r="C149" s="184"/>
      <c r="D149" s="184"/>
      <c r="E149" s="1"/>
      <c r="F149" s="1"/>
      <c r="G149" s="1"/>
      <c r="H149" s="1"/>
      <c r="I149" s="1"/>
      <c r="J149" s="1"/>
      <c r="K149" s="1"/>
      <c r="L149" s="1"/>
    </row>
    <row r="150" ht="15.75" customHeight="1">
      <c r="A150" s="766" t="s">
        <v>682</v>
      </c>
      <c r="B150" s="18"/>
      <c r="C150" s="18"/>
      <c r="D150" s="18"/>
      <c r="E150" s="19"/>
      <c r="F150" s="284"/>
      <c r="G150" s="1"/>
      <c r="H150" s="1"/>
      <c r="I150" s="1"/>
      <c r="J150" s="1"/>
      <c r="K150" s="1"/>
      <c r="L150" s="1"/>
    </row>
    <row r="151" ht="15.75" customHeight="1">
      <c r="A151" s="1171" t="s">
        <v>1</v>
      </c>
      <c r="B151" s="275">
        <v>130.0</v>
      </c>
      <c r="C151" s="179">
        <v>50.0</v>
      </c>
      <c r="D151" s="1689"/>
      <c r="E151" s="547" t="s">
        <v>190</v>
      </c>
      <c r="F151" s="284"/>
      <c r="G151" s="1"/>
      <c r="H151" s="1"/>
      <c r="I151" s="1"/>
      <c r="J151" s="1"/>
      <c r="K151" s="1"/>
      <c r="L151" s="1"/>
    </row>
    <row r="152" ht="15.75" customHeight="1">
      <c r="A152" s="68" t="s">
        <v>53</v>
      </c>
      <c r="B152" s="975">
        <v>25.0</v>
      </c>
      <c r="C152" s="155">
        <f t="shared" ref="C152:C168" si="12">(B152*C151)/B151</f>
        <v>9.615384615</v>
      </c>
      <c r="D152" s="899"/>
      <c r="E152" s="216" t="s">
        <v>14</v>
      </c>
      <c r="F152" s="44" t="s">
        <v>1932</v>
      </c>
      <c r="G152" s="1"/>
      <c r="H152" s="1"/>
      <c r="I152" s="1"/>
      <c r="J152" s="1"/>
      <c r="K152" s="1"/>
      <c r="L152" s="1"/>
    </row>
    <row r="153" ht="15.75" customHeight="1">
      <c r="A153" s="119" t="s">
        <v>59</v>
      </c>
      <c r="B153" s="982">
        <v>50.0</v>
      </c>
      <c r="C153" s="78">
        <f t="shared" si="12"/>
        <v>19.23076923</v>
      </c>
      <c r="D153" s="1583"/>
      <c r="E153" s="520" t="s">
        <v>5</v>
      </c>
      <c r="F153" s="47"/>
      <c r="G153" s="1"/>
      <c r="H153" s="1"/>
      <c r="I153" s="1"/>
      <c r="J153" s="1"/>
      <c r="K153" s="1"/>
      <c r="L153" s="1"/>
    </row>
    <row r="154" ht="15.75" customHeight="1">
      <c r="A154" s="119" t="s">
        <v>91</v>
      </c>
      <c r="B154" s="982">
        <v>1.0</v>
      </c>
      <c r="C154" s="78">
        <f t="shared" si="12"/>
        <v>0.3846153846</v>
      </c>
      <c r="D154" s="1583"/>
      <c r="E154" s="520" t="s">
        <v>5</v>
      </c>
      <c r="F154" s="47"/>
      <c r="G154" s="1"/>
      <c r="H154" s="1"/>
      <c r="I154" s="1"/>
      <c r="J154" s="1"/>
      <c r="K154" s="1"/>
      <c r="L154" s="1"/>
    </row>
    <row r="155" ht="15.75" customHeight="1">
      <c r="A155" s="149" t="s">
        <v>31</v>
      </c>
      <c r="B155" s="1165">
        <v>500.0</v>
      </c>
      <c r="C155" s="56">
        <f t="shared" si="12"/>
        <v>192.3076923</v>
      </c>
      <c r="D155" s="1690"/>
      <c r="E155" s="288" t="s">
        <v>18</v>
      </c>
      <c r="F155" s="76"/>
      <c r="G155" s="1"/>
      <c r="H155" s="1"/>
      <c r="I155" s="1"/>
      <c r="J155" s="1"/>
      <c r="K155" s="1"/>
      <c r="L155" s="1"/>
    </row>
    <row r="156" ht="15.75" customHeight="1">
      <c r="A156" s="68" t="s">
        <v>91</v>
      </c>
      <c r="B156" s="145">
        <v>2.5</v>
      </c>
      <c r="C156" s="155">
        <f t="shared" si="12"/>
        <v>0.9615384615</v>
      </c>
      <c r="D156" s="899"/>
      <c r="E156" s="216" t="s">
        <v>5</v>
      </c>
      <c r="F156" s="44" t="s">
        <v>94</v>
      </c>
      <c r="G156" s="1"/>
      <c r="H156" s="1"/>
      <c r="I156" s="1"/>
      <c r="J156" s="1"/>
      <c r="K156" s="1"/>
      <c r="L156" s="1"/>
    </row>
    <row r="157" ht="15.75" customHeight="1">
      <c r="A157" s="93" t="s">
        <v>1933</v>
      </c>
      <c r="B157" s="195">
        <v>150.0</v>
      </c>
      <c r="C157" s="78">
        <f t="shared" si="12"/>
        <v>57.69230769</v>
      </c>
      <c r="D157" s="900"/>
      <c r="E157" s="249" t="s">
        <v>18</v>
      </c>
      <c r="F157" s="47"/>
      <c r="G157" s="1"/>
      <c r="H157" s="1"/>
      <c r="I157" s="1"/>
      <c r="J157" s="1"/>
      <c r="K157" s="1"/>
      <c r="L157" s="1"/>
    </row>
    <row r="158" ht="15.75" customHeight="1">
      <c r="A158" s="93" t="s">
        <v>98</v>
      </c>
      <c r="B158" s="195">
        <v>250.0</v>
      </c>
      <c r="C158" s="78">
        <f t="shared" si="12"/>
        <v>96.15384615</v>
      </c>
      <c r="D158" s="900"/>
      <c r="E158" s="249" t="s">
        <v>18</v>
      </c>
      <c r="F158" s="47"/>
      <c r="G158" s="1"/>
      <c r="H158" s="1"/>
      <c r="I158" s="1"/>
      <c r="J158" s="1"/>
      <c r="K158" s="1"/>
      <c r="L158" s="1"/>
    </row>
    <row r="159" ht="15.75" customHeight="1">
      <c r="A159" s="93" t="s">
        <v>103</v>
      </c>
      <c r="B159" s="195">
        <v>125.0</v>
      </c>
      <c r="C159" s="78">
        <f t="shared" si="12"/>
        <v>48.07692308</v>
      </c>
      <c r="D159" s="900"/>
      <c r="E159" s="249" t="s">
        <v>18</v>
      </c>
      <c r="F159" s="47"/>
      <c r="G159" s="1"/>
      <c r="H159" s="1"/>
      <c r="I159" s="1"/>
      <c r="J159" s="1"/>
      <c r="K159" s="1"/>
      <c r="L159" s="1"/>
    </row>
    <row r="160" ht="15.75" customHeight="1">
      <c r="A160" s="93" t="s">
        <v>252</v>
      </c>
      <c r="B160" s="195">
        <v>200.0</v>
      </c>
      <c r="C160" s="78">
        <f t="shared" si="12"/>
        <v>76.92307692</v>
      </c>
      <c r="D160" s="900"/>
      <c r="E160" s="249" t="s">
        <v>18</v>
      </c>
      <c r="F160" s="47"/>
      <c r="G160" s="1"/>
      <c r="H160" s="1"/>
      <c r="I160" s="1"/>
      <c r="J160" s="1"/>
      <c r="K160" s="1"/>
      <c r="L160" s="1"/>
    </row>
    <row r="161" ht="15.75" customHeight="1">
      <c r="A161" s="105" t="s">
        <v>1934</v>
      </c>
      <c r="B161" s="200">
        <v>1000.0</v>
      </c>
      <c r="C161" s="56">
        <f t="shared" si="12"/>
        <v>384.6153846</v>
      </c>
      <c r="D161" s="1604"/>
      <c r="E161" s="518" t="s">
        <v>82</v>
      </c>
      <c r="F161" s="76"/>
      <c r="G161" s="1"/>
      <c r="H161" s="1"/>
      <c r="I161" s="1"/>
      <c r="J161" s="1"/>
      <c r="K161" s="1"/>
      <c r="L161" s="1"/>
    </row>
    <row r="162" ht="15.75" customHeight="1">
      <c r="A162" s="119" t="s">
        <v>1935</v>
      </c>
      <c r="B162" s="238">
        <v>7.0</v>
      </c>
      <c r="C162" s="129">
        <f t="shared" si="12"/>
        <v>2.692307692</v>
      </c>
      <c r="D162" s="1583"/>
      <c r="E162" s="520" t="s">
        <v>14</v>
      </c>
      <c r="F162" s="284"/>
      <c r="G162" s="1"/>
      <c r="H162" s="1"/>
      <c r="I162" s="1"/>
      <c r="J162" s="1"/>
      <c r="K162" s="1"/>
      <c r="L162" s="1"/>
    </row>
    <row r="163" ht="15.75" customHeight="1">
      <c r="A163" s="93" t="s">
        <v>1936</v>
      </c>
      <c r="B163" s="195">
        <v>10.0</v>
      </c>
      <c r="C163" s="78">
        <f t="shared" si="12"/>
        <v>3.846153846</v>
      </c>
      <c r="D163" s="900"/>
      <c r="E163" s="249" t="s">
        <v>14</v>
      </c>
      <c r="F163" s="284"/>
      <c r="G163" s="1"/>
      <c r="H163" s="1"/>
      <c r="I163" s="1"/>
      <c r="J163" s="1"/>
      <c r="K163" s="1"/>
      <c r="L163" s="1"/>
    </row>
    <row r="164" ht="15.75" customHeight="1">
      <c r="A164" s="93" t="s">
        <v>636</v>
      </c>
      <c r="B164" s="195">
        <v>1.0</v>
      </c>
      <c r="C164" s="78">
        <f t="shared" si="12"/>
        <v>0.3846153846</v>
      </c>
      <c r="D164" s="900"/>
      <c r="E164" s="249" t="s">
        <v>14</v>
      </c>
      <c r="F164" s="284"/>
      <c r="G164" s="1"/>
      <c r="H164" s="1"/>
      <c r="I164" s="1"/>
      <c r="J164" s="1"/>
      <c r="K164" s="1"/>
      <c r="L164" s="1"/>
    </row>
    <row r="165" ht="15.75" customHeight="1">
      <c r="A165" s="93" t="s">
        <v>105</v>
      </c>
      <c r="B165" s="195">
        <v>250.0</v>
      </c>
      <c r="C165" s="78">
        <f t="shared" si="12"/>
        <v>96.15384615</v>
      </c>
      <c r="D165" s="900"/>
      <c r="E165" s="249" t="s">
        <v>18</v>
      </c>
      <c r="F165" s="284"/>
      <c r="G165" s="1"/>
      <c r="H165" s="1"/>
      <c r="I165" s="1"/>
      <c r="J165" s="1"/>
      <c r="K165" s="1"/>
      <c r="L165" s="1"/>
    </row>
    <row r="166" ht="15.75" customHeight="1">
      <c r="A166" s="93" t="s">
        <v>1027</v>
      </c>
      <c r="B166" s="195">
        <v>300.0</v>
      </c>
      <c r="C166" s="78">
        <f t="shared" si="12"/>
        <v>115.3846154</v>
      </c>
      <c r="D166" s="900"/>
      <c r="E166" s="249" t="s">
        <v>18</v>
      </c>
      <c r="F166" s="284"/>
      <c r="G166" s="1"/>
      <c r="H166" s="1"/>
      <c r="I166" s="1"/>
      <c r="J166" s="1"/>
      <c r="K166" s="1"/>
      <c r="L166" s="1"/>
    </row>
    <row r="167" ht="15.75" customHeight="1">
      <c r="A167" s="93" t="s">
        <v>31</v>
      </c>
      <c r="B167" s="195">
        <v>700.0</v>
      </c>
      <c r="C167" s="78">
        <f t="shared" si="12"/>
        <v>269.2307692</v>
      </c>
      <c r="D167" s="900"/>
      <c r="E167" s="249" t="s">
        <v>18</v>
      </c>
      <c r="F167" s="284"/>
      <c r="G167" s="1"/>
      <c r="H167" s="1"/>
      <c r="I167" s="1"/>
      <c r="J167" s="1"/>
      <c r="K167" s="1"/>
      <c r="L167" s="1"/>
    </row>
    <row r="168" ht="15.75" customHeight="1">
      <c r="A168" s="105" t="s">
        <v>114</v>
      </c>
      <c r="B168" s="200">
        <v>5.0</v>
      </c>
      <c r="C168" s="56">
        <f t="shared" si="12"/>
        <v>1.923076923</v>
      </c>
      <c r="D168" s="1604"/>
      <c r="E168" s="518" t="s">
        <v>5</v>
      </c>
      <c r="F168" s="284"/>
      <c r="G168" s="1"/>
      <c r="H168" s="1"/>
      <c r="I168" s="1"/>
      <c r="J168" s="1"/>
      <c r="K168" s="1"/>
      <c r="L168" s="1"/>
    </row>
    <row r="169" ht="15.75" customHeight="1">
      <c r="A169" s="1691" t="s">
        <v>1937</v>
      </c>
      <c r="B169" s="19"/>
      <c r="C169" s="184"/>
      <c r="D169" s="184"/>
      <c r="E169" s="673"/>
      <c r="F169" s="1"/>
      <c r="G169" s="1"/>
      <c r="H169" s="1"/>
      <c r="I169" s="1"/>
      <c r="J169" s="1"/>
      <c r="K169" s="1"/>
      <c r="L169" s="1"/>
    </row>
    <row r="170" ht="15.75" customHeight="1">
      <c r="A170" s="1640" t="s">
        <v>119</v>
      </c>
      <c r="B170" s="1641" t="s">
        <v>47</v>
      </c>
      <c r="C170" s="184"/>
      <c r="D170" s="184"/>
      <c r="E170" s="1"/>
      <c r="F170" s="1"/>
      <c r="G170" s="1"/>
      <c r="H170" s="1"/>
      <c r="I170" s="1"/>
      <c r="J170" s="1"/>
      <c r="K170" s="1"/>
      <c r="L170" s="1"/>
    </row>
    <row r="171" ht="15.75" customHeight="1">
      <c r="A171" s="1"/>
      <c r="B171" s="107"/>
      <c r="C171" s="184"/>
      <c r="D171" s="184"/>
      <c r="E171" s="1"/>
      <c r="F171" s="1"/>
      <c r="G171" s="1"/>
      <c r="H171" s="1"/>
      <c r="I171" s="1"/>
      <c r="J171" s="1"/>
      <c r="K171" s="1"/>
      <c r="L171" s="1"/>
    </row>
    <row r="172" ht="15.75" customHeight="1">
      <c r="A172" s="1"/>
      <c r="B172" s="107"/>
      <c r="C172" s="184"/>
      <c r="D172" s="184"/>
      <c r="E172" s="1"/>
      <c r="F172" s="1"/>
      <c r="G172" s="1"/>
      <c r="H172" s="1"/>
      <c r="I172" s="1"/>
      <c r="J172" s="1"/>
      <c r="K172" s="1"/>
      <c r="L172" s="1"/>
    </row>
    <row r="173" ht="15.75" customHeight="1">
      <c r="A173" s="1"/>
      <c r="B173" s="107"/>
      <c r="C173" s="184"/>
      <c r="D173" s="184"/>
      <c r="E173" s="1"/>
      <c r="F173" s="1"/>
      <c r="G173" s="1"/>
      <c r="H173" s="1"/>
      <c r="I173" s="1"/>
      <c r="J173" s="1"/>
      <c r="K173" s="1"/>
      <c r="L173" s="1"/>
    </row>
    <row r="174" ht="15.75" customHeight="1">
      <c r="A174" s="1352" t="s">
        <v>120</v>
      </c>
      <c r="B174" s="1692">
        <v>40809.0</v>
      </c>
      <c r="C174" s="184"/>
      <c r="D174" s="184"/>
      <c r="E174" s="673"/>
      <c r="F174" s="1"/>
      <c r="G174" s="1"/>
      <c r="H174" s="1"/>
      <c r="I174" s="1"/>
      <c r="J174" s="1"/>
      <c r="K174" s="1"/>
      <c r="L174" s="1"/>
    </row>
    <row r="175" ht="15.75" customHeight="1">
      <c r="A175" s="90" t="s">
        <v>50</v>
      </c>
      <c r="B175" s="187">
        <v>41003.0</v>
      </c>
      <c r="C175" s="184"/>
      <c r="D175" s="184"/>
      <c r="E175" s="673"/>
      <c r="F175" s="1"/>
      <c r="G175" s="1"/>
      <c r="H175" s="1"/>
      <c r="I175" s="1"/>
      <c r="J175" s="1"/>
      <c r="K175" s="1"/>
      <c r="L175" s="1"/>
    </row>
    <row r="176" ht="15.75" customHeight="1">
      <c r="A176" s="1"/>
      <c r="B176" s="107"/>
      <c r="C176" s="184"/>
      <c r="D176" s="184"/>
      <c r="E176" s="1"/>
      <c r="F176" s="1"/>
      <c r="G176" s="1"/>
      <c r="H176" s="1"/>
      <c r="I176" s="1"/>
      <c r="J176" s="1"/>
      <c r="K176" s="1"/>
      <c r="L176" s="1"/>
    </row>
    <row r="177" ht="15.75" customHeight="1">
      <c r="A177" s="1"/>
      <c r="B177" s="107"/>
      <c r="C177" s="184"/>
      <c r="D177" s="184"/>
      <c r="E177" s="1"/>
      <c r="F177" s="1"/>
      <c r="G177" s="1"/>
      <c r="H177" s="1"/>
      <c r="I177" s="1"/>
      <c r="J177" s="1"/>
      <c r="K177" s="1"/>
      <c r="L177" s="1"/>
    </row>
    <row r="178" ht="17.25" customHeight="1">
      <c r="A178" s="927" t="s">
        <v>702</v>
      </c>
      <c r="B178" s="5"/>
      <c r="C178" s="5"/>
      <c r="D178" s="5"/>
      <c r="E178" s="6"/>
      <c r="F178" s="1693" t="s">
        <v>1939</v>
      </c>
      <c r="G178" s="1"/>
      <c r="H178" s="1"/>
      <c r="I178" s="1"/>
      <c r="J178" s="1"/>
      <c r="K178" s="1"/>
      <c r="L178" s="1"/>
    </row>
    <row r="179" ht="15.0" customHeight="1">
      <c r="A179" s="68" t="s">
        <v>53</v>
      </c>
      <c r="B179" s="145">
        <v>10.0</v>
      </c>
      <c r="C179" s="155">
        <v>25.0</v>
      </c>
      <c r="D179" s="899"/>
      <c r="E179" s="216" t="s">
        <v>14</v>
      </c>
      <c r="F179" s="44" t="s">
        <v>1940</v>
      </c>
      <c r="G179" s="1"/>
      <c r="H179" s="1"/>
      <c r="I179" s="1"/>
      <c r="J179" s="1"/>
      <c r="K179" s="1"/>
      <c r="L179" s="1"/>
    </row>
    <row r="180" ht="15.75" customHeight="1">
      <c r="A180" s="93" t="s">
        <v>164</v>
      </c>
      <c r="B180" s="195">
        <v>40.0</v>
      </c>
      <c r="C180" s="78">
        <f t="shared" ref="C180:C195" si="13">(B180*C179)/B179</f>
        <v>100</v>
      </c>
      <c r="D180" s="900"/>
      <c r="E180" s="249" t="s">
        <v>5</v>
      </c>
      <c r="F180" s="47"/>
      <c r="G180" s="1"/>
      <c r="H180" s="1"/>
      <c r="I180" s="1"/>
      <c r="J180" s="1"/>
      <c r="K180" s="1"/>
      <c r="L180" s="1"/>
    </row>
    <row r="181" ht="15.75" customHeight="1">
      <c r="A181" s="138" t="s">
        <v>31</v>
      </c>
      <c r="B181" s="279">
        <v>320.0</v>
      </c>
      <c r="C181" s="146">
        <f t="shared" si="13"/>
        <v>800</v>
      </c>
      <c r="D181" s="1607"/>
      <c r="E181" s="242" t="s">
        <v>18</v>
      </c>
      <c r="F181" s="47"/>
      <c r="G181" s="1"/>
      <c r="H181" s="1"/>
      <c r="I181" s="1"/>
      <c r="J181" s="1"/>
      <c r="K181" s="1"/>
      <c r="L181" s="1"/>
    </row>
    <row r="182" ht="15.75" customHeight="1">
      <c r="A182" s="1694" t="s">
        <v>122</v>
      </c>
      <c r="B182" s="1695">
        <v>24.0</v>
      </c>
      <c r="C182" s="1696">
        <f t="shared" si="13"/>
        <v>60</v>
      </c>
      <c r="D182" s="1697"/>
      <c r="E182" s="1698" t="s">
        <v>5</v>
      </c>
      <c r="F182" s="44" t="s">
        <v>1942</v>
      </c>
      <c r="G182" s="1"/>
      <c r="H182" s="1"/>
      <c r="I182" s="1"/>
      <c r="J182" s="1"/>
      <c r="K182" s="1"/>
      <c r="L182" s="1"/>
    </row>
    <row r="183" ht="15.75" customHeight="1">
      <c r="A183" s="93" t="s">
        <v>124</v>
      </c>
      <c r="B183" s="195">
        <v>100.0</v>
      </c>
      <c r="C183" s="78">
        <f t="shared" si="13"/>
        <v>250</v>
      </c>
      <c r="D183" s="900"/>
      <c r="E183" s="249" t="s">
        <v>18</v>
      </c>
      <c r="F183" s="47"/>
      <c r="G183" s="1"/>
      <c r="H183" s="1"/>
      <c r="I183" s="1"/>
      <c r="J183" s="1"/>
      <c r="K183" s="1"/>
      <c r="L183" s="1"/>
    </row>
    <row r="184" ht="15.75" customHeight="1">
      <c r="A184" s="93" t="s">
        <v>31</v>
      </c>
      <c r="B184" s="195">
        <v>360.0</v>
      </c>
      <c r="C184" s="78">
        <f t="shared" si="13"/>
        <v>900</v>
      </c>
      <c r="D184" s="900"/>
      <c r="E184" s="249" t="s">
        <v>18</v>
      </c>
      <c r="F184" s="47"/>
      <c r="G184" s="1"/>
      <c r="H184" s="1"/>
      <c r="I184" s="1"/>
      <c r="J184" s="1"/>
      <c r="K184" s="1"/>
      <c r="L184" s="1"/>
    </row>
    <row r="185" ht="15.75" customHeight="1">
      <c r="A185" s="93" t="s">
        <v>13</v>
      </c>
      <c r="B185" s="195">
        <v>0.35</v>
      </c>
      <c r="C185" s="78">
        <f t="shared" si="13"/>
        <v>0.875</v>
      </c>
      <c r="D185" s="900"/>
      <c r="E185" s="249" t="s">
        <v>14</v>
      </c>
      <c r="F185" s="47"/>
      <c r="G185" s="1"/>
      <c r="H185" s="1"/>
      <c r="I185" s="1"/>
      <c r="J185" s="1"/>
      <c r="K185" s="1"/>
      <c r="L185" s="1"/>
    </row>
    <row r="186" ht="15.75" customHeight="1">
      <c r="A186" s="93" t="s">
        <v>92</v>
      </c>
      <c r="B186" s="195">
        <v>250.0</v>
      </c>
      <c r="C186" s="78">
        <f t="shared" si="13"/>
        <v>625</v>
      </c>
      <c r="D186" s="900"/>
      <c r="E186" s="249" t="s">
        <v>18</v>
      </c>
      <c r="F186" s="47"/>
      <c r="G186" s="1"/>
      <c r="H186" s="1">
        <f>300*0.5</f>
        <v>150</v>
      </c>
      <c r="I186" s="1"/>
      <c r="J186" s="1"/>
      <c r="K186" s="1"/>
      <c r="L186" s="1"/>
    </row>
    <row r="187" ht="15.75" customHeight="1">
      <c r="A187" s="105" t="s">
        <v>148</v>
      </c>
      <c r="B187" s="200">
        <v>200.0</v>
      </c>
      <c r="C187" s="56">
        <f t="shared" si="13"/>
        <v>500</v>
      </c>
      <c r="D187" s="1604"/>
      <c r="E187" s="518" t="s">
        <v>18</v>
      </c>
      <c r="F187" s="76"/>
      <c r="G187" s="1"/>
      <c r="H187" s="1"/>
      <c r="I187" s="1"/>
      <c r="J187" s="1"/>
      <c r="K187" s="1"/>
      <c r="L187" s="1"/>
    </row>
    <row r="188" ht="15.75" customHeight="1">
      <c r="A188" s="119" t="s">
        <v>34</v>
      </c>
      <c r="B188" s="238">
        <v>1.0</v>
      </c>
      <c r="C188" s="129">
        <f t="shared" si="13"/>
        <v>2.5</v>
      </c>
      <c r="D188" s="1583"/>
      <c r="E188" s="520" t="s">
        <v>5</v>
      </c>
      <c r="F188" s="44" t="s">
        <v>1943</v>
      </c>
      <c r="G188" s="1"/>
      <c r="H188" s="1"/>
      <c r="I188" s="1"/>
      <c r="J188" s="1"/>
      <c r="K188" s="1"/>
      <c r="L188" s="1"/>
    </row>
    <row r="189" ht="15.75" customHeight="1">
      <c r="A189" s="93" t="s">
        <v>97</v>
      </c>
      <c r="B189" s="195">
        <v>150.0</v>
      </c>
      <c r="C189" s="78">
        <f t="shared" si="13"/>
        <v>375</v>
      </c>
      <c r="D189" s="900"/>
      <c r="E189" s="249" t="s">
        <v>18</v>
      </c>
      <c r="F189" s="47"/>
      <c r="G189" s="1"/>
      <c r="H189" s="1"/>
      <c r="I189" s="1"/>
      <c r="J189" s="1"/>
      <c r="K189" s="1"/>
      <c r="L189" s="1"/>
    </row>
    <row r="190" ht="15.75" customHeight="1">
      <c r="A190" s="93" t="s">
        <v>847</v>
      </c>
      <c r="B190" s="195">
        <v>200.0</v>
      </c>
      <c r="C190" s="78">
        <f t="shared" si="13"/>
        <v>500</v>
      </c>
      <c r="D190" s="900"/>
      <c r="E190" s="249" t="s">
        <v>18</v>
      </c>
      <c r="F190" s="47"/>
      <c r="G190" s="1"/>
      <c r="H190" s="1"/>
      <c r="I190" s="1"/>
      <c r="J190" s="1"/>
      <c r="K190" s="1"/>
      <c r="L190" s="1"/>
    </row>
    <row r="191" ht="15.75" customHeight="1">
      <c r="A191" s="93" t="s">
        <v>345</v>
      </c>
      <c r="B191" s="195">
        <v>0.25</v>
      </c>
      <c r="C191" s="78">
        <f t="shared" si="13"/>
        <v>0.625</v>
      </c>
      <c r="D191" s="900"/>
      <c r="E191" s="249" t="s">
        <v>14</v>
      </c>
      <c r="F191" s="47"/>
      <c r="G191" s="1"/>
      <c r="H191" s="1"/>
      <c r="I191" s="1"/>
      <c r="J191" s="1"/>
      <c r="K191" s="1"/>
      <c r="L191" s="1"/>
    </row>
    <row r="192" ht="15.75" customHeight="1">
      <c r="A192" s="93" t="s">
        <v>1395</v>
      </c>
      <c r="B192" s="195">
        <v>0.25</v>
      </c>
      <c r="C192" s="78">
        <f t="shared" si="13"/>
        <v>0.625</v>
      </c>
      <c r="D192" s="900"/>
      <c r="E192" s="249" t="s">
        <v>14</v>
      </c>
      <c r="F192" s="47"/>
      <c r="G192" s="1"/>
      <c r="H192" s="1"/>
      <c r="I192" s="1"/>
      <c r="J192" s="1"/>
      <c r="K192" s="1"/>
      <c r="L192" s="1"/>
    </row>
    <row r="193" ht="15.75" customHeight="1">
      <c r="A193" s="138" t="s">
        <v>103</v>
      </c>
      <c r="B193" s="279">
        <v>60.0</v>
      </c>
      <c r="C193" s="146">
        <f t="shared" si="13"/>
        <v>150</v>
      </c>
      <c r="D193" s="1607"/>
      <c r="E193" s="242" t="s">
        <v>18</v>
      </c>
      <c r="F193" s="76"/>
      <c r="G193" s="1"/>
      <c r="H193" s="1"/>
      <c r="I193" s="1"/>
      <c r="J193" s="1"/>
      <c r="K193" s="1"/>
      <c r="L193" s="1"/>
    </row>
    <row r="194" ht="15.75" customHeight="1">
      <c r="A194" s="68" t="s">
        <v>101</v>
      </c>
      <c r="B194" s="145">
        <v>1.0</v>
      </c>
      <c r="C194" s="155">
        <f t="shared" si="13"/>
        <v>2.5</v>
      </c>
      <c r="D194" s="899"/>
      <c r="E194" s="216" t="s">
        <v>5</v>
      </c>
      <c r="F194" s="44" t="s">
        <v>115</v>
      </c>
      <c r="G194" s="1"/>
      <c r="H194" s="1"/>
      <c r="I194" s="1"/>
      <c r="J194" s="1"/>
      <c r="K194" s="1"/>
      <c r="L194" s="1"/>
    </row>
    <row r="195" ht="15.75" customHeight="1">
      <c r="A195" s="93" t="s">
        <v>1944</v>
      </c>
      <c r="B195" s="195">
        <v>10.0</v>
      </c>
      <c r="C195" s="78">
        <f t="shared" si="13"/>
        <v>25</v>
      </c>
      <c r="D195" s="900"/>
      <c r="E195" s="249" t="s">
        <v>1197</v>
      </c>
      <c r="F195" s="47"/>
      <c r="G195" s="1"/>
      <c r="H195" s="1"/>
      <c r="I195" s="1"/>
      <c r="J195" s="1"/>
      <c r="K195" s="1"/>
      <c r="L195" s="1"/>
    </row>
    <row r="196" ht="15.75" customHeight="1">
      <c r="A196" s="93" t="s">
        <v>114</v>
      </c>
      <c r="B196" s="195">
        <v>2.5</v>
      </c>
      <c r="C196" s="78">
        <f t="shared" ref="C196:C198" si="14">(B196*C194)/B194</f>
        <v>6.25</v>
      </c>
      <c r="D196" s="900"/>
      <c r="E196" s="249" t="s">
        <v>5</v>
      </c>
      <c r="F196" s="47"/>
      <c r="G196" s="1"/>
      <c r="H196" s="1"/>
      <c r="I196" s="1"/>
      <c r="J196" s="1"/>
      <c r="K196" s="1"/>
      <c r="L196" s="1"/>
    </row>
    <row r="197" ht="15.75" customHeight="1">
      <c r="A197" s="149" t="s">
        <v>1398</v>
      </c>
      <c r="B197" s="152">
        <v>1.0</v>
      </c>
      <c r="C197" s="56">
        <f t="shared" si="14"/>
        <v>2.5</v>
      </c>
      <c r="D197" s="1690"/>
      <c r="E197" s="288" t="s">
        <v>14</v>
      </c>
      <c r="F197" s="76"/>
      <c r="G197" s="1"/>
      <c r="H197" s="1"/>
      <c r="I197" s="1"/>
      <c r="J197" s="1"/>
      <c r="K197" s="1"/>
      <c r="L197" s="1"/>
    </row>
    <row r="198" ht="15.75" customHeight="1">
      <c r="A198" s="1699" t="s">
        <v>1</v>
      </c>
      <c r="B198" s="1700">
        <v>70.0</v>
      </c>
      <c r="C198" s="179">
        <f t="shared" si="14"/>
        <v>175</v>
      </c>
      <c r="D198" s="1689"/>
      <c r="E198" s="1701" t="s">
        <v>5</v>
      </c>
      <c r="F198" s="1703"/>
      <c r="G198" s="1"/>
      <c r="H198" s="1"/>
      <c r="I198" s="1"/>
      <c r="J198" s="1"/>
      <c r="K198" s="1"/>
      <c r="L198" s="1"/>
    </row>
    <row r="199" ht="15.75" customHeight="1">
      <c r="A199" s="1704" t="s">
        <v>119</v>
      </c>
      <c r="B199" s="1705" t="s">
        <v>47</v>
      </c>
      <c r="C199" s="184"/>
      <c r="D199" s="184"/>
      <c r="E199" s="1"/>
      <c r="F199" s="1"/>
      <c r="G199" s="1"/>
      <c r="H199" s="1"/>
      <c r="I199" s="1"/>
      <c r="J199" s="1"/>
      <c r="K199" s="1"/>
      <c r="L199" s="1"/>
    </row>
    <row r="200" ht="15.75" customHeight="1">
      <c r="A200" s="1706" t="s">
        <v>1945</v>
      </c>
      <c r="B200" s="5"/>
      <c r="C200" s="6"/>
      <c r="D200" s="1708"/>
      <c r="E200" s="1"/>
      <c r="F200" s="1"/>
      <c r="G200" s="1"/>
      <c r="H200" s="1"/>
      <c r="I200" s="1"/>
      <c r="J200" s="1"/>
      <c r="K200" s="1"/>
      <c r="L200" s="1"/>
    </row>
    <row r="201" ht="15.75" customHeight="1">
      <c r="A201" s="102"/>
      <c r="B201" s="104"/>
      <c r="C201" s="106"/>
      <c r="D201" s="1708"/>
      <c r="E201" s="1"/>
      <c r="F201" s="1"/>
      <c r="G201" s="1"/>
      <c r="H201" s="1"/>
      <c r="I201" s="1"/>
      <c r="J201" s="1"/>
      <c r="K201" s="1"/>
      <c r="L201" s="1"/>
    </row>
    <row r="202" ht="15.75" customHeight="1">
      <c r="A202" s="1"/>
      <c r="B202" s="107"/>
      <c r="C202" s="184"/>
      <c r="D202" s="184"/>
      <c r="E202" s="1"/>
      <c r="F202" s="1"/>
      <c r="G202" s="1"/>
      <c r="H202" s="1"/>
      <c r="I202" s="1"/>
      <c r="J202" s="1"/>
      <c r="K202" s="1"/>
      <c r="L202" s="1"/>
    </row>
    <row r="203" ht="15.75" customHeight="1">
      <c r="A203" s="1"/>
      <c r="B203" s="107"/>
      <c r="C203" s="184"/>
      <c r="D203" s="184"/>
      <c r="E203" s="1"/>
      <c r="F203" s="1"/>
      <c r="G203" s="1"/>
      <c r="H203" s="1"/>
      <c r="I203" s="1"/>
      <c r="J203" s="1"/>
      <c r="K203" s="1"/>
      <c r="L203" s="1"/>
    </row>
    <row r="204" ht="15.75" customHeight="1">
      <c r="A204" s="302" t="s">
        <v>49</v>
      </c>
      <c r="B204" s="260">
        <v>41197.0</v>
      </c>
      <c r="C204" s="184"/>
      <c r="D204" s="184"/>
      <c r="E204" s="1"/>
      <c r="F204" s="1"/>
      <c r="G204" s="1"/>
      <c r="H204" s="1"/>
      <c r="I204" s="1"/>
      <c r="J204" s="1"/>
      <c r="K204" s="1"/>
      <c r="L204" s="1"/>
    </row>
    <row r="205" ht="15.75" customHeight="1">
      <c r="A205" s="811" t="s">
        <v>1052</v>
      </c>
      <c r="B205" s="260">
        <v>43528.0</v>
      </c>
      <c r="C205" s="184"/>
      <c r="D205" s="184"/>
      <c r="E205" s="1"/>
      <c r="F205" s="1"/>
      <c r="G205" s="1"/>
      <c r="H205" s="1"/>
      <c r="I205" s="1"/>
      <c r="J205" s="1"/>
      <c r="K205" s="1"/>
      <c r="L205" s="1"/>
    </row>
    <row r="206" ht="15.75" customHeight="1">
      <c r="A206" s="673"/>
      <c r="B206" s="107"/>
      <c r="C206" s="184"/>
      <c r="D206" s="184"/>
      <c r="E206" s="1"/>
      <c r="F206" s="284"/>
      <c r="G206" s="1"/>
      <c r="H206" s="1"/>
      <c r="I206" s="1"/>
      <c r="J206" s="1"/>
      <c r="K206" s="1"/>
      <c r="L206" s="1"/>
    </row>
    <row r="207" ht="15.75" customHeight="1">
      <c r="A207" s="511" t="s">
        <v>726</v>
      </c>
      <c r="B207" s="18"/>
      <c r="C207" s="18"/>
      <c r="D207" s="18"/>
      <c r="E207" s="19"/>
      <c r="F207" s="1662"/>
      <c r="G207" s="1"/>
      <c r="H207" s="1"/>
      <c r="I207" s="1"/>
      <c r="J207" s="1"/>
      <c r="K207" s="1"/>
      <c r="L207" s="1"/>
    </row>
    <row r="208" ht="15.75" customHeight="1">
      <c r="A208" s="417" t="s">
        <v>1</v>
      </c>
      <c r="B208" s="418">
        <v>45.0</v>
      </c>
      <c r="C208" s="886">
        <v>63.0</v>
      </c>
      <c r="D208" s="1709"/>
      <c r="E208" s="543" t="s">
        <v>5</v>
      </c>
      <c r="F208" s="1663"/>
      <c r="G208" s="1"/>
      <c r="H208" s="1"/>
      <c r="I208" s="1"/>
      <c r="J208" s="1"/>
      <c r="K208" s="1"/>
      <c r="L208" s="1"/>
    </row>
    <row r="209" ht="15.75" customHeight="1">
      <c r="A209" s="68" t="s">
        <v>1952</v>
      </c>
      <c r="B209" s="145">
        <v>10.0</v>
      </c>
      <c r="C209" s="155">
        <f t="shared" ref="C209:C231" si="15">(B209*C208)/B208</f>
        <v>14</v>
      </c>
      <c r="D209" s="899"/>
      <c r="E209" s="216" t="s">
        <v>14</v>
      </c>
      <c r="F209" s="44" t="s">
        <v>1953</v>
      </c>
      <c r="G209" s="1"/>
      <c r="H209" s="1"/>
      <c r="I209" s="1"/>
      <c r="J209" s="1"/>
      <c r="K209" s="1"/>
      <c r="L209" s="1"/>
    </row>
    <row r="210" ht="15.75" customHeight="1">
      <c r="A210" s="93" t="s">
        <v>59</v>
      </c>
      <c r="B210" s="195">
        <v>20.0</v>
      </c>
      <c r="C210" s="78">
        <f t="shared" si="15"/>
        <v>28</v>
      </c>
      <c r="D210" s="900"/>
      <c r="E210" s="249" t="s">
        <v>5</v>
      </c>
      <c r="F210" s="47"/>
      <c r="G210" s="1"/>
      <c r="H210" s="1"/>
      <c r="I210" s="1"/>
      <c r="J210" s="1"/>
      <c r="K210" s="1"/>
      <c r="L210" s="1"/>
    </row>
    <row r="211" ht="15.75" customHeight="1">
      <c r="A211" s="138" t="s">
        <v>91</v>
      </c>
      <c r="B211" s="279">
        <v>0.4</v>
      </c>
      <c r="C211" s="146">
        <f t="shared" si="15"/>
        <v>0.56</v>
      </c>
      <c r="D211" s="1607"/>
      <c r="E211" s="242" t="s">
        <v>5</v>
      </c>
      <c r="F211" s="47"/>
      <c r="G211" s="1"/>
      <c r="H211" s="1"/>
      <c r="I211" s="1"/>
      <c r="J211" s="1"/>
      <c r="K211" s="1"/>
      <c r="L211" s="1"/>
    </row>
    <row r="212" ht="15.75" customHeight="1">
      <c r="A212" s="138" t="s">
        <v>31</v>
      </c>
      <c r="B212" s="279">
        <v>250.0</v>
      </c>
      <c r="C212" s="146">
        <f t="shared" si="15"/>
        <v>350</v>
      </c>
      <c r="D212" s="1607"/>
      <c r="E212" s="242" t="s">
        <v>18</v>
      </c>
      <c r="F212" s="47"/>
      <c r="G212" s="1"/>
      <c r="H212" s="1"/>
      <c r="I212" s="1"/>
      <c r="J212" s="1"/>
      <c r="K212" s="1"/>
      <c r="L212" s="1"/>
    </row>
    <row r="213" ht="15.75" customHeight="1">
      <c r="A213" s="68" t="s">
        <v>1855</v>
      </c>
      <c r="B213" s="145">
        <v>25.0</v>
      </c>
      <c r="C213" s="155">
        <f t="shared" si="15"/>
        <v>35</v>
      </c>
      <c r="D213" s="899"/>
      <c r="E213" s="216" t="s">
        <v>82</v>
      </c>
      <c r="F213" s="47"/>
      <c r="G213" s="1"/>
      <c r="H213" s="1"/>
      <c r="I213" s="1"/>
      <c r="J213" s="1"/>
      <c r="K213" s="1"/>
      <c r="L213" s="1"/>
    </row>
    <row r="214" ht="15.75" customHeight="1">
      <c r="A214" s="93" t="s">
        <v>1859</v>
      </c>
      <c r="B214" s="195">
        <v>10.0</v>
      </c>
      <c r="C214" s="78">
        <f t="shared" si="15"/>
        <v>14</v>
      </c>
      <c r="D214" s="900"/>
      <c r="E214" s="249" t="s">
        <v>82</v>
      </c>
      <c r="F214" s="47"/>
      <c r="G214" s="1"/>
      <c r="H214" s="1"/>
      <c r="I214" s="1"/>
      <c r="J214" s="1"/>
      <c r="K214" s="1"/>
      <c r="L214" s="1"/>
    </row>
    <row r="215" ht="15.75" customHeight="1">
      <c r="A215" s="105" t="s">
        <v>1857</v>
      </c>
      <c r="B215" s="200">
        <v>250.0</v>
      </c>
      <c r="C215" s="56">
        <f t="shared" si="15"/>
        <v>350</v>
      </c>
      <c r="D215" s="1604"/>
      <c r="E215" s="518" t="s">
        <v>82</v>
      </c>
      <c r="F215" s="76"/>
      <c r="G215" s="1"/>
      <c r="H215" s="1"/>
      <c r="I215" s="1"/>
      <c r="J215" s="1"/>
      <c r="K215" s="1"/>
      <c r="L215" s="1"/>
    </row>
    <row r="216" ht="15.75" customHeight="1">
      <c r="A216" s="119" t="s">
        <v>743</v>
      </c>
      <c r="B216" s="238">
        <v>1.5</v>
      </c>
      <c r="C216" s="129">
        <f t="shared" si="15"/>
        <v>2.1</v>
      </c>
      <c r="D216" s="1583"/>
      <c r="E216" s="520" t="s">
        <v>5</v>
      </c>
      <c r="F216" s="44" t="s">
        <v>1954</v>
      </c>
      <c r="G216" s="1"/>
      <c r="H216" s="1"/>
      <c r="I216" s="1"/>
      <c r="J216" s="1"/>
      <c r="K216" s="1"/>
      <c r="L216" s="1"/>
    </row>
    <row r="217" ht="15.75" customHeight="1">
      <c r="A217" s="93" t="s">
        <v>1711</v>
      </c>
      <c r="B217" s="1213">
        <v>1.0</v>
      </c>
      <c r="C217" s="94">
        <f t="shared" si="15"/>
        <v>1.4</v>
      </c>
      <c r="D217" s="1586"/>
      <c r="E217" s="249" t="s">
        <v>14</v>
      </c>
      <c r="F217" s="47"/>
      <c r="G217" s="1"/>
      <c r="H217" s="1"/>
      <c r="I217" s="1"/>
      <c r="J217" s="1"/>
      <c r="K217" s="1"/>
      <c r="L217" s="1"/>
    </row>
    <row r="218" ht="15.75" customHeight="1">
      <c r="A218" s="93" t="s">
        <v>1956</v>
      </c>
      <c r="B218" s="1213">
        <v>25.0</v>
      </c>
      <c r="C218" s="94">
        <f t="shared" si="15"/>
        <v>35</v>
      </c>
      <c r="D218" s="1586"/>
      <c r="E218" s="249" t="s">
        <v>18</v>
      </c>
      <c r="F218" s="47"/>
      <c r="G218" s="1"/>
      <c r="H218" s="1"/>
      <c r="I218" s="1"/>
      <c r="J218" s="1"/>
      <c r="K218" s="1"/>
      <c r="L218" s="1"/>
    </row>
    <row r="219" ht="15.75" customHeight="1">
      <c r="A219" s="93" t="s">
        <v>1581</v>
      </c>
      <c r="B219" s="1213">
        <v>15.0</v>
      </c>
      <c r="C219" s="94">
        <f t="shared" si="15"/>
        <v>21</v>
      </c>
      <c r="D219" s="1586"/>
      <c r="E219" s="249" t="s">
        <v>18</v>
      </c>
      <c r="F219" s="47"/>
      <c r="G219" s="1"/>
      <c r="H219" s="1"/>
      <c r="I219" s="1"/>
      <c r="J219" s="1"/>
      <c r="K219" s="1"/>
      <c r="L219" s="1"/>
    </row>
    <row r="220" ht="15.75" customHeight="1">
      <c r="A220" s="93" t="s">
        <v>1176</v>
      </c>
      <c r="B220" s="1213">
        <v>25.0</v>
      </c>
      <c r="C220" s="94">
        <f t="shared" si="15"/>
        <v>35</v>
      </c>
      <c r="D220" s="1586"/>
      <c r="E220" s="249" t="s">
        <v>18</v>
      </c>
      <c r="F220" s="47"/>
      <c r="G220" s="1"/>
      <c r="H220" s="1"/>
      <c r="I220" s="1"/>
      <c r="J220" s="1"/>
      <c r="K220" s="1"/>
      <c r="L220" s="1"/>
    </row>
    <row r="221" ht="15.75" customHeight="1">
      <c r="A221" s="93" t="s">
        <v>1746</v>
      </c>
      <c r="B221" s="1213">
        <v>25.0</v>
      </c>
      <c r="C221" s="94">
        <f t="shared" si="15"/>
        <v>35</v>
      </c>
      <c r="D221" s="1586"/>
      <c r="E221" s="249" t="s">
        <v>18</v>
      </c>
      <c r="F221" s="47"/>
      <c r="G221" s="1"/>
      <c r="H221" s="1"/>
      <c r="I221" s="1"/>
      <c r="J221" s="1"/>
      <c r="K221" s="1"/>
      <c r="L221" s="1"/>
    </row>
    <row r="222" ht="15.75" customHeight="1">
      <c r="A222" s="93" t="s">
        <v>98</v>
      </c>
      <c r="B222" s="1213">
        <v>50.0</v>
      </c>
      <c r="C222" s="94">
        <f t="shared" si="15"/>
        <v>70</v>
      </c>
      <c r="D222" s="1586"/>
      <c r="E222" s="249" t="s">
        <v>18</v>
      </c>
      <c r="F222" s="47"/>
      <c r="G222" s="1"/>
      <c r="H222" s="1"/>
      <c r="I222" s="1"/>
      <c r="J222" s="1"/>
      <c r="K222" s="1"/>
      <c r="L222" s="1"/>
    </row>
    <row r="223" ht="15.75" customHeight="1">
      <c r="A223" s="93" t="s">
        <v>1036</v>
      </c>
      <c r="B223" s="1213">
        <v>10.0</v>
      </c>
      <c r="C223" s="94">
        <f t="shared" si="15"/>
        <v>14</v>
      </c>
      <c r="D223" s="1586"/>
      <c r="E223" s="249" t="s">
        <v>18</v>
      </c>
      <c r="F223" s="47"/>
      <c r="G223" s="1"/>
      <c r="H223" s="1"/>
      <c r="I223" s="1"/>
      <c r="J223" s="1"/>
      <c r="K223" s="1"/>
      <c r="L223" s="1"/>
    </row>
    <row r="224" ht="15.75" customHeight="1">
      <c r="A224" s="138" t="s">
        <v>96</v>
      </c>
      <c r="B224" s="351">
        <v>10.0</v>
      </c>
      <c r="C224" s="143">
        <f t="shared" si="15"/>
        <v>14</v>
      </c>
      <c r="D224" s="1596"/>
      <c r="E224" s="242" t="s">
        <v>18</v>
      </c>
      <c r="F224" s="47"/>
      <c r="G224" s="1"/>
      <c r="H224" s="1"/>
      <c r="I224" s="1"/>
      <c r="J224" s="1"/>
      <c r="K224" s="1"/>
      <c r="L224" s="1"/>
    </row>
    <row r="225" ht="15.75" customHeight="1">
      <c r="A225" s="68" t="s">
        <v>487</v>
      </c>
      <c r="B225" s="145">
        <v>2.0</v>
      </c>
      <c r="C225" s="155">
        <f t="shared" si="15"/>
        <v>2.8</v>
      </c>
      <c r="D225" s="899"/>
      <c r="E225" s="216" t="s">
        <v>14</v>
      </c>
      <c r="F225" s="47"/>
      <c r="G225" s="1"/>
      <c r="H225" s="1"/>
      <c r="I225" s="1"/>
      <c r="J225" s="1"/>
      <c r="K225" s="1"/>
      <c r="L225" s="1"/>
    </row>
    <row r="226" ht="15.75" customHeight="1">
      <c r="A226" s="93" t="s">
        <v>1046</v>
      </c>
      <c r="B226" s="1213">
        <v>1.5</v>
      </c>
      <c r="C226" s="94">
        <f t="shared" si="15"/>
        <v>2.1</v>
      </c>
      <c r="D226" s="1586"/>
      <c r="E226" s="249" t="s">
        <v>14</v>
      </c>
      <c r="F226" s="47"/>
      <c r="G226" s="1"/>
      <c r="H226" s="1"/>
      <c r="I226" s="1"/>
      <c r="J226" s="1"/>
      <c r="K226" s="1"/>
      <c r="L226" s="1"/>
    </row>
    <row r="227" ht="15.75" customHeight="1">
      <c r="A227" s="93" t="s">
        <v>329</v>
      </c>
      <c r="B227" s="195">
        <v>2.0</v>
      </c>
      <c r="C227" s="78">
        <f t="shared" si="15"/>
        <v>2.8</v>
      </c>
      <c r="D227" s="900"/>
      <c r="E227" s="249" t="s">
        <v>14</v>
      </c>
      <c r="F227" s="47"/>
      <c r="G227" s="1"/>
      <c r="H227" s="1"/>
      <c r="I227" s="1"/>
      <c r="J227" s="1"/>
      <c r="K227" s="1"/>
      <c r="L227" s="1"/>
    </row>
    <row r="228" ht="15.75" customHeight="1">
      <c r="A228" s="105" t="s">
        <v>31</v>
      </c>
      <c r="B228" s="200">
        <v>100.0</v>
      </c>
      <c r="C228" s="56">
        <f t="shared" si="15"/>
        <v>140</v>
      </c>
      <c r="D228" s="1604"/>
      <c r="E228" s="518" t="s">
        <v>18</v>
      </c>
      <c r="F228" s="76"/>
      <c r="G228" s="1"/>
      <c r="H228" s="1"/>
      <c r="I228" s="1"/>
      <c r="J228" s="1"/>
      <c r="K228" s="1"/>
      <c r="L228" s="1"/>
    </row>
    <row r="229" ht="15.75" customHeight="1">
      <c r="A229" s="119" t="s">
        <v>13</v>
      </c>
      <c r="B229" s="238">
        <v>0.5</v>
      </c>
      <c r="C229" s="129">
        <f t="shared" si="15"/>
        <v>0.7</v>
      </c>
      <c r="D229" s="1583"/>
      <c r="E229" s="520" t="s">
        <v>14</v>
      </c>
      <c r="F229" s="44" t="s">
        <v>1957</v>
      </c>
      <c r="G229" s="1"/>
      <c r="H229" s="1"/>
      <c r="I229" s="1"/>
      <c r="J229" s="1"/>
      <c r="K229" s="1"/>
      <c r="L229" s="1"/>
    </row>
    <row r="230" ht="15.75" customHeight="1">
      <c r="A230" s="93" t="s">
        <v>17</v>
      </c>
      <c r="B230" s="1213">
        <v>15.0</v>
      </c>
      <c r="C230" s="94">
        <f t="shared" si="15"/>
        <v>21</v>
      </c>
      <c r="D230" s="1586"/>
      <c r="E230" s="249" t="s">
        <v>18</v>
      </c>
      <c r="F230" s="47"/>
      <c r="G230" s="1"/>
      <c r="H230" s="1"/>
      <c r="I230" s="1"/>
      <c r="J230" s="1"/>
      <c r="K230" s="1"/>
      <c r="L230" s="1"/>
    </row>
    <row r="231" ht="15.75" customHeight="1">
      <c r="A231" s="105" t="s">
        <v>1542</v>
      </c>
      <c r="B231" s="200">
        <v>125.0</v>
      </c>
      <c r="C231" s="56">
        <f t="shared" si="15"/>
        <v>175</v>
      </c>
      <c r="D231" s="1604"/>
      <c r="E231" s="518" t="s">
        <v>18</v>
      </c>
      <c r="F231" s="76"/>
      <c r="G231" s="1"/>
      <c r="H231" s="1"/>
      <c r="I231" s="1"/>
      <c r="J231" s="1"/>
      <c r="K231" s="1"/>
      <c r="L231" s="1"/>
    </row>
    <row r="232" ht="15.75" customHeight="1">
      <c r="A232" s="1187" t="s">
        <v>119</v>
      </c>
      <c r="B232" s="1713" t="s">
        <v>47</v>
      </c>
      <c r="C232" s="184"/>
      <c r="D232" s="184"/>
      <c r="E232" s="1"/>
      <c r="F232" s="1"/>
      <c r="G232" s="1"/>
      <c r="H232" s="1"/>
      <c r="I232" s="1"/>
      <c r="J232" s="1"/>
      <c r="K232" s="1"/>
      <c r="L232" s="1"/>
    </row>
    <row r="233" ht="15.75" customHeight="1">
      <c r="A233" s="1716" t="s">
        <v>1961</v>
      </c>
      <c r="B233" s="5"/>
      <c r="C233" s="6"/>
      <c r="D233" s="1718"/>
      <c r="E233" s="1"/>
      <c r="F233" s="1"/>
      <c r="G233" s="1"/>
      <c r="H233" s="1"/>
      <c r="I233" s="1"/>
      <c r="J233" s="1"/>
      <c r="K233" s="1"/>
      <c r="L233" s="1"/>
    </row>
    <row r="234" ht="15.75" customHeight="1">
      <c r="A234" s="63"/>
      <c r="C234" s="66"/>
      <c r="D234" s="1718"/>
      <c r="E234" s="1"/>
      <c r="F234" s="1"/>
      <c r="G234" s="1"/>
      <c r="H234" s="1"/>
      <c r="I234" s="1"/>
      <c r="J234" s="1"/>
      <c r="K234" s="1"/>
      <c r="L234" s="1"/>
    </row>
    <row r="235" ht="15.75" customHeight="1">
      <c r="A235" s="102"/>
      <c r="B235" s="104"/>
      <c r="C235" s="106"/>
      <c r="D235" s="1718"/>
      <c r="E235" s="1"/>
      <c r="F235" s="1"/>
      <c r="G235" s="1"/>
      <c r="H235" s="1"/>
      <c r="I235" s="1"/>
      <c r="J235" s="1"/>
      <c r="K235" s="1"/>
      <c r="L235" s="1"/>
    </row>
    <row r="236" ht="15.75" customHeight="1">
      <c r="A236" s="1"/>
      <c r="B236" s="107"/>
      <c r="C236" s="184"/>
      <c r="D236" s="184"/>
      <c r="E236" s="1"/>
      <c r="F236" s="1"/>
      <c r="G236" s="1"/>
      <c r="H236" s="1"/>
      <c r="I236" s="1"/>
      <c r="J236" s="1"/>
      <c r="K236" s="1"/>
      <c r="L236" s="1"/>
    </row>
    <row r="237" ht="15.75" customHeight="1">
      <c r="A237" s="1352" t="s">
        <v>120</v>
      </c>
      <c r="B237" s="1188">
        <v>41505.0</v>
      </c>
      <c r="C237" s="184"/>
      <c r="D237" s="184"/>
      <c r="E237" s="1"/>
      <c r="F237" s="1"/>
      <c r="G237" s="1"/>
      <c r="H237" s="1"/>
      <c r="I237" s="1"/>
      <c r="J237" s="1"/>
      <c r="K237" s="1"/>
      <c r="L237" s="1"/>
    </row>
    <row r="238" ht="15.75" customHeight="1">
      <c r="A238" s="90" t="s">
        <v>50</v>
      </c>
      <c r="B238" s="1188">
        <v>41633.0</v>
      </c>
      <c r="C238" s="184"/>
      <c r="D238" s="184"/>
      <c r="E238" s="1"/>
      <c r="F238" s="1"/>
      <c r="G238" s="1"/>
      <c r="H238" s="1"/>
      <c r="I238" s="1"/>
      <c r="J238" s="1"/>
      <c r="K238" s="1"/>
      <c r="L238" s="1"/>
    </row>
    <row r="239" ht="15.75" customHeight="1">
      <c r="A239" s="1"/>
      <c r="B239" s="107"/>
      <c r="C239" s="184"/>
      <c r="D239" s="184"/>
      <c r="E239" s="1"/>
      <c r="F239" s="1"/>
      <c r="G239" s="1"/>
      <c r="H239" s="1"/>
      <c r="I239" s="1"/>
      <c r="J239" s="1"/>
      <c r="K239" s="1"/>
      <c r="L239" s="1"/>
    </row>
    <row r="240" ht="15.75" customHeight="1">
      <c r="A240" s="266" t="s">
        <v>851</v>
      </c>
      <c r="B240" s="5"/>
      <c r="C240" s="5"/>
      <c r="D240" s="5"/>
      <c r="E240" s="6"/>
      <c r="F240" s="1725"/>
      <c r="G240" s="1"/>
      <c r="H240" s="1"/>
      <c r="I240" s="1"/>
      <c r="J240" s="1"/>
      <c r="K240" s="1"/>
      <c r="L240" s="1"/>
    </row>
    <row r="241" ht="15.75" customHeight="1">
      <c r="A241" s="51" t="s">
        <v>1</v>
      </c>
      <c r="B241" s="190">
        <v>50.0</v>
      </c>
      <c r="C241" s="513">
        <v>35.0</v>
      </c>
      <c r="D241" s="1576"/>
      <c r="E241" s="514" t="s">
        <v>5</v>
      </c>
      <c r="F241" s="1729"/>
      <c r="G241" s="1"/>
      <c r="H241" s="1"/>
      <c r="I241" s="1"/>
      <c r="J241" s="1"/>
      <c r="K241" s="1"/>
      <c r="L241" s="1"/>
    </row>
    <row r="242" ht="15.75" customHeight="1">
      <c r="A242" s="345" t="s">
        <v>53</v>
      </c>
      <c r="B242" s="13">
        <v>10.0</v>
      </c>
      <c r="C242" s="164">
        <f t="shared" ref="C242:C256" si="16">(B242*C241)/B241</f>
        <v>7</v>
      </c>
      <c r="D242" s="1731"/>
      <c r="E242" s="348" t="s">
        <v>14</v>
      </c>
      <c r="F242" s="44" t="s">
        <v>1973</v>
      </c>
      <c r="G242" s="1"/>
      <c r="H242" s="1"/>
      <c r="I242" s="1"/>
      <c r="J242" s="1"/>
      <c r="K242" s="1"/>
      <c r="L242" s="1"/>
    </row>
    <row r="243" ht="15.75" customHeight="1">
      <c r="A243" s="350" t="s">
        <v>1091</v>
      </c>
      <c r="B243" s="33">
        <v>25.0</v>
      </c>
      <c r="C243" s="201">
        <f t="shared" si="16"/>
        <v>17.5</v>
      </c>
      <c r="D243" s="1735"/>
      <c r="E243" s="352" t="s">
        <v>18</v>
      </c>
      <c r="F243" s="47"/>
      <c r="G243" s="1"/>
      <c r="H243" s="1"/>
      <c r="I243" s="1"/>
      <c r="J243" s="1"/>
      <c r="K243" s="1"/>
      <c r="L243" s="1"/>
    </row>
    <row r="244" ht="15.75" customHeight="1">
      <c r="A244" s="93" t="s">
        <v>59</v>
      </c>
      <c r="B244" s="195">
        <v>25.0</v>
      </c>
      <c r="C244" s="201">
        <f t="shared" si="16"/>
        <v>17.5</v>
      </c>
      <c r="D244" s="1735"/>
      <c r="E244" s="249" t="s">
        <v>5</v>
      </c>
      <c r="F244" s="47"/>
      <c r="G244" s="1"/>
      <c r="H244" s="1"/>
      <c r="I244" s="1"/>
      <c r="J244" s="1"/>
      <c r="K244" s="1"/>
      <c r="L244" s="1"/>
    </row>
    <row r="245" ht="15.75" customHeight="1">
      <c r="A245" s="93" t="s">
        <v>91</v>
      </c>
      <c r="B245" s="195">
        <v>0.25</v>
      </c>
      <c r="C245" s="201">
        <f t="shared" si="16"/>
        <v>0.175</v>
      </c>
      <c r="D245" s="1735"/>
      <c r="E245" s="249" t="s">
        <v>5</v>
      </c>
      <c r="F245" s="47"/>
      <c r="G245" s="1"/>
      <c r="H245" s="1"/>
      <c r="I245" s="1"/>
      <c r="J245" s="1"/>
      <c r="K245" s="1"/>
      <c r="L245" s="1"/>
    </row>
    <row r="246" ht="15.75" customHeight="1">
      <c r="A246" s="606" t="s">
        <v>31</v>
      </c>
      <c r="B246" s="454">
        <v>300.0</v>
      </c>
      <c r="C246" s="257">
        <f t="shared" si="16"/>
        <v>210</v>
      </c>
      <c r="D246" s="1738"/>
      <c r="E246" s="1475" t="s">
        <v>18</v>
      </c>
      <c r="F246" s="76"/>
      <c r="G246" s="1"/>
      <c r="H246" s="1"/>
      <c r="I246" s="1"/>
      <c r="J246" s="1"/>
      <c r="K246" s="1"/>
      <c r="L246" s="1"/>
    </row>
    <row r="247" ht="15.75" customHeight="1">
      <c r="A247" s="345" t="s">
        <v>91</v>
      </c>
      <c r="B247" s="13">
        <v>1.5</v>
      </c>
      <c r="C247" s="164">
        <f t="shared" si="16"/>
        <v>1.05</v>
      </c>
      <c r="D247" s="1731"/>
      <c r="E247" s="216" t="s">
        <v>5</v>
      </c>
      <c r="F247" s="44" t="s">
        <v>1977</v>
      </c>
      <c r="G247" s="1"/>
      <c r="H247" s="1"/>
      <c r="I247" s="1"/>
      <c r="J247" s="1"/>
      <c r="K247" s="1"/>
      <c r="L247" s="1"/>
    </row>
    <row r="248" ht="15.75" customHeight="1">
      <c r="A248" s="350" t="s">
        <v>60</v>
      </c>
      <c r="B248" s="33">
        <v>0.5</v>
      </c>
      <c r="C248" s="201">
        <f t="shared" si="16"/>
        <v>0.35</v>
      </c>
      <c r="D248" s="1735"/>
      <c r="E248" s="249" t="s">
        <v>14</v>
      </c>
      <c r="F248" s="47"/>
      <c r="G248" s="1"/>
      <c r="H248" s="1"/>
      <c r="I248" s="1"/>
      <c r="J248" s="1"/>
      <c r="K248" s="1"/>
      <c r="L248" s="1"/>
    </row>
    <row r="249" ht="15.75" customHeight="1">
      <c r="A249" s="350" t="s">
        <v>97</v>
      </c>
      <c r="B249" s="33">
        <v>250.0</v>
      </c>
      <c r="C249" s="201">
        <f t="shared" si="16"/>
        <v>175</v>
      </c>
      <c r="D249" s="1735"/>
      <c r="E249" s="352" t="s">
        <v>18</v>
      </c>
      <c r="F249" s="47"/>
      <c r="G249" s="1"/>
      <c r="H249" s="1"/>
      <c r="I249" s="1"/>
      <c r="J249" s="1"/>
      <c r="K249" s="1"/>
      <c r="L249" s="1"/>
    </row>
    <row r="250" ht="15.75" customHeight="1">
      <c r="A250" s="350" t="s">
        <v>357</v>
      </c>
      <c r="B250" s="33">
        <v>0.5</v>
      </c>
      <c r="C250" s="201">
        <f t="shared" si="16"/>
        <v>0.35</v>
      </c>
      <c r="D250" s="1735"/>
      <c r="E250" s="352" t="s">
        <v>14</v>
      </c>
      <c r="F250" s="47"/>
      <c r="G250" s="1"/>
      <c r="H250" s="1"/>
      <c r="I250" s="1"/>
      <c r="J250" s="1"/>
      <c r="K250" s="1"/>
      <c r="L250" s="1"/>
    </row>
    <row r="251" ht="15.75" customHeight="1">
      <c r="A251" s="350" t="s">
        <v>345</v>
      </c>
      <c r="B251" s="33">
        <v>0.25</v>
      </c>
      <c r="C251" s="201">
        <f t="shared" si="16"/>
        <v>0.175</v>
      </c>
      <c r="D251" s="1735"/>
      <c r="E251" s="352" t="s">
        <v>14</v>
      </c>
      <c r="F251" s="47"/>
      <c r="G251" s="1"/>
      <c r="H251" s="1"/>
      <c r="I251" s="1"/>
      <c r="J251" s="1"/>
      <c r="K251" s="1"/>
      <c r="L251" s="1"/>
    </row>
    <row r="252" ht="15.75" customHeight="1">
      <c r="A252" s="350" t="s">
        <v>1978</v>
      </c>
      <c r="B252" s="33">
        <v>100.0</v>
      </c>
      <c r="C252" s="201">
        <f t="shared" si="16"/>
        <v>70</v>
      </c>
      <c r="D252" s="1735"/>
      <c r="E252" s="352" t="s">
        <v>18</v>
      </c>
      <c r="F252" s="47"/>
      <c r="G252" s="1"/>
      <c r="H252" s="1"/>
      <c r="I252" s="1"/>
      <c r="J252" s="1"/>
      <c r="K252" s="1"/>
      <c r="L252" s="1"/>
    </row>
    <row r="253" ht="15.75" customHeight="1">
      <c r="A253" s="350" t="s">
        <v>103</v>
      </c>
      <c r="B253" s="33">
        <v>50.0</v>
      </c>
      <c r="C253" s="201">
        <f t="shared" si="16"/>
        <v>35</v>
      </c>
      <c r="D253" s="1735"/>
      <c r="E253" s="352" t="s">
        <v>18</v>
      </c>
      <c r="F253" s="47"/>
      <c r="G253" s="1"/>
      <c r="H253" s="1"/>
      <c r="I253" s="1"/>
      <c r="J253" s="1"/>
      <c r="K253" s="1"/>
      <c r="L253" s="1"/>
    </row>
    <row r="254" ht="15.75" customHeight="1">
      <c r="A254" s="350" t="s">
        <v>1979</v>
      </c>
      <c r="B254" s="33">
        <v>500.0</v>
      </c>
      <c r="C254" s="201">
        <f t="shared" si="16"/>
        <v>350</v>
      </c>
      <c r="D254" s="1735"/>
      <c r="E254" s="352" t="s">
        <v>18</v>
      </c>
      <c r="F254" s="47"/>
      <c r="G254" s="1"/>
      <c r="H254" s="1"/>
      <c r="I254" s="1"/>
      <c r="J254" s="1"/>
      <c r="K254" s="1"/>
      <c r="L254" s="1"/>
    </row>
    <row r="255" ht="15.75" customHeight="1">
      <c r="A255" s="606" t="s">
        <v>101</v>
      </c>
      <c r="B255" s="454">
        <v>1.0</v>
      </c>
      <c r="C255" s="257">
        <f t="shared" si="16"/>
        <v>0.7</v>
      </c>
      <c r="D255" s="1738"/>
      <c r="E255" s="1475" t="s">
        <v>5</v>
      </c>
      <c r="F255" s="76"/>
      <c r="G255" s="1"/>
      <c r="H255" s="1"/>
      <c r="I255" s="1"/>
      <c r="J255" s="1"/>
      <c r="K255" s="1"/>
      <c r="L255" s="1"/>
    </row>
    <row r="256" ht="15.75" customHeight="1">
      <c r="A256" s="1746" t="s">
        <v>31</v>
      </c>
      <c r="B256" s="1758">
        <v>420.0</v>
      </c>
      <c r="C256" s="253">
        <f t="shared" si="16"/>
        <v>294</v>
      </c>
      <c r="D256" s="1760"/>
      <c r="E256" s="1762" t="s">
        <v>18</v>
      </c>
      <c r="F256" s="1763"/>
      <c r="G256" s="1"/>
      <c r="H256" s="1"/>
      <c r="I256" s="1"/>
      <c r="J256" s="1"/>
      <c r="K256" s="1"/>
      <c r="L256" s="1"/>
    </row>
    <row r="257" ht="15.75" customHeight="1">
      <c r="A257" s="345" t="s">
        <v>1983</v>
      </c>
      <c r="B257" s="13">
        <v>10.0</v>
      </c>
      <c r="C257" s="164">
        <f>(B257*C246)/B246</f>
        <v>7</v>
      </c>
      <c r="D257" s="1731"/>
      <c r="E257" s="216" t="s">
        <v>14</v>
      </c>
      <c r="F257" s="711" t="s">
        <v>1984</v>
      </c>
      <c r="G257" s="1"/>
      <c r="H257" s="1"/>
      <c r="I257" s="1"/>
      <c r="J257" s="1"/>
      <c r="K257" s="1"/>
      <c r="L257" s="1"/>
    </row>
    <row r="258" ht="15.75" customHeight="1">
      <c r="A258" s="606" t="s">
        <v>1588</v>
      </c>
      <c r="B258" s="454">
        <v>2.0</v>
      </c>
      <c r="C258" s="257">
        <f>(B258*C256)/B256</f>
        <v>1.4</v>
      </c>
      <c r="D258" s="1738"/>
      <c r="E258" s="1475" t="s">
        <v>190</v>
      </c>
      <c r="F258" s="76"/>
      <c r="G258" s="1"/>
      <c r="H258" s="1"/>
      <c r="I258" s="1"/>
      <c r="J258" s="1"/>
      <c r="K258" s="1"/>
      <c r="L258" s="1"/>
    </row>
    <row r="259" ht="15.75" customHeight="1">
      <c r="A259" s="1640" t="s">
        <v>119</v>
      </c>
      <c r="B259" s="1641" t="s">
        <v>47</v>
      </c>
      <c r="C259" s="184"/>
      <c r="D259" s="184"/>
      <c r="E259" s="1"/>
      <c r="F259" s="1"/>
      <c r="G259" s="1"/>
      <c r="H259" s="1"/>
      <c r="I259" s="1"/>
      <c r="J259" s="1"/>
      <c r="K259" s="1"/>
      <c r="L259" s="1"/>
    </row>
    <row r="260" ht="15.0" customHeight="1">
      <c r="A260" s="1057" t="s">
        <v>1992</v>
      </c>
      <c r="B260" s="5"/>
      <c r="C260" s="5"/>
      <c r="D260" s="5"/>
      <c r="E260" s="6"/>
      <c r="F260" s="1"/>
      <c r="G260" s="1"/>
      <c r="H260" s="1"/>
      <c r="I260" s="1"/>
      <c r="J260" s="1"/>
      <c r="K260" s="1"/>
      <c r="L260" s="1"/>
    </row>
    <row r="261" ht="15.0" customHeight="1">
      <c r="A261" s="63"/>
      <c r="E261" s="66"/>
      <c r="F261" s="1"/>
      <c r="G261" s="1"/>
      <c r="H261" s="1"/>
      <c r="I261" s="1"/>
      <c r="J261" s="1"/>
      <c r="K261" s="1"/>
      <c r="L261" s="1"/>
    </row>
    <row r="262" ht="15.75" customHeight="1">
      <c r="A262" s="102"/>
      <c r="B262" s="104"/>
      <c r="C262" s="104"/>
      <c r="D262" s="104"/>
      <c r="E262" s="106"/>
      <c r="F262" s="1"/>
      <c r="G262" s="1"/>
      <c r="H262" s="1"/>
      <c r="I262" s="1"/>
      <c r="J262" s="1"/>
      <c r="K262" s="1"/>
      <c r="L262" s="1"/>
    </row>
    <row r="263" ht="15.75" customHeight="1">
      <c r="A263" s="1"/>
      <c r="B263" s="107"/>
      <c r="C263" s="184"/>
      <c r="D263" s="184"/>
      <c r="E263" s="1"/>
      <c r="F263" s="1"/>
      <c r="G263" s="1"/>
      <c r="H263" s="1"/>
      <c r="I263" s="1"/>
      <c r="J263" s="1"/>
      <c r="K263" s="1"/>
      <c r="L263" s="1"/>
    </row>
    <row r="264" ht="15.75" customHeight="1">
      <c r="A264" s="865" t="s">
        <v>502</v>
      </c>
      <c r="B264" s="1500">
        <v>41078.0</v>
      </c>
      <c r="C264" s="184"/>
      <c r="D264" s="184"/>
      <c r="E264" s="1"/>
      <c r="F264" s="1"/>
      <c r="G264" s="1"/>
      <c r="H264" s="1"/>
      <c r="I264" s="1"/>
      <c r="J264" s="1"/>
      <c r="K264" s="1"/>
      <c r="L264" s="1"/>
    </row>
    <row r="265" ht="15.75" customHeight="1">
      <c r="A265" s="865" t="s">
        <v>1486</v>
      </c>
      <c r="B265" s="1500">
        <v>42494.0</v>
      </c>
      <c r="C265" s="184"/>
      <c r="D265" s="184"/>
      <c r="E265" s="1"/>
      <c r="F265" s="1"/>
      <c r="G265" s="1"/>
      <c r="H265" s="1"/>
      <c r="I265" s="1"/>
      <c r="J265" s="1"/>
      <c r="K265" s="1"/>
      <c r="L265" s="1"/>
    </row>
    <row r="266" ht="15.0" customHeight="1">
      <c r="A266" s="1"/>
      <c r="B266" s="107"/>
      <c r="C266" s="184"/>
      <c r="D266" s="184"/>
      <c r="E266" s="1"/>
      <c r="F266" s="1"/>
      <c r="G266" s="1"/>
      <c r="H266" s="1"/>
      <c r="I266" s="1"/>
      <c r="J266" s="1"/>
      <c r="K266" s="1"/>
      <c r="L266" s="1"/>
    </row>
    <row r="267" ht="15.0" customHeight="1">
      <c r="A267" s="913" t="s">
        <v>1996</v>
      </c>
      <c r="B267" s="5"/>
      <c r="C267" s="5"/>
      <c r="D267" s="5"/>
      <c r="E267" s="6"/>
      <c r="F267" s="1767"/>
      <c r="G267" s="1"/>
      <c r="H267" s="1"/>
      <c r="I267" s="1"/>
      <c r="J267" s="1"/>
      <c r="K267" s="1"/>
      <c r="L267" s="1"/>
    </row>
    <row r="268" ht="15.0" customHeight="1">
      <c r="A268" s="1769" t="s">
        <v>1</v>
      </c>
      <c r="B268" s="1771">
        <v>45.0</v>
      </c>
      <c r="C268" s="1772">
        <v>198.0</v>
      </c>
      <c r="D268" s="1773"/>
      <c r="E268" s="1774" t="s">
        <v>5</v>
      </c>
      <c r="F268" s="1767"/>
      <c r="G268" s="1"/>
      <c r="H268" s="1"/>
      <c r="I268" s="1"/>
      <c r="J268" s="1"/>
      <c r="K268" s="1"/>
      <c r="L268" s="1"/>
    </row>
    <row r="269" ht="15.0" customHeight="1">
      <c r="A269" s="68" t="s">
        <v>53</v>
      </c>
      <c r="B269" s="145">
        <v>10.0</v>
      </c>
      <c r="C269" s="164">
        <f t="shared" ref="C269:C283" si="17">(B269*C268)/B268</f>
        <v>44</v>
      </c>
      <c r="D269" s="1731"/>
      <c r="E269" s="216" t="s">
        <v>14</v>
      </c>
      <c r="F269" s="44" t="s">
        <v>2003</v>
      </c>
      <c r="G269" s="1"/>
      <c r="H269" s="1"/>
      <c r="I269" s="1"/>
      <c r="J269" s="1"/>
      <c r="K269" s="1"/>
      <c r="L269" s="1"/>
    </row>
    <row r="270" ht="15.0" customHeight="1">
      <c r="A270" s="119" t="s">
        <v>31</v>
      </c>
      <c r="B270" s="238">
        <v>300.0</v>
      </c>
      <c r="C270" s="78">
        <f t="shared" si="17"/>
        <v>1320</v>
      </c>
      <c r="D270" s="1583"/>
      <c r="E270" s="520" t="s">
        <v>18</v>
      </c>
      <c r="F270" s="47"/>
      <c r="G270" s="1"/>
      <c r="H270" s="1"/>
      <c r="I270" s="1"/>
      <c r="J270" s="1"/>
      <c r="K270" s="1"/>
      <c r="L270" s="1"/>
    </row>
    <row r="271" ht="15.0" customHeight="1">
      <c r="A271" s="119" t="s">
        <v>91</v>
      </c>
      <c r="B271" s="238">
        <v>0.4</v>
      </c>
      <c r="C271" s="78">
        <f t="shared" si="17"/>
        <v>1.76</v>
      </c>
      <c r="D271" s="1583"/>
      <c r="E271" s="520" t="s">
        <v>5</v>
      </c>
      <c r="F271" s="47"/>
      <c r="G271" s="1"/>
      <c r="H271" s="1"/>
      <c r="I271" s="1"/>
      <c r="J271" s="1"/>
      <c r="K271" s="1"/>
      <c r="L271" s="1"/>
    </row>
    <row r="272" ht="15.0" customHeight="1">
      <c r="A272" s="417" t="s">
        <v>59</v>
      </c>
      <c r="B272" s="418">
        <v>24.0</v>
      </c>
      <c r="C272" s="146">
        <f t="shared" si="17"/>
        <v>105.6</v>
      </c>
      <c r="D272" s="1614"/>
      <c r="E272" s="543" t="s">
        <v>5</v>
      </c>
      <c r="F272" s="76"/>
      <c r="G272" s="1"/>
      <c r="H272" s="1"/>
      <c r="I272" s="1"/>
      <c r="J272" s="1"/>
      <c r="K272" s="1"/>
      <c r="L272" s="1"/>
    </row>
    <row r="273" ht="15.0" customHeight="1">
      <c r="A273" s="68" t="s">
        <v>91</v>
      </c>
      <c r="B273" s="145">
        <v>1.0</v>
      </c>
      <c r="C273" s="155">
        <f t="shared" si="17"/>
        <v>4.4</v>
      </c>
      <c r="D273" s="899"/>
      <c r="E273" s="216" t="s">
        <v>5</v>
      </c>
      <c r="F273" s="44" t="s">
        <v>2005</v>
      </c>
      <c r="G273" s="1"/>
      <c r="H273" s="1"/>
      <c r="I273" s="1"/>
      <c r="J273" s="1"/>
      <c r="K273" s="1"/>
      <c r="L273" s="1"/>
    </row>
    <row r="274" ht="15.0" customHeight="1">
      <c r="A274" s="93" t="s">
        <v>2006</v>
      </c>
      <c r="B274" s="195">
        <v>500.0</v>
      </c>
      <c r="C274" s="78">
        <f t="shared" si="17"/>
        <v>2200</v>
      </c>
      <c r="D274" s="900"/>
      <c r="E274" s="249" t="s">
        <v>18</v>
      </c>
      <c r="F274" s="47"/>
      <c r="G274" s="1"/>
      <c r="H274" s="1"/>
      <c r="I274" s="1"/>
      <c r="J274" s="1"/>
      <c r="K274" s="1"/>
      <c r="L274" s="1"/>
    </row>
    <row r="275" ht="15.0" customHeight="1">
      <c r="A275" s="93" t="s">
        <v>884</v>
      </c>
      <c r="B275" s="195">
        <v>45.0</v>
      </c>
      <c r="C275" s="78">
        <f t="shared" si="17"/>
        <v>198</v>
      </c>
      <c r="D275" s="900"/>
      <c r="E275" s="249" t="s">
        <v>18</v>
      </c>
      <c r="F275" s="47"/>
      <c r="G275" s="1"/>
      <c r="H275" s="1"/>
      <c r="I275" s="1"/>
      <c r="J275" s="1"/>
      <c r="K275" s="1"/>
      <c r="L275" s="1"/>
    </row>
    <row r="276" ht="15.0" customHeight="1">
      <c r="A276" s="93" t="s">
        <v>95</v>
      </c>
      <c r="B276" s="195">
        <v>25.0</v>
      </c>
      <c r="C276" s="78">
        <f t="shared" si="17"/>
        <v>110</v>
      </c>
      <c r="D276" s="900"/>
      <c r="E276" s="249" t="s">
        <v>18</v>
      </c>
      <c r="F276" s="47"/>
      <c r="G276" s="1"/>
      <c r="H276" s="1"/>
      <c r="I276" s="1"/>
      <c r="J276" s="1"/>
      <c r="K276" s="1"/>
      <c r="L276" s="1"/>
    </row>
    <row r="277" ht="15.0" customHeight="1">
      <c r="A277" s="93" t="s">
        <v>98</v>
      </c>
      <c r="B277" s="195">
        <v>300.0</v>
      </c>
      <c r="C277" s="78">
        <f t="shared" si="17"/>
        <v>1320</v>
      </c>
      <c r="D277" s="900"/>
      <c r="E277" s="249" t="s">
        <v>18</v>
      </c>
      <c r="F277" s="47"/>
      <c r="G277" s="1"/>
      <c r="H277" s="1"/>
      <c r="I277" s="1"/>
      <c r="J277" s="1"/>
      <c r="K277" s="1"/>
      <c r="L277" s="1"/>
    </row>
    <row r="278" ht="15.0" customHeight="1">
      <c r="A278" s="93" t="s">
        <v>390</v>
      </c>
      <c r="B278" s="195">
        <v>30.0</v>
      </c>
      <c r="C278" s="78">
        <f t="shared" si="17"/>
        <v>132</v>
      </c>
      <c r="D278" s="900"/>
      <c r="E278" s="249" t="s">
        <v>18</v>
      </c>
      <c r="F278" s="47"/>
      <c r="G278" s="1"/>
      <c r="H278" s="1"/>
      <c r="I278" s="1"/>
      <c r="J278" s="1"/>
      <c r="K278" s="1"/>
      <c r="L278" s="1"/>
    </row>
    <row r="279" ht="15.0" customHeight="1">
      <c r="A279" s="93" t="s">
        <v>103</v>
      </c>
      <c r="B279" s="195">
        <v>45.0</v>
      </c>
      <c r="C279" s="78">
        <f t="shared" si="17"/>
        <v>198</v>
      </c>
      <c r="D279" s="900"/>
      <c r="E279" s="249" t="s">
        <v>18</v>
      </c>
      <c r="F279" s="47"/>
      <c r="G279" s="1"/>
      <c r="H279" s="1"/>
      <c r="I279" s="1"/>
      <c r="J279" s="1"/>
      <c r="K279" s="1"/>
      <c r="L279" s="1"/>
    </row>
    <row r="280" ht="15.0" customHeight="1">
      <c r="A280" s="93" t="s">
        <v>1177</v>
      </c>
      <c r="B280" s="195">
        <v>250.0</v>
      </c>
      <c r="C280" s="521">
        <f t="shared" si="17"/>
        <v>1100</v>
      </c>
      <c r="D280" s="1653"/>
      <c r="E280" s="249" t="s">
        <v>18</v>
      </c>
      <c r="F280" s="47"/>
      <c r="G280" s="1"/>
      <c r="H280" s="1"/>
      <c r="I280" s="1"/>
      <c r="J280" s="1"/>
      <c r="K280" s="1"/>
      <c r="L280" s="1"/>
    </row>
    <row r="281" ht="15.0" customHeight="1">
      <c r="A281" s="105" t="s">
        <v>101</v>
      </c>
      <c r="B281" s="200">
        <v>0.5</v>
      </c>
      <c r="C281" s="56">
        <f t="shared" si="17"/>
        <v>2.2</v>
      </c>
      <c r="D281" s="1604"/>
      <c r="E281" s="518" t="s">
        <v>5</v>
      </c>
      <c r="F281" s="76"/>
      <c r="G281" s="1"/>
      <c r="H281" s="1"/>
      <c r="I281" s="1"/>
      <c r="J281" s="1"/>
      <c r="K281" s="1"/>
      <c r="L281" s="1"/>
    </row>
    <row r="282" ht="15.0" customHeight="1">
      <c r="A282" s="68" t="s">
        <v>31</v>
      </c>
      <c r="B282" s="145">
        <v>200.0</v>
      </c>
      <c r="C282" s="155">
        <f t="shared" si="17"/>
        <v>880</v>
      </c>
      <c r="D282" s="899"/>
      <c r="E282" s="216" t="s">
        <v>18</v>
      </c>
      <c r="F282" s="1784"/>
      <c r="G282" s="1"/>
      <c r="H282" s="1"/>
      <c r="I282" s="1"/>
      <c r="J282" s="1"/>
      <c r="K282" s="1"/>
      <c r="L282" s="1"/>
    </row>
    <row r="283" ht="15.0" customHeight="1">
      <c r="A283" s="149" t="s">
        <v>335</v>
      </c>
      <c r="B283" s="152">
        <v>2.0</v>
      </c>
      <c r="C283" s="274">
        <f t="shared" si="17"/>
        <v>8.8</v>
      </c>
      <c r="D283" s="1690"/>
      <c r="E283" s="288" t="s">
        <v>5</v>
      </c>
      <c r="F283" s="1785"/>
      <c r="G283" s="1"/>
      <c r="H283" s="1"/>
      <c r="I283" s="1"/>
      <c r="J283" s="1"/>
      <c r="K283" s="1"/>
      <c r="L283" s="1"/>
    </row>
    <row r="284" ht="15.0" customHeight="1">
      <c r="A284" s="1640" t="s">
        <v>119</v>
      </c>
      <c r="B284" s="1641" t="s">
        <v>47</v>
      </c>
      <c r="C284" s="184"/>
      <c r="D284" s="184"/>
      <c r="E284" s="1"/>
      <c r="F284" s="1"/>
      <c r="G284" s="1"/>
      <c r="H284" s="1"/>
      <c r="I284" s="1"/>
      <c r="J284" s="1"/>
      <c r="K284" s="1"/>
      <c r="L284" s="1"/>
    </row>
    <row r="285" ht="15.0" customHeight="1">
      <c r="A285" s="1"/>
      <c r="B285" s="107"/>
      <c r="C285" s="184"/>
      <c r="D285" s="184"/>
      <c r="E285" s="1"/>
      <c r="F285" s="1"/>
      <c r="G285" s="1"/>
      <c r="H285" s="1"/>
      <c r="I285" s="1"/>
      <c r="J285" s="1"/>
      <c r="K285" s="1"/>
      <c r="L285" s="1"/>
    </row>
    <row r="286" ht="15.0" customHeight="1">
      <c r="A286" s="1"/>
      <c r="B286" s="107"/>
      <c r="C286" s="184"/>
      <c r="D286" s="184"/>
      <c r="E286" s="1"/>
      <c r="F286" s="1"/>
      <c r="G286" s="1"/>
      <c r="H286" s="1"/>
      <c r="I286" s="1"/>
      <c r="J286" s="1"/>
      <c r="K286" s="1"/>
      <c r="L286" s="1"/>
    </row>
    <row r="287" ht="15.0" customHeight="1">
      <c r="A287" s="1"/>
      <c r="B287" s="107"/>
      <c r="C287" s="184"/>
      <c r="D287" s="184"/>
      <c r="E287" s="1"/>
      <c r="F287" s="1"/>
      <c r="G287" s="1"/>
      <c r="H287" s="1"/>
      <c r="I287" s="1"/>
      <c r="J287" s="1"/>
      <c r="K287" s="1"/>
      <c r="L287" s="1"/>
    </row>
    <row r="288" ht="15.0" customHeight="1">
      <c r="A288" s="1"/>
      <c r="B288" s="107"/>
      <c r="C288" s="184"/>
      <c r="D288" s="184"/>
      <c r="E288" s="1"/>
      <c r="F288" s="1"/>
      <c r="G288" s="1"/>
      <c r="H288" s="1"/>
      <c r="I288" s="1"/>
      <c r="J288" s="1"/>
      <c r="K288" s="1"/>
      <c r="L288" s="1"/>
    </row>
    <row r="289" ht="15.0" customHeight="1">
      <c r="A289" s="90" t="s">
        <v>120</v>
      </c>
      <c r="B289" s="1363">
        <v>40957.0</v>
      </c>
      <c r="C289" s="184"/>
      <c r="D289" s="184"/>
      <c r="E289" s="1"/>
      <c r="F289" s="1"/>
      <c r="G289" s="1"/>
      <c r="H289" s="1"/>
      <c r="I289" s="1"/>
      <c r="J289" s="1"/>
      <c r="K289" s="1"/>
      <c r="L289" s="1"/>
    </row>
    <row r="290" ht="15.0" customHeight="1">
      <c r="A290" s="203" t="s">
        <v>50</v>
      </c>
      <c r="B290" s="1363">
        <v>41735.0</v>
      </c>
      <c r="C290" s="184"/>
      <c r="D290" s="184"/>
      <c r="E290" s="1"/>
      <c r="F290" s="1"/>
      <c r="G290" s="1"/>
      <c r="H290" s="1"/>
      <c r="I290" s="1"/>
      <c r="J290" s="1"/>
      <c r="K290" s="1"/>
      <c r="L290" s="1"/>
    </row>
    <row r="291" ht="15.0" customHeight="1">
      <c r="A291" s="1"/>
      <c r="B291" s="107"/>
      <c r="C291" s="184"/>
      <c r="D291" s="184"/>
      <c r="E291" s="1"/>
      <c r="F291" s="1"/>
      <c r="G291" s="1"/>
      <c r="H291" s="1"/>
      <c r="I291" s="1"/>
      <c r="J291" s="1"/>
      <c r="K291" s="1"/>
      <c r="L291" s="1"/>
    </row>
    <row r="292" ht="15.0" customHeight="1">
      <c r="A292" s="1"/>
      <c r="B292" s="107"/>
      <c r="C292" s="184"/>
      <c r="D292" s="184"/>
      <c r="E292" s="1"/>
      <c r="F292" s="284"/>
      <c r="G292" s="1"/>
      <c r="H292" s="1"/>
      <c r="I292" s="1"/>
      <c r="J292" s="1"/>
      <c r="K292" s="1"/>
      <c r="L292" s="1"/>
    </row>
    <row r="293" ht="15.0" customHeight="1">
      <c r="A293" s="1"/>
      <c r="B293" s="107"/>
      <c r="C293" s="184"/>
      <c r="D293" s="184"/>
      <c r="E293" s="1"/>
      <c r="F293" s="284"/>
      <c r="G293" s="1"/>
      <c r="H293" s="1"/>
      <c r="I293" s="1"/>
      <c r="J293" s="1"/>
      <c r="K293" s="1"/>
      <c r="L293" s="1"/>
    </row>
    <row r="294" ht="15.0" customHeight="1">
      <c r="A294" s="1"/>
      <c r="B294" s="107"/>
      <c r="C294" s="184"/>
      <c r="D294" s="184"/>
      <c r="E294" s="1"/>
      <c r="F294" s="284"/>
      <c r="G294" s="1"/>
      <c r="H294" s="1"/>
      <c r="I294" s="1"/>
      <c r="J294" s="1"/>
      <c r="K294" s="1"/>
      <c r="L294" s="1"/>
    </row>
    <row r="295" ht="15.75" customHeight="1">
      <c r="A295" s="1"/>
      <c r="B295" s="107"/>
      <c r="C295" s="184"/>
      <c r="D295" s="184"/>
      <c r="E295" s="1"/>
      <c r="F295" s="1"/>
      <c r="G295" s="1"/>
      <c r="H295" s="1"/>
      <c r="I295" s="1"/>
      <c r="J295" s="1"/>
      <c r="K295" s="1"/>
      <c r="L295" s="1"/>
    </row>
    <row r="296" ht="15.75" customHeight="1">
      <c r="A296" s="1"/>
      <c r="B296" s="107"/>
      <c r="C296" s="184"/>
      <c r="D296" s="184"/>
      <c r="E296" s="1"/>
      <c r="F296" s="1"/>
      <c r="G296" s="1"/>
      <c r="H296" s="1"/>
      <c r="I296" s="1"/>
      <c r="J296" s="1"/>
      <c r="K296" s="1"/>
      <c r="L296" s="1"/>
    </row>
    <row r="297" ht="15.0" customHeight="1">
      <c r="A297" s="1"/>
      <c r="B297" s="107"/>
      <c r="C297" s="184"/>
      <c r="D297" s="184"/>
      <c r="E297" s="1"/>
      <c r="F297" s="284"/>
      <c r="G297" s="1"/>
      <c r="H297" s="1"/>
      <c r="I297" s="1"/>
      <c r="J297" s="1"/>
      <c r="K297" s="1"/>
      <c r="L297" s="1"/>
    </row>
    <row r="298" ht="15.0" customHeight="1">
      <c r="A298" s="913" t="s">
        <v>835</v>
      </c>
      <c r="B298" s="5"/>
      <c r="C298" s="5"/>
      <c r="D298" s="5"/>
      <c r="E298" s="6"/>
      <c r="F298" s="284"/>
      <c r="G298" s="1"/>
      <c r="H298" s="1"/>
      <c r="I298" s="1"/>
      <c r="J298" s="1"/>
      <c r="K298" s="1"/>
      <c r="L298" s="1"/>
    </row>
    <row r="299" ht="15.0" customHeight="1">
      <c r="A299" s="68" t="s">
        <v>1</v>
      </c>
      <c r="B299" s="145">
        <v>43.0</v>
      </c>
      <c r="C299" s="1791">
        <v>602.0</v>
      </c>
      <c r="D299" s="899"/>
      <c r="E299" s="216" t="s">
        <v>5</v>
      </c>
      <c r="F299" s="284"/>
      <c r="G299" s="1"/>
      <c r="H299" s="1"/>
      <c r="I299" s="1">
        <v>15.0</v>
      </c>
      <c r="J299" s="1"/>
      <c r="K299" s="1"/>
      <c r="L299" s="1"/>
    </row>
    <row r="300" ht="15.0" customHeight="1">
      <c r="A300" s="93" t="s">
        <v>53</v>
      </c>
      <c r="B300" s="195">
        <v>10.0</v>
      </c>
      <c r="C300" s="521">
        <f t="shared" ref="C300:C303" si="18">(B300*C299)/B299</f>
        <v>140</v>
      </c>
      <c r="D300" s="1653"/>
      <c r="E300" s="249" t="s">
        <v>14</v>
      </c>
      <c r="F300" s="284"/>
      <c r="G300" s="1"/>
      <c r="H300" s="1"/>
      <c r="I300" s="1">
        <v>15.0</v>
      </c>
      <c r="J300" s="1"/>
      <c r="K300" s="1"/>
      <c r="L300" s="1"/>
    </row>
    <row r="301" ht="15.0" customHeight="1">
      <c r="A301" s="93" t="s">
        <v>31</v>
      </c>
      <c r="B301" s="195">
        <v>400.0</v>
      </c>
      <c r="C301" s="521">
        <f t="shared" si="18"/>
        <v>5600</v>
      </c>
      <c r="D301" s="1653"/>
      <c r="E301" s="249" t="s">
        <v>18</v>
      </c>
      <c r="F301" s="1663"/>
      <c r="G301" s="1"/>
      <c r="H301" s="1"/>
      <c r="I301" s="1"/>
      <c r="J301" s="1"/>
      <c r="K301" s="1"/>
      <c r="L301" s="1"/>
    </row>
    <row r="302" ht="15.0" customHeight="1">
      <c r="A302" s="93" t="s">
        <v>59</v>
      </c>
      <c r="B302" s="195">
        <v>24.0</v>
      </c>
      <c r="C302" s="521">
        <f t="shared" si="18"/>
        <v>336</v>
      </c>
      <c r="D302" s="1653"/>
      <c r="E302" s="249" t="s">
        <v>5</v>
      </c>
      <c r="F302" s="1663"/>
      <c r="G302" s="1"/>
      <c r="H302" s="1"/>
      <c r="I302" s="1"/>
      <c r="J302" s="1"/>
      <c r="K302" s="1"/>
      <c r="L302" s="1"/>
    </row>
    <row r="303" ht="15.0" customHeight="1">
      <c r="A303" s="93" t="s">
        <v>91</v>
      </c>
      <c r="B303" s="195">
        <v>1.5</v>
      </c>
      <c r="C303" s="521">
        <f t="shared" si="18"/>
        <v>21</v>
      </c>
      <c r="D303" s="1653"/>
      <c r="E303" s="249" t="s">
        <v>5</v>
      </c>
      <c r="F303" s="1663"/>
      <c r="G303" s="1"/>
      <c r="H303" s="1"/>
      <c r="I303" s="1"/>
      <c r="J303" s="1"/>
      <c r="K303" s="1"/>
      <c r="L303" s="1"/>
    </row>
    <row r="304" ht="15.0" customHeight="1">
      <c r="A304" s="93" t="s">
        <v>884</v>
      </c>
      <c r="B304" s="195">
        <v>45.0</v>
      </c>
      <c r="C304" s="1797">
        <f>(B304*C305)/B305</f>
        <v>630</v>
      </c>
      <c r="D304" s="1798"/>
      <c r="E304" s="249" t="s">
        <v>18</v>
      </c>
      <c r="F304" s="1767"/>
      <c r="G304" s="1"/>
      <c r="H304" s="1"/>
      <c r="I304" s="1"/>
      <c r="J304" s="1"/>
      <c r="K304" s="1"/>
      <c r="L304" s="1"/>
    </row>
    <row r="305" ht="15.0" customHeight="1">
      <c r="A305" s="93" t="s">
        <v>95</v>
      </c>
      <c r="B305" s="195">
        <v>25.0</v>
      </c>
      <c r="C305" s="1797">
        <f>(B305*C303)/B303</f>
        <v>350</v>
      </c>
      <c r="D305" s="1798"/>
      <c r="E305" s="249" t="s">
        <v>18</v>
      </c>
      <c r="F305" s="1767"/>
      <c r="G305" s="1"/>
      <c r="H305" s="1"/>
      <c r="I305" s="1"/>
      <c r="J305" s="1"/>
      <c r="K305" s="1"/>
      <c r="L305" s="1"/>
    </row>
    <row r="306" ht="15.0" customHeight="1">
      <c r="A306" s="93" t="s">
        <v>98</v>
      </c>
      <c r="B306" s="195">
        <v>200.0</v>
      </c>
      <c r="C306" s="521">
        <f>(B306*C303)/B303</f>
        <v>2800</v>
      </c>
      <c r="D306" s="1653"/>
      <c r="E306" s="249" t="s">
        <v>18</v>
      </c>
      <c r="F306" s="1663"/>
      <c r="G306" s="1"/>
      <c r="H306" s="1"/>
      <c r="I306" s="1"/>
      <c r="J306" s="1"/>
      <c r="K306" s="1"/>
      <c r="L306" s="1"/>
    </row>
    <row r="307" ht="15.0" customHeight="1">
      <c r="A307" s="93" t="s">
        <v>390</v>
      </c>
      <c r="B307" s="195">
        <v>45.0</v>
      </c>
      <c r="C307" s="521">
        <f t="shared" ref="C307:C311" si="19">(B307*C306)/B306</f>
        <v>630</v>
      </c>
      <c r="D307" s="1653"/>
      <c r="E307" s="249" t="s">
        <v>18</v>
      </c>
      <c r="F307" s="1663"/>
      <c r="G307" s="1"/>
      <c r="H307" s="1"/>
      <c r="I307" s="1"/>
      <c r="J307" s="1"/>
      <c r="K307" s="1"/>
      <c r="L307" s="1"/>
    </row>
    <row r="308" ht="15.0" customHeight="1">
      <c r="A308" s="93" t="s">
        <v>101</v>
      </c>
      <c r="B308" s="195">
        <v>1.0</v>
      </c>
      <c r="C308" s="521">
        <f t="shared" si="19"/>
        <v>14</v>
      </c>
      <c r="D308" s="1653"/>
      <c r="E308" s="249" t="s">
        <v>5</v>
      </c>
      <c r="F308" s="1663"/>
      <c r="G308" s="1"/>
      <c r="H308" s="1"/>
      <c r="I308" s="1"/>
      <c r="J308" s="1"/>
      <c r="K308" s="1"/>
      <c r="L308" s="1"/>
    </row>
    <row r="309" ht="15.0" customHeight="1">
      <c r="A309" s="93" t="s">
        <v>103</v>
      </c>
      <c r="B309" s="195">
        <v>45.0</v>
      </c>
      <c r="C309" s="521">
        <f t="shared" si="19"/>
        <v>630</v>
      </c>
      <c r="D309" s="1653"/>
      <c r="E309" s="249" t="s">
        <v>18</v>
      </c>
      <c r="F309" s="1663"/>
      <c r="G309" s="1"/>
      <c r="H309" s="1"/>
      <c r="I309" s="1"/>
      <c r="J309" s="1"/>
      <c r="K309" s="1"/>
      <c r="L309" s="1"/>
    </row>
    <row r="310" ht="15.0" customHeight="1">
      <c r="A310" s="105" t="s">
        <v>1177</v>
      </c>
      <c r="B310" s="200">
        <v>250.0</v>
      </c>
      <c r="C310" s="517">
        <f t="shared" si="19"/>
        <v>3500</v>
      </c>
      <c r="D310" s="1656"/>
      <c r="E310" s="518" t="s">
        <v>18</v>
      </c>
      <c r="F310" s="1805"/>
      <c r="G310" s="1"/>
      <c r="H310" s="1"/>
      <c r="I310" s="1"/>
      <c r="J310" s="1"/>
      <c r="K310" s="1"/>
      <c r="L310" s="1"/>
    </row>
    <row r="311" ht="15.0" customHeight="1">
      <c r="A311" s="173" t="s">
        <v>2044</v>
      </c>
      <c r="B311" s="275">
        <v>250.0</v>
      </c>
      <c r="C311" s="546">
        <f t="shared" si="19"/>
        <v>3500</v>
      </c>
      <c r="D311" s="1808"/>
      <c r="E311" s="547" t="s">
        <v>18</v>
      </c>
      <c r="F311" s="270" t="s">
        <v>1501</v>
      </c>
      <c r="G311" s="1"/>
      <c r="H311" s="1"/>
      <c r="I311" s="1"/>
      <c r="J311" s="1"/>
      <c r="K311" s="1"/>
      <c r="L311" s="1"/>
    </row>
    <row r="312" ht="15.0" customHeight="1">
      <c r="A312" s="1640" t="s">
        <v>119</v>
      </c>
      <c r="B312" s="1641" t="s">
        <v>47</v>
      </c>
      <c r="C312" s="184"/>
      <c r="D312" s="184"/>
      <c r="E312" s="1"/>
      <c r="F312" s="1"/>
      <c r="G312" s="1"/>
      <c r="H312" s="1"/>
      <c r="I312" s="1"/>
      <c r="J312" s="1"/>
      <c r="K312" s="1"/>
      <c r="L312" s="1"/>
    </row>
    <row r="313" ht="15.0" customHeight="1">
      <c r="A313" s="1"/>
      <c r="B313" s="107"/>
      <c r="C313" s="184"/>
      <c r="D313" s="184"/>
      <c r="E313" s="1"/>
      <c r="F313" s="1"/>
      <c r="G313" s="1"/>
      <c r="H313" s="1"/>
      <c r="I313" s="1"/>
      <c r="J313" s="1"/>
      <c r="K313" s="1"/>
      <c r="L313" s="1"/>
    </row>
    <row r="314" ht="15.0" customHeight="1">
      <c r="A314" s="1"/>
      <c r="B314" s="107"/>
      <c r="C314" s="184"/>
      <c r="D314" s="184"/>
      <c r="E314" s="1"/>
      <c r="F314" s="1"/>
      <c r="G314" s="1"/>
      <c r="H314" s="1"/>
      <c r="I314" s="1"/>
      <c r="J314" s="1"/>
      <c r="K314" s="1"/>
      <c r="L314" s="1"/>
    </row>
    <row r="315" ht="15.0" customHeight="1">
      <c r="A315" s="203" t="s">
        <v>49</v>
      </c>
      <c r="B315" s="1363">
        <v>40787.0</v>
      </c>
      <c r="C315" s="184"/>
      <c r="D315" s="184"/>
      <c r="E315" s="1"/>
      <c r="F315" s="1"/>
      <c r="G315" s="1"/>
      <c r="H315" s="1"/>
      <c r="I315" s="1"/>
      <c r="J315" s="1"/>
      <c r="K315" s="1"/>
      <c r="L315" s="1"/>
    </row>
    <row r="316" ht="15.0" customHeight="1">
      <c r="A316" s="203" t="s">
        <v>50</v>
      </c>
      <c r="B316" s="1363">
        <v>41735.0</v>
      </c>
      <c r="C316" s="184"/>
      <c r="D316" s="184"/>
      <c r="E316" s="1"/>
      <c r="F316" s="1"/>
      <c r="G316" s="1"/>
      <c r="H316" s="1"/>
      <c r="I316" s="1"/>
      <c r="J316" s="1"/>
      <c r="K316" s="1"/>
      <c r="L316" s="1"/>
    </row>
    <row r="317" ht="15.0" customHeight="1">
      <c r="A317" s="1"/>
      <c r="B317" s="107"/>
      <c r="C317" s="184"/>
      <c r="D317" s="184"/>
      <c r="E317" s="1"/>
      <c r="F317" s="1"/>
      <c r="G317" s="1"/>
      <c r="H317" s="1"/>
      <c r="I317" s="1"/>
      <c r="J317" s="1"/>
      <c r="K317" s="1"/>
      <c r="L317" s="1"/>
    </row>
    <row r="318" ht="15.0" customHeight="1">
      <c r="A318" s="1"/>
      <c r="B318" s="107"/>
      <c r="C318" s="184"/>
      <c r="D318" s="184"/>
      <c r="E318" s="1"/>
      <c r="F318" s="1"/>
      <c r="G318" s="1"/>
      <c r="H318" s="1"/>
      <c r="I318" s="1"/>
      <c r="J318" s="1"/>
      <c r="K318" s="1"/>
      <c r="L318" s="1"/>
    </row>
    <row r="319" ht="15.0" customHeight="1">
      <c r="A319" s="1"/>
      <c r="B319" s="107"/>
      <c r="C319" s="184"/>
      <c r="D319" s="184"/>
      <c r="E319" s="1"/>
      <c r="F319" s="1"/>
      <c r="G319" s="1"/>
      <c r="H319" s="1"/>
      <c r="I319" s="1"/>
      <c r="J319" s="1"/>
      <c r="K319" s="1"/>
      <c r="L319" s="1"/>
    </row>
    <row r="320" ht="15.0" customHeight="1">
      <c r="A320" s="1"/>
      <c r="B320" s="107"/>
      <c r="C320" s="184"/>
      <c r="D320" s="184"/>
      <c r="E320" s="1"/>
      <c r="F320" s="1"/>
      <c r="G320" s="1"/>
      <c r="H320" s="1"/>
      <c r="I320" s="1"/>
      <c r="J320" s="1"/>
      <c r="K320" s="1"/>
      <c r="L320" s="1"/>
    </row>
    <row r="321" ht="15.0" customHeight="1">
      <c r="A321" s="1"/>
      <c r="B321" s="107"/>
      <c r="C321" s="184"/>
      <c r="D321" s="184"/>
      <c r="E321" s="1"/>
      <c r="F321" s="1"/>
      <c r="G321" s="1"/>
      <c r="H321" s="1"/>
      <c r="I321" s="1"/>
      <c r="J321" s="1"/>
      <c r="K321" s="1"/>
      <c r="L321" s="1"/>
    </row>
    <row r="322" ht="15.75" customHeight="1">
      <c r="A322" s="1"/>
      <c r="B322" s="107"/>
      <c r="C322" s="184"/>
      <c r="D322" s="184"/>
      <c r="E322" s="1"/>
      <c r="F322" s="1"/>
      <c r="G322" s="1"/>
      <c r="H322" s="1"/>
      <c r="I322" s="1"/>
      <c r="J322" s="1"/>
      <c r="K322" s="1"/>
      <c r="L322" s="1"/>
    </row>
    <row r="323" ht="15.0" customHeight="1">
      <c r="A323" s="1"/>
      <c r="B323" s="107"/>
      <c r="C323" s="184"/>
      <c r="D323" s="184"/>
      <c r="E323" s="1"/>
      <c r="F323" s="1" t="s">
        <v>76</v>
      </c>
      <c r="G323" s="1"/>
      <c r="H323" s="1"/>
      <c r="I323" s="1"/>
      <c r="J323" s="1"/>
      <c r="K323" s="1"/>
      <c r="L323" s="1"/>
    </row>
    <row r="324" ht="15.75" customHeight="1">
      <c r="A324" s="1"/>
      <c r="B324" s="107"/>
      <c r="C324" s="184"/>
      <c r="D324" s="184"/>
      <c r="E324" s="1"/>
      <c r="F324" s="1"/>
      <c r="G324" s="1"/>
      <c r="H324" s="1"/>
      <c r="I324" s="1"/>
      <c r="J324" s="1"/>
      <c r="K324" s="1"/>
      <c r="L324" s="1"/>
    </row>
    <row r="325" ht="15.0" customHeight="1">
      <c r="A325" s="1"/>
      <c r="B325" s="107"/>
      <c r="C325" s="184"/>
      <c r="D325" s="184"/>
      <c r="E325" s="1"/>
      <c r="F325" s="1"/>
      <c r="G325" s="1"/>
      <c r="H325" s="1"/>
      <c r="I325" s="1"/>
      <c r="J325" s="1"/>
      <c r="K325" s="1"/>
      <c r="L325" s="1"/>
    </row>
    <row r="326" ht="15.0" customHeight="1">
      <c r="A326" s="266" t="s">
        <v>867</v>
      </c>
      <c r="B326" s="5"/>
      <c r="C326" s="5"/>
      <c r="D326" s="5"/>
      <c r="E326" s="6"/>
      <c r="F326" s="1725"/>
      <c r="G326" s="1"/>
      <c r="H326" s="1"/>
      <c r="I326" s="1"/>
      <c r="J326" s="1"/>
      <c r="K326" s="1"/>
      <c r="L326" s="1"/>
    </row>
    <row r="327" ht="15.0" customHeight="1">
      <c r="A327" s="51" t="s">
        <v>1054</v>
      </c>
      <c r="B327" s="190">
        <v>45.0</v>
      </c>
      <c r="C327" s="513">
        <v>12.0</v>
      </c>
      <c r="D327" s="1576"/>
      <c r="E327" s="514" t="s">
        <v>5</v>
      </c>
      <c r="F327" s="1729"/>
      <c r="G327" s="1"/>
      <c r="H327" s="1"/>
      <c r="I327" s="1"/>
      <c r="J327" s="1"/>
      <c r="K327" s="1"/>
      <c r="L327" s="1"/>
    </row>
    <row r="328" ht="15.0" customHeight="1">
      <c r="A328" s="345" t="s">
        <v>53</v>
      </c>
      <c r="B328" s="13">
        <v>10.0</v>
      </c>
      <c r="C328" s="1490">
        <f t="shared" ref="C328:C344" si="20">(B328*C327)/B327</f>
        <v>2.666666667</v>
      </c>
      <c r="D328" s="1814"/>
      <c r="E328" s="348" t="s">
        <v>14</v>
      </c>
      <c r="F328" s="44" t="s">
        <v>1973</v>
      </c>
      <c r="G328" s="1"/>
      <c r="H328" s="1"/>
      <c r="I328" s="1"/>
      <c r="J328" s="1"/>
      <c r="K328" s="1"/>
      <c r="L328" s="1"/>
    </row>
    <row r="329" ht="15.0" customHeight="1">
      <c r="A329" s="350" t="s">
        <v>52</v>
      </c>
      <c r="B329" s="33">
        <v>40.0</v>
      </c>
      <c r="C329" s="1246">
        <f t="shared" si="20"/>
        <v>10.66666667</v>
      </c>
      <c r="D329" s="1819"/>
      <c r="E329" s="352" t="s">
        <v>18</v>
      </c>
      <c r="F329" s="47"/>
      <c r="G329" s="1"/>
      <c r="H329" s="1"/>
      <c r="I329" s="1"/>
      <c r="J329" s="1"/>
      <c r="K329" s="1"/>
      <c r="L329" s="1"/>
    </row>
    <row r="330" ht="15.0" customHeight="1">
      <c r="A330" s="93" t="s">
        <v>59</v>
      </c>
      <c r="B330" s="195">
        <v>25.0</v>
      </c>
      <c r="C330" s="1246">
        <f t="shared" si="20"/>
        <v>6.666666667</v>
      </c>
      <c r="D330" s="1819"/>
      <c r="E330" s="249" t="s">
        <v>5</v>
      </c>
      <c r="F330" s="47"/>
      <c r="G330" s="1"/>
      <c r="H330" s="1"/>
      <c r="I330" s="1"/>
      <c r="J330" s="1"/>
      <c r="K330" s="1"/>
      <c r="L330" s="1"/>
    </row>
    <row r="331" ht="15.0" customHeight="1">
      <c r="A331" s="93" t="s">
        <v>91</v>
      </c>
      <c r="B331" s="195">
        <v>0.5</v>
      </c>
      <c r="C331" s="1246">
        <f t="shared" si="20"/>
        <v>0.1333333333</v>
      </c>
      <c r="D331" s="1819"/>
      <c r="E331" s="249" t="s">
        <v>5</v>
      </c>
      <c r="F331" s="47"/>
      <c r="G331" s="1"/>
      <c r="H331" s="1"/>
      <c r="I331" s="1"/>
      <c r="J331" s="1"/>
      <c r="K331" s="1"/>
      <c r="L331" s="1"/>
    </row>
    <row r="332" ht="15.0" customHeight="1">
      <c r="A332" s="354" t="s">
        <v>31</v>
      </c>
      <c r="B332" s="1821">
        <v>300.0</v>
      </c>
      <c r="C332" s="1765">
        <f t="shared" si="20"/>
        <v>80</v>
      </c>
      <c r="D332" s="1822"/>
      <c r="E332" s="356" t="s">
        <v>18</v>
      </c>
      <c r="F332" s="76"/>
      <c r="G332" s="1"/>
      <c r="H332" s="1"/>
      <c r="I332" s="1"/>
      <c r="J332" s="1"/>
      <c r="K332" s="1"/>
      <c r="L332" s="1"/>
    </row>
    <row r="333" ht="15.0" customHeight="1">
      <c r="A333" s="1823" t="s">
        <v>2054</v>
      </c>
      <c r="B333" s="1825">
        <v>2.5</v>
      </c>
      <c r="C333" s="1827">
        <f t="shared" si="20"/>
        <v>0.6666666667</v>
      </c>
      <c r="D333" s="1828"/>
      <c r="E333" s="1829" t="s">
        <v>5</v>
      </c>
      <c r="F333" s="264" t="s">
        <v>2059</v>
      </c>
      <c r="G333" s="1"/>
      <c r="H333" s="1"/>
      <c r="I333" s="1"/>
      <c r="J333" s="1"/>
      <c r="K333" s="1"/>
      <c r="L333" s="1"/>
    </row>
    <row r="334" ht="15.0" customHeight="1">
      <c r="A334" s="1831" t="s">
        <v>2060</v>
      </c>
      <c r="B334" s="1832">
        <v>2.0</v>
      </c>
      <c r="C334" s="1833">
        <f t="shared" si="20"/>
        <v>0.5333333333</v>
      </c>
      <c r="D334" s="1834"/>
      <c r="E334" s="1836" t="s">
        <v>5</v>
      </c>
      <c r="F334" s="66"/>
      <c r="G334" s="1"/>
      <c r="H334" s="1"/>
      <c r="I334" s="1"/>
      <c r="J334" s="1"/>
      <c r="K334" s="1"/>
      <c r="L334" s="1"/>
    </row>
    <row r="335" ht="15.0" customHeight="1">
      <c r="A335" s="350" t="s">
        <v>60</v>
      </c>
      <c r="B335" s="33">
        <v>0.8</v>
      </c>
      <c r="C335" s="1246">
        <f t="shared" si="20"/>
        <v>0.2133333333</v>
      </c>
      <c r="D335" s="1819"/>
      <c r="E335" s="249" t="s">
        <v>14</v>
      </c>
      <c r="F335" s="66"/>
      <c r="G335" s="1"/>
      <c r="H335" s="1"/>
      <c r="I335" s="1"/>
      <c r="J335" s="1"/>
      <c r="K335" s="1"/>
      <c r="L335" s="1"/>
    </row>
    <row r="336" ht="15.0" customHeight="1">
      <c r="A336" s="350" t="s">
        <v>97</v>
      </c>
      <c r="B336" s="33">
        <v>150.0</v>
      </c>
      <c r="C336" s="1246">
        <f t="shared" si="20"/>
        <v>40</v>
      </c>
      <c r="D336" s="1819"/>
      <c r="E336" s="352" t="s">
        <v>18</v>
      </c>
      <c r="F336" s="66"/>
      <c r="G336" s="1"/>
      <c r="H336" s="1"/>
      <c r="I336" s="1"/>
      <c r="J336" s="1"/>
      <c r="K336" s="1"/>
      <c r="L336" s="1"/>
    </row>
    <row r="337" ht="15.0" customHeight="1">
      <c r="A337" s="350" t="s">
        <v>357</v>
      </c>
      <c r="B337" s="33">
        <v>0.4</v>
      </c>
      <c r="C337" s="1246">
        <f t="shared" si="20"/>
        <v>0.1066666667</v>
      </c>
      <c r="D337" s="1819"/>
      <c r="E337" s="352" t="s">
        <v>14</v>
      </c>
      <c r="F337" s="66"/>
      <c r="G337" s="1"/>
      <c r="H337" s="1"/>
      <c r="I337" s="1"/>
      <c r="J337" s="1"/>
      <c r="K337" s="1"/>
      <c r="L337" s="1"/>
    </row>
    <row r="338" ht="15.0" customHeight="1">
      <c r="A338" s="350" t="s">
        <v>1978</v>
      </c>
      <c r="B338" s="33">
        <v>80.0</v>
      </c>
      <c r="C338" s="1246">
        <f t="shared" si="20"/>
        <v>21.33333333</v>
      </c>
      <c r="D338" s="1819"/>
      <c r="E338" s="352" t="s">
        <v>18</v>
      </c>
      <c r="F338" s="66"/>
      <c r="G338" s="1"/>
      <c r="H338" s="1"/>
      <c r="I338" s="1"/>
      <c r="J338" s="1"/>
      <c r="K338" s="1"/>
      <c r="L338" s="1"/>
    </row>
    <row r="339" ht="15.0" customHeight="1">
      <c r="A339" s="350" t="s">
        <v>103</v>
      </c>
      <c r="B339" s="33">
        <v>60.0</v>
      </c>
      <c r="C339" s="1246">
        <f t="shared" si="20"/>
        <v>16</v>
      </c>
      <c r="D339" s="1819"/>
      <c r="E339" s="352" t="s">
        <v>18</v>
      </c>
      <c r="F339" s="66"/>
      <c r="G339" s="1"/>
      <c r="H339" s="1"/>
      <c r="I339" s="1"/>
      <c r="J339" s="1"/>
      <c r="K339" s="1"/>
      <c r="L339" s="1"/>
    </row>
    <row r="340" ht="15.0" customHeight="1">
      <c r="A340" s="350" t="s">
        <v>1979</v>
      </c>
      <c r="B340" s="33">
        <v>400.0</v>
      </c>
      <c r="C340" s="1246">
        <f t="shared" si="20"/>
        <v>106.6666667</v>
      </c>
      <c r="D340" s="1819"/>
      <c r="E340" s="352" t="s">
        <v>18</v>
      </c>
      <c r="F340" s="66"/>
      <c r="G340" s="1"/>
      <c r="H340" s="1"/>
      <c r="I340" s="1"/>
      <c r="J340" s="1"/>
      <c r="K340" s="1"/>
      <c r="L340" s="1"/>
    </row>
    <row r="341" ht="15.0" customHeight="1">
      <c r="A341" s="606" t="s">
        <v>101</v>
      </c>
      <c r="B341" s="454">
        <v>1.0</v>
      </c>
      <c r="C341" s="1492">
        <f t="shared" si="20"/>
        <v>0.2666666667</v>
      </c>
      <c r="D341" s="1841"/>
      <c r="E341" s="1475" t="s">
        <v>5</v>
      </c>
      <c r="F341" s="106"/>
      <c r="G341" s="1"/>
      <c r="H341" s="1"/>
      <c r="I341" s="1"/>
      <c r="J341" s="1"/>
      <c r="K341" s="1"/>
      <c r="L341" s="1"/>
    </row>
    <row r="342" ht="15.0" customHeight="1">
      <c r="A342" s="1746" t="s">
        <v>31</v>
      </c>
      <c r="B342" s="1758">
        <v>375.0</v>
      </c>
      <c r="C342" s="1493">
        <f t="shared" si="20"/>
        <v>100</v>
      </c>
      <c r="D342" s="1843"/>
      <c r="E342" s="1762" t="s">
        <v>18</v>
      </c>
      <c r="F342" s="1763"/>
      <c r="G342" s="1"/>
      <c r="H342" s="1"/>
      <c r="I342" s="1"/>
      <c r="J342" s="1"/>
      <c r="K342" s="1"/>
      <c r="L342" s="1"/>
    </row>
    <row r="343" ht="15.0" customHeight="1">
      <c r="A343" s="345" t="s">
        <v>167</v>
      </c>
      <c r="B343" s="13">
        <v>1.6</v>
      </c>
      <c r="C343" s="1490">
        <f t="shared" si="20"/>
        <v>0.4266666667</v>
      </c>
      <c r="D343" s="1814"/>
      <c r="E343" s="216" t="s">
        <v>5</v>
      </c>
      <c r="F343" s="1848" t="s">
        <v>1984</v>
      </c>
      <c r="G343" s="1"/>
      <c r="H343" s="1"/>
      <c r="I343" s="1"/>
      <c r="J343" s="1"/>
      <c r="K343" s="1"/>
      <c r="L343" s="1"/>
    </row>
    <row r="344" ht="15.0" customHeight="1">
      <c r="A344" s="606" t="s">
        <v>1588</v>
      </c>
      <c r="B344" s="454">
        <v>2.0</v>
      </c>
      <c r="C344" s="1492">
        <f t="shared" si="20"/>
        <v>0.5333333333</v>
      </c>
      <c r="D344" s="1841"/>
      <c r="E344" s="1475" t="s">
        <v>190</v>
      </c>
      <c r="F344" s="106"/>
      <c r="G344" s="1"/>
      <c r="H344" s="1"/>
      <c r="I344" s="1"/>
      <c r="J344" s="1"/>
      <c r="K344" s="1"/>
      <c r="L344" s="1"/>
    </row>
    <row r="345" ht="15.0" customHeight="1">
      <c r="A345" s="1"/>
      <c r="B345" s="107"/>
      <c r="C345" s="184"/>
      <c r="D345" s="184"/>
      <c r="E345" s="1"/>
      <c r="F345" s="1"/>
      <c r="G345" s="1"/>
      <c r="H345" s="1"/>
      <c r="I345" s="1"/>
      <c r="J345" s="1"/>
      <c r="K345" s="1"/>
      <c r="L345" s="1"/>
    </row>
    <row r="346" ht="15.0" customHeight="1">
      <c r="A346" s="1851" t="s">
        <v>2075</v>
      </c>
      <c r="B346" s="5"/>
      <c r="C346" s="6"/>
      <c r="D346" s="1853"/>
      <c r="E346" s="1"/>
      <c r="F346" s="1"/>
      <c r="G346" s="1"/>
      <c r="H346" s="1"/>
      <c r="I346" s="1"/>
      <c r="J346" s="1"/>
      <c r="K346" s="1"/>
      <c r="L346" s="1"/>
    </row>
    <row r="347" ht="15.0" customHeight="1">
      <c r="A347" s="63"/>
      <c r="C347" s="66"/>
      <c r="D347" s="1853"/>
      <c r="E347" s="1"/>
      <c r="F347" s="1"/>
      <c r="G347" s="1"/>
      <c r="H347" s="1"/>
      <c r="I347" s="1"/>
      <c r="J347" s="1"/>
      <c r="K347" s="1"/>
      <c r="L347" s="1"/>
    </row>
    <row r="348" ht="15.0" customHeight="1">
      <c r="A348" s="102"/>
      <c r="B348" s="104"/>
      <c r="C348" s="106"/>
      <c r="D348" s="1853"/>
      <c r="E348" s="1"/>
      <c r="F348" s="1"/>
      <c r="G348" s="1"/>
      <c r="H348" s="1"/>
      <c r="I348" s="1"/>
      <c r="J348" s="1"/>
      <c r="K348" s="1"/>
      <c r="L348" s="1"/>
    </row>
    <row r="349" ht="15.0" customHeight="1">
      <c r="A349" s="1640" t="s">
        <v>119</v>
      </c>
      <c r="B349" s="1641" t="s">
        <v>47</v>
      </c>
      <c r="C349" s="184"/>
      <c r="D349" s="184"/>
      <c r="E349" s="1"/>
      <c r="F349" s="1"/>
      <c r="G349" s="1"/>
      <c r="H349" s="1"/>
      <c r="I349" s="1"/>
      <c r="J349" s="1"/>
      <c r="K349" s="1"/>
      <c r="L349" s="1"/>
    </row>
    <row r="350" ht="15.0" customHeight="1">
      <c r="A350" s="865" t="s">
        <v>502</v>
      </c>
      <c r="B350" s="1500">
        <v>40817.0</v>
      </c>
      <c r="C350" s="184"/>
      <c r="D350" s="184"/>
      <c r="E350" s="1"/>
      <c r="F350" s="1"/>
      <c r="G350" s="1"/>
      <c r="H350" s="1"/>
      <c r="I350" s="1"/>
      <c r="J350" s="1"/>
      <c r="K350" s="1"/>
      <c r="L350" s="1"/>
    </row>
    <row r="351" ht="15.0" customHeight="1">
      <c r="A351" s="865" t="s">
        <v>1486</v>
      </c>
      <c r="B351" s="1500">
        <v>41751.0</v>
      </c>
      <c r="C351" s="184"/>
      <c r="D351" s="184"/>
      <c r="E351" s="1"/>
      <c r="F351" s="1"/>
      <c r="G351" s="1"/>
      <c r="H351" s="1"/>
      <c r="I351" s="1"/>
      <c r="J351" s="1"/>
      <c r="K351" s="1"/>
      <c r="L351" s="1"/>
    </row>
    <row r="352" ht="15.0" customHeight="1">
      <c r="A352" s="1"/>
      <c r="B352" s="107"/>
      <c r="C352" s="184"/>
      <c r="D352" s="184"/>
      <c r="E352" s="1"/>
      <c r="F352" s="1"/>
      <c r="G352" s="1"/>
      <c r="H352" s="1"/>
      <c r="I352" s="1"/>
      <c r="J352" s="1"/>
      <c r="K352" s="1"/>
      <c r="L352" s="1"/>
    </row>
    <row r="353" ht="15.75" customHeight="1">
      <c r="A353" s="1"/>
      <c r="B353" s="107"/>
      <c r="C353" s="184"/>
      <c r="D353" s="184"/>
      <c r="E353" s="1"/>
      <c r="F353" s="1"/>
      <c r="G353" s="1"/>
      <c r="H353" s="1"/>
      <c r="I353" s="1"/>
      <c r="J353" s="1"/>
      <c r="K353" s="1"/>
      <c r="L353" s="1"/>
    </row>
    <row r="354" ht="15.75" customHeight="1">
      <c r="A354" s="1"/>
      <c r="B354" s="107"/>
      <c r="C354" s="184"/>
      <c r="D354" s="184"/>
      <c r="E354" s="1"/>
      <c r="F354" s="1"/>
      <c r="G354" s="1"/>
      <c r="H354" s="1"/>
      <c r="I354" s="1"/>
      <c r="J354" s="1"/>
      <c r="K354" s="1"/>
      <c r="L354" s="1"/>
    </row>
    <row r="355" ht="15.0" customHeight="1">
      <c r="A355" s="1"/>
      <c r="B355" s="107"/>
      <c r="C355" s="184"/>
      <c r="D355" s="184"/>
      <c r="E355" s="1"/>
      <c r="F355" s="1"/>
      <c r="G355" s="1"/>
      <c r="H355" s="1"/>
      <c r="I355" s="1"/>
      <c r="J355" s="1"/>
      <c r="K355" s="1"/>
      <c r="L355" s="1"/>
    </row>
    <row r="356" ht="15.0" customHeight="1">
      <c r="A356" s="206" t="s">
        <v>2083</v>
      </c>
      <c r="B356" s="5"/>
      <c r="C356" s="5"/>
      <c r="D356" s="5"/>
      <c r="E356" s="6"/>
      <c r="F356" s="1856"/>
      <c r="G356" s="1"/>
      <c r="H356" s="1"/>
      <c r="I356" s="1"/>
      <c r="J356" s="1"/>
      <c r="K356" s="1"/>
      <c r="L356" s="1"/>
    </row>
    <row r="357" ht="15.0" customHeight="1">
      <c r="A357" s="68" t="s">
        <v>1</v>
      </c>
      <c r="B357" s="145">
        <v>50.0</v>
      </c>
      <c r="C357" s="155">
        <v>90.0</v>
      </c>
      <c r="D357" s="899"/>
      <c r="E357" s="216" t="s">
        <v>5</v>
      </c>
      <c r="F357" s="47"/>
      <c r="G357" s="1"/>
      <c r="H357" s="1"/>
      <c r="I357" s="1"/>
      <c r="J357" s="1"/>
      <c r="K357" s="1"/>
      <c r="L357" s="1"/>
    </row>
    <row r="358" ht="15.0" customHeight="1">
      <c r="A358" s="68" t="s">
        <v>53</v>
      </c>
      <c r="B358" s="145">
        <v>10.0</v>
      </c>
      <c r="C358" s="155">
        <f t="shared" ref="C358:C379" si="21">(B358*C357)/B357</f>
        <v>18</v>
      </c>
      <c r="D358" s="899"/>
      <c r="E358" s="216" t="s">
        <v>14</v>
      </c>
      <c r="F358" s="76"/>
      <c r="G358" s="1"/>
      <c r="H358" s="1"/>
      <c r="I358" s="1"/>
      <c r="J358" s="1"/>
      <c r="K358" s="1"/>
      <c r="L358" s="1"/>
    </row>
    <row r="359" ht="15.0" customHeight="1">
      <c r="A359" s="105" t="s">
        <v>60</v>
      </c>
      <c r="B359" s="980">
        <v>0.5</v>
      </c>
      <c r="C359" s="56">
        <f t="shared" si="21"/>
        <v>0.9</v>
      </c>
      <c r="D359" s="1604"/>
      <c r="E359" s="518" t="s">
        <v>14</v>
      </c>
      <c r="F359" s="269" t="s">
        <v>2085</v>
      </c>
      <c r="G359" s="1"/>
      <c r="H359" s="1"/>
      <c r="I359" s="1"/>
      <c r="J359" s="1"/>
      <c r="K359" s="1"/>
      <c r="L359" s="1"/>
    </row>
    <row r="360" ht="15.0" customHeight="1">
      <c r="A360" s="119" t="s">
        <v>91</v>
      </c>
      <c r="B360" s="238">
        <v>2.0</v>
      </c>
      <c r="C360" s="129">
        <f t="shared" si="21"/>
        <v>3.6</v>
      </c>
      <c r="D360" s="1583"/>
      <c r="E360" s="520" t="s">
        <v>5</v>
      </c>
      <c r="F360" s="44" t="s">
        <v>2086</v>
      </c>
      <c r="G360" s="1"/>
      <c r="H360" s="1"/>
      <c r="I360" s="1"/>
      <c r="J360" s="1"/>
      <c r="K360" s="1"/>
      <c r="L360" s="1"/>
    </row>
    <row r="361" ht="15.0" customHeight="1">
      <c r="A361" s="93" t="s">
        <v>95</v>
      </c>
      <c r="B361" s="195">
        <v>20.0</v>
      </c>
      <c r="C361" s="521">
        <f t="shared" si="21"/>
        <v>36</v>
      </c>
      <c r="D361" s="1653"/>
      <c r="E361" s="249" t="s">
        <v>18</v>
      </c>
      <c r="F361" s="47"/>
      <c r="G361" s="1"/>
      <c r="H361" s="1"/>
      <c r="I361" s="1"/>
      <c r="J361" s="1"/>
      <c r="K361" s="1"/>
      <c r="L361" s="1"/>
    </row>
    <row r="362" ht="15.0" customHeight="1">
      <c r="A362" s="93" t="s">
        <v>685</v>
      </c>
      <c r="B362" s="195">
        <v>5.0</v>
      </c>
      <c r="C362" s="521">
        <f t="shared" si="21"/>
        <v>9</v>
      </c>
      <c r="D362" s="1653"/>
      <c r="E362" s="249" t="s">
        <v>18</v>
      </c>
      <c r="F362" s="47"/>
      <c r="G362" s="1"/>
      <c r="H362" s="1"/>
      <c r="I362" s="1"/>
      <c r="J362" s="1"/>
      <c r="K362" s="1"/>
      <c r="L362" s="1"/>
    </row>
    <row r="363" ht="15.0" customHeight="1">
      <c r="A363" s="93" t="s">
        <v>2088</v>
      </c>
      <c r="B363" s="195">
        <v>15.0</v>
      </c>
      <c r="C363" s="521">
        <f t="shared" si="21"/>
        <v>27</v>
      </c>
      <c r="D363" s="1653"/>
      <c r="E363" s="249" t="s">
        <v>18</v>
      </c>
      <c r="F363" s="47"/>
      <c r="G363" s="1"/>
      <c r="H363" s="1"/>
      <c r="I363" s="1"/>
      <c r="J363" s="1"/>
      <c r="K363" s="1"/>
      <c r="L363" s="1"/>
    </row>
    <row r="364" ht="15.0" customHeight="1">
      <c r="A364" s="93" t="s">
        <v>96</v>
      </c>
      <c r="B364" s="195">
        <v>10.0</v>
      </c>
      <c r="C364" s="521">
        <f t="shared" si="21"/>
        <v>18</v>
      </c>
      <c r="D364" s="1653"/>
      <c r="E364" s="249" t="s">
        <v>18</v>
      </c>
      <c r="F364" s="47"/>
      <c r="G364" s="1"/>
      <c r="H364" s="1"/>
      <c r="I364" s="1"/>
      <c r="J364" s="1"/>
      <c r="K364" s="1"/>
      <c r="L364" s="1"/>
    </row>
    <row r="365" ht="15.0" customHeight="1">
      <c r="A365" s="93" t="s">
        <v>97</v>
      </c>
      <c r="B365" s="195">
        <v>75.0</v>
      </c>
      <c r="C365" s="521">
        <f t="shared" si="21"/>
        <v>135</v>
      </c>
      <c r="D365" s="1653"/>
      <c r="E365" s="249" t="s">
        <v>18</v>
      </c>
      <c r="F365" s="47"/>
      <c r="G365" s="1"/>
      <c r="H365" s="1"/>
      <c r="I365" s="1"/>
      <c r="J365" s="1"/>
      <c r="K365" s="1"/>
      <c r="L365" s="1"/>
    </row>
    <row r="366" ht="15.0" customHeight="1">
      <c r="A366" s="138" t="s">
        <v>103</v>
      </c>
      <c r="B366" s="279">
        <v>30.0</v>
      </c>
      <c r="C366" s="842">
        <f t="shared" si="21"/>
        <v>54</v>
      </c>
      <c r="D366" s="1655"/>
      <c r="E366" s="242" t="s">
        <v>18</v>
      </c>
      <c r="F366" s="76"/>
      <c r="G366" s="1"/>
      <c r="H366" s="1"/>
      <c r="I366" s="1"/>
      <c r="J366" s="1"/>
      <c r="K366" s="1"/>
      <c r="L366" s="1"/>
    </row>
    <row r="367" ht="15.0" customHeight="1">
      <c r="A367" s="68" t="s">
        <v>2090</v>
      </c>
      <c r="B367" s="145">
        <v>3.0</v>
      </c>
      <c r="C367" s="155">
        <f t="shared" si="21"/>
        <v>5.4</v>
      </c>
      <c r="D367" s="899"/>
      <c r="E367" s="216" t="s">
        <v>14</v>
      </c>
      <c r="F367" s="1"/>
      <c r="G367" s="1"/>
      <c r="H367" s="1"/>
      <c r="I367" s="1"/>
      <c r="J367" s="1"/>
      <c r="K367" s="1"/>
      <c r="L367" s="1"/>
    </row>
    <row r="368" ht="15.0" customHeight="1">
      <c r="A368" s="93" t="s">
        <v>2092</v>
      </c>
      <c r="B368" s="195">
        <v>2.0</v>
      </c>
      <c r="C368" s="78">
        <f t="shared" si="21"/>
        <v>3.6</v>
      </c>
      <c r="D368" s="900"/>
      <c r="E368" s="249" t="s">
        <v>14</v>
      </c>
      <c r="F368" s="1"/>
      <c r="G368" s="1"/>
      <c r="H368" s="1"/>
      <c r="I368" s="1"/>
      <c r="J368" s="1"/>
      <c r="K368" s="1"/>
      <c r="L368" s="1"/>
    </row>
    <row r="369" ht="15.0" customHeight="1">
      <c r="A369" s="105" t="s">
        <v>31</v>
      </c>
      <c r="B369" s="200">
        <v>60.0</v>
      </c>
      <c r="C369" s="56">
        <f t="shared" si="21"/>
        <v>108</v>
      </c>
      <c r="D369" s="1604"/>
      <c r="E369" s="518" t="s">
        <v>18</v>
      </c>
      <c r="F369" s="1"/>
      <c r="G369" s="1"/>
      <c r="H369" s="1"/>
      <c r="I369" s="1"/>
      <c r="J369" s="1"/>
      <c r="K369" s="1"/>
      <c r="L369" s="1"/>
    </row>
    <row r="370" ht="15.0" customHeight="1">
      <c r="A370" s="119" t="s">
        <v>52</v>
      </c>
      <c r="B370" s="238">
        <v>25.0</v>
      </c>
      <c r="C370" s="519">
        <f t="shared" si="21"/>
        <v>45</v>
      </c>
      <c r="D370" s="1657"/>
      <c r="E370" s="520" t="s">
        <v>18</v>
      </c>
      <c r="F370" s="770" t="s">
        <v>348</v>
      </c>
      <c r="G370" s="1"/>
      <c r="H370" s="1"/>
      <c r="I370" s="1"/>
      <c r="J370" s="1"/>
      <c r="K370" s="1"/>
      <c r="L370" s="1"/>
    </row>
    <row r="371" ht="15.0" customHeight="1">
      <c r="A371" s="93" t="s">
        <v>554</v>
      </c>
      <c r="B371" s="195">
        <v>30.0</v>
      </c>
      <c r="C371" s="78">
        <f t="shared" si="21"/>
        <v>54</v>
      </c>
      <c r="D371" s="900"/>
      <c r="E371" s="249" t="s">
        <v>18</v>
      </c>
      <c r="F371" s="47"/>
      <c r="G371" s="1"/>
      <c r="H371" s="1"/>
      <c r="I371" s="1"/>
      <c r="J371" s="1"/>
      <c r="K371" s="1"/>
      <c r="L371" s="1"/>
    </row>
    <row r="372" ht="15.0" customHeight="1">
      <c r="A372" s="93" t="s">
        <v>427</v>
      </c>
      <c r="B372" s="40">
        <v>200.0</v>
      </c>
      <c r="C372" s="521">
        <f t="shared" si="21"/>
        <v>360</v>
      </c>
      <c r="D372" s="1653"/>
      <c r="E372" s="249" t="s">
        <v>18</v>
      </c>
      <c r="F372" s="47"/>
      <c r="G372" s="1"/>
      <c r="H372" s="1"/>
      <c r="I372" s="1"/>
      <c r="J372" s="1"/>
      <c r="K372" s="1"/>
      <c r="L372" s="1"/>
    </row>
    <row r="373" ht="15.0" customHeight="1">
      <c r="A373" s="93" t="s">
        <v>1027</v>
      </c>
      <c r="B373" s="40">
        <v>100.0</v>
      </c>
      <c r="C373" s="521">
        <f t="shared" si="21"/>
        <v>180</v>
      </c>
      <c r="D373" s="1653"/>
      <c r="E373" s="249" t="s">
        <v>18</v>
      </c>
      <c r="F373" s="47"/>
      <c r="G373" s="1"/>
      <c r="H373" s="1"/>
      <c r="I373" s="1"/>
      <c r="J373" s="1"/>
      <c r="K373" s="1"/>
      <c r="L373" s="1"/>
    </row>
    <row r="374" ht="15.0" customHeight="1">
      <c r="A374" s="93" t="s">
        <v>105</v>
      </c>
      <c r="B374" s="40">
        <v>50.0</v>
      </c>
      <c r="C374" s="521">
        <f t="shared" si="21"/>
        <v>90</v>
      </c>
      <c r="D374" s="1653"/>
      <c r="E374" s="249" t="s">
        <v>18</v>
      </c>
      <c r="F374" s="47"/>
      <c r="G374" s="1"/>
      <c r="H374" s="1"/>
      <c r="I374" s="1"/>
      <c r="J374" s="1"/>
      <c r="K374" s="1"/>
      <c r="L374" s="1"/>
    </row>
    <row r="375" ht="15.0" customHeight="1">
      <c r="A375" s="105" t="s">
        <v>31</v>
      </c>
      <c r="B375" s="200">
        <v>550.0</v>
      </c>
      <c r="C375" s="56">
        <f t="shared" si="21"/>
        <v>990</v>
      </c>
      <c r="D375" s="1604"/>
      <c r="E375" s="518" t="s">
        <v>18</v>
      </c>
      <c r="F375" s="76"/>
      <c r="G375" s="1"/>
      <c r="H375" s="1"/>
      <c r="I375" s="1"/>
      <c r="J375" s="1"/>
      <c r="K375" s="1"/>
      <c r="L375" s="1"/>
    </row>
    <row r="376" ht="15.0" customHeight="1">
      <c r="A376" s="417" t="s">
        <v>80</v>
      </c>
      <c r="B376" s="418">
        <v>0.5</v>
      </c>
      <c r="C376" s="542">
        <f t="shared" si="21"/>
        <v>0.9</v>
      </c>
      <c r="D376" s="1614"/>
      <c r="E376" s="543" t="s">
        <v>14</v>
      </c>
      <c r="F376" s="1866"/>
      <c r="G376" s="1"/>
      <c r="H376" s="1"/>
      <c r="I376" s="1"/>
      <c r="J376" s="1"/>
      <c r="K376" s="1"/>
      <c r="L376" s="1"/>
    </row>
    <row r="377" ht="15.0" customHeight="1">
      <c r="A377" s="138" t="s">
        <v>157</v>
      </c>
      <c r="B377" s="279">
        <v>30.0</v>
      </c>
      <c r="C377" s="146">
        <f t="shared" si="21"/>
        <v>54</v>
      </c>
      <c r="D377" s="1607"/>
      <c r="E377" s="242" t="s">
        <v>5</v>
      </c>
      <c r="F377" s="562"/>
      <c r="G377" s="1"/>
      <c r="H377" s="1"/>
      <c r="I377" s="1"/>
      <c r="J377" s="1"/>
      <c r="K377" s="1"/>
      <c r="L377" s="1"/>
    </row>
    <row r="378" ht="15.0" customHeight="1">
      <c r="A378" s="173" t="s">
        <v>2100</v>
      </c>
      <c r="B378" s="275">
        <v>0.5</v>
      </c>
      <c r="C378" s="179">
        <f t="shared" si="21"/>
        <v>0.9</v>
      </c>
      <c r="D378" s="1689"/>
      <c r="E378" s="547" t="s">
        <v>14</v>
      </c>
      <c r="F378" s="1870"/>
      <c r="G378" s="1"/>
      <c r="H378" s="1"/>
      <c r="I378" s="1"/>
      <c r="J378" s="1"/>
      <c r="K378" s="1"/>
      <c r="L378" s="1"/>
    </row>
    <row r="379" ht="15.0" customHeight="1">
      <c r="A379" s="173" t="s">
        <v>114</v>
      </c>
      <c r="B379" s="275">
        <v>2.0</v>
      </c>
      <c r="C379" s="179">
        <f t="shared" si="21"/>
        <v>3.6</v>
      </c>
      <c r="D379" s="1689"/>
      <c r="E379" s="547" t="s">
        <v>5</v>
      </c>
      <c r="F379" s="1"/>
      <c r="G379" s="1"/>
      <c r="H379" s="1"/>
      <c r="I379" s="1"/>
      <c r="J379" s="1"/>
      <c r="K379" s="1"/>
      <c r="L379" s="1"/>
    </row>
    <row r="380" ht="15.0" customHeight="1">
      <c r="A380" s="1873" t="s">
        <v>119</v>
      </c>
      <c r="B380" s="1874" t="s">
        <v>47</v>
      </c>
      <c r="C380" s="184"/>
      <c r="D380" s="184"/>
      <c r="E380" s="1"/>
      <c r="F380" s="1"/>
      <c r="G380" s="1"/>
      <c r="H380" s="1"/>
      <c r="I380" s="1"/>
      <c r="J380" s="1"/>
      <c r="K380" s="1"/>
      <c r="L380" s="1"/>
    </row>
    <row r="381" ht="15.0" customHeight="1">
      <c r="A381" s="1"/>
      <c r="B381" s="107"/>
      <c r="C381" s="184"/>
      <c r="D381" s="184"/>
      <c r="E381" s="1"/>
      <c r="F381" s="1"/>
      <c r="G381" s="1"/>
      <c r="H381" s="1"/>
      <c r="I381" s="1"/>
      <c r="J381" s="1"/>
      <c r="K381" s="1"/>
      <c r="L381" s="1"/>
    </row>
    <row r="382" ht="15.0" customHeight="1">
      <c r="A382" s="1"/>
      <c r="B382" s="107"/>
      <c r="C382" s="184"/>
      <c r="D382" s="184"/>
      <c r="E382" s="1"/>
      <c r="F382" s="1"/>
      <c r="G382" s="1"/>
      <c r="H382" s="1"/>
      <c r="I382" s="1"/>
      <c r="J382" s="1"/>
      <c r="K382" s="1"/>
      <c r="L382" s="1"/>
    </row>
    <row r="383" ht="15.0" customHeight="1">
      <c r="A383" s="1"/>
      <c r="B383" s="107"/>
      <c r="C383" s="184"/>
      <c r="D383" s="184"/>
      <c r="E383" s="1"/>
      <c r="F383" s="1"/>
      <c r="G383" s="1"/>
      <c r="H383" s="1"/>
      <c r="I383" s="1"/>
      <c r="J383" s="1"/>
      <c r="K383" s="1"/>
      <c r="L383" s="1"/>
    </row>
    <row r="384" ht="15.0" customHeight="1">
      <c r="A384" s="1"/>
      <c r="B384" s="107"/>
      <c r="C384" s="184"/>
      <c r="D384" s="184"/>
      <c r="E384" s="1"/>
      <c r="F384" s="1"/>
      <c r="G384" s="1"/>
      <c r="H384" s="1"/>
      <c r="I384" s="1"/>
      <c r="J384" s="1"/>
      <c r="K384" s="1"/>
      <c r="L384" s="1"/>
    </row>
    <row r="385" ht="15.0" customHeight="1">
      <c r="A385" s="1416" t="s">
        <v>120</v>
      </c>
      <c r="B385" s="1363">
        <v>42030.0</v>
      </c>
      <c r="C385" s="184"/>
      <c r="D385" s="184"/>
      <c r="E385" s="1"/>
      <c r="F385" s="1"/>
      <c r="G385" s="1"/>
      <c r="H385" s="1"/>
      <c r="I385" s="1"/>
      <c r="J385" s="1"/>
      <c r="K385" s="1"/>
      <c r="L385" s="1"/>
    </row>
    <row r="386" ht="15.0" customHeight="1">
      <c r="A386" s="1875" t="s">
        <v>50</v>
      </c>
      <c r="B386" s="1363">
        <v>42517.0</v>
      </c>
      <c r="C386" s="184"/>
      <c r="D386" s="184"/>
      <c r="E386" s="1"/>
      <c r="F386" s="1"/>
      <c r="G386" s="1"/>
      <c r="H386" s="1"/>
      <c r="I386" s="1"/>
      <c r="J386" s="1"/>
      <c r="K386" s="1"/>
      <c r="L386" s="1"/>
    </row>
    <row r="387" ht="15.0" customHeight="1">
      <c r="A387" s="1"/>
      <c r="B387" s="107"/>
      <c r="C387" s="184"/>
      <c r="D387" s="184"/>
      <c r="E387" s="1"/>
      <c r="F387" s="1"/>
      <c r="G387" s="1"/>
      <c r="H387" s="1"/>
      <c r="I387" s="1"/>
      <c r="J387" s="1"/>
      <c r="K387" s="1"/>
      <c r="L387" s="1"/>
    </row>
    <row r="388" ht="15.0" customHeight="1">
      <c r="A388" s="1"/>
      <c r="B388" s="107"/>
      <c r="C388" s="184"/>
      <c r="D388" s="184"/>
      <c r="E388" s="1"/>
      <c r="F388" s="1"/>
      <c r="G388" s="1"/>
      <c r="H388" s="1"/>
      <c r="I388" s="1"/>
      <c r="J388" s="1"/>
      <c r="K388" s="1"/>
      <c r="L388" s="1"/>
    </row>
    <row r="389" ht="15.0" customHeight="1">
      <c r="A389" s="1"/>
      <c r="B389" s="107"/>
      <c r="C389" s="184"/>
      <c r="D389" s="184"/>
      <c r="E389" s="1"/>
      <c r="F389" s="1"/>
      <c r="G389" s="1"/>
      <c r="H389" s="1"/>
      <c r="I389" s="1"/>
      <c r="J389" s="1"/>
      <c r="K389" s="1"/>
      <c r="L389" s="1"/>
    </row>
    <row r="390" ht="15.0" customHeight="1">
      <c r="A390" s="1"/>
      <c r="B390" s="107"/>
      <c r="C390" s="184"/>
      <c r="D390" s="184"/>
      <c r="E390" s="1"/>
      <c r="F390" s="1"/>
      <c r="G390" s="1"/>
      <c r="H390" s="1"/>
      <c r="I390" s="1"/>
      <c r="J390" s="1"/>
      <c r="K390" s="1"/>
      <c r="L390" s="1"/>
    </row>
    <row r="391" ht="15.0" customHeight="1">
      <c r="A391" s="1"/>
      <c r="B391" s="107"/>
      <c r="C391" s="184"/>
      <c r="D391" s="184"/>
      <c r="E391" s="1"/>
      <c r="F391" s="1"/>
      <c r="G391" s="1"/>
      <c r="H391" s="1"/>
      <c r="I391" s="1"/>
      <c r="J391" s="1"/>
      <c r="K391" s="1"/>
      <c r="L391" s="1"/>
    </row>
    <row r="392" ht="15.0" customHeight="1">
      <c r="A392" s="1"/>
      <c r="B392" s="107"/>
      <c r="C392" s="184"/>
      <c r="D392" s="184"/>
      <c r="E392" s="1"/>
      <c r="F392" s="1"/>
      <c r="G392" s="1"/>
      <c r="H392" s="1"/>
      <c r="I392" s="1"/>
      <c r="J392" s="1"/>
      <c r="K392" s="1"/>
      <c r="L392" s="1"/>
    </row>
    <row r="393" ht="15.0" customHeight="1">
      <c r="A393" s="206" t="s">
        <v>2110</v>
      </c>
      <c r="B393" s="5"/>
      <c r="C393" s="5"/>
      <c r="D393" s="5"/>
      <c r="E393" s="6"/>
      <c r="F393" s="1"/>
      <c r="G393" s="1"/>
      <c r="H393" s="1"/>
      <c r="I393" s="1"/>
      <c r="J393" s="1"/>
      <c r="K393" s="1"/>
      <c r="L393" s="1"/>
    </row>
    <row r="394" ht="15.0" customHeight="1">
      <c r="A394" s="51" t="s">
        <v>1</v>
      </c>
      <c r="B394" s="190">
        <v>45.0</v>
      </c>
      <c r="C394" s="1274">
        <v>80.0</v>
      </c>
      <c r="D394" s="1571"/>
      <c r="E394" s="514" t="s">
        <v>5</v>
      </c>
      <c r="F394" s="1"/>
      <c r="G394" s="1"/>
      <c r="H394" s="1"/>
      <c r="I394" s="1"/>
      <c r="J394" s="1"/>
      <c r="K394" s="1"/>
      <c r="L394" s="1"/>
    </row>
    <row r="395" ht="15.0" customHeight="1">
      <c r="A395" s="173" t="s">
        <v>53</v>
      </c>
      <c r="B395" s="275">
        <v>10.0</v>
      </c>
      <c r="C395" s="179">
        <f t="shared" ref="C395:C413" si="22">(B395*C394)/B394</f>
        <v>17.77777778</v>
      </c>
      <c r="D395" s="1689"/>
      <c r="E395" s="547" t="s">
        <v>14</v>
      </c>
      <c r="F395" s="1"/>
      <c r="G395" s="1"/>
      <c r="H395" s="1"/>
      <c r="I395" s="1"/>
      <c r="J395" s="1"/>
      <c r="K395" s="1"/>
      <c r="L395" s="1"/>
    </row>
    <row r="396" ht="15.0" customHeight="1">
      <c r="A396" s="173" t="s">
        <v>60</v>
      </c>
      <c r="B396" s="1155">
        <v>0.5</v>
      </c>
      <c r="C396" s="179">
        <f t="shared" si="22"/>
        <v>0.8888888889</v>
      </c>
      <c r="D396" s="1689"/>
      <c r="E396" s="547" t="s">
        <v>14</v>
      </c>
      <c r="F396" s="269" t="s">
        <v>2085</v>
      </c>
      <c r="G396" s="1"/>
      <c r="H396" s="1"/>
      <c r="I396" s="1"/>
      <c r="J396" s="1"/>
      <c r="K396" s="1"/>
      <c r="L396" s="1"/>
    </row>
    <row r="397" ht="15.0" customHeight="1">
      <c r="A397" s="68" t="s">
        <v>91</v>
      </c>
      <c r="B397" s="145">
        <v>1.5</v>
      </c>
      <c r="C397" s="155">
        <f t="shared" si="22"/>
        <v>2.666666667</v>
      </c>
      <c r="D397" s="899"/>
      <c r="E397" s="216" t="s">
        <v>5</v>
      </c>
      <c r="F397" s="44" t="s">
        <v>2113</v>
      </c>
      <c r="G397" s="1"/>
      <c r="H397" s="1"/>
      <c r="I397" s="1"/>
      <c r="J397" s="1"/>
      <c r="K397" s="1"/>
      <c r="L397" s="1"/>
    </row>
    <row r="398" ht="15.0" customHeight="1">
      <c r="A398" s="93" t="s">
        <v>95</v>
      </c>
      <c r="B398" s="195">
        <v>20.0</v>
      </c>
      <c r="C398" s="521">
        <f t="shared" si="22"/>
        <v>35.55555556</v>
      </c>
      <c r="D398" s="1653"/>
      <c r="E398" s="249" t="s">
        <v>18</v>
      </c>
      <c r="F398" s="47"/>
      <c r="G398" s="1"/>
      <c r="H398" s="1"/>
      <c r="I398" s="1"/>
      <c r="J398" s="1"/>
      <c r="K398" s="1"/>
      <c r="L398" s="1"/>
    </row>
    <row r="399" ht="15.0" customHeight="1">
      <c r="A399" s="93" t="s">
        <v>685</v>
      </c>
      <c r="B399" s="195">
        <v>5.0</v>
      </c>
      <c r="C399" s="521">
        <f t="shared" si="22"/>
        <v>8.888888889</v>
      </c>
      <c r="D399" s="1653"/>
      <c r="E399" s="249" t="s">
        <v>18</v>
      </c>
      <c r="F399" s="47"/>
      <c r="G399" s="1"/>
      <c r="H399" s="1"/>
      <c r="I399" s="1"/>
      <c r="J399" s="1"/>
      <c r="K399" s="1"/>
      <c r="L399" s="1"/>
    </row>
    <row r="400" ht="15.0" customHeight="1">
      <c r="A400" s="93" t="s">
        <v>2088</v>
      </c>
      <c r="B400" s="195">
        <v>15.0</v>
      </c>
      <c r="C400" s="521">
        <f t="shared" si="22"/>
        <v>26.66666667</v>
      </c>
      <c r="D400" s="1653"/>
      <c r="E400" s="249" t="s">
        <v>18</v>
      </c>
      <c r="F400" s="47"/>
      <c r="G400" s="1"/>
      <c r="H400" s="1"/>
      <c r="I400" s="1"/>
      <c r="J400" s="1"/>
      <c r="K400" s="1"/>
      <c r="L400" s="1"/>
    </row>
    <row r="401" ht="15.0" customHeight="1">
      <c r="A401" s="93" t="s">
        <v>96</v>
      </c>
      <c r="B401" s="195">
        <v>10.0</v>
      </c>
      <c r="C401" s="521">
        <f t="shared" si="22"/>
        <v>17.77777778</v>
      </c>
      <c r="D401" s="1653"/>
      <c r="E401" s="249" t="s">
        <v>18</v>
      </c>
      <c r="F401" s="47"/>
      <c r="G401" s="1"/>
      <c r="H401" s="1"/>
      <c r="I401" s="1"/>
      <c r="J401" s="1"/>
      <c r="K401" s="1"/>
      <c r="L401" s="1"/>
    </row>
    <row r="402" ht="15.0" customHeight="1">
      <c r="A402" s="93" t="s">
        <v>97</v>
      </c>
      <c r="B402" s="195">
        <v>75.0</v>
      </c>
      <c r="C402" s="521">
        <f t="shared" si="22"/>
        <v>133.3333333</v>
      </c>
      <c r="D402" s="1653"/>
      <c r="E402" s="249" t="s">
        <v>18</v>
      </c>
      <c r="F402" s="47"/>
      <c r="G402" s="1"/>
      <c r="H402" s="1"/>
      <c r="I402" s="1"/>
      <c r="J402" s="1"/>
      <c r="K402" s="1"/>
      <c r="L402" s="1"/>
    </row>
    <row r="403" ht="15.0" customHeight="1">
      <c r="A403" s="138" t="s">
        <v>103</v>
      </c>
      <c r="B403" s="279">
        <v>30.0</v>
      </c>
      <c r="C403" s="842">
        <f t="shared" si="22"/>
        <v>53.33333333</v>
      </c>
      <c r="D403" s="1655"/>
      <c r="E403" s="242" t="s">
        <v>18</v>
      </c>
      <c r="F403" s="76"/>
      <c r="G403" s="1"/>
      <c r="H403" s="1"/>
      <c r="I403" s="1"/>
      <c r="J403" s="1"/>
      <c r="K403" s="1"/>
      <c r="L403" s="1"/>
    </row>
    <row r="404" ht="15.0" customHeight="1">
      <c r="A404" s="68" t="s">
        <v>52</v>
      </c>
      <c r="B404" s="145">
        <v>25.0</v>
      </c>
      <c r="C404" s="516">
        <f t="shared" si="22"/>
        <v>44.44444444</v>
      </c>
      <c r="D404" s="1652"/>
      <c r="E404" s="216" t="s">
        <v>18</v>
      </c>
      <c r="F404" s="770" t="s">
        <v>348</v>
      </c>
      <c r="G404" s="1"/>
      <c r="H404" s="1"/>
      <c r="I404" s="1"/>
      <c r="J404" s="1"/>
      <c r="K404" s="1"/>
      <c r="L404" s="1"/>
    </row>
    <row r="405" ht="15.0" customHeight="1">
      <c r="A405" s="93" t="s">
        <v>554</v>
      </c>
      <c r="B405" s="195">
        <v>25.0</v>
      </c>
      <c r="C405" s="78">
        <f t="shared" si="22"/>
        <v>44.44444444</v>
      </c>
      <c r="D405" s="900"/>
      <c r="E405" s="249" t="s">
        <v>18</v>
      </c>
      <c r="F405" s="47"/>
      <c r="G405" s="1"/>
      <c r="H405" s="1"/>
      <c r="I405" s="1"/>
      <c r="J405" s="1"/>
      <c r="K405" s="1"/>
      <c r="L405" s="1"/>
    </row>
    <row r="406" ht="15.0" customHeight="1">
      <c r="A406" s="93" t="s">
        <v>427</v>
      </c>
      <c r="B406" s="40">
        <v>150.0</v>
      </c>
      <c r="C406" s="521">
        <f t="shared" si="22"/>
        <v>266.6666667</v>
      </c>
      <c r="D406" s="1653"/>
      <c r="E406" s="249" t="s">
        <v>18</v>
      </c>
      <c r="F406" s="47"/>
      <c r="G406" s="1"/>
      <c r="H406" s="1"/>
      <c r="I406" s="1"/>
      <c r="J406" s="1"/>
      <c r="K406" s="1"/>
      <c r="L406" s="1"/>
    </row>
    <row r="407" ht="15.0" customHeight="1">
      <c r="A407" s="93" t="s">
        <v>1027</v>
      </c>
      <c r="B407" s="40">
        <v>100.0</v>
      </c>
      <c r="C407" s="521">
        <f t="shared" si="22"/>
        <v>177.7777778</v>
      </c>
      <c r="D407" s="1653"/>
      <c r="E407" s="249" t="s">
        <v>18</v>
      </c>
      <c r="F407" s="47"/>
      <c r="G407" s="1"/>
      <c r="H407" s="1"/>
      <c r="I407" s="1"/>
      <c r="J407" s="1"/>
      <c r="K407" s="1"/>
      <c r="L407" s="1"/>
    </row>
    <row r="408" ht="15.0" customHeight="1">
      <c r="A408" s="93" t="s">
        <v>105</v>
      </c>
      <c r="B408" s="40">
        <v>50.0</v>
      </c>
      <c r="C408" s="521">
        <f t="shared" si="22"/>
        <v>88.88888889</v>
      </c>
      <c r="D408" s="1653"/>
      <c r="E408" s="249" t="s">
        <v>18</v>
      </c>
      <c r="F408" s="47"/>
      <c r="G408" s="1"/>
      <c r="H408" s="1"/>
      <c r="I408" s="1"/>
      <c r="J408" s="1"/>
      <c r="K408" s="1"/>
      <c r="L408" s="1"/>
    </row>
    <row r="409" ht="15.0" customHeight="1">
      <c r="A409" s="105" t="s">
        <v>31</v>
      </c>
      <c r="B409" s="200">
        <v>475.0</v>
      </c>
      <c r="C409" s="56">
        <f t="shared" si="22"/>
        <v>844.4444444</v>
      </c>
      <c r="D409" s="1604"/>
      <c r="E409" s="518" t="s">
        <v>18</v>
      </c>
      <c r="F409" s="76"/>
      <c r="G409" s="1"/>
      <c r="H409" s="1"/>
      <c r="I409" s="1"/>
      <c r="J409" s="1"/>
      <c r="K409" s="1"/>
      <c r="L409" s="1"/>
    </row>
    <row r="410" ht="15.0" customHeight="1">
      <c r="A410" s="417" t="s">
        <v>80</v>
      </c>
      <c r="B410" s="418">
        <v>0.5</v>
      </c>
      <c r="C410" s="542">
        <f t="shared" si="22"/>
        <v>0.8888888889</v>
      </c>
      <c r="D410" s="1614"/>
      <c r="E410" s="543" t="s">
        <v>14</v>
      </c>
      <c r="F410" s="1"/>
      <c r="G410" s="1"/>
      <c r="H410" s="1"/>
      <c r="I410" s="1"/>
      <c r="J410" s="1"/>
      <c r="K410" s="1"/>
      <c r="L410" s="1"/>
    </row>
    <row r="411" ht="15.0" customHeight="1">
      <c r="A411" s="105" t="s">
        <v>59</v>
      </c>
      <c r="B411" s="200">
        <v>35.0</v>
      </c>
      <c r="C411" s="56">
        <f t="shared" si="22"/>
        <v>62.22222222</v>
      </c>
      <c r="D411" s="1604"/>
      <c r="E411" s="518" t="s">
        <v>5</v>
      </c>
      <c r="F411" s="1"/>
      <c r="G411" s="1"/>
      <c r="H411" s="1"/>
      <c r="I411" s="1"/>
      <c r="J411" s="1"/>
      <c r="K411" s="1"/>
      <c r="L411" s="1"/>
    </row>
    <row r="412" ht="15.0" customHeight="1">
      <c r="A412" s="173" t="s">
        <v>2100</v>
      </c>
      <c r="B412" s="275">
        <v>0.5</v>
      </c>
      <c r="C412" s="179">
        <f t="shared" si="22"/>
        <v>0.8888888889</v>
      </c>
      <c r="D412" s="1689"/>
      <c r="E412" s="547" t="s">
        <v>14</v>
      </c>
      <c r="F412" s="1"/>
      <c r="G412" s="1"/>
      <c r="H412" s="1"/>
      <c r="I412" s="1"/>
      <c r="J412" s="1"/>
      <c r="K412" s="1"/>
      <c r="L412" s="1"/>
    </row>
    <row r="413" ht="15.0" customHeight="1">
      <c r="A413" s="173" t="s">
        <v>114</v>
      </c>
      <c r="B413" s="275">
        <v>2.0</v>
      </c>
      <c r="C413" s="179">
        <f t="shared" si="22"/>
        <v>3.555555556</v>
      </c>
      <c r="D413" s="1689"/>
      <c r="E413" s="547" t="s">
        <v>5</v>
      </c>
      <c r="F413" s="1"/>
      <c r="G413" s="1"/>
      <c r="H413" s="1"/>
      <c r="I413" s="1"/>
      <c r="J413" s="1"/>
      <c r="K413" s="1"/>
      <c r="L413" s="1"/>
    </row>
    <row r="414" ht="15.0" customHeight="1">
      <c r="A414" s="1873" t="s">
        <v>119</v>
      </c>
      <c r="B414" s="1874" t="s">
        <v>47</v>
      </c>
      <c r="C414" s="184"/>
      <c r="D414" s="184"/>
      <c r="E414" s="1"/>
      <c r="F414" s="1"/>
      <c r="G414" s="1"/>
      <c r="H414" s="1"/>
      <c r="I414" s="1"/>
      <c r="J414" s="1"/>
      <c r="K414" s="1"/>
      <c r="L414" s="1"/>
    </row>
    <row r="415" ht="15.0" customHeight="1">
      <c r="A415" s="1416" t="s">
        <v>120</v>
      </c>
      <c r="B415" s="1363">
        <v>40821.0</v>
      </c>
      <c r="C415" s="184"/>
      <c r="D415" s="184"/>
      <c r="E415" s="1"/>
      <c r="F415" s="1"/>
      <c r="G415" s="1"/>
      <c r="H415" s="1"/>
      <c r="I415" s="1"/>
      <c r="J415" s="1"/>
      <c r="K415" s="1"/>
      <c r="L415" s="1"/>
    </row>
    <row r="416" ht="15.0" customHeight="1">
      <c r="A416" s="1875" t="s">
        <v>50</v>
      </c>
      <c r="B416" s="1363">
        <v>41476.0</v>
      </c>
      <c r="C416" s="184"/>
      <c r="D416" s="184"/>
      <c r="E416" s="1"/>
      <c r="F416" s="1"/>
      <c r="G416" s="1"/>
      <c r="H416" s="1"/>
      <c r="I416" s="1"/>
      <c r="J416" s="1"/>
      <c r="K416" s="1"/>
      <c r="L416" s="1"/>
    </row>
    <row r="417" ht="15.0" customHeight="1">
      <c r="A417" s="1"/>
      <c r="B417" s="107"/>
      <c r="C417" s="184"/>
      <c r="D417" s="184"/>
      <c r="E417" s="1"/>
      <c r="F417" s="1"/>
      <c r="G417" s="1"/>
      <c r="H417" s="1"/>
      <c r="I417" s="1"/>
      <c r="J417" s="1"/>
      <c r="K417" s="1"/>
      <c r="L417" s="1"/>
    </row>
    <row r="418" ht="15.0" customHeight="1">
      <c r="A418" s="206" t="s">
        <v>2125</v>
      </c>
      <c r="B418" s="5"/>
      <c r="C418" s="5"/>
      <c r="D418" s="5"/>
      <c r="E418" s="6"/>
      <c r="F418" s="1856"/>
      <c r="G418" s="1"/>
      <c r="H418" s="1"/>
      <c r="I418" s="1"/>
      <c r="J418" s="1"/>
      <c r="K418" s="1"/>
      <c r="L418" s="1"/>
    </row>
    <row r="419" ht="15.0" customHeight="1">
      <c r="A419" s="68" t="s">
        <v>1</v>
      </c>
      <c r="B419" s="145">
        <v>55.0</v>
      </c>
      <c r="C419" s="155">
        <v>140.0</v>
      </c>
      <c r="D419" s="899"/>
      <c r="E419" s="216" t="s">
        <v>5</v>
      </c>
      <c r="F419" s="47"/>
      <c r="G419" s="1"/>
      <c r="H419" s="1"/>
      <c r="I419" s="1"/>
      <c r="J419" s="1"/>
      <c r="K419" s="1"/>
      <c r="L419" s="1"/>
    </row>
    <row r="420" ht="15.0" customHeight="1">
      <c r="A420" s="68" t="s">
        <v>53</v>
      </c>
      <c r="B420" s="145">
        <v>10.0</v>
      </c>
      <c r="C420" s="155">
        <f t="shared" ref="C420:C441" si="23">(B420*C419)/B419</f>
        <v>25.45454545</v>
      </c>
      <c r="D420" s="899"/>
      <c r="E420" s="216" t="s">
        <v>14</v>
      </c>
      <c r="F420" s="76"/>
      <c r="G420" s="1"/>
      <c r="H420" s="1"/>
      <c r="I420" s="1"/>
      <c r="J420" s="1"/>
      <c r="K420" s="1"/>
      <c r="L420" s="1"/>
    </row>
    <row r="421" ht="15.0" customHeight="1">
      <c r="A421" s="105" t="s">
        <v>60</v>
      </c>
      <c r="B421" s="1155">
        <v>0.5</v>
      </c>
      <c r="C421" s="179">
        <f t="shared" si="23"/>
        <v>1.272727273</v>
      </c>
      <c r="D421" s="1689"/>
      <c r="E421" s="547" t="s">
        <v>14</v>
      </c>
      <c r="F421" s="269" t="s">
        <v>2085</v>
      </c>
      <c r="G421" s="1"/>
      <c r="H421" s="1"/>
      <c r="I421" s="1"/>
      <c r="J421" s="1"/>
      <c r="K421" s="1"/>
      <c r="L421" s="1"/>
    </row>
    <row r="422" ht="15.0" customHeight="1">
      <c r="A422" s="119" t="s">
        <v>91</v>
      </c>
      <c r="B422" s="145">
        <v>1.5</v>
      </c>
      <c r="C422" s="155">
        <f t="shared" si="23"/>
        <v>3.818181818</v>
      </c>
      <c r="D422" s="899"/>
      <c r="E422" s="216" t="s">
        <v>5</v>
      </c>
      <c r="F422" s="44" t="s">
        <v>2086</v>
      </c>
      <c r="G422" s="1"/>
      <c r="H422" s="1"/>
      <c r="I422" s="1"/>
      <c r="J422" s="1"/>
      <c r="K422" s="1"/>
      <c r="L422" s="1"/>
    </row>
    <row r="423" ht="15.0" customHeight="1">
      <c r="A423" s="93" t="s">
        <v>95</v>
      </c>
      <c r="B423" s="195">
        <v>20.0</v>
      </c>
      <c r="C423" s="521">
        <f t="shared" si="23"/>
        <v>50.90909091</v>
      </c>
      <c r="D423" s="1653"/>
      <c r="E423" s="249" t="s">
        <v>18</v>
      </c>
      <c r="F423" s="47"/>
      <c r="G423" s="1"/>
      <c r="H423" s="1"/>
      <c r="I423" s="1"/>
      <c r="J423" s="1"/>
      <c r="K423" s="1"/>
      <c r="L423" s="1"/>
    </row>
    <row r="424" ht="15.0" customHeight="1">
      <c r="A424" s="93" t="s">
        <v>685</v>
      </c>
      <c r="B424" s="195">
        <v>5.0</v>
      </c>
      <c r="C424" s="521">
        <f t="shared" si="23"/>
        <v>12.72727273</v>
      </c>
      <c r="D424" s="1653"/>
      <c r="E424" s="249" t="s">
        <v>18</v>
      </c>
      <c r="F424" s="47"/>
      <c r="G424" s="1"/>
      <c r="H424" s="1"/>
      <c r="I424" s="1"/>
      <c r="J424" s="1"/>
      <c r="K424" s="1"/>
      <c r="L424" s="1"/>
    </row>
    <row r="425" ht="15.0" customHeight="1">
      <c r="A425" s="93" t="s">
        <v>2088</v>
      </c>
      <c r="B425" s="195">
        <v>15.0</v>
      </c>
      <c r="C425" s="521">
        <f t="shared" si="23"/>
        <v>38.18181818</v>
      </c>
      <c r="D425" s="1653"/>
      <c r="E425" s="249" t="s">
        <v>18</v>
      </c>
      <c r="F425" s="47"/>
      <c r="G425" s="1"/>
      <c r="H425" s="1"/>
      <c r="I425" s="1"/>
      <c r="J425" s="1"/>
      <c r="K425" s="1"/>
      <c r="L425" s="1"/>
    </row>
    <row r="426" ht="15.0" customHeight="1">
      <c r="A426" s="93" t="s">
        <v>96</v>
      </c>
      <c r="B426" s="195">
        <v>10.0</v>
      </c>
      <c r="C426" s="521">
        <f t="shared" si="23"/>
        <v>25.45454545</v>
      </c>
      <c r="D426" s="1653"/>
      <c r="E426" s="249" t="s">
        <v>18</v>
      </c>
      <c r="F426" s="47"/>
      <c r="G426" s="1"/>
      <c r="H426" s="1"/>
      <c r="I426" s="1"/>
      <c r="J426" s="1"/>
      <c r="K426" s="1"/>
      <c r="L426" s="1"/>
    </row>
    <row r="427" ht="15.0" customHeight="1">
      <c r="A427" s="93" t="s">
        <v>97</v>
      </c>
      <c r="B427" s="195">
        <v>75.0</v>
      </c>
      <c r="C427" s="521">
        <f t="shared" si="23"/>
        <v>190.9090909</v>
      </c>
      <c r="D427" s="1653"/>
      <c r="E427" s="249" t="s">
        <v>18</v>
      </c>
      <c r="F427" s="47"/>
      <c r="G427" s="1"/>
      <c r="H427" s="1"/>
      <c r="I427" s="1"/>
      <c r="J427" s="1"/>
      <c r="K427" s="1"/>
      <c r="L427" s="1"/>
    </row>
    <row r="428" ht="15.0" customHeight="1">
      <c r="A428" s="138" t="s">
        <v>103</v>
      </c>
      <c r="B428" s="279">
        <v>30.0</v>
      </c>
      <c r="C428" s="842">
        <f t="shared" si="23"/>
        <v>76.36363636</v>
      </c>
      <c r="D428" s="1655"/>
      <c r="E428" s="242" t="s">
        <v>18</v>
      </c>
      <c r="F428" s="76"/>
      <c r="G428" s="1"/>
      <c r="H428" s="1"/>
      <c r="I428" s="1"/>
      <c r="J428" s="1"/>
      <c r="K428" s="1"/>
      <c r="L428" s="1"/>
    </row>
    <row r="429" ht="15.0" customHeight="1">
      <c r="A429" s="68" t="s">
        <v>1844</v>
      </c>
      <c r="B429" s="145">
        <v>7.5</v>
      </c>
      <c r="C429" s="155">
        <f t="shared" si="23"/>
        <v>19.09090909</v>
      </c>
      <c r="D429" s="899"/>
      <c r="E429" s="216" t="s">
        <v>14</v>
      </c>
      <c r="F429" s="1"/>
      <c r="G429" s="1"/>
      <c r="H429" s="1"/>
      <c r="I429" s="1"/>
      <c r="J429" s="1"/>
      <c r="K429" s="1"/>
      <c r="L429" s="1"/>
    </row>
    <row r="430" ht="15.0" customHeight="1">
      <c r="A430" s="93" t="s">
        <v>1411</v>
      </c>
      <c r="B430" s="195">
        <v>7.5</v>
      </c>
      <c r="C430" s="78">
        <f t="shared" si="23"/>
        <v>19.09090909</v>
      </c>
      <c r="D430" s="900"/>
      <c r="E430" s="249" t="s">
        <v>14</v>
      </c>
      <c r="F430" s="1"/>
      <c r="G430" s="1"/>
      <c r="H430" s="1"/>
      <c r="I430" s="1"/>
      <c r="J430" s="1"/>
      <c r="K430" s="1"/>
      <c r="L430" s="1"/>
    </row>
    <row r="431" ht="15.0" customHeight="1">
      <c r="A431" s="105" t="s">
        <v>31</v>
      </c>
      <c r="B431" s="200">
        <v>180.0</v>
      </c>
      <c r="C431" s="56">
        <f t="shared" si="23"/>
        <v>458.1818182</v>
      </c>
      <c r="D431" s="1604"/>
      <c r="E431" s="518" t="s">
        <v>18</v>
      </c>
      <c r="F431" s="1"/>
      <c r="G431" s="1"/>
      <c r="H431" s="1"/>
      <c r="I431" s="1"/>
      <c r="J431" s="1"/>
      <c r="K431" s="1"/>
      <c r="L431" s="1"/>
    </row>
    <row r="432" ht="15.0" customHeight="1">
      <c r="A432" s="119" t="s">
        <v>52</v>
      </c>
      <c r="B432" s="238">
        <v>25.0</v>
      </c>
      <c r="C432" s="519">
        <f t="shared" si="23"/>
        <v>63.63636364</v>
      </c>
      <c r="D432" s="1657"/>
      <c r="E432" s="520" t="s">
        <v>18</v>
      </c>
      <c r="F432" s="770" t="s">
        <v>348</v>
      </c>
      <c r="G432" s="1"/>
      <c r="H432" s="1"/>
      <c r="I432" s="1"/>
      <c r="J432" s="1"/>
      <c r="K432" s="1"/>
      <c r="L432" s="1"/>
    </row>
    <row r="433" ht="15.0" customHeight="1">
      <c r="A433" s="93" t="s">
        <v>554</v>
      </c>
      <c r="B433" s="195">
        <v>30.0</v>
      </c>
      <c r="C433" s="78">
        <f t="shared" si="23"/>
        <v>76.36363636</v>
      </c>
      <c r="D433" s="900"/>
      <c r="E433" s="249" t="s">
        <v>18</v>
      </c>
      <c r="F433" s="47"/>
      <c r="G433" s="1"/>
      <c r="H433" s="1"/>
      <c r="I433" s="1"/>
      <c r="J433" s="1"/>
      <c r="K433" s="1"/>
      <c r="L433" s="1"/>
    </row>
    <row r="434" ht="15.0" customHeight="1">
      <c r="A434" s="93" t="s">
        <v>427</v>
      </c>
      <c r="B434" s="40">
        <v>200.0</v>
      </c>
      <c r="C434" s="521">
        <f t="shared" si="23"/>
        <v>509.0909091</v>
      </c>
      <c r="D434" s="1653"/>
      <c r="E434" s="249" t="s">
        <v>18</v>
      </c>
      <c r="F434" s="47"/>
      <c r="G434" s="1"/>
      <c r="H434" s="1"/>
      <c r="I434" s="1"/>
      <c r="J434" s="1"/>
      <c r="K434" s="1"/>
      <c r="L434" s="1"/>
    </row>
    <row r="435" ht="15.0" customHeight="1">
      <c r="A435" s="93" t="s">
        <v>1027</v>
      </c>
      <c r="B435" s="40">
        <v>100.0</v>
      </c>
      <c r="C435" s="521">
        <f t="shared" si="23"/>
        <v>254.5454545</v>
      </c>
      <c r="D435" s="1653"/>
      <c r="E435" s="249" t="s">
        <v>18</v>
      </c>
      <c r="F435" s="47"/>
      <c r="G435" s="1"/>
      <c r="H435" s="1"/>
      <c r="I435" s="1"/>
      <c r="J435" s="1"/>
      <c r="K435" s="1"/>
      <c r="L435" s="1"/>
    </row>
    <row r="436" ht="15.0" customHeight="1">
      <c r="A436" s="93" t="s">
        <v>105</v>
      </c>
      <c r="B436" s="40">
        <v>50.0</v>
      </c>
      <c r="C436" s="521">
        <f t="shared" si="23"/>
        <v>127.2727273</v>
      </c>
      <c r="D436" s="1653"/>
      <c r="E436" s="249" t="s">
        <v>18</v>
      </c>
      <c r="F436" s="47"/>
      <c r="G436" s="1"/>
      <c r="H436" s="1"/>
      <c r="I436" s="1"/>
      <c r="J436" s="1"/>
      <c r="K436" s="1"/>
      <c r="L436" s="1"/>
    </row>
    <row r="437" ht="15.0" customHeight="1">
      <c r="A437" s="105" t="s">
        <v>31</v>
      </c>
      <c r="B437" s="200">
        <v>500.0</v>
      </c>
      <c r="C437" s="56">
        <f t="shared" si="23"/>
        <v>1272.727273</v>
      </c>
      <c r="D437" s="1604"/>
      <c r="E437" s="518" t="s">
        <v>18</v>
      </c>
      <c r="F437" s="76"/>
      <c r="G437" s="1"/>
      <c r="H437" s="1"/>
      <c r="I437" s="1"/>
      <c r="J437" s="1"/>
      <c r="K437" s="1"/>
      <c r="L437" s="1"/>
    </row>
    <row r="438" ht="15.0" customHeight="1">
      <c r="A438" s="417" t="s">
        <v>80</v>
      </c>
      <c r="B438" s="418">
        <v>0.5</v>
      </c>
      <c r="C438" s="542">
        <f t="shared" si="23"/>
        <v>1.272727273</v>
      </c>
      <c r="D438" s="1614"/>
      <c r="E438" s="543" t="s">
        <v>14</v>
      </c>
      <c r="F438" s="1866"/>
      <c r="G438" s="1"/>
      <c r="H438" s="1"/>
      <c r="I438" s="1"/>
      <c r="J438" s="1"/>
      <c r="K438" s="1"/>
      <c r="L438" s="1"/>
    </row>
    <row r="439" ht="15.0" customHeight="1">
      <c r="A439" s="138" t="s">
        <v>157</v>
      </c>
      <c r="B439" s="200">
        <v>30.0</v>
      </c>
      <c r="C439" s="56">
        <f t="shared" si="23"/>
        <v>76.36363636</v>
      </c>
      <c r="D439" s="1604"/>
      <c r="E439" s="518" t="s">
        <v>5</v>
      </c>
      <c r="F439" s="562"/>
      <c r="G439" s="1"/>
      <c r="H439" s="1"/>
      <c r="I439" s="1"/>
      <c r="J439" s="1"/>
      <c r="K439" s="1"/>
      <c r="L439" s="1"/>
    </row>
    <row r="440" ht="15.0" customHeight="1">
      <c r="A440" s="173" t="s">
        <v>2100</v>
      </c>
      <c r="B440" s="275">
        <v>0.5</v>
      </c>
      <c r="C440" s="179">
        <f t="shared" si="23"/>
        <v>1.272727273</v>
      </c>
      <c r="D440" s="1689"/>
      <c r="E440" s="547" t="s">
        <v>14</v>
      </c>
      <c r="F440" s="1870"/>
      <c r="G440" s="1"/>
      <c r="H440" s="1"/>
      <c r="I440" s="1"/>
      <c r="J440" s="1"/>
      <c r="K440" s="1"/>
      <c r="L440" s="1"/>
    </row>
    <row r="441" ht="15.0" customHeight="1">
      <c r="A441" s="173" t="s">
        <v>114</v>
      </c>
      <c r="B441" s="275">
        <v>2.0</v>
      </c>
      <c r="C441" s="179">
        <f t="shared" si="23"/>
        <v>5.090909091</v>
      </c>
      <c r="D441" s="1689"/>
      <c r="E441" s="547" t="s">
        <v>5</v>
      </c>
      <c r="F441" s="1"/>
      <c r="G441" s="1"/>
      <c r="H441" s="1"/>
      <c r="I441" s="1"/>
      <c r="J441" s="1"/>
      <c r="K441" s="1"/>
      <c r="L441" s="1"/>
    </row>
    <row r="442" ht="15.0" customHeight="1">
      <c r="A442" s="1873" t="s">
        <v>119</v>
      </c>
      <c r="B442" s="1874" t="s">
        <v>47</v>
      </c>
      <c r="C442" s="184"/>
      <c r="D442" s="184"/>
      <c r="E442" s="1"/>
      <c r="F442" s="1"/>
      <c r="G442" s="1"/>
      <c r="H442" s="1"/>
      <c r="I442" s="1"/>
      <c r="J442" s="1"/>
      <c r="K442" s="1"/>
      <c r="L442" s="1"/>
    </row>
    <row r="443" ht="15.0" customHeight="1">
      <c r="A443" s="1416" t="s">
        <v>120</v>
      </c>
      <c r="B443" s="1363">
        <v>40821.0</v>
      </c>
      <c r="C443" s="184"/>
      <c r="D443" s="184"/>
      <c r="E443" s="1"/>
      <c r="F443" s="1"/>
      <c r="G443" s="1"/>
      <c r="H443" s="1"/>
      <c r="I443" s="1"/>
      <c r="J443" s="1"/>
      <c r="K443" s="1"/>
      <c r="L443" s="1"/>
    </row>
    <row r="444" ht="15.0" customHeight="1">
      <c r="A444" s="1875" t="s">
        <v>50</v>
      </c>
      <c r="B444" s="1363">
        <v>41699.0</v>
      </c>
      <c r="C444" s="184"/>
      <c r="D444" s="184"/>
      <c r="E444" s="1"/>
      <c r="F444" s="1"/>
      <c r="G444" s="1"/>
      <c r="H444" s="1"/>
      <c r="I444" s="1"/>
      <c r="J444" s="1"/>
      <c r="K444" s="1"/>
      <c r="L444" s="1"/>
    </row>
    <row r="445" ht="15.0" customHeight="1">
      <c r="A445" s="1"/>
      <c r="B445" s="107"/>
      <c r="C445" s="184"/>
      <c r="D445" s="184"/>
      <c r="E445" s="1"/>
      <c r="F445" s="1"/>
      <c r="G445" s="1"/>
      <c r="H445" s="1"/>
      <c r="I445" s="1"/>
      <c r="J445" s="1"/>
      <c r="K445" s="1"/>
      <c r="L445" s="1"/>
    </row>
    <row r="446" ht="15.0" customHeight="1">
      <c r="A446" s="209" t="s">
        <v>956</v>
      </c>
      <c r="B446" s="18"/>
      <c r="C446" s="18"/>
      <c r="D446" s="18"/>
      <c r="E446" s="19"/>
      <c r="F446" s="1"/>
      <c r="G446" s="1"/>
      <c r="H446" s="1"/>
      <c r="I446" s="1"/>
      <c r="J446" s="1"/>
      <c r="K446" s="1"/>
      <c r="L446" s="1"/>
    </row>
    <row r="447" ht="15.0" customHeight="1">
      <c r="A447" s="977" t="s">
        <v>1</v>
      </c>
      <c r="B447" s="1894">
        <v>40.0</v>
      </c>
      <c r="C447" s="1899">
        <v>65.0</v>
      </c>
      <c r="D447" s="1901"/>
      <c r="E447" s="979" t="s">
        <v>5</v>
      </c>
      <c r="F447" s="1"/>
      <c r="G447" s="1"/>
      <c r="H447" s="1"/>
      <c r="I447" s="1"/>
      <c r="J447" s="1"/>
      <c r="K447" s="1"/>
      <c r="L447" s="1"/>
    </row>
    <row r="448" ht="15.0" customHeight="1">
      <c r="A448" s="93" t="s">
        <v>53</v>
      </c>
      <c r="B448" s="195">
        <v>10.0</v>
      </c>
      <c r="C448" s="78">
        <f t="shared" ref="C448:C451" si="24">(B448*C447)/B447</f>
        <v>16.25</v>
      </c>
      <c r="D448" s="900"/>
      <c r="E448" s="249" t="s">
        <v>14</v>
      </c>
      <c r="F448" s="1"/>
      <c r="G448" s="1"/>
      <c r="H448" s="1"/>
      <c r="I448" s="1"/>
      <c r="J448" s="1"/>
      <c r="K448" s="1"/>
      <c r="L448" s="1"/>
    </row>
    <row r="449" ht="15.0" customHeight="1">
      <c r="A449" s="93" t="s">
        <v>31</v>
      </c>
      <c r="B449" s="195">
        <v>200.0</v>
      </c>
      <c r="C449" s="78">
        <f t="shared" si="24"/>
        <v>325</v>
      </c>
      <c r="D449" s="900"/>
      <c r="E449" s="249" t="s">
        <v>18</v>
      </c>
      <c r="F449" s="1"/>
      <c r="G449" s="1"/>
      <c r="H449" s="1"/>
      <c r="I449" s="1"/>
      <c r="J449" s="1"/>
      <c r="K449" s="1"/>
      <c r="L449" s="1"/>
    </row>
    <row r="450" ht="15.0" customHeight="1">
      <c r="A450" s="93" t="s">
        <v>2156</v>
      </c>
      <c r="B450" s="195">
        <v>250.0</v>
      </c>
      <c r="C450" s="78">
        <f t="shared" si="24"/>
        <v>406.25</v>
      </c>
      <c r="D450" s="900"/>
      <c r="E450" s="249" t="s">
        <v>82</v>
      </c>
      <c r="F450" s="1"/>
      <c r="G450" s="1"/>
      <c r="H450" s="1"/>
      <c r="I450" s="1"/>
      <c r="J450" s="1"/>
      <c r="K450" s="1"/>
      <c r="L450" s="1"/>
    </row>
    <row r="451" ht="15.0" customHeight="1">
      <c r="A451" s="105" t="s">
        <v>59</v>
      </c>
      <c r="B451" s="200">
        <v>25.0</v>
      </c>
      <c r="C451" s="56">
        <f t="shared" si="24"/>
        <v>40.625</v>
      </c>
      <c r="D451" s="1604"/>
      <c r="E451" s="518" t="s">
        <v>5</v>
      </c>
      <c r="F451" s="1"/>
      <c r="G451" s="1"/>
      <c r="H451" s="1"/>
      <c r="I451" s="1"/>
      <c r="J451" s="1"/>
      <c r="K451" s="1"/>
      <c r="L451" s="1"/>
    </row>
    <row r="452" ht="15.0" customHeight="1">
      <c r="A452" s="1640" t="s">
        <v>119</v>
      </c>
      <c r="B452" s="1641" t="s">
        <v>47</v>
      </c>
      <c r="C452" s="184"/>
      <c r="D452" s="184"/>
      <c r="E452" s="1"/>
      <c r="F452" s="1"/>
      <c r="G452" s="1"/>
      <c r="H452" s="1"/>
      <c r="I452" s="1"/>
      <c r="J452" s="1"/>
      <c r="K452" s="1"/>
      <c r="L452" s="1"/>
    </row>
    <row r="453" ht="15.0" customHeight="1">
      <c r="A453" s="90" t="s">
        <v>120</v>
      </c>
      <c r="B453" s="187">
        <v>40820.0</v>
      </c>
      <c r="C453" s="184"/>
      <c r="D453" s="184"/>
      <c r="E453" s="1"/>
      <c r="F453" s="1"/>
      <c r="G453" s="1"/>
      <c r="H453" s="1"/>
      <c r="I453" s="1"/>
      <c r="J453" s="1"/>
      <c r="K453" s="1"/>
      <c r="L453" s="1"/>
    </row>
    <row r="454" ht="15.0" customHeight="1">
      <c r="A454" s="305" t="s">
        <v>50</v>
      </c>
      <c r="B454" s="1904">
        <v>40821.0</v>
      </c>
      <c r="C454" s="184"/>
      <c r="D454" s="184"/>
      <c r="E454" s="1"/>
      <c r="F454" s="1"/>
      <c r="G454" s="1"/>
      <c r="H454" s="1"/>
      <c r="I454" s="1"/>
      <c r="J454" s="1"/>
      <c r="K454" s="1"/>
      <c r="L454" s="1"/>
    </row>
    <row r="455" ht="15.0" customHeight="1">
      <c r="A455" s="1"/>
      <c r="B455" s="107"/>
      <c r="C455" s="184"/>
      <c r="D455" s="184"/>
      <c r="E455" s="1"/>
      <c r="F455" s="1"/>
      <c r="G455" s="1"/>
      <c r="H455" s="1"/>
      <c r="I455" s="1"/>
      <c r="J455" s="1"/>
      <c r="K455" s="1"/>
      <c r="L455" s="1"/>
    </row>
    <row r="456" ht="15.0" customHeight="1">
      <c r="A456" s="209" t="s">
        <v>968</v>
      </c>
      <c r="B456" s="18"/>
      <c r="C456" s="18"/>
      <c r="D456" s="18"/>
      <c r="E456" s="19"/>
      <c r="F456" s="284"/>
      <c r="G456" s="1"/>
      <c r="H456" s="1"/>
      <c r="I456" s="1"/>
      <c r="J456" s="1"/>
      <c r="K456" s="1"/>
      <c r="L456" s="1"/>
    </row>
    <row r="457" ht="15.0" customHeight="1">
      <c r="A457" s="1769" t="s">
        <v>1</v>
      </c>
      <c r="B457" s="1771">
        <v>50.0</v>
      </c>
      <c r="C457" s="1772">
        <v>800.0</v>
      </c>
      <c r="D457" s="1773"/>
      <c r="E457" s="1774" t="s">
        <v>5</v>
      </c>
      <c r="F457" s="284"/>
      <c r="G457" s="1"/>
      <c r="H457" s="1"/>
      <c r="I457" s="1"/>
      <c r="J457" s="1"/>
      <c r="K457" s="1"/>
      <c r="L457" s="1"/>
    </row>
    <row r="458" ht="15.0" customHeight="1">
      <c r="A458" s="51" t="s">
        <v>53</v>
      </c>
      <c r="B458" s="190">
        <v>10.0</v>
      </c>
      <c r="C458" s="146">
        <f t="shared" ref="C458:C481" si="25">(B458*C457)/B457</f>
        <v>160</v>
      </c>
      <c r="D458" s="1614"/>
      <c r="E458" s="514" t="s">
        <v>14</v>
      </c>
      <c r="F458" s="284"/>
      <c r="G458" s="1"/>
      <c r="H458" s="1"/>
      <c r="I458" s="1"/>
      <c r="J458" s="1"/>
      <c r="K458" s="1"/>
      <c r="L458" s="1"/>
    </row>
    <row r="459" ht="15.0" customHeight="1">
      <c r="A459" s="51" t="s">
        <v>91</v>
      </c>
      <c r="B459" s="190">
        <v>2.5</v>
      </c>
      <c r="C459" s="513">
        <f t="shared" si="25"/>
        <v>40</v>
      </c>
      <c r="D459" s="1576"/>
      <c r="E459" s="514" t="s">
        <v>5</v>
      </c>
      <c r="F459" s="44" t="s">
        <v>2166</v>
      </c>
      <c r="G459" s="1"/>
      <c r="H459" s="1"/>
      <c r="I459" s="1"/>
      <c r="J459" s="1"/>
      <c r="K459" s="1"/>
      <c r="L459" s="1"/>
    </row>
    <row r="460" ht="15.0" customHeight="1">
      <c r="A460" s="93" t="s">
        <v>1176</v>
      </c>
      <c r="B460" s="1213">
        <v>25.0</v>
      </c>
      <c r="C460" s="78">
        <f t="shared" si="25"/>
        <v>400</v>
      </c>
      <c r="D460" s="900"/>
      <c r="E460" s="249" t="s">
        <v>18</v>
      </c>
      <c r="F460" s="47"/>
      <c r="G460" s="1"/>
      <c r="H460" s="1"/>
      <c r="I460" s="1"/>
      <c r="J460" s="1"/>
      <c r="K460" s="1"/>
      <c r="L460" s="1"/>
    </row>
    <row r="461" ht="15.0" customHeight="1">
      <c r="A461" s="93" t="s">
        <v>95</v>
      </c>
      <c r="B461" s="1213">
        <v>25.0</v>
      </c>
      <c r="C461" s="78">
        <f t="shared" si="25"/>
        <v>400</v>
      </c>
      <c r="D461" s="900"/>
      <c r="E461" s="249" t="s">
        <v>18</v>
      </c>
      <c r="F461" s="47"/>
      <c r="G461" s="1"/>
      <c r="H461" s="1"/>
      <c r="I461" s="1"/>
      <c r="J461" s="1"/>
      <c r="K461" s="1"/>
      <c r="L461" s="1"/>
    </row>
    <row r="462" ht="15.0" customHeight="1">
      <c r="A462" s="93" t="s">
        <v>210</v>
      </c>
      <c r="B462" s="1213">
        <v>15.0</v>
      </c>
      <c r="C462" s="78">
        <f t="shared" si="25"/>
        <v>240</v>
      </c>
      <c r="D462" s="900"/>
      <c r="E462" s="249" t="s">
        <v>18</v>
      </c>
      <c r="F462" s="76"/>
      <c r="G462" s="1"/>
      <c r="H462" s="1"/>
      <c r="I462" s="1"/>
      <c r="J462" s="1"/>
      <c r="K462" s="1"/>
      <c r="L462" s="1"/>
    </row>
    <row r="463" ht="15.0" customHeight="1">
      <c r="A463" s="93" t="s">
        <v>66</v>
      </c>
      <c r="B463" s="1213">
        <v>10.0</v>
      </c>
      <c r="C463" s="78">
        <f t="shared" si="25"/>
        <v>160</v>
      </c>
      <c r="D463" s="900"/>
      <c r="E463" s="249" t="s">
        <v>18</v>
      </c>
      <c r="F463" s="284"/>
      <c r="G463" s="1"/>
      <c r="H463" s="1"/>
      <c r="I463" s="1"/>
      <c r="J463" s="1"/>
      <c r="K463" s="1"/>
      <c r="L463" s="1"/>
    </row>
    <row r="464" ht="15.0" customHeight="1">
      <c r="A464" s="93" t="s">
        <v>98</v>
      </c>
      <c r="B464" s="195">
        <v>150.0</v>
      </c>
      <c r="C464" s="78">
        <f t="shared" si="25"/>
        <v>2400</v>
      </c>
      <c r="D464" s="900"/>
      <c r="E464" s="249" t="s">
        <v>18</v>
      </c>
      <c r="F464" s="284"/>
      <c r="G464" s="1"/>
      <c r="H464" s="1"/>
      <c r="I464" s="1"/>
      <c r="J464" s="1"/>
      <c r="K464" s="1"/>
      <c r="L464" s="1"/>
    </row>
    <row r="465" ht="15.0" customHeight="1">
      <c r="A465" s="93" t="s">
        <v>96</v>
      </c>
      <c r="B465" s="1213">
        <v>5.0</v>
      </c>
      <c r="C465" s="78">
        <f t="shared" si="25"/>
        <v>80</v>
      </c>
      <c r="D465" s="900"/>
      <c r="E465" s="249" t="s">
        <v>18</v>
      </c>
      <c r="F465" s="284"/>
      <c r="G465" s="1"/>
      <c r="H465" s="1"/>
      <c r="I465" s="1"/>
      <c r="J465" s="1"/>
      <c r="K465" s="1"/>
      <c r="L465" s="1"/>
    </row>
    <row r="466" ht="15.0" customHeight="1">
      <c r="A466" s="93" t="s">
        <v>102</v>
      </c>
      <c r="B466" s="1213">
        <v>15.0</v>
      </c>
      <c r="C466" s="78">
        <f t="shared" si="25"/>
        <v>240</v>
      </c>
      <c r="D466" s="900"/>
      <c r="E466" s="249" t="s">
        <v>18</v>
      </c>
      <c r="F466" s="284"/>
      <c r="G466" s="1"/>
      <c r="H466" s="1"/>
      <c r="I466" s="1"/>
      <c r="J466" s="1"/>
      <c r="K466" s="1"/>
      <c r="L466" s="1"/>
    </row>
    <row r="467" ht="15.0" customHeight="1">
      <c r="A467" s="93" t="s">
        <v>1179</v>
      </c>
      <c r="B467" s="1213">
        <v>15.0</v>
      </c>
      <c r="C467" s="78">
        <f t="shared" si="25"/>
        <v>240</v>
      </c>
      <c r="D467" s="900"/>
      <c r="E467" s="249" t="s">
        <v>18</v>
      </c>
      <c r="F467" s="284"/>
      <c r="G467" s="1"/>
      <c r="H467" s="1"/>
      <c r="I467" s="1"/>
      <c r="J467" s="1"/>
      <c r="K467" s="1"/>
      <c r="L467" s="1"/>
    </row>
    <row r="468" ht="15.0" customHeight="1">
      <c r="A468" s="93" t="s">
        <v>103</v>
      </c>
      <c r="B468" s="195">
        <v>40.0</v>
      </c>
      <c r="C468" s="78">
        <f t="shared" si="25"/>
        <v>640</v>
      </c>
      <c r="D468" s="900"/>
      <c r="E468" s="249" t="s">
        <v>18</v>
      </c>
      <c r="F468" s="284"/>
      <c r="G468" s="1"/>
      <c r="H468" s="1"/>
      <c r="I468" s="1"/>
      <c r="J468" s="1"/>
      <c r="K468" s="1"/>
      <c r="L468" s="1"/>
    </row>
    <row r="469" ht="15.0" customHeight="1">
      <c r="A469" s="138" t="s">
        <v>83</v>
      </c>
      <c r="B469" s="279">
        <v>200.0</v>
      </c>
      <c r="C469" s="146">
        <f t="shared" si="25"/>
        <v>3200</v>
      </c>
      <c r="D469" s="1607"/>
      <c r="E469" s="242" t="s">
        <v>18</v>
      </c>
      <c r="F469" s="284"/>
      <c r="G469" s="1"/>
      <c r="H469" s="1"/>
      <c r="I469" s="1"/>
      <c r="J469" s="1"/>
      <c r="K469" s="1"/>
      <c r="L469" s="1"/>
    </row>
    <row r="470" ht="15.0" customHeight="1">
      <c r="A470" s="105" t="s">
        <v>753</v>
      </c>
      <c r="B470" s="200">
        <v>200.0</v>
      </c>
      <c r="C470" s="56">
        <f t="shared" si="25"/>
        <v>3200</v>
      </c>
      <c r="D470" s="1604"/>
      <c r="E470" s="518" t="s">
        <v>18</v>
      </c>
      <c r="F470" s="284"/>
      <c r="G470" s="1"/>
      <c r="H470" s="1"/>
      <c r="I470" s="1"/>
      <c r="J470" s="1"/>
      <c r="K470" s="1"/>
      <c r="L470" s="1"/>
    </row>
    <row r="471" ht="15.0" customHeight="1">
      <c r="A471" s="68" t="s">
        <v>2175</v>
      </c>
      <c r="B471" s="145">
        <v>1.5</v>
      </c>
      <c r="C471" s="155">
        <f t="shared" si="25"/>
        <v>24</v>
      </c>
      <c r="D471" s="899"/>
      <c r="E471" s="216" t="s">
        <v>14</v>
      </c>
      <c r="F471" s="44" t="s">
        <v>2176</v>
      </c>
      <c r="G471" s="1"/>
      <c r="H471" s="1"/>
      <c r="I471" s="1"/>
      <c r="J471" s="1"/>
      <c r="K471" s="1"/>
      <c r="L471" s="1"/>
    </row>
    <row r="472" ht="15.0" customHeight="1">
      <c r="A472" s="93" t="s">
        <v>487</v>
      </c>
      <c r="B472" s="195">
        <v>2.0</v>
      </c>
      <c r="C472" s="78">
        <f t="shared" si="25"/>
        <v>32</v>
      </c>
      <c r="D472" s="900"/>
      <c r="E472" s="249" t="s">
        <v>14</v>
      </c>
      <c r="F472" s="47"/>
      <c r="G472" s="1"/>
      <c r="H472" s="1"/>
      <c r="I472" s="1"/>
      <c r="J472" s="1"/>
      <c r="K472" s="1"/>
      <c r="L472" s="1"/>
    </row>
    <row r="473" ht="15.0" customHeight="1">
      <c r="A473" s="93" t="s">
        <v>153</v>
      </c>
      <c r="B473" s="195">
        <v>1.5</v>
      </c>
      <c r="C473" s="78">
        <f t="shared" si="25"/>
        <v>24</v>
      </c>
      <c r="D473" s="900"/>
      <c r="E473" s="249" t="s">
        <v>14</v>
      </c>
      <c r="F473" s="47"/>
      <c r="G473" s="1"/>
      <c r="H473" s="1"/>
      <c r="I473" s="1"/>
      <c r="J473" s="1"/>
      <c r="K473" s="1"/>
      <c r="L473" s="1"/>
    </row>
    <row r="474" ht="15.0" customHeight="1">
      <c r="A474" s="93" t="s">
        <v>2179</v>
      </c>
      <c r="B474" s="195">
        <v>2.0</v>
      </c>
      <c r="C474" s="78">
        <f t="shared" si="25"/>
        <v>32</v>
      </c>
      <c r="D474" s="900"/>
      <c r="E474" s="249" t="s">
        <v>14</v>
      </c>
      <c r="F474" s="47"/>
      <c r="G474" s="1"/>
      <c r="H474" s="1"/>
      <c r="I474" s="1"/>
      <c r="J474" s="1"/>
      <c r="K474" s="1"/>
      <c r="L474" s="1"/>
    </row>
    <row r="475" ht="15.0" customHeight="1">
      <c r="A475" s="93" t="s">
        <v>155</v>
      </c>
      <c r="B475" s="195">
        <v>1.5</v>
      </c>
      <c r="C475" s="78">
        <f t="shared" si="25"/>
        <v>24</v>
      </c>
      <c r="D475" s="900"/>
      <c r="E475" s="249" t="s">
        <v>14</v>
      </c>
      <c r="F475" s="47"/>
      <c r="G475" s="1"/>
      <c r="H475" s="1"/>
      <c r="I475" s="1"/>
      <c r="J475" s="1"/>
      <c r="K475" s="1"/>
      <c r="L475" s="1"/>
    </row>
    <row r="476" ht="15.0" customHeight="1">
      <c r="A476" s="105" t="s">
        <v>2182</v>
      </c>
      <c r="B476" s="200">
        <v>1.5</v>
      </c>
      <c r="C476" s="56">
        <f t="shared" si="25"/>
        <v>24</v>
      </c>
      <c r="D476" s="1604"/>
      <c r="E476" s="518" t="s">
        <v>14</v>
      </c>
      <c r="F476" s="76"/>
      <c r="G476" s="1"/>
      <c r="H476" s="1"/>
      <c r="I476" s="1"/>
      <c r="J476" s="1"/>
      <c r="K476" s="1"/>
      <c r="L476" s="1"/>
    </row>
    <row r="477" ht="15.0" customHeight="1">
      <c r="A477" s="68" t="s">
        <v>31</v>
      </c>
      <c r="B477" s="145">
        <v>550.0</v>
      </c>
      <c r="C477" s="155">
        <f t="shared" si="25"/>
        <v>8800</v>
      </c>
      <c r="D477" s="899"/>
      <c r="E477" s="216" t="s">
        <v>18</v>
      </c>
      <c r="F477" s="284"/>
      <c r="G477" s="1"/>
      <c r="H477" s="1"/>
      <c r="I477" s="1"/>
      <c r="J477" s="1"/>
      <c r="K477" s="1"/>
      <c r="L477" s="1"/>
    </row>
    <row r="478" ht="15.0" customHeight="1">
      <c r="A478" s="417" t="s">
        <v>13</v>
      </c>
      <c r="B478" s="418">
        <v>0.25</v>
      </c>
      <c r="C478" s="542">
        <f t="shared" si="25"/>
        <v>4</v>
      </c>
      <c r="D478" s="1614"/>
      <c r="E478" s="543" t="s">
        <v>14</v>
      </c>
      <c r="F478" s="284"/>
      <c r="G478" s="1"/>
      <c r="H478" s="1"/>
      <c r="I478" s="1"/>
      <c r="J478" s="1"/>
      <c r="K478" s="1"/>
      <c r="L478" s="1"/>
    </row>
    <row r="479" ht="15.0" customHeight="1">
      <c r="A479" s="138" t="s">
        <v>160</v>
      </c>
      <c r="B479" s="279">
        <v>150.0</v>
      </c>
      <c r="C479" s="146">
        <f t="shared" si="25"/>
        <v>2400</v>
      </c>
      <c r="D479" s="1607"/>
      <c r="E479" s="242" t="s">
        <v>18</v>
      </c>
      <c r="F479" s="284"/>
      <c r="G479" s="1"/>
      <c r="H479" s="1"/>
      <c r="I479" s="1"/>
      <c r="J479" s="1"/>
      <c r="K479" s="1"/>
      <c r="L479" s="1"/>
    </row>
    <row r="480" ht="15.0" customHeight="1">
      <c r="A480" s="105" t="s">
        <v>21</v>
      </c>
      <c r="B480" s="1216">
        <v>10.0</v>
      </c>
      <c r="C480" s="56">
        <f t="shared" si="25"/>
        <v>160</v>
      </c>
      <c r="D480" s="1604"/>
      <c r="E480" s="518" t="s">
        <v>18</v>
      </c>
      <c r="F480" s="284"/>
      <c r="G480" s="1"/>
      <c r="H480" s="1"/>
      <c r="I480" s="1"/>
      <c r="J480" s="1"/>
      <c r="K480" s="1"/>
      <c r="L480" s="1"/>
    </row>
    <row r="481" ht="15.0" customHeight="1">
      <c r="A481" s="173" t="s">
        <v>157</v>
      </c>
      <c r="B481" s="275">
        <v>24.0</v>
      </c>
      <c r="C481" s="179">
        <f t="shared" si="25"/>
        <v>384</v>
      </c>
      <c r="D481" s="1689"/>
      <c r="E481" s="547" t="s">
        <v>5</v>
      </c>
      <c r="F481" s="284"/>
      <c r="G481" s="1"/>
      <c r="H481" s="1"/>
      <c r="I481" s="1"/>
      <c r="J481" s="1"/>
      <c r="K481" s="1"/>
      <c r="L481" s="1"/>
    </row>
    <row r="482" ht="15.0" customHeight="1">
      <c r="A482" s="1640" t="s">
        <v>119</v>
      </c>
      <c r="B482" s="1641" t="s">
        <v>47</v>
      </c>
      <c r="C482" s="184"/>
      <c r="D482" s="184"/>
      <c r="E482" s="1"/>
      <c r="F482" s="1"/>
      <c r="G482" s="1"/>
      <c r="H482" s="1"/>
      <c r="I482" s="1"/>
      <c r="J482" s="1"/>
      <c r="K482" s="1"/>
      <c r="L482" s="1"/>
    </row>
    <row r="483" ht="15.0" customHeight="1">
      <c r="A483" s="550" t="s">
        <v>49</v>
      </c>
      <c r="B483" s="1198">
        <v>40832.0</v>
      </c>
      <c r="C483" s="184"/>
      <c r="D483" s="184"/>
      <c r="E483" s="1"/>
      <c r="F483" s="1"/>
      <c r="G483" s="1"/>
      <c r="H483" s="1"/>
      <c r="I483" s="1"/>
      <c r="J483" s="1"/>
      <c r="K483" s="1"/>
      <c r="L483" s="1"/>
    </row>
    <row r="484" ht="15.0" customHeight="1">
      <c r="A484" s="1200" t="s">
        <v>50</v>
      </c>
      <c r="B484" s="1198">
        <v>41818.0</v>
      </c>
      <c r="C484" s="184"/>
      <c r="D484" s="184"/>
      <c r="E484" s="1"/>
      <c r="F484" s="1"/>
      <c r="G484" s="1"/>
      <c r="H484" s="1"/>
      <c r="I484" s="1"/>
      <c r="J484" s="1"/>
      <c r="K484" s="1"/>
      <c r="L484" s="1"/>
    </row>
    <row r="485" ht="15.0" customHeight="1">
      <c r="A485" s="1"/>
      <c r="B485" s="107"/>
      <c r="C485" s="184"/>
      <c r="D485" s="184"/>
      <c r="E485" s="1"/>
      <c r="F485" s="1"/>
      <c r="G485" s="1"/>
      <c r="H485" s="1"/>
      <c r="I485" s="1"/>
      <c r="J485" s="1"/>
      <c r="K485" s="1"/>
      <c r="L485" s="1"/>
    </row>
    <row r="486" ht="15.0" customHeight="1">
      <c r="A486" s="913" t="s">
        <v>608</v>
      </c>
      <c r="B486" s="5"/>
      <c r="C486" s="5"/>
      <c r="D486" s="5"/>
      <c r="E486" s="6"/>
      <c r="F486" s="14"/>
      <c r="G486" s="1"/>
      <c r="H486" s="1"/>
      <c r="I486" s="1"/>
      <c r="J486" s="1"/>
      <c r="K486" s="1"/>
      <c r="L486" s="1"/>
    </row>
    <row r="487" ht="15.0" customHeight="1">
      <c r="A487" s="1670" t="s">
        <v>1</v>
      </c>
      <c r="B487" s="1671">
        <v>45.0</v>
      </c>
      <c r="C487" s="1672">
        <v>60.0</v>
      </c>
      <c r="D487" s="1673"/>
      <c r="E487" s="1674" t="s">
        <v>5</v>
      </c>
      <c r="F487" s="14"/>
      <c r="G487" s="1"/>
      <c r="H487" s="1"/>
      <c r="I487" s="1"/>
      <c r="J487" s="1"/>
      <c r="K487" s="1"/>
      <c r="L487" s="1"/>
    </row>
    <row r="488" ht="15.0" customHeight="1">
      <c r="A488" s="119" t="s">
        <v>53</v>
      </c>
      <c r="B488" s="238">
        <v>10.0</v>
      </c>
      <c r="C488" s="521">
        <f t="shared" ref="C488:C494" si="26">(B488*C487)/B487</f>
        <v>13.33333333</v>
      </c>
      <c r="D488" s="1657"/>
      <c r="E488" s="520" t="s">
        <v>14</v>
      </c>
      <c r="F488" s="14"/>
      <c r="G488" s="1"/>
      <c r="H488" s="1"/>
      <c r="I488" s="1"/>
      <c r="J488" s="1"/>
      <c r="K488" s="1"/>
      <c r="L488" s="1"/>
    </row>
    <row r="489" ht="15.0" customHeight="1">
      <c r="A489" s="93" t="s">
        <v>152</v>
      </c>
      <c r="B489" s="195">
        <v>1.0</v>
      </c>
      <c r="C489" s="521">
        <f t="shared" si="26"/>
        <v>1.333333333</v>
      </c>
      <c r="D489" s="1653"/>
      <c r="E489" s="249" t="s">
        <v>14</v>
      </c>
      <c r="F489" s="1918"/>
      <c r="G489" s="1"/>
      <c r="H489" s="1"/>
      <c r="I489" s="1"/>
      <c r="J489" s="1"/>
      <c r="K489" s="1"/>
      <c r="L489" s="1"/>
    </row>
    <row r="490" ht="15.0" customHeight="1">
      <c r="A490" s="93" t="s">
        <v>329</v>
      </c>
      <c r="B490" s="195">
        <v>1.5</v>
      </c>
      <c r="C490" s="521">
        <f t="shared" si="26"/>
        <v>2</v>
      </c>
      <c r="D490" s="1653"/>
      <c r="E490" s="249" t="s">
        <v>14</v>
      </c>
      <c r="F490" s="1918"/>
      <c r="G490" s="1"/>
      <c r="H490" s="1"/>
      <c r="I490" s="1"/>
      <c r="J490" s="1"/>
      <c r="K490" s="1"/>
      <c r="L490" s="1"/>
    </row>
    <row r="491" ht="15.0" customHeight="1">
      <c r="A491" s="93" t="s">
        <v>2203</v>
      </c>
      <c r="B491" s="195">
        <v>1.0</v>
      </c>
      <c r="C491" s="521">
        <f t="shared" si="26"/>
        <v>1.333333333</v>
      </c>
      <c r="D491" s="1653"/>
      <c r="E491" s="249" t="s">
        <v>14</v>
      </c>
      <c r="F491" s="1918"/>
      <c r="G491" s="1"/>
      <c r="H491" s="1"/>
      <c r="I491" s="1"/>
      <c r="J491" s="1"/>
      <c r="K491" s="1"/>
      <c r="L491" s="1"/>
    </row>
    <row r="492" ht="15.0" customHeight="1">
      <c r="A492" s="93" t="s">
        <v>2204</v>
      </c>
      <c r="B492" s="195">
        <v>1.0</v>
      </c>
      <c r="C492" s="521">
        <f t="shared" si="26"/>
        <v>1.333333333</v>
      </c>
      <c r="D492" s="1653"/>
      <c r="E492" s="249" t="s">
        <v>14</v>
      </c>
      <c r="F492" s="1918"/>
      <c r="G492" s="1"/>
      <c r="H492" s="1"/>
      <c r="I492" s="1"/>
      <c r="J492" s="1"/>
      <c r="K492" s="1"/>
      <c r="L492" s="1"/>
    </row>
    <row r="493" ht="15.0" customHeight="1">
      <c r="A493" s="93" t="s">
        <v>91</v>
      </c>
      <c r="B493" s="195">
        <v>1.5</v>
      </c>
      <c r="C493" s="521">
        <f t="shared" si="26"/>
        <v>2</v>
      </c>
      <c r="D493" s="1653"/>
      <c r="E493" s="249" t="s">
        <v>5</v>
      </c>
      <c r="F493" s="1918"/>
      <c r="G493" s="1"/>
      <c r="H493" s="1"/>
      <c r="I493" s="1"/>
      <c r="J493" s="1"/>
      <c r="K493" s="1"/>
      <c r="L493" s="1"/>
    </row>
    <row r="494" ht="15.0" customHeight="1">
      <c r="A494" s="93" t="s">
        <v>97</v>
      </c>
      <c r="B494" s="195">
        <v>75.0</v>
      </c>
      <c r="C494" s="521">
        <f t="shared" si="26"/>
        <v>100</v>
      </c>
      <c r="D494" s="1653"/>
      <c r="E494" s="249" t="s">
        <v>18</v>
      </c>
      <c r="F494" s="1918"/>
      <c r="G494" s="1"/>
      <c r="H494" s="1"/>
      <c r="I494" s="1"/>
      <c r="J494" s="1"/>
      <c r="K494" s="1"/>
      <c r="L494" s="1"/>
    </row>
    <row r="495" ht="15.0" customHeight="1">
      <c r="A495" s="138" t="s">
        <v>101</v>
      </c>
      <c r="B495" s="279">
        <v>1.25</v>
      </c>
      <c r="C495" s="842">
        <f>(B495*C500)/B500</f>
        <v>1.666666667</v>
      </c>
      <c r="D495" s="1655"/>
      <c r="E495" s="242" t="s">
        <v>5</v>
      </c>
      <c r="F495" s="1918"/>
      <c r="G495" s="1"/>
      <c r="H495" s="1"/>
      <c r="I495" s="1"/>
      <c r="J495" s="1"/>
      <c r="K495" s="1"/>
      <c r="L495" s="1"/>
    </row>
    <row r="496" ht="15.0" customHeight="1">
      <c r="A496" s="68" t="s">
        <v>149</v>
      </c>
      <c r="B496" s="145">
        <v>250.0</v>
      </c>
      <c r="C496" s="516">
        <f>(B496*C494)/B494</f>
        <v>333.3333333</v>
      </c>
      <c r="D496" s="1652"/>
      <c r="E496" s="216" t="s">
        <v>82</v>
      </c>
      <c r="F496" s="1918"/>
      <c r="G496" s="1"/>
      <c r="H496" s="1"/>
      <c r="I496" s="1"/>
      <c r="J496" s="1"/>
      <c r="K496" s="1"/>
      <c r="L496" s="1"/>
    </row>
    <row r="497" ht="15.0" customHeight="1">
      <c r="A497" s="93" t="s">
        <v>31</v>
      </c>
      <c r="B497" s="195">
        <v>450.0</v>
      </c>
      <c r="C497" s="521">
        <f t="shared" ref="C497:C500" si="27">(B497*C496)/B496</f>
        <v>600</v>
      </c>
      <c r="D497" s="1653"/>
      <c r="E497" s="249" t="s">
        <v>18</v>
      </c>
      <c r="F497" s="1918"/>
      <c r="G497" s="1"/>
      <c r="H497" s="1"/>
      <c r="I497" s="1"/>
      <c r="J497" s="1"/>
      <c r="K497" s="1"/>
      <c r="L497" s="1"/>
    </row>
    <row r="498" ht="15.0" customHeight="1">
      <c r="A498" s="93" t="s">
        <v>59</v>
      </c>
      <c r="B498" s="195">
        <v>24.0</v>
      </c>
      <c r="C498" s="521">
        <f t="shared" si="27"/>
        <v>32</v>
      </c>
      <c r="D498" s="1653"/>
      <c r="E498" s="249" t="s">
        <v>5</v>
      </c>
      <c r="F498" s="1918"/>
      <c r="G498" s="1"/>
      <c r="H498" s="1"/>
      <c r="I498" s="1"/>
      <c r="J498" s="1"/>
      <c r="K498" s="1"/>
      <c r="L498" s="1"/>
    </row>
    <row r="499" ht="15.0" customHeight="1">
      <c r="A499" s="93" t="s">
        <v>13</v>
      </c>
      <c r="B499" s="195">
        <v>0.45</v>
      </c>
      <c r="C499" s="521">
        <f t="shared" si="27"/>
        <v>0.6</v>
      </c>
      <c r="D499" s="1653"/>
      <c r="E499" s="249" t="s">
        <v>14</v>
      </c>
      <c r="F499" s="1"/>
      <c r="G499" s="1"/>
      <c r="H499" s="1"/>
      <c r="I499" s="1"/>
      <c r="J499" s="1"/>
      <c r="K499" s="1"/>
      <c r="L499" s="1"/>
    </row>
    <row r="500" ht="15.0" customHeight="1">
      <c r="A500" s="105" t="s">
        <v>335</v>
      </c>
      <c r="B500" s="200">
        <v>1.0</v>
      </c>
      <c r="C500" s="517">
        <f t="shared" si="27"/>
        <v>1.333333333</v>
      </c>
      <c r="D500" s="1656"/>
      <c r="E500" s="518" t="s">
        <v>5</v>
      </c>
      <c r="F500" s="1"/>
      <c r="G500" s="1"/>
      <c r="H500" s="1"/>
      <c r="I500" s="1"/>
      <c r="J500" s="1"/>
      <c r="K500" s="1"/>
      <c r="L500" s="1"/>
    </row>
    <row r="501" ht="12.0" customHeight="1">
      <c r="A501" s="1873" t="s">
        <v>119</v>
      </c>
      <c r="B501" s="1874" t="s">
        <v>47</v>
      </c>
      <c r="C501" s="184"/>
      <c r="D501" s="184"/>
      <c r="E501" s="1"/>
      <c r="F501" s="1"/>
      <c r="G501" s="1"/>
      <c r="H501" s="1"/>
      <c r="I501" s="1"/>
      <c r="J501" s="1"/>
      <c r="K501" s="1"/>
      <c r="L501" s="1"/>
    </row>
    <row r="502" ht="15.0" customHeight="1">
      <c r="A502" s="203" t="s">
        <v>49</v>
      </c>
      <c r="B502" s="1363">
        <v>41363.0</v>
      </c>
      <c r="C502" s="184"/>
      <c r="D502" s="184"/>
      <c r="E502" s="1"/>
      <c r="F502" s="1"/>
      <c r="G502" s="1"/>
      <c r="H502" s="1"/>
      <c r="I502" s="1"/>
      <c r="J502" s="1"/>
      <c r="K502" s="1"/>
      <c r="L502" s="1"/>
    </row>
    <row r="503" ht="15.0" customHeight="1">
      <c r="A503" s="203" t="s">
        <v>50</v>
      </c>
      <c r="B503" s="1363">
        <v>41365.0</v>
      </c>
      <c r="C503" s="184"/>
      <c r="D503" s="184"/>
      <c r="E503" s="1"/>
      <c r="F503" s="1"/>
      <c r="G503" s="1"/>
      <c r="H503" s="1"/>
      <c r="I503" s="1"/>
      <c r="J503" s="1"/>
      <c r="K503" s="1"/>
      <c r="L503" s="1"/>
    </row>
    <row r="504" ht="15.0" customHeight="1">
      <c r="A504" s="1"/>
      <c r="B504" s="107"/>
      <c r="C504" s="184"/>
      <c r="D504" s="184"/>
      <c r="E504" s="1"/>
      <c r="F504" s="1"/>
      <c r="G504" s="1"/>
      <c r="H504" s="1"/>
      <c r="I504" s="1"/>
      <c r="J504" s="1"/>
      <c r="K504" s="1"/>
      <c r="L504" s="1"/>
    </row>
    <row r="505" ht="15.0" customHeight="1">
      <c r="A505" s="913" t="s">
        <v>988</v>
      </c>
      <c r="B505" s="5"/>
      <c r="C505" s="5"/>
      <c r="D505" s="5"/>
      <c r="E505" s="6"/>
      <c r="F505" s="1902"/>
      <c r="G505" s="1"/>
      <c r="H505" s="1"/>
      <c r="I505" s="1"/>
      <c r="J505" s="1"/>
      <c r="K505" s="1"/>
      <c r="L505" s="1"/>
    </row>
    <row r="506" ht="15.0" customHeight="1">
      <c r="A506" s="1769" t="s">
        <v>1</v>
      </c>
      <c r="B506" s="1771">
        <v>52.5</v>
      </c>
      <c r="C506" s="1939">
        <v>18.0</v>
      </c>
      <c r="D506" s="1945"/>
      <c r="E506" s="1774" t="s">
        <v>5</v>
      </c>
      <c r="F506" s="1946"/>
      <c r="G506" s="1"/>
      <c r="H506" s="1"/>
      <c r="I506" s="1"/>
      <c r="J506" s="1"/>
      <c r="K506" s="1"/>
      <c r="L506" s="1"/>
    </row>
    <row r="507" ht="15.0" customHeight="1">
      <c r="A507" s="68" t="s">
        <v>53</v>
      </c>
      <c r="B507" s="1202">
        <v>10.0</v>
      </c>
      <c r="C507" s="73">
        <f t="shared" ref="C507:C524" si="28">(B507*C506)/B506</f>
        <v>3.428571429</v>
      </c>
      <c r="D507" s="1620"/>
      <c r="E507" s="216" t="s">
        <v>14</v>
      </c>
      <c r="F507" s="194" t="s">
        <v>2219</v>
      </c>
      <c r="G507" s="1"/>
      <c r="H507" s="1"/>
      <c r="I507" s="1"/>
      <c r="J507" s="1"/>
      <c r="K507" s="1"/>
      <c r="L507" s="1"/>
    </row>
    <row r="508" ht="15.0" customHeight="1">
      <c r="A508" s="93" t="s">
        <v>59</v>
      </c>
      <c r="B508" s="1213">
        <v>24.0</v>
      </c>
      <c r="C508" s="94">
        <f t="shared" si="28"/>
        <v>8.228571429</v>
      </c>
      <c r="D508" s="1586"/>
      <c r="E508" s="249" t="s">
        <v>5</v>
      </c>
      <c r="F508" s="63"/>
      <c r="G508" s="1"/>
      <c r="H508" s="1"/>
      <c r="I508" s="1"/>
      <c r="J508" s="1"/>
      <c r="K508" s="1"/>
      <c r="L508" s="1"/>
    </row>
    <row r="509" ht="15.0" customHeight="1">
      <c r="A509" s="138" t="s">
        <v>491</v>
      </c>
      <c r="B509" s="351">
        <v>0.5</v>
      </c>
      <c r="C509" s="143">
        <f t="shared" si="28"/>
        <v>0.1714285714</v>
      </c>
      <c r="D509" s="1596"/>
      <c r="E509" s="242" t="s">
        <v>5</v>
      </c>
      <c r="F509" s="63"/>
      <c r="G509" s="1"/>
      <c r="H509" s="1"/>
      <c r="I509" s="1"/>
      <c r="J509" s="1"/>
      <c r="K509" s="1"/>
      <c r="L509" s="1"/>
    </row>
    <row r="510" ht="15.0" customHeight="1">
      <c r="A510" s="138" t="s">
        <v>31</v>
      </c>
      <c r="B510" s="351">
        <v>350.0</v>
      </c>
      <c r="C510" s="143">
        <f t="shared" si="28"/>
        <v>120</v>
      </c>
      <c r="D510" s="1596"/>
      <c r="E510" s="242" t="s">
        <v>18</v>
      </c>
      <c r="F510" s="102"/>
      <c r="G510" s="1"/>
      <c r="H510" s="1"/>
      <c r="I510" s="1"/>
      <c r="J510" s="1"/>
      <c r="K510" s="1"/>
      <c r="L510" s="1"/>
    </row>
    <row r="511" ht="15.0" customHeight="1">
      <c r="A511" s="68" t="s">
        <v>91</v>
      </c>
      <c r="B511" s="1202">
        <v>2.0</v>
      </c>
      <c r="C511" s="73">
        <f t="shared" si="28"/>
        <v>0.6857142857</v>
      </c>
      <c r="D511" s="1620"/>
      <c r="E511" s="216" t="s">
        <v>5</v>
      </c>
      <c r="F511" s="44" t="s">
        <v>2226</v>
      </c>
      <c r="G511" s="1"/>
      <c r="H511" s="1"/>
      <c r="I511" s="1"/>
      <c r="J511" s="1"/>
      <c r="K511" s="1"/>
      <c r="L511" s="1"/>
    </row>
    <row r="512" ht="15.0" customHeight="1">
      <c r="A512" s="93" t="s">
        <v>60</v>
      </c>
      <c r="B512" s="1213">
        <v>1.5</v>
      </c>
      <c r="C512" s="94">
        <f t="shared" si="28"/>
        <v>0.5142857143</v>
      </c>
      <c r="D512" s="1953"/>
      <c r="E512" s="520" t="s">
        <v>14</v>
      </c>
      <c r="F512" s="47"/>
      <c r="G512" s="1"/>
      <c r="H512" s="1"/>
      <c r="I512" s="1"/>
      <c r="J512" s="1"/>
      <c r="K512" s="1"/>
      <c r="L512" s="1"/>
    </row>
    <row r="513" ht="15.0" customHeight="1">
      <c r="A513" s="119" t="s">
        <v>345</v>
      </c>
      <c r="B513" s="1209">
        <v>0.5</v>
      </c>
      <c r="C513" s="122">
        <f t="shared" si="28"/>
        <v>0.1714285714</v>
      </c>
      <c r="D513" s="1953"/>
      <c r="E513" s="520" t="s">
        <v>14</v>
      </c>
      <c r="F513" s="47"/>
      <c r="G513" s="1"/>
      <c r="H513" s="1"/>
      <c r="I513" s="1"/>
      <c r="J513" s="1"/>
      <c r="K513" s="1"/>
      <c r="L513" s="1"/>
    </row>
    <row r="514" ht="15.0" customHeight="1">
      <c r="A514" s="119" t="s">
        <v>2230</v>
      </c>
      <c r="B514" s="1209">
        <v>0.25</v>
      </c>
      <c r="C514" s="122">
        <f t="shared" si="28"/>
        <v>0.08571428571</v>
      </c>
      <c r="D514" s="1953"/>
      <c r="E514" s="520" t="s">
        <v>14</v>
      </c>
      <c r="F514" s="47"/>
      <c r="G514" s="1"/>
      <c r="H514" s="1"/>
      <c r="I514" s="1"/>
      <c r="J514" s="1"/>
      <c r="K514" s="1"/>
      <c r="L514" s="1"/>
    </row>
    <row r="515" ht="15.0" customHeight="1">
      <c r="A515" s="119" t="s">
        <v>884</v>
      </c>
      <c r="B515" s="1209">
        <v>50.0</v>
      </c>
      <c r="C515" s="122">
        <f t="shared" si="28"/>
        <v>17.14285714</v>
      </c>
      <c r="D515" s="1953"/>
      <c r="E515" s="520" t="s">
        <v>18</v>
      </c>
      <c r="F515" s="47"/>
      <c r="G515" s="1"/>
      <c r="H515" s="1"/>
      <c r="I515" s="1"/>
      <c r="J515" s="1"/>
      <c r="K515" s="1"/>
      <c r="L515" s="1"/>
    </row>
    <row r="516" ht="15.0" customHeight="1">
      <c r="A516" s="93" t="s">
        <v>97</v>
      </c>
      <c r="B516" s="1213">
        <v>100.0</v>
      </c>
      <c r="C516" s="94">
        <f t="shared" si="28"/>
        <v>34.28571429</v>
      </c>
      <c r="D516" s="1586"/>
      <c r="E516" s="249" t="s">
        <v>18</v>
      </c>
      <c r="F516" s="47"/>
      <c r="G516" s="1"/>
      <c r="H516" s="1"/>
      <c r="I516" s="1"/>
      <c r="J516" s="1"/>
      <c r="K516" s="1"/>
      <c r="L516" s="1"/>
    </row>
    <row r="517" ht="15.0" customHeight="1">
      <c r="A517" s="93" t="s">
        <v>2231</v>
      </c>
      <c r="B517" s="1213">
        <v>50.0</v>
      </c>
      <c r="C517" s="94">
        <f t="shared" si="28"/>
        <v>17.14285714</v>
      </c>
      <c r="D517" s="1586"/>
      <c r="E517" s="249" t="s">
        <v>18</v>
      </c>
      <c r="F517" s="47"/>
      <c r="G517" s="1"/>
      <c r="H517" s="1"/>
      <c r="I517" s="1"/>
      <c r="J517" s="1"/>
      <c r="K517" s="1"/>
      <c r="L517" s="1"/>
    </row>
    <row r="518" ht="15.0" customHeight="1">
      <c r="A518" s="93" t="s">
        <v>101</v>
      </c>
      <c r="B518" s="1213">
        <v>1.0</v>
      </c>
      <c r="C518" s="94">
        <f t="shared" si="28"/>
        <v>0.3428571429</v>
      </c>
      <c r="D518" s="1586"/>
      <c r="E518" s="249" t="s">
        <v>5</v>
      </c>
      <c r="F518" s="47"/>
      <c r="G518" s="1"/>
      <c r="H518" s="1"/>
      <c r="I518" s="1"/>
      <c r="J518" s="1"/>
      <c r="K518" s="1"/>
      <c r="L518" s="1"/>
    </row>
    <row r="519" ht="15.0" customHeight="1">
      <c r="A519" s="138" t="s">
        <v>103</v>
      </c>
      <c r="B519" s="351">
        <v>50.0</v>
      </c>
      <c r="C519" s="143">
        <f t="shared" si="28"/>
        <v>17.14285714</v>
      </c>
      <c r="D519" s="1596"/>
      <c r="E519" s="242" t="s">
        <v>18</v>
      </c>
      <c r="F519" s="47"/>
      <c r="G519" s="1"/>
      <c r="H519" s="1"/>
      <c r="I519" s="1"/>
      <c r="J519" s="1"/>
      <c r="K519" s="1"/>
      <c r="L519" s="1"/>
    </row>
    <row r="520" ht="15.0" customHeight="1">
      <c r="A520" s="68" t="s">
        <v>1601</v>
      </c>
      <c r="B520" s="1202">
        <v>2.0</v>
      </c>
      <c r="C520" s="73">
        <f t="shared" si="28"/>
        <v>0.6857142857</v>
      </c>
      <c r="D520" s="1620"/>
      <c r="E520" s="216" t="s">
        <v>366</v>
      </c>
      <c r="F520" s="194" t="s">
        <v>2233</v>
      </c>
      <c r="G520" s="1"/>
      <c r="H520" s="1"/>
      <c r="I520" s="1"/>
      <c r="J520" s="1"/>
      <c r="K520" s="1"/>
      <c r="L520" s="1"/>
    </row>
    <row r="521" ht="15.0" customHeight="1">
      <c r="A521" s="93" t="s">
        <v>2234</v>
      </c>
      <c r="B521" s="1213">
        <v>4.0</v>
      </c>
      <c r="C521" s="94">
        <f t="shared" si="28"/>
        <v>1.371428571</v>
      </c>
      <c r="D521" s="1586"/>
      <c r="E521" s="249" t="s">
        <v>5</v>
      </c>
      <c r="F521" s="63"/>
      <c r="G521" s="1"/>
      <c r="H521" s="1"/>
      <c r="I521" s="1"/>
      <c r="J521" s="1"/>
      <c r="K521" s="1"/>
      <c r="L521" s="1"/>
    </row>
    <row r="522" ht="15.0" customHeight="1">
      <c r="A522" s="93" t="s">
        <v>31</v>
      </c>
      <c r="B522" s="1213">
        <v>450.0</v>
      </c>
      <c r="C522" s="94">
        <f t="shared" si="28"/>
        <v>154.2857143</v>
      </c>
      <c r="D522" s="1586"/>
      <c r="E522" s="249" t="s">
        <v>18</v>
      </c>
      <c r="F522" s="63"/>
      <c r="G522" s="1"/>
      <c r="H522" s="1"/>
      <c r="I522" s="1"/>
      <c r="J522" s="1"/>
      <c r="K522" s="1"/>
      <c r="L522" s="1"/>
    </row>
    <row r="523" ht="15.0" customHeight="1">
      <c r="A523" s="93" t="s">
        <v>80</v>
      </c>
      <c r="B523" s="1213">
        <v>1.0</v>
      </c>
      <c r="C523" s="94">
        <f t="shared" si="28"/>
        <v>0.3428571429</v>
      </c>
      <c r="D523" s="1586"/>
      <c r="E523" s="249" t="s">
        <v>14</v>
      </c>
      <c r="F523" s="63"/>
      <c r="G523" s="1"/>
      <c r="H523" s="1"/>
      <c r="I523" s="1"/>
      <c r="J523" s="1"/>
      <c r="K523" s="1"/>
      <c r="L523" s="1"/>
    </row>
    <row r="524" ht="15.0" customHeight="1">
      <c r="A524" s="105" t="s">
        <v>2236</v>
      </c>
      <c r="B524" s="1216">
        <v>8.0</v>
      </c>
      <c r="C524" s="110">
        <f t="shared" si="28"/>
        <v>2.742857143</v>
      </c>
      <c r="D524" s="1959"/>
      <c r="E524" s="518" t="s">
        <v>5</v>
      </c>
      <c r="F524" s="63"/>
      <c r="G524" s="1"/>
      <c r="H524" s="1"/>
      <c r="I524" s="1"/>
      <c r="J524" s="1"/>
      <c r="K524" s="1"/>
      <c r="L524" s="1"/>
    </row>
    <row r="525" ht="15.0" customHeight="1">
      <c r="A525" s="1851" t="s">
        <v>2237</v>
      </c>
      <c r="B525" s="5"/>
      <c r="C525" s="6"/>
      <c r="D525" s="1853"/>
      <c r="E525" s="1"/>
      <c r="F525" s="1"/>
      <c r="G525" s="1"/>
      <c r="H525" s="1"/>
      <c r="I525" s="1"/>
      <c r="J525" s="1"/>
      <c r="K525" s="1"/>
      <c r="L525" s="1"/>
    </row>
    <row r="526" ht="15.0" customHeight="1">
      <c r="A526" s="63"/>
      <c r="C526" s="66"/>
      <c r="D526" s="1853"/>
      <c r="E526" s="1"/>
      <c r="F526" s="1"/>
      <c r="G526" s="1"/>
      <c r="H526" s="1"/>
      <c r="I526" s="1"/>
      <c r="J526" s="1"/>
      <c r="K526" s="1"/>
      <c r="L526" s="1"/>
    </row>
    <row r="527" ht="15.0" customHeight="1">
      <c r="A527" s="102"/>
      <c r="B527" s="104"/>
      <c r="C527" s="106"/>
      <c r="D527" s="1853"/>
      <c r="E527" s="1"/>
      <c r="F527" s="1"/>
      <c r="G527" s="1"/>
      <c r="H527" s="1"/>
      <c r="I527" s="1"/>
      <c r="J527" s="1"/>
      <c r="K527" s="1"/>
      <c r="L527" s="1"/>
    </row>
    <row r="528" ht="15.0" customHeight="1">
      <c r="A528" s="1640" t="s">
        <v>119</v>
      </c>
      <c r="B528" s="1641" t="s">
        <v>47</v>
      </c>
      <c r="C528" s="184"/>
      <c r="D528" s="184"/>
      <c r="E528" s="1"/>
      <c r="F528" s="1"/>
      <c r="G528" s="1"/>
      <c r="H528" s="1"/>
      <c r="I528" s="1"/>
      <c r="J528" s="1"/>
      <c r="K528" s="1"/>
      <c r="L528" s="1"/>
    </row>
    <row r="529" ht="15.0" customHeight="1">
      <c r="A529" s="185" t="s">
        <v>502</v>
      </c>
      <c r="B529" s="1363">
        <v>42514.0</v>
      </c>
      <c r="C529" s="184"/>
      <c r="D529" s="184"/>
      <c r="E529" s="1"/>
      <c r="F529" s="1"/>
      <c r="G529" s="1"/>
      <c r="H529" s="1"/>
      <c r="I529" s="1"/>
      <c r="J529" s="1"/>
      <c r="K529" s="1"/>
      <c r="L529" s="1"/>
    </row>
    <row r="530" ht="15.0" customHeight="1">
      <c r="A530" s="1416" t="s">
        <v>50</v>
      </c>
      <c r="B530" s="1363">
        <v>42514.0</v>
      </c>
      <c r="C530" s="184"/>
      <c r="D530" s="184"/>
      <c r="E530" s="1"/>
      <c r="F530" s="1"/>
      <c r="G530" s="1"/>
      <c r="H530" s="1"/>
      <c r="I530" s="1"/>
      <c r="J530" s="1"/>
      <c r="K530" s="1"/>
      <c r="L530" s="1"/>
    </row>
    <row r="531" ht="15.0" customHeight="1">
      <c r="A531" s="1"/>
      <c r="B531" s="107"/>
      <c r="C531" s="184"/>
      <c r="D531" s="184"/>
      <c r="E531" s="1"/>
      <c r="F531" s="1"/>
      <c r="G531" s="1"/>
      <c r="H531" s="1"/>
      <c r="I531" s="1"/>
      <c r="J531" s="1"/>
      <c r="K531" s="1"/>
      <c r="L531" s="1"/>
    </row>
    <row r="532" ht="15.0" customHeight="1">
      <c r="A532" s="1326" t="s">
        <v>994</v>
      </c>
      <c r="B532" s="18"/>
      <c r="C532" s="18"/>
      <c r="D532" s="18"/>
      <c r="E532" s="19"/>
      <c r="F532" s="284"/>
      <c r="G532" s="1"/>
      <c r="H532" s="1"/>
      <c r="I532" s="1"/>
      <c r="J532" s="1"/>
      <c r="K532" s="1"/>
      <c r="L532" s="1"/>
    </row>
    <row r="533" ht="15.0" customHeight="1">
      <c r="A533" s="1670" t="s">
        <v>1</v>
      </c>
      <c r="B533" s="1671">
        <v>45.0</v>
      </c>
      <c r="C533" s="1672">
        <v>45.0</v>
      </c>
      <c r="D533" s="1673"/>
      <c r="E533" s="1674" t="s">
        <v>5</v>
      </c>
      <c r="F533" s="284"/>
      <c r="G533" s="1"/>
      <c r="H533" s="1"/>
      <c r="I533" s="1"/>
      <c r="J533" s="1"/>
      <c r="K533" s="1"/>
      <c r="L533" s="1"/>
    </row>
    <row r="534" ht="15.0" customHeight="1">
      <c r="A534" s="68" t="s">
        <v>53</v>
      </c>
      <c r="B534" s="145">
        <v>10.0</v>
      </c>
      <c r="C534" s="155">
        <f t="shared" ref="C534:C550" si="29">(B534*C533)/B533</f>
        <v>10</v>
      </c>
      <c r="D534" s="899"/>
      <c r="E534" s="216" t="s">
        <v>14</v>
      </c>
      <c r="F534" s="194" t="s">
        <v>2240</v>
      </c>
      <c r="G534" s="1"/>
      <c r="H534" s="1"/>
      <c r="I534" s="1"/>
      <c r="J534" s="1"/>
      <c r="K534" s="1"/>
      <c r="L534" s="1"/>
    </row>
    <row r="535" ht="15.0" customHeight="1">
      <c r="A535" s="119" t="s">
        <v>243</v>
      </c>
      <c r="B535" s="238">
        <v>24.0</v>
      </c>
      <c r="C535" s="129">
        <f t="shared" si="29"/>
        <v>24</v>
      </c>
      <c r="D535" s="1583"/>
      <c r="E535" s="520" t="s">
        <v>5</v>
      </c>
      <c r="F535" s="63"/>
      <c r="G535" s="1"/>
      <c r="H535" s="1"/>
      <c r="I535" s="1"/>
      <c r="J535" s="1"/>
      <c r="K535" s="1"/>
      <c r="L535" s="1"/>
    </row>
    <row r="536" ht="15.0" customHeight="1">
      <c r="A536" s="119" t="s">
        <v>31</v>
      </c>
      <c r="B536" s="238">
        <v>300.0</v>
      </c>
      <c r="C536" s="129">
        <f t="shared" si="29"/>
        <v>300</v>
      </c>
      <c r="D536" s="1583"/>
      <c r="E536" s="520" t="s">
        <v>18</v>
      </c>
      <c r="F536" s="63"/>
      <c r="G536" s="1"/>
      <c r="H536" s="1"/>
      <c r="I536" s="1"/>
      <c r="J536" s="1"/>
      <c r="K536" s="1"/>
      <c r="L536" s="1"/>
    </row>
    <row r="537" ht="15.0" customHeight="1">
      <c r="A537" s="149" t="s">
        <v>91</v>
      </c>
      <c r="B537" s="152">
        <v>0.3</v>
      </c>
      <c r="C537" s="274">
        <f t="shared" si="29"/>
        <v>0.3</v>
      </c>
      <c r="D537" s="1690"/>
      <c r="E537" s="288" t="s">
        <v>5</v>
      </c>
      <c r="F537" s="102"/>
      <c r="G537" s="1"/>
      <c r="H537" s="1"/>
      <c r="I537" s="1"/>
      <c r="J537" s="1"/>
      <c r="K537" s="1"/>
      <c r="L537" s="1"/>
    </row>
    <row r="538" ht="15.0" customHeight="1">
      <c r="A538" s="119" t="s">
        <v>2243</v>
      </c>
      <c r="B538" s="238">
        <v>2.5</v>
      </c>
      <c r="C538" s="129">
        <f t="shared" si="29"/>
        <v>2.5</v>
      </c>
      <c r="D538" s="1583"/>
      <c r="E538" s="520" t="s">
        <v>14</v>
      </c>
      <c r="F538" s="284"/>
      <c r="G538" s="1"/>
      <c r="H538" s="1"/>
      <c r="I538" s="1"/>
      <c r="J538" s="1"/>
      <c r="K538" s="1"/>
      <c r="L538" s="1"/>
    </row>
    <row r="539" ht="15.0" customHeight="1">
      <c r="A539" s="93" t="s">
        <v>31</v>
      </c>
      <c r="B539" s="195">
        <v>200.0</v>
      </c>
      <c r="C539" s="78">
        <f t="shared" si="29"/>
        <v>200</v>
      </c>
      <c r="D539" s="900"/>
      <c r="E539" s="249" t="s">
        <v>18</v>
      </c>
      <c r="F539" s="284"/>
      <c r="G539" s="1"/>
      <c r="H539" s="1"/>
      <c r="I539" s="1"/>
      <c r="J539" s="1"/>
      <c r="K539" s="1"/>
      <c r="L539" s="1"/>
    </row>
    <row r="540" ht="15.0" customHeight="1">
      <c r="A540" s="68" t="s">
        <v>2245</v>
      </c>
      <c r="B540" s="145">
        <v>1.5</v>
      </c>
      <c r="C540" s="155">
        <f t="shared" si="29"/>
        <v>1.5</v>
      </c>
      <c r="D540" s="899"/>
      <c r="E540" s="216" t="s">
        <v>1557</v>
      </c>
      <c r="F540" s="44" t="s">
        <v>94</v>
      </c>
      <c r="G540" s="1"/>
      <c r="H540" s="1"/>
      <c r="I540" s="1"/>
      <c r="J540" s="1"/>
      <c r="K540" s="1"/>
      <c r="L540" s="1"/>
    </row>
    <row r="541" ht="15.0" customHeight="1">
      <c r="A541" s="93" t="s">
        <v>97</v>
      </c>
      <c r="B541" s="195">
        <v>100.0</v>
      </c>
      <c r="C541" s="78">
        <f t="shared" si="29"/>
        <v>100</v>
      </c>
      <c r="D541" s="900"/>
      <c r="E541" s="249" t="s">
        <v>18</v>
      </c>
      <c r="F541" s="47"/>
      <c r="G541" s="1"/>
      <c r="H541" s="1"/>
      <c r="I541" s="1"/>
      <c r="J541" s="1"/>
      <c r="K541" s="1"/>
      <c r="L541" s="1"/>
    </row>
    <row r="542" ht="15.0" customHeight="1">
      <c r="A542" s="93" t="s">
        <v>345</v>
      </c>
      <c r="B542" s="195">
        <v>0.2</v>
      </c>
      <c r="C542" s="78">
        <f t="shared" si="29"/>
        <v>0.2</v>
      </c>
      <c r="D542" s="900"/>
      <c r="E542" s="249" t="s">
        <v>14</v>
      </c>
      <c r="F542" s="47"/>
      <c r="G542" s="1"/>
      <c r="H542" s="1"/>
      <c r="I542" s="1"/>
      <c r="J542" s="1"/>
      <c r="K542" s="1"/>
      <c r="L542" s="1"/>
    </row>
    <row r="543" ht="15.0" customHeight="1">
      <c r="A543" s="93" t="s">
        <v>311</v>
      </c>
      <c r="B543" s="195">
        <v>0.5</v>
      </c>
      <c r="C543" s="78">
        <f t="shared" si="29"/>
        <v>0.5</v>
      </c>
      <c r="D543" s="900"/>
      <c r="E543" s="249" t="s">
        <v>14</v>
      </c>
      <c r="F543" s="47"/>
      <c r="G543" s="1"/>
      <c r="H543" s="1"/>
      <c r="I543" s="1"/>
      <c r="J543" s="1"/>
      <c r="K543" s="1"/>
      <c r="L543" s="1"/>
    </row>
    <row r="544" ht="15.0" customHeight="1">
      <c r="A544" s="93" t="s">
        <v>390</v>
      </c>
      <c r="B544" s="195">
        <v>50.0</v>
      </c>
      <c r="C544" s="78">
        <f t="shared" si="29"/>
        <v>50</v>
      </c>
      <c r="D544" s="900"/>
      <c r="E544" s="249" t="s">
        <v>18</v>
      </c>
      <c r="F544" s="47"/>
      <c r="G544" s="1"/>
      <c r="H544" s="1"/>
      <c r="I544" s="1"/>
      <c r="J544" s="1"/>
      <c r="K544" s="1"/>
      <c r="L544" s="1"/>
    </row>
    <row r="545" ht="15.0" customHeight="1">
      <c r="A545" s="93" t="s">
        <v>83</v>
      </c>
      <c r="B545" s="195">
        <v>300.0</v>
      </c>
      <c r="C545" s="78">
        <f t="shared" si="29"/>
        <v>300</v>
      </c>
      <c r="D545" s="900"/>
      <c r="E545" s="249" t="s">
        <v>18</v>
      </c>
      <c r="F545" s="47"/>
      <c r="G545" s="1"/>
      <c r="H545" s="1"/>
      <c r="I545" s="1"/>
      <c r="J545" s="1"/>
      <c r="K545" s="1"/>
      <c r="L545" s="1"/>
    </row>
    <row r="546" ht="15.0" customHeight="1">
      <c r="A546" s="93" t="s">
        <v>103</v>
      </c>
      <c r="B546" s="195">
        <v>40.0</v>
      </c>
      <c r="C546" s="78">
        <f t="shared" si="29"/>
        <v>40</v>
      </c>
      <c r="D546" s="900"/>
      <c r="E546" s="249" t="s">
        <v>18</v>
      </c>
      <c r="F546" s="47"/>
      <c r="G546" s="1"/>
      <c r="H546" s="1"/>
      <c r="I546" s="1"/>
      <c r="J546" s="1"/>
      <c r="K546" s="1"/>
      <c r="L546" s="1"/>
    </row>
    <row r="547" ht="15.0" customHeight="1">
      <c r="A547" s="105" t="s">
        <v>101</v>
      </c>
      <c r="B547" s="200">
        <v>3.0</v>
      </c>
      <c r="C547" s="56">
        <f t="shared" si="29"/>
        <v>3</v>
      </c>
      <c r="D547" s="1604"/>
      <c r="E547" s="518" t="s">
        <v>5</v>
      </c>
      <c r="F547" s="76"/>
      <c r="G547" s="1"/>
      <c r="H547" s="1"/>
      <c r="I547" s="1"/>
      <c r="J547" s="1"/>
      <c r="K547" s="1"/>
      <c r="L547" s="1"/>
    </row>
    <row r="548" ht="15.0" customHeight="1">
      <c r="A548" s="138" t="s">
        <v>2251</v>
      </c>
      <c r="B548" s="279">
        <v>0.5</v>
      </c>
      <c r="C548" s="146">
        <f t="shared" si="29"/>
        <v>0.5</v>
      </c>
      <c r="D548" s="1607"/>
      <c r="E548" s="242" t="s">
        <v>14</v>
      </c>
      <c r="F548" s="161"/>
      <c r="G548" s="1"/>
      <c r="H548" s="1"/>
      <c r="I548" s="1"/>
      <c r="J548" s="1"/>
      <c r="K548" s="1"/>
      <c r="L548" s="1"/>
    </row>
    <row r="549" ht="15.0" customHeight="1">
      <c r="A549" s="138" t="s">
        <v>173</v>
      </c>
      <c r="B549" s="279">
        <v>500.0</v>
      </c>
      <c r="C549" s="146">
        <f t="shared" si="29"/>
        <v>500</v>
      </c>
      <c r="D549" s="1607"/>
      <c r="E549" s="242" t="s">
        <v>18</v>
      </c>
      <c r="F549" s="284"/>
      <c r="G549" s="1"/>
      <c r="H549" s="1"/>
      <c r="I549" s="1"/>
      <c r="J549" s="1"/>
      <c r="K549" s="1"/>
      <c r="L549" s="1"/>
    </row>
    <row r="550" ht="15.0" customHeight="1">
      <c r="A550" s="173" t="s">
        <v>114</v>
      </c>
      <c r="B550" s="275">
        <v>2.5</v>
      </c>
      <c r="C550" s="179">
        <f t="shared" si="29"/>
        <v>2.5</v>
      </c>
      <c r="D550" s="1689"/>
      <c r="E550" s="547" t="s">
        <v>5</v>
      </c>
      <c r="F550" s="1968" t="s">
        <v>2252</v>
      </c>
      <c r="G550" s="1"/>
      <c r="H550" s="1"/>
      <c r="I550" s="1"/>
      <c r="J550" s="1"/>
      <c r="K550" s="1"/>
      <c r="L550" s="1"/>
    </row>
    <row r="551" ht="15.0" customHeight="1">
      <c r="A551" s="1640" t="s">
        <v>119</v>
      </c>
      <c r="B551" s="1641" t="s">
        <v>47</v>
      </c>
      <c r="C551" s="184"/>
      <c r="D551" s="184"/>
      <c r="E551" s="1"/>
      <c r="F551" s="1"/>
      <c r="G551" s="1"/>
      <c r="H551" s="1"/>
      <c r="I551" s="1"/>
      <c r="J551" s="1"/>
      <c r="K551" s="1"/>
      <c r="L551" s="1"/>
    </row>
    <row r="552" ht="15.0" customHeight="1">
      <c r="A552" s="302" t="s">
        <v>49</v>
      </c>
      <c r="B552" s="260">
        <v>40920.0</v>
      </c>
      <c r="C552" s="184"/>
      <c r="D552" s="184"/>
      <c r="E552" s="1"/>
      <c r="F552" s="1"/>
      <c r="G552" s="1"/>
      <c r="H552" s="1"/>
      <c r="I552" s="1"/>
      <c r="J552" s="1"/>
      <c r="K552" s="1"/>
      <c r="L552" s="1"/>
    </row>
    <row r="553" ht="15.0" customHeight="1">
      <c r="A553" s="811" t="s">
        <v>1052</v>
      </c>
      <c r="B553" s="260">
        <v>41653.0</v>
      </c>
      <c r="C553" s="184"/>
      <c r="D553" s="184"/>
      <c r="E553" s="1"/>
      <c r="F553" s="1"/>
      <c r="G553" s="1"/>
      <c r="H553" s="1"/>
      <c r="I553" s="1"/>
      <c r="J553" s="1"/>
      <c r="K553" s="1"/>
      <c r="L553" s="1"/>
    </row>
    <row r="554" ht="15.0" customHeight="1">
      <c r="A554" s="1"/>
      <c r="B554" s="107"/>
      <c r="C554" s="184"/>
      <c r="D554" s="184"/>
      <c r="E554" s="1"/>
      <c r="F554" s="1"/>
      <c r="G554" s="1"/>
      <c r="H554" s="1"/>
      <c r="I554" s="1"/>
      <c r="J554" s="1"/>
      <c r="K554" s="1"/>
      <c r="L554" s="1"/>
    </row>
    <row r="555" ht="15.0" customHeight="1">
      <c r="A555" s="511" t="s">
        <v>2257</v>
      </c>
      <c r="B555" s="18"/>
      <c r="C555" s="18"/>
      <c r="D555" s="18"/>
      <c r="E555" s="19"/>
      <c r="F555" s="141"/>
      <c r="G555" s="1"/>
      <c r="H555" s="1"/>
      <c r="I555" s="1"/>
      <c r="J555" s="1"/>
      <c r="K555" s="1"/>
      <c r="L555" s="1"/>
    </row>
    <row r="556" ht="15.0" customHeight="1">
      <c r="A556" s="51" t="s">
        <v>1</v>
      </c>
      <c r="B556" s="190">
        <v>56.0</v>
      </c>
      <c r="C556" s="513">
        <v>21.0</v>
      </c>
      <c r="D556" s="1576"/>
      <c r="E556" s="514" t="s">
        <v>5</v>
      </c>
      <c r="F556" s="141"/>
      <c r="G556" s="1"/>
      <c r="H556" s="1"/>
      <c r="I556" s="1"/>
      <c r="J556" s="1"/>
      <c r="K556" s="1"/>
      <c r="L556" s="1"/>
    </row>
    <row r="557" ht="15.0" customHeight="1">
      <c r="A557" s="68" t="s">
        <v>53</v>
      </c>
      <c r="B557" s="145">
        <v>10.0</v>
      </c>
      <c r="C557" s="155">
        <f t="shared" ref="C557:C562" si="30">(B557*C556)/B556</f>
        <v>3.75</v>
      </c>
      <c r="D557" s="899"/>
      <c r="E557" s="216" t="s">
        <v>14</v>
      </c>
      <c r="F557" s="140" t="s">
        <v>2259</v>
      </c>
      <c r="G557" s="1"/>
      <c r="H557" s="1"/>
      <c r="I557" s="1"/>
      <c r="J557" s="1"/>
      <c r="K557" s="1"/>
      <c r="L557" s="1"/>
    </row>
    <row r="558" ht="15.0" customHeight="1">
      <c r="A558" s="93" t="s">
        <v>59</v>
      </c>
      <c r="B558" s="195">
        <v>30.0</v>
      </c>
      <c r="C558" s="78">
        <f t="shared" si="30"/>
        <v>11.25</v>
      </c>
      <c r="D558" s="900"/>
      <c r="E558" s="249" t="s">
        <v>5</v>
      </c>
      <c r="G558" s="1"/>
      <c r="H558" s="1"/>
      <c r="I558" s="1"/>
      <c r="J558" s="1"/>
      <c r="K558" s="1"/>
      <c r="L558" s="1"/>
    </row>
    <row r="559" ht="15.0" customHeight="1">
      <c r="A559" s="93" t="s">
        <v>91</v>
      </c>
      <c r="B559" s="195">
        <v>0.35</v>
      </c>
      <c r="C559" s="78">
        <f t="shared" si="30"/>
        <v>0.13125</v>
      </c>
      <c r="D559" s="900"/>
      <c r="E559" s="249" t="s">
        <v>5</v>
      </c>
      <c r="G559" s="1"/>
      <c r="H559" s="1"/>
      <c r="I559" s="1"/>
      <c r="J559" s="1"/>
      <c r="K559" s="1"/>
      <c r="L559" s="1"/>
    </row>
    <row r="560" ht="15.0" customHeight="1">
      <c r="A560" s="105" t="s">
        <v>31</v>
      </c>
      <c r="B560" s="200">
        <v>350.0</v>
      </c>
      <c r="C560" s="56">
        <f t="shared" si="30"/>
        <v>131.25</v>
      </c>
      <c r="D560" s="1604"/>
      <c r="E560" s="518" t="s">
        <v>18</v>
      </c>
      <c r="F560" s="104"/>
      <c r="G560" s="1"/>
      <c r="H560" s="1"/>
      <c r="I560" s="1"/>
      <c r="J560" s="1"/>
      <c r="K560" s="1"/>
      <c r="L560" s="1"/>
    </row>
    <row r="561" ht="15.0" customHeight="1">
      <c r="A561" s="119" t="s">
        <v>34</v>
      </c>
      <c r="B561" s="238">
        <v>0.5</v>
      </c>
      <c r="C561" s="129">
        <f t="shared" si="30"/>
        <v>0.1875</v>
      </c>
      <c r="D561" s="1583"/>
      <c r="E561" s="520" t="s">
        <v>5</v>
      </c>
      <c r="F561" s="44" t="s">
        <v>2261</v>
      </c>
      <c r="G561" s="1"/>
      <c r="H561" s="1"/>
      <c r="I561" s="1"/>
      <c r="J561" s="1"/>
      <c r="K561" s="1"/>
      <c r="L561" s="1"/>
    </row>
    <row r="562" ht="15.0" customHeight="1">
      <c r="A562" s="93" t="s">
        <v>345</v>
      </c>
      <c r="B562" s="195">
        <v>0.26</v>
      </c>
      <c r="C562" s="78">
        <f t="shared" si="30"/>
        <v>0.0975</v>
      </c>
      <c r="D562" s="900"/>
      <c r="E562" s="249" t="s">
        <v>14</v>
      </c>
      <c r="F562" s="47"/>
      <c r="G562" s="1"/>
      <c r="H562" s="1"/>
      <c r="I562" s="1"/>
      <c r="J562" s="1"/>
      <c r="K562" s="1"/>
      <c r="L562" s="1"/>
    </row>
    <row r="563" ht="15.0" customHeight="1">
      <c r="A563" s="93" t="s">
        <v>311</v>
      </c>
      <c r="B563" s="195">
        <v>0.15</v>
      </c>
      <c r="C563" s="78">
        <f>(B563*C564)/B564</f>
        <v>0.05625</v>
      </c>
      <c r="D563" s="900"/>
      <c r="E563" s="249" t="s">
        <v>14</v>
      </c>
      <c r="F563" s="47"/>
      <c r="G563" s="1"/>
      <c r="H563" s="1"/>
      <c r="I563" s="1"/>
      <c r="J563" s="1"/>
      <c r="K563" s="1"/>
      <c r="L563" s="1"/>
    </row>
    <row r="564" ht="15.0" customHeight="1">
      <c r="A564" s="93" t="s">
        <v>2262</v>
      </c>
      <c r="B564" s="195">
        <v>50.0</v>
      </c>
      <c r="C564" s="78">
        <f t="shared" ref="C564:C565" si="31">(B564*C562)/B562</f>
        <v>18.75</v>
      </c>
      <c r="D564" s="900"/>
      <c r="E564" s="249" t="s">
        <v>18</v>
      </c>
      <c r="F564" s="47"/>
      <c r="G564" s="1"/>
      <c r="H564" s="1"/>
      <c r="I564" s="1"/>
      <c r="J564" s="1"/>
      <c r="K564" s="1"/>
      <c r="L564" s="1"/>
    </row>
    <row r="565" ht="15.0" customHeight="1">
      <c r="A565" s="93" t="s">
        <v>1538</v>
      </c>
      <c r="B565" s="195">
        <v>125.0</v>
      </c>
      <c r="C565" s="78">
        <f t="shared" si="31"/>
        <v>46.875</v>
      </c>
      <c r="D565" s="900"/>
      <c r="E565" s="249" t="s">
        <v>18</v>
      </c>
      <c r="F565" s="47"/>
      <c r="G565" s="1"/>
      <c r="H565" s="1"/>
      <c r="I565" s="1"/>
      <c r="J565" s="1"/>
      <c r="K565" s="1"/>
      <c r="L565" s="1"/>
    </row>
    <row r="566" ht="15.0" customHeight="1">
      <c r="A566" s="93" t="s">
        <v>162</v>
      </c>
      <c r="B566" s="195">
        <v>275.0</v>
      </c>
      <c r="C566" s="78">
        <f t="shared" ref="C566:C576" si="32">(B566*C565)/B565</f>
        <v>103.125</v>
      </c>
      <c r="D566" s="900"/>
      <c r="E566" s="249" t="s">
        <v>18</v>
      </c>
      <c r="F566" s="47"/>
      <c r="G566" s="1"/>
      <c r="H566" s="1"/>
      <c r="I566" s="1"/>
      <c r="J566" s="1"/>
      <c r="K566" s="1"/>
      <c r="L566" s="1"/>
    </row>
    <row r="567" ht="15.0" customHeight="1">
      <c r="A567" s="138" t="s">
        <v>2150</v>
      </c>
      <c r="B567" s="279">
        <v>60.0</v>
      </c>
      <c r="C567" s="146">
        <f t="shared" si="32"/>
        <v>22.5</v>
      </c>
      <c r="D567" s="1607"/>
      <c r="E567" s="242" t="s">
        <v>18</v>
      </c>
      <c r="F567" s="76"/>
      <c r="G567" s="1"/>
      <c r="H567" s="1"/>
      <c r="I567" s="1"/>
      <c r="J567" s="1"/>
      <c r="K567" s="1"/>
      <c r="L567" s="1"/>
    </row>
    <row r="568" ht="15.0" customHeight="1">
      <c r="A568" s="173" t="s">
        <v>80</v>
      </c>
      <c r="B568" s="275">
        <v>1.85</v>
      </c>
      <c r="C568" s="179">
        <f t="shared" si="32"/>
        <v>0.69375</v>
      </c>
      <c r="D568" s="1689"/>
      <c r="E568" s="547" t="s">
        <v>14</v>
      </c>
      <c r="F568" s="1186"/>
      <c r="G568" s="1"/>
      <c r="H568" s="1"/>
      <c r="I568" s="1"/>
      <c r="J568" s="1"/>
      <c r="K568" s="1"/>
      <c r="L568" s="1"/>
    </row>
    <row r="569" ht="15.0" customHeight="1">
      <c r="A569" s="173" t="s">
        <v>60</v>
      </c>
      <c r="B569" s="275">
        <v>0.5</v>
      </c>
      <c r="C569" s="179">
        <f t="shared" si="32"/>
        <v>0.1875</v>
      </c>
      <c r="D569" s="1689"/>
      <c r="E569" s="547" t="s">
        <v>14</v>
      </c>
      <c r="F569" s="44" t="s">
        <v>2267</v>
      </c>
      <c r="G569" s="1"/>
      <c r="H569" s="1"/>
      <c r="I569" s="1"/>
      <c r="J569" s="1"/>
      <c r="K569" s="1"/>
      <c r="L569" s="1"/>
    </row>
    <row r="570" ht="15.0" customHeight="1">
      <c r="A570" s="119" t="s">
        <v>34</v>
      </c>
      <c r="B570" s="238">
        <v>1.0</v>
      </c>
      <c r="C570" s="129">
        <f t="shared" si="32"/>
        <v>0.375</v>
      </c>
      <c r="D570" s="1583"/>
      <c r="E570" s="520" t="s">
        <v>5</v>
      </c>
      <c r="F570" s="47"/>
      <c r="G570" s="1"/>
      <c r="H570" s="1"/>
      <c r="I570" s="1"/>
      <c r="J570" s="1"/>
      <c r="K570" s="1"/>
      <c r="L570" s="1"/>
    </row>
    <row r="571" ht="15.0" customHeight="1">
      <c r="A571" s="93" t="s">
        <v>97</v>
      </c>
      <c r="B571" s="195">
        <v>100.0</v>
      </c>
      <c r="C571" s="78">
        <f t="shared" si="32"/>
        <v>37.5</v>
      </c>
      <c r="D571" s="900"/>
      <c r="E571" s="249" t="s">
        <v>18</v>
      </c>
      <c r="F571" s="47"/>
      <c r="G571" s="1"/>
      <c r="H571" s="1"/>
      <c r="I571" s="1"/>
      <c r="J571" s="1"/>
      <c r="K571" s="1"/>
      <c r="L571" s="1"/>
    </row>
    <row r="572" ht="15.0" customHeight="1">
      <c r="A572" s="93" t="s">
        <v>2270</v>
      </c>
      <c r="B572" s="195">
        <v>150.0</v>
      </c>
      <c r="C572" s="78">
        <f t="shared" si="32"/>
        <v>56.25</v>
      </c>
      <c r="D572" s="900"/>
      <c r="E572" s="249" t="s">
        <v>18</v>
      </c>
      <c r="F572" s="47"/>
      <c r="G572" s="1"/>
      <c r="H572" s="1"/>
      <c r="I572" s="1"/>
      <c r="J572" s="1"/>
      <c r="K572" s="1"/>
      <c r="L572" s="1"/>
    </row>
    <row r="573" ht="15.0" customHeight="1">
      <c r="A573" s="93" t="s">
        <v>101</v>
      </c>
      <c r="B573" s="195">
        <v>1.0</v>
      </c>
      <c r="C573" s="78">
        <f t="shared" si="32"/>
        <v>0.375</v>
      </c>
      <c r="D573" s="900"/>
      <c r="E573" s="249" t="s">
        <v>5</v>
      </c>
      <c r="F573" s="47"/>
      <c r="G573" s="1"/>
      <c r="H573" s="1"/>
      <c r="I573" s="1"/>
      <c r="J573" s="1"/>
      <c r="K573" s="1"/>
      <c r="L573" s="1"/>
    </row>
    <row r="574" ht="15.0" customHeight="1">
      <c r="A574" s="93" t="s">
        <v>103</v>
      </c>
      <c r="B574" s="195">
        <v>50.0</v>
      </c>
      <c r="C574" s="78">
        <f t="shared" si="32"/>
        <v>18.75</v>
      </c>
      <c r="D574" s="900"/>
      <c r="E574" s="249" t="s">
        <v>18</v>
      </c>
      <c r="F574" s="47"/>
      <c r="G574" s="1"/>
      <c r="H574" s="1"/>
      <c r="I574" s="1"/>
      <c r="J574" s="1"/>
      <c r="K574" s="1"/>
      <c r="L574" s="1"/>
    </row>
    <row r="575" ht="15.0" customHeight="1">
      <c r="A575" s="93" t="s">
        <v>52</v>
      </c>
      <c r="B575" s="195">
        <v>50.0</v>
      </c>
      <c r="C575" s="78">
        <f t="shared" si="32"/>
        <v>18.75</v>
      </c>
      <c r="D575" s="900"/>
      <c r="E575" s="249" t="s">
        <v>18</v>
      </c>
      <c r="F575" s="47"/>
      <c r="G575" s="1"/>
      <c r="H575" s="1"/>
      <c r="I575" s="1"/>
      <c r="J575" s="1"/>
      <c r="K575" s="1"/>
      <c r="L575" s="1"/>
    </row>
    <row r="576" ht="15.0" customHeight="1">
      <c r="A576" s="93" t="s">
        <v>2271</v>
      </c>
      <c r="B576" s="195">
        <v>16.0</v>
      </c>
      <c r="C576" s="78">
        <f t="shared" si="32"/>
        <v>6</v>
      </c>
      <c r="D576" s="900"/>
      <c r="E576" s="249" t="s">
        <v>14</v>
      </c>
      <c r="F576" s="47"/>
      <c r="G576" s="1"/>
      <c r="H576" s="1"/>
      <c r="I576" s="1"/>
      <c r="J576" s="1"/>
      <c r="K576" s="1"/>
      <c r="L576" s="1"/>
    </row>
    <row r="577" ht="15.0" customHeight="1">
      <c r="A577" s="138" t="s">
        <v>2272</v>
      </c>
      <c r="B577" s="279">
        <v>260.0</v>
      </c>
      <c r="C577" s="78">
        <f t="shared" ref="C577:C578" si="33">(B577*C575)/B575</f>
        <v>97.5</v>
      </c>
      <c r="D577" s="1607"/>
      <c r="E577" s="242" t="s">
        <v>18</v>
      </c>
      <c r="F577" s="47"/>
      <c r="G577" s="1"/>
      <c r="H577" s="1"/>
      <c r="I577" s="1"/>
      <c r="J577" s="1"/>
      <c r="K577" s="1"/>
      <c r="L577" s="1"/>
    </row>
    <row r="578" ht="15.0" customHeight="1">
      <c r="A578" s="138" t="s">
        <v>1291</v>
      </c>
      <c r="B578" s="279">
        <v>5.0</v>
      </c>
      <c r="C578" s="78">
        <f t="shared" si="33"/>
        <v>1.875</v>
      </c>
      <c r="D578" s="1607"/>
      <c r="E578" s="242" t="s">
        <v>93</v>
      </c>
      <c r="F578" s="47"/>
      <c r="G578" s="1"/>
      <c r="H578" s="1"/>
      <c r="I578" s="1"/>
      <c r="J578" s="1"/>
      <c r="K578" s="1"/>
      <c r="L578" s="1"/>
    </row>
    <row r="579" ht="15.0" customHeight="1">
      <c r="A579" s="138" t="s">
        <v>31</v>
      </c>
      <c r="B579" s="279">
        <v>625.0</v>
      </c>
      <c r="C579" s="146">
        <f t="shared" ref="C579:C581" si="34">(B579*C578)/B578</f>
        <v>234.375</v>
      </c>
      <c r="D579" s="1607"/>
      <c r="E579" s="242" t="s">
        <v>18</v>
      </c>
      <c r="F579" s="76"/>
      <c r="G579" s="1"/>
      <c r="H579" s="1"/>
      <c r="I579" s="1"/>
      <c r="J579" s="1"/>
      <c r="K579" s="1"/>
      <c r="L579" s="1"/>
    </row>
    <row r="580" ht="15.0" customHeight="1">
      <c r="A580" s="173" t="s">
        <v>2275</v>
      </c>
      <c r="B580" s="275">
        <v>0.75</v>
      </c>
      <c r="C580" s="179">
        <f t="shared" si="34"/>
        <v>0.28125</v>
      </c>
      <c r="D580" s="1689"/>
      <c r="E580" s="547" t="s">
        <v>14</v>
      </c>
      <c r="F580" s="784" t="s">
        <v>2276</v>
      </c>
      <c r="G580" s="1"/>
      <c r="H580" s="1"/>
      <c r="I580" s="1"/>
      <c r="J580" s="1"/>
      <c r="K580" s="1"/>
      <c r="L580" s="1"/>
    </row>
    <row r="581" ht="15.0" customHeight="1">
      <c r="A581" s="149" t="s">
        <v>335</v>
      </c>
      <c r="B581" s="152">
        <v>2.0</v>
      </c>
      <c r="C581" s="274">
        <f t="shared" si="34"/>
        <v>0.75</v>
      </c>
      <c r="D581" s="1690"/>
      <c r="E581" s="288" t="s">
        <v>5</v>
      </c>
      <c r="F581" s="141"/>
      <c r="G581" s="1"/>
      <c r="H581" s="1"/>
      <c r="I581" s="1"/>
      <c r="J581" s="1"/>
      <c r="K581" s="1"/>
      <c r="L581" s="1"/>
    </row>
    <row r="582" ht="15.0" customHeight="1">
      <c r="A582" s="1640" t="s">
        <v>119</v>
      </c>
      <c r="B582" s="1641" t="s">
        <v>47</v>
      </c>
      <c r="C582" s="184"/>
      <c r="D582" s="184"/>
      <c r="E582" s="1"/>
      <c r="F582" s="1"/>
      <c r="G582" s="1"/>
      <c r="H582" s="1"/>
      <c r="I582" s="1"/>
      <c r="J582" s="1"/>
      <c r="K582" s="1"/>
      <c r="L582" s="1"/>
    </row>
    <row r="583" ht="15.0" customHeight="1">
      <c r="A583" s="550" t="s">
        <v>1583</v>
      </c>
      <c r="B583" s="1994">
        <v>41036.0</v>
      </c>
      <c r="C583" s="184"/>
      <c r="D583" s="184"/>
      <c r="E583" s="1"/>
      <c r="F583" s="1"/>
      <c r="G583" s="1"/>
      <c r="H583" s="1"/>
      <c r="I583" s="1"/>
      <c r="J583" s="1"/>
      <c r="K583" s="1"/>
      <c r="L583" s="1"/>
    </row>
    <row r="584" ht="15.0" customHeight="1">
      <c r="A584" s="342" t="s">
        <v>1585</v>
      </c>
      <c r="B584" s="1994">
        <v>41808.0</v>
      </c>
      <c r="C584" s="184"/>
      <c r="D584" s="184"/>
      <c r="E584" s="1"/>
      <c r="F584" s="1"/>
      <c r="G584" s="1"/>
      <c r="H584" s="1"/>
      <c r="I584" s="1"/>
      <c r="J584" s="1"/>
      <c r="K584" s="1"/>
      <c r="L584" s="1"/>
    </row>
    <row r="585" ht="15.0" customHeight="1">
      <c r="A585" s="1"/>
      <c r="B585" s="107"/>
      <c r="C585" s="184"/>
      <c r="D585" s="184"/>
      <c r="E585" s="1"/>
      <c r="F585" s="1"/>
      <c r="G585" s="1"/>
      <c r="H585" s="1"/>
      <c r="I585" s="1"/>
      <c r="J585" s="1"/>
      <c r="K585" s="1"/>
      <c r="L585" s="1"/>
    </row>
    <row r="586" ht="15.0" customHeight="1">
      <c r="A586" s="505" t="s">
        <v>561</v>
      </c>
      <c r="B586" s="18"/>
      <c r="C586" s="18"/>
      <c r="D586" s="18"/>
      <c r="E586" s="19"/>
      <c r="F586" s="141"/>
      <c r="G586" s="1"/>
      <c r="H586" s="1"/>
      <c r="I586" s="1"/>
      <c r="J586" s="1"/>
      <c r="K586" s="1"/>
      <c r="L586" s="1"/>
    </row>
    <row r="587" ht="15.0" customHeight="1">
      <c r="A587" s="512" t="s">
        <v>1</v>
      </c>
      <c r="B587" s="190">
        <v>50.0</v>
      </c>
      <c r="C587" s="1274">
        <v>800.0</v>
      </c>
      <c r="D587" s="1576"/>
      <c r="E587" s="514" t="s">
        <v>190</v>
      </c>
      <c r="F587" s="1112"/>
      <c r="G587" s="1"/>
      <c r="H587" s="1"/>
      <c r="I587" s="1"/>
      <c r="J587" s="1"/>
      <c r="K587" s="1"/>
      <c r="L587" s="1"/>
    </row>
    <row r="588" ht="15.0" customHeight="1">
      <c r="A588" s="68" t="s">
        <v>1952</v>
      </c>
      <c r="B588" s="1202">
        <v>10.0</v>
      </c>
      <c r="C588" s="73">
        <f t="shared" ref="C588:C589" si="35">(B588*C587)/B587</f>
        <v>160</v>
      </c>
      <c r="D588" s="1620"/>
      <c r="E588" s="216" t="s">
        <v>366</v>
      </c>
      <c r="F588" s="44"/>
      <c r="G588" s="1"/>
      <c r="H588" s="1"/>
      <c r="I588" s="1"/>
      <c r="J588" s="1"/>
      <c r="K588" s="1"/>
      <c r="L588" s="1"/>
    </row>
    <row r="589" ht="15.0" customHeight="1">
      <c r="A589" s="93" t="s">
        <v>59</v>
      </c>
      <c r="B589" s="1213">
        <v>25.0</v>
      </c>
      <c r="C589" s="78">
        <f t="shared" si="35"/>
        <v>400</v>
      </c>
      <c r="D589" s="1583"/>
      <c r="E589" s="520" t="s">
        <v>5</v>
      </c>
      <c r="F589" s="47"/>
      <c r="G589" s="1"/>
      <c r="H589" s="1"/>
      <c r="I589" s="1"/>
      <c r="J589" s="1"/>
      <c r="K589" s="1"/>
      <c r="L589" s="1"/>
    </row>
    <row r="590" ht="15.0" customHeight="1">
      <c r="A590" s="93" t="s">
        <v>91</v>
      </c>
      <c r="B590" s="195">
        <v>0.25</v>
      </c>
      <c r="C590" s="78">
        <f>(B590*C591)/B591</f>
        <v>4</v>
      </c>
      <c r="D590" s="900"/>
      <c r="E590" s="249" t="s">
        <v>5</v>
      </c>
      <c r="F590" s="47"/>
      <c r="G590" s="1"/>
      <c r="H590" s="1"/>
      <c r="I590" s="1"/>
      <c r="J590" s="1"/>
      <c r="K590" s="1"/>
      <c r="L590" s="1"/>
    </row>
    <row r="591" ht="15.0" customHeight="1">
      <c r="A591" s="138" t="s">
        <v>31</v>
      </c>
      <c r="B591" s="279">
        <v>200.0</v>
      </c>
      <c r="C591" s="146">
        <f>(B591*C588)/B588</f>
        <v>3200</v>
      </c>
      <c r="D591" s="1607"/>
      <c r="E591" s="242" t="s">
        <v>18</v>
      </c>
      <c r="F591" s="76"/>
      <c r="G591" s="1"/>
      <c r="H591" s="1"/>
      <c r="I591" s="1"/>
      <c r="J591" s="1"/>
      <c r="K591" s="1"/>
      <c r="L591" s="1"/>
    </row>
    <row r="592" ht="15.0" customHeight="1">
      <c r="A592" s="68" t="s">
        <v>91</v>
      </c>
      <c r="B592" s="145">
        <v>1.0</v>
      </c>
      <c r="C592" s="155">
        <f>(B592*C590)/B590</f>
        <v>16</v>
      </c>
      <c r="D592" s="899"/>
      <c r="E592" s="216" t="s">
        <v>5</v>
      </c>
      <c r="F592" s="264" t="s">
        <v>1881</v>
      </c>
      <c r="G592" s="1"/>
      <c r="H592" s="1"/>
      <c r="I592" s="1"/>
      <c r="J592" s="1"/>
      <c r="K592" s="1"/>
      <c r="L592" s="1"/>
    </row>
    <row r="593" ht="15.0" customHeight="1">
      <c r="A593" s="93" t="s">
        <v>97</v>
      </c>
      <c r="B593" s="195">
        <v>100.0</v>
      </c>
      <c r="C593" s="78">
        <f t="shared" ref="C593:C602" si="36">(B593*C592)/B592</f>
        <v>1600</v>
      </c>
      <c r="D593" s="900"/>
      <c r="E593" s="249" t="s">
        <v>18</v>
      </c>
      <c r="F593" s="66"/>
      <c r="G593" s="1"/>
      <c r="H593" s="1"/>
      <c r="I593" s="1"/>
      <c r="J593" s="1"/>
      <c r="K593" s="1"/>
      <c r="L593" s="1"/>
    </row>
    <row r="594" ht="15.0" customHeight="1">
      <c r="A594" s="93" t="s">
        <v>39</v>
      </c>
      <c r="B594" s="195">
        <v>100.0</v>
      </c>
      <c r="C594" s="78">
        <f t="shared" si="36"/>
        <v>1600</v>
      </c>
      <c r="D594" s="900"/>
      <c r="E594" s="249" t="s">
        <v>18</v>
      </c>
      <c r="F594" s="66"/>
      <c r="G594" s="1"/>
      <c r="H594" s="1"/>
      <c r="I594" s="1"/>
      <c r="J594" s="1"/>
      <c r="K594" s="1"/>
      <c r="L594" s="1"/>
    </row>
    <row r="595" ht="15.0" customHeight="1">
      <c r="A595" s="93" t="s">
        <v>149</v>
      </c>
      <c r="B595" s="195">
        <v>100.0</v>
      </c>
      <c r="C595" s="78">
        <f t="shared" si="36"/>
        <v>1600</v>
      </c>
      <c r="D595" s="900"/>
      <c r="E595" s="249" t="s">
        <v>18</v>
      </c>
      <c r="F595" s="66"/>
      <c r="G595" s="1"/>
      <c r="H595" s="1"/>
      <c r="I595" s="1"/>
      <c r="J595" s="1"/>
      <c r="K595" s="1"/>
      <c r="L595" s="1"/>
    </row>
    <row r="596" ht="15.0" customHeight="1">
      <c r="A596" s="93" t="s">
        <v>103</v>
      </c>
      <c r="B596" s="195">
        <v>100.0</v>
      </c>
      <c r="C596" s="78">
        <f t="shared" si="36"/>
        <v>1600</v>
      </c>
      <c r="D596" s="900"/>
      <c r="E596" s="249" t="s">
        <v>18</v>
      </c>
      <c r="F596" s="66"/>
      <c r="G596" s="1"/>
      <c r="H596" s="1"/>
      <c r="I596" s="1"/>
      <c r="J596" s="1"/>
      <c r="K596" s="1"/>
      <c r="L596" s="1"/>
    </row>
    <row r="597" ht="15.0" customHeight="1">
      <c r="A597" s="93" t="s">
        <v>2286</v>
      </c>
      <c r="B597" s="195">
        <v>4.5</v>
      </c>
      <c r="C597" s="78">
        <f t="shared" si="36"/>
        <v>72</v>
      </c>
      <c r="D597" s="900"/>
      <c r="E597" s="249" t="s">
        <v>14</v>
      </c>
      <c r="F597" s="66"/>
      <c r="G597" s="1"/>
      <c r="H597" s="1"/>
      <c r="I597" s="1"/>
      <c r="J597" s="1"/>
      <c r="K597" s="1"/>
      <c r="L597" s="1"/>
    </row>
    <row r="598" ht="15.0" customHeight="1">
      <c r="A598" s="93" t="s">
        <v>1246</v>
      </c>
      <c r="B598" s="1213">
        <v>4.0</v>
      </c>
      <c r="C598" s="94">
        <f t="shared" si="36"/>
        <v>64</v>
      </c>
      <c r="D598" s="1586"/>
      <c r="E598" s="249" t="s">
        <v>14</v>
      </c>
      <c r="F598" s="66"/>
      <c r="G598" s="1"/>
      <c r="H598" s="1"/>
      <c r="I598" s="1"/>
      <c r="J598" s="1"/>
      <c r="K598" s="1"/>
      <c r="L598" s="1"/>
    </row>
    <row r="599" ht="15.0" customHeight="1">
      <c r="A599" s="93" t="s">
        <v>2288</v>
      </c>
      <c r="B599" s="1213">
        <v>2.5</v>
      </c>
      <c r="C599" s="94">
        <f t="shared" si="36"/>
        <v>40</v>
      </c>
      <c r="D599" s="1586"/>
      <c r="E599" s="249" t="s">
        <v>14</v>
      </c>
      <c r="F599" s="66"/>
      <c r="G599" s="1"/>
      <c r="H599" s="1"/>
      <c r="I599" s="1"/>
      <c r="J599" s="1"/>
      <c r="K599" s="1"/>
      <c r="L599" s="1"/>
    </row>
    <row r="600" ht="15.0" customHeight="1">
      <c r="A600" s="93" t="s">
        <v>31</v>
      </c>
      <c r="B600" s="1213">
        <v>300.0</v>
      </c>
      <c r="C600" s="94">
        <f t="shared" si="36"/>
        <v>4800</v>
      </c>
      <c r="D600" s="1586"/>
      <c r="E600" s="249" t="s">
        <v>18</v>
      </c>
      <c r="F600" s="66"/>
      <c r="G600" s="1"/>
      <c r="H600" s="1"/>
      <c r="I600" s="1"/>
      <c r="J600" s="1"/>
      <c r="K600" s="1"/>
      <c r="L600" s="1"/>
    </row>
    <row r="601" ht="15.0" customHeight="1">
      <c r="A601" s="93" t="s">
        <v>884</v>
      </c>
      <c r="B601" s="1213">
        <v>100.0</v>
      </c>
      <c r="C601" s="94">
        <f t="shared" si="36"/>
        <v>1600</v>
      </c>
      <c r="D601" s="1586"/>
      <c r="E601" s="249" t="s">
        <v>18</v>
      </c>
      <c r="F601" s="106"/>
      <c r="G601" s="1"/>
      <c r="H601" s="1"/>
      <c r="I601" s="1"/>
      <c r="J601" s="1"/>
      <c r="K601" s="1"/>
      <c r="L601" s="1"/>
    </row>
    <row r="602" ht="15.0" customHeight="1">
      <c r="A602" s="105" t="s">
        <v>114</v>
      </c>
      <c r="B602" s="1216">
        <v>1.0</v>
      </c>
      <c r="C602" s="110">
        <f t="shared" si="36"/>
        <v>16</v>
      </c>
      <c r="D602" s="1959"/>
      <c r="E602" s="518" t="s">
        <v>5</v>
      </c>
      <c r="F602" s="1"/>
      <c r="G602" s="1"/>
      <c r="H602" s="1"/>
      <c r="I602" s="1"/>
      <c r="J602" s="1"/>
      <c r="K602" s="1"/>
      <c r="L602" s="1"/>
    </row>
    <row r="603" ht="15.0" customHeight="1">
      <c r="A603" s="2004" t="s">
        <v>119</v>
      </c>
      <c r="B603" s="2006" t="s">
        <v>47</v>
      </c>
      <c r="C603" s="184"/>
      <c r="D603" s="184"/>
      <c r="E603" s="1"/>
      <c r="F603" s="847"/>
      <c r="G603" s="1"/>
      <c r="H603" s="1"/>
      <c r="I603" s="1"/>
      <c r="J603" s="1"/>
      <c r="K603" s="1"/>
      <c r="L603" s="1"/>
    </row>
    <row r="604" ht="15.0" customHeight="1">
      <c r="A604" s="1"/>
      <c r="B604" s="107"/>
      <c r="C604" s="184"/>
      <c r="D604" s="184"/>
      <c r="E604" s="1"/>
      <c r="F604" s="1"/>
      <c r="G604" s="1"/>
      <c r="H604" s="1"/>
      <c r="I604" s="1"/>
      <c r="J604" s="1"/>
      <c r="K604" s="1"/>
      <c r="L604" s="1"/>
    </row>
    <row r="605" ht="15.0" customHeight="1">
      <c r="A605" s="2008" t="s">
        <v>444</v>
      </c>
      <c r="B605" s="2009"/>
      <c r="C605" s="2009"/>
      <c r="D605" s="2009"/>
      <c r="E605" s="2009"/>
      <c r="F605" s="2011"/>
      <c r="G605" s="1"/>
      <c r="H605" s="1"/>
      <c r="I605" s="1"/>
      <c r="J605" s="1"/>
      <c r="K605" s="1"/>
      <c r="L605" s="1"/>
    </row>
    <row r="606" ht="15.0" customHeight="1">
      <c r="A606" s="2013" t="s">
        <v>1</v>
      </c>
      <c r="B606" s="2015">
        <v>65.0</v>
      </c>
      <c r="C606" s="2018">
        <v>40.0</v>
      </c>
      <c r="D606" s="2019"/>
      <c r="E606" s="2020" t="s">
        <v>5</v>
      </c>
      <c r="F606" s="1870"/>
      <c r="G606" s="1"/>
      <c r="H606" s="1"/>
      <c r="I606" s="1"/>
      <c r="J606" s="1"/>
      <c r="K606" s="1"/>
      <c r="L606" s="1"/>
    </row>
    <row r="607" ht="15.0" customHeight="1">
      <c r="A607" s="173" t="s">
        <v>1952</v>
      </c>
      <c r="B607" s="1771">
        <v>10.0</v>
      </c>
      <c r="C607" s="2025">
        <f t="shared" ref="C607:C639" si="37">(B607*C606)/B606</f>
        <v>6.153846154</v>
      </c>
      <c r="D607" s="2028"/>
      <c r="E607" s="278" t="s">
        <v>14</v>
      </c>
      <c r="F607" s="2030" t="s">
        <v>2295</v>
      </c>
      <c r="G607" s="1"/>
      <c r="H607" s="1"/>
      <c r="I607" s="1"/>
      <c r="J607" s="1"/>
      <c r="K607" s="1"/>
      <c r="L607" s="1"/>
    </row>
    <row r="608" ht="15.0" customHeight="1">
      <c r="A608" s="68" t="s">
        <v>743</v>
      </c>
      <c r="B608" s="1894">
        <v>1.0</v>
      </c>
      <c r="C608" s="2031">
        <f t="shared" si="37"/>
        <v>0.6153846154</v>
      </c>
      <c r="D608" s="2032"/>
      <c r="E608" s="137" t="s">
        <v>5</v>
      </c>
      <c r="F608" s="1100" t="s">
        <v>2301</v>
      </c>
      <c r="G608" s="1"/>
      <c r="H608" s="1"/>
      <c r="I608" s="1"/>
      <c r="J608" s="1"/>
      <c r="K608" s="1"/>
      <c r="L608" s="1"/>
    </row>
    <row r="609" ht="15.0" customHeight="1">
      <c r="A609" s="93" t="s">
        <v>102</v>
      </c>
      <c r="B609" s="2033">
        <v>43.0</v>
      </c>
      <c r="C609" s="2034">
        <f t="shared" si="37"/>
        <v>26.46153846</v>
      </c>
      <c r="D609" s="2035"/>
      <c r="E609" s="738" t="s">
        <v>18</v>
      </c>
      <c r="F609" s="47"/>
      <c r="G609" s="1"/>
      <c r="H609" s="1"/>
      <c r="I609" s="1"/>
      <c r="J609" s="1"/>
      <c r="K609" s="1"/>
      <c r="L609" s="1"/>
    </row>
    <row r="610" ht="15.0" customHeight="1">
      <c r="A610" s="93" t="s">
        <v>95</v>
      </c>
      <c r="B610" s="2033">
        <v>43.0</v>
      </c>
      <c r="C610" s="2034">
        <f t="shared" si="37"/>
        <v>26.46153846</v>
      </c>
      <c r="D610" s="2035"/>
      <c r="E610" s="738" t="s">
        <v>18</v>
      </c>
      <c r="F610" s="47"/>
      <c r="G610" s="1"/>
      <c r="H610" s="1"/>
      <c r="I610" s="1"/>
      <c r="J610" s="1"/>
      <c r="K610" s="1"/>
      <c r="L610" s="1"/>
    </row>
    <row r="611" ht="15.0" customHeight="1">
      <c r="A611" s="93" t="s">
        <v>96</v>
      </c>
      <c r="B611" s="2033">
        <v>43.0</v>
      </c>
      <c r="C611" s="2034">
        <f t="shared" si="37"/>
        <v>26.46153846</v>
      </c>
      <c r="D611" s="2035"/>
      <c r="E611" s="738" t="s">
        <v>18</v>
      </c>
      <c r="F611" s="47"/>
      <c r="G611" s="1"/>
      <c r="H611" s="1"/>
      <c r="I611" s="1"/>
      <c r="J611" s="1"/>
      <c r="K611" s="1"/>
      <c r="L611" s="1"/>
    </row>
    <row r="612" ht="15.0" customHeight="1">
      <c r="A612" s="93" t="s">
        <v>66</v>
      </c>
      <c r="B612" s="2033">
        <v>43.0</v>
      </c>
      <c r="C612" s="2034">
        <f t="shared" si="37"/>
        <v>26.46153846</v>
      </c>
      <c r="D612" s="2035"/>
      <c r="E612" s="738" t="s">
        <v>18</v>
      </c>
      <c r="F612" s="47"/>
      <c r="G612" s="1"/>
      <c r="H612" s="1"/>
      <c r="I612" s="1"/>
      <c r="J612" s="1"/>
      <c r="K612" s="1"/>
      <c r="L612" s="1"/>
    </row>
    <row r="613" ht="15.0" customHeight="1">
      <c r="A613" s="138" t="s">
        <v>1179</v>
      </c>
      <c r="B613" s="2033">
        <v>43.0</v>
      </c>
      <c r="C613" s="2034">
        <f t="shared" si="37"/>
        <v>26.46153846</v>
      </c>
      <c r="D613" s="2035"/>
      <c r="E613" s="738" t="s">
        <v>18</v>
      </c>
      <c r="F613" s="76"/>
      <c r="G613" s="1"/>
      <c r="H613" s="1"/>
      <c r="I613" s="1"/>
      <c r="J613" s="1"/>
      <c r="K613" s="1"/>
      <c r="L613" s="1"/>
    </row>
    <row r="614" ht="15.0" customHeight="1">
      <c r="A614" s="68" t="s">
        <v>2308</v>
      </c>
      <c r="B614" s="1894">
        <v>3.0</v>
      </c>
      <c r="C614" s="2040">
        <f t="shared" si="37"/>
        <v>1.846153846</v>
      </c>
      <c r="D614" s="2041"/>
      <c r="E614" s="137" t="s">
        <v>14</v>
      </c>
      <c r="F614" s="610" t="s">
        <v>2312</v>
      </c>
      <c r="G614" s="1"/>
      <c r="H614" s="1"/>
      <c r="I614" s="1"/>
      <c r="J614" s="1"/>
      <c r="K614" s="1"/>
      <c r="L614" s="1"/>
    </row>
    <row r="615" ht="15.0" customHeight="1">
      <c r="A615" s="93" t="s">
        <v>2313</v>
      </c>
      <c r="B615" s="2043">
        <v>3.0</v>
      </c>
      <c r="C615" s="2044">
        <f t="shared" si="37"/>
        <v>1.846153846</v>
      </c>
      <c r="D615" s="2045"/>
      <c r="E615" s="165" t="s">
        <v>14</v>
      </c>
      <c r="F615" s="47"/>
      <c r="G615" s="1"/>
      <c r="H615" s="1"/>
      <c r="I615" s="1"/>
      <c r="J615" s="1"/>
      <c r="K615" s="1"/>
      <c r="L615" s="1"/>
    </row>
    <row r="616" ht="15.0" customHeight="1">
      <c r="A616" s="93" t="s">
        <v>2317</v>
      </c>
      <c r="B616" s="2043">
        <v>9.999999999999998</v>
      </c>
      <c r="C616" s="2044">
        <f t="shared" si="37"/>
        <v>6.153846154</v>
      </c>
      <c r="D616" s="2045"/>
      <c r="E616" s="165" t="s">
        <v>14</v>
      </c>
      <c r="F616" s="47"/>
      <c r="G616" s="1"/>
      <c r="H616" s="1"/>
      <c r="I616" s="1"/>
      <c r="J616" s="1"/>
      <c r="K616" s="1"/>
      <c r="L616" s="1"/>
    </row>
    <row r="617" ht="15.0" customHeight="1">
      <c r="A617" s="93" t="s">
        <v>329</v>
      </c>
      <c r="B617" s="2043">
        <v>3.0</v>
      </c>
      <c r="C617" s="2044">
        <f t="shared" si="37"/>
        <v>1.846153846</v>
      </c>
      <c r="D617" s="2045"/>
      <c r="E617" s="165" t="s">
        <v>14</v>
      </c>
      <c r="F617" s="47"/>
      <c r="G617" s="1"/>
      <c r="H617" s="1"/>
      <c r="I617" s="1"/>
      <c r="J617" s="1"/>
      <c r="K617" s="1"/>
      <c r="L617" s="1"/>
    </row>
    <row r="618" ht="15.0" customHeight="1">
      <c r="A618" s="105" t="s">
        <v>2319</v>
      </c>
      <c r="B618" s="2047">
        <v>7.6</v>
      </c>
      <c r="C618" s="2049">
        <f t="shared" si="37"/>
        <v>4.676923077</v>
      </c>
      <c r="D618" s="2050"/>
      <c r="E618" s="172" t="s">
        <v>14</v>
      </c>
      <c r="F618" s="47"/>
      <c r="G618" s="1"/>
      <c r="H618" s="1"/>
      <c r="I618" s="1"/>
      <c r="J618" s="1"/>
      <c r="K618" s="1"/>
      <c r="L618" s="1"/>
    </row>
    <row r="619" ht="15.0" customHeight="1">
      <c r="A619" s="105" t="s">
        <v>31</v>
      </c>
      <c r="B619" s="2047">
        <v>320.0</v>
      </c>
      <c r="C619" s="2051">
        <f t="shared" si="37"/>
        <v>196.9230769</v>
      </c>
      <c r="D619" s="2053"/>
      <c r="E619" s="172" t="s">
        <v>18</v>
      </c>
      <c r="F619" s="76"/>
      <c r="G619" s="1"/>
      <c r="H619" s="1"/>
      <c r="I619" s="1"/>
      <c r="J619" s="1"/>
      <c r="K619" s="1"/>
      <c r="L619" s="1"/>
    </row>
    <row r="620" ht="15.0" customHeight="1">
      <c r="A620" s="119" t="s">
        <v>91</v>
      </c>
      <c r="B620" s="2055">
        <v>1.15</v>
      </c>
      <c r="C620" s="2058">
        <f t="shared" si="37"/>
        <v>0.7076923077</v>
      </c>
      <c r="D620" s="2060"/>
      <c r="E620" s="176" t="s">
        <v>5</v>
      </c>
      <c r="F620" s="1100" t="s">
        <v>2340</v>
      </c>
      <c r="G620" s="1"/>
      <c r="H620" s="1"/>
      <c r="I620" s="1"/>
      <c r="J620" s="1"/>
      <c r="K620" s="1"/>
      <c r="L620" s="1"/>
    </row>
    <row r="621" ht="15.0" customHeight="1">
      <c r="A621" s="93" t="s">
        <v>743</v>
      </c>
      <c r="B621" s="2043">
        <v>0.43</v>
      </c>
      <c r="C621" s="2044">
        <f t="shared" si="37"/>
        <v>0.2646153846</v>
      </c>
      <c r="D621" s="2045"/>
      <c r="E621" s="165" t="s">
        <v>5</v>
      </c>
      <c r="F621" s="47"/>
      <c r="G621" s="1"/>
      <c r="H621" s="1"/>
      <c r="I621" s="1"/>
      <c r="J621" s="1"/>
      <c r="K621" s="1"/>
      <c r="L621" s="1"/>
    </row>
    <row r="622" ht="15.0" customHeight="1">
      <c r="A622" s="93" t="s">
        <v>179</v>
      </c>
      <c r="B622" s="2043">
        <v>78.0</v>
      </c>
      <c r="C622" s="2044">
        <f t="shared" si="37"/>
        <v>48</v>
      </c>
      <c r="D622" s="2045"/>
      <c r="E622" s="165" t="s">
        <v>82</v>
      </c>
      <c r="F622" s="47"/>
      <c r="G622" s="1"/>
      <c r="H622" s="1"/>
      <c r="I622" s="1"/>
      <c r="J622" s="1"/>
      <c r="K622" s="1"/>
      <c r="L622" s="1"/>
    </row>
    <row r="623" ht="15.0" customHeight="1">
      <c r="A623" s="93" t="s">
        <v>92</v>
      </c>
      <c r="B623" s="2043">
        <v>142.0</v>
      </c>
      <c r="C623" s="2044">
        <f t="shared" si="37"/>
        <v>87.38461538</v>
      </c>
      <c r="D623" s="2045"/>
      <c r="E623" s="165" t="s">
        <v>82</v>
      </c>
      <c r="F623" s="47"/>
      <c r="G623" s="1"/>
      <c r="H623" s="1"/>
      <c r="I623" s="1"/>
      <c r="J623" s="1"/>
      <c r="K623" s="1"/>
      <c r="L623" s="1"/>
    </row>
    <row r="624" ht="15.0" customHeight="1">
      <c r="A624" s="1594" t="s">
        <v>2345</v>
      </c>
      <c r="B624" s="2043">
        <v>4.3</v>
      </c>
      <c r="C624" s="2044">
        <f t="shared" si="37"/>
        <v>2.646153846</v>
      </c>
      <c r="D624" s="2045"/>
      <c r="E624" s="165" t="s">
        <v>14</v>
      </c>
      <c r="F624" s="47"/>
      <c r="G624" s="1"/>
      <c r="H624" s="1"/>
      <c r="I624" s="1"/>
      <c r="J624" s="1"/>
      <c r="K624" s="1"/>
      <c r="L624" s="1"/>
    </row>
    <row r="625" ht="15.0" customHeight="1">
      <c r="A625" s="1367" t="s">
        <v>52</v>
      </c>
      <c r="B625" s="2061">
        <v>35.7</v>
      </c>
      <c r="C625" s="2062">
        <f t="shared" si="37"/>
        <v>21.96923077</v>
      </c>
      <c r="D625" s="2063"/>
      <c r="E625" s="281" t="s">
        <v>18</v>
      </c>
      <c r="F625" s="47"/>
      <c r="G625" s="1"/>
      <c r="H625" s="1"/>
      <c r="I625" s="1"/>
      <c r="J625" s="1"/>
      <c r="K625" s="1"/>
      <c r="L625" s="1"/>
    </row>
    <row r="626" ht="15.0" customHeight="1">
      <c r="A626" s="1590" t="s">
        <v>2349</v>
      </c>
      <c r="B626" s="1894">
        <v>430.0</v>
      </c>
      <c r="C626" s="2040">
        <f t="shared" si="37"/>
        <v>264.6153846</v>
      </c>
      <c r="D626" s="2041"/>
      <c r="E626" s="137" t="s">
        <v>18</v>
      </c>
      <c r="F626" s="47"/>
      <c r="G626" s="1"/>
      <c r="H626" s="1"/>
      <c r="I626" s="1"/>
      <c r="J626" s="1"/>
      <c r="K626" s="1"/>
      <c r="L626" s="1"/>
    </row>
    <row r="627" ht="15.0" customHeight="1">
      <c r="A627" s="675" t="s">
        <v>2351</v>
      </c>
      <c r="B627" s="2047">
        <v>215.0</v>
      </c>
      <c r="C627" s="2064">
        <f t="shared" si="37"/>
        <v>132.3076923</v>
      </c>
      <c r="D627" s="2065"/>
      <c r="E627" s="172" t="s">
        <v>18</v>
      </c>
      <c r="F627" s="47"/>
      <c r="G627" s="1"/>
      <c r="H627" s="1"/>
      <c r="I627" s="1"/>
      <c r="J627" s="1"/>
      <c r="K627" s="1"/>
      <c r="L627" s="1"/>
    </row>
    <row r="628" ht="15.0" customHeight="1">
      <c r="A628" s="119" t="s">
        <v>1176</v>
      </c>
      <c r="B628" s="2055">
        <v>43.0</v>
      </c>
      <c r="C628" s="2067">
        <f t="shared" si="37"/>
        <v>26.46153846</v>
      </c>
      <c r="D628" s="2068"/>
      <c r="E628" s="176" t="s">
        <v>18</v>
      </c>
      <c r="F628" s="47"/>
      <c r="G628" s="1"/>
      <c r="H628" s="1"/>
      <c r="I628" s="1"/>
      <c r="J628" s="1"/>
      <c r="K628" s="1"/>
      <c r="L628" s="1"/>
    </row>
    <row r="629" ht="15.0" customHeight="1">
      <c r="A629" s="93" t="s">
        <v>1718</v>
      </c>
      <c r="B629" s="2043">
        <v>25.7</v>
      </c>
      <c r="C629" s="2072">
        <f t="shared" si="37"/>
        <v>15.81538462</v>
      </c>
      <c r="D629" s="2068"/>
      <c r="E629" s="176" t="s">
        <v>18</v>
      </c>
      <c r="F629" s="47"/>
      <c r="G629" s="1"/>
      <c r="H629" s="1"/>
      <c r="I629" s="1"/>
      <c r="J629" s="1"/>
      <c r="K629" s="1"/>
      <c r="L629" s="1"/>
    </row>
    <row r="630" ht="15.0" customHeight="1">
      <c r="A630" s="2074" t="s">
        <v>288</v>
      </c>
      <c r="B630" s="2043">
        <v>43.0</v>
      </c>
      <c r="C630" s="2072">
        <f t="shared" si="37"/>
        <v>26.46153846</v>
      </c>
      <c r="D630" s="2068"/>
      <c r="E630" s="176" t="s">
        <v>18</v>
      </c>
      <c r="F630" s="47"/>
      <c r="G630" s="1"/>
      <c r="H630" s="1"/>
      <c r="I630" s="1"/>
      <c r="J630" s="1"/>
      <c r="K630" s="1"/>
      <c r="L630" s="1"/>
    </row>
    <row r="631" ht="15.0" customHeight="1">
      <c r="A631" s="898" t="s">
        <v>208</v>
      </c>
      <c r="B631" s="2043">
        <v>43.0</v>
      </c>
      <c r="C631" s="2072">
        <f t="shared" si="37"/>
        <v>26.46153846</v>
      </c>
      <c r="D631" s="2068"/>
      <c r="E631" s="176" t="s">
        <v>18</v>
      </c>
      <c r="F631" s="47"/>
      <c r="G631" s="1"/>
      <c r="H631" s="1"/>
      <c r="I631" s="1"/>
      <c r="J631" s="1"/>
      <c r="K631" s="1"/>
      <c r="L631" s="1"/>
    </row>
    <row r="632" ht="15.0" customHeight="1">
      <c r="A632" s="2074" t="s">
        <v>2358</v>
      </c>
      <c r="B632" s="2043">
        <v>43.0</v>
      </c>
      <c r="C632" s="2072">
        <f t="shared" si="37"/>
        <v>26.46153846</v>
      </c>
      <c r="D632" s="2068"/>
      <c r="E632" s="176" t="s">
        <v>18</v>
      </c>
      <c r="F632" s="47"/>
      <c r="G632" s="1"/>
      <c r="H632" s="1"/>
      <c r="I632" s="1"/>
      <c r="J632" s="1"/>
      <c r="K632" s="1"/>
      <c r="L632" s="1"/>
    </row>
    <row r="633" ht="15.0" customHeight="1">
      <c r="A633" s="93" t="s">
        <v>1657</v>
      </c>
      <c r="B633" s="2043">
        <v>9.999999999999996</v>
      </c>
      <c r="C633" s="2072">
        <f t="shared" si="37"/>
        <v>6.153846154</v>
      </c>
      <c r="D633" s="2068"/>
      <c r="E633" s="176" t="s">
        <v>18</v>
      </c>
      <c r="F633" s="47"/>
      <c r="G633" s="1"/>
      <c r="H633" s="1"/>
      <c r="I633" s="1"/>
      <c r="J633" s="1"/>
      <c r="K633" s="1"/>
      <c r="L633" s="1"/>
    </row>
    <row r="634" ht="15.0" customHeight="1">
      <c r="A634" s="105" t="s">
        <v>2135</v>
      </c>
      <c r="B634" s="2047">
        <v>43.0</v>
      </c>
      <c r="C634" s="2051">
        <f t="shared" si="37"/>
        <v>26.46153846</v>
      </c>
      <c r="D634" s="2081"/>
      <c r="E634" s="176" t="s">
        <v>18</v>
      </c>
      <c r="F634" s="76"/>
      <c r="G634" s="1"/>
      <c r="H634" s="1"/>
      <c r="I634" s="1"/>
      <c r="J634" s="1"/>
      <c r="K634" s="1"/>
      <c r="L634" s="1"/>
    </row>
    <row r="635" ht="15.0" customHeight="1">
      <c r="A635" s="68" t="s">
        <v>31</v>
      </c>
      <c r="B635" s="1894">
        <v>750.0</v>
      </c>
      <c r="C635" s="2031">
        <f t="shared" si="37"/>
        <v>461.5384615</v>
      </c>
      <c r="D635" s="2032"/>
      <c r="E635" s="137" t="s">
        <v>18</v>
      </c>
      <c r="F635" s="610" t="s">
        <v>2365</v>
      </c>
      <c r="G635" s="1"/>
      <c r="H635" s="1"/>
      <c r="I635" s="1"/>
      <c r="J635" s="1"/>
      <c r="K635" s="1"/>
      <c r="L635" s="1"/>
    </row>
    <row r="636" ht="15.0" customHeight="1">
      <c r="A636" s="93" t="s">
        <v>2366</v>
      </c>
      <c r="B636" s="2043">
        <v>13.0</v>
      </c>
      <c r="C636" s="2072">
        <f t="shared" si="37"/>
        <v>8</v>
      </c>
      <c r="D636" s="2084"/>
      <c r="E636" s="165" t="s">
        <v>5</v>
      </c>
      <c r="F636" s="47"/>
      <c r="G636" s="1"/>
      <c r="H636" s="1"/>
      <c r="I636" s="1"/>
      <c r="J636" s="1"/>
      <c r="K636" s="1"/>
      <c r="L636" s="1"/>
    </row>
    <row r="637" ht="15.0" customHeight="1">
      <c r="A637" s="93" t="s">
        <v>422</v>
      </c>
      <c r="B637" s="2043">
        <v>114.0</v>
      </c>
      <c r="C637" s="2072">
        <f t="shared" si="37"/>
        <v>70.15384615</v>
      </c>
      <c r="D637" s="2084"/>
      <c r="E637" s="165" t="s">
        <v>82</v>
      </c>
      <c r="F637" s="47"/>
      <c r="G637" s="1"/>
      <c r="H637" s="1"/>
      <c r="I637" s="1"/>
      <c r="J637" s="1"/>
      <c r="K637" s="1"/>
      <c r="L637" s="1"/>
    </row>
    <row r="638" ht="15.0" customHeight="1">
      <c r="A638" s="93" t="s">
        <v>2371</v>
      </c>
      <c r="B638" s="2043">
        <v>43.0</v>
      </c>
      <c r="C638" s="2072">
        <f t="shared" si="37"/>
        <v>26.46153846</v>
      </c>
      <c r="D638" s="2084"/>
      <c r="E638" s="165" t="s">
        <v>82</v>
      </c>
      <c r="F638" s="47"/>
      <c r="G638" s="1"/>
      <c r="H638" s="1"/>
      <c r="I638" s="1"/>
      <c r="J638" s="1"/>
      <c r="K638" s="1"/>
      <c r="L638" s="1"/>
    </row>
    <row r="639" ht="15.0" customHeight="1">
      <c r="A639" s="105" t="s">
        <v>2372</v>
      </c>
      <c r="B639" s="2047">
        <v>7.14</v>
      </c>
      <c r="C639" s="2051">
        <f t="shared" si="37"/>
        <v>4.393846154</v>
      </c>
      <c r="D639" s="2053"/>
      <c r="E639" s="172" t="s">
        <v>82</v>
      </c>
      <c r="F639" s="76"/>
      <c r="G639" s="1"/>
      <c r="H639" s="1"/>
      <c r="I639" s="1"/>
      <c r="J639" s="1"/>
      <c r="K639" s="1"/>
      <c r="L639" s="1"/>
    </row>
    <row r="640" ht="15.0" customHeight="1">
      <c r="A640" s="1873" t="s">
        <v>119</v>
      </c>
      <c r="B640" s="1874" t="s">
        <v>47</v>
      </c>
      <c r="C640" s="184"/>
      <c r="D640" s="184"/>
      <c r="E640" s="1"/>
      <c r="F640" s="1"/>
      <c r="G640" s="1"/>
      <c r="H640" s="1"/>
      <c r="I640" s="1"/>
      <c r="J640" s="1"/>
      <c r="K640" s="1"/>
      <c r="L640" s="1"/>
    </row>
    <row r="641" ht="15.0" customHeight="1">
      <c r="A641" s="90" t="s">
        <v>120</v>
      </c>
      <c r="B641" s="1188">
        <v>42412.0</v>
      </c>
      <c r="C641" s="184"/>
      <c r="D641" s="184"/>
      <c r="E641" s="1"/>
      <c r="F641" s="1"/>
      <c r="G641" s="1"/>
      <c r="H641" s="1"/>
      <c r="I641" s="1"/>
      <c r="J641" s="1"/>
      <c r="K641" s="1"/>
      <c r="L641" s="1"/>
    </row>
    <row r="642" ht="15.0" customHeight="1">
      <c r="A642" s="305" t="s">
        <v>50</v>
      </c>
      <c r="B642" s="1188">
        <v>42423.0</v>
      </c>
      <c r="C642" s="184"/>
      <c r="D642" s="184"/>
      <c r="E642" s="1"/>
      <c r="F642" s="1"/>
      <c r="G642" s="1"/>
      <c r="H642" s="1"/>
      <c r="I642" s="1"/>
      <c r="J642" s="1"/>
      <c r="K642" s="1"/>
      <c r="L642" s="1"/>
    </row>
    <row r="643" ht="15.0" customHeight="1">
      <c r="A643" s="1"/>
      <c r="B643" s="107"/>
      <c r="C643" s="184"/>
      <c r="D643" s="184"/>
      <c r="E643" s="1"/>
      <c r="F643" s="1"/>
      <c r="G643" s="1"/>
      <c r="H643" s="1"/>
      <c r="I643" s="1"/>
      <c r="J643" s="1"/>
      <c r="K643" s="1"/>
      <c r="L643" s="1"/>
    </row>
    <row r="644" ht="15.0" customHeight="1">
      <c r="A644" s="343" t="s">
        <v>221</v>
      </c>
      <c r="B644" s="18"/>
      <c r="C644" s="18"/>
      <c r="D644" s="18"/>
      <c r="E644" s="19"/>
      <c r="F644" s="1"/>
      <c r="G644" s="1"/>
      <c r="H644" s="1"/>
      <c r="I644" s="1"/>
      <c r="J644" s="1"/>
      <c r="K644" s="1"/>
      <c r="L644" s="1"/>
    </row>
    <row r="645" ht="15.0" customHeight="1">
      <c r="A645" s="25" t="s">
        <v>1</v>
      </c>
      <c r="B645" s="410">
        <v>10.0</v>
      </c>
      <c r="C645" s="26">
        <v>10.0</v>
      </c>
      <c r="D645" s="2088"/>
      <c r="E645" s="28" t="s">
        <v>5</v>
      </c>
      <c r="F645" s="1"/>
      <c r="G645" s="1"/>
      <c r="H645" s="1"/>
      <c r="I645" s="1"/>
      <c r="J645" s="1"/>
      <c r="K645" s="1"/>
      <c r="L645" s="1"/>
    </row>
    <row r="646" ht="15.0" customHeight="1">
      <c r="A646" s="163" t="s">
        <v>91</v>
      </c>
      <c r="B646" s="131">
        <v>0.2</v>
      </c>
      <c r="C646" s="316">
        <f t="shared" ref="C646:C670" si="38">(B646*C645)/B645</f>
        <v>0.2</v>
      </c>
      <c r="D646" s="2091"/>
      <c r="E646" s="169" t="s">
        <v>5</v>
      </c>
      <c r="F646" s="394" t="s">
        <v>94</v>
      </c>
      <c r="G646" s="1"/>
      <c r="H646" s="1"/>
      <c r="I646" s="1"/>
      <c r="J646" s="1"/>
      <c r="K646" s="1"/>
      <c r="L646" s="1"/>
    </row>
    <row r="647" ht="15.0" customHeight="1">
      <c r="A647" s="177" t="s">
        <v>66</v>
      </c>
      <c r="B647" s="160">
        <v>5.0</v>
      </c>
      <c r="C647" s="321">
        <f t="shared" si="38"/>
        <v>5</v>
      </c>
      <c r="D647" s="2095"/>
      <c r="E647" s="204" t="s">
        <v>18</v>
      </c>
      <c r="F647" s="47"/>
      <c r="G647" s="1"/>
      <c r="H647" s="1"/>
      <c r="I647" s="1"/>
      <c r="J647" s="1"/>
      <c r="K647" s="1"/>
      <c r="L647" s="1"/>
    </row>
    <row r="648" ht="15.0" customHeight="1">
      <c r="A648" s="177" t="s">
        <v>97</v>
      </c>
      <c r="B648" s="160">
        <v>10.0</v>
      </c>
      <c r="C648" s="321">
        <f t="shared" si="38"/>
        <v>10</v>
      </c>
      <c r="D648" s="2095"/>
      <c r="E648" s="204" t="s">
        <v>18</v>
      </c>
      <c r="F648" s="47"/>
      <c r="G648" s="1"/>
      <c r="H648" s="1"/>
      <c r="I648" s="1"/>
      <c r="J648" s="1"/>
      <c r="K648" s="1"/>
      <c r="L648" s="1"/>
    </row>
    <row r="649" ht="15.0" customHeight="1">
      <c r="A649" s="177" t="s">
        <v>1664</v>
      </c>
      <c r="B649" s="160">
        <v>10.0</v>
      </c>
      <c r="C649" s="321">
        <f t="shared" si="38"/>
        <v>10</v>
      </c>
      <c r="D649" s="2095"/>
      <c r="E649" s="204" t="s">
        <v>18</v>
      </c>
      <c r="F649" s="47"/>
      <c r="G649" s="1"/>
      <c r="H649" s="1"/>
      <c r="I649" s="1"/>
      <c r="J649" s="1"/>
      <c r="K649" s="1"/>
      <c r="L649" s="1"/>
    </row>
    <row r="650" ht="15.0" customHeight="1">
      <c r="A650" s="177" t="s">
        <v>1751</v>
      </c>
      <c r="B650" s="160">
        <v>5.0</v>
      </c>
      <c r="C650" s="321">
        <f t="shared" si="38"/>
        <v>5</v>
      </c>
      <c r="D650" s="2095"/>
      <c r="E650" s="204" t="s">
        <v>18</v>
      </c>
      <c r="F650" s="47"/>
      <c r="G650" s="1"/>
      <c r="H650" s="1"/>
      <c r="I650" s="1"/>
      <c r="J650" s="1"/>
      <c r="K650" s="1"/>
      <c r="L650" s="1"/>
    </row>
    <row r="651" ht="15.0" customHeight="1">
      <c r="A651" s="177" t="s">
        <v>98</v>
      </c>
      <c r="B651" s="160">
        <v>5.0</v>
      </c>
      <c r="C651" s="321">
        <f t="shared" si="38"/>
        <v>5</v>
      </c>
      <c r="D651" s="2095"/>
      <c r="E651" s="204" t="s">
        <v>18</v>
      </c>
      <c r="F651" s="47"/>
      <c r="G651" s="1"/>
      <c r="H651" s="1"/>
      <c r="I651" s="1"/>
      <c r="J651" s="1"/>
      <c r="K651" s="1"/>
      <c r="L651" s="1"/>
    </row>
    <row r="652" ht="15.0" customHeight="1">
      <c r="A652" s="177" t="s">
        <v>63</v>
      </c>
      <c r="B652" s="160">
        <v>5.0</v>
      </c>
      <c r="C652" s="321">
        <f t="shared" si="38"/>
        <v>5</v>
      </c>
      <c r="D652" s="2095"/>
      <c r="E652" s="204" t="s">
        <v>18</v>
      </c>
      <c r="F652" s="47"/>
      <c r="G652" s="1"/>
      <c r="H652" s="1"/>
      <c r="I652" s="1"/>
      <c r="J652" s="1"/>
      <c r="K652" s="1"/>
      <c r="L652" s="1"/>
    </row>
    <row r="653" ht="15.0" customHeight="1">
      <c r="A653" s="177" t="s">
        <v>753</v>
      </c>
      <c r="B653" s="160">
        <v>20.0</v>
      </c>
      <c r="C653" s="321">
        <f t="shared" si="38"/>
        <v>20</v>
      </c>
      <c r="D653" s="2095"/>
      <c r="E653" s="204" t="s">
        <v>18</v>
      </c>
      <c r="F653" s="47"/>
      <c r="G653" s="1"/>
      <c r="H653" s="1"/>
      <c r="I653" s="1"/>
      <c r="J653" s="1"/>
      <c r="K653" s="1"/>
      <c r="L653" s="1"/>
    </row>
    <row r="654" ht="15.0" customHeight="1">
      <c r="A654" s="177" t="s">
        <v>1877</v>
      </c>
      <c r="B654" s="160">
        <v>10.0</v>
      </c>
      <c r="C654" s="321">
        <f t="shared" si="38"/>
        <v>10</v>
      </c>
      <c r="D654" s="2095"/>
      <c r="E654" s="204" t="s">
        <v>18</v>
      </c>
      <c r="F654" s="47"/>
      <c r="G654" s="1"/>
      <c r="H654" s="1"/>
      <c r="I654" s="1"/>
      <c r="J654" s="1"/>
      <c r="K654" s="1"/>
      <c r="L654" s="1"/>
    </row>
    <row r="655" ht="15.0" customHeight="1">
      <c r="A655" s="177" t="s">
        <v>103</v>
      </c>
      <c r="B655" s="160">
        <v>20.0</v>
      </c>
      <c r="C655" s="321">
        <f t="shared" si="38"/>
        <v>20</v>
      </c>
      <c r="D655" s="2095"/>
      <c r="E655" s="204" t="s">
        <v>18</v>
      </c>
      <c r="F655" s="47"/>
      <c r="G655" s="1"/>
      <c r="H655" s="1"/>
      <c r="I655" s="1"/>
      <c r="J655" s="1"/>
      <c r="K655" s="1"/>
      <c r="L655" s="1"/>
    </row>
    <row r="656" ht="15.0" customHeight="1">
      <c r="A656" s="177" t="s">
        <v>52</v>
      </c>
      <c r="B656" s="160">
        <v>10.0</v>
      </c>
      <c r="C656" s="321">
        <f t="shared" si="38"/>
        <v>10</v>
      </c>
      <c r="D656" s="2095"/>
      <c r="E656" s="204" t="s">
        <v>18</v>
      </c>
      <c r="F656" s="47"/>
      <c r="G656" s="1"/>
      <c r="H656" s="1"/>
      <c r="I656" s="1"/>
      <c r="J656" s="1"/>
      <c r="K656" s="1"/>
      <c r="L656" s="1"/>
    </row>
    <row r="657" ht="15.0" customHeight="1">
      <c r="A657" s="262" t="s">
        <v>288</v>
      </c>
      <c r="B657" s="1360">
        <v>100.0</v>
      </c>
      <c r="C657" s="355">
        <f t="shared" si="38"/>
        <v>100</v>
      </c>
      <c r="D657" s="2101"/>
      <c r="E657" s="267" t="s">
        <v>18</v>
      </c>
      <c r="F657" s="76"/>
      <c r="G657" s="1"/>
      <c r="H657" s="1"/>
      <c r="I657" s="1"/>
      <c r="J657" s="1"/>
      <c r="K657" s="1"/>
      <c r="L657" s="1"/>
    </row>
    <row r="658" ht="15.0" customHeight="1">
      <c r="A658" s="163" t="s">
        <v>2388</v>
      </c>
      <c r="B658" s="131">
        <v>0.5</v>
      </c>
      <c r="C658" s="316">
        <f t="shared" si="38"/>
        <v>0.5</v>
      </c>
      <c r="D658" s="2091"/>
      <c r="E658" s="169" t="s">
        <v>14</v>
      </c>
      <c r="F658" s="44" t="s">
        <v>2390</v>
      </c>
      <c r="G658" s="1"/>
      <c r="H658" s="1"/>
      <c r="I658" s="1"/>
      <c r="J658" s="1"/>
      <c r="K658" s="1"/>
      <c r="L658" s="1"/>
    </row>
    <row r="659" ht="15.0" customHeight="1">
      <c r="A659" s="251" t="s">
        <v>208</v>
      </c>
      <c r="B659" s="1190">
        <v>12.5</v>
      </c>
      <c r="C659" s="1047">
        <f t="shared" si="38"/>
        <v>12.5</v>
      </c>
      <c r="D659" s="2106"/>
      <c r="E659" s="255" t="s">
        <v>18</v>
      </c>
      <c r="F659" s="47"/>
      <c r="G659" s="1"/>
      <c r="H659" s="1"/>
      <c r="I659" s="1"/>
      <c r="J659" s="1"/>
      <c r="K659" s="1"/>
      <c r="L659" s="1"/>
    </row>
    <row r="660" ht="15.0" customHeight="1">
      <c r="A660" s="208" t="s">
        <v>2135</v>
      </c>
      <c r="B660" s="167">
        <v>20.0</v>
      </c>
      <c r="C660" s="318">
        <f t="shared" si="38"/>
        <v>20</v>
      </c>
      <c r="D660" s="2109"/>
      <c r="E660" s="212" t="s">
        <v>18</v>
      </c>
      <c r="F660" s="76"/>
      <c r="G660" s="1"/>
      <c r="H660" s="1"/>
      <c r="I660" s="1"/>
      <c r="J660" s="1"/>
      <c r="K660" s="1"/>
      <c r="L660" s="1"/>
    </row>
    <row r="661" ht="15.0" customHeight="1">
      <c r="A661" s="157" t="s">
        <v>2395</v>
      </c>
      <c r="B661" s="174">
        <v>1.25</v>
      </c>
      <c r="C661" s="839">
        <f t="shared" si="38"/>
        <v>1.25</v>
      </c>
      <c r="D661" s="2110"/>
      <c r="E661" s="159" t="s">
        <v>5</v>
      </c>
      <c r="F661" s="44" t="s">
        <v>2398</v>
      </c>
      <c r="G661" s="1"/>
      <c r="H661" s="1"/>
      <c r="I661" s="1"/>
      <c r="J661" s="1"/>
      <c r="K661" s="1"/>
      <c r="L661" s="1"/>
    </row>
    <row r="662" ht="15.0" customHeight="1">
      <c r="A662" s="157" t="s">
        <v>2400</v>
      </c>
      <c r="B662" s="174">
        <v>35.0</v>
      </c>
      <c r="C662" s="839">
        <f t="shared" si="38"/>
        <v>35</v>
      </c>
      <c r="D662" s="2110"/>
      <c r="E662" s="159" t="s">
        <v>18</v>
      </c>
      <c r="F662" s="47"/>
      <c r="G662" s="1"/>
      <c r="H662" s="1"/>
      <c r="I662" s="1"/>
      <c r="J662" s="1"/>
      <c r="K662" s="1"/>
      <c r="L662" s="1"/>
    </row>
    <row r="663" ht="15.0" customHeight="1">
      <c r="A663" s="157" t="s">
        <v>2402</v>
      </c>
      <c r="B663" s="174">
        <v>35.0</v>
      </c>
      <c r="C663" s="839">
        <f t="shared" si="38"/>
        <v>35</v>
      </c>
      <c r="D663" s="2110"/>
      <c r="E663" s="159" t="s">
        <v>18</v>
      </c>
      <c r="F663" s="47"/>
      <c r="G663" s="1"/>
      <c r="H663" s="1"/>
      <c r="I663" s="1"/>
      <c r="J663" s="1"/>
      <c r="K663" s="1"/>
      <c r="L663" s="1"/>
    </row>
    <row r="664" ht="15.0" customHeight="1">
      <c r="A664" s="157" t="s">
        <v>2403</v>
      </c>
      <c r="B664" s="174">
        <v>7.5</v>
      </c>
      <c r="C664" s="839">
        <f t="shared" si="38"/>
        <v>7.5</v>
      </c>
      <c r="D664" s="2110"/>
      <c r="E664" s="159" t="s">
        <v>18</v>
      </c>
      <c r="F664" s="47"/>
      <c r="G664" s="1"/>
      <c r="H664" s="1"/>
      <c r="I664" s="1"/>
      <c r="J664" s="1"/>
      <c r="K664" s="1"/>
      <c r="L664" s="1"/>
    </row>
    <row r="665" ht="15.0" customHeight="1">
      <c r="A665" s="157" t="s">
        <v>31</v>
      </c>
      <c r="B665" s="174">
        <v>150.0</v>
      </c>
      <c r="C665" s="839">
        <f t="shared" si="38"/>
        <v>150</v>
      </c>
      <c r="D665" s="2110"/>
      <c r="E665" s="159" t="s">
        <v>18</v>
      </c>
      <c r="F665" s="47"/>
      <c r="G665" s="1"/>
      <c r="H665" s="1"/>
      <c r="I665" s="1"/>
      <c r="J665" s="1"/>
      <c r="K665" s="1"/>
      <c r="L665" s="1"/>
    </row>
    <row r="666" ht="15.0" customHeight="1">
      <c r="A666" s="251" t="s">
        <v>2408</v>
      </c>
      <c r="B666" s="1190">
        <v>250.0</v>
      </c>
      <c r="C666" s="1047">
        <f t="shared" si="38"/>
        <v>250</v>
      </c>
      <c r="D666" s="2106"/>
      <c r="E666" s="255" t="s">
        <v>18</v>
      </c>
      <c r="F666" s="76"/>
      <c r="G666" s="1"/>
      <c r="H666" s="1"/>
      <c r="I666" s="1"/>
      <c r="J666" s="1"/>
      <c r="K666" s="1"/>
      <c r="L666" s="1"/>
    </row>
    <row r="667" ht="15.0" customHeight="1">
      <c r="A667" s="163" t="s">
        <v>2410</v>
      </c>
      <c r="B667" s="131">
        <v>0.6</v>
      </c>
      <c r="C667" s="316">
        <f t="shared" si="38"/>
        <v>0.6</v>
      </c>
      <c r="D667" s="2091"/>
      <c r="E667" s="169" t="s">
        <v>14</v>
      </c>
      <c r="F667" s="264" t="s">
        <v>2412</v>
      </c>
      <c r="G667" s="1"/>
      <c r="H667" s="1"/>
      <c r="I667" s="1"/>
      <c r="J667" s="1"/>
      <c r="K667" s="1"/>
      <c r="L667" s="1"/>
    </row>
    <row r="668" ht="15.0" customHeight="1">
      <c r="A668" s="208" t="s">
        <v>2415</v>
      </c>
      <c r="B668" s="167">
        <v>25.0</v>
      </c>
      <c r="C668" s="318">
        <f t="shared" si="38"/>
        <v>25</v>
      </c>
      <c r="D668" s="2109"/>
      <c r="E668" s="212" t="s">
        <v>18</v>
      </c>
      <c r="F668" s="106"/>
      <c r="G668" s="1"/>
      <c r="H668" s="1"/>
      <c r="I668" s="1"/>
      <c r="J668" s="1"/>
      <c r="K668" s="1"/>
      <c r="L668" s="1"/>
    </row>
    <row r="669" ht="15.0" customHeight="1">
      <c r="A669" s="157" t="s">
        <v>157</v>
      </c>
      <c r="B669" s="174">
        <v>2.9999999999999996</v>
      </c>
      <c r="C669" s="839">
        <f t="shared" si="38"/>
        <v>3</v>
      </c>
      <c r="D669" s="2110"/>
      <c r="E669" s="159" t="s">
        <v>5</v>
      </c>
      <c r="F669" s="44" t="s">
        <v>2418</v>
      </c>
      <c r="G669" s="1"/>
      <c r="H669" s="1"/>
      <c r="I669" s="1"/>
      <c r="J669" s="1"/>
      <c r="K669" s="1"/>
      <c r="L669" s="1"/>
    </row>
    <row r="670" ht="15.0" customHeight="1">
      <c r="A670" s="262" t="s">
        <v>1952</v>
      </c>
      <c r="B670" s="1360">
        <v>1.7499999999999996</v>
      </c>
      <c r="C670" s="355">
        <f t="shared" si="38"/>
        <v>1.75</v>
      </c>
      <c r="D670" s="2101"/>
      <c r="E670" s="267" t="s">
        <v>14</v>
      </c>
      <c r="F670" s="76"/>
      <c r="G670" s="1"/>
      <c r="H670" s="1"/>
      <c r="I670" s="1"/>
      <c r="J670" s="1"/>
      <c r="K670" s="1"/>
      <c r="L670" s="1"/>
    </row>
    <row r="671" ht="15.0" customHeight="1">
      <c r="A671" s="68" t="s">
        <v>1587</v>
      </c>
      <c r="B671" s="145">
        <v>150.0</v>
      </c>
      <c r="C671" s="155">
        <f t="shared" ref="C671:C673" si="39">(B671*C669)/B669</f>
        <v>150</v>
      </c>
      <c r="D671" s="899"/>
      <c r="E671" s="216" t="s">
        <v>18</v>
      </c>
      <c r="F671" s="264" t="s">
        <v>2419</v>
      </c>
      <c r="G671" s="1"/>
      <c r="H671" s="1"/>
      <c r="I671" s="1"/>
      <c r="J671" s="1"/>
      <c r="K671" s="1"/>
      <c r="L671" s="1"/>
    </row>
    <row r="672" ht="15.0" customHeight="1">
      <c r="A672" s="93" t="s">
        <v>1291</v>
      </c>
      <c r="B672" s="195">
        <v>3.0</v>
      </c>
      <c r="C672" s="78">
        <f t="shared" si="39"/>
        <v>3</v>
      </c>
      <c r="D672" s="900"/>
      <c r="E672" s="249" t="s">
        <v>93</v>
      </c>
      <c r="F672" s="66"/>
      <c r="G672" s="1"/>
      <c r="H672" s="1"/>
      <c r="I672" s="1"/>
      <c r="J672" s="1"/>
      <c r="K672" s="1"/>
      <c r="L672" s="1"/>
    </row>
    <row r="673" ht="15.0" customHeight="1">
      <c r="A673" s="208" t="s">
        <v>2421</v>
      </c>
      <c r="B673" s="167">
        <v>0.4999999999999998</v>
      </c>
      <c r="C673" s="318">
        <f t="shared" si="39"/>
        <v>0.5</v>
      </c>
      <c r="D673" s="2109"/>
      <c r="E673" s="212" t="s">
        <v>5</v>
      </c>
      <c r="F673" s="106"/>
      <c r="G673" s="1"/>
      <c r="H673" s="1"/>
      <c r="I673" s="1"/>
      <c r="J673" s="1"/>
      <c r="K673" s="1"/>
      <c r="L673" s="1"/>
    </row>
    <row r="674" ht="15.0" customHeight="1">
      <c r="A674" s="1873" t="s">
        <v>119</v>
      </c>
      <c r="B674" s="1874" t="s">
        <v>47</v>
      </c>
      <c r="C674" s="184"/>
      <c r="D674" s="184"/>
      <c r="E674" s="1"/>
      <c r="F674" s="1"/>
      <c r="G674" s="1"/>
      <c r="H674" s="1"/>
      <c r="I674" s="1"/>
      <c r="J674" s="1"/>
      <c r="K674" s="1"/>
      <c r="L674" s="1"/>
    </row>
    <row r="675" ht="15.0" customHeight="1">
      <c r="A675" s="90" t="s">
        <v>120</v>
      </c>
      <c r="B675" s="1188">
        <v>42584.0</v>
      </c>
      <c r="C675" s="184"/>
      <c r="D675" s="184"/>
      <c r="E675" s="1"/>
      <c r="F675" s="1"/>
      <c r="G675" s="1"/>
      <c r="H675" s="1"/>
      <c r="I675" s="1"/>
      <c r="J675" s="1"/>
      <c r="K675" s="1"/>
      <c r="L675" s="1"/>
    </row>
    <row r="676" ht="15.0" customHeight="1">
      <c r="A676" s="305" t="s">
        <v>50</v>
      </c>
      <c r="B676" s="1188">
        <v>42592.0</v>
      </c>
      <c r="C676" s="184"/>
      <c r="D676" s="184"/>
      <c r="E676" s="1"/>
      <c r="F676" s="1"/>
      <c r="G676" s="1"/>
      <c r="H676" s="1"/>
      <c r="I676" s="1"/>
      <c r="J676" s="1"/>
      <c r="K676" s="1"/>
      <c r="L676" s="1"/>
    </row>
    <row r="677" ht="15.0" customHeight="1">
      <c r="A677" s="1"/>
      <c r="B677" s="107"/>
      <c r="C677" s="184"/>
      <c r="D677" s="184"/>
      <c r="E677" s="1"/>
      <c r="F677" s="1"/>
      <c r="G677" s="1"/>
      <c r="H677" s="1"/>
      <c r="I677" s="1"/>
      <c r="J677" s="1"/>
      <c r="K677" s="1"/>
      <c r="L677" s="1"/>
    </row>
    <row r="678" ht="15.0" customHeight="1">
      <c r="A678" s="209" t="s">
        <v>941</v>
      </c>
      <c r="B678" s="18"/>
      <c r="C678" s="18"/>
      <c r="D678" s="18"/>
      <c r="E678" s="19"/>
      <c r="F678" s="2113" t="s">
        <v>398</v>
      </c>
      <c r="G678" s="1"/>
      <c r="H678" s="1"/>
      <c r="I678" s="1"/>
      <c r="J678" s="1"/>
      <c r="K678" s="1"/>
      <c r="L678" s="1"/>
    </row>
    <row r="679" ht="15.0" customHeight="1">
      <c r="A679" s="1670" t="s">
        <v>1</v>
      </c>
      <c r="B679" s="1671">
        <v>125.0</v>
      </c>
      <c r="C679" s="1672">
        <v>100.0</v>
      </c>
      <c r="D679" s="1673"/>
      <c r="E679" s="1674" t="s">
        <v>5</v>
      </c>
      <c r="F679" s="1"/>
      <c r="G679" s="1"/>
      <c r="H679" s="1"/>
      <c r="I679" s="1"/>
      <c r="J679" s="1"/>
      <c r="K679" s="1"/>
      <c r="L679" s="1"/>
    </row>
    <row r="680" ht="15.0" customHeight="1">
      <c r="A680" s="68" t="s">
        <v>53</v>
      </c>
      <c r="B680" s="145">
        <v>25.0</v>
      </c>
      <c r="C680" s="155">
        <f t="shared" ref="C680:C689" si="40">C679/B679*B680</f>
        <v>20</v>
      </c>
      <c r="D680" s="899"/>
      <c r="E680" s="216" t="s">
        <v>14</v>
      </c>
      <c r="F680" s="1"/>
      <c r="G680" s="1"/>
      <c r="H680" s="1"/>
      <c r="I680" s="1"/>
      <c r="J680" s="1"/>
      <c r="K680" s="1"/>
      <c r="L680" s="1"/>
    </row>
    <row r="681" ht="15.0" customHeight="1">
      <c r="A681" s="119" t="s">
        <v>2423</v>
      </c>
      <c r="B681" s="238">
        <v>3.0</v>
      </c>
      <c r="C681" s="78">
        <f t="shared" si="40"/>
        <v>2.4</v>
      </c>
      <c r="D681" s="1583"/>
      <c r="E681" s="520" t="s">
        <v>14</v>
      </c>
      <c r="F681" s="1"/>
      <c r="G681" s="1"/>
      <c r="H681" s="1"/>
      <c r="I681" s="1"/>
      <c r="J681" s="1"/>
      <c r="K681" s="1"/>
      <c r="L681" s="1"/>
    </row>
    <row r="682" ht="15.0" customHeight="1">
      <c r="A682" s="119" t="s">
        <v>2424</v>
      </c>
      <c r="B682" s="238">
        <v>3.0</v>
      </c>
      <c r="C682" s="78">
        <f t="shared" si="40"/>
        <v>2.4</v>
      </c>
      <c r="D682" s="1583"/>
      <c r="E682" s="520" t="s">
        <v>14</v>
      </c>
      <c r="F682" s="1"/>
      <c r="G682" s="1"/>
      <c r="H682" s="1"/>
      <c r="I682" s="1"/>
      <c r="J682" s="1"/>
      <c r="K682" s="1"/>
      <c r="L682" s="1"/>
    </row>
    <row r="683" ht="15.0" customHeight="1">
      <c r="A683" s="93" t="s">
        <v>329</v>
      </c>
      <c r="B683" s="195">
        <v>3.0</v>
      </c>
      <c r="C683" s="78">
        <f t="shared" si="40"/>
        <v>2.4</v>
      </c>
      <c r="D683" s="900"/>
      <c r="E683" s="249" t="s">
        <v>14</v>
      </c>
      <c r="F683" s="1"/>
      <c r="G683" s="1"/>
      <c r="H683" s="1"/>
      <c r="I683" s="1"/>
      <c r="J683" s="1"/>
      <c r="K683" s="1"/>
      <c r="L683" s="1"/>
    </row>
    <row r="684" ht="15.0" customHeight="1">
      <c r="A684" s="105" t="s">
        <v>746</v>
      </c>
      <c r="B684" s="200">
        <v>1000.0</v>
      </c>
      <c r="C684" s="56">
        <f t="shared" si="40"/>
        <v>800</v>
      </c>
      <c r="D684" s="1604"/>
      <c r="E684" s="518" t="s">
        <v>18</v>
      </c>
      <c r="F684" s="1"/>
      <c r="G684" s="1"/>
      <c r="H684" s="1"/>
      <c r="I684" s="1"/>
      <c r="J684" s="1"/>
      <c r="K684" s="1"/>
      <c r="L684" s="1"/>
    </row>
    <row r="685" ht="15.0" customHeight="1">
      <c r="A685" s="68" t="s">
        <v>91</v>
      </c>
      <c r="B685" s="145">
        <v>4.0</v>
      </c>
      <c r="C685" s="513">
        <f t="shared" si="40"/>
        <v>3.2</v>
      </c>
      <c r="D685" s="1576"/>
      <c r="E685" s="216" t="s">
        <v>5</v>
      </c>
      <c r="F685" s="1"/>
      <c r="G685" s="1"/>
      <c r="H685" s="1"/>
      <c r="I685" s="1"/>
      <c r="J685" s="1"/>
      <c r="K685" s="1"/>
      <c r="L685" s="1"/>
    </row>
    <row r="686" ht="15.0" customHeight="1">
      <c r="A686" s="119" t="s">
        <v>31</v>
      </c>
      <c r="B686" s="238">
        <v>1200.0</v>
      </c>
      <c r="C686" s="146">
        <f t="shared" si="40"/>
        <v>960</v>
      </c>
      <c r="D686" s="1614"/>
      <c r="E686" s="520" t="s">
        <v>18</v>
      </c>
      <c r="F686" s="1"/>
      <c r="G686" s="1"/>
      <c r="H686" s="1"/>
      <c r="I686" s="1"/>
      <c r="J686" s="1"/>
      <c r="K686" s="1"/>
      <c r="L686" s="1"/>
    </row>
    <row r="687" ht="15.0" customHeight="1">
      <c r="A687" s="93" t="s">
        <v>15</v>
      </c>
      <c r="B687" s="195">
        <v>5.0</v>
      </c>
      <c r="C687" s="146">
        <f t="shared" si="40"/>
        <v>4</v>
      </c>
      <c r="D687" s="1607"/>
      <c r="E687" s="249" t="s">
        <v>5</v>
      </c>
      <c r="F687" s="1"/>
      <c r="G687" s="1"/>
      <c r="H687" s="1"/>
      <c r="I687" s="1"/>
      <c r="J687" s="1"/>
      <c r="K687" s="1"/>
      <c r="L687" s="1"/>
    </row>
    <row r="688" ht="15.0" customHeight="1">
      <c r="A688" s="93" t="s">
        <v>13</v>
      </c>
      <c r="B688" s="195">
        <v>0.3</v>
      </c>
      <c r="C688" s="146">
        <f t="shared" si="40"/>
        <v>0.24</v>
      </c>
      <c r="D688" s="1607"/>
      <c r="E688" s="249" t="s">
        <v>14</v>
      </c>
      <c r="F688" s="1"/>
      <c r="G688" s="1"/>
      <c r="H688" s="1"/>
      <c r="I688" s="1"/>
      <c r="J688" s="1"/>
      <c r="K688" s="1"/>
      <c r="L688" s="1"/>
    </row>
    <row r="689" ht="15.0" customHeight="1">
      <c r="A689" s="105" t="s">
        <v>157</v>
      </c>
      <c r="B689" s="200">
        <v>50.0</v>
      </c>
      <c r="C689" s="56">
        <f t="shared" si="40"/>
        <v>40</v>
      </c>
      <c r="D689" s="1604"/>
      <c r="E689" s="518" t="s">
        <v>5</v>
      </c>
      <c r="F689" s="1"/>
      <c r="G689" s="1"/>
      <c r="H689" s="1"/>
      <c r="I689" s="1"/>
      <c r="J689" s="1"/>
      <c r="K689" s="1"/>
      <c r="L689" s="1"/>
    </row>
    <row r="690" ht="15.0" customHeight="1">
      <c r="A690" s="1"/>
      <c r="B690" s="107"/>
      <c r="C690" s="184"/>
      <c r="D690" s="184"/>
      <c r="E690" s="1"/>
      <c r="F690" s="1"/>
      <c r="G690" s="1"/>
      <c r="H690" s="1"/>
      <c r="I690" s="1"/>
      <c r="J690" s="1"/>
      <c r="K690" s="1"/>
      <c r="L690" s="1"/>
    </row>
    <row r="691" ht="15.0" customHeight="1">
      <c r="A691" s="90" t="s">
        <v>120</v>
      </c>
      <c r="B691" s="1188">
        <v>42377.0</v>
      </c>
      <c r="C691" s="184"/>
      <c r="D691" s="184"/>
      <c r="E691" s="1"/>
      <c r="F691" s="1"/>
      <c r="G691" s="1"/>
      <c r="H691" s="1"/>
      <c r="I691" s="1"/>
      <c r="J691" s="1"/>
      <c r="K691" s="1"/>
      <c r="L691" s="1"/>
    </row>
    <row r="692" ht="15.0" customHeight="1">
      <c r="A692" s="305" t="s">
        <v>50</v>
      </c>
      <c r="B692" s="1188">
        <v>42397.0</v>
      </c>
      <c r="C692" s="184"/>
      <c r="D692" s="184"/>
      <c r="E692" s="1"/>
      <c r="F692" s="1"/>
      <c r="G692" s="1"/>
      <c r="H692" s="1"/>
      <c r="I692" s="1"/>
      <c r="J692" s="1"/>
      <c r="K692" s="1"/>
      <c r="L692" s="1"/>
    </row>
    <row r="693" ht="15.0" customHeight="1">
      <c r="A693" s="1873" t="s">
        <v>119</v>
      </c>
      <c r="B693" s="1874" t="s">
        <v>47</v>
      </c>
      <c r="C693" s="184"/>
      <c r="D693" s="184"/>
      <c r="E693" s="1"/>
      <c r="F693" s="1"/>
      <c r="G693" s="1"/>
      <c r="H693" s="1"/>
      <c r="I693" s="1"/>
      <c r="J693" s="1"/>
      <c r="K693" s="1"/>
      <c r="L693" s="1"/>
    </row>
    <row r="694" ht="15.0" customHeight="1">
      <c r="A694" s="1"/>
      <c r="B694" s="107"/>
      <c r="C694" s="184"/>
      <c r="D694" s="184"/>
      <c r="E694" s="1"/>
      <c r="F694" s="1"/>
      <c r="G694" s="1"/>
      <c r="H694" s="1"/>
      <c r="I694" s="1"/>
      <c r="J694" s="1"/>
      <c r="K694" s="1"/>
      <c r="L694" s="1"/>
    </row>
    <row r="695" ht="15.0" customHeight="1">
      <c r="A695" s="206" t="s">
        <v>271</v>
      </c>
      <c r="B695" s="5"/>
      <c r="C695" s="5"/>
      <c r="D695" s="5"/>
      <c r="E695" s="6"/>
      <c r="F695" s="1"/>
      <c r="G695" s="1"/>
      <c r="H695" s="1"/>
      <c r="I695" s="1"/>
      <c r="J695" s="1"/>
      <c r="K695" s="1"/>
      <c r="L695" s="1"/>
    </row>
    <row r="696" ht="15.0" customHeight="1">
      <c r="A696" s="617" t="s">
        <v>1</v>
      </c>
      <c r="B696" s="2115">
        <v>60.0</v>
      </c>
      <c r="C696" s="2116">
        <v>33.0</v>
      </c>
      <c r="D696" s="2117"/>
      <c r="E696" s="2118" t="s">
        <v>5</v>
      </c>
      <c r="F696" s="1"/>
      <c r="G696" s="1"/>
      <c r="H696" s="1"/>
      <c r="I696" s="1"/>
      <c r="J696" s="1"/>
      <c r="K696" s="1"/>
      <c r="L696" s="1"/>
    </row>
    <row r="697" ht="15.0" customHeight="1">
      <c r="A697" s="2119" t="s">
        <v>53</v>
      </c>
      <c r="B697" s="2120">
        <v>10.0</v>
      </c>
      <c r="C697" s="2121">
        <f t="shared" ref="C697:C708" si="41">C696/B696*B697</f>
        <v>5.5</v>
      </c>
      <c r="D697" s="2122"/>
      <c r="E697" s="2123" t="s">
        <v>14</v>
      </c>
      <c r="F697" s="1"/>
      <c r="G697" s="1"/>
      <c r="H697" s="1"/>
      <c r="I697" s="1"/>
      <c r="J697" s="1"/>
      <c r="K697" s="1"/>
      <c r="L697" s="1"/>
    </row>
    <row r="698" ht="15.0" customHeight="1">
      <c r="A698" s="2124" t="s">
        <v>91</v>
      </c>
      <c r="B698" s="2125">
        <v>2.0</v>
      </c>
      <c r="C698" s="2121">
        <f t="shared" si="41"/>
        <v>1.1</v>
      </c>
      <c r="D698" s="2126"/>
      <c r="E698" s="2127" t="s">
        <v>5</v>
      </c>
      <c r="F698" s="2128" t="s">
        <v>2426</v>
      </c>
      <c r="G698" s="1"/>
      <c r="H698" s="1"/>
      <c r="I698" s="1"/>
      <c r="J698" s="1"/>
      <c r="K698" s="1"/>
      <c r="L698" s="1"/>
    </row>
    <row r="699" ht="15.0" customHeight="1">
      <c r="A699" s="2129" t="s">
        <v>98</v>
      </c>
      <c r="B699" s="2130">
        <v>60.0</v>
      </c>
      <c r="C699" s="2131">
        <f t="shared" si="41"/>
        <v>33</v>
      </c>
      <c r="D699" s="2132"/>
      <c r="E699" s="2133" t="s">
        <v>18</v>
      </c>
      <c r="F699" s="66"/>
      <c r="G699" s="1"/>
      <c r="H699" s="1"/>
      <c r="I699" s="1"/>
      <c r="J699" s="1"/>
      <c r="K699" s="1"/>
      <c r="L699" s="1"/>
    </row>
    <row r="700" ht="15.0" customHeight="1">
      <c r="A700" s="2129" t="s">
        <v>39</v>
      </c>
      <c r="B700" s="2130">
        <v>150.0</v>
      </c>
      <c r="C700" s="2131">
        <f t="shared" si="41"/>
        <v>82.5</v>
      </c>
      <c r="D700" s="2132"/>
      <c r="E700" s="2133" t="s">
        <v>18</v>
      </c>
      <c r="F700" s="66"/>
      <c r="G700" s="1"/>
      <c r="H700" s="1"/>
      <c r="I700" s="1"/>
      <c r="J700" s="1"/>
      <c r="K700" s="1"/>
      <c r="L700" s="1"/>
    </row>
    <row r="701" ht="15.0" customHeight="1">
      <c r="A701" s="2129" t="s">
        <v>103</v>
      </c>
      <c r="B701" s="2130">
        <v>30.0</v>
      </c>
      <c r="C701" s="2131">
        <f t="shared" si="41"/>
        <v>16.5</v>
      </c>
      <c r="D701" s="2132"/>
      <c r="E701" s="2133" t="s">
        <v>18</v>
      </c>
      <c r="F701" s="66"/>
      <c r="G701" s="1"/>
      <c r="H701" s="1"/>
      <c r="I701" s="1"/>
      <c r="J701" s="1"/>
      <c r="K701" s="1"/>
      <c r="L701" s="1"/>
    </row>
    <row r="702" ht="15.0" customHeight="1">
      <c r="A702" s="2129" t="s">
        <v>52</v>
      </c>
      <c r="B702" s="2130">
        <v>60.0</v>
      </c>
      <c r="C702" s="2131">
        <f t="shared" si="41"/>
        <v>33</v>
      </c>
      <c r="D702" s="2132"/>
      <c r="E702" s="2133" t="s">
        <v>18</v>
      </c>
      <c r="F702" s="66"/>
      <c r="G702" s="1"/>
      <c r="H702" s="1"/>
      <c r="I702" s="1"/>
      <c r="J702" s="1"/>
      <c r="K702" s="1"/>
      <c r="L702" s="1"/>
    </row>
    <row r="703" ht="15.0" customHeight="1">
      <c r="A703" s="2129" t="s">
        <v>1161</v>
      </c>
      <c r="B703" s="2130">
        <v>12.0</v>
      </c>
      <c r="C703" s="2131">
        <f t="shared" si="41"/>
        <v>6.6</v>
      </c>
      <c r="D703" s="2132"/>
      <c r="E703" s="2133" t="s">
        <v>14</v>
      </c>
      <c r="F703" s="66"/>
      <c r="G703" s="1"/>
      <c r="H703" s="1"/>
      <c r="I703" s="1"/>
      <c r="J703" s="1"/>
      <c r="K703" s="1"/>
      <c r="L703" s="1"/>
    </row>
    <row r="704" ht="15.0" customHeight="1">
      <c r="A704" s="2129" t="s">
        <v>79</v>
      </c>
      <c r="B704" s="2130">
        <v>9.0</v>
      </c>
      <c r="C704" s="2131">
        <f t="shared" si="41"/>
        <v>4.95</v>
      </c>
      <c r="D704" s="2132"/>
      <c r="E704" s="2133" t="s">
        <v>14</v>
      </c>
      <c r="F704" s="66"/>
      <c r="G704" s="1"/>
      <c r="H704" s="1"/>
      <c r="I704" s="1"/>
      <c r="J704" s="1"/>
      <c r="K704" s="1"/>
      <c r="L704" s="1"/>
    </row>
    <row r="705" ht="15.0" customHeight="1">
      <c r="A705" s="2129" t="s">
        <v>31</v>
      </c>
      <c r="B705" s="2130">
        <v>500.0</v>
      </c>
      <c r="C705" s="2131">
        <f t="shared" si="41"/>
        <v>275</v>
      </c>
      <c r="D705" s="2132"/>
      <c r="E705" s="2133" t="s">
        <v>18</v>
      </c>
      <c r="F705" s="66"/>
      <c r="G705" s="1"/>
      <c r="H705" s="1"/>
      <c r="I705" s="1"/>
      <c r="J705" s="1"/>
      <c r="K705" s="1"/>
      <c r="L705" s="1"/>
    </row>
    <row r="706" ht="15.0" customHeight="1">
      <c r="A706" s="2129" t="s">
        <v>2430</v>
      </c>
      <c r="B706" s="2130">
        <v>100.0</v>
      </c>
      <c r="C706" s="2131">
        <f t="shared" si="41"/>
        <v>55</v>
      </c>
      <c r="D706" s="2132"/>
      <c r="E706" s="2133" t="s">
        <v>18</v>
      </c>
      <c r="F706" s="66"/>
      <c r="G706" s="1"/>
      <c r="H706" s="1"/>
      <c r="I706" s="1"/>
      <c r="J706" s="1"/>
      <c r="K706" s="1"/>
      <c r="L706" s="1"/>
    </row>
    <row r="707" ht="15.0" customHeight="1">
      <c r="A707" s="68" t="s">
        <v>1587</v>
      </c>
      <c r="B707" s="145">
        <v>600.0</v>
      </c>
      <c r="C707" s="155">
        <f t="shared" si="41"/>
        <v>330</v>
      </c>
      <c r="D707" s="899"/>
      <c r="E707" s="216" t="s">
        <v>18</v>
      </c>
      <c r="F707" s="66"/>
      <c r="G707" s="1"/>
      <c r="H707" s="1"/>
      <c r="I707" s="1"/>
      <c r="J707" s="1"/>
      <c r="K707" s="1"/>
      <c r="L707" s="1"/>
    </row>
    <row r="708" ht="15.0" customHeight="1">
      <c r="A708" s="105" t="s">
        <v>1291</v>
      </c>
      <c r="B708" s="200">
        <v>12.0</v>
      </c>
      <c r="C708" s="56">
        <f t="shared" si="41"/>
        <v>6.6</v>
      </c>
      <c r="D708" s="1604"/>
      <c r="E708" s="518" t="s">
        <v>93</v>
      </c>
      <c r="F708" s="106"/>
      <c r="G708" s="1"/>
      <c r="H708" s="1"/>
      <c r="I708" s="1"/>
      <c r="J708" s="1"/>
      <c r="K708" s="1"/>
      <c r="L708" s="1"/>
    </row>
    <row r="709" ht="15.0" customHeight="1">
      <c r="A709" s="1873" t="s">
        <v>119</v>
      </c>
      <c r="B709" s="1874" t="s">
        <v>47</v>
      </c>
      <c r="C709" s="184"/>
      <c r="D709" s="184"/>
      <c r="E709" s="1"/>
      <c r="F709" s="1"/>
      <c r="G709" s="1"/>
      <c r="H709" s="1"/>
      <c r="I709" s="1"/>
      <c r="J709" s="1"/>
      <c r="K709" s="1"/>
      <c r="L709" s="1"/>
    </row>
    <row r="710" ht="15.0" customHeight="1">
      <c r="A710" s="550" t="s">
        <v>1583</v>
      </c>
      <c r="B710" s="1363">
        <v>42776.0</v>
      </c>
      <c r="C710" s="184"/>
      <c r="D710" s="184"/>
      <c r="E710" s="1"/>
      <c r="F710" s="1"/>
      <c r="G710" s="1"/>
      <c r="H710" s="1"/>
      <c r="I710" s="1"/>
      <c r="J710" s="1"/>
      <c r="K710" s="1"/>
      <c r="L710" s="1"/>
    </row>
    <row r="711" ht="15.0" customHeight="1">
      <c r="A711" s="342" t="s">
        <v>1585</v>
      </c>
      <c r="B711" s="1363"/>
      <c r="C711" s="184"/>
      <c r="D711" s="184"/>
      <c r="E711" s="1"/>
      <c r="F711" s="1"/>
      <c r="G711" s="1"/>
      <c r="H711" s="1"/>
      <c r="I711" s="1"/>
      <c r="J711" s="1"/>
      <c r="K711" s="1"/>
      <c r="L711" s="1"/>
    </row>
    <row r="712" ht="15.0" customHeight="1">
      <c r="A712" s="1"/>
      <c r="B712" s="107"/>
      <c r="C712" s="184"/>
      <c r="D712" s="184"/>
      <c r="E712" s="1"/>
      <c r="F712" s="1"/>
      <c r="G712" s="1"/>
      <c r="H712" s="1"/>
      <c r="I712" s="1"/>
      <c r="J712" s="1"/>
      <c r="K712" s="1"/>
      <c r="L712" s="1"/>
    </row>
    <row r="713" ht="15.0" customHeight="1">
      <c r="A713" s="206" t="s">
        <v>785</v>
      </c>
      <c r="B713" s="5"/>
      <c r="C713" s="5"/>
      <c r="D713" s="5"/>
      <c r="E713" s="6"/>
      <c r="F713" s="1"/>
      <c r="G713" s="1"/>
      <c r="H713" s="1"/>
      <c r="I713" s="1"/>
      <c r="J713" s="1"/>
      <c r="K713" s="1"/>
      <c r="L713" s="1"/>
    </row>
    <row r="714" ht="15.0" customHeight="1">
      <c r="A714" s="51" t="s">
        <v>1</v>
      </c>
      <c r="B714" s="190">
        <v>100.0</v>
      </c>
      <c r="C714" s="513">
        <v>100.0</v>
      </c>
      <c r="D714" s="1576"/>
      <c r="E714" s="514" t="s">
        <v>5</v>
      </c>
      <c r="F714" s="1"/>
      <c r="G714" s="1"/>
      <c r="H714" s="1"/>
      <c r="I714" s="1"/>
      <c r="J714" s="1"/>
      <c r="K714" s="1"/>
      <c r="L714" s="1"/>
    </row>
    <row r="715" ht="15.0" customHeight="1">
      <c r="A715" s="68" t="s">
        <v>743</v>
      </c>
      <c r="B715" s="145">
        <v>3.0</v>
      </c>
      <c r="C715" s="155">
        <f t="shared" ref="C715:C720" si="42">C714/B714*B715</f>
        <v>3</v>
      </c>
      <c r="D715" s="899"/>
      <c r="E715" s="216" t="s">
        <v>5</v>
      </c>
      <c r="F715" s="826" t="s">
        <v>2432</v>
      </c>
      <c r="G715" s="1"/>
      <c r="H715" s="1"/>
      <c r="I715" s="1"/>
      <c r="J715" s="1"/>
      <c r="K715" s="1"/>
      <c r="L715" s="1"/>
    </row>
    <row r="716" ht="15.0" customHeight="1">
      <c r="A716" s="93" t="s">
        <v>52</v>
      </c>
      <c r="B716" s="195">
        <v>135.0</v>
      </c>
      <c r="C716" s="78">
        <f t="shared" si="42"/>
        <v>135</v>
      </c>
      <c r="D716" s="900"/>
      <c r="E716" s="249" t="s">
        <v>18</v>
      </c>
      <c r="F716" s="66"/>
      <c r="G716" s="1"/>
      <c r="H716" s="1"/>
      <c r="I716" s="1"/>
      <c r="J716" s="1"/>
      <c r="K716" s="1"/>
      <c r="L716" s="1"/>
    </row>
    <row r="717" ht="15.0" customHeight="1">
      <c r="A717" s="93" t="s">
        <v>1161</v>
      </c>
      <c r="B717" s="195">
        <v>3.0</v>
      </c>
      <c r="C717" s="78">
        <f t="shared" si="42"/>
        <v>3</v>
      </c>
      <c r="D717" s="900"/>
      <c r="E717" s="249" t="s">
        <v>14</v>
      </c>
      <c r="F717" s="66"/>
      <c r="G717" s="1"/>
      <c r="H717" s="1"/>
      <c r="I717" s="1"/>
      <c r="J717" s="1"/>
      <c r="K717" s="1"/>
      <c r="L717" s="1"/>
    </row>
    <row r="718" ht="15.0" customHeight="1">
      <c r="A718" s="93" t="s">
        <v>2433</v>
      </c>
      <c r="B718" s="195">
        <v>2.0</v>
      </c>
      <c r="C718" s="78">
        <f t="shared" si="42"/>
        <v>2</v>
      </c>
      <c r="D718" s="900"/>
      <c r="E718" s="249" t="s">
        <v>14</v>
      </c>
      <c r="F718" s="66"/>
      <c r="G718" s="1"/>
      <c r="H718" s="1"/>
      <c r="I718" s="1"/>
      <c r="J718" s="1"/>
      <c r="K718" s="1"/>
      <c r="L718" s="1"/>
    </row>
    <row r="719" ht="15.0" customHeight="1">
      <c r="A719" s="93" t="s">
        <v>1169</v>
      </c>
      <c r="B719" s="195">
        <v>3.0</v>
      </c>
      <c r="C719" s="78">
        <f t="shared" si="42"/>
        <v>3</v>
      </c>
      <c r="D719" s="900"/>
      <c r="E719" s="249" t="s">
        <v>14</v>
      </c>
      <c r="F719" s="66"/>
      <c r="G719" s="1"/>
      <c r="H719" s="1"/>
      <c r="I719" s="1"/>
      <c r="J719" s="1"/>
      <c r="K719" s="1"/>
      <c r="L719" s="1"/>
    </row>
    <row r="720" ht="15.0" customHeight="1">
      <c r="A720" s="93" t="s">
        <v>1246</v>
      </c>
      <c r="B720" s="195">
        <v>3.0</v>
      </c>
      <c r="C720" s="78">
        <f t="shared" si="42"/>
        <v>3</v>
      </c>
      <c r="D720" s="900"/>
      <c r="E720" s="249" t="s">
        <v>14</v>
      </c>
      <c r="F720" s="66"/>
      <c r="G720" s="1"/>
      <c r="H720" s="1"/>
      <c r="I720" s="1"/>
      <c r="J720" s="1"/>
      <c r="K720" s="1"/>
      <c r="L720" s="1"/>
    </row>
    <row r="721" ht="15.0" customHeight="1">
      <c r="A721" s="93" t="s">
        <v>122</v>
      </c>
      <c r="B721" s="195">
        <v>14.0</v>
      </c>
      <c r="C721" s="78">
        <f t="shared" ref="C721:C722" si="43">C723/B723*B721</f>
        <v>14</v>
      </c>
      <c r="D721" s="900"/>
      <c r="E721" s="249" t="s">
        <v>5</v>
      </c>
      <c r="F721" s="66"/>
      <c r="G721" s="1"/>
      <c r="H721" s="1"/>
      <c r="I721" s="1"/>
      <c r="J721" s="1"/>
      <c r="K721" s="1"/>
      <c r="L721" s="1"/>
    </row>
    <row r="722" ht="15.0" customHeight="1">
      <c r="A722" s="93" t="s">
        <v>59</v>
      </c>
      <c r="B722" s="195">
        <v>32.0</v>
      </c>
      <c r="C722" s="78">
        <f t="shared" si="43"/>
        <v>32</v>
      </c>
      <c r="D722" s="900"/>
      <c r="E722" s="249" t="s">
        <v>5</v>
      </c>
      <c r="F722" s="66"/>
      <c r="G722" s="1"/>
      <c r="H722" s="1"/>
      <c r="I722" s="1"/>
      <c r="J722" s="1"/>
      <c r="K722" s="1"/>
      <c r="L722" s="1"/>
    </row>
    <row r="723" ht="15.0" customHeight="1">
      <c r="A723" s="93" t="s">
        <v>1952</v>
      </c>
      <c r="B723" s="195">
        <v>20.0</v>
      </c>
      <c r="C723" s="78">
        <f t="shared" ref="C723:C725" si="44">C720/B720*B723</f>
        <v>20</v>
      </c>
      <c r="D723" s="900"/>
      <c r="E723" s="249" t="s">
        <v>14</v>
      </c>
      <c r="F723" s="66"/>
      <c r="G723" s="1"/>
      <c r="H723" s="1"/>
      <c r="I723" s="1"/>
      <c r="J723" s="1"/>
      <c r="K723" s="1"/>
      <c r="L723" s="1"/>
    </row>
    <row r="724" ht="15.0" customHeight="1">
      <c r="A724" s="105" t="s">
        <v>31</v>
      </c>
      <c r="B724" s="200">
        <v>1150.0</v>
      </c>
      <c r="C724" s="56">
        <f t="shared" si="44"/>
        <v>1150</v>
      </c>
      <c r="D724" s="1604"/>
      <c r="E724" s="518" t="s">
        <v>18</v>
      </c>
      <c r="F724" s="106"/>
      <c r="G724" s="1"/>
      <c r="H724" s="1"/>
      <c r="I724" s="1"/>
      <c r="J724" s="1"/>
      <c r="K724" s="1"/>
      <c r="L724" s="1"/>
    </row>
    <row r="725" ht="15.0" customHeight="1">
      <c r="A725" s="173" t="s">
        <v>746</v>
      </c>
      <c r="B725" s="275">
        <v>1500.0</v>
      </c>
      <c r="C725" s="179">
        <f t="shared" si="44"/>
        <v>1500</v>
      </c>
      <c r="D725" s="1689"/>
      <c r="E725" s="547" t="s">
        <v>18</v>
      </c>
      <c r="F725" s="2135" t="s">
        <v>2434</v>
      </c>
      <c r="G725" s="1"/>
      <c r="H725" s="1"/>
      <c r="I725" s="1"/>
      <c r="J725" s="1"/>
      <c r="K725" s="1"/>
      <c r="L725" s="1"/>
    </row>
    <row r="726" ht="15.0" customHeight="1">
      <c r="A726" s="119" t="s">
        <v>95</v>
      </c>
      <c r="B726" s="238">
        <v>300.0</v>
      </c>
      <c r="C726" s="129">
        <f t="shared" ref="C726:C731" si="45">C725/B725*B726</f>
        <v>300</v>
      </c>
      <c r="D726" s="1583"/>
      <c r="E726" s="520" t="s">
        <v>18</v>
      </c>
      <c r="F726" s="1299" t="s">
        <v>2435</v>
      </c>
      <c r="G726" s="1"/>
      <c r="H726" s="1"/>
      <c r="I726" s="1"/>
      <c r="J726" s="1"/>
      <c r="K726" s="1"/>
      <c r="L726" s="1"/>
    </row>
    <row r="727" ht="15.0" customHeight="1">
      <c r="A727" s="93" t="s">
        <v>96</v>
      </c>
      <c r="B727" s="195">
        <v>75.0</v>
      </c>
      <c r="C727" s="78">
        <f t="shared" si="45"/>
        <v>75</v>
      </c>
      <c r="D727" s="900"/>
      <c r="E727" s="249" t="s">
        <v>18</v>
      </c>
      <c r="F727" s="47"/>
      <c r="G727" s="1"/>
      <c r="H727" s="1"/>
      <c r="I727" s="1"/>
      <c r="J727" s="1"/>
      <c r="K727" s="1"/>
      <c r="L727" s="1"/>
    </row>
    <row r="728" ht="15.0" customHeight="1">
      <c r="A728" s="93" t="s">
        <v>102</v>
      </c>
      <c r="B728" s="195">
        <v>120.0</v>
      </c>
      <c r="C728" s="78">
        <f t="shared" si="45"/>
        <v>120</v>
      </c>
      <c r="D728" s="900"/>
      <c r="E728" s="249" t="s">
        <v>18</v>
      </c>
      <c r="F728" s="47"/>
      <c r="G728" s="1"/>
      <c r="H728" s="1"/>
      <c r="I728" s="1"/>
      <c r="J728" s="1"/>
      <c r="K728" s="1"/>
      <c r="L728" s="1"/>
    </row>
    <row r="729" ht="15.0" customHeight="1">
      <c r="A729" s="93" t="s">
        <v>39</v>
      </c>
      <c r="B729" s="195">
        <v>400.0</v>
      </c>
      <c r="C729" s="78">
        <f t="shared" si="45"/>
        <v>400</v>
      </c>
      <c r="D729" s="900"/>
      <c r="E729" s="249" t="s">
        <v>18</v>
      </c>
      <c r="F729" s="47"/>
      <c r="G729" s="1"/>
      <c r="H729" s="1"/>
      <c r="I729" s="1"/>
      <c r="J729" s="1"/>
      <c r="K729" s="1"/>
      <c r="L729" s="1"/>
    </row>
    <row r="730" ht="15.0" customHeight="1">
      <c r="A730" s="105" t="s">
        <v>149</v>
      </c>
      <c r="B730" s="200">
        <v>500.0</v>
      </c>
      <c r="C730" s="56">
        <f t="shared" si="45"/>
        <v>500</v>
      </c>
      <c r="D730" s="1604"/>
      <c r="E730" s="518" t="s">
        <v>18</v>
      </c>
      <c r="F730" s="76"/>
      <c r="G730" s="1"/>
      <c r="H730" s="1"/>
      <c r="I730" s="1"/>
      <c r="J730" s="1"/>
      <c r="K730" s="1"/>
      <c r="L730" s="1"/>
    </row>
    <row r="731" ht="15.0" customHeight="1">
      <c r="A731" s="119" t="s">
        <v>2437</v>
      </c>
      <c r="B731" s="238">
        <v>0.1</v>
      </c>
      <c r="C731" s="129">
        <f t="shared" si="45"/>
        <v>0.1</v>
      </c>
      <c r="D731" s="1583"/>
      <c r="E731" s="520" t="s">
        <v>5</v>
      </c>
      <c r="F731" s="2146" t="s">
        <v>2438</v>
      </c>
      <c r="G731" s="1"/>
      <c r="H731" s="1"/>
      <c r="I731" s="1"/>
      <c r="J731" s="1"/>
      <c r="K731" s="1"/>
      <c r="L731" s="1"/>
    </row>
    <row r="732" ht="15.0" customHeight="1">
      <c r="A732" s="68" t="s">
        <v>1587</v>
      </c>
      <c r="B732" s="145">
        <v>850.0</v>
      </c>
      <c r="C732" s="155">
        <f t="shared" ref="C732:C733" si="46">(B732*C730)/B730</f>
        <v>850</v>
      </c>
      <c r="D732" s="899"/>
      <c r="E732" s="216" t="s">
        <v>18</v>
      </c>
      <c r="F732" s="66"/>
      <c r="G732" s="1"/>
      <c r="H732" s="1"/>
      <c r="I732" s="1"/>
      <c r="J732" s="1"/>
      <c r="K732" s="1"/>
      <c r="L732" s="1"/>
    </row>
    <row r="733" ht="15.0" customHeight="1">
      <c r="A733" s="105" t="s">
        <v>1291</v>
      </c>
      <c r="B733" s="200">
        <v>17.0</v>
      </c>
      <c r="C733" s="56">
        <f t="shared" si="46"/>
        <v>17</v>
      </c>
      <c r="D733" s="1604"/>
      <c r="E733" s="518" t="s">
        <v>93</v>
      </c>
      <c r="F733" s="106"/>
      <c r="G733" s="1"/>
      <c r="H733" s="1"/>
      <c r="I733" s="1"/>
      <c r="J733" s="1"/>
      <c r="K733" s="1"/>
      <c r="L733" s="1"/>
    </row>
    <row r="734" ht="15.0" customHeight="1">
      <c r="A734" s="1873" t="s">
        <v>119</v>
      </c>
      <c r="B734" s="1874" t="s">
        <v>47</v>
      </c>
      <c r="C734" s="184"/>
      <c r="D734" s="184"/>
      <c r="E734" s="1"/>
      <c r="F734" s="1"/>
      <c r="G734" s="1"/>
      <c r="H734" s="1"/>
      <c r="I734" s="1"/>
      <c r="J734" s="1"/>
      <c r="K734" s="1"/>
      <c r="L734" s="1"/>
    </row>
    <row r="735" ht="15.0" customHeight="1">
      <c r="A735" s="803" t="s">
        <v>2457</v>
      </c>
      <c r="B735" s="5"/>
      <c r="C735" s="5"/>
      <c r="D735" s="5"/>
      <c r="E735" s="6"/>
      <c r="F735" s="1"/>
      <c r="G735" s="1"/>
      <c r="H735" s="1"/>
      <c r="I735" s="1"/>
      <c r="J735" s="1"/>
      <c r="K735" s="1"/>
      <c r="L735" s="1"/>
    </row>
    <row r="736" ht="15.0" customHeight="1">
      <c r="A736" s="63"/>
      <c r="E736" s="66"/>
      <c r="F736" s="1"/>
      <c r="G736" s="1"/>
      <c r="H736" s="1"/>
      <c r="I736" s="1"/>
      <c r="J736" s="1"/>
      <c r="K736" s="1"/>
      <c r="L736" s="1"/>
    </row>
    <row r="737" ht="15.0" customHeight="1">
      <c r="A737" s="63"/>
      <c r="E737" s="66"/>
      <c r="F737" s="1"/>
      <c r="G737" s="1"/>
      <c r="H737" s="1"/>
      <c r="I737" s="1"/>
      <c r="J737" s="1"/>
      <c r="K737" s="1"/>
      <c r="L737" s="1"/>
    </row>
    <row r="738" ht="15.0" customHeight="1">
      <c r="A738" s="102"/>
      <c r="B738" s="104"/>
      <c r="C738" s="104"/>
      <c r="D738" s="104"/>
      <c r="E738" s="106"/>
      <c r="F738" s="1"/>
      <c r="G738" s="1"/>
      <c r="H738" s="1"/>
      <c r="I738" s="1"/>
      <c r="J738" s="1"/>
      <c r="K738" s="1"/>
      <c r="L738" s="1"/>
    </row>
    <row r="739" ht="15.0" customHeight="1">
      <c r="A739" s="552" t="s">
        <v>1583</v>
      </c>
      <c r="B739" s="1508">
        <v>42778.0</v>
      </c>
      <c r="C739" s="184"/>
      <c r="D739" s="184"/>
      <c r="E739" s="1"/>
      <c r="F739" s="1"/>
      <c r="G739" s="1"/>
      <c r="H739" s="1"/>
      <c r="I739" s="1"/>
      <c r="J739" s="1"/>
      <c r="K739" s="1"/>
      <c r="L739" s="1"/>
    </row>
    <row r="740" ht="15.0" customHeight="1">
      <c r="A740" s="342" t="s">
        <v>1585</v>
      </c>
      <c r="B740" s="1363">
        <v>42888.0</v>
      </c>
      <c r="C740" s="184"/>
      <c r="D740" s="184"/>
      <c r="E740" s="1"/>
      <c r="F740" s="1"/>
      <c r="G740" s="1"/>
      <c r="H740" s="1"/>
      <c r="I740" s="1"/>
      <c r="J740" s="1"/>
      <c r="K740" s="1"/>
      <c r="L740" s="1"/>
    </row>
    <row r="741" ht="15.0" customHeight="1">
      <c r="A741" s="1"/>
      <c r="B741" s="107"/>
      <c r="C741" s="184"/>
      <c r="D741" s="184"/>
      <c r="E741" s="1"/>
      <c r="F741" s="1"/>
      <c r="G741" s="1"/>
      <c r="H741" s="1"/>
      <c r="I741" s="1"/>
      <c r="J741" s="1"/>
      <c r="K741" s="1"/>
      <c r="L741" s="1"/>
    </row>
    <row r="742" ht="15.0" customHeight="1">
      <c r="A742" s="266" t="s">
        <v>1006</v>
      </c>
      <c r="B742" s="5"/>
      <c r="C742" s="5"/>
      <c r="D742" s="5"/>
      <c r="E742" s="6"/>
      <c r="F742" s="1"/>
      <c r="G742" s="1"/>
      <c r="H742" s="1"/>
      <c r="I742" s="1"/>
      <c r="J742" s="1"/>
      <c r="K742" s="1"/>
      <c r="L742" s="1"/>
    </row>
    <row r="743" ht="15.0" customHeight="1">
      <c r="A743" s="51" t="s">
        <v>1054</v>
      </c>
      <c r="B743" s="190">
        <v>55.0</v>
      </c>
      <c r="C743" s="513">
        <v>71.5</v>
      </c>
      <c r="D743" s="1576"/>
      <c r="E743" s="514" t="s">
        <v>5</v>
      </c>
      <c r="F743" s="1"/>
      <c r="G743" s="1"/>
      <c r="H743" s="1"/>
      <c r="I743" s="1"/>
      <c r="J743" s="1"/>
      <c r="K743" s="1"/>
      <c r="L743" s="1"/>
    </row>
    <row r="744" ht="15.0" customHeight="1">
      <c r="A744" s="345" t="s">
        <v>53</v>
      </c>
      <c r="B744" s="13">
        <v>10.0</v>
      </c>
      <c r="C744" s="346">
        <f t="shared" ref="C744:C748" si="47">(B744*C743)/B743</f>
        <v>13</v>
      </c>
      <c r="D744" s="2166"/>
      <c r="E744" s="348" t="s">
        <v>14</v>
      </c>
      <c r="F744" s="638"/>
      <c r="G744" s="1"/>
      <c r="H744" s="1"/>
      <c r="I744" s="1"/>
      <c r="J744" s="1"/>
      <c r="K744" s="1"/>
      <c r="L744" s="1"/>
    </row>
    <row r="745" ht="15.0" customHeight="1">
      <c r="A745" s="93" t="s">
        <v>59</v>
      </c>
      <c r="B745" s="195">
        <v>25.0</v>
      </c>
      <c r="C745" s="78">
        <f t="shared" si="47"/>
        <v>32.5</v>
      </c>
      <c r="D745" s="900"/>
      <c r="E745" s="249" t="s">
        <v>5</v>
      </c>
      <c r="F745" s="47"/>
      <c r="G745" s="1"/>
      <c r="H745" s="1"/>
      <c r="I745" s="1"/>
      <c r="J745" s="1"/>
      <c r="K745" s="1"/>
      <c r="L745" s="1"/>
    </row>
    <row r="746" ht="15.0" customHeight="1">
      <c r="A746" s="93" t="s">
        <v>91</v>
      </c>
      <c r="B746" s="195">
        <v>0.5</v>
      </c>
      <c r="C746" s="78">
        <f t="shared" si="47"/>
        <v>0.65</v>
      </c>
      <c r="D746" s="900"/>
      <c r="E746" s="249" t="s">
        <v>5</v>
      </c>
      <c r="F746" s="47"/>
      <c r="G746" s="1"/>
      <c r="H746" s="1"/>
      <c r="I746" s="1"/>
      <c r="J746" s="1"/>
      <c r="K746" s="1"/>
      <c r="L746" s="1"/>
    </row>
    <row r="747" ht="15.0" customHeight="1">
      <c r="A747" s="354" t="s">
        <v>31</v>
      </c>
      <c r="B747" s="1821">
        <v>300.0</v>
      </c>
      <c r="C747" s="2173">
        <f t="shared" si="47"/>
        <v>390</v>
      </c>
      <c r="D747" s="2174"/>
      <c r="E747" s="356" t="s">
        <v>18</v>
      </c>
      <c r="F747" s="76"/>
      <c r="G747" s="1"/>
      <c r="H747" s="1"/>
      <c r="I747" s="1"/>
      <c r="J747" s="1"/>
      <c r="K747" s="1"/>
      <c r="L747" s="1"/>
    </row>
    <row r="748" ht="15.0" customHeight="1">
      <c r="A748" s="345" t="s">
        <v>91</v>
      </c>
      <c r="B748" s="13">
        <v>2.25</v>
      </c>
      <c r="C748" s="346">
        <f t="shared" si="47"/>
        <v>2.925</v>
      </c>
      <c r="D748" s="2166"/>
      <c r="E748" s="216" t="s">
        <v>5</v>
      </c>
      <c r="F748" s="638"/>
      <c r="G748" s="1"/>
      <c r="H748" s="1"/>
      <c r="I748" s="1"/>
      <c r="J748" s="1"/>
      <c r="K748" s="1"/>
      <c r="L748" s="1"/>
    </row>
    <row r="749" ht="15.0" customHeight="1">
      <c r="A749" s="350" t="s">
        <v>97</v>
      </c>
      <c r="B749" s="33">
        <v>150.0</v>
      </c>
      <c r="C749" s="2184">
        <f>(B749*C758)/B758</f>
        <v>195</v>
      </c>
      <c r="D749" s="2185"/>
      <c r="E749" s="352" t="s">
        <v>18</v>
      </c>
      <c r="F749" s="47"/>
      <c r="G749" s="1"/>
      <c r="H749" s="1"/>
      <c r="I749" s="1"/>
      <c r="J749" s="1"/>
      <c r="K749" s="1"/>
      <c r="L749" s="1"/>
    </row>
    <row r="750" ht="15.0" customHeight="1">
      <c r="A750" s="350" t="s">
        <v>810</v>
      </c>
      <c r="B750" s="33">
        <v>0.4</v>
      </c>
      <c r="C750" s="2184">
        <f>(B750*C758)/B758</f>
        <v>0.52</v>
      </c>
      <c r="D750" s="2185"/>
      <c r="E750" s="352" t="s">
        <v>14</v>
      </c>
      <c r="F750" s="47"/>
      <c r="G750" s="1"/>
      <c r="H750" s="1"/>
      <c r="I750" s="1"/>
      <c r="J750" s="1"/>
      <c r="K750" s="1"/>
      <c r="L750" s="1"/>
    </row>
    <row r="751" ht="15.0" customHeight="1">
      <c r="A751" s="350" t="s">
        <v>357</v>
      </c>
      <c r="B751" s="33">
        <v>0.4</v>
      </c>
      <c r="C751" s="2184">
        <f>(B751*C749)/B749</f>
        <v>0.52</v>
      </c>
      <c r="D751" s="2185"/>
      <c r="E751" s="352" t="s">
        <v>14</v>
      </c>
      <c r="F751" s="47"/>
      <c r="G751" s="1"/>
      <c r="H751" s="1"/>
      <c r="I751" s="1"/>
      <c r="J751" s="1"/>
      <c r="K751" s="1"/>
      <c r="L751" s="1"/>
    </row>
    <row r="752" ht="15.0" customHeight="1">
      <c r="A752" s="350" t="s">
        <v>1978</v>
      </c>
      <c r="B752" s="33">
        <v>80.0</v>
      </c>
      <c r="C752" s="2184">
        <f t="shared" ref="C752:C755" si="48">(B752*C751)/B751</f>
        <v>104</v>
      </c>
      <c r="D752" s="2185"/>
      <c r="E752" s="352" t="s">
        <v>18</v>
      </c>
      <c r="F752" s="47"/>
      <c r="G752" s="1"/>
      <c r="H752" s="1"/>
      <c r="I752" s="1"/>
      <c r="J752" s="1"/>
      <c r="K752" s="1"/>
      <c r="L752" s="1"/>
    </row>
    <row r="753" ht="15.0" customHeight="1">
      <c r="A753" s="350" t="s">
        <v>103</v>
      </c>
      <c r="B753" s="33">
        <v>60.0</v>
      </c>
      <c r="C753" s="2184">
        <f t="shared" si="48"/>
        <v>78</v>
      </c>
      <c r="D753" s="2185"/>
      <c r="E753" s="352" t="s">
        <v>18</v>
      </c>
      <c r="F753" s="47"/>
      <c r="G753" s="1"/>
      <c r="H753" s="1"/>
      <c r="I753" s="1"/>
      <c r="J753" s="1"/>
      <c r="K753" s="1"/>
      <c r="L753" s="1"/>
    </row>
    <row r="754" ht="15.0" customHeight="1">
      <c r="A754" s="350" t="s">
        <v>1979</v>
      </c>
      <c r="B754" s="33">
        <v>400.0</v>
      </c>
      <c r="C754" s="2184">
        <f t="shared" si="48"/>
        <v>520</v>
      </c>
      <c r="D754" s="2185"/>
      <c r="E754" s="352" t="s">
        <v>18</v>
      </c>
      <c r="F754" s="47"/>
      <c r="G754" s="1"/>
      <c r="H754" s="1"/>
      <c r="I754" s="1"/>
      <c r="J754" s="1"/>
      <c r="K754" s="1"/>
      <c r="L754" s="1"/>
    </row>
    <row r="755" ht="15.0" customHeight="1">
      <c r="A755" s="350" t="s">
        <v>101</v>
      </c>
      <c r="B755" s="33">
        <v>1.0</v>
      </c>
      <c r="C755" s="2184">
        <f t="shared" si="48"/>
        <v>1.3</v>
      </c>
      <c r="D755" s="2185"/>
      <c r="E755" s="352" t="s">
        <v>5</v>
      </c>
      <c r="F755" s="47"/>
      <c r="G755" s="1"/>
      <c r="H755" s="1"/>
      <c r="I755" s="1"/>
      <c r="J755" s="1"/>
      <c r="K755" s="1"/>
      <c r="L755" s="1"/>
    </row>
    <row r="756" ht="15.0" customHeight="1">
      <c r="A756" s="350" t="s">
        <v>52</v>
      </c>
      <c r="B756" s="33">
        <v>40.0</v>
      </c>
      <c r="C756" s="2184">
        <f>(B756*C744)/B744</f>
        <v>52</v>
      </c>
      <c r="D756" s="2185"/>
      <c r="E756" s="352" t="s">
        <v>18</v>
      </c>
      <c r="F756" s="47"/>
      <c r="G756" s="1"/>
      <c r="H756" s="1"/>
      <c r="I756" s="1"/>
      <c r="J756" s="1"/>
      <c r="K756" s="1"/>
      <c r="L756" s="1"/>
    </row>
    <row r="757" ht="15.0" customHeight="1">
      <c r="A757" s="350" t="s">
        <v>79</v>
      </c>
      <c r="B757" s="33">
        <v>14.0</v>
      </c>
      <c r="C757" s="2184">
        <f>(B757*C759)/B759</f>
        <v>18.2</v>
      </c>
      <c r="D757" s="2185"/>
      <c r="E757" s="249" t="s">
        <v>14</v>
      </c>
      <c r="F757" s="47"/>
      <c r="G757" s="1"/>
      <c r="H757" s="1"/>
      <c r="I757" s="1"/>
      <c r="J757" s="1"/>
      <c r="K757" s="1"/>
      <c r="L757" s="1"/>
    </row>
    <row r="758" ht="15.0" customHeight="1">
      <c r="A758" s="606" t="s">
        <v>60</v>
      </c>
      <c r="B758" s="454">
        <v>0.8</v>
      </c>
      <c r="C758" s="2202">
        <f>(B758*C748)/B748</f>
        <v>1.04</v>
      </c>
      <c r="D758" s="2207"/>
      <c r="E758" s="518" t="s">
        <v>14</v>
      </c>
      <c r="F758" s="76"/>
      <c r="G758" s="1"/>
      <c r="H758" s="1"/>
      <c r="I758" s="1"/>
      <c r="J758" s="1"/>
      <c r="K758" s="1"/>
      <c r="L758" s="1"/>
    </row>
    <row r="759" ht="15.0" customHeight="1">
      <c r="A759" s="1746" t="s">
        <v>31</v>
      </c>
      <c r="B759" s="1758">
        <v>400.0</v>
      </c>
      <c r="C759" s="2209">
        <f>(B759*C755)/B755</f>
        <v>520</v>
      </c>
      <c r="D759" s="2210"/>
      <c r="E759" s="1762" t="s">
        <v>18</v>
      </c>
      <c r="F759" s="1"/>
      <c r="G759" s="1"/>
      <c r="H759" s="1"/>
      <c r="I759" s="1"/>
      <c r="J759" s="1"/>
      <c r="K759" s="1"/>
      <c r="L759" s="1"/>
    </row>
    <row r="760" ht="15.0" customHeight="1">
      <c r="A760" s="606" t="s">
        <v>1588</v>
      </c>
      <c r="B760" s="454">
        <v>2.0</v>
      </c>
      <c r="C760" s="2202">
        <f>(B760*C757)/B757</f>
        <v>2.6</v>
      </c>
      <c r="D760" s="2207"/>
      <c r="E760" s="1475" t="s">
        <v>190</v>
      </c>
      <c r="F760" s="1"/>
      <c r="G760" s="1"/>
      <c r="H760" s="1"/>
      <c r="I760" s="1"/>
      <c r="J760" s="1"/>
      <c r="K760" s="1"/>
      <c r="L760" s="1"/>
    </row>
    <row r="761" ht="15.0" customHeight="1">
      <c r="A761" s="1873" t="s">
        <v>119</v>
      </c>
      <c r="B761" s="1874" t="s">
        <v>47</v>
      </c>
      <c r="C761" s="184"/>
      <c r="D761" s="184"/>
      <c r="E761" s="1"/>
      <c r="F761" s="1"/>
      <c r="G761" s="1"/>
      <c r="H761" s="1"/>
      <c r="I761" s="1"/>
      <c r="J761" s="1"/>
      <c r="K761" s="1"/>
      <c r="L761" s="1"/>
    </row>
    <row r="762" ht="15.0" customHeight="1">
      <c r="A762" s="1"/>
      <c r="B762" s="107"/>
      <c r="C762" s="184"/>
      <c r="D762" s="184"/>
      <c r="E762" s="1"/>
      <c r="F762" s="1"/>
      <c r="G762" s="1"/>
      <c r="H762" s="1"/>
      <c r="I762" s="1"/>
      <c r="J762" s="1"/>
      <c r="K762" s="1"/>
      <c r="L762" s="1"/>
    </row>
    <row r="763" ht="15.0" customHeight="1">
      <c r="A763" s="266" t="s">
        <v>950</v>
      </c>
      <c r="B763" s="5"/>
      <c r="C763" s="5"/>
      <c r="D763" s="5"/>
      <c r="E763" s="6"/>
      <c r="F763" s="1"/>
      <c r="G763" s="1"/>
      <c r="H763" s="1"/>
      <c r="I763" s="1"/>
      <c r="J763" s="1"/>
      <c r="K763" s="1"/>
      <c r="L763" s="1"/>
    </row>
    <row r="764" ht="15.0" customHeight="1">
      <c r="A764" s="173" t="s">
        <v>1</v>
      </c>
      <c r="B764" s="275">
        <v>65.0</v>
      </c>
      <c r="C764" s="179">
        <v>130.0</v>
      </c>
      <c r="D764" s="1689"/>
      <c r="E764" s="547" t="s">
        <v>5</v>
      </c>
      <c r="F764" s="763"/>
      <c r="G764" s="1"/>
      <c r="H764" s="1"/>
      <c r="I764" s="1"/>
      <c r="J764" s="1"/>
      <c r="K764" s="1"/>
      <c r="L764" s="1"/>
    </row>
    <row r="765" ht="15.0" customHeight="1">
      <c r="A765" s="105" t="s">
        <v>53</v>
      </c>
      <c r="B765" s="200">
        <v>11.5</v>
      </c>
      <c r="C765" s="56">
        <f t="shared" ref="C765:C785" si="49">(B765*C764)/B764</f>
        <v>23</v>
      </c>
      <c r="D765" s="1604"/>
      <c r="E765" s="518" t="s">
        <v>14</v>
      </c>
      <c r="F765" s="763"/>
      <c r="G765" s="1"/>
      <c r="H765" s="1"/>
      <c r="I765" s="1"/>
      <c r="J765" s="1"/>
      <c r="K765" s="1"/>
      <c r="L765" s="1"/>
    </row>
    <row r="766" ht="15.0" customHeight="1">
      <c r="A766" s="68" t="s">
        <v>743</v>
      </c>
      <c r="B766" s="145">
        <v>1.7</v>
      </c>
      <c r="C766" s="78">
        <f t="shared" si="49"/>
        <v>3.4</v>
      </c>
      <c r="D766" s="1583"/>
      <c r="E766" s="216" t="s">
        <v>5</v>
      </c>
      <c r="F766" s="610" t="s">
        <v>2481</v>
      </c>
      <c r="G766" s="1"/>
      <c r="H766" s="1"/>
      <c r="I766" s="1"/>
      <c r="J766" s="1"/>
      <c r="K766" s="1"/>
      <c r="L766" s="1"/>
    </row>
    <row r="767" ht="15.0" customHeight="1">
      <c r="A767" s="93" t="s">
        <v>95</v>
      </c>
      <c r="B767" s="195">
        <v>65.0</v>
      </c>
      <c r="C767" s="78">
        <f t="shared" si="49"/>
        <v>130</v>
      </c>
      <c r="D767" s="900"/>
      <c r="E767" s="249" t="s">
        <v>18</v>
      </c>
      <c r="F767" s="47"/>
      <c r="G767" s="1"/>
      <c r="H767" s="1"/>
      <c r="I767" s="1"/>
      <c r="J767" s="1"/>
      <c r="K767" s="1"/>
      <c r="L767" s="1"/>
    </row>
    <row r="768" ht="15.0" customHeight="1">
      <c r="A768" s="93" t="s">
        <v>102</v>
      </c>
      <c r="B768" s="195">
        <v>65.0</v>
      </c>
      <c r="C768" s="78">
        <f t="shared" si="49"/>
        <v>130</v>
      </c>
      <c r="D768" s="900"/>
      <c r="E768" s="249" t="s">
        <v>18</v>
      </c>
      <c r="F768" s="47"/>
      <c r="G768" s="1"/>
      <c r="H768" s="1"/>
      <c r="I768" s="1"/>
      <c r="J768" s="1"/>
      <c r="K768" s="1"/>
      <c r="L768" s="1"/>
    </row>
    <row r="769" ht="15.0" customHeight="1">
      <c r="A769" s="93" t="s">
        <v>66</v>
      </c>
      <c r="B769" s="195">
        <v>13.0</v>
      </c>
      <c r="C769" s="78">
        <f t="shared" si="49"/>
        <v>26</v>
      </c>
      <c r="D769" s="900"/>
      <c r="E769" s="249" t="s">
        <v>18</v>
      </c>
      <c r="F769" s="47"/>
      <c r="G769" s="1"/>
      <c r="H769" s="1"/>
      <c r="I769" s="1"/>
      <c r="J769" s="1"/>
      <c r="K769" s="1"/>
      <c r="L769" s="1"/>
    </row>
    <row r="770" ht="15.0" customHeight="1">
      <c r="A770" s="93" t="s">
        <v>149</v>
      </c>
      <c r="B770" s="195">
        <v>192.0</v>
      </c>
      <c r="C770" s="78">
        <f t="shared" si="49"/>
        <v>384</v>
      </c>
      <c r="D770" s="900"/>
      <c r="E770" s="249" t="s">
        <v>18</v>
      </c>
      <c r="F770" s="47"/>
      <c r="G770" s="1"/>
      <c r="H770" s="1"/>
      <c r="I770" s="1"/>
      <c r="J770" s="1"/>
      <c r="K770" s="1"/>
      <c r="L770" s="1"/>
    </row>
    <row r="771" ht="15.0" customHeight="1">
      <c r="A771" s="93" t="s">
        <v>39</v>
      </c>
      <c r="B771" s="195">
        <v>288.0</v>
      </c>
      <c r="C771" s="78">
        <f t="shared" si="49"/>
        <v>576</v>
      </c>
      <c r="D771" s="900"/>
      <c r="E771" s="249" t="s">
        <v>18</v>
      </c>
      <c r="F771" s="47"/>
      <c r="G771" s="1"/>
      <c r="H771" s="1"/>
      <c r="I771" s="1"/>
      <c r="J771" s="1"/>
      <c r="K771" s="1"/>
      <c r="L771" s="1"/>
    </row>
    <row r="772" ht="15.0" customHeight="1">
      <c r="A772" s="93" t="s">
        <v>103</v>
      </c>
      <c r="B772" s="195">
        <v>26.0</v>
      </c>
      <c r="C772" s="78">
        <f t="shared" si="49"/>
        <v>52</v>
      </c>
      <c r="D772" s="900"/>
      <c r="E772" s="249" t="s">
        <v>18</v>
      </c>
      <c r="F772" s="47"/>
      <c r="G772" s="1"/>
      <c r="H772" s="1"/>
      <c r="I772" s="1"/>
      <c r="J772" s="1"/>
      <c r="K772" s="1"/>
      <c r="L772" s="1"/>
    </row>
    <row r="773" ht="15.0" customHeight="1">
      <c r="A773" s="138" t="s">
        <v>52</v>
      </c>
      <c r="B773" s="279">
        <v>130.0</v>
      </c>
      <c r="C773" s="146">
        <f t="shared" si="49"/>
        <v>260</v>
      </c>
      <c r="D773" s="1607"/>
      <c r="E773" s="242" t="s">
        <v>18</v>
      </c>
      <c r="F773" s="47"/>
      <c r="G773" s="1"/>
      <c r="H773" s="1"/>
      <c r="I773" s="1"/>
      <c r="J773" s="1"/>
      <c r="K773" s="1"/>
      <c r="L773" s="1"/>
    </row>
    <row r="774" ht="15.0" customHeight="1">
      <c r="A774" s="68" t="s">
        <v>2486</v>
      </c>
      <c r="B774" s="145">
        <v>18.0</v>
      </c>
      <c r="C774" s="155">
        <f t="shared" si="49"/>
        <v>36</v>
      </c>
      <c r="D774" s="899"/>
      <c r="E774" s="216" t="s">
        <v>5</v>
      </c>
      <c r="F774" s="610" t="s">
        <v>2488</v>
      </c>
      <c r="G774" s="1"/>
      <c r="H774" s="1"/>
      <c r="I774" s="1"/>
      <c r="J774" s="1"/>
      <c r="K774" s="1"/>
      <c r="L774" s="1"/>
    </row>
    <row r="775" ht="15.0" customHeight="1">
      <c r="A775" s="93" t="s">
        <v>15</v>
      </c>
      <c r="B775" s="195">
        <v>10.0</v>
      </c>
      <c r="C775" s="78">
        <f t="shared" si="49"/>
        <v>20</v>
      </c>
      <c r="D775" s="900"/>
      <c r="E775" s="249" t="s">
        <v>5</v>
      </c>
      <c r="F775" s="47"/>
      <c r="G775" s="1"/>
      <c r="H775" s="1"/>
      <c r="I775" s="1"/>
      <c r="J775" s="1"/>
      <c r="K775" s="1"/>
      <c r="L775" s="1"/>
    </row>
    <row r="776" ht="15.0" customHeight="1">
      <c r="A776" s="93" t="s">
        <v>2188</v>
      </c>
      <c r="B776" s="195">
        <v>100.0</v>
      </c>
      <c r="C776" s="78">
        <f t="shared" si="49"/>
        <v>200</v>
      </c>
      <c r="D776" s="900"/>
      <c r="E776" s="249" t="s">
        <v>18</v>
      </c>
      <c r="F776" s="47"/>
      <c r="G776" s="1"/>
      <c r="H776" s="1"/>
      <c r="I776" s="1"/>
      <c r="J776" s="1"/>
      <c r="K776" s="1"/>
      <c r="L776" s="1"/>
    </row>
    <row r="777" ht="15.0" customHeight="1">
      <c r="A777" s="93" t="s">
        <v>13</v>
      </c>
      <c r="B777" s="195">
        <v>0.96</v>
      </c>
      <c r="C777" s="78">
        <f t="shared" si="49"/>
        <v>1.92</v>
      </c>
      <c r="D777" s="900"/>
      <c r="E777" s="249" t="s">
        <v>14</v>
      </c>
      <c r="F777" s="47"/>
      <c r="G777" s="1"/>
      <c r="H777" s="1"/>
      <c r="I777" s="1"/>
      <c r="J777" s="1"/>
      <c r="K777" s="1"/>
      <c r="L777" s="1"/>
    </row>
    <row r="778" ht="15.0" customHeight="1">
      <c r="A778" s="105" t="s">
        <v>31</v>
      </c>
      <c r="B778" s="200">
        <v>690.0</v>
      </c>
      <c r="C778" s="56">
        <f t="shared" si="49"/>
        <v>1380</v>
      </c>
      <c r="D778" s="1604"/>
      <c r="E778" s="518" t="s">
        <v>18</v>
      </c>
      <c r="F778" s="76"/>
      <c r="G778" s="1"/>
      <c r="H778" s="1"/>
      <c r="I778" s="1"/>
      <c r="J778" s="1"/>
      <c r="K778" s="1"/>
      <c r="L778" s="1"/>
    </row>
    <row r="779" ht="15.0" customHeight="1">
      <c r="A779" s="68" t="s">
        <v>746</v>
      </c>
      <c r="B779" s="145">
        <v>900.0</v>
      </c>
      <c r="C779" s="155">
        <f t="shared" si="49"/>
        <v>1800</v>
      </c>
      <c r="D779" s="899"/>
      <c r="E779" s="216" t="s">
        <v>18</v>
      </c>
      <c r="F779" s="610" t="s">
        <v>2489</v>
      </c>
      <c r="G779" s="1"/>
      <c r="H779" s="1"/>
      <c r="I779" s="1"/>
      <c r="J779" s="1"/>
      <c r="K779" s="1"/>
      <c r="L779" s="1"/>
    </row>
    <row r="780" ht="15.0" customHeight="1">
      <c r="A780" s="93" t="s">
        <v>749</v>
      </c>
      <c r="B780" s="195">
        <v>650.0</v>
      </c>
      <c r="C780" s="78">
        <f t="shared" si="49"/>
        <v>1300</v>
      </c>
      <c r="D780" s="900"/>
      <c r="E780" s="249" t="s">
        <v>18</v>
      </c>
      <c r="F780" s="47"/>
      <c r="G780" s="1"/>
      <c r="H780" s="1"/>
      <c r="I780" s="1"/>
      <c r="J780" s="1"/>
      <c r="K780" s="1"/>
      <c r="L780" s="1"/>
    </row>
    <row r="781" ht="15.0" customHeight="1">
      <c r="A781" s="93" t="s">
        <v>1046</v>
      </c>
      <c r="B781" s="195">
        <v>600.0</v>
      </c>
      <c r="C781" s="78">
        <f t="shared" si="49"/>
        <v>1200</v>
      </c>
      <c r="D781" s="900"/>
      <c r="E781" s="249" t="s">
        <v>18</v>
      </c>
      <c r="F781" s="47"/>
      <c r="G781" s="1"/>
      <c r="H781" s="1"/>
      <c r="I781" s="1"/>
      <c r="J781" s="1"/>
      <c r="K781" s="1"/>
      <c r="L781" s="1"/>
    </row>
    <row r="782" ht="15.0" customHeight="1">
      <c r="A782" s="93" t="s">
        <v>1024</v>
      </c>
      <c r="B782" s="195">
        <v>5.2</v>
      </c>
      <c r="C782" s="78">
        <f t="shared" si="49"/>
        <v>10.4</v>
      </c>
      <c r="D782" s="900"/>
      <c r="E782" s="249" t="s">
        <v>14</v>
      </c>
      <c r="F782" s="47"/>
      <c r="G782" s="1"/>
      <c r="H782" s="1"/>
      <c r="I782" s="1"/>
      <c r="J782" s="1"/>
      <c r="K782" s="1"/>
      <c r="L782" s="1"/>
    </row>
    <row r="783" ht="15.0" customHeight="1">
      <c r="A783" s="93" t="s">
        <v>1023</v>
      </c>
      <c r="B783" s="195">
        <v>10.4</v>
      </c>
      <c r="C783" s="78">
        <f t="shared" si="49"/>
        <v>20.8</v>
      </c>
      <c r="D783" s="900"/>
      <c r="E783" s="249" t="s">
        <v>14</v>
      </c>
      <c r="F783" s="47"/>
      <c r="G783" s="1"/>
      <c r="H783" s="1"/>
      <c r="I783" s="1"/>
      <c r="J783" s="1"/>
      <c r="K783" s="1"/>
      <c r="L783" s="1"/>
    </row>
    <row r="784" ht="15.0" customHeight="1">
      <c r="A784" s="93" t="s">
        <v>2440</v>
      </c>
      <c r="B784" s="195">
        <v>5.2</v>
      </c>
      <c r="C784" s="78">
        <f t="shared" si="49"/>
        <v>10.4</v>
      </c>
      <c r="D784" s="900"/>
      <c r="E784" s="249" t="s">
        <v>14</v>
      </c>
      <c r="F784" s="47"/>
      <c r="G784" s="1"/>
      <c r="H784" s="1"/>
      <c r="I784" s="1"/>
      <c r="J784" s="1"/>
      <c r="K784" s="1"/>
      <c r="L784" s="1"/>
    </row>
    <row r="785" ht="15.0" customHeight="1">
      <c r="A785" s="105" t="s">
        <v>329</v>
      </c>
      <c r="B785" s="200">
        <v>1.3</v>
      </c>
      <c r="C785" s="56">
        <f t="shared" si="49"/>
        <v>2.6</v>
      </c>
      <c r="D785" s="1604"/>
      <c r="E785" s="518" t="s">
        <v>14</v>
      </c>
      <c r="F785" s="76"/>
      <c r="G785" s="1"/>
      <c r="H785" s="1"/>
      <c r="I785" s="1"/>
      <c r="J785" s="1"/>
      <c r="K785" s="1"/>
      <c r="L785" s="1"/>
    </row>
    <row r="786" ht="15.0" customHeight="1">
      <c r="A786" s="2250" t="s">
        <v>2491</v>
      </c>
      <c r="B786" s="18"/>
      <c r="C786" s="18"/>
      <c r="D786" s="18"/>
      <c r="E786" s="19"/>
      <c r="F786" s="1299"/>
      <c r="G786" s="1"/>
      <c r="H786" s="1"/>
      <c r="I786" s="1"/>
      <c r="J786" s="1"/>
      <c r="K786" s="1"/>
      <c r="L786" s="1"/>
    </row>
    <row r="787" ht="15.0" customHeight="1">
      <c r="A787" s="68" t="s">
        <v>345</v>
      </c>
      <c r="B787" s="145">
        <v>0.6</v>
      </c>
      <c r="C787" s="155">
        <f>(B787*C785)/B785</f>
        <v>1.2</v>
      </c>
      <c r="D787" s="899"/>
      <c r="E787" s="216" t="s">
        <v>14</v>
      </c>
      <c r="F787" s="610" t="s">
        <v>2495</v>
      </c>
      <c r="G787" s="1"/>
      <c r="H787" s="1"/>
      <c r="I787" s="1"/>
      <c r="J787" s="1"/>
      <c r="K787" s="1"/>
      <c r="L787" s="1"/>
    </row>
    <row r="788" ht="15.0" customHeight="1">
      <c r="A788" s="93" t="s">
        <v>98</v>
      </c>
      <c r="B788" s="195">
        <v>400.0</v>
      </c>
      <c r="C788" s="78">
        <f t="shared" ref="C788:C795" si="50">(B788*C787)/B787</f>
        <v>800</v>
      </c>
      <c r="D788" s="900"/>
      <c r="E788" s="249" t="s">
        <v>18</v>
      </c>
      <c r="F788" s="47"/>
      <c r="G788" s="1"/>
      <c r="H788" s="1"/>
      <c r="I788" s="1"/>
      <c r="J788" s="1"/>
      <c r="K788" s="1"/>
      <c r="L788" s="1"/>
    </row>
    <row r="789" ht="15.0" customHeight="1">
      <c r="A789" s="93" t="s">
        <v>1241</v>
      </c>
      <c r="B789" s="195">
        <v>320.0</v>
      </c>
      <c r="C789" s="78">
        <f t="shared" si="50"/>
        <v>640</v>
      </c>
      <c r="D789" s="900"/>
      <c r="E789" s="249" t="s">
        <v>18</v>
      </c>
      <c r="F789" s="47"/>
      <c r="G789" s="1"/>
      <c r="H789" s="1"/>
      <c r="I789" s="1"/>
      <c r="J789" s="1"/>
      <c r="K789" s="1"/>
      <c r="L789" s="1"/>
    </row>
    <row r="790" ht="15.0" customHeight="1">
      <c r="A790" s="93" t="s">
        <v>390</v>
      </c>
      <c r="B790" s="195">
        <v>100.0</v>
      </c>
      <c r="C790" s="78">
        <f t="shared" si="50"/>
        <v>200</v>
      </c>
      <c r="D790" s="900"/>
      <c r="E790" s="249" t="s">
        <v>18</v>
      </c>
      <c r="F790" s="47"/>
      <c r="G790" s="1"/>
      <c r="H790" s="1"/>
      <c r="I790" s="1"/>
      <c r="J790" s="1"/>
      <c r="K790" s="1"/>
      <c r="L790" s="1"/>
    </row>
    <row r="791" ht="15.0" customHeight="1">
      <c r="A791" s="93" t="s">
        <v>95</v>
      </c>
      <c r="B791" s="195">
        <v>60.0</v>
      </c>
      <c r="C791" s="78">
        <f t="shared" si="50"/>
        <v>120</v>
      </c>
      <c r="D791" s="900"/>
      <c r="E791" s="249" t="s">
        <v>18</v>
      </c>
      <c r="F791" s="47"/>
      <c r="G791" s="1"/>
      <c r="H791" s="1"/>
      <c r="I791" s="1"/>
      <c r="J791" s="1"/>
      <c r="K791" s="1"/>
      <c r="L791" s="1"/>
    </row>
    <row r="792" ht="15.0" customHeight="1">
      <c r="A792" s="93" t="s">
        <v>102</v>
      </c>
      <c r="B792" s="195">
        <v>60.0</v>
      </c>
      <c r="C792" s="78">
        <f t="shared" si="50"/>
        <v>120</v>
      </c>
      <c r="D792" s="900"/>
      <c r="E792" s="249" t="s">
        <v>18</v>
      </c>
      <c r="F792" s="47"/>
      <c r="G792" s="1"/>
      <c r="H792" s="1"/>
      <c r="I792" s="1"/>
      <c r="J792" s="1"/>
      <c r="K792" s="1"/>
      <c r="L792" s="1"/>
    </row>
    <row r="793" ht="15.0" customHeight="1">
      <c r="A793" s="93" t="s">
        <v>96</v>
      </c>
      <c r="B793" s="195">
        <v>30.0</v>
      </c>
      <c r="C793" s="78">
        <f t="shared" si="50"/>
        <v>60</v>
      </c>
      <c r="D793" s="900"/>
      <c r="E793" s="249" t="s">
        <v>18</v>
      </c>
      <c r="F793" s="47"/>
      <c r="G793" s="1"/>
      <c r="H793" s="1"/>
      <c r="I793" s="1"/>
      <c r="J793" s="1"/>
      <c r="K793" s="1"/>
      <c r="L793" s="1"/>
    </row>
    <row r="794" ht="15.0" customHeight="1">
      <c r="A794" s="93" t="s">
        <v>66</v>
      </c>
      <c r="B794" s="195">
        <v>8.0</v>
      </c>
      <c r="C794" s="78">
        <f t="shared" si="50"/>
        <v>16</v>
      </c>
      <c r="D794" s="900"/>
      <c r="E794" s="249" t="s">
        <v>18</v>
      </c>
      <c r="F794" s="47"/>
      <c r="G794" s="1"/>
      <c r="H794" s="1"/>
      <c r="I794" s="1"/>
      <c r="J794" s="1"/>
      <c r="K794" s="1"/>
      <c r="L794" s="1"/>
    </row>
    <row r="795" ht="15.0" customHeight="1">
      <c r="A795" s="105" t="s">
        <v>157</v>
      </c>
      <c r="B795" s="200">
        <v>36.0</v>
      </c>
      <c r="C795" s="56">
        <f t="shared" si="50"/>
        <v>72</v>
      </c>
      <c r="D795" s="1604"/>
      <c r="E795" s="518" t="s">
        <v>5</v>
      </c>
      <c r="F795" s="76"/>
      <c r="G795" s="1"/>
      <c r="H795" s="1"/>
      <c r="I795" s="1"/>
      <c r="J795" s="1"/>
      <c r="K795" s="1"/>
      <c r="L795" s="1"/>
    </row>
    <row r="796" ht="15.0" customHeight="1">
      <c r="A796" s="1873" t="s">
        <v>119</v>
      </c>
      <c r="B796" s="1874" t="s">
        <v>47</v>
      </c>
      <c r="C796" s="184"/>
      <c r="D796" s="184"/>
      <c r="E796" s="1"/>
      <c r="F796" s="1"/>
      <c r="G796" s="1"/>
      <c r="H796" s="1"/>
      <c r="I796" s="1"/>
      <c r="J796" s="1"/>
      <c r="K796" s="1"/>
      <c r="L796" s="1"/>
    </row>
    <row r="797" ht="15.0" customHeight="1">
      <c r="A797" s="550" t="s">
        <v>1583</v>
      </c>
      <c r="B797" s="1363">
        <v>42887.0</v>
      </c>
      <c r="C797" s="184"/>
      <c r="D797" s="184"/>
      <c r="E797" s="1"/>
      <c r="F797" s="1"/>
      <c r="G797" s="1"/>
      <c r="H797" s="1"/>
      <c r="I797" s="1"/>
      <c r="J797" s="1"/>
      <c r="K797" s="1"/>
      <c r="L797" s="1"/>
    </row>
    <row r="798" ht="15.0" customHeight="1">
      <c r="A798" s="342" t="s">
        <v>1585</v>
      </c>
      <c r="B798" s="1363">
        <v>42893.0</v>
      </c>
      <c r="C798" s="184"/>
      <c r="D798" s="184"/>
      <c r="E798" s="1"/>
      <c r="F798" s="1"/>
      <c r="G798" s="1"/>
      <c r="H798" s="1"/>
      <c r="I798" s="1"/>
      <c r="J798" s="1"/>
      <c r="K798" s="1"/>
      <c r="L798" s="1"/>
    </row>
    <row r="799" ht="15.0" customHeight="1">
      <c r="A799" s="1"/>
      <c r="B799" s="107"/>
      <c r="C799" s="184"/>
      <c r="D799" s="184"/>
      <c r="E799" s="1"/>
      <c r="F799" s="1"/>
      <c r="G799" s="1"/>
      <c r="H799" s="1"/>
      <c r="I799" s="1"/>
      <c r="J799" s="1"/>
      <c r="K799" s="1"/>
      <c r="L799" s="1"/>
    </row>
    <row r="800" ht="15.0" customHeight="1">
      <c r="A800" s="209" t="s">
        <v>978</v>
      </c>
      <c r="B800" s="18"/>
      <c r="C800" s="18"/>
      <c r="D800" s="18"/>
      <c r="E800" s="19"/>
      <c r="F800" s="1"/>
      <c r="G800" s="1"/>
      <c r="H800" s="1"/>
      <c r="I800" s="1"/>
      <c r="J800" s="1"/>
      <c r="K800" s="1"/>
      <c r="L800" s="1"/>
    </row>
    <row r="801" ht="15.0" customHeight="1">
      <c r="A801" s="173" t="s">
        <v>1</v>
      </c>
      <c r="B801" s="275">
        <v>100.0</v>
      </c>
      <c r="C801" s="179">
        <v>700.0</v>
      </c>
      <c r="D801" s="1689"/>
      <c r="E801" s="547" t="s">
        <v>5</v>
      </c>
      <c r="F801" s="1"/>
      <c r="G801" s="1"/>
      <c r="H801" s="1"/>
      <c r="I801" s="1"/>
      <c r="J801" s="1"/>
      <c r="K801" s="1"/>
      <c r="L801" s="1"/>
    </row>
    <row r="802" ht="15.0" customHeight="1">
      <c r="A802" s="68" t="s">
        <v>53</v>
      </c>
      <c r="B802" s="145">
        <v>20.0</v>
      </c>
      <c r="C802" s="155">
        <f t="shared" ref="C802:C809" si="51">(B802*C801)/B801</f>
        <v>140</v>
      </c>
      <c r="D802" s="899"/>
      <c r="E802" s="216" t="s">
        <v>14</v>
      </c>
      <c r="F802" s="1"/>
      <c r="G802" s="1"/>
      <c r="H802" s="1"/>
      <c r="I802" s="1"/>
      <c r="J802" s="1"/>
      <c r="K802" s="1"/>
      <c r="L802" s="1"/>
    </row>
    <row r="803" ht="15.0" customHeight="1">
      <c r="A803" s="93" t="s">
        <v>91</v>
      </c>
      <c r="B803" s="195">
        <v>0.375</v>
      </c>
      <c r="C803" s="78">
        <f t="shared" si="51"/>
        <v>2.625</v>
      </c>
      <c r="D803" s="900"/>
      <c r="E803" s="249" t="s">
        <v>5</v>
      </c>
      <c r="F803" s="1"/>
      <c r="G803" s="1"/>
      <c r="H803" s="1"/>
      <c r="I803" s="1"/>
      <c r="J803" s="1"/>
      <c r="K803" s="1"/>
      <c r="L803" s="1"/>
    </row>
    <row r="804" ht="15.0" customHeight="1">
      <c r="A804" s="93" t="s">
        <v>2497</v>
      </c>
      <c r="B804" s="195">
        <v>750.0</v>
      </c>
      <c r="C804" s="78">
        <f t="shared" si="51"/>
        <v>5250</v>
      </c>
      <c r="D804" s="900"/>
      <c r="E804" s="249" t="s">
        <v>18</v>
      </c>
      <c r="F804" s="1"/>
      <c r="G804" s="1"/>
      <c r="H804" s="1"/>
      <c r="I804" s="1"/>
      <c r="J804" s="1"/>
      <c r="K804" s="1"/>
      <c r="L804" s="1"/>
    </row>
    <row r="805" ht="15.0" customHeight="1">
      <c r="A805" s="93" t="s">
        <v>390</v>
      </c>
      <c r="B805" s="195">
        <v>75.0</v>
      </c>
      <c r="C805" s="78">
        <f t="shared" si="51"/>
        <v>525</v>
      </c>
      <c r="D805" s="900"/>
      <c r="E805" s="249" t="s">
        <v>18</v>
      </c>
      <c r="F805" s="1"/>
      <c r="G805" s="1"/>
      <c r="H805" s="1"/>
      <c r="I805" s="1"/>
      <c r="J805" s="1"/>
      <c r="K805" s="1"/>
      <c r="L805" s="1"/>
    </row>
    <row r="806" ht="15.0" customHeight="1">
      <c r="A806" s="93" t="s">
        <v>103</v>
      </c>
      <c r="B806" s="195">
        <v>37.5</v>
      </c>
      <c r="C806" s="78">
        <f t="shared" si="51"/>
        <v>262.5</v>
      </c>
      <c r="D806" s="900"/>
      <c r="E806" s="249" t="s">
        <v>18</v>
      </c>
      <c r="F806" s="1"/>
      <c r="G806" s="1"/>
      <c r="H806" s="1"/>
      <c r="I806" s="1"/>
      <c r="J806" s="1"/>
      <c r="K806" s="1"/>
      <c r="L806" s="1"/>
    </row>
    <row r="807" ht="15.0" customHeight="1">
      <c r="A807" s="93" t="s">
        <v>746</v>
      </c>
      <c r="B807" s="195">
        <v>1100.0</v>
      </c>
      <c r="C807" s="78">
        <f t="shared" si="51"/>
        <v>7700</v>
      </c>
      <c r="D807" s="900"/>
      <c r="E807" s="249" t="s">
        <v>18</v>
      </c>
      <c r="F807" s="1"/>
      <c r="G807" s="1"/>
      <c r="H807" s="1"/>
      <c r="I807" s="1"/>
      <c r="J807" s="1"/>
      <c r="K807" s="1"/>
      <c r="L807" s="1"/>
    </row>
    <row r="808" ht="15.0" customHeight="1">
      <c r="A808" s="93" t="s">
        <v>1046</v>
      </c>
      <c r="B808" s="195">
        <v>750.0</v>
      </c>
      <c r="C808" s="78">
        <f t="shared" si="51"/>
        <v>5250</v>
      </c>
      <c r="D808" s="900"/>
      <c r="E808" s="249" t="s">
        <v>18</v>
      </c>
      <c r="F808" s="1"/>
      <c r="G808" s="1"/>
      <c r="H808" s="1"/>
      <c r="I808" s="1"/>
      <c r="J808" s="1"/>
      <c r="K808" s="1"/>
      <c r="L808" s="1"/>
    </row>
    <row r="809" ht="15.0" customHeight="1">
      <c r="A809" s="93" t="s">
        <v>2500</v>
      </c>
      <c r="B809" s="195">
        <v>2300.0</v>
      </c>
      <c r="C809" s="78">
        <f t="shared" si="51"/>
        <v>16100</v>
      </c>
      <c r="D809" s="900"/>
      <c r="E809" s="249" t="s">
        <v>18</v>
      </c>
      <c r="F809" s="1"/>
      <c r="G809" s="1"/>
      <c r="H809" s="1"/>
      <c r="I809" s="1"/>
      <c r="J809" s="1"/>
      <c r="K809" s="1"/>
      <c r="L809" s="1"/>
    </row>
    <row r="810" ht="15.0" customHeight="1">
      <c r="A810" s="93" t="s">
        <v>60</v>
      </c>
      <c r="B810" s="195">
        <v>1.5</v>
      </c>
      <c r="C810" s="78">
        <f>(B810*C807)/B807</f>
        <v>10.5</v>
      </c>
      <c r="D810" s="900"/>
      <c r="E810" s="249" t="s">
        <v>14</v>
      </c>
      <c r="F810" s="1"/>
      <c r="G810" s="1"/>
      <c r="H810" s="1"/>
      <c r="I810" s="1"/>
      <c r="J810" s="1"/>
      <c r="K810" s="1"/>
      <c r="L810" s="1"/>
    </row>
    <row r="811" ht="15.0" customHeight="1">
      <c r="A811" s="93" t="s">
        <v>329</v>
      </c>
      <c r="B811" s="195">
        <v>1.5</v>
      </c>
      <c r="C811" s="78">
        <f>(B811*C809)/B809</f>
        <v>10.5</v>
      </c>
      <c r="D811" s="900"/>
      <c r="E811" s="249" t="s">
        <v>14</v>
      </c>
      <c r="F811" s="1"/>
      <c r="G811" s="1"/>
      <c r="H811" s="1"/>
      <c r="I811" s="1"/>
      <c r="J811" s="1"/>
      <c r="K811" s="1"/>
      <c r="L811" s="1"/>
    </row>
    <row r="812" ht="15.0" customHeight="1">
      <c r="A812" s="93" t="s">
        <v>2288</v>
      </c>
      <c r="B812" s="195">
        <v>3.0</v>
      </c>
      <c r="C812" s="78">
        <f t="shared" ref="C812:C814" si="52">(B812*C811)/B811</f>
        <v>21</v>
      </c>
      <c r="D812" s="900"/>
      <c r="E812" s="249" t="s">
        <v>14</v>
      </c>
      <c r="F812" s="1"/>
      <c r="G812" s="1"/>
      <c r="H812" s="1"/>
      <c r="I812" s="1"/>
      <c r="J812" s="1"/>
      <c r="K812" s="1"/>
      <c r="L812" s="1"/>
    </row>
    <row r="813" ht="15.0" customHeight="1">
      <c r="A813" s="93" t="s">
        <v>13</v>
      </c>
      <c r="B813" s="195">
        <v>0.23</v>
      </c>
      <c r="C813" s="78">
        <f t="shared" si="52"/>
        <v>1.61</v>
      </c>
      <c r="D813" s="900"/>
      <c r="E813" s="249" t="s">
        <v>14</v>
      </c>
      <c r="F813" s="1"/>
      <c r="G813" s="1"/>
      <c r="H813" s="1"/>
      <c r="I813" s="1"/>
      <c r="J813" s="1"/>
      <c r="K813" s="1"/>
      <c r="L813" s="1"/>
    </row>
    <row r="814" ht="15.0" customHeight="1">
      <c r="A814" s="105" t="s">
        <v>31</v>
      </c>
      <c r="B814" s="200">
        <v>760.0</v>
      </c>
      <c r="C814" s="56">
        <f t="shared" si="52"/>
        <v>5320</v>
      </c>
      <c r="D814" s="1604"/>
      <c r="E814" s="518" t="s">
        <v>18</v>
      </c>
      <c r="F814" s="1"/>
      <c r="G814" s="1"/>
      <c r="H814" s="1"/>
      <c r="I814" s="1"/>
      <c r="J814" s="1"/>
      <c r="K814" s="1"/>
      <c r="L814" s="1"/>
    </row>
    <row r="815" ht="15.0" customHeight="1">
      <c r="A815" s="1873" t="s">
        <v>119</v>
      </c>
      <c r="B815" s="1874" t="s">
        <v>47</v>
      </c>
      <c r="C815" s="184"/>
      <c r="D815" s="184"/>
      <c r="E815" s="1"/>
      <c r="F815" s="1"/>
      <c r="G815" s="1"/>
      <c r="H815" s="1"/>
      <c r="I815" s="1"/>
      <c r="J815" s="1"/>
      <c r="K815" s="1"/>
      <c r="L815" s="1"/>
    </row>
    <row r="816" ht="15.0" customHeight="1">
      <c r="A816" s="550" t="s">
        <v>1583</v>
      </c>
      <c r="B816" s="1363">
        <v>42866.0</v>
      </c>
      <c r="C816" s="184"/>
      <c r="D816" s="184"/>
      <c r="E816" s="1"/>
      <c r="F816" s="1"/>
      <c r="G816" s="1"/>
      <c r="H816" s="1"/>
      <c r="I816" s="1"/>
      <c r="J816" s="1"/>
      <c r="K816" s="1"/>
      <c r="L816" s="1"/>
    </row>
    <row r="817" ht="15.0" customHeight="1">
      <c r="A817" s="342" t="s">
        <v>1585</v>
      </c>
      <c r="B817" s="1363">
        <v>42886.0</v>
      </c>
      <c r="C817" s="184"/>
      <c r="D817" s="184"/>
      <c r="E817" s="1"/>
      <c r="F817" s="1"/>
      <c r="G817" s="1"/>
      <c r="H817" s="1"/>
      <c r="I817" s="1"/>
      <c r="J817" s="1"/>
      <c r="K817" s="1"/>
      <c r="L817" s="1"/>
    </row>
    <row r="818" ht="15.0" customHeight="1">
      <c r="A818" s="1"/>
      <c r="B818" s="107"/>
      <c r="C818" s="184"/>
      <c r="D818" s="184"/>
      <c r="E818" s="1"/>
      <c r="F818" s="1"/>
      <c r="G818" s="1"/>
      <c r="H818" s="1"/>
      <c r="I818" s="1"/>
      <c r="J818" s="1"/>
      <c r="K818" s="1"/>
      <c r="L818" s="1"/>
    </row>
    <row r="819" ht="15.0" customHeight="1">
      <c r="A819" s="913" t="s">
        <v>982</v>
      </c>
      <c r="B819" s="5"/>
      <c r="C819" s="5"/>
      <c r="D819" s="5"/>
      <c r="E819" s="6"/>
      <c r="F819" s="1"/>
      <c r="G819" s="1"/>
      <c r="H819" s="1"/>
      <c r="I819" s="1"/>
      <c r="J819" s="1"/>
      <c r="K819" s="1"/>
      <c r="L819" s="1"/>
    </row>
    <row r="820" ht="15.0" customHeight="1">
      <c r="A820" s="1670" t="s">
        <v>1</v>
      </c>
      <c r="B820" s="1671">
        <v>40.0</v>
      </c>
      <c r="C820" s="1672">
        <v>65.0</v>
      </c>
      <c r="D820" s="1673"/>
      <c r="E820" s="1674" t="s">
        <v>5</v>
      </c>
      <c r="F820" s="1"/>
      <c r="G820" s="1"/>
      <c r="H820" s="1"/>
      <c r="I820" s="1"/>
      <c r="J820" s="1"/>
      <c r="K820" s="1"/>
      <c r="L820" s="1"/>
    </row>
    <row r="821" ht="15.0" customHeight="1">
      <c r="A821" s="119" t="s">
        <v>2503</v>
      </c>
      <c r="B821" s="238">
        <v>10.0</v>
      </c>
      <c r="C821" s="521">
        <f t="shared" ref="C821:C823" si="53">(B821*C820)/B820</f>
        <v>16.25</v>
      </c>
      <c r="D821" s="1657"/>
      <c r="E821" s="520" t="s">
        <v>14</v>
      </c>
      <c r="F821" s="1"/>
      <c r="G821" s="1"/>
      <c r="H821" s="1"/>
      <c r="I821" s="1"/>
      <c r="J821" s="1"/>
      <c r="K821" s="1"/>
      <c r="L821" s="1"/>
    </row>
    <row r="822" ht="15.0" customHeight="1">
      <c r="A822" s="93" t="s">
        <v>2506</v>
      </c>
      <c r="B822" s="195">
        <v>1.5</v>
      </c>
      <c r="C822" s="521">
        <f t="shared" si="53"/>
        <v>2.4375</v>
      </c>
      <c r="D822" s="1653"/>
      <c r="E822" s="249" t="s">
        <v>14</v>
      </c>
      <c r="F822" s="1"/>
      <c r="G822" s="1"/>
      <c r="H822" s="1"/>
      <c r="I822" s="1"/>
      <c r="J822" s="1"/>
      <c r="K822" s="1"/>
      <c r="L822" s="1"/>
    </row>
    <row r="823" ht="15.0" customHeight="1">
      <c r="A823" s="93" t="s">
        <v>2508</v>
      </c>
      <c r="B823" s="195">
        <v>1.4</v>
      </c>
      <c r="C823" s="521">
        <f t="shared" si="53"/>
        <v>2.275</v>
      </c>
      <c r="D823" s="1653"/>
      <c r="E823" s="249" t="s">
        <v>14</v>
      </c>
      <c r="F823" s="1"/>
      <c r="G823" s="1"/>
      <c r="H823" s="1"/>
      <c r="I823" s="1"/>
      <c r="J823" s="1"/>
      <c r="K823" s="1"/>
      <c r="L823" s="1"/>
    </row>
    <row r="824" ht="15.0" customHeight="1">
      <c r="A824" s="138" t="s">
        <v>2509</v>
      </c>
      <c r="B824" s="279">
        <v>2.0</v>
      </c>
      <c r="C824" s="521">
        <f>(B824*C825)/B825</f>
        <v>3.25</v>
      </c>
      <c r="D824" s="1653"/>
      <c r="E824" s="249" t="s">
        <v>14</v>
      </c>
      <c r="F824" s="1"/>
      <c r="G824" s="1"/>
      <c r="H824" s="1"/>
      <c r="I824" s="1"/>
      <c r="J824" s="1"/>
      <c r="K824" s="1"/>
      <c r="L824" s="1"/>
    </row>
    <row r="825" ht="15.0" customHeight="1">
      <c r="A825" s="93" t="s">
        <v>2006</v>
      </c>
      <c r="B825" s="195">
        <v>220.0</v>
      </c>
      <c r="C825" s="521">
        <f t="shared" ref="C825:C826" si="54">(B825*C823)/B823</f>
        <v>357.5</v>
      </c>
      <c r="D825" s="1653"/>
      <c r="E825" s="249" t="s">
        <v>18</v>
      </c>
      <c r="F825" s="1"/>
      <c r="G825" s="1"/>
      <c r="H825" s="1"/>
      <c r="I825" s="1"/>
      <c r="J825" s="1"/>
      <c r="K825" s="1"/>
      <c r="L825" s="1"/>
    </row>
    <row r="826" ht="15.0" customHeight="1">
      <c r="A826" s="138" t="s">
        <v>2204</v>
      </c>
      <c r="B826" s="279">
        <v>220.0</v>
      </c>
      <c r="C826" s="842">
        <f t="shared" si="54"/>
        <v>357.5</v>
      </c>
      <c r="D826" s="1655"/>
      <c r="E826" s="242" t="s">
        <v>18</v>
      </c>
      <c r="F826" s="1"/>
      <c r="G826" s="1"/>
      <c r="H826" s="1"/>
      <c r="I826" s="1"/>
      <c r="J826" s="1"/>
      <c r="K826" s="1"/>
      <c r="L826" s="1"/>
    </row>
    <row r="827" ht="15.0" customHeight="1">
      <c r="A827" s="68" t="s">
        <v>91</v>
      </c>
      <c r="B827" s="145">
        <v>2.0</v>
      </c>
      <c r="C827" s="516">
        <f t="shared" ref="C827:C842" si="55">(B827*C826)/B826</f>
        <v>3.25</v>
      </c>
      <c r="D827" s="1652"/>
      <c r="E827" s="216" t="s">
        <v>5</v>
      </c>
      <c r="F827" s="1"/>
      <c r="G827" s="1"/>
      <c r="H827" s="1"/>
      <c r="I827" s="1"/>
      <c r="J827" s="1"/>
      <c r="K827" s="1"/>
      <c r="L827" s="1"/>
    </row>
    <row r="828" ht="15.0" customHeight="1">
      <c r="A828" s="93" t="s">
        <v>66</v>
      </c>
      <c r="B828" s="195">
        <v>10.0</v>
      </c>
      <c r="C828" s="521">
        <f t="shared" si="55"/>
        <v>16.25</v>
      </c>
      <c r="D828" s="1653"/>
      <c r="E828" s="249" t="s">
        <v>18</v>
      </c>
      <c r="F828" s="1"/>
      <c r="G828" s="1"/>
      <c r="H828" s="1"/>
      <c r="I828" s="1"/>
      <c r="J828" s="1"/>
      <c r="K828" s="1"/>
      <c r="L828" s="1"/>
    </row>
    <row r="829" ht="15.0" customHeight="1">
      <c r="A829" s="93" t="s">
        <v>102</v>
      </c>
      <c r="B829" s="195">
        <v>12.5</v>
      </c>
      <c r="C829" s="521">
        <f t="shared" si="55"/>
        <v>20.3125</v>
      </c>
      <c r="D829" s="1653"/>
      <c r="E829" s="249" t="s">
        <v>18</v>
      </c>
      <c r="F829" s="1"/>
      <c r="G829" s="1"/>
      <c r="H829" s="1"/>
      <c r="I829" s="1"/>
      <c r="J829" s="1"/>
      <c r="K829" s="1"/>
      <c r="L829" s="1"/>
    </row>
    <row r="830" ht="15.0" customHeight="1">
      <c r="A830" s="93" t="s">
        <v>210</v>
      </c>
      <c r="B830" s="195">
        <v>15.0</v>
      </c>
      <c r="C830" s="521">
        <f t="shared" si="55"/>
        <v>24.375</v>
      </c>
      <c r="D830" s="1653"/>
      <c r="E830" s="249" t="s">
        <v>18</v>
      </c>
      <c r="F830" s="1"/>
      <c r="G830" s="1"/>
      <c r="H830" s="1"/>
      <c r="I830" s="1"/>
      <c r="J830" s="1"/>
      <c r="K830" s="1"/>
      <c r="L830" s="1"/>
    </row>
    <row r="831" ht="15.0" customHeight="1">
      <c r="A831" s="93" t="s">
        <v>95</v>
      </c>
      <c r="B831" s="195">
        <v>25.0</v>
      </c>
      <c r="C831" s="521">
        <f t="shared" si="55"/>
        <v>40.625</v>
      </c>
      <c r="D831" s="1653"/>
      <c r="E831" s="249" t="s">
        <v>18</v>
      </c>
      <c r="F831" s="1"/>
      <c r="G831" s="1"/>
      <c r="H831" s="1"/>
      <c r="I831" s="1"/>
      <c r="J831" s="1"/>
      <c r="K831" s="1"/>
      <c r="L831" s="1"/>
    </row>
    <row r="832" ht="15.0" customHeight="1">
      <c r="A832" s="93" t="s">
        <v>96</v>
      </c>
      <c r="B832" s="195">
        <v>5.0</v>
      </c>
      <c r="C832" s="521">
        <f t="shared" si="55"/>
        <v>8.125</v>
      </c>
      <c r="D832" s="1653"/>
      <c r="E832" s="249" t="s">
        <v>18</v>
      </c>
      <c r="F832" s="1"/>
      <c r="G832" s="1"/>
      <c r="H832" s="1"/>
      <c r="I832" s="1"/>
      <c r="J832" s="1"/>
      <c r="K832" s="1"/>
      <c r="L832" s="1"/>
    </row>
    <row r="833" ht="15.0" customHeight="1">
      <c r="A833" s="93" t="s">
        <v>1176</v>
      </c>
      <c r="B833" s="195">
        <v>25.0</v>
      </c>
      <c r="C833" s="521">
        <f t="shared" si="55"/>
        <v>40.625</v>
      </c>
      <c r="D833" s="1653"/>
      <c r="E833" s="249" t="s">
        <v>18</v>
      </c>
      <c r="F833" s="1"/>
      <c r="G833" s="1"/>
      <c r="H833" s="1"/>
      <c r="I833" s="1"/>
      <c r="J833" s="1"/>
      <c r="K833" s="1"/>
      <c r="L833" s="1"/>
    </row>
    <row r="834" ht="15.0" customHeight="1">
      <c r="A834" s="93" t="s">
        <v>1746</v>
      </c>
      <c r="B834" s="195">
        <v>30.0</v>
      </c>
      <c r="C834" s="521">
        <f t="shared" si="55"/>
        <v>48.75</v>
      </c>
      <c r="D834" s="1653"/>
      <c r="E834" s="249" t="s">
        <v>18</v>
      </c>
      <c r="F834" s="1"/>
      <c r="G834" s="1"/>
      <c r="H834" s="1"/>
      <c r="I834" s="1"/>
      <c r="J834" s="1"/>
      <c r="K834" s="1"/>
      <c r="L834" s="1"/>
    </row>
    <row r="835" ht="15.0" customHeight="1">
      <c r="A835" s="93" t="s">
        <v>98</v>
      </c>
      <c r="B835" s="195">
        <v>150.0</v>
      </c>
      <c r="C835" s="521">
        <f t="shared" si="55"/>
        <v>243.75</v>
      </c>
      <c r="D835" s="1653"/>
      <c r="E835" s="249" t="s">
        <v>18</v>
      </c>
      <c r="F835" s="1"/>
      <c r="G835" s="1"/>
      <c r="H835" s="1"/>
      <c r="I835" s="1"/>
      <c r="J835" s="1"/>
      <c r="K835" s="1"/>
      <c r="L835" s="1"/>
    </row>
    <row r="836" ht="15.0" customHeight="1">
      <c r="A836" s="138" t="s">
        <v>1747</v>
      </c>
      <c r="B836" s="279">
        <v>15.0</v>
      </c>
      <c r="C836" s="842">
        <f t="shared" si="55"/>
        <v>24.375</v>
      </c>
      <c r="D836" s="1655"/>
      <c r="E836" s="242" t="s">
        <v>18</v>
      </c>
      <c r="F836" s="1"/>
      <c r="G836" s="1"/>
      <c r="H836" s="1"/>
      <c r="I836" s="1"/>
      <c r="J836" s="1"/>
      <c r="K836" s="1"/>
      <c r="L836" s="1"/>
    </row>
    <row r="837" ht="15.0" customHeight="1">
      <c r="A837" s="93" t="s">
        <v>103</v>
      </c>
      <c r="B837" s="195">
        <v>25.0</v>
      </c>
      <c r="C837" s="78">
        <f t="shared" si="55"/>
        <v>40.625</v>
      </c>
      <c r="D837" s="900"/>
      <c r="E837" s="249" t="s">
        <v>18</v>
      </c>
      <c r="F837" s="1"/>
      <c r="G837" s="1"/>
      <c r="H837" s="1"/>
      <c r="I837" s="1"/>
      <c r="J837" s="1"/>
      <c r="K837" s="1"/>
      <c r="L837" s="1"/>
    </row>
    <row r="838" ht="15.0" customHeight="1">
      <c r="A838" s="138" t="s">
        <v>83</v>
      </c>
      <c r="B838" s="279">
        <v>100.0</v>
      </c>
      <c r="C838" s="146">
        <f t="shared" si="55"/>
        <v>162.5</v>
      </c>
      <c r="D838" s="1607"/>
      <c r="E838" s="242" t="s">
        <v>18</v>
      </c>
      <c r="F838" s="1"/>
      <c r="G838" s="1"/>
      <c r="H838" s="1"/>
      <c r="I838" s="1"/>
      <c r="J838" s="1"/>
      <c r="K838" s="1"/>
      <c r="L838" s="1"/>
    </row>
    <row r="839" ht="15.0" customHeight="1">
      <c r="A839" s="105" t="s">
        <v>753</v>
      </c>
      <c r="B839" s="200">
        <v>100.0</v>
      </c>
      <c r="C839" s="56">
        <f t="shared" si="55"/>
        <v>162.5</v>
      </c>
      <c r="D839" s="1604"/>
      <c r="E839" s="518" t="s">
        <v>18</v>
      </c>
      <c r="F839" s="1"/>
      <c r="G839" s="1"/>
      <c r="H839" s="1"/>
      <c r="I839" s="1"/>
      <c r="J839" s="1"/>
      <c r="K839" s="1"/>
      <c r="L839" s="1"/>
    </row>
    <row r="840" ht="15.0" customHeight="1">
      <c r="A840" s="68" t="s">
        <v>157</v>
      </c>
      <c r="B840" s="145">
        <v>25.0</v>
      </c>
      <c r="C840" s="516">
        <f t="shared" si="55"/>
        <v>40.625</v>
      </c>
      <c r="D840" s="1652"/>
      <c r="E840" s="216" t="s">
        <v>5</v>
      </c>
      <c r="F840" s="1"/>
      <c r="G840" s="1"/>
      <c r="H840" s="1"/>
      <c r="I840" s="1"/>
      <c r="J840" s="1"/>
      <c r="K840" s="1"/>
      <c r="L840" s="1"/>
    </row>
    <row r="841" ht="15.0" customHeight="1">
      <c r="A841" s="93" t="s">
        <v>31</v>
      </c>
      <c r="B841" s="195">
        <v>400.0</v>
      </c>
      <c r="C841" s="521">
        <f t="shared" si="55"/>
        <v>650</v>
      </c>
      <c r="D841" s="1653"/>
      <c r="E841" s="249" t="s">
        <v>18</v>
      </c>
      <c r="F841" s="1"/>
      <c r="G841" s="1"/>
      <c r="H841" s="1"/>
      <c r="I841" s="1"/>
      <c r="J841" s="1"/>
      <c r="K841" s="1"/>
      <c r="L841" s="1"/>
    </row>
    <row r="842" ht="15.0" customHeight="1">
      <c r="A842" s="105" t="s">
        <v>13</v>
      </c>
      <c r="B842" s="200">
        <v>0.45</v>
      </c>
      <c r="C842" s="517">
        <f t="shared" si="55"/>
        <v>0.73125</v>
      </c>
      <c r="D842" s="1656"/>
      <c r="E842" s="518" t="s">
        <v>14</v>
      </c>
      <c r="F842" s="1"/>
      <c r="G842" s="1"/>
      <c r="H842" s="1"/>
      <c r="I842" s="1"/>
      <c r="J842" s="1"/>
      <c r="K842" s="1"/>
      <c r="L842" s="1"/>
    </row>
    <row r="843" ht="15.0" customHeight="1">
      <c r="A843" s="1873" t="s">
        <v>119</v>
      </c>
      <c r="B843" s="1874" t="s">
        <v>47</v>
      </c>
      <c r="C843" s="184"/>
      <c r="D843" s="184"/>
      <c r="E843" s="1"/>
      <c r="F843" s="1"/>
      <c r="G843" s="1"/>
      <c r="H843" s="1"/>
      <c r="I843" s="1"/>
      <c r="J843" s="1"/>
      <c r="K843" s="1"/>
      <c r="L843" s="1"/>
    </row>
    <row r="844" ht="14.25" customHeight="1">
      <c r="A844" s="2270"/>
      <c r="B844" s="2271"/>
      <c r="C844" s="184"/>
      <c r="D844" s="184"/>
      <c r="E844" s="1"/>
      <c r="F844" s="1112"/>
      <c r="G844" s="1"/>
      <c r="H844" s="1"/>
      <c r="I844" s="1"/>
      <c r="J844" s="1"/>
      <c r="K844" s="1"/>
      <c r="L844" s="1"/>
    </row>
    <row r="845" ht="15.0" customHeight="1">
      <c r="A845" s="913" t="s">
        <v>1009</v>
      </c>
      <c r="B845" s="5"/>
      <c r="C845" s="5"/>
      <c r="D845" s="5"/>
      <c r="E845" s="6"/>
      <c r="F845" s="284"/>
      <c r="G845" s="1"/>
      <c r="H845" s="1"/>
      <c r="I845" s="1"/>
      <c r="J845" s="1"/>
      <c r="K845" s="1"/>
      <c r="L845" s="1"/>
    </row>
    <row r="846" ht="15.0" customHeight="1">
      <c r="A846" s="173" t="s">
        <v>1</v>
      </c>
      <c r="B846" s="275">
        <v>45.0</v>
      </c>
      <c r="C846" s="546">
        <v>45.0</v>
      </c>
      <c r="D846" s="1808"/>
      <c r="E846" s="547" t="s">
        <v>5</v>
      </c>
      <c r="F846" s="2038"/>
      <c r="G846" s="1"/>
      <c r="H846" s="1"/>
      <c r="I846" s="1"/>
      <c r="J846" s="1"/>
      <c r="K846" s="1"/>
      <c r="L846" s="1"/>
    </row>
    <row r="847" ht="15.0" customHeight="1">
      <c r="A847" s="68" t="s">
        <v>53</v>
      </c>
      <c r="B847" s="145">
        <v>10.0</v>
      </c>
      <c r="C847" s="516">
        <f t="shared" ref="C847:C857" si="56">(B847*C846)/B846</f>
        <v>10</v>
      </c>
      <c r="D847" s="1652"/>
      <c r="E847" s="216" t="s">
        <v>14</v>
      </c>
      <c r="F847" s="284"/>
      <c r="G847" s="1"/>
      <c r="H847" s="1"/>
      <c r="I847" s="1"/>
      <c r="J847" s="1"/>
      <c r="K847" s="1"/>
      <c r="L847" s="1"/>
    </row>
    <row r="848" ht="15.0" customHeight="1">
      <c r="A848" s="93" t="s">
        <v>31</v>
      </c>
      <c r="B848" s="195">
        <v>350.0</v>
      </c>
      <c r="C848" s="521">
        <f t="shared" si="56"/>
        <v>350</v>
      </c>
      <c r="D848" s="1653"/>
      <c r="E848" s="249" t="s">
        <v>18</v>
      </c>
      <c r="F848" s="284"/>
      <c r="G848" s="1"/>
      <c r="H848" s="1"/>
      <c r="I848" s="1"/>
      <c r="J848" s="1"/>
      <c r="K848" s="1"/>
      <c r="L848" s="1"/>
    </row>
    <row r="849" ht="15.0" customHeight="1">
      <c r="A849" s="138" t="s">
        <v>157</v>
      </c>
      <c r="B849" s="279">
        <v>25.0</v>
      </c>
      <c r="C849" s="842">
        <f t="shared" si="56"/>
        <v>25</v>
      </c>
      <c r="D849" s="1655"/>
      <c r="E849" s="242" t="s">
        <v>5</v>
      </c>
      <c r="F849" s="284"/>
      <c r="G849" s="1"/>
      <c r="H849" s="1"/>
      <c r="I849" s="1"/>
      <c r="J849" s="1"/>
      <c r="K849" s="1"/>
      <c r="L849" s="1"/>
    </row>
    <row r="850" ht="15.0" customHeight="1">
      <c r="A850" s="68" t="s">
        <v>491</v>
      </c>
      <c r="B850" s="145">
        <v>0.5</v>
      </c>
      <c r="C850" s="516">
        <f t="shared" si="56"/>
        <v>0.5</v>
      </c>
      <c r="D850" s="1652"/>
      <c r="E850" s="216" t="s">
        <v>5</v>
      </c>
      <c r="F850" s="194" t="s">
        <v>2532</v>
      </c>
      <c r="G850" s="1"/>
      <c r="H850" s="1"/>
      <c r="I850" s="1"/>
      <c r="J850" s="1"/>
      <c r="K850" s="1"/>
      <c r="L850" s="1"/>
    </row>
    <row r="851" ht="15.0" customHeight="1">
      <c r="A851" s="93" t="s">
        <v>97</v>
      </c>
      <c r="B851" s="195">
        <v>50.0</v>
      </c>
      <c r="C851" s="521">
        <f t="shared" si="56"/>
        <v>50</v>
      </c>
      <c r="D851" s="1653"/>
      <c r="E851" s="249" t="s">
        <v>18</v>
      </c>
      <c r="F851" s="63"/>
      <c r="G851" s="1"/>
      <c r="H851" s="1"/>
      <c r="I851" s="1"/>
      <c r="J851" s="1"/>
      <c r="K851" s="1"/>
      <c r="L851" s="1"/>
    </row>
    <row r="852" ht="15.0" customHeight="1">
      <c r="A852" s="93" t="s">
        <v>2534</v>
      </c>
      <c r="B852" s="195">
        <v>50.0</v>
      </c>
      <c r="C852" s="521">
        <f t="shared" si="56"/>
        <v>50</v>
      </c>
      <c r="D852" s="1653"/>
      <c r="E852" s="249" t="s">
        <v>18</v>
      </c>
      <c r="F852" s="63"/>
      <c r="G852" s="1"/>
      <c r="H852" s="1"/>
      <c r="I852" s="1"/>
      <c r="J852" s="1"/>
      <c r="K852" s="1"/>
      <c r="L852" s="1"/>
    </row>
    <row r="853" ht="15.0" customHeight="1">
      <c r="A853" s="93" t="s">
        <v>2535</v>
      </c>
      <c r="B853" s="195">
        <v>100.0</v>
      </c>
      <c r="C853" s="521">
        <f t="shared" si="56"/>
        <v>100</v>
      </c>
      <c r="D853" s="1653"/>
      <c r="E853" s="249" t="s">
        <v>18</v>
      </c>
      <c r="F853" s="63"/>
      <c r="G853" s="1"/>
      <c r="H853" s="1"/>
      <c r="I853" s="1"/>
      <c r="J853" s="1"/>
      <c r="K853" s="1"/>
      <c r="L853" s="1"/>
    </row>
    <row r="854" ht="15.0" customHeight="1">
      <c r="A854" s="93" t="s">
        <v>101</v>
      </c>
      <c r="B854" s="195">
        <v>1.0</v>
      </c>
      <c r="C854" s="521">
        <f t="shared" si="56"/>
        <v>1</v>
      </c>
      <c r="D854" s="1653"/>
      <c r="E854" s="249" t="s">
        <v>5</v>
      </c>
      <c r="F854" s="63"/>
      <c r="G854" s="1"/>
      <c r="H854" s="1"/>
      <c r="I854" s="1"/>
      <c r="J854" s="1"/>
      <c r="K854" s="1"/>
      <c r="L854" s="1"/>
    </row>
    <row r="855" ht="15.0" customHeight="1">
      <c r="A855" s="93" t="s">
        <v>103</v>
      </c>
      <c r="B855" s="195">
        <v>20.0</v>
      </c>
      <c r="C855" s="521">
        <f t="shared" si="56"/>
        <v>20</v>
      </c>
      <c r="D855" s="1653"/>
      <c r="E855" s="249" t="s">
        <v>18</v>
      </c>
      <c r="F855" s="63"/>
      <c r="G855" s="1"/>
      <c r="H855" s="1"/>
      <c r="I855" s="1"/>
      <c r="J855" s="1"/>
      <c r="K855" s="1"/>
      <c r="L855" s="1"/>
    </row>
    <row r="856" ht="15.0" customHeight="1">
      <c r="A856" s="93" t="s">
        <v>149</v>
      </c>
      <c r="B856" s="195">
        <v>100.0</v>
      </c>
      <c r="C856" s="521">
        <f t="shared" si="56"/>
        <v>100</v>
      </c>
      <c r="D856" s="1653"/>
      <c r="E856" s="249" t="s">
        <v>82</v>
      </c>
      <c r="F856" s="63"/>
      <c r="G856" s="1"/>
      <c r="H856" s="1"/>
      <c r="I856" s="1"/>
      <c r="J856" s="1"/>
      <c r="K856" s="1"/>
      <c r="L856" s="1"/>
    </row>
    <row r="857" ht="15.0" customHeight="1">
      <c r="A857" s="105" t="s">
        <v>52</v>
      </c>
      <c r="B857" s="200">
        <v>25.0</v>
      </c>
      <c r="C857" s="517">
        <f t="shared" si="56"/>
        <v>25</v>
      </c>
      <c r="D857" s="1656"/>
      <c r="E857" s="518" t="s">
        <v>18</v>
      </c>
      <c r="F857" s="102"/>
      <c r="G857" s="1"/>
      <c r="H857" s="1"/>
      <c r="I857" s="1"/>
      <c r="J857" s="1"/>
      <c r="K857" s="1"/>
      <c r="L857" s="1"/>
    </row>
    <row r="858" ht="15.0" customHeight="1">
      <c r="A858" s="1873" t="s">
        <v>119</v>
      </c>
      <c r="B858" s="1874" t="s">
        <v>47</v>
      </c>
      <c r="C858" s="184"/>
      <c r="D858" s="184"/>
      <c r="E858" s="1"/>
      <c r="F858" s="1"/>
      <c r="G858" s="1"/>
      <c r="H858" s="1"/>
      <c r="I858" s="1"/>
      <c r="J858" s="1"/>
      <c r="K858" s="1"/>
      <c r="L858" s="1"/>
    </row>
    <row r="859" ht="15.0" customHeight="1">
      <c r="A859" s="1"/>
      <c r="B859" s="107"/>
      <c r="C859" s="184"/>
      <c r="D859" s="184"/>
      <c r="E859" s="1"/>
      <c r="F859" s="1"/>
      <c r="G859" s="1"/>
      <c r="H859" s="1"/>
      <c r="I859" s="1"/>
      <c r="J859" s="1"/>
      <c r="K859" s="1"/>
      <c r="L859" s="1"/>
    </row>
    <row r="860" ht="15.0" customHeight="1">
      <c r="A860" s="1"/>
      <c r="B860" s="107"/>
      <c r="C860" s="184"/>
      <c r="D860" s="184"/>
      <c r="E860" s="1"/>
      <c r="F860" s="1"/>
      <c r="G860" s="1"/>
      <c r="H860" s="1"/>
      <c r="I860" s="1"/>
      <c r="J860" s="1"/>
      <c r="K860" s="1"/>
      <c r="L860" s="1"/>
    </row>
    <row r="861" ht="15.0" customHeight="1">
      <c r="A861" s="203" t="s">
        <v>49</v>
      </c>
      <c r="B861" s="1363">
        <v>41261.0</v>
      </c>
      <c r="C861" s="184"/>
      <c r="D861" s="184"/>
      <c r="E861" s="1"/>
      <c r="F861" s="1"/>
      <c r="G861" s="1"/>
      <c r="H861" s="1"/>
      <c r="I861" s="1"/>
      <c r="J861" s="1"/>
      <c r="K861" s="1"/>
      <c r="L861" s="1"/>
    </row>
    <row r="862" ht="15.0" customHeight="1">
      <c r="A862" s="203" t="s">
        <v>50</v>
      </c>
      <c r="B862" s="1363">
        <v>41489.0</v>
      </c>
      <c r="C862" s="184"/>
      <c r="D862" s="184"/>
      <c r="E862" s="1"/>
      <c r="F862" s="1"/>
      <c r="G862" s="1"/>
      <c r="H862" s="1"/>
      <c r="I862" s="1"/>
      <c r="J862" s="1"/>
      <c r="K862" s="1"/>
      <c r="L862" s="1"/>
    </row>
    <row r="863" ht="15.0" customHeight="1">
      <c r="A863" s="1"/>
      <c r="B863" s="107"/>
      <c r="C863" s="184"/>
      <c r="D863" s="184"/>
      <c r="E863" s="1"/>
      <c r="F863" s="1"/>
      <c r="G863" s="1"/>
      <c r="H863" s="1"/>
      <c r="I863" s="1"/>
      <c r="J863" s="1"/>
      <c r="K863" s="1"/>
      <c r="L863" s="1"/>
    </row>
    <row r="864" ht="15.0" customHeight="1">
      <c r="A864" s="511" t="s">
        <v>772</v>
      </c>
      <c r="B864" s="18"/>
      <c r="C864" s="18"/>
      <c r="D864" s="18"/>
      <c r="E864" s="19"/>
      <c r="F864" s="1"/>
      <c r="G864" s="1"/>
      <c r="H864" s="1"/>
      <c r="I864" s="1"/>
      <c r="J864" s="1"/>
      <c r="K864" s="1"/>
      <c r="L864" s="1"/>
    </row>
    <row r="865" ht="15.0" customHeight="1">
      <c r="A865" s="173" t="s">
        <v>1</v>
      </c>
      <c r="B865" s="275">
        <v>245.0</v>
      </c>
      <c r="C865" s="179">
        <v>100.0</v>
      </c>
      <c r="D865" s="1689"/>
      <c r="E865" s="547" t="s">
        <v>5</v>
      </c>
      <c r="F865" s="1"/>
      <c r="G865" s="1"/>
      <c r="H865" s="1"/>
      <c r="I865" s="1"/>
      <c r="J865" s="1"/>
      <c r="K865" s="1"/>
      <c r="L865" s="1"/>
    </row>
    <row r="866" ht="15.0" customHeight="1">
      <c r="A866" s="68" t="s">
        <v>491</v>
      </c>
      <c r="B866" s="145">
        <v>8.0</v>
      </c>
      <c r="C866" s="155">
        <f t="shared" ref="C866:C871" si="57">C865/B865*B866</f>
        <v>3.265306122</v>
      </c>
      <c r="D866" s="899"/>
      <c r="E866" s="216" t="s">
        <v>5</v>
      </c>
      <c r="F866" s="826" t="s">
        <v>2432</v>
      </c>
      <c r="G866" s="1"/>
      <c r="H866" s="1"/>
      <c r="I866" s="1"/>
      <c r="J866" s="1"/>
      <c r="K866" s="1"/>
      <c r="L866" s="1"/>
    </row>
    <row r="867" ht="15.0" customHeight="1">
      <c r="A867" s="93" t="s">
        <v>52</v>
      </c>
      <c r="B867" s="195">
        <v>180.0</v>
      </c>
      <c r="C867" s="78">
        <f t="shared" si="57"/>
        <v>73.46938776</v>
      </c>
      <c r="D867" s="900"/>
      <c r="E867" s="249" t="s">
        <v>18</v>
      </c>
      <c r="F867" s="66"/>
      <c r="G867" s="1"/>
      <c r="H867" s="1"/>
      <c r="I867" s="1"/>
      <c r="J867" s="1"/>
      <c r="K867" s="1"/>
      <c r="L867" s="1"/>
    </row>
    <row r="868" ht="15.0" customHeight="1">
      <c r="A868" s="93" t="s">
        <v>1161</v>
      </c>
      <c r="B868" s="195">
        <v>8.0</v>
      </c>
      <c r="C868" s="78">
        <f t="shared" si="57"/>
        <v>3.265306122</v>
      </c>
      <c r="D868" s="900"/>
      <c r="E868" s="249" t="s">
        <v>14</v>
      </c>
      <c r="F868" s="66"/>
      <c r="G868" s="1"/>
      <c r="H868" s="1"/>
      <c r="I868" s="1"/>
      <c r="J868" s="1"/>
      <c r="K868" s="1"/>
      <c r="L868" s="1"/>
    </row>
    <row r="869" ht="15.0" customHeight="1">
      <c r="A869" s="93" t="s">
        <v>2433</v>
      </c>
      <c r="B869" s="195">
        <v>5.6</v>
      </c>
      <c r="C869" s="78">
        <f t="shared" si="57"/>
        <v>2.285714286</v>
      </c>
      <c r="D869" s="900"/>
      <c r="E869" s="249" t="s">
        <v>14</v>
      </c>
      <c r="F869" s="66"/>
      <c r="G869" s="1"/>
      <c r="H869" s="1"/>
      <c r="I869" s="1"/>
      <c r="J869" s="1"/>
      <c r="K869" s="1"/>
      <c r="L869" s="1"/>
    </row>
    <row r="870" ht="15.0" customHeight="1">
      <c r="A870" s="93" t="s">
        <v>1169</v>
      </c>
      <c r="B870" s="195">
        <v>5.6</v>
      </c>
      <c r="C870" s="78">
        <f t="shared" si="57"/>
        <v>2.285714286</v>
      </c>
      <c r="D870" s="900"/>
      <c r="E870" s="249" t="s">
        <v>14</v>
      </c>
      <c r="F870" s="66"/>
      <c r="G870" s="1"/>
      <c r="H870" s="1"/>
      <c r="I870" s="1"/>
      <c r="J870" s="1"/>
      <c r="K870" s="1"/>
      <c r="L870" s="1"/>
    </row>
    <row r="871" ht="15.0" customHeight="1">
      <c r="A871" s="105" t="s">
        <v>1246</v>
      </c>
      <c r="B871" s="200">
        <v>8.0</v>
      </c>
      <c r="C871" s="56">
        <f t="shared" si="57"/>
        <v>3.265306122</v>
      </c>
      <c r="D871" s="1604"/>
      <c r="E871" s="518" t="s">
        <v>14</v>
      </c>
      <c r="F871" s="66"/>
      <c r="G871" s="1"/>
      <c r="H871" s="1"/>
      <c r="I871" s="1"/>
      <c r="J871" s="1"/>
      <c r="K871" s="1"/>
      <c r="L871" s="1"/>
    </row>
    <row r="872" ht="15.0" customHeight="1">
      <c r="A872" s="173" t="s">
        <v>122</v>
      </c>
      <c r="B872" s="275">
        <v>37.80000000000001</v>
      </c>
      <c r="C872" s="179">
        <f t="shared" ref="C872:C873" si="58">C874/B874*B872</f>
        <v>15.42857143</v>
      </c>
      <c r="D872" s="1689"/>
      <c r="E872" s="547" t="s">
        <v>5</v>
      </c>
      <c r="F872" s="66"/>
      <c r="G872" s="1"/>
      <c r="H872" s="1"/>
      <c r="I872" s="1"/>
      <c r="J872" s="1"/>
      <c r="K872" s="1"/>
      <c r="L872" s="1"/>
    </row>
    <row r="873" ht="15.0" customHeight="1">
      <c r="A873" s="173" t="s">
        <v>59</v>
      </c>
      <c r="B873" s="275">
        <v>94.0</v>
      </c>
      <c r="C873" s="179">
        <f t="shared" si="58"/>
        <v>38.36734694</v>
      </c>
      <c r="D873" s="1689"/>
      <c r="E873" s="547" t="s">
        <v>5</v>
      </c>
      <c r="F873" s="66"/>
      <c r="G873" s="1"/>
      <c r="H873" s="1"/>
      <c r="I873" s="1"/>
      <c r="J873" s="1"/>
      <c r="K873" s="1"/>
      <c r="L873" s="1"/>
    </row>
    <row r="874" ht="15.0" customHeight="1">
      <c r="A874" s="68" t="s">
        <v>2544</v>
      </c>
      <c r="B874" s="145">
        <v>54.000000000000014</v>
      </c>
      <c r="C874" s="155">
        <f t="shared" ref="C874:C876" si="59">C871/B871*B874</f>
        <v>22.04081633</v>
      </c>
      <c r="D874" s="899"/>
      <c r="E874" s="216" t="s">
        <v>14</v>
      </c>
      <c r="F874" s="66"/>
      <c r="G874" s="1"/>
      <c r="H874" s="1"/>
      <c r="I874" s="1"/>
      <c r="J874" s="1"/>
      <c r="K874" s="1"/>
      <c r="L874" s="1"/>
    </row>
    <row r="875" ht="15.0" customHeight="1">
      <c r="A875" s="105" t="s">
        <v>31</v>
      </c>
      <c r="B875" s="200">
        <v>3200.0</v>
      </c>
      <c r="C875" s="56">
        <f t="shared" si="59"/>
        <v>1306.122449</v>
      </c>
      <c r="D875" s="1604"/>
      <c r="E875" s="518" t="s">
        <v>18</v>
      </c>
      <c r="F875" s="106"/>
      <c r="G875" s="1"/>
      <c r="H875" s="1"/>
      <c r="I875" s="1"/>
      <c r="J875" s="1"/>
      <c r="K875" s="1"/>
      <c r="L875" s="1"/>
    </row>
    <row r="876" ht="15.0" customHeight="1">
      <c r="A876" s="173" t="s">
        <v>746</v>
      </c>
      <c r="B876" s="275">
        <v>4050.000000000001</v>
      </c>
      <c r="C876" s="179">
        <f t="shared" si="59"/>
        <v>1653.061224</v>
      </c>
      <c r="D876" s="1689"/>
      <c r="E876" s="547" t="s">
        <v>18</v>
      </c>
      <c r="F876" s="2135" t="s">
        <v>2434</v>
      </c>
      <c r="G876" s="1"/>
      <c r="H876" s="1"/>
      <c r="I876" s="1"/>
      <c r="J876" s="1"/>
      <c r="K876" s="1"/>
      <c r="L876" s="1"/>
    </row>
    <row r="877" ht="15.0" customHeight="1">
      <c r="A877" s="68" t="s">
        <v>95</v>
      </c>
      <c r="B877" s="145">
        <v>650.0</v>
      </c>
      <c r="C877" s="155">
        <f t="shared" ref="C877:C882" si="60">C876/B876*B877</f>
        <v>265.3061224</v>
      </c>
      <c r="D877" s="899"/>
      <c r="E877" s="216" t="s">
        <v>18</v>
      </c>
      <c r="F877" s="1299" t="s">
        <v>2435</v>
      </c>
      <c r="G877" s="1"/>
      <c r="H877" s="1"/>
      <c r="I877" s="1"/>
      <c r="J877" s="1"/>
      <c r="K877" s="1"/>
      <c r="L877" s="1"/>
    </row>
    <row r="878" ht="15.0" customHeight="1">
      <c r="A878" s="93" t="s">
        <v>96</v>
      </c>
      <c r="B878" s="195">
        <v>200.0</v>
      </c>
      <c r="C878" s="78">
        <f t="shared" si="60"/>
        <v>81.63265306</v>
      </c>
      <c r="D878" s="900"/>
      <c r="E878" s="249" t="s">
        <v>18</v>
      </c>
      <c r="F878" s="47"/>
      <c r="G878" s="1"/>
      <c r="H878" s="1"/>
      <c r="I878" s="1"/>
      <c r="J878" s="1"/>
      <c r="K878" s="1"/>
      <c r="L878" s="1"/>
    </row>
    <row r="879" ht="15.0" customHeight="1">
      <c r="A879" s="105" t="s">
        <v>102</v>
      </c>
      <c r="B879" s="200">
        <v>324.00000000000006</v>
      </c>
      <c r="C879" s="56">
        <f t="shared" si="60"/>
        <v>132.244898</v>
      </c>
      <c r="D879" s="1604"/>
      <c r="E879" s="518" t="s">
        <v>18</v>
      </c>
      <c r="F879" s="47"/>
      <c r="G879" s="1"/>
      <c r="H879" s="1"/>
      <c r="I879" s="1"/>
      <c r="J879" s="1"/>
      <c r="K879" s="1"/>
      <c r="L879" s="1"/>
    </row>
    <row r="880" ht="15.0" customHeight="1">
      <c r="A880" s="68" t="s">
        <v>39</v>
      </c>
      <c r="B880" s="145">
        <v>1080.0000000000002</v>
      </c>
      <c r="C880" s="155">
        <f t="shared" si="60"/>
        <v>440.8163265</v>
      </c>
      <c r="D880" s="899"/>
      <c r="E880" s="216" t="s">
        <v>18</v>
      </c>
      <c r="F880" s="47"/>
      <c r="G880" s="1"/>
      <c r="H880" s="1"/>
      <c r="I880" s="1"/>
      <c r="J880" s="1"/>
      <c r="K880" s="1"/>
      <c r="L880" s="1"/>
    </row>
    <row r="881" ht="15.0" customHeight="1">
      <c r="A881" s="105" t="s">
        <v>149</v>
      </c>
      <c r="B881" s="200">
        <v>1350.0000000000002</v>
      </c>
      <c r="C881" s="56">
        <f t="shared" si="60"/>
        <v>551.0204082</v>
      </c>
      <c r="D881" s="1604"/>
      <c r="E881" s="518" t="s">
        <v>18</v>
      </c>
      <c r="F881" s="76"/>
      <c r="G881" s="1"/>
      <c r="H881" s="1"/>
      <c r="I881" s="1"/>
      <c r="J881" s="1"/>
      <c r="K881" s="1"/>
      <c r="L881" s="1"/>
    </row>
    <row r="882" ht="15.0" customHeight="1">
      <c r="A882" s="173" t="s">
        <v>2437</v>
      </c>
      <c r="B882" s="275">
        <v>0.2700000000000001</v>
      </c>
      <c r="C882" s="179">
        <f t="shared" si="60"/>
        <v>0.1102040816</v>
      </c>
      <c r="D882" s="1689"/>
      <c r="E882" s="547" t="s">
        <v>5</v>
      </c>
      <c r="F882" s="2146" t="s">
        <v>2438</v>
      </c>
      <c r="G882" s="1"/>
      <c r="H882" s="1"/>
      <c r="I882" s="1"/>
      <c r="J882" s="1"/>
      <c r="K882" s="1"/>
      <c r="L882" s="1"/>
    </row>
    <row r="883" ht="15.0" customHeight="1">
      <c r="A883" s="68" t="s">
        <v>1587</v>
      </c>
      <c r="B883" s="145">
        <v>2295.0000000000005</v>
      </c>
      <c r="C883" s="155">
        <f t="shared" ref="C883:C884" si="61">(B883*C881)/B881</f>
        <v>936.7346939</v>
      </c>
      <c r="D883" s="899"/>
      <c r="E883" s="216" t="s">
        <v>18</v>
      </c>
      <c r="F883" s="66"/>
      <c r="G883" s="1"/>
      <c r="H883" s="1"/>
      <c r="I883" s="1"/>
      <c r="J883" s="1"/>
      <c r="K883" s="1"/>
      <c r="L883" s="1"/>
    </row>
    <row r="884" ht="15.0" customHeight="1">
      <c r="A884" s="105" t="s">
        <v>1291</v>
      </c>
      <c r="B884" s="200">
        <v>45.90000000000001</v>
      </c>
      <c r="C884" s="56">
        <f t="shared" si="61"/>
        <v>18.73469388</v>
      </c>
      <c r="D884" s="1604"/>
      <c r="E884" s="518" t="s">
        <v>93</v>
      </c>
      <c r="F884" s="106"/>
      <c r="G884" s="1"/>
      <c r="H884" s="1"/>
      <c r="I884" s="1"/>
      <c r="J884" s="1"/>
      <c r="K884" s="1"/>
      <c r="L884" s="1"/>
    </row>
    <row r="885" ht="15.0" customHeight="1">
      <c r="A885" s="1873" t="s">
        <v>119</v>
      </c>
      <c r="B885" s="1874" t="s">
        <v>47</v>
      </c>
      <c r="C885" s="184"/>
      <c r="D885" s="184"/>
      <c r="E885" s="1"/>
      <c r="F885" s="1"/>
      <c r="G885" s="1"/>
      <c r="H885" s="1"/>
      <c r="I885" s="1"/>
      <c r="J885" s="1"/>
      <c r="K885" s="1"/>
      <c r="L885" s="1"/>
    </row>
    <row r="886" ht="15.0" customHeight="1">
      <c r="A886" s="1"/>
      <c r="B886" s="107"/>
      <c r="C886" s="184"/>
      <c r="D886" s="184"/>
      <c r="E886" s="1"/>
      <c r="F886" s="1"/>
      <c r="G886" s="1"/>
      <c r="H886" s="1"/>
      <c r="I886" s="1"/>
      <c r="J886" s="1"/>
      <c r="K886" s="1"/>
      <c r="L886" s="1"/>
    </row>
    <row r="887" ht="15.0" customHeight="1">
      <c r="A887" s="511" t="s">
        <v>1012</v>
      </c>
      <c r="B887" s="18"/>
      <c r="C887" s="18"/>
      <c r="D887" s="18"/>
      <c r="E887" s="19"/>
      <c r="F887" s="1117"/>
      <c r="G887" s="1"/>
      <c r="H887" s="766" t="s">
        <v>2546</v>
      </c>
      <c r="I887" s="18"/>
      <c r="J887" s="18"/>
      <c r="K887" s="19"/>
      <c r="L887" s="1"/>
    </row>
    <row r="888" ht="15.0" customHeight="1">
      <c r="A888" s="51" t="s">
        <v>1</v>
      </c>
      <c r="B888" s="190">
        <v>55.0</v>
      </c>
      <c r="C888" s="513">
        <v>100.0</v>
      </c>
      <c r="D888" s="1576"/>
      <c r="E888" s="1572" t="s">
        <v>5</v>
      </c>
      <c r="F888" s="2310"/>
      <c r="G888" s="1"/>
      <c r="H888" s="51" t="s">
        <v>1</v>
      </c>
      <c r="I888" s="190">
        <v>55.0</v>
      </c>
      <c r="J888" s="513">
        <v>10.0</v>
      </c>
      <c r="K888" s="1572" t="s">
        <v>5</v>
      </c>
      <c r="L888" s="1"/>
    </row>
    <row r="889" ht="15.0" customHeight="1">
      <c r="A889" s="51" t="s">
        <v>2548</v>
      </c>
      <c r="B889" s="190">
        <v>10.0</v>
      </c>
      <c r="C889" s="513">
        <f t="shared" ref="C889:C909" si="62">(B889*C888)/B888</f>
        <v>18.18181818</v>
      </c>
      <c r="D889" s="1576"/>
      <c r="E889" s="1572" t="s">
        <v>14</v>
      </c>
      <c r="F889" s="76"/>
      <c r="G889" s="1"/>
      <c r="H889" s="51" t="s">
        <v>53</v>
      </c>
      <c r="I889" s="190">
        <v>10.0</v>
      </c>
      <c r="J889" s="513">
        <f t="shared" ref="J889:J908" si="63">(I889*J888)/I888</f>
        <v>1.818181818</v>
      </c>
      <c r="K889" s="1572" t="s">
        <v>14</v>
      </c>
      <c r="L889" s="1"/>
    </row>
    <row r="890" ht="15.0" customHeight="1">
      <c r="A890" s="68" t="s">
        <v>91</v>
      </c>
      <c r="B890" s="145">
        <v>2.5</v>
      </c>
      <c r="C890" s="155">
        <f t="shared" si="62"/>
        <v>4.545454545</v>
      </c>
      <c r="D890" s="899"/>
      <c r="E890" s="1579" t="s">
        <v>5</v>
      </c>
      <c r="F890" s="44" t="s">
        <v>1822</v>
      </c>
      <c r="G890" s="1"/>
      <c r="H890" s="68" t="s">
        <v>91</v>
      </c>
      <c r="I890" s="145">
        <v>2.5</v>
      </c>
      <c r="J890" s="155">
        <f t="shared" si="63"/>
        <v>0.4545454545</v>
      </c>
      <c r="K890" s="1579" t="s">
        <v>5</v>
      </c>
      <c r="L890" s="1"/>
    </row>
    <row r="891" ht="15.0" customHeight="1">
      <c r="A891" s="119" t="s">
        <v>971</v>
      </c>
      <c r="B891" s="238">
        <v>0.2</v>
      </c>
      <c r="C891" s="129">
        <f t="shared" si="62"/>
        <v>0.3636363636</v>
      </c>
      <c r="D891" s="1583"/>
      <c r="E891" s="1584" t="s">
        <v>14</v>
      </c>
      <c r="F891" s="47"/>
      <c r="G891" s="1"/>
      <c r="H891" s="119" t="s">
        <v>971</v>
      </c>
      <c r="I891" s="238">
        <v>0.2</v>
      </c>
      <c r="J891" s="129">
        <f t="shared" si="63"/>
        <v>0.03636363636</v>
      </c>
      <c r="K891" s="1584" t="s">
        <v>14</v>
      </c>
      <c r="L891" s="1"/>
    </row>
    <row r="892" ht="15.0" customHeight="1">
      <c r="A892" s="119" t="s">
        <v>52</v>
      </c>
      <c r="B892" s="238">
        <v>20.0</v>
      </c>
      <c r="C892" s="129">
        <f t="shared" si="62"/>
        <v>36.36363636</v>
      </c>
      <c r="D892" s="1583"/>
      <c r="E892" s="1584" t="s">
        <v>18</v>
      </c>
      <c r="F892" s="47"/>
      <c r="G892" s="1"/>
      <c r="H892" s="119" t="s">
        <v>52</v>
      </c>
      <c r="I892" s="238">
        <v>20.0</v>
      </c>
      <c r="J892" s="129">
        <f t="shared" si="63"/>
        <v>3.636363636</v>
      </c>
      <c r="K892" s="1584" t="s">
        <v>18</v>
      </c>
      <c r="L892" s="1"/>
    </row>
    <row r="893" ht="15.0" customHeight="1">
      <c r="A893" s="93" t="s">
        <v>95</v>
      </c>
      <c r="B893" s="1213">
        <v>25.0</v>
      </c>
      <c r="C893" s="94">
        <f t="shared" si="62"/>
        <v>45.45454545</v>
      </c>
      <c r="D893" s="1586"/>
      <c r="E893" s="249" t="s">
        <v>18</v>
      </c>
      <c r="F893" s="47"/>
      <c r="G893" s="1"/>
      <c r="H893" s="93" t="s">
        <v>95</v>
      </c>
      <c r="I893" s="1213">
        <v>25.0</v>
      </c>
      <c r="J893" s="94">
        <f t="shared" si="63"/>
        <v>4.545454545</v>
      </c>
      <c r="K893" s="249" t="s">
        <v>18</v>
      </c>
      <c r="L893" s="1"/>
    </row>
    <row r="894" ht="15.0" customHeight="1">
      <c r="A894" s="93" t="s">
        <v>98</v>
      </c>
      <c r="B894" s="195">
        <v>100.0</v>
      </c>
      <c r="C894" s="78">
        <f t="shared" si="62"/>
        <v>181.8181818</v>
      </c>
      <c r="D894" s="900"/>
      <c r="E894" s="1588" t="s">
        <v>18</v>
      </c>
      <c r="F894" s="47"/>
      <c r="G894" s="1"/>
      <c r="H894" s="93" t="s">
        <v>98</v>
      </c>
      <c r="I894" s="195">
        <v>100.0</v>
      </c>
      <c r="J894" s="78">
        <f t="shared" si="63"/>
        <v>18.18181818</v>
      </c>
      <c r="K894" s="1588" t="s">
        <v>18</v>
      </c>
      <c r="L894" s="1"/>
    </row>
    <row r="895" ht="15.0" customHeight="1">
      <c r="A895" s="93" t="s">
        <v>66</v>
      </c>
      <c r="B895" s="1213">
        <v>10.0</v>
      </c>
      <c r="C895" s="94">
        <f t="shared" si="62"/>
        <v>18.18181818</v>
      </c>
      <c r="D895" s="1586"/>
      <c r="E895" s="249" t="s">
        <v>18</v>
      </c>
      <c r="F895" s="47"/>
      <c r="G895" s="1"/>
      <c r="H895" s="93" t="s">
        <v>66</v>
      </c>
      <c r="I895" s="1213">
        <v>10.0</v>
      </c>
      <c r="J895" s="94">
        <f t="shared" si="63"/>
        <v>1.818181818</v>
      </c>
      <c r="K895" s="249" t="s">
        <v>18</v>
      </c>
      <c r="L895" s="1"/>
    </row>
    <row r="896" ht="15.0" customHeight="1">
      <c r="A896" s="93" t="s">
        <v>102</v>
      </c>
      <c r="B896" s="1213">
        <v>8.0</v>
      </c>
      <c r="C896" s="94">
        <f t="shared" si="62"/>
        <v>14.54545455</v>
      </c>
      <c r="D896" s="1586"/>
      <c r="E896" s="249" t="s">
        <v>18</v>
      </c>
      <c r="F896" s="47"/>
      <c r="G896" s="1"/>
      <c r="H896" s="93" t="s">
        <v>102</v>
      </c>
      <c r="I896" s="1213">
        <v>8.0</v>
      </c>
      <c r="J896" s="94">
        <f t="shared" si="63"/>
        <v>1.454545455</v>
      </c>
      <c r="K896" s="249" t="s">
        <v>18</v>
      </c>
      <c r="L896" s="1">
        <f>25*3.5</f>
        <v>87.5</v>
      </c>
    </row>
    <row r="897" ht="15.0" customHeight="1">
      <c r="A897" s="93" t="s">
        <v>210</v>
      </c>
      <c r="B897" s="195">
        <v>15.0</v>
      </c>
      <c r="C897" s="521">
        <f t="shared" si="62"/>
        <v>27.27272727</v>
      </c>
      <c r="D897" s="1653"/>
      <c r="E897" s="249" t="s">
        <v>18</v>
      </c>
      <c r="F897" s="47"/>
      <c r="G897" s="1"/>
      <c r="H897" s="93" t="s">
        <v>210</v>
      </c>
      <c r="I897" s="195">
        <v>15.0</v>
      </c>
      <c r="J897" s="521">
        <f t="shared" si="63"/>
        <v>2.727272727</v>
      </c>
      <c r="K897" s="249" t="s">
        <v>18</v>
      </c>
      <c r="L897" s="1"/>
    </row>
    <row r="898" ht="15.0" customHeight="1">
      <c r="A898" s="93" t="s">
        <v>96</v>
      </c>
      <c r="B898" s="195">
        <v>5.0</v>
      </c>
      <c r="C898" s="521">
        <f t="shared" si="62"/>
        <v>9.090909091</v>
      </c>
      <c r="D898" s="1653"/>
      <c r="E898" s="249" t="s">
        <v>18</v>
      </c>
      <c r="F898" s="47"/>
      <c r="G898" s="1"/>
      <c r="H898" s="93" t="s">
        <v>96</v>
      </c>
      <c r="I898" s="195">
        <v>5.0</v>
      </c>
      <c r="J898" s="521">
        <f t="shared" si="63"/>
        <v>0.9090909091</v>
      </c>
      <c r="K898" s="249" t="s">
        <v>18</v>
      </c>
      <c r="L898" s="1"/>
    </row>
    <row r="899" ht="15.0" customHeight="1">
      <c r="A899" s="93" t="s">
        <v>1176</v>
      </c>
      <c r="B899" s="195">
        <v>25.0</v>
      </c>
      <c r="C899" s="521">
        <f t="shared" si="62"/>
        <v>45.45454545</v>
      </c>
      <c r="D899" s="1653"/>
      <c r="E899" s="249" t="s">
        <v>18</v>
      </c>
      <c r="F899" s="47"/>
      <c r="G899" s="1"/>
      <c r="H899" s="93" t="s">
        <v>1176</v>
      </c>
      <c r="I899" s="195">
        <v>25.0</v>
      </c>
      <c r="J899" s="521">
        <f t="shared" si="63"/>
        <v>4.545454545</v>
      </c>
      <c r="K899" s="249" t="s">
        <v>18</v>
      </c>
      <c r="L899" s="1"/>
    </row>
    <row r="900" ht="15.0" customHeight="1">
      <c r="A900" s="93" t="s">
        <v>1746</v>
      </c>
      <c r="B900" s="195">
        <v>15.0</v>
      </c>
      <c r="C900" s="521">
        <f t="shared" si="62"/>
        <v>27.27272727</v>
      </c>
      <c r="D900" s="1653"/>
      <c r="E900" s="249" t="s">
        <v>18</v>
      </c>
      <c r="F900" s="47"/>
      <c r="G900" s="1"/>
      <c r="H900" s="93" t="s">
        <v>1746</v>
      </c>
      <c r="I900" s="195">
        <v>15.0</v>
      </c>
      <c r="J900" s="521">
        <f t="shared" si="63"/>
        <v>2.727272727</v>
      </c>
      <c r="K900" s="249" t="s">
        <v>18</v>
      </c>
      <c r="L900" s="1"/>
    </row>
    <row r="901" ht="15.0" customHeight="1">
      <c r="A901" s="138" t="s">
        <v>1747</v>
      </c>
      <c r="B901" s="279">
        <v>15.0</v>
      </c>
      <c r="C901" s="842">
        <f t="shared" si="62"/>
        <v>27.27272727</v>
      </c>
      <c r="D901" s="1655"/>
      <c r="E901" s="242" t="s">
        <v>18</v>
      </c>
      <c r="F901" s="47"/>
      <c r="G901" s="1"/>
      <c r="H901" s="138" t="s">
        <v>1747</v>
      </c>
      <c r="I901" s="279">
        <v>15.0</v>
      </c>
      <c r="J901" s="842">
        <f t="shared" si="63"/>
        <v>2.727272727</v>
      </c>
      <c r="K901" s="242" t="s">
        <v>18</v>
      </c>
      <c r="L901" s="1"/>
    </row>
    <row r="902" ht="15.0" customHeight="1">
      <c r="A902" s="138" t="s">
        <v>148</v>
      </c>
      <c r="B902" s="279">
        <v>160.0</v>
      </c>
      <c r="C902" s="94">
        <f t="shared" si="62"/>
        <v>290.9090909</v>
      </c>
      <c r="D902" s="1596"/>
      <c r="E902" s="1599" t="s">
        <v>18</v>
      </c>
      <c r="F902" s="47"/>
      <c r="G902" s="1"/>
      <c r="H902" s="138" t="s">
        <v>148</v>
      </c>
      <c r="I902" s="279">
        <v>160.0</v>
      </c>
      <c r="J902" s="94">
        <f t="shared" si="63"/>
        <v>29.09090909</v>
      </c>
      <c r="K902" s="1599" t="s">
        <v>18</v>
      </c>
      <c r="L902" s="1"/>
    </row>
    <row r="903" ht="15.0" customHeight="1">
      <c r="A903" s="68" t="s">
        <v>2553</v>
      </c>
      <c r="B903" s="145">
        <v>2.0</v>
      </c>
      <c r="C903" s="155">
        <f t="shared" si="62"/>
        <v>3.636363636</v>
      </c>
      <c r="D903" s="899"/>
      <c r="E903" s="1579" t="s">
        <v>14</v>
      </c>
      <c r="F903" s="47"/>
      <c r="G903" s="1"/>
      <c r="H903" s="68" t="s">
        <v>2553</v>
      </c>
      <c r="I903" s="145">
        <v>3.0</v>
      </c>
      <c r="J903" s="155">
        <f t="shared" si="63"/>
        <v>0.5454545455</v>
      </c>
      <c r="K903" s="1579" t="s">
        <v>14</v>
      </c>
      <c r="L903" s="1"/>
    </row>
    <row r="904" ht="15.0" customHeight="1">
      <c r="A904" s="119" t="s">
        <v>150</v>
      </c>
      <c r="B904" s="238">
        <v>3.0</v>
      </c>
      <c r="C904" s="129">
        <f t="shared" si="62"/>
        <v>5.454545455</v>
      </c>
      <c r="D904" s="1583"/>
      <c r="E904" s="1584" t="s">
        <v>14</v>
      </c>
      <c r="F904" s="47"/>
      <c r="G904" s="1"/>
      <c r="H904" s="119" t="s">
        <v>150</v>
      </c>
      <c r="I904" s="238">
        <v>4.0</v>
      </c>
      <c r="J904" s="129">
        <f t="shared" si="63"/>
        <v>0.7272727273</v>
      </c>
      <c r="K904" s="1584" t="s">
        <v>14</v>
      </c>
      <c r="L904" s="1"/>
    </row>
    <row r="905" ht="15.0" customHeight="1">
      <c r="A905" s="93" t="s">
        <v>2556</v>
      </c>
      <c r="B905" s="238">
        <v>3.0</v>
      </c>
      <c r="C905" s="78">
        <f t="shared" si="62"/>
        <v>5.454545455</v>
      </c>
      <c r="D905" s="900"/>
      <c r="E905" s="1588" t="s">
        <v>14</v>
      </c>
      <c r="F905" s="47"/>
      <c r="G905" s="1"/>
      <c r="H905" s="93" t="s">
        <v>2556</v>
      </c>
      <c r="I905" s="238">
        <v>4.0</v>
      </c>
      <c r="J905" s="78">
        <f t="shared" si="63"/>
        <v>0.7272727273</v>
      </c>
      <c r="K905" s="1588" t="s">
        <v>14</v>
      </c>
      <c r="L905" s="1"/>
    </row>
    <row r="906" ht="15.0" customHeight="1">
      <c r="A906" s="138" t="s">
        <v>1023</v>
      </c>
      <c r="B906" s="238">
        <v>3.0</v>
      </c>
      <c r="C906" s="78">
        <f t="shared" si="62"/>
        <v>5.454545455</v>
      </c>
      <c r="D906" s="900"/>
      <c r="E906" s="1588" t="s">
        <v>14</v>
      </c>
      <c r="F906" s="47"/>
      <c r="G906" s="1"/>
      <c r="H906" s="138" t="s">
        <v>329</v>
      </c>
      <c r="I906" s="418">
        <v>1.0</v>
      </c>
      <c r="J906" s="146">
        <f t="shared" si="63"/>
        <v>0.1818181818</v>
      </c>
      <c r="K906" s="1599" t="s">
        <v>14</v>
      </c>
      <c r="L906" s="1"/>
    </row>
    <row r="907" ht="15.0" customHeight="1">
      <c r="A907" s="105" t="s">
        <v>329</v>
      </c>
      <c r="B907" s="152">
        <v>1.0</v>
      </c>
      <c r="C907" s="56">
        <f t="shared" si="62"/>
        <v>1.818181818</v>
      </c>
      <c r="D907" s="1604"/>
      <c r="E907" s="1605" t="s">
        <v>14</v>
      </c>
      <c r="F907" s="76"/>
      <c r="G907" s="1"/>
      <c r="H907" s="68" t="s">
        <v>157</v>
      </c>
      <c r="I907" s="145">
        <v>25.0</v>
      </c>
      <c r="J907" s="155">
        <f t="shared" si="63"/>
        <v>4.545454545</v>
      </c>
      <c r="K907" s="1579" t="s">
        <v>5</v>
      </c>
      <c r="L907" s="1"/>
    </row>
    <row r="908" ht="15.0" customHeight="1">
      <c r="A908" s="68" t="s">
        <v>157</v>
      </c>
      <c r="B908" s="145">
        <v>25.0</v>
      </c>
      <c r="C908" s="155">
        <f t="shared" si="62"/>
        <v>45.45454545</v>
      </c>
      <c r="D908" s="899"/>
      <c r="E908" s="1579" t="s">
        <v>5</v>
      </c>
      <c r="F908" s="44" t="s">
        <v>1847</v>
      </c>
      <c r="G908" s="1"/>
      <c r="H908" s="105" t="s">
        <v>31</v>
      </c>
      <c r="I908" s="200">
        <v>550.0</v>
      </c>
      <c r="J908" s="56">
        <f t="shared" si="63"/>
        <v>100</v>
      </c>
      <c r="K908" s="1605" t="s">
        <v>18</v>
      </c>
      <c r="L908" s="1"/>
    </row>
    <row r="909" ht="15.0" customHeight="1">
      <c r="A909" s="105" t="s">
        <v>31</v>
      </c>
      <c r="B909" s="200">
        <v>550.0</v>
      </c>
      <c r="C909" s="56">
        <f t="shared" si="62"/>
        <v>1000</v>
      </c>
      <c r="D909" s="1604"/>
      <c r="E909" s="1605" t="s">
        <v>18</v>
      </c>
      <c r="F909" s="76"/>
      <c r="G909" s="1"/>
      <c r="H909" s="1"/>
      <c r="I909" s="1"/>
      <c r="J909" s="1"/>
      <c r="K909" s="1"/>
      <c r="L909" s="1"/>
    </row>
    <row r="910" ht="15.0" customHeight="1">
      <c r="A910" s="1873" t="s">
        <v>119</v>
      </c>
      <c r="B910" s="1874" t="s">
        <v>47</v>
      </c>
      <c r="C910" s="184"/>
      <c r="D910" s="184"/>
      <c r="E910" s="1"/>
      <c r="F910" s="1"/>
      <c r="G910" s="1"/>
      <c r="H910" s="1"/>
      <c r="I910" s="1"/>
      <c r="J910" s="1"/>
      <c r="K910" s="1"/>
      <c r="L910" s="1"/>
    </row>
    <row r="911" ht="15.75" customHeight="1">
      <c r="A911" s="1"/>
      <c r="B911" s="107"/>
      <c r="C911" s="184"/>
      <c r="D911" s="184"/>
      <c r="E911" s="1"/>
      <c r="F911" s="1"/>
      <c r="G911" s="1"/>
      <c r="H911" s="1"/>
      <c r="I911" s="1"/>
      <c r="J911" s="1"/>
      <c r="K911" s="1"/>
      <c r="L911" s="1"/>
    </row>
    <row r="912" ht="15.75" customHeight="1">
      <c r="A912" s="1"/>
      <c r="B912" s="107"/>
      <c r="C912" s="184"/>
      <c r="D912" s="184"/>
      <c r="E912" s="1"/>
      <c r="F912" s="1"/>
      <c r="G912" s="1"/>
      <c r="H912" s="1"/>
      <c r="I912" s="1"/>
      <c r="J912" s="1"/>
      <c r="K912" s="1"/>
      <c r="L912" s="1"/>
    </row>
    <row r="913" ht="15.0" customHeight="1">
      <c r="A913" s="1"/>
      <c r="B913" s="107"/>
      <c r="C913" s="184"/>
      <c r="D913" s="184"/>
      <c r="E913" s="1"/>
      <c r="F913" s="1"/>
      <c r="G913" s="1"/>
      <c r="H913" s="1"/>
      <c r="I913" s="1"/>
      <c r="J913" s="1"/>
      <c r="K913" s="1"/>
      <c r="L913" s="1"/>
    </row>
    <row r="914" ht="15.0" customHeight="1">
      <c r="A914" s="203" t="s">
        <v>49</v>
      </c>
      <c r="B914" s="1363">
        <v>42969.0</v>
      </c>
      <c r="C914" s="184"/>
      <c r="D914" s="184"/>
      <c r="E914" s="1"/>
      <c r="F914" s="1"/>
      <c r="G914" s="1"/>
      <c r="H914" s="1"/>
      <c r="I914" s="1"/>
      <c r="J914" s="1"/>
      <c r="K914" s="1"/>
      <c r="L914" s="1"/>
    </row>
    <row r="915" ht="15.0" customHeight="1">
      <c r="A915" s="203" t="s">
        <v>50</v>
      </c>
      <c r="B915" s="1363">
        <v>42971.0</v>
      </c>
      <c r="C915" s="184"/>
      <c r="D915" s="184"/>
      <c r="E915" s="1"/>
      <c r="F915" s="1"/>
      <c r="G915" s="1"/>
      <c r="H915" s="1"/>
      <c r="I915" s="1"/>
      <c r="J915" s="1"/>
      <c r="K915" s="1"/>
      <c r="L915" s="1"/>
    </row>
    <row r="916" ht="15.75" customHeight="1">
      <c r="A916" s="1"/>
      <c r="B916" s="107"/>
      <c r="C916" s="184"/>
      <c r="D916" s="184"/>
      <c r="E916" s="1"/>
      <c r="F916" s="1"/>
      <c r="G916" s="1"/>
      <c r="H916" s="1"/>
      <c r="I916" s="1"/>
      <c r="J916" s="1"/>
      <c r="K916" s="1"/>
      <c r="L916" s="1"/>
    </row>
    <row r="917" ht="15.75" customHeight="1">
      <c r="A917" s="1"/>
      <c r="B917" s="107"/>
      <c r="C917" s="184"/>
      <c r="D917" s="184"/>
      <c r="E917" s="1"/>
      <c r="F917" s="1"/>
      <c r="G917" s="1"/>
      <c r="H917" s="1"/>
      <c r="I917" s="1"/>
      <c r="J917" s="1"/>
      <c r="K917" s="1"/>
      <c r="L917" s="1"/>
    </row>
    <row r="918" ht="15.75" customHeight="1">
      <c r="A918" s="1"/>
      <c r="B918" s="107"/>
      <c r="C918" s="184"/>
      <c r="D918" s="184"/>
      <c r="E918" s="1"/>
      <c r="F918" s="1"/>
      <c r="G918" s="1"/>
      <c r="H918" s="1"/>
      <c r="I918" s="1"/>
      <c r="J918" s="1"/>
      <c r="K918" s="1"/>
      <c r="L918" s="1"/>
    </row>
    <row r="919" ht="15.0" customHeight="1">
      <c r="A919" s="1"/>
      <c r="B919" s="107"/>
      <c r="C919" s="184"/>
      <c r="D919" s="184"/>
      <c r="E919" s="1"/>
      <c r="F919" s="1"/>
      <c r="G919" s="1"/>
      <c r="H919" s="1"/>
      <c r="I919" s="1"/>
      <c r="J919" s="1"/>
      <c r="K919" s="1"/>
      <c r="L919" s="1"/>
    </row>
    <row r="920" ht="15.0" customHeight="1">
      <c r="A920" s="511"/>
      <c r="B920" s="18"/>
      <c r="C920" s="18"/>
      <c r="D920" s="18"/>
      <c r="E920" s="19"/>
      <c r="F920" s="1264"/>
      <c r="G920" s="1"/>
      <c r="H920" s="511" t="s">
        <v>2580</v>
      </c>
      <c r="I920" s="18"/>
      <c r="J920" s="18"/>
      <c r="K920" s="19"/>
      <c r="L920" s="1"/>
    </row>
    <row r="921" ht="15.0" customHeight="1">
      <c r="A921" s="173"/>
      <c r="B921" s="545"/>
      <c r="C921" s="545"/>
      <c r="D921" s="180"/>
      <c r="E921" s="547"/>
      <c r="F921" s="1"/>
      <c r="G921" s="1"/>
      <c r="H921" s="173" t="s">
        <v>1</v>
      </c>
      <c r="I921" s="545">
        <v>10.0</v>
      </c>
      <c r="J921" s="179">
        <v>200.0</v>
      </c>
      <c r="K921" s="547" t="s">
        <v>5</v>
      </c>
      <c r="L921" s="1"/>
    </row>
    <row r="922" ht="15.0" customHeight="1">
      <c r="A922" s="68"/>
      <c r="B922" s="210"/>
      <c r="C922" s="210"/>
      <c r="D922" s="81"/>
      <c r="E922" s="216"/>
      <c r="F922" s="1"/>
      <c r="G922" s="1"/>
      <c r="H922" s="68" t="s">
        <v>53</v>
      </c>
      <c r="I922" s="210">
        <v>2.25</v>
      </c>
      <c r="J922" s="155">
        <f t="shared" ref="J922:J929" si="64">J921*I922/I921</f>
        <v>45</v>
      </c>
      <c r="K922" s="216" t="s">
        <v>14</v>
      </c>
      <c r="L922" s="1"/>
    </row>
    <row r="923" ht="15.0" customHeight="1">
      <c r="A923" s="93"/>
      <c r="B923" s="247"/>
      <c r="C923" s="247"/>
      <c r="D923" s="95"/>
      <c r="E923" s="249"/>
      <c r="F923" s="1"/>
      <c r="G923" s="1"/>
      <c r="H923" s="93" t="s">
        <v>2584</v>
      </c>
      <c r="I923" s="247">
        <v>0.15</v>
      </c>
      <c r="J923" s="78">
        <f t="shared" si="64"/>
        <v>3</v>
      </c>
      <c r="K923" s="249" t="s">
        <v>14</v>
      </c>
      <c r="L923" s="1"/>
    </row>
    <row r="924" ht="15.0" customHeight="1">
      <c r="A924" s="105"/>
      <c r="B924" s="522"/>
      <c r="C924" s="522"/>
      <c r="D924" s="114"/>
      <c r="E924" s="518"/>
      <c r="F924" s="1"/>
      <c r="G924" s="1"/>
      <c r="H924" s="105" t="s">
        <v>947</v>
      </c>
      <c r="I924" s="522">
        <v>0.15</v>
      </c>
      <c r="J924" s="56">
        <f t="shared" si="64"/>
        <v>3</v>
      </c>
      <c r="K924" s="518" t="s">
        <v>14</v>
      </c>
      <c r="L924" s="1"/>
    </row>
    <row r="925" ht="15.0" customHeight="1">
      <c r="A925" s="68"/>
      <c r="B925" s="210"/>
      <c r="C925" s="210"/>
      <c r="D925" s="81"/>
      <c r="E925" s="216"/>
      <c r="F925" s="1"/>
      <c r="G925" s="1"/>
      <c r="H925" s="68" t="s">
        <v>2585</v>
      </c>
      <c r="I925" s="210">
        <v>0.25</v>
      </c>
      <c r="J925" s="155">
        <f t="shared" si="64"/>
        <v>5</v>
      </c>
      <c r="K925" s="216" t="s">
        <v>5</v>
      </c>
      <c r="L925" s="1"/>
    </row>
    <row r="926" ht="15.0" customHeight="1">
      <c r="A926" s="93"/>
      <c r="B926" s="247"/>
      <c r="C926" s="247"/>
      <c r="D926" s="95"/>
      <c r="E926" s="249"/>
      <c r="F926" s="1"/>
      <c r="G926" s="1"/>
      <c r="H926" s="93" t="s">
        <v>2587</v>
      </c>
      <c r="I926" s="247">
        <v>0.05</v>
      </c>
      <c r="J926" s="78">
        <f t="shared" si="64"/>
        <v>1</v>
      </c>
      <c r="K926" s="249" t="s">
        <v>14</v>
      </c>
      <c r="L926" s="1"/>
    </row>
    <row r="927" ht="15.0" customHeight="1">
      <c r="A927" s="93"/>
      <c r="B927" s="247"/>
      <c r="C927" s="247"/>
      <c r="D927" s="95"/>
      <c r="E927" s="249"/>
      <c r="F927" s="1"/>
      <c r="G927" s="1"/>
      <c r="H927" s="93" t="s">
        <v>1046</v>
      </c>
      <c r="I927" s="247">
        <v>0.05</v>
      </c>
      <c r="J927" s="78">
        <f t="shared" si="64"/>
        <v>1</v>
      </c>
      <c r="K927" s="249" t="s">
        <v>14</v>
      </c>
      <c r="L927" s="1"/>
    </row>
    <row r="928" ht="15.0" customHeight="1">
      <c r="A928" s="93"/>
      <c r="B928" s="247"/>
      <c r="C928" s="247"/>
      <c r="D928" s="95"/>
      <c r="E928" s="249"/>
      <c r="F928" s="1"/>
      <c r="G928" s="1"/>
      <c r="H928" s="1626" t="s">
        <v>98</v>
      </c>
      <c r="I928" s="528">
        <v>30.0</v>
      </c>
      <c r="J928" s="529">
        <f t="shared" si="64"/>
        <v>600</v>
      </c>
      <c r="K928" s="1635" t="s">
        <v>18</v>
      </c>
      <c r="L928" s="1"/>
    </row>
    <row r="929" ht="15.0" customHeight="1">
      <c r="A929" s="93"/>
      <c r="B929" s="247"/>
      <c r="C929" s="247"/>
      <c r="D929" s="95"/>
      <c r="E929" s="249"/>
      <c r="F929" s="1"/>
      <c r="G929" s="1"/>
      <c r="H929" s="93" t="s">
        <v>2588</v>
      </c>
      <c r="I929" s="247">
        <v>5.0</v>
      </c>
      <c r="J929" s="78">
        <f t="shared" si="64"/>
        <v>100</v>
      </c>
      <c r="K929" s="249" t="s">
        <v>18</v>
      </c>
      <c r="L929" s="1"/>
    </row>
    <row r="930" ht="15.0" customHeight="1">
      <c r="A930" s="93"/>
      <c r="B930" s="247"/>
      <c r="C930" s="247"/>
      <c r="D930" s="95"/>
      <c r="E930" s="249"/>
      <c r="F930" s="1"/>
      <c r="G930" s="1"/>
      <c r="H930" s="1626" t="s">
        <v>2589</v>
      </c>
      <c r="I930" s="528">
        <v>60.0</v>
      </c>
      <c r="J930" s="529">
        <f t="shared" ref="J930:J932" si="65">J927*I930/I927</f>
        <v>1200</v>
      </c>
      <c r="K930" s="1635" t="s">
        <v>18</v>
      </c>
      <c r="L930" s="1"/>
    </row>
    <row r="931" ht="15.0" customHeight="1">
      <c r="A931" s="93"/>
      <c r="B931" s="247"/>
      <c r="C931" s="247"/>
      <c r="D931" s="95"/>
      <c r="E931" s="249"/>
      <c r="F931" s="1"/>
      <c r="G931" s="1"/>
      <c r="H931" s="93" t="s">
        <v>13</v>
      </c>
      <c r="I931" s="247">
        <v>0.1</v>
      </c>
      <c r="J931" s="78">
        <f t="shared" si="65"/>
        <v>2</v>
      </c>
      <c r="K931" s="249" t="s">
        <v>14</v>
      </c>
      <c r="L931" s="1"/>
    </row>
    <row r="932" ht="15.0" customHeight="1">
      <c r="A932" s="93"/>
      <c r="B932" s="247"/>
      <c r="C932" s="247"/>
      <c r="D932" s="95"/>
      <c r="E932" s="249"/>
      <c r="F932" s="1"/>
      <c r="G932" s="1"/>
      <c r="H932" s="93" t="s">
        <v>31</v>
      </c>
      <c r="I932" s="247">
        <v>0.1</v>
      </c>
      <c r="J932" s="78">
        <f t="shared" si="65"/>
        <v>2</v>
      </c>
      <c r="K932" s="249" t="s">
        <v>14</v>
      </c>
      <c r="L932" s="1"/>
    </row>
    <row r="933" ht="15.0" customHeight="1">
      <c r="A933" s="105"/>
      <c r="B933" s="522"/>
      <c r="C933" s="522"/>
      <c r="D933" s="114"/>
      <c r="E933" s="518"/>
      <c r="F933" s="1"/>
      <c r="G933" s="1"/>
      <c r="H933" s="93" t="s">
        <v>2591</v>
      </c>
      <c r="I933" s="247">
        <v>3.0</v>
      </c>
      <c r="J933" s="78">
        <f t="shared" ref="J933:J935" si="66">J932*I933/I932</f>
        <v>60</v>
      </c>
      <c r="K933" s="249" t="s">
        <v>18</v>
      </c>
      <c r="L933" s="1"/>
    </row>
    <row r="934" ht="15.0" customHeight="1">
      <c r="A934" s="342" t="s">
        <v>49</v>
      </c>
      <c r="B934" s="2345">
        <v>43554.0</v>
      </c>
      <c r="C934" s="2345"/>
      <c r="D934" s="2346"/>
      <c r="E934" s="1"/>
      <c r="F934" s="763"/>
      <c r="G934" s="1"/>
      <c r="H934" s="1626" t="s">
        <v>103</v>
      </c>
      <c r="I934" s="528">
        <v>14.0</v>
      </c>
      <c r="J934" s="529">
        <f t="shared" si="66"/>
        <v>280</v>
      </c>
      <c r="K934" s="1635" t="s">
        <v>18</v>
      </c>
      <c r="L934" s="1"/>
    </row>
    <row r="935" ht="15.0" customHeight="1">
      <c r="A935" s="342" t="s">
        <v>50</v>
      </c>
      <c r="B935" s="2345">
        <v>43555.0</v>
      </c>
      <c r="C935" s="2345"/>
      <c r="D935" s="2346"/>
      <c r="E935" s="1"/>
      <c r="F935" s="1"/>
      <c r="G935" s="1"/>
      <c r="H935" s="105" t="s">
        <v>59</v>
      </c>
      <c r="I935" s="522">
        <f>I922*2.7</f>
        <v>6.075</v>
      </c>
      <c r="J935" s="56">
        <f t="shared" si="66"/>
        <v>121.5</v>
      </c>
      <c r="K935" s="518" t="s">
        <v>5</v>
      </c>
      <c r="L935" s="1"/>
    </row>
    <row r="936" ht="15.0" customHeight="1">
      <c r="A936" s="1"/>
      <c r="B936" s="107"/>
      <c r="C936" s="184"/>
      <c r="D936" s="184"/>
      <c r="E936" s="1"/>
      <c r="F936" s="1"/>
      <c r="G936" s="1"/>
      <c r="H936" s="1"/>
      <c r="I936" s="1"/>
      <c r="J936" s="1"/>
      <c r="K936" s="1"/>
      <c r="L936" s="1"/>
    </row>
    <row r="937" ht="15.0" customHeight="1">
      <c r="A937" s="1873" t="s">
        <v>119</v>
      </c>
      <c r="B937" s="1874" t="s">
        <v>47</v>
      </c>
      <c r="C937" s="184"/>
      <c r="D937" s="184"/>
      <c r="E937" s="1"/>
      <c r="F937" s="1"/>
      <c r="G937" s="1"/>
      <c r="H937" s="1"/>
      <c r="I937" s="1"/>
      <c r="J937" s="1"/>
      <c r="K937" s="1"/>
      <c r="L937" s="1"/>
    </row>
    <row r="938" ht="15.75" customHeight="1">
      <c r="A938" s="1"/>
      <c r="B938" s="107"/>
      <c r="C938" s="184"/>
      <c r="D938" s="184"/>
      <c r="E938" s="1"/>
      <c r="F938" s="1"/>
      <c r="G938" s="1"/>
      <c r="H938" s="1"/>
      <c r="I938" s="1"/>
      <c r="J938" s="1"/>
      <c r="K938" s="1"/>
      <c r="L938" s="1"/>
    </row>
    <row r="939" ht="15.75" customHeight="1">
      <c r="A939" s="1"/>
      <c r="B939" s="107"/>
      <c r="C939" s="184"/>
      <c r="D939" s="184"/>
      <c r="E939" s="1"/>
      <c r="F939" s="1"/>
      <c r="G939" s="1"/>
      <c r="H939" s="1"/>
      <c r="I939" s="1"/>
      <c r="J939" s="1"/>
      <c r="K939" s="1"/>
      <c r="L939" s="1"/>
    </row>
    <row r="940" ht="15.75" customHeight="1">
      <c r="A940" s="1"/>
      <c r="B940" s="107"/>
      <c r="C940" s="184"/>
      <c r="D940" s="184"/>
      <c r="E940" s="1"/>
      <c r="F940" s="1"/>
      <c r="G940" s="1"/>
      <c r="H940" s="1"/>
      <c r="I940" s="1"/>
      <c r="J940" s="1"/>
      <c r="K940" s="1"/>
      <c r="L940" s="1"/>
    </row>
    <row r="941" ht="15.0" customHeight="1">
      <c r="A941" s="1"/>
      <c r="B941" s="107"/>
      <c r="C941" s="184"/>
      <c r="D941" s="184"/>
      <c r="E941" s="1"/>
      <c r="F941" s="1"/>
      <c r="G941" s="1"/>
      <c r="H941" s="1"/>
      <c r="I941" s="1"/>
      <c r="J941" s="1"/>
      <c r="K941" s="1"/>
      <c r="L941" s="1"/>
    </row>
    <row r="942" ht="15.0" customHeight="1">
      <c r="A942" s="1169" t="s">
        <v>2598</v>
      </c>
      <c r="B942" s="5"/>
      <c r="C942" s="5"/>
      <c r="D942" s="5"/>
      <c r="E942" s="6"/>
      <c r="F942" s="1"/>
      <c r="G942" s="1"/>
      <c r="H942" s="1"/>
      <c r="I942" s="1"/>
      <c r="J942" s="1"/>
      <c r="K942" s="1"/>
      <c r="L942" s="1"/>
    </row>
    <row r="943" ht="15.0" customHeight="1">
      <c r="A943" s="173" t="s">
        <v>1</v>
      </c>
      <c r="B943" s="275">
        <v>70.0</v>
      </c>
      <c r="C943" s="546">
        <v>100.0</v>
      </c>
      <c r="D943" s="1808"/>
      <c r="E943" s="547" t="s">
        <v>5</v>
      </c>
      <c r="F943" s="1"/>
      <c r="G943" s="1"/>
      <c r="H943" s="1"/>
      <c r="I943" s="1"/>
      <c r="J943" s="1"/>
      <c r="K943" s="1"/>
      <c r="L943" s="1"/>
    </row>
    <row r="944" ht="15.0" customHeight="1">
      <c r="A944" s="173" t="s">
        <v>2503</v>
      </c>
      <c r="B944" s="275">
        <v>11.0</v>
      </c>
      <c r="C944" s="546">
        <f t="shared" ref="C944:C965" si="67">(B944*C943)/B943</f>
        <v>15.71428571</v>
      </c>
      <c r="D944" s="1808"/>
      <c r="E944" s="547" t="s">
        <v>14</v>
      </c>
      <c r="F944" s="1"/>
      <c r="G944" s="1"/>
      <c r="H944" s="1"/>
      <c r="I944" s="1"/>
      <c r="J944" s="1"/>
      <c r="K944" s="1"/>
      <c r="L944" s="1"/>
    </row>
    <row r="945" ht="15.0" customHeight="1">
      <c r="A945" s="68" t="s">
        <v>91</v>
      </c>
      <c r="B945" s="145">
        <v>2.5</v>
      </c>
      <c r="C945" s="516">
        <f t="shared" si="67"/>
        <v>3.571428571</v>
      </c>
      <c r="D945" s="1652"/>
      <c r="E945" s="216" t="s">
        <v>5</v>
      </c>
      <c r="F945" s="1"/>
      <c r="G945" s="1"/>
      <c r="H945" s="1"/>
      <c r="I945" s="1"/>
      <c r="J945" s="1"/>
      <c r="K945" s="1"/>
      <c r="L945" s="1"/>
    </row>
    <row r="946" ht="15.0" customHeight="1">
      <c r="A946" s="93" t="s">
        <v>97</v>
      </c>
      <c r="B946" s="195">
        <v>75.0</v>
      </c>
      <c r="C946" s="521">
        <f t="shared" si="67"/>
        <v>107.1428571</v>
      </c>
      <c r="D946" s="1653"/>
      <c r="E946" s="249" t="s">
        <v>18</v>
      </c>
      <c r="F946" s="1"/>
      <c r="G946" s="1"/>
      <c r="H946" s="1"/>
      <c r="I946" s="1"/>
      <c r="J946" s="1"/>
      <c r="K946" s="1"/>
      <c r="L946" s="1"/>
    </row>
    <row r="947" ht="15.0" customHeight="1">
      <c r="A947" s="93" t="s">
        <v>98</v>
      </c>
      <c r="B947" s="195">
        <v>75.0</v>
      </c>
      <c r="C947" s="521">
        <f t="shared" si="67"/>
        <v>107.1428571</v>
      </c>
      <c r="D947" s="1653"/>
      <c r="E947" s="249" t="s">
        <v>18</v>
      </c>
      <c r="F947" s="1"/>
      <c r="G947" s="1"/>
      <c r="H947" s="1"/>
      <c r="I947" s="1"/>
      <c r="J947" s="1"/>
      <c r="K947" s="1"/>
      <c r="L947" s="1"/>
    </row>
    <row r="948" ht="15.0" customHeight="1">
      <c r="A948" s="93" t="s">
        <v>1348</v>
      </c>
      <c r="B948" s="195">
        <v>200.0</v>
      </c>
      <c r="C948" s="521">
        <f t="shared" si="67"/>
        <v>285.7142857</v>
      </c>
      <c r="D948" s="1653"/>
      <c r="E948" s="249" t="s">
        <v>82</v>
      </c>
      <c r="F948" s="1"/>
      <c r="G948" s="1"/>
      <c r="H948" s="1"/>
      <c r="I948" s="1"/>
      <c r="J948" s="1"/>
      <c r="K948" s="1"/>
      <c r="L948" s="1"/>
    </row>
    <row r="949" ht="15.0" customHeight="1">
      <c r="A949" s="93" t="s">
        <v>2604</v>
      </c>
      <c r="B949" s="195">
        <v>3.0</v>
      </c>
      <c r="C949" s="521">
        <f t="shared" si="67"/>
        <v>4.285714286</v>
      </c>
      <c r="D949" s="1653"/>
      <c r="E949" s="249" t="s">
        <v>2334</v>
      </c>
      <c r="F949" s="1"/>
      <c r="G949" s="1"/>
      <c r="H949" s="1"/>
      <c r="I949" s="1"/>
      <c r="J949" s="1"/>
      <c r="K949" s="1"/>
      <c r="L949" s="1"/>
    </row>
    <row r="950" ht="15.0" customHeight="1">
      <c r="A950" s="138" t="s">
        <v>391</v>
      </c>
      <c r="B950" s="279">
        <v>200.0</v>
      </c>
      <c r="C950" s="842">
        <f t="shared" si="67"/>
        <v>285.7142857</v>
      </c>
      <c r="D950" s="1655"/>
      <c r="E950" s="242" t="s">
        <v>18</v>
      </c>
      <c r="F950" s="1"/>
      <c r="G950" s="1"/>
      <c r="H950" s="1"/>
      <c r="I950" s="1"/>
      <c r="J950" s="1"/>
      <c r="K950" s="1"/>
      <c r="L950" s="1"/>
    </row>
    <row r="951" ht="15.0" customHeight="1">
      <c r="A951" s="68" t="s">
        <v>2606</v>
      </c>
      <c r="B951" s="145">
        <v>2.5</v>
      </c>
      <c r="C951" s="516">
        <f t="shared" si="67"/>
        <v>3.571428571</v>
      </c>
      <c r="D951" s="1652"/>
      <c r="E951" s="216" t="s">
        <v>366</v>
      </c>
      <c r="F951" s="1"/>
      <c r="G951" s="1"/>
      <c r="H951" s="1"/>
      <c r="I951" s="1"/>
      <c r="J951" s="1"/>
      <c r="K951" s="1"/>
      <c r="L951" s="1"/>
    </row>
    <row r="952" ht="15.0" customHeight="1">
      <c r="A952" s="93" t="s">
        <v>1169</v>
      </c>
      <c r="B952" s="195">
        <v>2.5</v>
      </c>
      <c r="C952" s="521">
        <f t="shared" si="67"/>
        <v>3.571428571</v>
      </c>
      <c r="D952" s="1653"/>
      <c r="E952" s="249" t="s">
        <v>366</v>
      </c>
      <c r="F952" s="1"/>
      <c r="G952" s="1"/>
      <c r="H952" s="1"/>
      <c r="I952" s="1"/>
      <c r="J952" s="1"/>
      <c r="K952" s="1"/>
      <c r="L952" s="1"/>
    </row>
    <row r="953" ht="15.0" customHeight="1">
      <c r="A953" s="93" t="s">
        <v>1167</v>
      </c>
      <c r="B953" s="195">
        <v>3.5</v>
      </c>
      <c r="C953" s="521">
        <f t="shared" si="67"/>
        <v>5</v>
      </c>
      <c r="D953" s="1653"/>
      <c r="E953" s="249" t="s">
        <v>14</v>
      </c>
      <c r="F953" s="1"/>
      <c r="G953" s="1"/>
      <c r="H953" s="1"/>
      <c r="I953" s="1"/>
      <c r="J953" s="1"/>
      <c r="K953" s="1"/>
      <c r="L953" s="1"/>
    </row>
    <row r="954" ht="15.0" customHeight="1">
      <c r="A954" s="93" t="s">
        <v>2608</v>
      </c>
      <c r="B954" s="195">
        <v>1.0</v>
      </c>
      <c r="C954" s="521">
        <f t="shared" si="67"/>
        <v>1.428571429</v>
      </c>
      <c r="D954" s="1653"/>
      <c r="E954" s="249" t="s">
        <v>14</v>
      </c>
      <c r="F954" s="1"/>
      <c r="G954" s="1"/>
      <c r="H954" s="1"/>
      <c r="I954" s="1"/>
      <c r="J954" s="1"/>
      <c r="K954" s="1"/>
      <c r="L954" s="1"/>
    </row>
    <row r="955" ht="15.0" customHeight="1">
      <c r="A955" s="93" t="s">
        <v>2609</v>
      </c>
      <c r="B955" s="195">
        <v>1.0</v>
      </c>
      <c r="C955" s="521">
        <f t="shared" si="67"/>
        <v>1.428571429</v>
      </c>
      <c r="D955" s="1653"/>
      <c r="E955" s="249" t="s">
        <v>14</v>
      </c>
      <c r="F955" s="1"/>
      <c r="G955" s="1"/>
      <c r="H955" s="1"/>
      <c r="I955" s="1"/>
      <c r="J955" s="1"/>
      <c r="K955" s="1"/>
      <c r="L955" s="1"/>
    </row>
    <row r="956" ht="15.0" customHeight="1">
      <c r="A956" s="93" t="s">
        <v>2610</v>
      </c>
      <c r="B956" s="195">
        <v>2.0</v>
      </c>
      <c r="C956" s="521">
        <f t="shared" si="67"/>
        <v>2.857142857</v>
      </c>
      <c r="D956" s="1653"/>
      <c r="E956" s="249" t="s">
        <v>366</v>
      </c>
      <c r="F956" s="1"/>
      <c r="G956" s="1"/>
      <c r="H956" s="1"/>
      <c r="I956" s="1"/>
      <c r="J956" s="1"/>
      <c r="K956" s="1"/>
      <c r="L956" s="1"/>
    </row>
    <row r="957" ht="15.0" customHeight="1">
      <c r="A957" s="93" t="s">
        <v>2612</v>
      </c>
      <c r="B957" s="195">
        <v>2.0</v>
      </c>
      <c r="C957" s="521">
        <f t="shared" si="67"/>
        <v>2.857142857</v>
      </c>
      <c r="D957" s="1653"/>
      <c r="E957" s="249" t="s">
        <v>14</v>
      </c>
      <c r="F957" s="1"/>
      <c r="G957" s="1"/>
      <c r="H957" s="1"/>
      <c r="I957" s="1"/>
      <c r="J957" s="1"/>
      <c r="K957" s="1"/>
      <c r="L957" s="1"/>
    </row>
    <row r="958" ht="15.0" customHeight="1">
      <c r="A958" s="93" t="s">
        <v>440</v>
      </c>
      <c r="B958" s="195">
        <v>1.0</v>
      </c>
      <c r="C958" s="521">
        <f t="shared" si="67"/>
        <v>1.428571429</v>
      </c>
      <c r="D958" s="1653"/>
      <c r="E958" s="249" t="s">
        <v>14</v>
      </c>
      <c r="F958" s="1"/>
      <c r="G958" s="1"/>
      <c r="H958" s="1"/>
      <c r="I958" s="1"/>
      <c r="J958" s="1"/>
      <c r="K958" s="1"/>
      <c r="L958" s="1"/>
    </row>
    <row r="959" ht="15.0" customHeight="1">
      <c r="A959" s="119" t="s">
        <v>52</v>
      </c>
      <c r="B959" s="238">
        <v>28.0</v>
      </c>
      <c r="C959" s="521">
        <f t="shared" si="67"/>
        <v>40</v>
      </c>
      <c r="D959" s="1657"/>
      <c r="E959" s="520" t="s">
        <v>18</v>
      </c>
      <c r="F959" s="1"/>
      <c r="G959" s="1"/>
      <c r="H959" s="1"/>
      <c r="I959" s="1"/>
      <c r="J959" s="1"/>
      <c r="K959" s="1"/>
      <c r="L959" s="1"/>
    </row>
    <row r="960" ht="15.0" customHeight="1">
      <c r="A960" s="2364" t="s">
        <v>2613</v>
      </c>
      <c r="B960" s="195">
        <v>420.0</v>
      </c>
      <c r="C960" s="521">
        <f t="shared" si="67"/>
        <v>600</v>
      </c>
      <c r="D960" s="1653"/>
      <c r="E960" s="249" t="s">
        <v>18</v>
      </c>
      <c r="F960" s="1"/>
      <c r="G960" s="1"/>
      <c r="H960" s="1"/>
      <c r="I960" s="1"/>
      <c r="J960" s="1"/>
      <c r="K960" s="1"/>
      <c r="L960" s="1"/>
    </row>
    <row r="961" ht="15.0" customHeight="1">
      <c r="A961" s="138" t="s">
        <v>501</v>
      </c>
      <c r="B961" s="1554">
        <v>200.0</v>
      </c>
      <c r="C961" s="842">
        <f t="shared" si="67"/>
        <v>285.7142857</v>
      </c>
      <c r="D961" s="1655"/>
      <c r="E961" s="242" t="s">
        <v>18</v>
      </c>
      <c r="F961" s="1"/>
      <c r="G961" s="1"/>
      <c r="H961" s="1"/>
      <c r="I961" s="1"/>
      <c r="J961" s="1"/>
      <c r="K961" s="1"/>
      <c r="L961" s="1"/>
    </row>
    <row r="962" ht="15.0" customHeight="1">
      <c r="A962" s="68" t="s">
        <v>157</v>
      </c>
      <c r="B962" s="145">
        <f>B944*2.8</f>
        <v>30.8</v>
      </c>
      <c r="C962" s="516">
        <f t="shared" si="67"/>
        <v>44</v>
      </c>
      <c r="D962" s="1652"/>
      <c r="E962" s="216" t="s">
        <v>5</v>
      </c>
      <c r="F962" s="1"/>
      <c r="G962" s="1"/>
      <c r="H962" s="1"/>
      <c r="I962" s="1"/>
      <c r="J962" s="1"/>
      <c r="K962" s="1"/>
      <c r="L962" s="1"/>
    </row>
    <row r="963" ht="15.0" customHeight="1">
      <c r="A963" s="105" t="s">
        <v>31</v>
      </c>
      <c r="B963" s="200">
        <v>800.0</v>
      </c>
      <c r="C963" s="517">
        <f t="shared" si="67"/>
        <v>1142.857143</v>
      </c>
      <c r="D963" s="1656"/>
      <c r="E963" s="518" t="s">
        <v>18</v>
      </c>
      <c r="F963" s="1"/>
      <c r="G963" s="1"/>
      <c r="H963" s="1"/>
      <c r="I963" s="1"/>
      <c r="J963" s="1"/>
      <c r="K963" s="1"/>
      <c r="L963" s="1"/>
    </row>
    <row r="964" ht="15.0" customHeight="1">
      <c r="A964" s="68" t="s">
        <v>2100</v>
      </c>
      <c r="B964" s="145">
        <v>0.5</v>
      </c>
      <c r="C964" s="516">
        <f t="shared" si="67"/>
        <v>0.7142857143</v>
      </c>
      <c r="D964" s="1652"/>
      <c r="E964" s="216" t="s">
        <v>14</v>
      </c>
      <c r="F964" s="1"/>
      <c r="G964" s="1"/>
      <c r="H964" s="1"/>
      <c r="I964" s="1"/>
      <c r="J964" s="1"/>
      <c r="K964" s="1"/>
      <c r="L964" s="1"/>
    </row>
    <row r="965" ht="15.0" customHeight="1">
      <c r="A965" s="105" t="s">
        <v>114</v>
      </c>
      <c r="B965" s="200">
        <v>2.0</v>
      </c>
      <c r="C965" s="517">
        <f t="shared" si="67"/>
        <v>2.857142857</v>
      </c>
      <c r="D965" s="1656"/>
      <c r="E965" s="518" t="s">
        <v>5</v>
      </c>
      <c r="F965" s="1"/>
      <c r="G965" s="1"/>
      <c r="H965" s="1"/>
      <c r="I965" s="1"/>
      <c r="J965" s="1"/>
      <c r="K965" s="1"/>
      <c r="L965" s="1"/>
    </row>
    <row r="966" ht="15.0" customHeight="1">
      <c r="A966" s="342" t="s">
        <v>49</v>
      </c>
      <c r="B966" s="2345">
        <v>43554.0</v>
      </c>
      <c r="C966" s="2345"/>
      <c r="D966" s="2346"/>
      <c r="E966" s="1"/>
      <c r="F966" s="1"/>
      <c r="G966" s="1"/>
      <c r="H966" s="1"/>
      <c r="I966" s="1"/>
      <c r="J966" s="1"/>
      <c r="K966" s="1"/>
      <c r="L966" s="1"/>
    </row>
    <row r="967" ht="15.0" customHeight="1">
      <c r="A967" s="342" t="s">
        <v>50</v>
      </c>
      <c r="B967" s="2345">
        <v>43661.0</v>
      </c>
      <c r="C967" s="2345"/>
      <c r="D967" s="2346"/>
      <c r="E967" s="1"/>
      <c r="F967" s="1"/>
      <c r="G967" s="1"/>
      <c r="H967" s="1"/>
      <c r="I967" s="1"/>
      <c r="J967" s="1"/>
      <c r="K967" s="1"/>
      <c r="L967" s="1"/>
    </row>
    <row r="968" ht="15.0" customHeight="1">
      <c r="A968" s="1"/>
      <c r="B968" s="107"/>
      <c r="C968" s="184"/>
      <c r="D968" s="184"/>
      <c r="E968" s="1"/>
      <c r="F968" s="1"/>
      <c r="G968" s="1"/>
      <c r="H968" s="1"/>
      <c r="I968" s="1"/>
      <c r="J968" s="1"/>
      <c r="K968" s="1"/>
      <c r="L968" s="1"/>
    </row>
    <row r="969" ht="15.0" customHeight="1">
      <c r="A969" s="1873" t="s">
        <v>119</v>
      </c>
      <c r="B969" s="1874" t="s">
        <v>47</v>
      </c>
      <c r="C969" s="184"/>
      <c r="D969" s="184"/>
      <c r="E969" s="1"/>
      <c r="F969" s="1"/>
      <c r="G969" s="1"/>
      <c r="H969" s="1"/>
      <c r="I969" s="1"/>
      <c r="J969" s="1"/>
      <c r="K969" s="1"/>
      <c r="L969" s="1"/>
    </row>
    <row r="970" ht="15.75" customHeight="1">
      <c r="A970" s="1"/>
      <c r="B970" s="107"/>
      <c r="C970" s="184"/>
      <c r="D970" s="184"/>
      <c r="E970" s="1"/>
      <c r="F970" s="1"/>
      <c r="G970" s="1"/>
      <c r="H970" s="1"/>
      <c r="I970" s="1"/>
      <c r="J970" s="1"/>
      <c r="K970" s="1"/>
      <c r="L970" s="1"/>
    </row>
    <row r="971" ht="15.75" customHeight="1">
      <c r="A971" s="1"/>
      <c r="B971" s="107"/>
      <c r="C971" s="184"/>
      <c r="D971" s="184"/>
      <c r="E971" s="1"/>
      <c r="F971" s="1"/>
      <c r="G971" s="1"/>
      <c r="H971" s="1"/>
      <c r="I971" s="1"/>
      <c r="J971" s="1"/>
      <c r="K971" s="1"/>
      <c r="L971" s="1"/>
    </row>
    <row r="972" ht="15.75" customHeight="1">
      <c r="A972" s="1"/>
      <c r="B972" s="107"/>
      <c r="C972" s="184"/>
      <c r="D972" s="184"/>
      <c r="E972" s="1"/>
      <c r="F972" s="1"/>
      <c r="G972" s="1"/>
      <c r="H972" s="1"/>
      <c r="I972" s="1"/>
      <c r="J972" s="1"/>
      <c r="K972" s="1"/>
      <c r="L972" s="1"/>
    </row>
    <row r="973" ht="15.75" customHeight="1">
      <c r="A973" s="1"/>
      <c r="B973" s="107"/>
      <c r="C973" s="184"/>
      <c r="D973" s="184"/>
      <c r="E973" s="1"/>
      <c r="F973" s="1"/>
      <c r="G973" s="1"/>
      <c r="H973" s="1"/>
      <c r="I973" s="1"/>
      <c r="J973" s="1"/>
      <c r="K973" s="1"/>
      <c r="L973" s="1"/>
    </row>
    <row r="974" ht="15.0" customHeight="1">
      <c r="A974" s="1"/>
      <c r="B974" s="107"/>
      <c r="C974" s="184"/>
      <c r="D974" s="184"/>
      <c r="E974" s="1"/>
      <c r="F974" s="1"/>
      <c r="G974" s="1"/>
      <c r="H974" s="1"/>
      <c r="I974" s="1"/>
      <c r="J974" s="1"/>
      <c r="K974" s="1"/>
      <c r="L974" s="1"/>
    </row>
    <row r="975" ht="15.0" customHeight="1">
      <c r="A975" s="1326" t="s">
        <v>2619</v>
      </c>
      <c r="B975" s="18"/>
      <c r="C975" s="18"/>
      <c r="D975" s="18"/>
      <c r="E975" s="19"/>
      <c r="F975" s="1"/>
      <c r="G975" s="1"/>
      <c r="H975" s="1"/>
      <c r="I975" s="1"/>
      <c r="J975" s="1"/>
      <c r="K975" s="1"/>
      <c r="L975" s="1"/>
    </row>
    <row r="976" ht="15.0" customHeight="1">
      <c r="A976" s="417" t="s">
        <v>1388</v>
      </c>
      <c r="B976" s="418">
        <v>18.0</v>
      </c>
      <c r="C976" s="2373">
        <v>90.0</v>
      </c>
      <c r="D976" s="2374"/>
      <c r="E976" s="2337" t="s">
        <v>5</v>
      </c>
      <c r="F976" s="1"/>
      <c r="G976" s="1"/>
      <c r="H976" s="1"/>
      <c r="I976" s="1"/>
      <c r="J976" s="1"/>
      <c r="K976" s="1"/>
      <c r="L976" s="1"/>
    </row>
    <row r="977" ht="15.0" customHeight="1">
      <c r="A977" s="68" t="s">
        <v>2625</v>
      </c>
      <c r="B977" s="145">
        <v>3.2</v>
      </c>
      <c r="C977" s="145">
        <f t="shared" ref="C977:C979" si="68">B977*C976/B976</f>
        <v>16</v>
      </c>
      <c r="D977" s="147"/>
      <c r="E977" s="1157" t="s">
        <v>366</v>
      </c>
      <c r="F977" s="2036" t="s">
        <v>2627</v>
      </c>
      <c r="G977" s="1"/>
      <c r="H977" s="1"/>
      <c r="I977" s="1"/>
      <c r="J977" s="1"/>
      <c r="K977" s="1"/>
      <c r="L977" s="1"/>
    </row>
    <row r="978" ht="15.0" customHeight="1">
      <c r="A978" s="417" t="s">
        <v>2628</v>
      </c>
      <c r="B978" s="418">
        <v>60.0</v>
      </c>
      <c r="C978" s="145">
        <f t="shared" si="68"/>
        <v>300</v>
      </c>
      <c r="D978" s="147"/>
      <c r="E978" s="1157" t="s">
        <v>82</v>
      </c>
      <c r="F978" s="47"/>
      <c r="G978" s="1"/>
      <c r="H978" s="1"/>
      <c r="I978" s="1"/>
      <c r="J978" s="1"/>
      <c r="K978" s="1"/>
      <c r="L978" s="1"/>
    </row>
    <row r="979" ht="15.0" customHeight="1">
      <c r="A979" s="138" t="s">
        <v>2630</v>
      </c>
      <c r="B979" s="279">
        <f>B976*5</f>
        <v>90</v>
      </c>
      <c r="C979" s="145">
        <f t="shared" si="68"/>
        <v>450</v>
      </c>
      <c r="D979" s="147"/>
      <c r="E979" s="1157" t="s">
        <v>18</v>
      </c>
      <c r="F979" s="47"/>
      <c r="G979" s="1"/>
      <c r="H979" s="1"/>
      <c r="I979" s="1"/>
      <c r="J979" s="1"/>
      <c r="K979" s="1"/>
      <c r="L979" s="1"/>
    </row>
    <row r="980" ht="15.0" customHeight="1">
      <c r="A980" s="138" t="s">
        <v>2632</v>
      </c>
      <c r="B980" s="279">
        <v>15.0</v>
      </c>
      <c r="C980" s="279">
        <f>B980*C977/B977</f>
        <v>75</v>
      </c>
      <c r="D980" s="280"/>
      <c r="E980" s="1219" t="s">
        <v>5</v>
      </c>
      <c r="F980" s="76"/>
      <c r="G980" s="1"/>
      <c r="H980" s="1"/>
      <c r="I980" s="1"/>
      <c r="J980" s="1"/>
      <c r="K980" s="1"/>
      <c r="L980" s="1"/>
    </row>
    <row r="981" ht="15.0" customHeight="1">
      <c r="A981" s="68" t="s">
        <v>491</v>
      </c>
      <c r="B981" s="145">
        <v>0.36</v>
      </c>
      <c r="C981" s="145">
        <f t="shared" ref="C981:C985" si="69">B981*C980/B980</f>
        <v>1.8</v>
      </c>
      <c r="D981" s="147"/>
      <c r="E981" s="1157" t="s">
        <v>5</v>
      </c>
      <c r="F981" s="1"/>
      <c r="G981" s="1"/>
      <c r="H981" s="1"/>
      <c r="I981" s="1"/>
      <c r="J981" s="1"/>
      <c r="K981" s="1"/>
      <c r="L981" s="1"/>
    </row>
    <row r="982" ht="15.0" customHeight="1">
      <c r="A982" s="93" t="s">
        <v>2636</v>
      </c>
      <c r="B982" s="195">
        <f>B976*8</f>
        <v>144</v>
      </c>
      <c r="C982" s="195">
        <f t="shared" si="69"/>
        <v>720</v>
      </c>
      <c r="D982" s="196"/>
      <c r="E982" s="1158" t="s">
        <v>18</v>
      </c>
      <c r="F982" s="1"/>
      <c r="G982" s="1"/>
      <c r="H982" s="1"/>
      <c r="I982" s="1"/>
      <c r="J982" s="1"/>
      <c r="K982" s="1"/>
      <c r="L982" s="1"/>
    </row>
    <row r="983" ht="15.0" customHeight="1">
      <c r="A983" s="93" t="s">
        <v>1893</v>
      </c>
      <c r="B983" s="195">
        <v>1.5</v>
      </c>
      <c r="C983" s="195">
        <f t="shared" si="69"/>
        <v>7.5</v>
      </c>
      <c r="D983" s="196"/>
      <c r="E983" s="1158" t="s">
        <v>366</v>
      </c>
      <c r="F983" s="1"/>
      <c r="G983" s="1"/>
      <c r="H983" s="1"/>
      <c r="I983" s="1"/>
      <c r="J983" s="1"/>
      <c r="K983" s="1"/>
      <c r="L983" s="1"/>
    </row>
    <row r="984" ht="15.0" customHeight="1">
      <c r="A984" s="93" t="s">
        <v>2639</v>
      </c>
      <c r="B984" s="195">
        <v>1.0</v>
      </c>
      <c r="C984" s="195">
        <f t="shared" si="69"/>
        <v>5</v>
      </c>
      <c r="D984" s="196"/>
      <c r="E984" s="1158" t="s">
        <v>366</v>
      </c>
      <c r="F984" s="1"/>
      <c r="G984" s="1"/>
      <c r="H984" s="1"/>
      <c r="I984" s="1"/>
      <c r="J984" s="1"/>
      <c r="K984" s="1"/>
      <c r="L984" s="1"/>
    </row>
    <row r="985" ht="15.0" customHeight="1">
      <c r="A985" s="138" t="s">
        <v>2641</v>
      </c>
      <c r="B985" s="279">
        <v>36.0</v>
      </c>
      <c r="C985" s="195">
        <f t="shared" si="69"/>
        <v>180</v>
      </c>
      <c r="D985" s="196"/>
      <c r="E985" s="1158" t="s">
        <v>18</v>
      </c>
      <c r="F985" s="1100" t="s">
        <v>2642</v>
      </c>
      <c r="G985" s="1"/>
      <c r="H985" s="1"/>
      <c r="I985" s="1"/>
      <c r="J985" s="1"/>
      <c r="K985" s="1"/>
      <c r="L985" s="1"/>
    </row>
    <row r="986" ht="15.0" customHeight="1">
      <c r="A986" s="138" t="s">
        <v>2644</v>
      </c>
      <c r="B986" s="279">
        <v>360.0</v>
      </c>
      <c r="C986" s="195">
        <f>B986*C984/B984</f>
        <v>1800</v>
      </c>
      <c r="D986" s="196"/>
      <c r="E986" s="1158" t="s">
        <v>82</v>
      </c>
      <c r="F986" s="47"/>
      <c r="G986" s="1"/>
      <c r="H986" s="1"/>
      <c r="I986" s="1"/>
      <c r="J986" s="1"/>
      <c r="K986" s="1"/>
      <c r="L986" s="1"/>
    </row>
    <row r="987" ht="15.0" customHeight="1">
      <c r="A987" s="138" t="s">
        <v>2648</v>
      </c>
      <c r="B987" s="279">
        <f>SUM(B983:B984)*12</f>
        <v>30</v>
      </c>
      <c r="C987" s="195">
        <f>B987*C986/B986</f>
        <v>150</v>
      </c>
      <c r="D987" s="196"/>
      <c r="E987" s="1158" t="s">
        <v>18</v>
      </c>
      <c r="F987" s="47"/>
      <c r="G987" s="1"/>
      <c r="H987" s="1"/>
      <c r="I987" s="1"/>
      <c r="J987" s="1"/>
      <c r="K987" s="1"/>
      <c r="L987" s="1"/>
    </row>
    <row r="988" ht="15.0" customHeight="1">
      <c r="A988" s="138" t="s">
        <v>2651</v>
      </c>
      <c r="B988" s="279">
        <f>B976*12</f>
        <v>216</v>
      </c>
      <c r="C988" s="279">
        <f>B988*C983/B983</f>
        <v>1080</v>
      </c>
      <c r="D988" s="280"/>
      <c r="E988" s="1219" t="s">
        <v>18</v>
      </c>
      <c r="F988" s="47"/>
      <c r="G988" s="1"/>
      <c r="H988" s="1"/>
      <c r="I988" s="1"/>
      <c r="J988" s="1"/>
      <c r="K988" s="1"/>
      <c r="L988" s="1"/>
    </row>
    <row r="989" ht="15.0" customHeight="1">
      <c r="A989" s="138" t="s">
        <v>2655</v>
      </c>
      <c r="B989" s="279">
        <v>100.0</v>
      </c>
      <c r="C989" s="279">
        <f t="shared" ref="C989:C990" si="70">B989*C983/B983</f>
        <v>500</v>
      </c>
      <c r="D989" s="280"/>
      <c r="E989" s="1219" t="s">
        <v>18</v>
      </c>
      <c r="F989" s="47"/>
      <c r="G989" s="1"/>
      <c r="H989" s="1"/>
      <c r="I989" s="1"/>
      <c r="J989" s="1"/>
      <c r="K989" s="1"/>
      <c r="L989" s="1"/>
    </row>
    <row r="990" ht="15.0" customHeight="1">
      <c r="A990" s="105" t="s">
        <v>2656</v>
      </c>
      <c r="B990" s="200">
        <v>1.0</v>
      </c>
      <c r="C990" s="200">
        <f t="shared" si="70"/>
        <v>5</v>
      </c>
      <c r="D990" s="202"/>
      <c r="E990" s="1182" t="s">
        <v>5</v>
      </c>
      <c r="F990" s="76"/>
      <c r="G990" s="1"/>
      <c r="H990" s="1"/>
      <c r="I990" s="1"/>
      <c r="J990" s="1"/>
      <c r="K990" s="1"/>
      <c r="L990" s="1"/>
    </row>
    <row r="991" ht="15.0" customHeight="1">
      <c r="A991" s="342" t="s">
        <v>49</v>
      </c>
      <c r="B991" s="2345">
        <v>43512.0</v>
      </c>
      <c r="C991" s="1"/>
      <c r="D991" s="1"/>
      <c r="E991" s="1"/>
      <c r="F991" s="1"/>
      <c r="G991" s="1"/>
      <c r="H991" s="1"/>
      <c r="I991" s="1"/>
      <c r="J991" s="1"/>
      <c r="K991" s="1"/>
      <c r="L991" s="1"/>
    </row>
    <row r="992" ht="15.0" customHeight="1">
      <c r="A992" s="342" t="s">
        <v>50</v>
      </c>
      <c r="B992" s="2345">
        <v>43512.0</v>
      </c>
      <c r="C992" s="1"/>
      <c r="D992" s="1"/>
      <c r="E992" s="1"/>
      <c r="F992" s="1"/>
      <c r="G992" s="1"/>
      <c r="H992" s="1"/>
      <c r="I992" s="1"/>
      <c r="J992" s="1"/>
      <c r="K992" s="1"/>
      <c r="L992" s="1"/>
    </row>
    <row r="993" ht="15.0" customHeight="1">
      <c r="A993" s="1"/>
      <c r="B993" s="107"/>
      <c r="C993" s="184"/>
      <c r="D993" s="184"/>
      <c r="E993" s="1"/>
      <c r="F993" s="1"/>
      <c r="G993" s="1"/>
      <c r="H993" s="1"/>
      <c r="I993" s="1"/>
      <c r="J993" s="1"/>
      <c r="K993" s="1"/>
      <c r="L993" s="1"/>
    </row>
    <row r="994" ht="15.0" customHeight="1">
      <c r="A994" s="1873" t="s">
        <v>119</v>
      </c>
      <c r="B994" s="1874" t="s">
        <v>47</v>
      </c>
      <c r="C994" s="184"/>
      <c r="D994" s="184"/>
      <c r="E994" s="1"/>
      <c r="F994" s="1"/>
      <c r="G994" s="1"/>
      <c r="H994" s="1"/>
      <c r="I994" s="1"/>
      <c r="J994" s="1"/>
      <c r="K994" s="1"/>
      <c r="L994" s="1"/>
    </row>
    <row r="995" ht="15.75" customHeight="1">
      <c r="A995" s="1"/>
      <c r="B995" s="107"/>
      <c r="C995" s="184"/>
      <c r="D995" s="184"/>
      <c r="E995" s="1"/>
      <c r="F995" s="1"/>
      <c r="G995" s="1"/>
      <c r="H995" s="1"/>
      <c r="I995" s="1"/>
      <c r="J995" s="1"/>
      <c r="K995" s="1"/>
      <c r="L995" s="1"/>
    </row>
    <row r="996" ht="15.75" customHeight="1">
      <c r="A996" s="1"/>
      <c r="B996" s="107"/>
      <c r="C996" s="184"/>
      <c r="D996" s="184"/>
      <c r="E996" s="1"/>
      <c r="F996" s="1"/>
      <c r="G996" s="1"/>
      <c r="H996" s="1"/>
      <c r="I996" s="1"/>
      <c r="J996" s="1"/>
      <c r="K996" s="1"/>
      <c r="L996" s="1"/>
    </row>
    <row r="997" ht="15.75" customHeight="1">
      <c r="A997" s="1"/>
      <c r="B997" s="107"/>
      <c r="C997" s="184"/>
      <c r="D997" s="184"/>
      <c r="E997" s="1"/>
      <c r="F997" s="1"/>
      <c r="G997" s="1"/>
      <c r="H997" s="1"/>
      <c r="I997" s="1"/>
      <c r="J997" s="1"/>
      <c r="K997" s="1"/>
      <c r="L997" s="1"/>
    </row>
    <row r="998" ht="15.75" customHeight="1">
      <c r="A998" s="1"/>
      <c r="B998" s="107"/>
      <c r="C998" s="184"/>
      <c r="D998" s="184"/>
      <c r="E998" s="1"/>
      <c r="F998" s="1"/>
      <c r="G998" s="1"/>
      <c r="H998" s="1"/>
      <c r="I998" s="1"/>
      <c r="J998" s="1"/>
      <c r="K998" s="1"/>
      <c r="L998" s="1"/>
    </row>
    <row r="999" ht="15.0" customHeight="1">
      <c r="A999" s="1"/>
      <c r="B999" s="107"/>
      <c r="C999" s="184"/>
      <c r="D999" s="184"/>
      <c r="E999" s="1"/>
      <c r="F999" s="1"/>
      <c r="G999" s="1"/>
      <c r="H999" s="1"/>
      <c r="I999" s="1"/>
      <c r="J999" s="1"/>
      <c r="K999" s="1"/>
      <c r="L999" s="1"/>
    </row>
    <row r="1000" ht="15.0" customHeight="1">
      <c r="A1000" s="1326" t="s">
        <v>2659</v>
      </c>
      <c r="B1000" s="18"/>
      <c r="C1000" s="18"/>
      <c r="D1000" s="18"/>
      <c r="E1000" s="19"/>
      <c r="F1000" s="1"/>
      <c r="G1000" s="1"/>
      <c r="H1000" s="1"/>
      <c r="I1000" s="1"/>
      <c r="J1000" s="1"/>
      <c r="K1000" s="1"/>
      <c r="L1000" s="1"/>
    </row>
    <row r="1001" ht="15.0" customHeight="1">
      <c r="A1001" s="417" t="s">
        <v>1388</v>
      </c>
      <c r="B1001" s="418">
        <v>8.0</v>
      </c>
      <c r="C1001" s="2373">
        <v>16.0</v>
      </c>
      <c r="D1001" s="2374"/>
      <c r="E1001" s="2337" t="s">
        <v>5</v>
      </c>
      <c r="F1001" s="1"/>
      <c r="G1001" s="1"/>
      <c r="H1001" s="1"/>
      <c r="I1001" s="1"/>
      <c r="J1001" s="1"/>
      <c r="K1001" s="1"/>
      <c r="L1001" s="1"/>
    </row>
    <row r="1002" ht="15.0" customHeight="1">
      <c r="A1002" s="68" t="s">
        <v>53</v>
      </c>
      <c r="B1002" s="145">
        <v>1.5</v>
      </c>
      <c r="C1002" s="145">
        <f t="shared" ref="C1002:C1021" si="71">B1002*C1001/B1001</f>
        <v>3</v>
      </c>
      <c r="D1002" s="147"/>
      <c r="E1002" s="1157" t="s">
        <v>366</v>
      </c>
      <c r="F1002" s="2387" t="s">
        <v>2660</v>
      </c>
      <c r="G1002" s="1"/>
      <c r="H1002" s="1"/>
      <c r="I1002" s="1"/>
      <c r="J1002" s="1"/>
      <c r="K1002" s="1"/>
      <c r="L1002" s="1"/>
    </row>
    <row r="1003" ht="15.0" customHeight="1">
      <c r="A1003" s="93" t="s">
        <v>164</v>
      </c>
      <c r="B1003" s="195">
        <f>B1002*5</f>
        <v>7.5</v>
      </c>
      <c r="C1003" s="195">
        <f t="shared" si="71"/>
        <v>15</v>
      </c>
      <c r="D1003" s="196"/>
      <c r="E1003" s="1158" t="s">
        <v>5</v>
      </c>
      <c r="F1003" s="47"/>
      <c r="G1003" s="1"/>
      <c r="H1003" s="1"/>
      <c r="I1003" s="1"/>
      <c r="J1003" s="1"/>
      <c r="K1003" s="1"/>
      <c r="L1003" s="1"/>
    </row>
    <row r="1004" ht="15.0" customHeight="1">
      <c r="A1004" s="105" t="s">
        <v>2661</v>
      </c>
      <c r="B1004" s="200">
        <v>0.15</v>
      </c>
      <c r="C1004" s="200">
        <f t="shared" si="71"/>
        <v>0.3</v>
      </c>
      <c r="D1004" s="202"/>
      <c r="E1004" s="1182" t="s">
        <v>5</v>
      </c>
      <c r="F1004" s="76"/>
      <c r="G1004" s="1"/>
      <c r="H1004" s="1"/>
      <c r="I1004" s="1"/>
      <c r="J1004" s="1"/>
      <c r="K1004" s="1"/>
      <c r="L1004" s="1"/>
    </row>
    <row r="1005" ht="15.0" customHeight="1">
      <c r="A1005" s="417" t="s">
        <v>2662</v>
      </c>
      <c r="B1005" s="418">
        <v>0.3</v>
      </c>
      <c r="C1005" s="418">
        <f t="shared" si="71"/>
        <v>0.6</v>
      </c>
      <c r="D1005" s="419"/>
      <c r="E1005" s="2337" t="s">
        <v>366</v>
      </c>
      <c r="F1005" s="2390" t="s">
        <v>2665</v>
      </c>
      <c r="G1005" s="1"/>
      <c r="H1005" s="1"/>
      <c r="I1005" s="1"/>
      <c r="J1005" s="1"/>
      <c r="K1005" s="1"/>
      <c r="L1005" s="1"/>
    </row>
    <row r="1006" ht="15.0" customHeight="1">
      <c r="A1006" s="68" t="s">
        <v>2666</v>
      </c>
      <c r="B1006" s="145">
        <v>0.1</v>
      </c>
      <c r="C1006" s="145">
        <f t="shared" si="71"/>
        <v>0.2</v>
      </c>
      <c r="D1006" s="147"/>
      <c r="E1006" s="1157" t="s">
        <v>366</v>
      </c>
      <c r="F1006" s="610" t="s">
        <v>2669</v>
      </c>
      <c r="G1006" s="1"/>
      <c r="H1006" s="1"/>
      <c r="I1006" s="1"/>
      <c r="J1006" s="1"/>
      <c r="K1006" s="1"/>
      <c r="L1006" s="1"/>
    </row>
    <row r="1007" ht="15.0" customHeight="1">
      <c r="A1007" s="93" t="s">
        <v>2677</v>
      </c>
      <c r="B1007" s="195">
        <v>0.05</v>
      </c>
      <c r="C1007" s="195">
        <f t="shared" si="71"/>
        <v>0.1</v>
      </c>
      <c r="D1007" s="196"/>
      <c r="E1007" s="1158" t="s">
        <v>366</v>
      </c>
      <c r="F1007" s="47"/>
      <c r="G1007" s="1"/>
      <c r="H1007" s="1"/>
      <c r="I1007" s="1"/>
      <c r="J1007" s="1"/>
      <c r="K1007" s="1"/>
      <c r="L1007" s="1"/>
    </row>
    <row r="1008" ht="15.0" customHeight="1">
      <c r="A1008" s="93" t="s">
        <v>2679</v>
      </c>
      <c r="B1008" s="195">
        <v>0.1</v>
      </c>
      <c r="C1008" s="195">
        <f t="shared" si="71"/>
        <v>0.2</v>
      </c>
      <c r="D1008" s="196"/>
      <c r="E1008" s="1158" t="s">
        <v>366</v>
      </c>
      <c r="F1008" s="76"/>
      <c r="G1008" s="1"/>
      <c r="H1008" s="1"/>
      <c r="I1008" s="1"/>
      <c r="J1008" s="1"/>
      <c r="K1008" s="1"/>
      <c r="L1008" s="1"/>
    </row>
    <row r="1009" ht="15.0" customHeight="1">
      <c r="A1009" s="68" t="s">
        <v>491</v>
      </c>
      <c r="B1009" s="145">
        <v>0.32</v>
      </c>
      <c r="C1009" s="145">
        <f t="shared" si="71"/>
        <v>0.64</v>
      </c>
      <c r="D1009" s="147"/>
      <c r="E1009" s="1157" t="s">
        <v>5</v>
      </c>
      <c r="F1009" s="1"/>
      <c r="G1009" s="1"/>
      <c r="H1009" s="1"/>
      <c r="I1009" s="1"/>
      <c r="J1009" s="1"/>
      <c r="K1009" s="1"/>
      <c r="L1009" s="1"/>
    </row>
    <row r="1010" ht="15.0" customHeight="1">
      <c r="A1010" s="93" t="s">
        <v>97</v>
      </c>
      <c r="B1010" s="195">
        <v>0.2</v>
      </c>
      <c r="C1010" s="195">
        <f t="shared" si="71"/>
        <v>0.4</v>
      </c>
      <c r="D1010" s="196"/>
      <c r="E1010" s="1158" t="s">
        <v>366</v>
      </c>
      <c r="F1010" s="1"/>
      <c r="G1010" s="1"/>
      <c r="H1010" s="1"/>
      <c r="I1010" s="1"/>
      <c r="J1010" s="1"/>
      <c r="K1010" s="1"/>
      <c r="L1010" s="1"/>
    </row>
    <row r="1011" ht="15.0" customHeight="1">
      <c r="A1011" s="93" t="s">
        <v>1555</v>
      </c>
      <c r="B1011" s="195">
        <v>0.1</v>
      </c>
      <c r="C1011" s="195">
        <f t="shared" si="71"/>
        <v>0.2</v>
      </c>
      <c r="D1011" s="196"/>
      <c r="E1011" s="1158" t="s">
        <v>366</v>
      </c>
      <c r="F1011" s="1"/>
      <c r="G1011" s="1"/>
      <c r="H1011" s="1"/>
      <c r="I1011" s="1"/>
      <c r="J1011" s="1"/>
      <c r="K1011" s="1"/>
      <c r="L1011" s="1"/>
    </row>
    <row r="1012" ht="15.0" customHeight="1">
      <c r="A1012" s="93" t="s">
        <v>2682</v>
      </c>
      <c r="B1012" s="195">
        <v>0.25</v>
      </c>
      <c r="C1012" s="195">
        <f t="shared" si="71"/>
        <v>0.5</v>
      </c>
      <c r="D1012" s="196"/>
      <c r="E1012" s="1158" t="s">
        <v>366</v>
      </c>
      <c r="F1012" s="1"/>
      <c r="G1012" s="1"/>
      <c r="H1012" s="1"/>
      <c r="I1012" s="1"/>
      <c r="J1012" s="1"/>
      <c r="K1012" s="1"/>
      <c r="L1012" s="1"/>
    </row>
    <row r="1013" ht="15.0" customHeight="1">
      <c r="A1013" s="93" t="s">
        <v>2684</v>
      </c>
      <c r="B1013" s="195">
        <v>0.25</v>
      </c>
      <c r="C1013" s="195">
        <f t="shared" si="71"/>
        <v>0.5</v>
      </c>
      <c r="D1013" s="196"/>
      <c r="E1013" s="1158" t="s">
        <v>366</v>
      </c>
      <c r="F1013" s="1"/>
      <c r="G1013" s="1"/>
      <c r="H1013" s="1"/>
      <c r="I1013" s="1"/>
      <c r="J1013" s="1"/>
      <c r="K1013" s="1"/>
      <c r="L1013" s="1"/>
    </row>
    <row r="1014" ht="15.0" customHeight="1">
      <c r="A1014" s="93" t="s">
        <v>2686</v>
      </c>
      <c r="B1014" s="195">
        <v>0.25</v>
      </c>
      <c r="C1014" s="195">
        <f t="shared" si="71"/>
        <v>0.5</v>
      </c>
      <c r="D1014" s="196"/>
      <c r="E1014" s="1158" t="s">
        <v>366</v>
      </c>
      <c r="F1014" s="1"/>
      <c r="G1014" s="1"/>
      <c r="H1014" s="1"/>
      <c r="I1014" s="1"/>
      <c r="J1014" s="1"/>
      <c r="K1014" s="1"/>
      <c r="L1014" s="1"/>
    </row>
    <row r="1015" ht="15.0" customHeight="1">
      <c r="A1015" s="93" t="s">
        <v>2688</v>
      </c>
      <c r="B1015" s="195">
        <v>0.2</v>
      </c>
      <c r="C1015" s="195">
        <f t="shared" si="71"/>
        <v>0.4</v>
      </c>
      <c r="D1015" s="196"/>
      <c r="E1015" s="1158" t="s">
        <v>366</v>
      </c>
      <c r="F1015" s="1"/>
      <c r="G1015" s="1"/>
      <c r="H1015" s="1"/>
      <c r="I1015" s="1"/>
      <c r="J1015" s="1"/>
      <c r="K1015" s="1"/>
      <c r="L1015" s="1"/>
    </row>
    <row r="1016" ht="15.0" customHeight="1">
      <c r="A1016" s="93" t="s">
        <v>2689</v>
      </c>
      <c r="B1016" s="195">
        <v>50.0</v>
      </c>
      <c r="C1016" s="195">
        <f t="shared" si="71"/>
        <v>100</v>
      </c>
      <c r="D1016" s="196"/>
      <c r="E1016" s="1158" t="s">
        <v>18</v>
      </c>
      <c r="F1016" s="1"/>
      <c r="G1016" s="1"/>
      <c r="H1016" s="1"/>
      <c r="I1016" s="1"/>
      <c r="J1016" s="1"/>
      <c r="K1016" s="1"/>
      <c r="L1016" s="1"/>
    </row>
    <row r="1017" ht="15.0" customHeight="1">
      <c r="A1017" s="93" t="s">
        <v>2691</v>
      </c>
      <c r="B1017" s="195">
        <v>0.05</v>
      </c>
      <c r="C1017" s="195">
        <f t="shared" si="71"/>
        <v>0.1</v>
      </c>
      <c r="D1017" s="196"/>
      <c r="E1017" s="1158" t="s">
        <v>366</v>
      </c>
      <c r="F1017" s="1"/>
      <c r="G1017" s="1"/>
      <c r="H1017" s="1"/>
      <c r="I1017" s="1"/>
      <c r="J1017" s="1"/>
      <c r="K1017" s="1"/>
      <c r="L1017" s="1"/>
    </row>
    <row r="1018" ht="15.0" customHeight="1">
      <c r="A1018" s="105" t="s">
        <v>52</v>
      </c>
      <c r="B1018" s="200">
        <v>0.025</v>
      </c>
      <c r="C1018" s="200">
        <f t="shared" si="71"/>
        <v>0.05</v>
      </c>
      <c r="D1018" s="202"/>
      <c r="E1018" s="1182" t="s">
        <v>366</v>
      </c>
      <c r="F1018" s="1"/>
      <c r="G1018" s="1"/>
      <c r="H1018" s="1"/>
      <c r="I1018" s="1"/>
      <c r="J1018" s="1"/>
      <c r="K1018" s="1"/>
      <c r="L1018" s="1"/>
    </row>
    <row r="1019" ht="15.0" customHeight="1">
      <c r="A1019" s="68" t="s">
        <v>2692</v>
      </c>
      <c r="B1019" s="145">
        <v>0.2</v>
      </c>
      <c r="C1019" s="145">
        <f t="shared" si="71"/>
        <v>0.4</v>
      </c>
      <c r="D1019" s="147"/>
      <c r="E1019" s="1157" t="s">
        <v>5</v>
      </c>
      <c r="F1019" s="1"/>
      <c r="G1019" s="1"/>
      <c r="H1019" s="1"/>
      <c r="I1019" s="1"/>
      <c r="J1019" s="1"/>
      <c r="K1019" s="1"/>
      <c r="L1019" s="1"/>
    </row>
    <row r="1020" ht="15.0" customHeight="1">
      <c r="A1020" s="93" t="s">
        <v>2693</v>
      </c>
      <c r="B1020" s="195">
        <v>0.5</v>
      </c>
      <c r="C1020" s="195">
        <f t="shared" si="71"/>
        <v>1</v>
      </c>
      <c r="D1020" s="196"/>
      <c r="E1020" s="1158" t="s">
        <v>5</v>
      </c>
      <c r="F1020" s="1"/>
      <c r="G1020" s="1"/>
      <c r="H1020" s="1"/>
      <c r="I1020" s="1"/>
      <c r="J1020" s="1"/>
      <c r="K1020" s="1"/>
      <c r="L1020" s="1"/>
    </row>
    <row r="1021" ht="15.0" customHeight="1">
      <c r="A1021" s="105" t="s">
        <v>31</v>
      </c>
      <c r="B1021" s="200">
        <v>0.1</v>
      </c>
      <c r="C1021" s="200">
        <f t="shared" si="71"/>
        <v>0.2</v>
      </c>
      <c r="D1021" s="202"/>
      <c r="E1021" s="1182" t="s">
        <v>366</v>
      </c>
      <c r="F1021" s="1"/>
      <c r="G1021" s="1"/>
      <c r="H1021" s="1"/>
      <c r="I1021" s="1"/>
      <c r="J1021" s="1"/>
      <c r="K1021" s="1"/>
      <c r="L1021" s="1"/>
    </row>
    <row r="1022" ht="15.0" customHeight="1">
      <c r="A1022" s="342" t="s">
        <v>49</v>
      </c>
      <c r="B1022" s="2345">
        <v>43512.0</v>
      </c>
      <c r="C1022" s="1"/>
      <c r="D1022" s="1"/>
      <c r="E1022" s="1"/>
      <c r="F1022" s="1"/>
      <c r="G1022" s="1"/>
      <c r="H1022" s="1"/>
      <c r="I1022" s="1"/>
      <c r="J1022" s="1"/>
      <c r="K1022" s="1"/>
      <c r="L1022" s="1"/>
    </row>
    <row r="1023" ht="15.0" customHeight="1">
      <c r="A1023" s="342" t="s">
        <v>50</v>
      </c>
      <c r="B1023" s="2345">
        <v>43512.0</v>
      </c>
      <c r="C1023" s="1"/>
      <c r="D1023" s="1"/>
      <c r="E1023" s="1"/>
      <c r="F1023" s="1"/>
      <c r="G1023" s="1"/>
      <c r="H1023" s="1"/>
      <c r="I1023" s="1"/>
      <c r="J1023" s="1"/>
      <c r="K1023" s="1"/>
      <c r="L1023" s="1"/>
    </row>
    <row r="1024" ht="15.0" customHeight="1">
      <c r="A1024" s="1"/>
      <c r="B1024" s="107"/>
      <c r="C1024" s="184"/>
      <c r="D1024" s="184"/>
      <c r="E1024" s="1"/>
      <c r="F1024" s="1"/>
      <c r="G1024" s="1"/>
      <c r="H1024" s="1"/>
      <c r="I1024" s="1"/>
      <c r="J1024" s="1"/>
      <c r="K1024" s="1"/>
      <c r="L1024" s="1"/>
    </row>
    <row r="1025" ht="15.0" customHeight="1">
      <c r="A1025" s="1873" t="s">
        <v>119</v>
      </c>
      <c r="B1025" s="1874" t="s">
        <v>47</v>
      </c>
      <c r="C1025" s="184"/>
      <c r="D1025" s="184"/>
      <c r="E1025" s="1"/>
      <c r="F1025" s="1"/>
      <c r="G1025" s="1"/>
      <c r="H1025" s="1"/>
      <c r="I1025" s="1"/>
      <c r="J1025" s="1"/>
      <c r="K1025" s="1"/>
      <c r="L1025" s="1"/>
    </row>
    <row r="1026" ht="15.0" customHeight="1">
      <c r="A1026" s="2395"/>
      <c r="B1026" s="2396"/>
      <c r="C1026" s="184"/>
      <c r="D1026" s="184"/>
      <c r="E1026" s="1"/>
      <c r="F1026" s="1"/>
      <c r="G1026" s="1"/>
      <c r="H1026" s="1"/>
      <c r="I1026" s="1"/>
      <c r="J1026" s="1"/>
      <c r="K1026" s="1"/>
      <c r="L1026" s="1"/>
    </row>
    <row r="1027" ht="15.0" customHeight="1">
      <c r="A1027" s="1"/>
      <c r="B1027" s="107"/>
      <c r="C1027" s="184"/>
      <c r="D1027" s="184"/>
      <c r="E1027" s="1"/>
      <c r="F1027" s="1"/>
      <c r="G1027" s="1"/>
      <c r="H1027" s="1"/>
      <c r="I1027" s="1"/>
      <c r="J1027" s="1"/>
      <c r="K1027" s="1"/>
      <c r="L1027" s="1"/>
    </row>
    <row r="1028" ht="15.0" customHeight="1">
      <c r="A1028" s="1326" t="s">
        <v>757</v>
      </c>
      <c r="B1028" s="18"/>
      <c r="C1028" s="18"/>
      <c r="D1028" s="18"/>
      <c r="E1028" s="19"/>
      <c r="F1028" s="1"/>
      <c r="G1028" s="1"/>
      <c r="H1028" s="1"/>
      <c r="I1028" s="1"/>
      <c r="J1028" s="1"/>
      <c r="K1028" s="1"/>
      <c r="L1028" s="1"/>
    </row>
    <row r="1029" ht="15.0" customHeight="1">
      <c r="A1029" s="417" t="s">
        <v>1388</v>
      </c>
      <c r="B1029" s="418">
        <v>35.0</v>
      </c>
      <c r="C1029" s="2397">
        <v>35.0</v>
      </c>
      <c r="D1029" s="2398"/>
      <c r="E1029" s="420" t="s">
        <v>5</v>
      </c>
      <c r="F1029" s="1"/>
      <c r="G1029" s="1"/>
      <c r="H1029" s="1"/>
      <c r="I1029" s="1"/>
      <c r="J1029" s="1"/>
      <c r="K1029" s="1"/>
      <c r="L1029" s="1"/>
    </row>
    <row r="1030" ht="15.0" customHeight="1">
      <c r="A1030" s="68" t="s">
        <v>2700</v>
      </c>
      <c r="B1030" s="145">
        <v>6.0</v>
      </c>
      <c r="C1030" s="155">
        <f t="shared" ref="C1030:C1033" si="72">B1030*C1029/B1029</f>
        <v>6</v>
      </c>
      <c r="D1030" s="899"/>
      <c r="E1030" s="137" t="s">
        <v>366</v>
      </c>
      <c r="F1030" s="1"/>
      <c r="G1030" s="1"/>
      <c r="H1030" s="1"/>
      <c r="I1030" s="1"/>
      <c r="J1030" s="1"/>
      <c r="K1030" s="1"/>
      <c r="L1030" s="1"/>
    </row>
    <row r="1031" ht="15.0" customHeight="1">
      <c r="A1031" s="138" t="s">
        <v>2701</v>
      </c>
      <c r="B1031" s="279">
        <f>B1030*5</f>
        <v>30</v>
      </c>
      <c r="C1031" s="146">
        <f t="shared" si="72"/>
        <v>30</v>
      </c>
      <c r="D1031" s="1607"/>
      <c r="E1031" s="281" t="s">
        <v>5</v>
      </c>
      <c r="F1031" s="1491" t="s">
        <v>2703</v>
      </c>
      <c r="G1031" s="1"/>
      <c r="H1031" s="1"/>
      <c r="I1031" s="1"/>
      <c r="J1031" s="1"/>
      <c r="K1031" s="1"/>
      <c r="L1031" s="1"/>
    </row>
    <row r="1032" ht="15.0" customHeight="1">
      <c r="A1032" s="68" t="s">
        <v>2705</v>
      </c>
      <c r="B1032" s="145">
        <v>0.7</v>
      </c>
      <c r="C1032" s="155">
        <f t="shared" si="72"/>
        <v>0.7</v>
      </c>
      <c r="D1032" s="899"/>
      <c r="E1032" s="137" t="s">
        <v>5</v>
      </c>
      <c r="F1032" s="47"/>
      <c r="G1032" s="1"/>
      <c r="H1032" s="1"/>
      <c r="I1032" s="1"/>
      <c r="J1032" s="1"/>
      <c r="K1032" s="1"/>
      <c r="L1032" s="1"/>
    </row>
    <row r="1033" ht="15.0" customHeight="1">
      <c r="A1033" s="93" t="s">
        <v>2706</v>
      </c>
      <c r="B1033" s="195">
        <v>6.0</v>
      </c>
      <c r="C1033" s="78">
        <f t="shared" si="72"/>
        <v>6</v>
      </c>
      <c r="D1033" s="900"/>
      <c r="E1033" s="165" t="s">
        <v>18</v>
      </c>
      <c r="F1033" s="76"/>
      <c r="G1033" s="1"/>
      <c r="H1033" s="1"/>
      <c r="I1033" s="1"/>
      <c r="J1033" s="1"/>
      <c r="K1033" s="1"/>
      <c r="L1033" s="1"/>
    </row>
    <row r="1034" ht="15.0" customHeight="1">
      <c r="A1034" s="93" t="s">
        <v>2708</v>
      </c>
      <c r="B1034" s="195">
        <v>30.0</v>
      </c>
      <c r="C1034" s="78">
        <f>B1034*C1032/B1032</f>
        <v>30</v>
      </c>
      <c r="D1034" s="900"/>
      <c r="E1034" s="165" t="s">
        <v>18</v>
      </c>
      <c r="F1034" s="826" t="s">
        <v>2710</v>
      </c>
      <c r="G1034" s="1"/>
      <c r="H1034" s="1"/>
      <c r="I1034" s="1"/>
      <c r="J1034" s="1"/>
      <c r="K1034" s="1"/>
      <c r="L1034" s="1"/>
    </row>
    <row r="1035" ht="15.0" customHeight="1">
      <c r="A1035" s="93" t="s">
        <v>2711</v>
      </c>
      <c r="B1035" s="195">
        <v>25.0</v>
      </c>
      <c r="C1035" s="78">
        <f t="shared" ref="C1035:C1037" si="73">B1035*C1034/B1034</f>
        <v>25</v>
      </c>
      <c r="D1035" s="900"/>
      <c r="E1035" s="165" t="s">
        <v>18</v>
      </c>
      <c r="F1035" s="66"/>
      <c r="G1035" s="1"/>
      <c r="H1035" s="1"/>
      <c r="I1035" s="1"/>
      <c r="J1035" s="1"/>
      <c r="K1035" s="1"/>
      <c r="L1035" s="1"/>
    </row>
    <row r="1036" ht="15.0" customHeight="1">
      <c r="A1036" s="93" t="s">
        <v>2343</v>
      </c>
      <c r="B1036" s="195">
        <v>17.0</v>
      </c>
      <c r="C1036" s="78">
        <f t="shared" si="73"/>
        <v>17</v>
      </c>
      <c r="D1036" s="900"/>
      <c r="E1036" s="165" t="s">
        <v>18</v>
      </c>
      <c r="F1036" s="66"/>
      <c r="G1036" s="1"/>
      <c r="H1036" s="1"/>
      <c r="I1036" s="1"/>
      <c r="J1036" s="1"/>
      <c r="K1036" s="1"/>
      <c r="L1036" s="1"/>
    </row>
    <row r="1037" ht="15.0" customHeight="1">
      <c r="A1037" s="93" t="s">
        <v>2713</v>
      </c>
      <c r="B1037" s="195">
        <v>300.0</v>
      </c>
      <c r="C1037" s="78">
        <f t="shared" si="73"/>
        <v>300</v>
      </c>
      <c r="D1037" s="900"/>
      <c r="E1037" s="165" t="s">
        <v>18</v>
      </c>
      <c r="F1037" s="66"/>
      <c r="G1037" s="1"/>
      <c r="H1037" s="1"/>
      <c r="I1037" s="1"/>
      <c r="J1037" s="1"/>
      <c r="K1037" s="1"/>
      <c r="L1037" s="1"/>
    </row>
    <row r="1038" ht="15.0" customHeight="1">
      <c r="A1038" s="93" t="s">
        <v>1623</v>
      </c>
      <c r="B1038" s="195">
        <v>15.0</v>
      </c>
      <c r="C1038" s="78">
        <f>B1038*C1036/B1036</f>
        <v>15</v>
      </c>
      <c r="D1038" s="900"/>
      <c r="E1038" s="165" t="s">
        <v>18</v>
      </c>
      <c r="F1038" s="66"/>
      <c r="G1038" s="1"/>
      <c r="H1038" s="1"/>
      <c r="I1038" s="1"/>
      <c r="J1038" s="1"/>
      <c r="K1038" s="1"/>
      <c r="L1038" s="1"/>
    </row>
    <row r="1039" ht="15.0" customHeight="1">
      <c r="A1039" s="93" t="s">
        <v>1179</v>
      </c>
      <c r="B1039" s="195">
        <v>10.0</v>
      </c>
      <c r="C1039" s="78">
        <f>B1039*C1038/B1038</f>
        <v>10</v>
      </c>
      <c r="D1039" s="900"/>
      <c r="E1039" s="165" t="s">
        <v>18</v>
      </c>
      <c r="F1039" s="66"/>
      <c r="G1039" s="1"/>
      <c r="H1039" s="1"/>
      <c r="I1039" s="1"/>
      <c r="J1039" s="1"/>
      <c r="K1039" s="1"/>
      <c r="L1039" s="1"/>
    </row>
    <row r="1040" ht="15.0" customHeight="1">
      <c r="A1040" s="105" t="s">
        <v>2717</v>
      </c>
      <c r="B1040" s="200">
        <v>250.0</v>
      </c>
      <c r="C1040" s="56">
        <f t="shared" ref="C1040:C1041" si="74">B1040*C1038/B1038</f>
        <v>250</v>
      </c>
      <c r="D1040" s="1604"/>
      <c r="E1040" s="172" t="s">
        <v>18</v>
      </c>
      <c r="F1040" s="66"/>
      <c r="G1040" s="1"/>
      <c r="H1040" s="1"/>
      <c r="I1040" s="1"/>
      <c r="J1040" s="1"/>
      <c r="K1040" s="1"/>
      <c r="L1040" s="1"/>
    </row>
    <row r="1041" ht="15.0" customHeight="1">
      <c r="A1041" s="149" t="s">
        <v>2718</v>
      </c>
      <c r="B1041" s="152">
        <v>4.0</v>
      </c>
      <c r="C1041" s="274">
        <f t="shared" si="74"/>
        <v>4</v>
      </c>
      <c r="D1041" s="1690"/>
      <c r="E1041" s="156" t="s">
        <v>366</v>
      </c>
      <c r="F1041" s="66"/>
      <c r="G1041" s="1"/>
      <c r="H1041" s="1"/>
      <c r="I1041" s="1"/>
      <c r="J1041" s="1"/>
      <c r="K1041" s="1"/>
      <c r="L1041" s="1"/>
    </row>
    <row r="1042" ht="15.0" customHeight="1">
      <c r="A1042" s="68" t="s">
        <v>2719</v>
      </c>
      <c r="B1042" s="145">
        <v>0.7</v>
      </c>
      <c r="C1042" s="155">
        <f>B1042*C1032/B1032</f>
        <v>0.7</v>
      </c>
      <c r="D1042" s="899"/>
      <c r="E1042" s="137" t="s">
        <v>366</v>
      </c>
      <c r="F1042" s="66"/>
      <c r="G1042" s="1"/>
      <c r="H1042" s="1"/>
      <c r="I1042" s="1"/>
      <c r="J1042" s="1"/>
      <c r="K1042" s="1"/>
      <c r="L1042" s="1"/>
    </row>
    <row r="1043" ht="15.0" customHeight="1">
      <c r="A1043" s="93" t="s">
        <v>2732</v>
      </c>
      <c r="B1043" s="195">
        <v>2.0</v>
      </c>
      <c r="C1043" s="78">
        <f>B1043*C1030/B1030</f>
        <v>2</v>
      </c>
      <c r="D1043" s="900"/>
      <c r="E1043" s="165" t="s">
        <v>366</v>
      </c>
      <c r="F1043" s="66"/>
      <c r="G1043" s="1"/>
      <c r="H1043" s="1"/>
      <c r="I1043" s="1"/>
      <c r="J1043" s="1"/>
      <c r="K1043" s="1"/>
      <c r="L1043" s="1"/>
    </row>
    <row r="1044" ht="15.0" customHeight="1">
      <c r="A1044" s="93" t="s">
        <v>2733</v>
      </c>
      <c r="B1044" s="195">
        <v>2.0</v>
      </c>
      <c r="C1044" s="78">
        <f t="shared" ref="C1044:C1047" si="75">B1044*C1043/B1043</f>
        <v>2</v>
      </c>
      <c r="D1044" s="900"/>
      <c r="E1044" s="165" t="s">
        <v>366</v>
      </c>
      <c r="F1044" s="66"/>
      <c r="G1044" s="1"/>
      <c r="H1044" s="1"/>
      <c r="I1044" s="1"/>
      <c r="J1044" s="1"/>
      <c r="K1044" s="1"/>
      <c r="L1044" s="1"/>
    </row>
    <row r="1045" ht="15.0" customHeight="1">
      <c r="A1045" s="93" t="s">
        <v>2736</v>
      </c>
      <c r="B1045" s="195">
        <v>0.5</v>
      </c>
      <c r="C1045" s="78">
        <f t="shared" si="75"/>
        <v>0.5</v>
      </c>
      <c r="D1045" s="900"/>
      <c r="E1045" s="165" t="s">
        <v>366</v>
      </c>
      <c r="F1045" s="66"/>
      <c r="G1045" s="1"/>
      <c r="H1045" s="1"/>
      <c r="I1045" s="1"/>
      <c r="J1045" s="1"/>
      <c r="K1045" s="1"/>
      <c r="L1045" s="1"/>
    </row>
    <row r="1046" ht="15.0" customHeight="1">
      <c r="A1046" s="93" t="s">
        <v>2737</v>
      </c>
      <c r="B1046" s="195">
        <v>2.0</v>
      </c>
      <c r="C1046" s="78">
        <f t="shared" si="75"/>
        <v>2</v>
      </c>
      <c r="D1046" s="900"/>
      <c r="E1046" s="165" t="s">
        <v>366</v>
      </c>
      <c r="F1046" s="66"/>
      <c r="G1046" s="1"/>
      <c r="H1046" s="1"/>
      <c r="I1046" s="1"/>
      <c r="J1046" s="1"/>
      <c r="K1046" s="1"/>
      <c r="L1046" s="1"/>
    </row>
    <row r="1047" ht="15.0" customHeight="1">
      <c r="A1047" s="93" t="s">
        <v>2738</v>
      </c>
      <c r="B1047" s="195">
        <v>2.0</v>
      </c>
      <c r="C1047" s="78">
        <f t="shared" si="75"/>
        <v>2</v>
      </c>
      <c r="D1047" s="900"/>
      <c r="E1047" s="165" t="s">
        <v>366</v>
      </c>
      <c r="F1047" s="66"/>
      <c r="G1047" s="1"/>
      <c r="H1047" s="1"/>
      <c r="I1047" s="1"/>
      <c r="J1047" s="1"/>
      <c r="K1047" s="1"/>
      <c r="L1047" s="1"/>
    </row>
    <row r="1048" ht="15.0" customHeight="1">
      <c r="A1048" s="138" t="s">
        <v>2739</v>
      </c>
      <c r="B1048" s="279">
        <v>1.0</v>
      </c>
      <c r="C1048" s="146">
        <f>B1048*C1045/B1045</f>
        <v>1</v>
      </c>
      <c r="D1048" s="1607"/>
      <c r="E1048" s="281" t="s">
        <v>366</v>
      </c>
      <c r="F1048" s="66"/>
      <c r="G1048" s="1"/>
      <c r="H1048" s="1"/>
      <c r="I1048" s="1"/>
      <c r="J1048" s="1"/>
      <c r="K1048" s="1"/>
      <c r="L1048" s="1"/>
    </row>
    <row r="1049" ht="15.0" customHeight="1">
      <c r="A1049" s="105" t="s">
        <v>2740</v>
      </c>
      <c r="B1049" s="200">
        <f>SUM(B1042:B1048)*12</f>
        <v>122.4</v>
      </c>
      <c r="C1049" s="56">
        <f t="shared" ref="C1049:C1051" si="76">B1049*C1045/B1045</f>
        <v>122.4</v>
      </c>
      <c r="D1049" s="1604"/>
      <c r="E1049" s="172" t="s">
        <v>18</v>
      </c>
      <c r="F1049" s="66"/>
      <c r="G1049" s="1"/>
      <c r="H1049" s="1"/>
      <c r="I1049" s="1"/>
      <c r="J1049" s="1"/>
      <c r="K1049" s="1"/>
      <c r="L1049" s="1"/>
    </row>
    <row r="1050" ht="15.0" customHeight="1">
      <c r="A1050" s="51" t="s">
        <v>1559</v>
      </c>
      <c r="B1050" s="190">
        <v>300.0</v>
      </c>
      <c r="C1050" s="513">
        <f t="shared" si="76"/>
        <v>300</v>
      </c>
      <c r="D1050" s="1576"/>
      <c r="E1050" s="125" t="s">
        <v>18</v>
      </c>
      <c r="F1050" s="66"/>
      <c r="G1050" s="1"/>
      <c r="H1050" s="1"/>
      <c r="I1050" s="1"/>
      <c r="J1050" s="1"/>
      <c r="K1050" s="1"/>
      <c r="L1050" s="1"/>
    </row>
    <row r="1051" ht="15.0" customHeight="1">
      <c r="A1051" s="68" t="s">
        <v>1027</v>
      </c>
      <c r="B1051" s="145">
        <v>50.0</v>
      </c>
      <c r="C1051" s="155">
        <f t="shared" si="76"/>
        <v>50</v>
      </c>
      <c r="D1051" s="899"/>
      <c r="E1051" s="137" t="s">
        <v>18</v>
      </c>
      <c r="F1051" s="66"/>
      <c r="G1051" s="1"/>
      <c r="H1051" s="1"/>
      <c r="I1051" s="1"/>
      <c r="J1051" s="1"/>
      <c r="K1051" s="1"/>
      <c r="L1051" s="1"/>
    </row>
    <row r="1052" ht="15.0" customHeight="1">
      <c r="A1052" s="93" t="s">
        <v>2743</v>
      </c>
      <c r="B1052" s="195">
        <v>100.0</v>
      </c>
      <c r="C1052" s="78">
        <f t="shared" ref="C1052:C1055" si="77">B1052*C1047/B1047</f>
        <v>100</v>
      </c>
      <c r="D1052" s="900"/>
      <c r="E1052" s="165" t="s">
        <v>18</v>
      </c>
      <c r="F1052" s="66"/>
      <c r="G1052" s="1"/>
      <c r="H1052" s="1"/>
      <c r="I1052" s="1"/>
      <c r="J1052" s="1"/>
      <c r="K1052" s="1"/>
      <c r="L1052" s="1"/>
    </row>
    <row r="1053" ht="15.0" customHeight="1">
      <c r="A1053" s="93" t="s">
        <v>2744</v>
      </c>
      <c r="B1053" s="195">
        <v>50.0</v>
      </c>
      <c r="C1053" s="78">
        <f t="shared" si="77"/>
        <v>50</v>
      </c>
      <c r="D1053" s="900"/>
      <c r="E1053" s="165" t="s">
        <v>18</v>
      </c>
      <c r="F1053" s="66"/>
      <c r="G1053" s="1"/>
      <c r="H1053" s="1"/>
      <c r="I1053" s="1"/>
      <c r="J1053" s="1"/>
      <c r="K1053" s="1"/>
      <c r="L1053" s="1"/>
    </row>
    <row r="1054" ht="15.0" customHeight="1">
      <c r="A1054" s="105" t="s">
        <v>112</v>
      </c>
      <c r="B1054" s="200">
        <v>50.0</v>
      </c>
      <c r="C1054" s="56">
        <f t="shared" si="77"/>
        <v>50</v>
      </c>
      <c r="D1054" s="1604"/>
      <c r="E1054" s="172" t="s">
        <v>18</v>
      </c>
      <c r="F1054" s="66"/>
      <c r="G1054" s="1"/>
      <c r="H1054" s="1"/>
      <c r="I1054" s="1"/>
      <c r="J1054" s="1"/>
      <c r="K1054" s="1"/>
      <c r="L1054" s="1"/>
    </row>
    <row r="1055" ht="15.0" customHeight="1">
      <c r="A1055" s="68" t="s">
        <v>2747</v>
      </c>
      <c r="B1055" s="145">
        <v>3.0</v>
      </c>
      <c r="C1055" s="155">
        <f t="shared" si="77"/>
        <v>3</v>
      </c>
      <c r="D1055" s="899"/>
      <c r="E1055" s="137" t="s">
        <v>93</v>
      </c>
      <c r="F1055" s="66"/>
      <c r="G1055" s="1"/>
      <c r="H1055" s="1"/>
      <c r="I1055" s="1"/>
      <c r="J1055" s="1"/>
      <c r="K1055" s="1"/>
      <c r="L1055" s="1"/>
    </row>
    <row r="1056" ht="15.0" customHeight="1">
      <c r="A1056" s="93" t="s">
        <v>122</v>
      </c>
      <c r="B1056" s="195">
        <v>3.0</v>
      </c>
      <c r="C1056" s="78">
        <f t="shared" ref="C1056:C1059" si="78">B1056*C1052/B1052</f>
        <v>3</v>
      </c>
      <c r="D1056" s="900"/>
      <c r="E1056" s="165" t="s">
        <v>5</v>
      </c>
      <c r="F1056" s="106"/>
      <c r="G1056" s="1"/>
      <c r="H1056" s="1"/>
      <c r="I1056" s="1"/>
      <c r="J1056" s="1"/>
      <c r="K1056" s="1"/>
      <c r="L1056" s="1"/>
    </row>
    <row r="1057" ht="15.0" customHeight="1">
      <c r="A1057" s="93" t="s">
        <v>2748</v>
      </c>
      <c r="B1057" s="195">
        <v>1.5</v>
      </c>
      <c r="C1057" s="78">
        <f t="shared" si="78"/>
        <v>1.5</v>
      </c>
      <c r="D1057" s="900"/>
      <c r="E1057" s="165" t="s">
        <v>93</v>
      </c>
      <c r="F1057" s="1460"/>
      <c r="G1057" s="1"/>
      <c r="H1057" s="1"/>
      <c r="I1057" s="1"/>
      <c r="J1057" s="1"/>
      <c r="K1057" s="1"/>
      <c r="L1057" s="1"/>
    </row>
    <row r="1058" ht="15.0" customHeight="1">
      <c r="A1058" s="93" t="s">
        <v>2749</v>
      </c>
      <c r="B1058" s="195">
        <v>200.0</v>
      </c>
      <c r="C1058" s="78">
        <f t="shared" si="78"/>
        <v>200</v>
      </c>
      <c r="D1058" s="900"/>
      <c r="E1058" s="165" t="s">
        <v>18</v>
      </c>
      <c r="F1058" s="1461"/>
      <c r="G1058" s="1"/>
      <c r="H1058" s="1"/>
      <c r="I1058" s="1"/>
      <c r="J1058" s="1"/>
      <c r="K1058" s="1"/>
      <c r="L1058" s="1"/>
    </row>
    <row r="1059" ht="15.0" customHeight="1">
      <c r="A1059" s="105" t="s">
        <v>2750</v>
      </c>
      <c r="B1059" s="200">
        <v>200.0</v>
      </c>
      <c r="C1059" s="56">
        <f t="shared" si="78"/>
        <v>200</v>
      </c>
      <c r="D1059" s="1604"/>
      <c r="E1059" s="172" t="s">
        <v>18</v>
      </c>
      <c r="F1059" s="1"/>
      <c r="G1059" s="1"/>
      <c r="H1059" s="1"/>
      <c r="I1059" s="1"/>
      <c r="J1059" s="1"/>
      <c r="K1059" s="1"/>
      <c r="L1059" s="1"/>
    </row>
    <row r="1060" ht="15.0" customHeight="1">
      <c r="A1060" s="342" t="s">
        <v>49</v>
      </c>
      <c r="B1060" s="2345">
        <v>43361.0</v>
      </c>
      <c r="C1060" s="1"/>
      <c r="D1060" s="1"/>
      <c r="E1060" s="1"/>
      <c r="F1060" s="1"/>
      <c r="G1060" s="1"/>
      <c r="H1060" s="1"/>
      <c r="I1060" s="1"/>
      <c r="J1060" s="1"/>
      <c r="K1060" s="1"/>
      <c r="L1060" s="1"/>
    </row>
    <row r="1061" ht="15.0" customHeight="1">
      <c r="A1061" s="342" t="s">
        <v>50</v>
      </c>
      <c r="B1061" s="2419">
        <v>43489.0</v>
      </c>
      <c r="C1061" s="1"/>
      <c r="D1061" s="1"/>
      <c r="E1061" s="1"/>
      <c r="F1061" s="1"/>
      <c r="G1061" s="1"/>
      <c r="H1061" s="1"/>
      <c r="I1061" s="1"/>
      <c r="J1061" s="1"/>
      <c r="K1061" s="1"/>
      <c r="L1061" s="1"/>
    </row>
    <row r="1062" ht="15.75" customHeight="1">
      <c r="A1062" s="1"/>
      <c r="B1062" s="107"/>
      <c r="C1062" s="184"/>
      <c r="D1062" s="184"/>
      <c r="E1062" s="1"/>
      <c r="F1062" s="1"/>
      <c r="G1062" s="1"/>
      <c r="H1062" s="1"/>
      <c r="I1062" s="1"/>
      <c r="J1062" s="1"/>
      <c r="K1062" s="1"/>
      <c r="L1062" s="1"/>
    </row>
    <row r="1063" ht="15.0" customHeight="1">
      <c r="A1063" s="1"/>
      <c r="B1063" s="107"/>
      <c r="C1063" s="184"/>
      <c r="D1063" s="184"/>
      <c r="E1063" s="1"/>
      <c r="F1063" s="1"/>
      <c r="G1063" s="1"/>
      <c r="H1063" s="1"/>
      <c r="I1063" s="1"/>
      <c r="J1063" s="1"/>
      <c r="K1063" s="1"/>
      <c r="L1063" s="1"/>
    </row>
    <row r="1064" ht="15.0" customHeight="1">
      <c r="A1064" s="1873" t="s">
        <v>119</v>
      </c>
      <c r="B1064" s="1874" t="s">
        <v>47</v>
      </c>
      <c r="C1064" s="184"/>
      <c r="D1064" s="184"/>
      <c r="E1064" s="1"/>
      <c r="F1064" s="1"/>
      <c r="G1064" s="1"/>
      <c r="H1064" s="1"/>
      <c r="I1064" s="1"/>
      <c r="J1064" s="1"/>
      <c r="K1064" s="1"/>
      <c r="L1064" s="1"/>
    </row>
    <row r="1065" ht="15.75" customHeight="1">
      <c r="A1065" s="1"/>
      <c r="B1065" s="107"/>
      <c r="C1065" s="184"/>
      <c r="D1065" s="184"/>
      <c r="E1065" s="1"/>
      <c r="F1065" s="1"/>
      <c r="G1065" s="1"/>
      <c r="H1065" s="1"/>
      <c r="I1065" s="1"/>
      <c r="J1065" s="1"/>
      <c r="K1065" s="1"/>
      <c r="L1065" s="1"/>
    </row>
    <row r="1066" ht="15.75" customHeight="1">
      <c r="A1066" s="1"/>
      <c r="B1066" s="107"/>
      <c r="C1066" s="184"/>
      <c r="D1066" s="184"/>
      <c r="E1066" s="1"/>
      <c r="F1066" s="1"/>
      <c r="G1066" s="1"/>
      <c r="H1066" s="1"/>
      <c r="I1066" s="1"/>
      <c r="J1066" s="1"/>
      <c r="K1066" s="1"/>
      <c r="L1066" s="1"/>
    </row>
    <row r="1067" ht="15.75" customHeight="1">
      <c r="A1067" s="1"/>
      <c r="B1067" s="107"/>
      <c r="C1067" s="184"/>
      <c r="D1067" s="184"/>
      <c r="E1067" s="1"/>
      <c r="F1067" s="1"/>
      <c r="G1067" s="1"/>
      <c r="H1067" s="1"/>
      <c r="I1067" s="1"/>
      <c r="J1067" s="1"/>
      <c r="K1067" s="1"/>
      <c r="L1067" s="1"/>
    </row>
    <row r="1068" ht="15.75" customHeight="1">
      <c r="A1068" s="1"/>
      <c r="B1068" s="107"/>
      <c r="C1068" s="184"/>
      <c r="D1068" s="184"/>
      <c r="E1068" s="1"/>
      <c r="F1068" s="1"/>
      <c r="G1068" s="1"/>
      <c r="H1068" s="1"/>
      <c r="I1068" s="1"/>
      <c r="J1068" s="1"/>
      <c r="K1068" s="1"/>
      <c r="L1068" s="1"/>
    </row>
    <row r="1069" ht="15.75" customHeight="1">
      <c r="A1069" s="1"/>
      <c r="B1069" s="107"/>
      <c r="C1069" s="184"/>
      <c r="D1069" s="184"/>
      <c r="E1069" s="1"/>
      <c r="F1069" s="1"/>
      <c r="G1069" s="1"/>
      <c r="H1069" s="1"/>
      <c r="I1069" s="1"/>
      <c r="J1069" s="1"/>
      <c r="K1069" s="1"/>
      <c r="L1069" s="1"/>
    </row>
    <row r="1070" ht="15.75" customHeight="1">
      <c r="A1070" s="1"/>
      <c r="B1070" s="107"/>
      <c r="C1070" s="184"/>
      <c r="D1070" s="184"/>
      <c r="E1070" s="1"/>
      <c r="F1070" s="1"/>
      <c r="G1070" s="1"/>
      <c r="H1070" s="1"/>
      <c r="I1070" s="1"/>
      <c r="J1070" s="1"/>
      <c r="K1070" s="1"/>
      <c r="L1070" s="1"/>
    </row>
    <row r="1071" ht="15.75" customHeight="1">
      <c r="A1071" s="1"/>
      <c r="B1071" s="107"/>
      <c r="C1071" s="184"/>
      <c r="D1071" s="184"/>
      <c r="E1071" s="1"/>
      <c r="F1071" s="1"/>
      <c r="G1071" s="1"/>
      <c r="H1071" s="1"/>
      <c r="I1071" s="1"/>
      <c r="J1071" s="1"/>
      <c r="K1071" s="1"/>
      <c r="L1071" s="1"/>
    </row>
    <row r="1072" ht="15.0" customHeight="1">
      <c r="A1072" s="1"/>
      <c r="B1072" s="107"/>
      <c r="C1072" s="184"/>
      <c r="D1072" s="184"/>
      <c r="E1072" s="1"/>
      <c r="F1072" s="1"/>
      <c r="G1072" s="1"/>
      <c r="H1072" s="1"/>
      <c r="I1072" s="1"/>
      <c r="J1072" s="1"/>
      <c r="K1072" s="1"/>
      <c r="L1072" s="1"/>
    </row>
    <row r="1073" ht="15.0" customHeight="1">
      <c r="A1073" s="511" t="s">
        <v>2755</v>
      </c>
      <c r="B1073" s="1659"/>
      <c r="C1073" s="1659"/>
      <c r="D1073" s="1659"/>
      <c r="E1073" s="1659"/>
      <c r="F1073" s="2427"/>
      <c r="G1073" s="1"/>
      <c r="H1073" s="1"/>
      <c r="I1073" s="1"/>
      <c r="J1073" s="1"/>
      <c r="K1073" s="1"/>
      <c r="L1073" s="1"/>
    </row>
    <row r="1074" ht="15.0" customHeight="1">
      <c r="A1074" s="51" t="s">
        <v>1</v>
      </c>
      <c r="B1074" s="190">
        <v>55.0</v>
      </c>
      <c r="C1074" s="190">
        <v>10.0</v>
      </c>
      <c r="D1074" s="192"/>
      <c r="E1074" s="1572" t="s">
        <v>5</v>
      </c>
      <c r="F1074" s="2310"/>
      <c r="G1074" s="1"/>
      <c r="H1074" s="1"/>
      <c r="I1074" s="1"/>
      <c r="J1074" s="1"/>
      <c r="K1074" s="1"/>
      <c r="L1074" s="1"/>
    </row>
    <row r="1075" ht="15.0" customHeight="1">
      <c r="A1075" s="51" t="s">
        <v>53</v>
      </c>
      <c r="B1075" s="190">
        <v>10.0</v>
      </c>
      <c r="C1075" s="190">
        <f t="shared" ref="C1075:C1099" si="79">(B1075*C1074)/B1074</f>
        <v>1.818181818</v>
      </c>
      <c r="D1075" s="192"/>
      <c r="E1075" s="1572" t="s">
        <v>14</v>
      </c>
      <c r="F1075" s="76"/>
      <c r="G1075" s="1"/>
      <c r="H1075" s="1"/>
      <c r="I1075" s="1"/>
      <c r="J1075" s="1"/>
      <c r="K1075" s="1"/>
      <c r="L1075" s="1"/>
    </row>
    <row r="1076" ht="15.0" customHeight="1">
      <c r="A1076" s="68" t="s">
        <v>91</v>
      </c>
      <c r="B1076" s="145">
        <v>2.5</v>
      </c>
      <c r="C1076" s="145">
        <f t="shared" si="79"/>
        <v>0.4545454545</v>
      </c>
      <c r="D1076" s="147"/>
      <c r="E1076" s="1579" t="s">
        <v>5</v>
      </c>
      <c r="F1076" s="44" t="s">
        <v>1822</v>
      </c>
      <c r="G1076" s="1"/>
      <c r="H1076" s="1"/>
      <c r="I1076" s="1"/>
      <c r="J1076" s="1"/>
      <c r="K1076" s="1"/>
      <c r="L1076" s="1"/>
    </row>
    <row r="1077" ht="15.0" customHeight="1">
      <c r="A1077" s="119" t="s">
        <v>971</v>
      </c>
      <c r="B1077" s="238">
        <v>0.2</v>
      </c>
      <c r="C1077" s="238">
        <f t="shared" si="79"/>
        <v>0.03636363636</v>
      </c>
      <c r="D1077" s="282"/>
      <c r="E1077" s="1584" t="s">
        <v>14</v>
      </c>
      <c r="F1077" s="47"/>
      <c r="G1077" s="1"/>
      <c r="H1077" s="1"/>
      <c r="I1077" s="1"/>
      <c r="J1077" s="1"/>
      <c r="K1077" s="1"/>
      <c r="L1077" s="1"/>
    </row>
    <row r="1078" ht="15.0" customHeight="1">
      <c r="A1078" s="119" t="s">
        <v>52</v>
      </c>
      <c r="B1078" s="238">
        <v>20.0</v>
      </c>
      <c r="C1078" s="238">
        <f t="shared" si="79"/>
        <v>3.636363636</v>
      </c>
      <c r="D1078" s="282"/>
      <c r="E1078" s="1584" t="s">
        <v>18</v>
      </c>
      <c r="F1078" s="47"/>
      <c r="G1078" s="1"/>
      <c r="H1078" s="1"/>
      <c r="I1078" s="1"/>
      <c r="J1078" s="1"/>
      <c r="K1078" s="1"/>
      <c r="L1078" s="1"/>
    </row>
    <row r="1079" ht="15.0" customHeight="1">
      <c r="A1079" s="93" t="s">
        <v>95</v>
      </c>
      <c r="B1079" s="1213">
        <v>25.0</v>
      </c>
      <c r="C1079" s="1213">
        <f t="shared" si="79"/>
        <v>4.545454545</v>
      </c>
      <c r="D1079" s="2432"/>
      <c r="E1079" s="249" t="s">
        <v>18</v>
      </c>
      <c r="F1079" s="47"/>
      <c r="G1079" s="1"/>
      <c r="H1079" s="1"/>
      <c r="I1079" s="1"/>
      <c r="J1079" s="1"/>
      <c r="K1079" s="1"/>
      <c r="L1079" s="1"/>
    </row>
    <row r="1080" ht="15.0" customHeight="1">
      <c r="A1080" s="93" t="s">
        <v>98</v>
      </c>
      <c r="B1080" s="195">
        <v>100.0</v>
      </c>
      <c r="C1080" s="195">
        <f t="shared" si="79"/>
        <v>18.18181818</v>
      </c>
      <c r="D1080" s="196"/>
      <c r="E1080" s="1588" t="s">
        <v>18</v>
      </c>
      <c r="F1080" s="47"/>
      <c r="G1080" s="1"/>
      <c r="H1080" s="1"/>
      <c r="I1080" s="1"/>
      <c r="J1080" s="1"/>
      <c r="K1080" s="1"/>
      <c r="L1080" s="1"/>
    </row>
    <row r="1081" ht="15.0" customHeight="1">
      <c r="A1081" s="93" t="s">
        <v>66</v>
      </c>
      <c r="B1081" s="1213">
        <v>10.0</v>
      </c>
      <c r="C1081" s="1213">
        <f t="shared" si="79"/>
        <v>1.818181818</v>
      </c>
      <c r="D1081" s="2432"/>
      <c r="E1081" s="249" t="s">
        <v>18</v>
      </c>
      <c r="F1081" s="47"/>
      <c r="G1081" s="1"/>
      <c r="H1081" s="1"/>
      <c r="I1081" s="1"/>
      <c r="J1081" s="1"/>
      <c r="K1081" s="1"/>
      <c r="L1081" s="1"/>
    </row>
    <row r="1082" ht="15.0" customHeight="1">
      <c r="A1082" s="93" t="s">
        <v>102</v>
      </c>
      <c r="B1082" s="1213">
        <v>8.0</v>
      </c>
      <c r="C1082" s="1213">
        <f t="shared" si="79"/>
        <v>1.454545455</v>
      </c>
      <c r="D1082" s="2432"/>
      <c r="E1082" s="249" t="s">
        <v>18</v>
      </c>
      <c r="F1082" s="47"/>
      <c r="G1082" s="1"/>
      <c r="H1082" s="1"/>
      <c r="I1082" s="1"/>
      <c r="J1082" s="1"/>
      <c r="K1082" s="1"/>
      <c r="L1082" s="1"/>
    </row>
    <row r="1083" ht="15.0" customHeight="1">
      <c r="A1083" s="93" t="s">
        <v>210</v>
      </c>
      <c r="B1083" s="195">
        <v>15.0</v>
      </c>
      <c r="C1083" s="40">
        <f t="shared" si="79"/>
        <v>2.727272727</v>
      </c>
      <c r="D1083" s="2434"/>
      <c r="E1083" s="249" t="s">
        <v>18</v>
      </c>
      <c r="F1083" s="47"/>
      <c r="G1083" s="1"/>
      <c r="H1083" s="1"/>
      <c r="I1083" s="1"/>
      <c r="J1083" s="1"/>
      <c r="K1083" s="1"/>
      <c r="L1083" s="1"/>
    </row>
    <row r="1084" ht="15.0" customHeight="1">
      <c r="A1084" s="93" t="s">
        <v>96</v>
      </c>
      <c r="B1084" s="195">
        <v>5.0</v>
      </c>
      <c r="C1084" s="40">
        <f t="shared" si="79"/>
        <v>0.9090909091</v>
      </c>
      <c r="D1084" s="2434"/>
      <c r="E1084" s="249" t="s">
        <v>18</v>
      </c>
      <c r="F1084" s="47"/>
      <c r="G1084" s="1"/>
      <c r="H1084" s="1"/>
      <c r="I1084" s="1"/>
      <c r="J1084" s="1"/>
      <c r="K1084" s="1"/>
      <c r="L1084" s="1"/>
    </row>
    <row r="1085" ht="15.0" customHeight="1">
      <c r="A1085" s="93" t="s">
        <v>1176</v>
      </c>
      <c r="B1085" s="195">
        <v>25.0</v>
      </c>
      <c r="C1085" s="40">
        <f t="shared" si="79"/>
        <v>4.545454545</v>
      </c>
      <c r="D1085" s="2434"/>
      <c r="E1085" s="249" t="s">
        <v>18</v>
      </c>
      <c r="F1085" s="47"/>
      <c r="G1085" s="1"/>
      <c r="H1085" s="1"/>
      <c r="I1085" s="1"/>
      <c r="J1085" s="1"/>
      <c r="K1085" s="1"/>
      <c r="L1085" s="1"/>
    </row>
    <row r="1086" ht="15.0" customHeight="1">
      <c r="A1086" s="93" t="s">
        <v>1746</v>
      </c>
      <c r="B1086" s="195">
        <v>15.0</v>
      </c>
      <c r="C1086" s="40">
        <f t="shared" si="79"/>
        <v>2.727272727</v>
      </c>
      <c r="D1086" s="2434"/>
      <c r="E1086" s="249" t="s">
        <v>18</v>
      </c>
      <c r="F1086" s="47"/>
      <c r="G1086" s="1"/>
      <c r="H1086" s="1"/>
      <c r="I1086" s="1"/>
      <c r="J1086" s="1"/>
      <c r="K1086" s="1"/>
      <c r="L1086" s="1"/>
    </row>
    <row r="1087" ht="15.0" customHeight="1">
      <c r="A1087" s="138" t="s">
        <v>1747</v>
      </c>
      <c r="B1087" s="279">
        <v>15.0</v>
      </c>
      <c r="C1087" s="1554">
        <f t="shared" si="79"/>
        <v>2.727272727</v>
      </c>
      <c r="D1087" s="2435"/>
      <c r="E1087" s="242" t="s">
        <v>18</v>
      </c>
      <c r="F1087" s="47"/>
      <c r="G1087" s="1"/>
      <c r="H1087" s="1"/>
      <c r="I1087" s="1"/>
      <c r="J1087" s="1"/>
      <c r="K1087" s="1"/>
      <c r="L1087" s="1"/>
    </row>
    <row r="1088" ht="15.0" customHeight="1">
      <c r="A1088" s="138" t="s">
        <v>148</v>
      </c>
      <c r="B1088" s="279">
        <v>160.0</v>
      </c>
      <c r="C1088" s="1213">
        <f t="shared" si="79"/>
        <v>29.09090909</v>
      </c>
      <c r="D1088" s="2436"/>
      <c r="E1088" s="1599" t="s">
        <v>18</v>
      </c>
      <c r="F1088" s="47"/>
      <c r="G1088" s="1"/>
      <c r="H1088" s="1"/>
      <c r="I1088" s="1"/>
      <c r="J1088" s="1"/>
      <c r="K1088" s="1"/>
      <c r="L1088" s="1"/>
    </row>
    <row r="1089" ht="15.0" customHeight="1">
      <c r="A1089" s="68" t="s">
        <v>2553</v>
      </c>
      <c r="B1089" s="145">
        <v>2.0</v>
      </c>
      <c r="C1089" s="145">
        <f t="shared" si="79"/>
        <v>0.3636363636</v>
      </c>
      <c r="D1089" s="147"/>
      <c r="E1089" s="1579" t="s">
        <v>14</v>
      </c>
      <c r="F1089" s="47"/>
      <c r="G1089" s="1"/>
      <c r="H1089" s="1"/>
      <c r="I1089" s="1"/>
      <c r="J1089" s="1"/>
      <c r="K1089" s="1"/>
      <c r="L1089" s="1"/>
    </row>
    <row r="1090" ht="15.0" customHeight="1">
      <c r="A1090" s="119" t="s">
        <v>150</v>
      </c>
      <c r="B1090" s="238">
        <v>3.0</v>
      </c>
      <c r="C1090" s="238">
        <f t="shared" si="79"/>
        <v>0.5454545455</v>
      </c>
      <c r="D1090" s="282"/>
      <c r="E1090" s="1584" t="s">
        <v>14</v>
      </c>
      <c r="F1090" s="47"/>
      <c r="G1090" s="1"/>
      <c r="H1090" s="1"/>
      <c r="I1090" s="1"/>
      <c r="J1090" s="1"/>
      <c r="K1090" s="1"/>
      <c r="L1090" s="1"/>
    </row>
    <row r="1091" ht="15.0" customHeight="1">
      <c r="A1091" s="93" t="s">
        <v>2556</v>
      </c>
      <c r="B1091" s="238">
        <v>3.0</v>
      </c>
      <c r="C1091" s="195">
        <f t="shared" si="79"/>
        <v>0.5454545455</v>
      </c>
      <c r="D1091" s="196"/>
      <c r="E1091" s="1588" t="s">
        <v>14</v>
      </c>
      <c r="F1091" s="47"/>
      <c r="G1091" s="1"/>
      <c r="H1091" s="1"/>
      <c r="I1091" s="1"/>
      <c r="J1091" s="1"/>
      <c r="K1091" s="1"/>
      <c r="L1091" s="1"/>
    </row>
    <row r="1092" ht="15.0" customHeight="1">
      <c r="A1092" s="138" t="s">
        <v>1023</v>
      </c>
      <c r="B1092" s="238">
        <v>3.0</v>
      </c>
      <c r="C1092" s="195">
        <f t="shared" si="79"/>
        <v>0.5454545455</v>
      </c>
      <c r="D1092" s="196"/>
      <c r="E1092" s="1588" t="s">
        <v>14</v>
      </c>
      <c r="F1092" s="47"/>
      <c r="G1092" s="1"/>
      <c r="H1092" s="1"/>
      <c r="I1092" s="1"/>
      <c r="J1092" s="1"/>
      <c r="K1092" s="1"/>
      <c r="L1092" s="1"/>
    </row>
    <row r="1093" ht="15.0" customHeight="1">
      <c r="A1093" s="138" t="s">
        <v>329</v>
      </c>
      <c r="B1093" s="418">
        <v>1.0</v>
      </c>
      <c r="C1093" s="279">
        <f t="shared" si="79"/>
        <v>0.1818181818</v>
      </c>
      <c r="D1093" s="280"/>
      <c r="E1093" s="1599" t="s">
        <v>14</v>
      </c>
      <c r="F1093" s="47"/>
      <c r="G1093" s="1"/>
      <c r="H1093" s="1"/>
      <c r="I1093" s="1"/>
      <c r="J1093" s="1"/>
      <c r="K1093" s="1"/>
      <c r="L1093" s="1"/>
    </row>
    <row r="1094" ht="15.0" customHeight="1">
      <c r="A1094" s="68" t="s">
        <v>2773</v>
      </c>
      <c r="B1094" s="145">
        <v>3.0</v>
      </c>
      <c r="C1094" s="145">
        <f t="shared" si="79"/>
        <v>0.5454545455</v>
      </c>
      <c r="D1094" s="145"/>
      <c r="E1094" s="976" t="s">
        <v>93</v>
      </c>
      <c r="F1094" s="2437"/>
      <c r="G1094" s="1"/>
      <c r="H1094" s="1"/>
      <c r="I1094" s="1"/>
      <c r="J1094" s="1"/>
      <c r="K1094" s="1"/>
      <c r="L1094" s="1"/>
    </row>
    <row r="1095" ht="15.0" customHeight="1">
      <c r="A1095" s="93" t="s">
        <v>2774</v>
      </c>
      <c r="B1095" s="200">
        <v>3.0</v>
      </c>
      <c r="C1095" s="200">
        <f t="shared" si="79"/>
        <v>0.5454545455</v>
      </c>
      <c r="D1095" s="200"/>
      <c r="E1095" s="981" t="s">
        <v>93</v>
      </c>
      <c r="F1095" s="2438"/>
      <c r="G1095" s="1"/>
      <c r="H1095" s="1"/>
      <c r="I1095" s="1"/>
      <c r="J1095" s="1"/>
      <c r="K1095" s="1"/>
      <c r="L1095" s="1"/>
    </row>
    <row r="1096" ht="15.0" customHeight="1">
      <c r="A1096" s="68" t="s">
        <v>2776</v>
      </c>
      <c r="B1096" s="145">
        <v>2.0</v>
      </c>
      <c r="C1096" s="145">
        <f t="shared" si="79"/>
        <v>0.3636363636</v>
      </c>
      <c r="D1096" s="145"/>
      <c r="E1096" s="976" t="s">
        <v>93</v>
      </c>
      <c r="F1096" s="2437"/>
      <c r="G1096" s="1"/>
      <c r="H1096" s="1"/>
      <c r="I1096" s="1"/>
      <c r="J1096" s="1"/>
      <c r="K1096" s="1"/>
      <c r="L1096" s="1"/>
    </row>
    <row r="1097" ht="15.0" customHeight="1">
      <c r="A1097" s="93" t="s">
        <v>2779</v>
      </c>
      <c r="B1097" s="200">
        <v>2.0</v>
      </c>
      <c r="C1097" s="200">
        <f t="shared" si="79"/>
        <v>0.3636363636</v>
      </c>
      <c r="D1097" s="200"/>
      <c r="E1097" s="981" t="s">
        <v>93</v>
      </c>
      <c r="F1097" s="2438"/>
      <c r="G1097" s="1"/>
      <c r="H1097" s="1"/>
      <c r="I1097" s="1"/>
      <c r="J1097" s="1"/>
      <c r="K1097" s="1"/>
      <c r="L1097" s="1"/>
    </row>
    <row r="1098" ht="15.0" customHeight="1">
      <c r="A1098" s="119" t="s">
        <v>2781</v>
      </c>
      <c r="B1098" s="145">
        <v>110.0</v>
      </c>
      <c r="C1098" s="145">
        <f t="shared" si="79"/>
        <v>20</v>
      </c>
      <c r="D1098" s="145"/>
      <c r="E1098" s="976" t="s">
        <v>18</v>
      </c>
      <c r="F1098" s="2440"/>
      <c r="G1098" s="1"/>
      <c r="H1098" s="1"/>
      <c r="I1098" s="1"/>
      <c r="J1098" s="1"/>
      <c r="K1098" s="1"/>
      <c r="L1098" s="1"/>
    </row>
    <row r="1099" ht="15.0" customHeight="1">
      <c r="A1099" s="93" t="s">
        <v>2774</v>
      </c>
      <c r="B1099" s="200">
        <v>120.0</v>
      </c>
      <c r="C1099" s="200">
        <f t="shared" si="79"/>
        <v>21.81818182</v>
      </c>
      <c r="D1099" s="200"/>
      <c r="E1099" s="981" t="s">
        <v>18</v>
      </c>
      <c r="F1099" s="2441"/>
      <c r="G1099" s="1"/>
      <c r="H1099" s="1"/>
      <c r="I1099" s="1"/>
      <c r="J1099" s="1"/>
      <c r="K1099" s="1"/>
      <c r="L1099" s="1"/>
    </row>
    <row r="1100" ht="15.0" customHeight="1">
      <c r="A1100" s="119" t="s">
        <v>157</v>
      </c>
      <c r="B1100" s="238">
        <v>25.0</v>
      </c>
      <c r="C1100" s="238">
        <f>(B1100*C1093)/B1093</f>
        <v>4.545454545</v>
      </c>
      <c r="D1100" s="282"/>
      <c r="E1100" s="1584" t="s">
        <v>5</v>
      </c>
      <c r="F1100" s="2442" t="s">
        <v>2786</v>
      </c>
      <c r="G1100" s="1"/>
      <c r="H1100" s="1"/>
      <c r="I1100" s="1"/>
      <c r="J1100" s="1"/>
      <c r="K1100" s="1"/>
      <c r="L1100" s="1"/>
    </row>
    <row r="1101" ht="15.0" customHeight="1">
      <c r="A1101" s="105" t="s">
        <v>31</v>
      </c>
      <c r="B1101" s="200">
        <v>550.0</v>
      </c>
      <c r="C1101" s="200">
        <f>(B1101*C1100)/B1100</f>
        <v>100</v>
      </c>
      <c r="D1101" s="202"/>
      <c r="E1101" s="1605" t="s">
        <v>18</v>
      </c>
      <c r="F1101" s="76"/>
      <c r="G1101" s="1"/>
      <c r="H1101" s="1"/>
      <c r="I1101" s="1"/>
      <c r="J1101" s="1"/>
      <c r="K1101" s="1"/>
      <c r="L1101" s="1"/>
    </row>
    <row r="1102" ht="15.0" customHeight="1">
      <c r="A1102" s="342" t="s">
        <v>49</v>
      </c>
      <c r="B1102" s="2345">
        <v>43361.0</v>
      </c>
      <c r="C1102" s="184"/>
      <c r="D1102" s="184"/>
      <c r="E1102" s="1"/>
      <c r="F1102" s="1"/>
      <c r="G1102" s="1"/>
      <c r="H1102" s="1"/>
      <c r="I1102" s="1"/>
      <c r="J1102" s="1"/>
      <c r="K1102" s="1"/>
      <c r="L1102" s="1"/>
    </row>
    <row r="1103" ht="15.0" customHeight="1">
      <c r="A1103" s="342" t="s">
        <v>50</v>
      </c>
      <c r="B1103" s="2419">
        <v>43489.0</v>
      </c>
      <c r="C1103" s="184"/>
      <c r="D1103" s="184"/>
      <c r="E1103" s="1"/>
      <c r="F1103" s="1"/>
      <c r="G1103" s="1"/>
      <c r="H1103" s="1"/>
      <c r="I1103" s="1"/>
      <c r="J1103" s="1"/>
      <c r="K1103" s="1"/>
      <c r="L1103" s="1"/>
    </row>
    <row r="1104" ht="15.0" customHeight="1">
      <c r="A1104" s="1"/>
      <c r="B1104" s="107"/>
      <c r="C1104" s="184"/>
      <c r="D1104" s="184"/>
      <c r="E1104" s="1"/>
      <c r="F1104" s="1"/>
      <c r="G1104" s="1"/>
      <c r="H1104" s="1"/>
      <c r="I1104" s="1"/>
      <c r="J1104" s="1"/>
      <c r="K1104" s="1"/>
      <c r="L1104" s="1"/>
    </row>
    <row r="1105" ht="15.0" customHeight="1">
      <c r="A1105" s="1873" t="s">
        <v>119</v>
      </c>
      <c r="B1105" s="1874" t="s">
        <v>47</v>
      </c>
      <c r="C1105" s="184"/>
      <c r="D1105" s="184"/>
      <c r="E1105" s="1"/>
      <c r="F1105" s="1"/>
      <c r="G1105" s="1"/>
      <c r="H1105" s="1"/>
      <c r="I1105" s="1"/>
      <c r="J1105" s="1"/>
      <c r="K1105" s="1"/>
      <c r="L1105" s="1"/>
    </row>
    <row r="1106" ht="15.75" customHeight="1">
      <c r="A1106" s="1"/>
      <c r="B1106" s="107"/>
      <c r="C1106" s="184"/>
      <c r="D1106" s="184"/>
      <c r="E1106" s="1"/>
      <c r="F1106" s="1"/>
      <c r="G1106" s="1"/>
      <c r="H1106" s="1"/>
      <c r="I1106" s="1"/>
      <c r="J1106" s="1"/>
      <c r="K1106" s="1"/>
      <c r="L1106" s="1"/>
    </row>
    <row r="1107" ht="15.75" customHeight="1">
      <c r="A1107" s="1"/>
      <c r="B1107" s="107"/>
      <c r="C1107" s="184"/>
      <c r="D1107" s="184"/>
      <c r="E1107" s="1"/>
      <c r="F1107" s="1"/>
      <c r="G1107" s="1"/>
      <c r="H1107" s="1"/>
      <c r="I1107" s="1"/>
      <c r="J1107" s="1"/>
      <c r="K1107" s="1"/>
      <c r="L1107" s="1"/>
    </row>
    <row r="1108" ht="15.75" customHeight="1">
      <c r="A1108" s="1"/>
      <c r="B1108" s="107"/>
      <c r="C1108" s="184"/>
      <c r="D1108" s="184"/>
      <c r="E1108" s="1"/>
      <c r="F1108" s="1"/>
      <c r="G1108" s="1"/>
      <c r="H1108" s="1"/>
      <c r="I1108" s="1"/>
      <c r="J1108" s="1"/>
      <c r="K1108" s="1"/>
      <c r="L1108" s="1"/>
    </row>
    <row r="1109" ht="15.75" customHeight="1">
      <c r="A1109" s="1"/>
      <c r="B1109" s="107"/>
      <c r="C1109" s="184"/>
      <c r="D1109" s="184"/>
      <c r="E1109" s="1"/>
      <c r="F1109" s="1"/>
      <c r="G1109" s="1"/>
      <c r="H1109" s="1"/>
      <c r="I1109" s="1"/>
      <c r="J1109" s="1"/>
      <c r="K1109" s="1"/>
      <c r="L1109" s="1"/>
    </row>
    <row r="1110" ht="15.75" customHeight="1">
      <c r="A1110" s="1"/>
      <c r="B1110" s="107"/>
      <c r="C1110" s="184"/>
      <c r="D1110" s="184"/>
      <c r="E1110" s="1"/>
      <c r="F1110" s="1"/>
      <c r="G1110" s="1"/>
      <c r="H1110" s="1"/>
      <c r="I1110" s="1"/>
      <c r="J1110" s="1"/>
      <c r="K1110" s="1"/>
      <c r="L1110" s="1"/>
    </row>
    <row r="1111" ht="15.75" customHeight="1">
      <c r="A1111" s="1"/>
      <c r="B1111" s="107"/>
      <c r="C1111" s="184"/>
      <c r="D1111" s="184"/>
      <c r="E1111" s="1"/>
      <c r="F1111" s="1"/>
      <c r="G1111" s="1"/>
      <c r="H1111" s="1"/>
      <c r="I1111" s="1"/>
      <c r="J1111" s="1"/>
      <c r="K1111" s="1"/>
      <c r="L1111" s="1"/>
    </row>
    <row r="1112" ht="15.0" customHeight="1">
      <c r="A1112" s="1"/>
      <c r="B1112" s="107"/>
      <c r="C1112" s="184"/>
      <c r="D1112" s="184"/>
      <c r="E1112" s="1"/>
      <c r="F1112" s="1"/>
      <c r="G1112" s="1"/>
      <c r="H1112" s="1"/>
      <c r="I1112" s="1"/>
      <c r="J1112" s="1"/>
      <c r="K1112" s="1"/>
      <c r="L1112" s="1"/>
    </row>
    <row r="1113" ht="15.0" customHeight="1">
      <c r="A1113" s="505" t="s">
        <v>962</v>
      </c>
      <c r="B1113" s="18"/>
      <c r="C1113" s="18"/>
      <c r="D1113" s="18"/>
      <c r="E1113" s="19"/>
      <c r="F1113" s="1"/>
      <c r="G1113" s="1"/>
      <c r="H1113" s="1"/>
      <c r="I1113" s="1"/>
      <c r="J1113" s="1"/>
      <c r="K1113" s="1"/>
      <c r="L1113" s="1"/>
    </row>
    <row r="1114" ht="15.0" customHeight="1">
      <c r="A1114" s="2454" t="s">
        <v>1388</v>
      </c>
      <c r="B1114" s="2397">
        <v>40.0</v>
      </c>
      <c r="C1114" s="2455">
        <v>160.0</v>
      </c>
      <c r="D1114" s="2457"/>
      <c r="E1114" s="2337" t="s">
        <v>5</v>
      </c>
      <c r="F1114" s="1"/>
      <c r="G1114" s="1"/>
      <c r="H1114" s="1"/>
      <c r="I1114" s="1"/>
      <c r="J1114" s="1"/>
      <c r="K1114" s="1"/>
      <c r="L1114" s="1"/>
    </row>
    <row r="1115" ht="15.0" customHeight="1">
      <c r="A1115" s="345" t="s">
        <v>53</v>
      </c>
      <c r="B1115" s="2459">
        <v>10.0</v>
      </c>
      <c r="C1115" s="1193">
        <f>(B1115*C1114)/B1114</f>
        <v>40</v>
      </c>
      <c r="D1115" s="1884"/>
      <c r="E1115" s="1398" t="s">
        <v>366</v>
      </c>
      <c r="F1115" s="1"/>
      <c r="G1115" s="1"/>
      <c r="H1115" s="1"/>
      <c r="I1115" s="1"/>
      <c r="J1115" s="1"/>
      <c r="K1115" s="1"/>
      <c r="L1115" s="1"/>
    </row>
    <row r="1116" ht="15.0" customHeight="1">
      <c r="A1116" s="606" t="s">
        <v>59</v>
      </c>
      <c r="B1116" s="2471">
        <v>25.0</v>
      </c>
      <c r="C1116" s="1897">
        <f>(B1116*C1118)/B1118</f>
        <v>100</v>
      </c>
      <c r="D1116" s="1898"/>
      <c r="E1116" s="1403" t="s">
        <v>5</v>
      </c>
      <c r="F1116" s="1"/>
      <c r="G1116" s="1"/>
      <c r="H1116" s="1"/>
      <c r="I1116" s="1"/>
      <c r="J1116" s="1"/>
      <c r="K1116" s="1"/>
      <c r="L1116" s="1"/>
    </row>
    <row r="1117" ht="15.0" customHeight="1">
      <c r="A1117" s="591" t="s">
        <v>743</v>
      </c>
      <c r="B1117" s="2478">
        <v>400.0</v>
      </c>
      <c r="C1117" s="2375">
        <f>(B1117*C1122)/B1122</f>
        <v>1600</v>
      </c>
      <c r="D1117" s="2376"/>
      <c r="E1117" s="1405" t="s">
        <v>82</v>
      </c>
      <c r="F1117" s="1"/>
      <c r="G1117" s="1"/>
      <c r="H1117" s="1"/>
      <c r="I1117" s="1"/>
      <c r="J1117" s="1"/>
      <c r="K1117" s="1"/>
      <c r="L1117" s="1"/>
    </row>
    <row r="1118" ht="15.0" customHeight="1">
      <c r="A1118" s="350" t="s">
        <v>2800</v>
      </c>
      <c r="B1118" s="2480">
        <v>3.0</v>
      </c>
      <c r="C1118" s="1420">
        <f>(B1118*C1115)/B1115</f>
        <v>12</v>
      </c>
      <c r="D1118" s="1886"/>
      <c r="E1118" s="1399" t="s">
        <v>366</v>
      </c>
      <c r="F1118" s="1"/>
      <c r="G1118" s="1"/>
      <c r="H1118" s="1"/>
      <c r="I1118" s="1"/>
      <c r="J1118" s="1"/>
      <c r="K1118" s="1"/>
      <c r="L1118" s="1"/>
    </row>
    <row r="1119" ht="15.0" customHeight="1">
      <c r="A1119" s="350" t="s">
        <v>103</v>
      </c>
      <c r="B1119" s="2480">
        <v>80.0</v>
      </c>
      <c r="C1119" s="1420">
        <f>(B1119*C1117)/B1117</f>
        <v>320</v>
      </c>
      <c r="D1119" s="1886"/>
      <c r="E1119" s="1399" t="s">
        <v>1638</v>
      </c>
      <c r="F1119" s="1"/>
      <c r="G1119" s="1"/>
      <c r="H1119" s="1"/>
      <c r="I1119" s="1"/>
      <c r="J1119" s="1"/>
      <c r="K1119" s="1"/>
      <c r="L1119" s="1"/>
    </row>
    <row r="1120" ht="15.0" customHeight="1">
      <c r="A1120" s="350" t="s">
        <v>2802</v>
      </c>
      <c r="B1120" s="2480">
        <v>125.0</v>
      </c>
      <c r="C1120" s="1420">
        <f>(B1120*C1123)/B1123</f>
        <v>500</v>
      </c>
      <c r="D1120" s="1886"/>
      <c r="E1120" s="1399" t="s">
        <v>1638</v>
      </c>
      <c r="F1120" s="1"/>
      <c r="G1120" s="1"/>
      <c r="H1120" s="1"/>
      <c r="I1120" s="1"/>
      <c r="J1120" s="1"/>
      <c r="K1120" s="1"/>
      <c r="L1120" s="1"/>
    </row>
    <row r="1121" ht="15.0" customHeight="1">
      <c r="A1121" s="350" t="s">
        <v>31</v>
      </c>
      <c r="B1121" s="2480">
        <v>320.0</v>
      </c>
      <c r="C1121" s="1420">
        <f>(B1121*C1116)/B1116</f>
        <v>1280</v>
      </c>
      <c r="D1121" s="1886"/>
      <c r="E1121" s="1399" t="s">
        <v>1638</v>
      </c>
      <c r="F1121" s="1"/>
      <c r="G1121" s="1"/>
      <c r="H1121" s="1"/>
      <c r="I1121" s="1"/>
      <c r="J1121" s="1"/>
      <c r="K1121" s="1"/>
      <c r="L1121" s="1"/>
    </row>
    <row r="1122" ht="15.0" customHeight="1">
      <c r="A1122" s="350" t="s">
        <v>2806</v>
      </c>
      <c r="B1122" s="2480">
        <v>250.0</v>
      </c>
      <c r="C1122" s="1420">
        <f>(B1122*C1121)/B1121</f>
        <v>1000</v>
      </c>
      <c r="D1122" s="1886"/>
      <c r="E1122" s="1399" t="s">
        <v>1638</v>
      </c>
      <c r="F1122" s="1"/>
      <c r="G1122" s="1"/>
      <c r="H1122" s="1"/>
      <c r="I1122" s="1"/>
      <c r="J1122" s="1"/>
      <c r="K1122" s="1"/>
      <c r="L1122" s="1"/>
    </row>
    <row r="1123" ht="15.0" customHeight="1">
      <c r="A1123" s="606" t="s">
        <v>2809</v>
      </c>
      <c r="B1123" s="2471">
        <v>1.0</v>
      </c>
      <c r="C1123" s="1897">
        <f>(B1123*C1119)/B1119</f>
        <v>4</v>
      </c>
      <c r="D1123" s="1898"/>
      <c r="E1123" s="1403" t="s">
        <v>1369</v>
      </c>
      <c r="F1123" s="1"/>
      <c r="G1123" s="1"/>
      <c r="H1123" s="1"/>
      <c r="I1123" s="1"/>
      <c r="J1123" s="1"/>
      <c r="K1123" s="1"/>
      <c r="L1123" s="1"/>
    </row>
    <row r="1124" ht="15.0" customHeight="1">
      <c r="A1124" s="342" t="s">
        <v>49</v>
      </c>
      <c r="B1124" s="2345">
        <v>43361.0</v>
      </c>
      <c r="C1124" s="184"/>
      <c r="D1124" s="184"/>
      <c r="E1124" s="1"/>
      <c r="F1124" s="1"/>
      <c r="G1124" s="1"/>
      <c r="H1124" s="1"/>
      <c r="I1124" s="1"/>
      <c r="J1124" s="1"/>
      <c r="K1124" s="1"/>
      <c r="L1124" s="1"/>
    </row>
    <row r="1125" ht="15.0" customHeight="1">
      <c r="A1125" s="342" t="s">
        <v>50</v>
      </c>
      <c r="B1125" s="2419">
        <v>43489.0</v>
      </c>
      <c r="C1125" s="184"/>
      <c r="D1125" s="184"/>
      <c r="E1125" s="1"/>
      <c r="F1125" s="1"/>
      <c r="G1125" s="1"/>
      <c r="H1125" s="1"/>
      <c r="I1125" s="1"/>
      <c r="J1125" s="1"/>
      <c r="K1125" s="1"/>
      <c r="L1125" s="1"/>
    </row>
    <row r="1126" ht="15.0" customHeight="1">
      <c r="A1126" s="1"/>
      <c r="B1126" s="107"/>
      <c r="C1126" s="184"/>
      <c r="D1126" s="184"/>
      <c r="E1126" s="1"/>
      <c r="F1126" s="1"/>
      <c r="G1126" s="1"/>
      <c r="H1126" s="1"/>
      <c r="I1126" s="1"/>
      <c r="J1126" s="1"/>
      <c r="K1126" s="1"/>
      <c r="L1126" s="1"/>
    </row>
    <row r="1127" ht="15.0" customHeight="1">
      <c r="A1127" s="1873" t="s">
        <v>119</v>
      </c>
      <c r="B1127" s="1874" t="s">
        <v>47</v>
      </c>
      <c r="C1127" s="184"/>
      <c r="D1127" s="184"/>
      <c r="E1127" s="1"/>
      <c r="F1127" s="1"/>
      <c r="G1127" s="1"/>
      <c r="H1127" s="1"/>
      <c r="I1127" s="1"/>
      <c r="J1127" s="1"/>
      <c r="K1127" s="1"/>
      <c r="L1127" s="1"/>
    </row>
    <row r="1128" ht="15.0" customHeight="1">
      <c r="A1128" s="1"/>
      <c r="B1128" s="107"/>
      <c r="C1128" s="184"/>
      <c r="D1128" s="184"/>
      <c r="E1128" s="1"/>
      <c r="F1128" s="1"/>
      <c r="G1128" s="1"/>
      <c r="H1128" s="209" t="s">
        <v>2813</v>
      </c>
      <c r="I1128" s="18"/>
      <c r="J1128" s="18"/>
      <c r="K1128" s="19"/>
      <c r="L1128" s="1"/>
    </row>
    <row r="1129" ht="15.0" customHeight="1">
      <c r="A1129" s="1"/>
      <c r="B1129" s="107"/>
      <c r="C1129" s="184"/>
      <c r="D1129" s="184"/>
      <c r="E1129" s="1"/>
      <c r="F1129" s="1"/>
      <c r="G1129" s="1"/>
      <c r="H1129" s="1678" t="s">
        <v>1</v>
      </c>
      <c r="I1129" s="1679">
        <v>25.0</v>
      </c>
      <c r="J1129" s="2498">
        <v>50.0</v>
      </c>
      <c r="K1129" s="1682" t="s">
        <v>5</v>
      </c>
      <c r="L1129" s="1"/>
    </row>
    <row r="1130" ht="15.0" customHeight="1">
      <c r="A1130" s="1"/>
      <c r="B1130" s="107"/>
      <c r="C1130" s="184"/>
      <c r="D1130" s="184"/>
      <c r="E1130" s="1"/>
      <c r="F1130" s="1"/>
      <c r="G1130" s="1"/>
      <c r="H1130" s="1683" t="s">
        <v>2816</v>
      </c>
      <c r="I1130" s="145">
        <v>4.5</v>
      </c>
      <c r="J1130" s="210">
        <f t="shared" ref="J1130:J1133" si="80">(I1130*J1129)/I1129</f>
        <v>9</v>
      </c>
      <c r="K1130" s="137" t="s">
        <v>14</v>
      </c>
      <c r="L1130" s="1"/>
    </row>
    <row r="1131" ht="15.0" customHeight="1">
      <c r="A1131" s="1"/>
      <c r="B1131" s="107"/>
      <c r="C1131" s="184"/>
      <c r="D1131" s="184"/>
      <c r="E1131" s="1"/>
      <c r="F1131" s="1"/>
      <c r="G1131" s="1"/>
      <c r="H1131" s="1684" t="s">
        <v>2817</v>
      </c>
      <c r="I1131" s="195">
        <v>13.5</v>
      </c>
      <c r="J1131" s="247">
        <f t="shared" si="80"/>
        <v>27</v>
      </c>
      <c r="K1131" s="165" t="s">
        <v>5</v>
      </c>
      <c r="L1131" s="1"/>
    </row>
    <row r="1132" ht="15.0" customHeight="1">
      <c r="A1132" s="209" t="s">
        <v>2813</v>
      </c>
      <c r="B1132" s="18"/>
      <c r="C1132" s="18"/>
      <c r="D1132" s="18"/>
      <c r="E1132" s="19"/>
      <c r="F1132" s="2499" t="s">
        <v>1682</v>
      </c>
      <c r="G1132" s="1"/>
      <c r="H1132" s="1684" t="s">
        <v>2819</v>
      </c>
      <c r="I1132" s="195">
        <v>12.0</v>
      </c>
      <c r="J1132" s="247">
        <f t="shared" si="80"/>
        <v>24</v>
      </c>
      <c r="K1132" s="165" t="s">
        <v>1208</v>
      </c>
      <c r="L1132" s="1"/>
    </row>
    <row r="1133" ht="15.0" customHeight="1">
      <c r="A1133" s="1678" t="s">
        <v>1</v>
      </c>
      <c r="B1133" s="1679">
        <v>50.0</v>
      </c>
      <c r="C1133" s="2498">
        <v>50.0</v>
      </c>
      <c r="D1133" s="2500"/>
      <c r="E1133" s="1682" t="s">
        <v>5</v>
      </c>
      <c r="F1133" s="1"/>
      <c r="G1133" s="1"/>
      <c r="H1133" s="1685" t="s">
        <v>2820</v>
      </c>
      <c r="I1133" s="200">
        <f>I1132*0.2</f>
        <v>2.4</v>
      </c>
      <c r="J1133" s="522">
        <f t="shared" si="80"/>
        <v>4.8</v>
      </c>
      <c r="K1133" s="172" t="s">
        <v>366</v>
      </c>
      <c r="L1133" s="1"/>
    </row>
    <row r="1134" ht="15.0" customHeight="1">
      <c r="A1134" s="1683" t="s">
        <v>2816</v>
      </c>
      <c r="B1134" s="145">
        <v>8.5</v>
      </c>
      <c r="C1134" s="210">
        <f t="shared" ref="C1134:C1137" si="81">(B1134*C1133)/B1133</f>
        <v>8.5</v>
      </c>
      <c r="D1134" s="81"/>
      <c r="E1134" s="137" t="s">
        <v>14</v>
      </c>
      <c r="F1134" s="610" t="s">
        <v>2821</v>
      </c>
      <c r="G1134" s="1"/>
      <c r="H1134" s="1686" t="s">
        <v>34</v>
      </c>
      <c r="I1134" s="238">
        <v>0.9</v>
      </c>
      <c r="J1134" s="523">
        <f t="shared" ref="J1134:J1136" si="82">(I1134*J1130)/I1130</f>
        <v>1.8</v>
      </c>
      <c r="K1134" s="176" t="s">
        <v>5</v>
      </c>
      <c r="L1134" s="1"/>
    </row>
    <row r="1135" ht="15.0" customHeight="1">
      <c r="A1135" s="1684" t="s">
        <v>2817</v>
      </c>
      <c r="B1135" s="195">
        <v>24.0</v>
      </c>
      <c r="C1135" s="247">
        <f t="shared" si="81"/>
        <v>24</v>
      </c>
      <c r="D1135" s="95"/>
      <c r="E1135" s="165" t="s">
        <v>5</v>
      </c>
      <c r="F1135" s="47"/>
      <c r="G1135" s="1"/>
      <c r="H1135" s="1684" t="s">
        <v>97</v>
      </c>
      <c r="I1135" s="195">
        <v>40.0</v>
      </c>
      <c r="J1135" s="247">
        <f t="shared" si="82"/>
        <v>80</v>
      </c>
      <c r="K1135" s="165" t="s">
        <v>18</v>
      </c>
      <c r="L1135" s="1"/>
    </row>
    <row r="1136" ht="15.0" customHeight="1">
      <c r="A1136" s="1684" t="s">
        <v>2819</v>
      </c>
      <c r="B1136" s="195">
        <v>12.0</v>
      </c>
      <c r="C1136" s="247">
        <f t="shared" si="81"/>
        <v>12</v>
      </c>
      <c r="D1136" s="95"/>
      <c r="E1136" s="165" t="s">
        <v>1208</v>
      </c>
      <c r="F1136" s="47"/>
      <c r="G1136" s="1"/>
      <c r="H1136" s="1684" t="s">
        <v>126</v>
      </c>
      <c r="I1136" s="195">
        <v>50.0</v>
      </c>
      <c r="J1136" s="247">
        <f t="shared" si="82"/>
        <v>100</v>
      </c>
      <c r="K1136" s="249" t="s">
        <v>18</v>
      </c>
      <c r="L1136" s="1"/>
    </row>
    <row r="1137" ht="15.0" customHeight="1">
      <c r="A1137" s="1685" t="s">
        <v>2820</v>
      </c>
      <c r="B1137" s="200">
        <v>2.5</v>
      </c>
      <c r="C1137" s="522">
        <f t="shared" si="81"/>
        <v>2.5</v>
      </c>
      <c r="D1137" s="114"/>
      <c r="E1137" s="172" t="s">
        <v>366</v>
      </c>
      <c r="F1137" s="76"/>
      <c r="G1137" s="1"/>
      <c r="H1137" s="1684" t="s">
        <v>101</v>
      </c>
      <c r="I1137" s="195">
        <v>0.6</v>
      </c>
      <c r="J1137" s="247">
        <f t="shared" ref="J1137:J1139" si="83">(I1137*J1130)/I1130</f>
        <v>1.2</v>
      </c>
      <c r="K1137" s="249" t="s">
        <v>5</v>
      </c>
      <c r="L1137" s="1"/>
    </row>
    <row r="1138" ht="15.0" customHeight="1">
      <c r="A1138" s="1686" t="s">
        <v>34</v>
      </c>
      <c r="B1138" s="238">
        <v>1.7</v>
      </c>
      <c r="C1138" s="523">
        <f t="shared" ref="C1138:C1140" si="84">(B1138*C1134)/B1134</f>
        <v>1.7</v>
      </c>
      <c r="D1138" s="132"/>
      <c r="E1138" s="176" t="s">
        <v>5</v>
      </c>
      <c r="F1138" s="770" t="s">
        <v>2826</v>
      </c>
      <c r="G1138" s="1"/>
      <c r="H1138" s="1684" t="s">
        <v>103</v>
      </c>
      <c r="I1138" s="195">
        <v>40.0</v>
      </c>
      <c r="J1138" s="247">
        <f t="shared" si="83"/>
        <v>80</v>
      </c>
      <c r="K1138" s="249" t="s">
        <v>18</v>
      </c>
      <c r="L1138" s="1"/>
    </row>
    <row r="1139" ht="15.0" customHeight="1">
      <c r="A1139" s="1684" t="s">
        <v>97</v>
      </c>
      <c r="B1139" s="195">
        <v>80.0</v>
      </c>
      <c r="C1139" s="247">
        <f t="shared" si="84"/>
        <v>80</v>
      </c>
      <c r="D1139" s="95"/>
      <c r="E1139" s="165" t="s">
        <v>18</v>
      </c>
      <c r="F1139" s="47"/>
      <c r="G1139" s="1"/>
      <c r="H1139" s="1684" t="s">
        <v>2827</v>
      </c>
      <c r="I1139" s="195">
        <v>75.0</v>
      </c>
      <c r="J1139" s="247">
        <f t="shared" si="83"/>
        <v>150</v>
      </c>
      <c r="K1139" s="249" t="s">
        <v>18</v>
      </c>
      <c r="L1139" s="1"/>
    </row>
    <row r="1140" ht="15.0" customHeight="1">
      <c r="A1140" s="1684" t="s">
        <v>126</v>
      </c>
      <c r="B1140" s="195">
        <v>50.0</v>
      </c>
      <c r="C1140" s="247">
        <f t="shared" si="84"/>
        <v>50</v>
      </c>
      <c r="D1140" s="95"/>
      <c r="E1140" s="249" t="s">
        <v>18</v>
      </c>
      <c r="F1140" s="47"/>
      <c r="G1140" s="1"/>
      <c r="H1140" s="1687" t="s">
        <v>149</v>
      </c>
      <c r="I1140" s="279">
        <v>150.0</v>
      </c>
      <c r="J1140" s="239">
        <f t="shared" ref="J1140:J1144" si="85">(I1140*J1131)/I1131</f>
        <v>300</v>
      </c>
      <c r="K1140" s="242" t="s">
        <v>18</v>
      </c>
      <c r="L1140" s="1"/>
    </row>
    <row r="1141" ht="15.0" customHeight="1">
      <c r="A1141" s="1684" t="s">
        <v>101</v>
      </c>
      <c r="B1141" s="195">
        <v>0.6</v>
      </c>
      <c r="C1141" s="247">
        <f t="shared" ref="C1141:C1143" si="86">(B1141*C1134)/B1134</f>
        <v>0.6</v>
      </c>
      <c r="D1141" s="95"/>
      <c r="E1141" s="249" t="s">
        <v>5</v>
      </c>
      <c r="F1141" s="47"/>
      <c r="G1141" s="1"/>
      <c r="H1141" s="1683" t="s">
        <v>2830</v>
      </c>
      <c r="I1141" s="145">
        <v>1.5</v>
      </c>
      <c r="J1141" s="210">
        <f t="shared" si="85"/>
        <v>3</v>
      </c>
      <c r="K1141" s="216" t="s">
        <v>366</v>
      </c>
      <c r="L1141" s="1"/>
    </row>
    <row r="1142" ht="15.0" customHeight="1">
      <c r="A1142" s="1684" t="s">
        <v>103</v>
      </c>
      <c r="B1142" s="195">
        <v>80.0</v>
      </c>
      <c r="C1142" s="247">
        <f t="shared" si="86"/>
        <v>80</v>
      </c>
      <c r="D1142" s="95"/>
      <c r="E1142" s="249" t="s">
        <v>18</v>
      </c>
      <c r="F1142" s="47"/>
      <c r="G1142" s="1"/>
      <c r="H1142" s="1684" t="s">
        <v>2831</v>
      </c>
      <c r="I1142" s="195">
        <v>1.0</v>
      </c>
      <c r="J1142" s="247">
        <f t="shared" si="85"/>
        <v>2</v>
      </c>
      <c r="K1142" s="249" t="s">
        <v>366</v>
      </c>
      <c r="L1142" s="1"/>
    </row>
    <row r="1143" ht="15.0" customHeight="1">
      <c r="A1143" s="1684" t="s">
        <v>2827</v>
      </c>
      <c r="B1143" s="195">
        <v>200.0</v>
      </c>
      <c r="C1143" s="247">
        <f t="shared" si="86"/>
        <v>200</v>
      </c>
      <c r="D1143" s="95"/>
      <c r="E1143" s="249" t="s">
        <v>18</v>
      </c>
      <c r="F1143" s="47"/>
      <c r="G1143" s="1"/>
      <c r="H1143" s="1684" t="s">
        <v>1627</v>
      </c>
      <c r="I1143" s="195">
        <v>0.5</v>
      </c>
      <c r="J1143" s="247">
        <f t="shared" si="85"/>
        <v>1</v>
      </c>
      <c r="K1143" s="249" t="s">
        <v>366</v>
      </c>
      <c r="L1143" s="1"/>
    </row>
    <row r="1144" ht="15.0" customHeight="1">
      <c r="A1144" s="1687" t="s">
        <v>149</v>
      </c>
      <c r="B1144" s="279">
        <v>300.0</v>
      </c>
      <c r="C1144" s="239">
        <f t="shared" ref="C1144:C1146" si="87">(B1144*C1135)/B1135</f>
        <v>300</v>
      </c>
      <c r="D1144" s="151"/>
      <c r="E1144" s="242" t="s">
        <v>18</v>
      </c>
      <c r="F1144" s="76"/>
      <c r="G1144" s="1"/>
      <c r="H1144" s="1687" t="s">
        <v>2639</v>
      </c>
      <c r="I1144" s="279">
        <v>1.0</v>
      </c>
      <c r="J1144" s="239">
        <f t="shared" si="85"/>
        <v>2</v>
      </c>
      <c r="K1144" s="242" t="s">
        <v>366</v>
      </c>
      <c r="L1144" s="1"/>
    </row>
    <row r="1145" ht="15.0" customHeight="1">
      <c r="A1145" s="1683" t="s">
        <v>2830</v>
      </c>
      <c r="B1145" s="145">
        <v>3.0</v>
      </c>
      <c r="C1145" s="210">
        <f t="shared" si="87"/>
        <v>3</v>
      </c>
      <c r="D1145" s="81"/>
      <c r="E1145" s="216" t="s">
        <v>366</v>
      </c>
      <c r="F1145" s="610" t="s">
        <v>2836</v>
      </c>
      <c r="G1145" s="1"/>
      <c r="H1145" s="2514" t="s">
        <v>31</v>
      </c>
      <c r="I1145" s="275">
        <f>SUM(I1141:I1144)*12</f>
        <v>48</v>
      </c>
      <c r="J1145" s="545">
        <f>(I1145*J1133)/I1133</f>
        <v>96</v>
      </c>
      <c r="K1145" s="278" t="s">
        <v>18</v>
      </c>
      <c r="L1145" s="1"/>
    </row>
    <row r="1146" ht="15.0" customHeight="1">
      <c r="A1146" s="1684" t="s">
        <v>2831</v>
      </c>
      <c r="B1146" s="195">
        <v>2.5</v>
      </c>
      <c r="C1146" s="247">
        <f t="shared" si="87"/>
        <v>2.5</v>
      </c>
      <c r="D1146" s="95"/>
      <c r="E1146" s="249" t="s">
        <v>366</v>
      </c>
      <c r="F1146" s="47"/>
      <c r="G1146" s="1"/>
      <c r="H1146" s="1683" t="s">
        <v>31</v>
      </c>
      <c r="I1146" s="145">
        <v>280.0</v>
      </c>
      <c r="J1146" s="210">
        <f t="shared" ref="J1146:J1147" si="88">(I1146*J1130)/I1130</f>
        <v>560</v>
      </c>
      <c r="K1146" s="137" t="s">
        <v>18</v>
      </c>
      <c r="L1146" s="1"/>
    </row>
    <row r="1147" ht="15.0" customHeight="1">
      <c r="A1147" s="2515" t="s">
        <v>2841</v>
      </c>
      <c r="B1147" s="2130">
        <v>1.5</v>
      </c>
      <c r="C1147" s="2516">
        <f t="shared" ref="C1147:C1149" si="89">(B1147*C1137)/B1137</f>
        <v>1.5</v>
      </c>
      <c r="D1147" s="2517"/>
      <c r="E1147" s="2133" t="s">
        <v>366</v>
      </c>
      <c r="F1147" s="47"/>
      <c r="G1147" s="1"/>
      <c r="H1147" s="1684" t="s">
        <v>13</v>
      </c>
      <c r="I1147" s="195">
        <v>150.0</v>
      </c>
      <c r="J1147" s="247">
        <f t="shared" si="88"/>
        <v>300</v>
      </c>
      <c r="K1147" s="165" t="s">
        <v>18</v>
      </c>
      <c r="L1147" s="1"/>
    </row>
    <row r="1148" ht="15.0" customHeight="1">
      <c r="A1148" s="2515" t="s">
        <v>1627</v>
      </c>
      <c r="B1148" s="2130">
        <v>1.5</v>
      </c>
      <c r="C1148" s="2516">
        <f t="shared" si="89"/>
        <v>1.5</v>
      </c>
      <c r="D1148" s="2517"/>
      <c r="E1148" s="2133" t="s">
        <v>366</v>
      </c>
      <c r="F1148" s="47"/>
      <c r="G1148" s="1"/>
      <c r="H1148" s="1684" t="s">
        <v>2843</v>
      </c>
      <c r="I1148" s="195">
        <v>60.0</v>
      </c>
      <c r="J1148" s="247">
        <f t="shared" ref="J1148:J1149" si="90">(I1148*J1131)/I1131</f>
        <v>120</v>
      </c>
      <c r="K1148" s="165" t="s">
        <v>18</v>
      </c>
      <c r="L1148" s="1"/>
    </row>
    <row r="1149" ht="15.0" customHeight="1">
      <c r="A1149" s="1687" t="s">
        <v>2639</v>
      </c>
      <c r="B1149" s="279">
        <v>1.5</v>
      </c>
      <c r="C1149" s="239">
        <f t="shared" si="89"/>
        <v>1.5</v>
      </c>
      <c r="D1149" s="151"/>
      <c r="E1149" s="242" t="s">
        <v>366</v>
      </c>
      <c r="F1149" s="76"/>
      <c r="G1149" s="1"/>
      <c r="H1149" s="1685" t="s">
        <v>114</v>
      </c>
      <c r="I1149" s="200">
        <v>2.0</v>
      </c>
      <c r="J1149" s="522">
        <f t="shared" si="90"/>
        <v>4</v>
      </c>
      <c r="K1149" s="172" t="s">
        <v>5</v>
      </c>
      <c r="L1149" s="1"/>
    </row>
    <row r="1150" ht="15.0" customHeight="1">
      <c r="A1150" s="2514" t="s">
        <v>31</v>
      </c>
      <c r="B1150" s="275">
        <f>SUM(B1145:B1149)*12</f>
        <v>120</v>
      </c>
      <c r="C1150" s="545">
        <f>(B1150*C1137)/B1137</f>
        <v>120</v>
      </c>
      <c r="D1150" s="180"/>
      <c r="E1150" s="278" t="s">
        <v>18</v>
      </c>
      <c r="F1150" s="610" t="s">
        <v>2845</v>
      </c>
      <c r="G1150" s="1"/>
      <c r="H1150" s="1"/>
      <c r="I1150" s="1"/>
      <c r="J1150" s="1"/>
      <c r="K1150" s="1"/>
      <c r="L1150" s="1"/>
    </row>
    <row r="1151" ht="15.0" customHeight="1">
      <c r="A1151" s="1683" t="s">
        <v>31</v>
      </c>
      <c r="B1151" s="145">
        <v>560.0</v>
      </c>
      <c r="C1151" s="210">
        <f t="shared" ref="C1151:C1152" si="91">(B1151*C1134)/B1134</f>
        <v>560</v>
      </c>
      <c r="D1151" s="81"/>
      <c r="E1151" s="137" t="s">
        <v>18</v>
      </c>
      <c r="F1151" s="47"/>
      <c r="G1151" s="1"/>
      <c r="H1151" s="1"/>
      <c r="I1151" s="1"/>
      <c r="J1151" s="1"/>
      <c r="K1151" s="1"/>
      <c r="L1151" s="1"/>
    </row>
    <row r="1152" ht="15.0" customHeight="1">
      <c r="A1152" s="1684" t="s">
        <v>13</v>
      </c>
      <c r="B1152" s="195">
        <v>300.0</v>
      </c>
      <c r="C1152" s="247">
        <f t="shared" si="91"/>
        <v>300</v>
      </c>
      <c r="D1152" s="95"/>
      <c r="E1152" s="165" t="s">
        <v>18</v>
      </c>
      <c r="F1152" s="47"/>
      <c r="G1152" s="1"/>
      <c r="H1152" s="1"/>
      <c r="I1152" s="1"/>
      <c r="J1152" s="1"/>
      <c r="K1152" s="1"/>
      <c r="L1152" s="1"/>
    </row>
    <row r="1153" ht="15.0" customHeight="1">
      <c r="A1153" s="1684" t="s">
        <v>2843</v>
      </c>
      <c r="B1153" s="195">
        <v>120.0</v>
      </c>
      <c r="C1153" s="247">
        <f t="shared" ref="C1153:C1155" si="92">(B1153*C1134)/B1134</f>
        <v>120</v>
      </c>
      <c r="D1153" s="95"/>
      <c r="E1153" s="165" t="s">
        <v>18</v>
      </c>
      <c r="F1153" s="47"/>
      <c r="G1153" s="1"/>
      <c r="H1153" s="1"/>
      <c r="I1153" s="1"/>
      <c r="J1153" s="1"/>
      <c r="K1153" s="1"/>
      <c r="L1153" s="1"/>
    </row>
    <row r="1154" ht="15.0" customHeight="1">
      <c r="A1154" s="1684" t="s">
        <v>2847</v>
      </c>
      <c r="B1154" s="195">
        <v>0.5</v>
      </c>
      <c r="C1154" s="247">
        <f t="shared" si="92"/>
        <v>0.5</v>
      </c>
      <c r="D1154" s="95"/>
      <c r="E1154" s="165" t="s">
        <v>366</v>
      </c>
      <c r="F1154" s="47"/>
      <c r="G1154" s="1"/>
      <c r="H1154" s="1"/>
      <c r="I1154" s="1"/>
      <c r="J1154" s="1"/>
      <c r="K1154" s="1"/>
      <c r="L1154" s="1"/>
    </row>
    <row r="1155" ht="15.0" customHeight="1">
      <c r="A1155" s="1685" t="s">
        <v>527</v>
      </c>
      <c r="B1155" s="200">
        <v>1.5</v>
      </c>
      <c r="C1155" s="522">
        <f t="shared" si="92"/>
        <v>1.5</v>
      </c>
      <c r="D1155" s="114"/>
      <c r="E1155" s="172" t="s">
        <v>526</v>
      </c>
      <c r="F1155" s="76"/>
      <c r="G1155" s="1"/>
      <c r="H1155" s="1"/>
      <c r="I1155" s="1"/>
      <c r="J1155" s="1"/>
      <c r="K1155" s="1"/>
      <c r="L1155" s="1"/>
    </row>
    <row r="1156" ht="15.0" customHeight="1">
      <c r="A1156" s="305" t="s">
        <v>120</v>
      </c>
      <c r="B1156" s="804"/>
      <c r="C1156" s="804">
        <v>43488.0</v>
      </c>
      <c r="D1156" s="807"/>
      <c r="E1156" s="1"/>
      <c r="F1156" s="1"/>
      <c r="G1156" s="1"/>
      <c r="H1156" s="1"/>
      <c r="I1156" s="1"/>
      <c r="J1156" s="1"/>
      <c r="K1156" s="1"/>
      <c r="L1156" s="1"/>
    </row>
    <row r="1157" ht="15.0" customHeight="1">
      <c r="A1157" s="305" t="s">
        <v>50</v>
      </c>
      <c r="B1157" s="804"/>
      <c r="C1157" s="804">
        <v>43619.0</v>
      </c>
      <c r="D1157" s="807"/>
      <c r="E1157" s="1"/>
      <c r="F1157" s="1"/>
      <c r="G1157" s="1"/>
      <c r="H1157" s="1"/>
      <c r="I1157" s="1"/>
      <c r="J1157" s="1"/>
      <c r="K1157" s="1"/>
      <c r="L1157" s="1"/>
    </row>
    <row r="1158" ht="15.0" customHeight="1">
      <c r="A1158" s="1"/>
      <c r="B1158" s="107"/>
      <c r="C1158" s="184"/>
      <c r="D1158" s="184"/>
      <c r="E1158" s="1"/>
      <c r="F1158" s="1"/>
      <c r="G1158" s="1"/>
      <c r="H1158" s="1"/>
      <c r="I1158" s="1"/>
      <c r="J1158" s="1"/>
      <c r="K1158" s="1"/>
      <c r="L1158" s="1"/>
    </row>
    <row r="1159" ht="15.0" customHeight="1">
      <c r="A1159" s="1873" t="s">
        <v>119</v>
      </c>
      <c r="B1159" s="1874" t="s">
        <v>47</v>
      </c>
      <c r="C1159" s="184"/>
      <c r="D1159" s="184"/>
      <c r="E1159" s="1"/>
      <c r="F1159" s="1"/>
      <c r="G1159" s="1"/>
      <c r="H1159" s="1"/>
      <c r="I1159" s="1"/>
      <c r="J1159" s="1"/>
      <c r="K1159" s="1"/>
      <c r="L1159" s="1"/>
    </row>
    <row r="1160" ht="15.0" customHeight="1">
      <c r="A1160" s="1"/>
      <c r="B1160" s="107"/>
      <c r="C1160" s="184"/>
      <c r="D1160" s="184"/>
      <c r="E1160" s="1"/>
      <c r="F1160" s="1"/>
      <c r="G1160" s="1"/>
      <c r="H1160" s="1"/>
      <c r="I1160" s="1"/>
      <c r="J1160" s="1"/>
      <c r="K1160" s="1"/>
      <c r="L1160" s="1"/>
    </row>
    <row r="1161" ht="15.0" customHeight="1">
      <c r="A1161" s="1"/>
      <c r="B1161" s="107"/>
      <c r="C1161" s="184"/>
      <c r="D1161" s="184"/>
      <c r="E1161" s="1"/>
      <c r="F1161" s="1"/>
      <c r="G1161" s="1"/>
      <c r="H1161" s="1"/>
      <c r="I1161" s="1"/>
      <c r="J1161" s="1"/>
      <c r="K1161" s="1"/>
      <c r="L1161" s="1"/>
    </row>
    <row r="1162" ht="15.0" customHeight="1">
      <c r="A1162" s="1"/>
      <c r="B1162" s="107"/>
      <c r="C1162" s="184"/>
      <c r="D1162" s="184"/>
      <c r="E1162" s="1"/>
      <c r="F1162" s="1"/>
      <c r="G1162" s="1"/>
      <c r="H1162" s="1"/>
      <c r="I1162" s="1"/>
      <c r="J1162" s="1"/>
      <c r="K1162" s="1"/>
      <c r="L1162" s="1"/>
    </row>
    <row r="1163" ht="15.0" customHeight="1">
      <c r="A1163" s="1"/>
      <c r="B1163" s="107"/>
      <c r="C1163" s="184"/>
      <c r="D1163" s="184"/>
      <c r="E1163" s="1"/>
      <c r="F1163" s="1"/>
      <c r="G1163" s="1"/>
      <c r="H1163" s="1"/>
      <c r="I1163" s="1"/>
      <c r="J1163" s="1"/>
      <c r="K1163" s="1"/>
      <c r="L1163" s="1"/>
    </row>
    <row r="1164" ht="15.0" customHeight="1">
      <c r="A1164" s="1326" t="s">
        <v>914</v>
      </c>
      <c r="B1164" s="18"/>
      <c r="C1164" s="18"/>
      <c r="D1164" s="18"/>
      <c r="E1164" s="19"/>
      <c r="F1164" s="971" t="s">
        <v>1077</v>
      </c>
      <c r="G1164" s="1"/>
      <c r="H1164" s="1"/>
      <c r="I1164" s="1"/>
      <c r="J1164" s="1"/>
      <c r="K1164" s="1"/>
      <c r="L1164" s="1"/>
    </row>
    <row r="1165" ht="15.0" customHeight="1">
      <c r="A1165" s="2540" t="s">
        <v>1</v>
      </c>
      <c r="B1165" s="2541">
        <v>5.0</v>
      </c>
      <c r="C1165" s="2542">
        <v>20.0</v>
      </c>
      <c r="D1165" s="2543"/>
      <c r="E1165" s="2546" t="s">
        <v>5</v>
      </c>
      <c r="F1165" s="1"/>
      <c r="G1165" s="1"/>
      <c r="H1165" s="1"/>
      <c r="I1165" s="1"/>
      <c r="J1165" s="1"/>
      <c r="K1165" s="1"/>
      <c r="L1165" s="1"/>
    </row>
    <row r="1166" ht="15.0" customHeight="1">
      <c r="A1166" s="68" t="s">
        <v>2865</v>
      </c>
      <c r="B1166" s="145">
        <v>0.9</v>
      </c>
      <c r="C1166" s="210">
        <f t="shared" ref="C1166:C1170" si="93">(B1166*C1165)/B1165</f>
        <v>3.6</v>
      </c>
      <c r="D1166" s="81"/>
      <c r="E1166" s="1157" t="s">
        <v>14</v>
      </c>
      <c r="F1166" s="2549" t="s">
        <v>2868</v>
      </c>
      <c r="G1166" s="1"/>
      <c r="H1166" s="1"/>
      <c r="I1166" s="1"/>
      <c r="J1166" s="1"/>
      <c r="K1166" s="1"/>
      <c r="L1166" s="1"/>
    </row>
    <row r="1167" ht="15.0" customHeight="1">
      <c r="A1167" s="93" t="s">
        <v>2871</v>
      </c>
      <c r="B1167" s="195">
        <v>5.0</v>
      </c>
      <c r="C1167" s="247">
        <f t="shared" si="93"/>
        <v>20</v>
      </c>
      <c r="D1167" s="95"/>
      <c r="E1167" s="1158" t="s">
        <v>5</v>
      </c>
      <c r="F1167" s="66"/>
      <c r="G1167" s="1"/>
      <c r="H1167" s="1"/>
      <c r="I1167" s="1"/>
      <c r="J1167" s="1"/>
      <c r="K1167" s="1"/>
      <c r="L1167" s="1"/>
    </row>
    <row r="1168" ht="15.0" customHeight="1">
      <c r="A1168" s="93" t="s">
        <v>2872</v>
      </c>
      <c r="B1168" s="195">
        <v>5.0</v>
      </c>
      <c r="C1168" s="247">
        <f t="shared" si="93"/>
        <v>20</v>
      </c>
      <c r="D1168" s="95"/>
      <c r="E1168" s="1158" t="s">
        <v>82</v>
      </c>
      <c r="F1168" s="106"/>
      <c r="G1168" s="1"/>
      <c r="H1168" s="1"/>
      <c r="I1168" s="1"/>
      <c r="J1168" s="1"/>
      <c r="K1168" s="1"/>
      <c r="L1168" s="1"/>
    </row>
    <row r="1169" ht="15.0" customHeight="1">
      <c r="A1169" s="138" t="s">
        <v>2873</v>
      </c>
      <c r="B1169" s="279">
        <v>20.0</v>
      </c>
      <c r="C1169" s="239">
        <f t="shared" si="93"/>
        <v>80</v>
      </c>
      <c r="D1169" s="151"/>
      <c r="E1169" s="1219" t="s">
        <v>18</v>
      </c>
      <c r="F1169" s="1"/>
      <c r="G1169" s="1"/>
      <c r="H1169" s="1"/>
      <c r="I1169" s="1"/>
      <c r="J1169" s="1"/>
      <c r="K1169" s="1"/>
      <c r="L1169" s="1"/>
    </row>
    <row r="1170" ht="15.0" customHeight="1">
      <c r="A1170" s="68" t="s">
        <v>91</v>
      </c>
      <c r="B1170" s="145">
        <v>0.2</v>
      </c>
      <c r="C1170" s="210">
        <f t="shared" si="93"/>
        <v>0.8</v>
      </c>
      <c r="D1170" s="81"/>
      <c r="E1170" s="1157" t="s">
        <v>5</v>
      </c>
      <c r="F1170" s="610" t="s">
        <v>2875</v>
      </c>
      <c r="G1170" s="1"/>
      <c r="H1170" s="1"/>
      <c r="I1170" s="1"/>
      <c r="J1170" s="1"/>
      <c r="K1170" s="1"/>
      <c r="L1170" s="1"/>
    </row>
    <row r="1171" ht="15.0" customHeight="1">
      <c r="A1171" s="93" t="s">
        <v>2876</v>
      </c>
      <c r="B1171" s="195">
        <v>10.0</v>
      </c>
      <c r="C1171" s="247">
        <f t="shared" ref="C1171:C1172" si="94">(B1171*C1169)/B1169</f>
        <v>40</v>
      </c>
      <c r="D1171" s="95"/>
      <c r="E1171" s="1158" t="s">
        <v>18</v>
      </c>
      <c r="F1171" s="47"/>
      <c r="G1171" s="1"/>
      <c r="H1171" s="1"/>
      <c r="I1171" s="1"/>
      <c r="J1171" s="1"/>
      <c r="K1171" s="1"/>
      <c r="L1171" s="1"/>
    </row>
    <row r="1172" ht="15.0" customHeight="1">
      <c r="A1172" s="93" t="s">
        <v>2877</v>
      </c>
      <c r="B1172" s="195">
        <v>1.0</v>
      </c>
      <c r="C1172" s="247">
        <f t="shared" si="94"/>
        <v>4</v>
      </c>
      <c r="D1172" s="95"/>
      <c r="E1172" s="1158" t="s">
        <v>18</v>
      </c>
      <c r="F1172" s="47"/>
      <c r="G1172" s="1"/>
      <c r="H1172" s="1"/>
      <c r="I1172" s="1"/>
      <c r="J1172" s="1"/>
      <c r="K1172" s="1"/>
      <c r="L1172" s="1"/>
    </row>
    <row r="1173" ht="15.0" customHeight="1">
      <c r="A1173" s="93" t="s">
        <v>83</v>
      </c>
      <c r="B1173" s="195">
        <v>30.0</v>
      </c>
      <c r="C1173" s="247">
        <f>(B1173*C1170)/B1170</f>
        <v>120</v>
      </c>
      <c r="D1173" s="95"/>
      <c r="E1173" s="1158" t="s">
        <v>18</v>
      </c>
      <c r="F1173" s="47"/>
      <c r="G1173" s="1"/>
      <c r="H1173" s="1"/>
      <c r="I1173" s="1"/>
      <c r="J1173" s="1"/>
      <c r="K1173" s="1"/>
      <c r="L1173" s="1"/>
    </row>
    <row r="1174" ht="15.0" customHeight="1">
      <c r="A1174" s="105" t="s">
        <v>103</v>
      </c>
      <c r="B1174" s="200">
        <v>7.5</v>
      </c>
      <c r="C1174" s="522">
        <f t="shared" ref="C1174:C1187" si="95">(B1174*C1173)/B1173</f>
        <v>30</v>
      </c>
      <c r="D1174" s="114"/>
      <c r="E1174" s="1182" t="s">
        <v>18</v>
      </c>
      <c r="F1174" s="47"/>
      <c r="G1174" s="1"/>
      <c r="H1174" s="1"/>
      <c r="I1174" s="1"/>
      <c r="J1174" s="1"/>
      <c r="K1174" s="1"/>
      <c r="L1174" s="1"/>
    </row>
    <row r="1175" ht="15.0" customHeight="1">
      <c r="A1175" s="68" t="s">
        <v>2878</v>
      </c>
      <c r="B1175" s="145">
        <v>0.25</v>
      </c>
      <c r="C1175" s="53">
        <f t="shared" si="95"/>
        <v>1</v>
      </c>
      <c r="D1175" s="59"/>
      <c r="E1175" s="1157" t="s">
        <v>14</v>
      </c>
      <c r="F1175" s="47"/>
      <c r="G1175" s="1"/>
      <c r="H1175" s="1"/>
      <c r="I1175" s="1"/>
      <c r="J1175" s="1"/>
      <c r="K1175" s="1"/>
      <c r="L1175" s="1"/>
    </row>
    <row r="1176" ht="15.0" customHeight="1">
      <c r="A1176" s="93" t="s">
        <v>2880</v>
      </c>
      <c r="B1176" s="195">
        <v>0.25</v>
      </c>
      <c r="C1176" s="239">
        <f t="shared" si="95"/>
        <v>1</v>
      </c>
      <c r="D1176" s="151"/>
      <c r="E1176" s="1158" t="s">
        <v>14</v>
      </c>
      <c r="F1176" s="47"/>
      <c r="G1176" s="1"/>
      <c r="H1176" s="1"/>
      <c r="I1176" s="1"/>
      <c r="J1176" s="1"/>
      <c r="K1176" s="1"/>
      <c r="L1176" s="1"/>
    </row>
    <row r="1177" ht="15.0" customHeight="1">
      <c r="A1177" s="93" t="s">
        <v>2881</v>
      </c>
      <c r="B1177" s="195">
        <v>0.25</v>
      </c>
      <c r="C1177" s="239">
        <f t="shared" si="95"/>
        <v>1</v>
      </c>
      <c r="D1177" s="151"/>
      <c r="E1177" s="1158" t="s">
        <v>14</v>
      </c>
      <c r="F1177" s="47"/>
      <c r="G1177" s="1"/>
      <c r="H1177" s="1"/>
      <c r="I1177" s="1"/>
      <c r="J1177" s="1"/>
      <c r="K1177" s="1"/>
      <c r="L1177" s="1"/>
    </row>
    <row r="1178" ht="15.0" customHeight="1">
      <c r="A1178" s="93" t="s">
        <v>2882</v>
      </c>
      <c r="B1178" s="195">
        <v>0.25</v>
      </c>
      <c r="C1178" s="239">
        <f t="shared" si="95"/>
        <v>1</v>
      </c>
      <c r="D1178" s="151"/>
      <c r="E1178" s="1158" t="s">
        <v>14</v>
      </c>
      <c r="F1178" s="47"/>
      <c r="G1178" s="1"/>
      <c r="H1178" s="1"/>
      <c r="I1178" s="1"/>
      <c r="J1178" s="1"/>
      <c r="K1178" s="1"/>
      <c r="L1178" s="1"/>
    </row>
    <row r="1179" ht="15.0" customHeight="1">
      <c r="A1179" s="93" t="s">
        <v>329</v>
      </c>
      <c r="B1179" s="195">
        <v>0.2</v>
      </c>
      <c r="C1179" s="239">
        <f t="shared" si="95"/>
        <v>0.8</v>
      </c>
      <c r="D1179" s="151"/>
      <c r="E1179" s="1158" t="s">
        <v>14</v>
      </c>
      <c r="F1179" s="47"/>
      <c r="G1179" s="1"/>
      <c r="H1179" s="1"/>
      <c r="I1179" s="1"/>
      <c r="J1179" s="1"/>
      <c r="K1179" s="1"/>
      <c r="L1179" s="1"/>
    </row>
    <row r="1180" ht="15.0" customHeight="1">
      <c r="A1180" s="93" t="s">
        <v>2884</v>
      </c>
      <c r="B1180" s="195">
        <v>0.2</v>
      </c>
      <c r="C1180" s="239">
        <f t="shared" si="95"/>
        <v>0.8</v>
      </c>
      <c r="D1180" s="151"/>
      <c r="E1180" s="1158" t="s">
        <v>93</v>
      </c>
      <c r="F1180" s="47"/>
      <c r="G1180" s="1"/>
      <c r="H1180" s="1"/>
      <c r="I1180" s="1"/>
      <c r="J1180" s="1"/>
      <c r="K1180" s="1"/>
      <c r="L1180" s="1"/>
    </row>
    <row r="1181" ht="15.0" customHeight="1">
      <c r="A1181" s="105" t="s">
        <v>2885</v>
      </c>
      <c r="B1181" s="200">
        <v>20.0</v>
      </c>
      <c r="C1181" s="522">
        <f t="shared" si="95"/>
        <v>80</v>
      </c>
      <c r="D1181" s="114"/>
      <c r="E1181" s="1182" t="s">
        <v>18</v>
      </c>
      <c r="F1181" s="47"/>
      <c r="G1181" s="1"/>
      <c r="H1181" s="1"/>
      <c r="I1181" s="1"/>
      <c r="J1181" s="1"/>
      <c r="K1181" s="1"/>
      <c r="L1181" s="1"/>
    </row>
    <row r="1182" ht="15.0" customHeight="1">
      <c r="A1182" s="68" t="s">
        <v>2887</v>
      </c>
      <c r="B1182" s="1192">
        <v>180.0</v>
      </c>
      <c r="C1182" s="53">
        <f t="shared" si="95"/>
        <v>720</v>
      </c>
      <c r="D1182" s="59"/>
      <c r="E1182" s="1157" t="s">
        <v>82</v>
      </c>
      <c r="F1182" s="76"/>
      <c r="G1182" s="1"/>
      <c r="H1182" s="1"/>
      <c r="I1182" s="1"/>
      <c r="J1182" s="1"/>
      <c r="K1182" s="1"/>
      <c r="L1182" s="1"/>
    </row>
    <row r="1183" ht="15.0" customHeight="1">
      <c r="A1183" s="93" t="s">
        <v>603</v>
      </c>
      <c r="B1183" s="1878">
        <v>20.0</v>
      </c>
      <c r="C1183" s="239">
        <f t="shared" si="95"/>
        <v>80</v>
      </c>
      <c r="D1183" s="151"/>
      <c r="E1183" s="1158" t="s">
        <v>18</v>
      </c>
      <c r="F1183" s="638" t="s">
        <v>2889</v>
      </c>
      <c r="G1183" s="1"/>
      <c r="H1183" s="1"/>
      <c r="I1183" s="1"/>
      <c r="J1183" s="1"/>
      <c r="K1183" s="1"/>
      <c r="L1183" s="1"/>
    </row>
    <row r="1184" ht="15.0" customHeight="1">
      <c r="A1184" s="93" t="s">
        <v>2890</v>
      </c>
      <c r="B1184" s="1878">
        <v>40.0</v>
      </c>
      <c r="C1184" s="239">
        <f t="shared" si="95"/>
        <v>160</v>
      </c>
      <c r="D1184" s="151"/>
      <c r="E1184" s="1158" t="s">
        <v>18</v>
      </c>
      <c r="F1184" s="47"/>
      <c r="G1184" s="1"/>
      <c r="H1184" s="1"/>
      <c r="I1184" s="1"/>
      <c r="J1184" s="1"/>
      <c r="K1184" s="1"/>
      <c r="L1184" s="1"/>
    </row>
    <row r="1185" ht="15.0" customHeight="1">
      <c r="A1185" s="93" t="s">
        <v>2892</v>
      </c>
      <c r="B1185" s="1878">
        <v>25.0</v>
      </c>
      <c r="C1185" s="239">
        <f t="shared" si="95"/>
        <v>100</v>
      </c>
      <c r="D1185" s="151"/>
      <c r="E1185" s="1158" t="s">
        <v>366</v>
      </c>
      <c r="F1185" s="47"/>
      <c r="G1185" s="1"/>
      <c r="H1185" s="1"/>
      <c r="I1185" s="1"/>
      <c r="J1185" s="1"/>
      <c r="K1185" s="1"/>
      <c r="L1185" s="1"/>
    </row>
    <row r="1186" ht="15.0" customHeight="1">
      <c r="A1186" s="93" t="s">
        <v>2894</v>
      </c>
      <c r="B1186" s="195">
        <v>45.0</v>
      </c>
      <c r="C1186" s="239">
        <f t="shared" si="95"/>
        <v>180</v>
      </c>
      <c r="D1186" s="151"/>
      <c r="E1186" s="1158" t="s">
        <v>18</v>
      </c>
      <c r="F1186" s="47"/>
      <c r="G1186" s="1"/>
      <c r="H1186" s="1"/>
      <c r="I1186" s="1"/>
      <c r="J1186" s="1"/>
      <c r="K1186" s="1"/>
      <c r="L1186" s="1"/>
    </row>
    <row r="1187" ht="15.0" customHeight="1">
      <c r="A1187" s="105" t="s">
        <v>2896</v>
      </c>
      <c r="B1187" s="200">
        <v>20.0</v>
      </c>
      <c r="C1187" s="522">
        <f t="shared" si="95"/>
        <v>80</v>
      </c>
      <c r="D1187" s="114"/>
      <c r="E1187" s="1182" t="s">
        <v>18</v>
      </c>
      <c r="F1187" s="76"/>
      <c r="G1187" s="1"/>
      <c r="H1187" s="1"/>
      <c r="I1187" s="1"/>
      <c r="J1187" s="1"/>
      <c r="K1187" s="1"/>
      <c r="L1187" s="1"/>
    </row>
    <row r="1188" ht="15.0" customHeight="1">
      <c r="A1188" s="305" t="s">
        <v>120</v>
      </c>
      <c r="B1188" s="804">
        <v>43488.0</v>
      </c>
      <c r="C1188" s="1"/>
      <c r="D1188" s="1"/>
      <c r="E1188" s="1"/>
      <c r="F1188" s="1"/>
      <c r="G1188" s="1"/>
      <c r="H1188" s="1"/>
      <c r="I1188" s="1"/>
      <c r="J1188" s="1"/>
      <c r="K1188" s="1"/>
      <c r="L1188" s="1"/>
    </row>
    <row r="1189" ht="15.0" customHeight="1">
      <c r="A1189" s="305" t="s">
        <v>50</v>
      </c>
      <c r="B1189" s="804">
        <v>43553.0</v>
      </c>
      <c r="C1189" s="1"/>
      <c r="D1189" s="1"/>
      <c r="E1189" s="1"/>
      <c r="F1189" s="1"/>
      <c r="G1189" s="1"/>
      <c r="H1189" s="1"/>
      <c r="I1189" s="1"/>
      <c r="J1189" s="1"/>
      <c r="K1189" s="1"/>
      <c r="L1189" s="1"/>
    </row>
    <row r="1190" ht="15.0" customHeight="1">
      <c r="A1190" s="1"/>
      <c r="B1190" s="107"/>
      <c r="C1190" s="1"/>
      <c r="D1190" s="1"/>
      <c r="E1190" s="1"/>
      <c r="F1190" s="1"/>
      <c r="G1190" s="1"/>
      <c r="H1190" s="1"/>
      <c r="I1190" s="1"/>
      <c r="J1190" s="1"/>
      <c r="K1190" s="1"/>
      <c r="L1190" s="1"/>
    </row>
    <row r="1191" ht="15.0" customHeight="1">
      <c r="A1191" s="1873" t="s">
        <v>119</v>
      </c>
      <c r="B1191" s="1874" t="s">
        <v>47</v>
      </c>
      <c r="C1191" s="1"/>
      <c r="D1191" s="1"/>
      <c r="E1191" s="1"/>
      <c r="F1191" s="1"/>
      <c r="G1191" s="1"/>
      <c r="H1191" s="1"/>
      <c r="I1191" s="1"/>
      <c r="J1191" s="1"/>
      <c r="K1191" s="1"/>
      <c r="L1191" s="1"/>
    </row>
    <row r="1192" ht="15.75" customHeight="1">
      <c r="A1192" s="1"/>
      <c r="B1192" s="107"/>
      <c r="C1192" s="184"/>
      <c r="D1192" s="184"/>
      <c r="E1192" s="1"/>
      <c r="F1192" s="1"/>
      <c r="G1192" s="1"/>
      <c r="H1192" s="1"/>
      <c r="I1192" s="1"/>
      <c r="J1192" s="1"/>
      <c r="K1192" s="1"/>
      <c r="L1192" s="1"/>
    </row>
    <row r="1193" ht="15.75" customHeight="1">
      <c r="A1193" s="1"/>
      <c r="B1193" s="107"/>
      <c r="C1193" s="184"/>
      <c r="D1193" s="184"/>
      <c r="E1193" s="1"/>
      <c r="F1193" s="1"/>
      <c r="G1193" s="1"/>
      <c r="H1193" s="1"/>
      <c r="I1193" s="1"/>
      <c r="J1193" s="1"/>
      <c r="K1193" s="1"/>
      <c r="L1193" s="1"/>
    </row>
    <row r="1194" ht="15.75" customHeight="1">
      <c r="A1194" s="1"/>
      <c r="B1194" s="107"/>
      <c r="C1194" s="184"/>
      <c r="D1194" s="184"/>
      <c r="E1194" s="1"/>
      <c r="F1194" s="1"/>
      <c r="G1194" s="1"/>
      <c r="H1194" s="1"/>
      <c r="I1194" s="1"/>
      <c r="J1194" s="1"/>
      <c r="K1194" s="1"/>
      <c r="L1194" s="1"/>
    </row>
    <row r="1195" ht="15.0" customHeight="1">
      <c r="A1195" s="1"/>
      <c r="B1195" s="107"/>
      <c r="C1195" s="184"/>
      <c r="D1195" s="184"/>
      <c r="E1195" s="1"/>
      <c r="F1195" s="1"/>
      <c r="G1195" s="1"/>
      <c r="H1195" s="1"/>
      <c r="I1195" s="1"/>
      <c r="J1195" s="1"/>
      <c r="K1195" s="1"/>
      <c r="L1195" s="1"/>
    </row>
    <row r="1196" ht="15.0" customHeight="1">
      <c r="A1196" s="266" t="s">
        <v>932</v>
      </c>
      <c r="B1196" s="5"/>
      <c r="C1196" s="5"/>
      <c r="D1196" s="5"/>
      <c r="E1196" s="6"/>
      <c r="F1196" s="1"/>
      <c r="G1196" s="1"/>
      <c r="H1196" s="1"/>
      <c r="I1196" s="1"/>
      <c r="J1196" s="1"/>
      <c r="K1196" s="1"/>
      <c r="L1196" s="1"/>
    </row>
    <row r="1197" ht="15.0" customHeight="1">
      <c r="A1197" s="51" t="s">
        <v>1054</v>
      </c>
      <c r="B1197" s="190">
        <v>45.0</v>
      </c>
      <c r="C1197" s="513">
        <v>25.0</v>
      </c>
      <c r="D1197" s="1576"/>
      <c r="E1197" s="514" t="s">
        <v>5</v>
      </c>
      <c r="F1197" s="1"/>
      <c r="G1197" s="1"/>
      <c r="H1197" s="1"/>
      <c r="I1197" s="1"/>
      <c r="J1197" s="1"/>
      <c r="K1197" s="1"/>
      <c r="L1197" s="1"/>
    </row>
    <row r="1198" ht="15.0" customHeight="1">
      <c r="A1198" s="345" t="s">
        <v>2906</v>
      </c>
      <c r="B1198" s="13">
        <v>10.0</v>
      </c>
      <c r="C1198" s="1490">
        <f t="shared" ref="C1198:C1214" si="96">(B1198*C1197)/B1197</f>
        <v>5.555555556</v>
      </c>
      <c r="D1198" s="1814"/>
      <c r="E1198" s="348" t="s">
        <v>14</v>
      </c>
      <c r="F1198" s="1"/>
      <c r="G1198" s="1"/>
      <c r="H1198" s="1"/>
      <c r="I1198" s="1"/>
      <c r="J1198" s="1"/>
      <c r="K1198" s="1"/>
      <c r="L1198" s="1"/>
    </row>
    <row r="1199" ht="15.0" customHeight="1">
      <c r="A1199" s="350" t="s">
        <v>52</v>
      </c>
      <c r="B1199" s="33">
        <v>40.0</v>
      </c>
      <c r="C1199" s="1246">
        <f t="shared" si="96"/>
        <v>22.22222222</v>
      </c>
      <c r="D1199" s="1819"/>
      <c r="E1199" s="352" t="s">
        <v>18</v>
      </c>
      <c r="F1199" s="1"/>
      <c r="G1199" s="1"/>
      <c r="H1199" s="1"/>
      <c r="I1199" s="1"/>
      <c r="J1199" s="1"/>
      <c r="K1199" s="1"/>
      <c r="L1199" s="1"/>
    </row>
    <row r="1200" ht="15.0" customHeight="1">
      <c r="A1200" s="93" t="s">
        <v>59</v>
      </c>
      <c r="B1200" s="195">
        <v>25.0</v>
      </c>
      <c r="C1200" s="1246">
        <f t="shared" si="96"/>
        <v>13.88888889</v>
      </c>
      <c r="D1200" s="1819"/>
      <c r="E1200" s="249" t="s">
        <v>5</v>
      </c>
      <c r="F1200" s="1"/>
      <c r="G1200" s="1"/>
      <c r="H1200" s="1"/>
      <c r="I1200" s="1"/>
      <c r="J1200" s="1"/>
      <c r="K1200" s="1"/>
      <c r="L1200" s="1"/>
    </row>
    <row r="1201" ht="15.0" customHeight="1">
      <c r="A1201" s="93" t="s">
        <v>91</v>
      </c>
      <c r="B1201" s="195">
        <v>0.5</v>
      </c>
      <c r="C1201" s="1246">
        <f t="shared" si="96"/>
        <v>0.2777777778</v>
      </c>
      <c r="D1201" s="1819"/>
      <c r="E1201" s="249" t="s">
        <v>5</v>
      </c>
      <c r="F1201" s="1"/>
      <c r="G1201" s="1"/>
      <c r="H1201" s="1"/>
      <c r="I1201" s="1"/>
      <c r="J1201" s="1"/>
      <c r="K1201" s="1"/>
      <c r="L1201" s="1"/>
    </row>
    <row r="1202" ht="15.0" customHeight="1">
      <c r="A1202" s="354" t="s">
        <v>31</v>
      </c>
      <c r="B1202" s="1821">
        <v>300.0</v>
      </c>
      <c r="C1202" s="1765">
        <f t="shared" si="96"/>
        <v>166.6666667</v>
      </c>
      <c r="D1202" s="1822"/>
      <c r="E1202" s="356" t="s">
        <v>18</v>
      </c>
      <c r="F1202" s="1"/>
      <c r="G1202" s="1"/>
      <c r="H1202" s="1"/>
      <c r="I1202" s="1"/>
      <c r="J1202" s="1"/>
      <c r="K1202" s="1"/>
      <c r="L1202" s="1"/>
    </row>
    <row r="1203" ht="15.0" customHeight="1">
      <c r="A1203" s="1823" t="s">
        <v>2054</v>
      </c>
      <c r="B1203" s="1825">
        <v>2.5</v>
      </c>
      <c r="C1203" s="1827">
        <f t="shared" si="96"/>
        <v>1.388888889</v>
      </c>
      <c r="D1203" s="1828"/>
      <c r="E1203" s="1829" t="s">
        <v>5</v>
      </c>
      <c r="F1203" s="1"/>
      <c r="G1203" s="1"/>
      <c r="H1203" s="1"/>
      <c r="I1203" s="1"/>
      <c r="J1203" s="1"/>
      <c r="K1203" s="1"/>
      <c r="L1203" s="1"/>
    </row>
    <row r="1204" ht="15.0" customHeight="1">
      <c r="A1204" s="1831" t="s">
        <v>2060</v>
      </c>
      <c r="B1204" s="1832">
        <v>2.0</v>
      </c>
      <c r="C1204" s="1833">
        <f t="shared" si="96"/>
        <v>1.111111111</v>
      </c>
      <c r="D1204" s="1834"/>
      <c r="E1204" s="1836" t="s">
        <v>5</v>
      </c>
      <c r="F1204" s="1"/>
      <c r="G1204" s="1"/>
      <c r="H1204" s="1"/>
      <c r="I1204" s="1"/>
      <c r="J1204" s="1"/>
      <c r="K1204" s="1"/>
      <c r="L1204" s="1"/>
    </row>
    <row r="1205" ht="15.0" customHeight="1">
      <c r="A1205" s="350" t="s">
        <v>60</v>
      </c>
      <c r="B1205" s="33">
        <v>0.8</v>
      </c>
      <c r="C1205" s="1246">
        <f t="shared" si="96"/>
        <v>0.4444444444</v>
      </c>
      <c r="D1205" s="1819"/>
      <c r="E1205" s="249" t="s">
        <v>14</v>
      </c>
      <c r="F1205" s="1"/>
      <c r="G1205" s="1"/>
      <c r="H1205" s="1"/>
      <c r="I1205" s="1"/>
      <c r="J1205" s="1"/>
      <c r="K1205" s="1"/>
      <c r="L1205" s="1"/>
    </row>
    <row r="1206" ht="15.0" customHeight="1">
      <c r="A1206" s="350" t="s">
        <v>97</v>
      </c>
      <c r="B1206" s="33">
        <v>150.0</v>
      </c>
      <c r="C1206" s="1246">
        <f t="shared" si="96"/>
        <v>83.33333333</v>
      </c>
      <c r="D1206" s="1819"/>
      <c r="E1206" s="352" t="s">
        <v>18</v>
      </c>
      <c r="F1206" s="1"/>
      <c r="G1206" s="1"/>
      <c r="H1206" s="1"/>
      <c r="I1206" s="1"/>
      <c r="J1206" s="1"/>
      <c r="K1206" s="1"/>
      <c r="L1206" s="1"/>
    </row>
    <row r="1207" ht="15.0" customHeight="1">
      <c r="A1207" s="350" t="s">
        <v>357</v>
      </c>
      <c r="B1207" s="33">
        <v>0.4</v>
      </c>
      <c r="C1207" s="1246">
        <f t="shared" si="96"/>
        <v>0.2222222222</v>
      </c>
      <c r="D1207" s="1819"/>
      <c r="E1207" s="352" t="s">
        <v>14</v>
      </c>
      <c r="F1207" s="1"/>
      <c r="G1207" s="1"/>
      <c r="H1207" s="1"/>
      <c r="I1207" s="1"/>
      <c r="J1207" s="1"/>
      <c r="K1207" s="1"/>
      <c r="L1207" s="1"/>
    </row>
    <row r="1208" ht="15.0" customHeight="1">
      <c r="A1208" s="350" t="s">
        <v>1978</v>
      </c>
      <c r="B1208" s="33">
        <v>80.0</v>
      </c>
      <c r="C1208" s="1246">
        <f t="shared" si="96"/>
        <v>44.44444444</v>
      </c>
      <c r="D1208" s="1819"/>
      <c r="E1208" s="352" t="s">
        <v>18</v>
      </c>
      <c r="F1208" s="1"/>
      <c r="G1208" s="1"/>
      <c r="H1208" s="1"/>
      <c r="I1208" s="1"/>
      <c r="J1208" s="1"/>
      <c r="K1208" s="1"/>
      <c r="L1208" s="1"/>
    </row>
    <row r="1209" ht="15.0" customHeight="1">
      <c r="A1209" s="350" t="s">
        <v>103</v>
      </c>
      <c r="B1209" s="33">
        <v>60.0</v>
      </c>
      <c r="C1209" s="1246">
        <f t="shared" si="96"/>
        <v>33.33333333</v>
      </c>
      <c r="D1209" s="1819"/>
      <c r="E1209" s="352" t="s">
        <v>18</v>
      </c>
      <c r="F1209" s="1"/>
      <c r="G1209" s="1"/>
      <c r="H1209" s="1"/>
      <c r="I1209" s="1"/>
      <c r="J1209" s="1"/>
      <c r="K1209" s="1"/>
      <c r="L1209" s="1"/>
    </row>
    <row r="1210" ht="15.0" customHeight="1">
      <c r="A1210" s="350" t="s">
        <v>1979</v>
      </c>
      <c r="B1210" s="33">
        <v>400.0</v>
      </c>
      <c r="C1210" s="1246">
        <f t="shared" si="96"/>
        <v>222.2222222</v>
      </c>
      <c r="D1210" s="1819"/>
      <c r="E1210" s="352" t="s">
        <v>18</v>
      </c>
      <c r="F1210" s="1"/>
      <c r="G1210" s="1"/>
      <c r="H1210" s="1"/>
      <c r="I1210" s="1"/>
      <c r="J1210" s="1"/>
      <c r="K1210" s="1"/>
      <c r="L1210" s="1"/>
    </row>
    <row r="1211" ht="15.0" customHeight="1">
      <c r="A1211" s="606" t="s">
        <v>101</v>
      </c>
      <c r="B1211" s="454">
        <v>1.0</v>
      </c>
      <c r="C1211" s="1492">
        <f t="shared" si="96"/>
        <v>0.5555555556</v>
      </c>
      <c r="D1211" s="1841"/>
      <c r="E1211" s="1475" t="s">
        <v>5</v>
      </c>
      <c r="F1211" s="1"/>
      <c r="G1211" s="1"/>
      <c r="H1211" s="1"/>
      <c r="I1211" s="1"/>
      <c r="J1211" s="1"/>
      <c r="K1211" s="1"/>
      <c r="L1211" s="1"/>
    </row>
    <row r="1212" ht="15.0" customHeight="1">
      <c r="A1212" s="1746" t="s">
        <v>31</v>
      </c>
      <c r="B1212" s="1758">
        <v>375.0</v>
      </c>
      <c r="C1212" s="1493">
        <f t="shared" si="96"/>
        <v>208.3333333</v>
      </c>
      <c r="D1212" s="1843"/>
      <c r="E1212" s="1762" t="s">
        <v>18</v>
      </c>
      <c r="F1212" s="1"/>
      <c r="G1212" s="1"/>
      <c r="H1212" s="1"/>
      <c r="I1212" s="1"/>
      <c r="J1212" s="1"/>
      <c r="K1212" s="1"/>
      <c r="L1212" s="1"/>
    </row>
    <row r="1213" ht="15.0" customHeight="1">
      <c r="A1213" s="345" t="s">
        <v>167</v>
      </c>
      <c r="B1213" s="13">
        <v>1.6</v>
      </c>
      <c r="C1213" s="1490">
        <f t="shared" si="96"/>
        <v>0.8888888889</v>
      </c>
      <c r="D1213" s="1814"/>
      <c r="E1213" s="216" t="s">
        <v>5</v>
      </c>
      <c r="F1213" s="1"/>
      <c r="G1213" s="1"/>
      <c r="H1213" s="1"/>
      <c r="I1213" s="1"/>
      <c r="J1213" s="1"/>
      <c r="K1213" s="1"/>
      <c r="L1213" s="1"/>
    </row>
    <row r="1214" ht="15.0" customHeight="1">
      <c r="A1214" s="606" t="s">
        <v>1588</v>
      </c>
      <c r="B1214" s="454">
        <v>2.0</v>
      </c>
      <c r="C1214" s="1492">
        <f t="shared" si="96"/>
        <v>1.111111111</v>
      </c>
      <c r="D1214" s="1841"/>
      <c r="E1214" s="1475" t="s">
        <v>190</v>
      </c>
      <c r="F1214" s="1"/>
      <c r="G1214" s="1"/>
      <c r="H1214" s="1"/>
      <c r="I1214" s="1"/>
      <c r="J1214" s="1"/>
      <c r="K1214" s="1"/>
      <c r="L1214" s="1"/>
    </row>
    <row r="1215" ht="15.0" customHeight="1">
      <c r="A1215" s="305" t="s">
        <v>120</v>
      </c>
      <c r="B1215" s="804">
        <v>43488.0</v>
      </c>
      <c r="C1215" s="184"/>
      <c r="D1215" s="184"/>
      <c r="E1215" s="1"/>
      <c r="F1215" s="1"/>
      <c r="G1215" s="1"/>
      <c r="H1215" s="1"/>
      <c r="I1215" s="1"/>
      <c r="J1215" s="1"/>
      <c r="K1215" s="1"/>
      <c r="L1215" s="1"/>
    </row>
    <row r="1216" ht="15.0" customHeight="1">
      <c r="A1216" s="305" t="s">
        <v>50</v>
      </c>
      <c r="B1216" s="804">
        <v>43488.0</v>
      </c>
      <c r="C1216" s="184"/>
      <c r="D1216" s="184"/>
      <c r="E1216" s="1"/>
      <c r="F1216" s="1"/>
      <c r="G1216" s="1"/>
      <c r="H1216" s="1"/>
      <c r="I1216" s="1"/>
      <c r="J1216" s="1"/>
      <c r="K1216" s="1"/>
      <c r="L1216" s="1"/>
    </row>
    <row r="1217" ht="15.0" customHeight="1">
      <c r="A1217" s="1"/>
      <c r="B1217" s="107"/>
      <c r="C1217" s="184"/>
      <c r="D1217" s="184"/>
      <c r="E1217" s="1"/>
      <c r="F1217" s="1"/>
      <c r="G1217" s="1"/>
      <c r="H1217" s="1"/>
      <c r="I1217" s="1"/>
      <c r="J1217" s="1"/>
      <c r="K1217" s="1"/>
      <c r="L1217" s="1"/>
    </row>
    <row r="1218" ht="15.0" customHeight="1">
      <c r="A1218" s="1873" t="s">
        <v>119</v>
      </c>
      <c r="B1218" s="1874" t="s">
        <v>47</v>
      </c>
      <c r="C1218" s="184"/>
      <c r="D1218" s="184"/>
      <c r="E1218" s="1"/>
      <c r="F1218" s="1"/>
      <c r="G1218" s="1"/>
      <c r="H1218" s="1"/>
      <c r="I1218" s="1"/>
      <c r="J1218" s="1"/>
      <c r="K1218" s="1"/>
      <c r="L1218" s="1"/>
    </row>
    <row r="1219" ht="15.75" customHeight="1">
      <c r="A1219" s="1"/>
      <c r="B1219" s="107"/>
      <c r="C1219" s="184"/>
      <c r="D1219" s="184"/>
      <c r="E1219" s="1"/>
      <c r="F1219" s="1"/>
      <c r="G1219" s="1"/>
      <c r="H1219" s="1"/>
      <c r="I1219" s="1"/>
      <c r="J1219" s="1"/>
      <c r="K1219" s="1"/>
      <c r="L1219" s="1"/>
    </row>
    <row r="1220" ht="15.75" customHeight="1">
      <c r="A1220" s="1"/>
      <c r="B1220" s="107"/>
      <c r="C1220" s="184"/>
      <c r="D1220" s="184"/>
      <c r="E1220" s="1"/>
      <c r="F1220" s="1"/>
      <c r="G1220" s="1"/>
      <c r="H1220" s="1"/>
      <c r="I1220" s="1"/>
      <c r="J1220" s="1"/>
      <c r="K1220" s="1"/>
      <c r="L1220" s="1"/>
    </row>
    <row r="1221" ht="15.75" customHeight="1">
      <c r="A1221" s="1"/>
      <c r="B1221" s="107"/>
      <c r="C1221" s="184"/>
      <c r="D1221" s="184"/>
      <c r="E1221" s="1"/>
      <c r="F1221" s="1"/>
      <c r="G1221" s="1"/>
      <c r="H1221" s="1"/>
      <c r="I1221" s="1"/>
      <c r="J1221" s="1"/>
      <c r="K1221" s="1"/>
      <c r="L1221" s="1"/>
    </row>
    <row r="1222" ht="15.0" customHeight="1">
      <c r="A1222" s="1"/>
      <c r="B1222" s="107"/>
      <c r="C1222" s="184"/>
      <c r="D1222" s="184"/>
      <c r="E1222" s="1"/>
      <c r="F1222" s="1"/>
      <c r="G1222" s="1"/>
      <c r="H1222" s="1"/>
      <c r="I1222" s="1"/>
      <c r="J1222" s="1"/>
      <c r="K1222" s="1"/>
      <c r="L1222" s="1"/>
    </row>
    <row r="1223" ht="15.0" customHeight="1">
      <c r="A1223" s="2564" t="s">
        <v>937</v>
      </c>
      <c r="B1223" s="18"/>
      <c r="C1223" s="18"/>
      <c r="D1223" s="18"/>
      <c r="E1223" s="19"/>
      <c r="F1223" s="1"/>
      <c r="G1223" s="1"/>
      <c r="H1223" s="1"/>
      <c r="I1223" s="1"/>
      <c r="J1223" s="1"/>
      <c r="K1223" s="1"/>
      <c r="L1223" s="1"/>
    </row>
    <row r="1224" ht="15.0" customHeight="1">
      <c r="A1224" s="1678" t="s">
        <v>1</v>
      </c>
      <c r="B1224" s="1679">
        <v>24.0</v>
      </c>
      <c r="C1224" s="2498">
        <v>26.0</v>
      </c>
      <c r="D1224" s="2500"/>
      <c r="E1224" s="1682" t="s">
        <v>5</v>
      </c>
      <c r="F1224" s="1"/>
      <c r="G1224" s="1"/>
      <c r="H1224" s="1"/>
      <c r="I1224" s="1"/>
      <c r="J1224" s="1"/>
      <c r="K1224" s="1"/>
      <c r="L1224" s="1"/>
    </row>
    <row r="1225" ht="15.0" customHeight="1">
      <c r="A1225" s="2565" t="s">
        <v>2926</v>
      </c>
      <c r="B1225" s="190">
        <v>3.75</v>
      </c>
      <c r="C1225" s="2566">
        <f t="shared" ref="C1225:C1228" si="97">(B1225*C1224)/B1224</f>
        <v>4.0625</v>
      </c>
      <c r="D1225" s="2569"/>
      <c r="E1225" s="125" t="s">
        <v>14</v>
      </c>
      <c r="F1225" s="763" t="s">
        <v>2929</v>
      </c>
      <c r="G1225" s="1"/>
      <c r="H1225" s="1"/>
      <c r="I1225" s="1"/>
      <c r="J1225" s="1"/>
      <c r="K1225" s="1"/>
      <c r="L1225" s="1"/>
    </row>
    <row r="1226" ht="15.0" customHeight="1">
      <c r="A1226" s="2514" t="s">
        <v>91</v>
      </c>
      <c r="B1226" s="275">
        <v>1.2</v>
      </c>
      <c r="C1226" s="545">
        <f t="shared" si="97"/>
        <v>1.3</v>
      </c>
      <c r="D1226" s="180"/>
      <c r="E1226" s="278" t="s">
        <v>5</v>
      </c>
      <c r="F1226" s="770" t="s">
        <v>2930</v>
      </c>
      <c r="G1226" s="1"/>
      <c r="H1226" s="1"/>
      <c r="I1226" s="1"/>
      <c r="J1226" s="1"/>
      <c r="K1226" s="1"/>
      <c r="L1226" s="1"/>
    </row>
    <row r="1227" ht="15.0" customHeight="1">
      <c r="A1227" s="1686" t="s">
        <v>2932</v>
      </c>
      <c r="B1227" s="238">
        <v>12.0</v>
      </c>
      <c r="C1227" s="523">
        <f t="shared" si="97"/>
        <v>13</v>
      </c>
      <c r="D1227" s="132"/>
      <c r="E1227" s="176" t="s">
        <v>18</v>
      </c>
      <c r="F1227" s="47"/>
      <c r="G1227" s="1"/>
      <c r="H1227" s="1"/>
      <c r="I1227" s="1"/>
      <c r="J1227" s="1"/>
      <c r="K1227" s="1"/>
      <c r="L1227" s="1"/>
    </row>
    <row r="1228" ht="15.0" customHeight="1">
      <c r="A1228" s="1684" t="s">
        <v>95</v>
      </c>
      <c r="B1228" s="195">
        <v>12.0</v>
      </c>
      <c r="C1228" s="523">
        <f t="shared" si="97"/>
        <v>13</v>
      </c>
      <c r="D1228" s="132"/>
      <c r="E1228" s="165" t="s">
        <v>18</v>
      </c>
      <c r="F1228" s="47"/>
      <c r="G1228" s="1"/>
      <c r="H1228" s="1"/>
      <c r="I1228" s="1"/>
      <c r="J1228" s="1"/>
      <c r="K1228" s="1"/>
      <c r="L1228" s="1"/>
    </row>
    <row r="1229" ht="15.0" customHeight="1">
      <c r="A1229" s="1684" t="s">
        <v>2933</v>
      </c>
      <c r="B1229" s="195">
        <f>B1224*6</f>
        <v>144</v>
      </c>
      <c r="C1229" s="247">
        <f>(B1229*C1226)/B1226</f>
        <v>156</v>
      </c>
      <c r="D1229" s="95"/>
      <c r="E1229" s="165" t="s">
        <v>18</v>
      </c>
      <c r="F1229" s="47"/>
      <c r="G1229" s="1"/>
      <c r="H1229" s="1"/>
      <c r="I1229" s="1"/>
      <c r="J1229" s="1"/>
      <c r="K1229" s="1"/>
      <c r="L1229" s="1"/>
    </row>
    <row r="1230" ht="15.0" customHeight="1">
      <c r="A1230" s="1684" t="s">
        <v>2934</v>
      </c>
      <c r="B1230" s="195">
        <f>B1224*7</f>
        <v>168</v>
      </c>
      <c r="C1230" s="247">
        <f t="shared" ref="C1230:C1238" si="98">(B1230*C1229)/B1229</f>
        <v>182</v>
      </c>
      <c r="D1230" s="95"/>
      <c r="E1230" s="165" t="s">
        <v>18</v>
      </c>
      <c r="F1230" s="47"/>
      <c r="G1230" s="1"/>
      <c r="H1230" s="1"/>
      <c r="I1230" s="1"/>
      <c r="J1230" s="1"/>
      <c r="K1230" s="1"/>
      <c r="L1230" s="1"/>
    </row>
    <row r="1231" ht="15.0" customHeight="1">
      <c r="A1231" s="1684" t="s">
        <v>1046</v>
      </c>
      <c r="B1231" s="195">
        <v>120.0</v>
      </c>
      <c r="C1231" s="247">
        <f t="shared" si="98"/>
        <v>130</v>
      </c>
      <c r="D1231" s="95"/>
      <c r="E1231" s="249" t="s">
        <v>18</v>
      </c>
      <c r="F1231" s="47"/>
      <c r="G1231" s="1"/>
      <c r="H1231" s="1"/>
      <c r="I1231" s="1"/>
      <c r="J1231" s="1"/>
      <c r="K1231" s="1"/>
      <c r="L1231" s="1"/>
    </row>
    <row r="1232" ht="15.0" customHeight="1">
      <c r="A1232" s="1684" t="s">
        <v>103</v>
      </c>
      <c r="B1232" s="195">
        <v>5.0</v>
      </c>
      <c r="C1232" s="1473">
        <f t="shared" si="98"/>
        <v>5.416666667</v>
      </c>
      <c r="D1232" s="2583"/>
      <c r="E1232" s="249" t="s">
        <v>18</v>
      </c>
      <c r="F1232" s="47"/>
      <c r="G1232" s="1"/>
      <c r="H1232" s="1"/>
      <c r="I1232" s="1"/>
      <c r="J1232" s="1"/>
      <c r="K1232" s="1"/>
      <c r="L1232" s="1"/>
    </row>
    <row r="1233" ht="15.0" customHeight="1">
      <c r="A1233" s="1687" t="s">
        <v>2937</v>
      </c>
      <c r="B1233" s="279">
        <v>120.0</v>
      </c>
      <c r="C1233" s="239">
        <f t="shared" si="98"/>
        <v>130</v>
      </c>
      <c r="D1233" s="151"/>
      <c r="E1233" s="242" t="s">
        <v>18</v>
      </c>
      <c r="F1233" s="76"/>
      <c r="G1233" s="1"/>
      <c r="H1233" s="1"/>
      <c r="I1233" s="1"/>
      <c r="J1233" s="1"/>
      <c r="K1233" s="1"/>
      <c r="L1233" s="1"/>
    </row>
    <row r="1234" ht="15.0" customHeight="1">
      <c r="A1234" s="1683" t="s">
        <v>2938</v>
      </c>
      <c r="B1234" s="145">
        <v>1.0</v>
      </c>
      <c r="C1234" s="607">
        <f t="shared" si="98"/>
        <v>1.083333333</v>
      </c>
      <c r="D1234" s="2586"/>
      <c r="E1234" s="216" t="s">
        <v>366</v>
      </c>
      <c r="F1234" s="610" t="s">
        <v>2940</v>
      </c>
      <c r="G1234" s="1"/>
      <c r="H1234" s="1"/>
      <c r="I1234" s="1"/>
      <c r="J1234" s="1"/>
      <c r="K1234" s="1"/>
      <c r="L1234" s="1"/>
    </row>
    <row r="1235" ht="15.0" customHeight="1">
      <c r="A1235" s="1684" t="s">
        <v>2941</v>
      </c>
      <c r="B1235" s="195">
        <v>1.0</v>
      </c>
      <c r="C1235" s="600">
        <f t="shared" si="98"/>
        <v>1.083333333</v>
      </c>
      <c r="D1235" s="2589"/>
      <c r="E1235" s="249" t="s">
        <v>366</v>
      </c>
      <c r="F1235" s="47"/>
      <c r="G1235" s="1"/>
      <c r="H1235" s="1"/>
      <c r="I1235" s="1"/>
      <c r="J1235" s="1"/>
      <c r="K1235" s="1"/>
      <c r="L1235" s="1"/>
    </row>
    <row r="1236" ht="15.0" customHeight="1">
      <c r="A1236" s="1684" t="s">
        <v>2942</v>
      </c>
      <c r="B1236" s="195">
        <v>1.0</v>
      </c>
      <c r="C1236" s="600">
        <f t="shared" si="98"/>
        <v>1.083333333</v>
      </c>
      <c r="D1236" s="2589"/>
      <c r="E1236" s="165" t="s">
        <v>14</v>
      </c>
      <c r="F1236" s="47"/>
      <c r="G1236" s="1"/>
      <c r="H1236" s="1"/>
      <c r="I1236" s="1"/>
      <c r="J1236" s="1"/>
      <c r="K1236" s="1"/>
      <c r="L1236" s="1"/>
    </row>
    <row r="1237" ht="15.0" customHeight="1">
      <c r="A1237" s="1684" t="s">
        <v>2944</v>
      </c>
      <c r="B1237" s="195">
        <v>1.0</v>
      </c>
      <c r="C1237" s="600">
        <f t="shared" si="98"/>
        <v>1.083333333</v>
      </c>
      <c r="D1237" s="2589"/>
      <c r="E1237" s="165" t="s">
        <v>14</v>
      </c>
      <c r="F1237" s="47"/>
      <c r="G1237" s="1"/>
      <c r="H1237" s="1"/>
      <c r="I1237" s="1"/>
      <c r="J1237" s="1"/>
      <c r="K1237" s="1"/>
      <c r="L1237" s="1"/>
    </row>
    <row r="1238" ht="15.0" customHeight="1">
      <c r="A1238" s="1684" t="s">
        <v>2945</v>
      </c>
      <c r="B1238" s="195">
        <v>1.0</v>
      </c>
      <c r="C1238" s="600">
        <f t="shared" si="98"/>
        <v>1.083333333</v>
      </c>
      <c r="D1238" s="2589"/>
      <c r="E1238" s="165" t="s">
        <v>366</v>
      </c>
      <c r="F1238" s="47"/>
      <c r="G1238" s="1"/>
      <c r="H1238" s="1"/>
      <c r="I1238" s="1"/>
      <c r="J1238" s="1"/>
      <c r="K1238" s="1"/>
      <c r="L1238" s="1"/>
    </row>
    <row r="1239" ht="15.0" customHeight="1">
      <c r="A1239" s="1685" t="s">
        <v>2946</v>
      </c>
      <c r="B1239" s="200">
        <v>1.5</v>
      </c>
      <c r="C1239" s="522">
        <f t="shared" ref="C1239:C1240" si="99">(B1239*C1237)/B1237</f>
        <v>1.625</v>
      </c>
      <c r="D1239" s="114"/>
      <c r="E1239" s="172" t="s">
        <v>93</v>
      </c>
      <c r="F1239" s="76"/>
      <c r="G1239" s="1"/>
      <c r="H1239" s="1"/>
      <c r="I1239" s="1"/>
      <c r="J1239" s="1"/>
      <c r="K1239" s="1"/>
      <c r="L1239" s="1"/>
    </row>
    <row r="1240" ht="15.0" customHeight="1">
      <c r="A1240" s="2592" t="s">
        <v>2947</v>
      </c>
      <c r="B1240" s="418">
        <f>SUM(B1234:B1238)*12</f>
        <v>60</v>
      </c>
      <c r="C1240" s="541">
        <f t="shared" si="99"/>
        <v>65</v>
      </c>
      <c r="D1240" s="920"/>
      <c r="E1240" s="420" t="s">
        <v>18</v>
      </c>
      <c r="F1240" s="610" t="s">
        <v>2949</v>
      </c>
      <c r="G1240" s="1"/>
      <c r="H1240" s="1"/>
      <c r="I1240" s="1"/>
      <c r="J1240" s="1"/>
      <c r="K1240" s="1"/>
      <c r="L1240" s="1"/>
    </row>
    <row r="1241" ht="15.0" customHeight="1">
      <c r="A1241" s="1683" t="s">
        <v>59</v>
      </c>
      <c r="B1241" s="145">
        <f>B1225*3.2</f>
        <v>12</v>
      </c>
      <c r="C1241" s="210">
        <f t="shared" ref="C1241:C1242" si="100">(B1241*C1240)/B1240</f>
        <v>13</v>
      </c>
      <c r="D1241" s="81"/>
      <c r="E1241" s="137" t="s">
        <v>5</v>
      </c>
      <c r="F1241" s="47"/>
      <c r="G1241" s="1"/>
      <c r="H1241" s="1"/>
      <c r="I1241" s="1"/>
      <c r="J1241" s="1"/>
      <c r="K1241" s="1"/>
      <c r="L1241" s="1"/>
    </row>
    <row r="1242" ht="15.0" customHeight="1">
      <c r="A1242" s="1684" t="s">
        <v>1559</v>
      </c>
      <c r="B1242" s="195">
        <v>240.0</v>
      </c>
      <c r="C1242" s="247">
        <f t="shared" si="100"/>
        <v>260</v>
      </c>
      <c r="D1242" s="95"/>
      <c r="E1242" s="165" t="s">
        <v>18</v>
      </c>
      <c r="F1242" s="47"/>
      <c r="G1242" s="1"/>
      <c r="H1242" s="1"/>
      <c r="I1242" s="1"/>
      <c r="J1242" s="1"/>
      <c r="K1242" s="1"/>
      <c r="L1242" s="1"/>
    </row>
    <row r="1243" ht="15.0" customHeight="1">
      <c r="A1243" s="1684" t="s">
        <v>2018</v>
      </c>
      <c r="B1243" s="195">
        <v>200.0</v>
      </c>
      <c r="C1243" s="247">
        <f>(B1243*C1240)/B1240</f>
        <v>216.6666667</v>
      </c>
      <c r="D1243" s="95"/>
      <c r="E1243" s="165" t="s">
        <v>18</v>
      </c>
      <c r="F1243" s="47"/>
      <c r="G1243" s="1"/>
      <c r="H1243" s="1"/>
      <c r="I1243" s="1"/>
      <c r="J1243" s="1"/>
      <c r="K1243" s="1"/>
      <c r="L1243" s="1"/>
    </row>
    <row r="1244" ht="15.0" customHeight="1">
      <c r="A1244" s="1685" t="s">
        <v>2955</v>
      </c>
      <c r="B1244" s="200">
        <v>80.0</v>
      </c>
      <c r="C1244" s="604">
        <f>(B1244*C1238)/B1238</f>
        <v>86.66666667</v>
      </c>
      <c r="D1244" s="2597"/>
      <c r="E1244" s="172" t="s">
        <v>1638</v>
      </c>
      <c r="F1244" s="76"/>
      <c r="G1244" s="1"/>
      <c r="H1244" s="1"/>
      <c r="I1244" s="1"/>
      <c r="J1244" s="1"/>
      <c r="K1244" s="1"/>
      <c r="L1244" s="1"/>
    </row>
    <row r="1245" ht="15.0" customHeight="1">
      <c r="A1245" s="1683" t="s">
        <v>743</v>
      </c>
      <c r="B1245" s="145">
        <v>240.0</v>
      </c>
      <c r="C1245" s="210">
        <f t="shared" ref="C1245:C1246" si="101">(B1245*C1241)/B1241</f>
        <v>260</v>
      </c>
      <c r="D1245" s="81"/>
      <c r="E1245" s="137" t="s">
        <v>82</v>
      </c>
      <c r="F1245" s="2387" t="s">
        <v>2958</v>
      </c>
      <c r="G1245" s="1"/>
      <c r="H1245" s="1"/>
      <c r="I1245" s="1"/>
      <c r="J1245" s="1"/>
      <c r="K1245" s="1"/>
      <c r="L1245" s="1"/>
    </row>
    <row r="1246" ht="15.0" customHeight="1">
      <c r="A1246" s="1685" t="s">
        <v>114</v>
      </c>
      <c r="B1246" s="200">
        <v>0.5</v>
      </c>
      <c r="C1246" s="210">
        <f t="shared" si="101"/>
        <v>0.5416666667</v>
      </c>
      <c r="D1246" s="920"/>
      <c r="E1246" s="172" t="s">
        <v>5</v>
      </c>
      <c r="F1246" s="76"/>
      <c r="G1246" s="1"/>
      <c r="H1246" s="1"/>
      <c r="I1246" s="1"/>
      <c r="J1246" s="1"/>
      <c r="K1246" s="1"/>
      <c r="L1246" s="1"/>
    </row>
    <row r="1247" ht="15.0" customHeight="1">
      <c r="A1247" s="811" t="s">
        <v>49</v>
      </c>
      <c r="B1247" s="804">
        <v>43488.0</v>
      </c>
      <c r="C1247" s="1"/>
      <c r="D1247" s="1"/>
      <c r="E1247" s="1"/>
      <c r="F1247" s="1"/>
      <c r="G1247" s="1"/>
      <c r="H1247" s="1"/>
      <c r="I1247" s="1"/>
      <c r="J1247" s="1"/>
      <c r="K1247" s="1"/>
      <c r="L1247" s="1"/>
    </row>
    <row r="1248" ht="15.0" customHeight="1">
      <c r="A1248" s="302" t="s">
        <v>50</v>
      </c>
      <c r="B1248" s="804"/>
      <c r="C1248" s="1"/>
      <c r="D1248" s="1"/>
      <c r="E1248" s="1"/>
      <c r="F1248" s="1"/>
      <c r="G1248" s="1"/>
      <c r="H1248" s="1"/>
      <c r="I1248" s="1"/>
      <c r="J1248" s="1"/>
      <c r="K1248" s="1"/>
      <c r="L1248" s="1"/>
    </row>
    <row r="1249" ht="15.0" customHeight="1">
      <c r="A1249" s="1"/>
      <c r="B1249" s="1"/>
      <c r="C1249" s="1"/>
      <c r="D1249" s="1"/>
      <c r="E1249" s="1"/>
      <c r="F1249" s="1"/>
      <c r="G1249" s="1"/>
      <c r="H1249" s="1"/>
      <c r="I1249" s="1"/>
      <c r="J1249" s="1"/>
      <c r="K1249" s="1"/>
      <c r="L1249" s="1"/>
    </row>
    <row r="1250" ht="15.0" customHeight="1">
      <c r="A1250" s="1873" t="s">
        <v>119</v>
      </c>
      <c r="B1250" s="1874" t="s">
        <v>47</v>
      </c>
      <c r="C1250" s="1"/>
      <c r="D1250" s="1"/>
      <c r="E1250" s="1"/>
      <c r="F1250" s="1"/>
      <c r="G1250" s="1"/>
      <c r="H1250" s="1"/>
      <c r="I1250" s="1"/>
      <c r="J1250" s="1"/>
      <c r="K1250" s="1"/>
      <c r="L1250" s="1"/>
    </row>
    <row r="1251" ht="15.0" customHeight="1">
      <c r="A1251" s="1"/>
      <c r="B1251" s="1"/>
      <c r="C1251" s="1"/>
      <c r="D1251" s="1"/>
      <c r="E1251" s="1"/>
      <c r="F1251" s="1"/>
      <c r="G1251" s="1"/>
      <c r="H1251" s="1"/>
      <c r="I1251" s="1"/>
      <c r="J1251" s="1"/>
      <c r="K1251" s="1"/>
      <c r="L1251" s="1"/>
    </row>
    <row r="1252" ht="15.75" customHeight="1">
      <c r="A1252" s="1"/>
      <c r="B1252" s="107"/>
      <c r="C1252" s="184"/>
      <c r="D1252" s="184"/>
      <c r="E1252" s="1"/>
      <c r="F1252" s="1"/>
      <c r="G1252" s="1"/>
      <c r="H1252" s="1"/>
      <c r="I1252" s="1"/>
      <c r="J1252" s="1"/>
      <c r="K1252" s="1"/>
      <c r="L1252" s="1"/>
    </row>
    <row r="1253" ht="15.75" customHeight="1">
      <c r="A1253" s="1"/>
      <c r="B1253" s="107"/>
      <c r="C1253" s="184"/>
      <c r="D1253" s="184"/>
      <c r="E1253" s="1"/>
      <c r="F1253" s="1"/>
      <c r="G1253" s="1"/>
      <c r="H1253" s="1"/>
      <c r="I1253" s="1"/>
      <c r="J1253" s="1"/>
      <c r="K1253" s="1"/>
      <c r="L1253" s="1"/>
    </row>
    <row r="1254" ht="15.75" customHeight="1">
      <c r="A1254" s="1"/>
      <c r="B1254" s="107"/>
      <c r="C1254" s="184"/>
      <c r="D1254" s="184"/>
      <c r="E1254" s="1"/>
      <c r="F1254" s="1"/>
      <c r="G1254" s="1"/>
      <c r="H1254" s="1"/>
      <c r="I1254" s="1"/>
      <c r="J1254" s="1"/>
      <c r="K1254" s="1"/>
      <c r="L1254" s="1"/>
    </row>
    <row r="1255" ht="15.0" customHeight="1">
      <c r="A1255" s="1"/>
      <c r="B1255" s="107"/>
      <c r="C1255" s="184"/>
      <c r="D1255" s="184"/>
      <c r="E1255" s="1"/>
      <c r="F1255" s="1"/>
      <c r="G1255" s="1"/>
      <c r="H1255" s="1"/>
      <c r="I1255" s="1"/>
      <c r="J1255" s="1"/>
      <c r="K1255" s="1"/>
      <c r="L1255" s="1"/>
    </row>
    <row r="1256" ht="15.0" customHeight="1">
      <c r="A1256" s="16" t="s">
        <v>928</v>
      </c>
      <c r="B1256" s="18"/>
      <c r="C1256" s="18"/>
      <c r="D1256" s="18"/>
      <c r="E1256" s="19"/>
      <c r="F1256" s="1"/>
      <c r="G1256" s="1"/>
      <c r="H1256" s="1"/>
      <c r="I1256" s="1"/>
      <c r="J1256" s="1"/>
      <c r="K1256" s="1"/>
      <c r="L1256" s="1"/>
    </row>
    <row r="1257" ht="15.0" customHeight="1">
      <c r="A1257" s="732" t="s">
        <v>1388</v>
      </c>
      <c r="B1257" s="221">
        <v>7.0</v>
      </c>
      <c r="C1257" s="285">
        <v>3.5</v>
      </c>
      <c r="D1257" s="991"/>
      <c r="E1257" s="733" t="s">
        <v>5</v>
      </c>
      <c r="F1257" s="1"/>
      <c r="G1257" s="1"/>
      <c r="H1257" s="1"/>
      <c r="I1257" s="1"/>
      <c r="J1257" s="1"/>
      <c r="K1257" s="1"/>
      <c r="L1257" s="1"/>
    </row>
    <row r="1258" ht="15.0" customHeight="1">
      <c r="A1258" s="177" t="s">
        <v>2965</v>
      </c>
      <c r="B1258" s="712">
        <v>1.0</v>
      </c>
      <c r="C1258" s="500">
        <f t="shared" ref="C1258:C1274" si="102">(B1258*C1257)/B1257</f>
        <v>0.5</v>
      </c>
      <c r="D1258" s="2602"/>
      <c r="E1258" s="204" t="s">
        <v>366</v>
      </c>
      <c r="F1258" s="1"/>
      <c r="G1258" s="1"/>
      <c r="H1258" s="1"/>
      <c r="I1258" s="1"/>
      <c r="J1258" s="1"/>
      <c r="K1258" s="1"/>
      <c r="L1258" s="1"/>
    </row>
    <row r="1259" ht="15.0" customHeight="1">
      <c r="A1259" s="93" t="s">
        <v>164</v>
      </c>
      <c r="B1259" s="195">
        <v>2.1</v>
      </c>
      <c r="C1259" s="247">
        <f t="shared" si="102"/>
        <v>1.05</v>
      </c>
      <c r="D1259" s="95"/>
      <c r="E1259" s="249" t="s">
        <v>5</v>
      </c>
      <c r="F1259" s="1"/>
      <c r="G1259" s="1"/>
      <c r="H1259" s="1"/>
      <c r="I1259" s="1"/>
      <c r="J1259" s="1"/>
      <c r="K1259" s="1"/>
      <c r="L1259" s="1"/>
    </row>
    <row r="1260" ht="15.0" customHeight="1">
      <c r="A1260" s="138" t="s">
        <v>31</v>
      </c>
      <c r="B1260" s="279">
        <v>35.0</v>
      </c>
      <c r="C1260" s="239">
        <f t="shared" si="102"/>
        <v>17.5</v>
      </c>
      <c r="D1260" s="151"/>
      <c r="E1260" s="242" t="s">
        <v>18</v>
      </c>
      <c r="F1260" s="1"/>
      <c r="G1260" s="1"/>
      <c r="H1260" s="1"/>
      <c r="I1260" s="1"/>
      <c r="J1260" s="1"/>
      <c r="K1260" s="1"/>
      <c r="L1260" s="1"/>
    </row>
    <row r="1261" ht="15.0" customHeight="1">
      <c r="A1261" s="1694" t="s">
        <v>122</v>
      </c>
      <c r="B1261" s="1695">
        <v>2.5</v>
      </c>
      <c r="C1261" s="2604">
        <f t="shared" si="102"/>
        <v>1.25</v>
      </c>
      <c r="D1261" s="2605"/>
      <c r="E1261" s="1698" t="s">
        <v>5</v>
      </c>
      <c r="F1261" s="1"/>
      <c r="G1261" s="1"/>
      <c r="H1261" s="1"/>
      <c r="I1261" s="1"/>
      <c r="J1261" s="1"/>
      <c r="K1261" s="1"/>
      <c r="L1261" s="1"/>
    </row>
    <row r="1262" ht="15.0" customHeight="1">
      <c r="A1262" s="93" t="s">
        <v>124</v>
      </c>
      <c r="B1262" s="195">
        <v>14.0</v>
      </c>
      <c r="C1262" s="247">
        <f t="shared" si="102"/>
        <v>7</v>
      </c>
      <c r="D1262" s="95"/>
      <c r="E1262" s="249" t="s">
        <v>18</v>
      </c>
      <c r="F1262" s="1"/>
      <c r="G1262" s="1"/>
      <c r="H1262" s="1"/>
      <c r="I1262" s="1"/>
      <c r="J1262" s="1"/>
      <c r="K1262" s="1"/>
      <c r="L1262" s="1"/>
    </row>
    <row r="1263" ht="15.0" customHeight="1">
      <c r="A1263" s="93" t="s">
        <v>31</v>
      </c>
      <c r="B1263" s="195">
        <v>35.0</v>
      </c>
      <c r="C1263" s="247">
        <f t="shared" si="102"/>
        <v>17.5</v>
      </c>
      <c r="D1263" s="95"/>
      <c r="E1263" s="249" t="s">
        <v>18</v>
      </c>
      <c r="F1263" s="1"/>
      <c r="G1263" s="1"/>
      <c r="H1263" s="1"/>
      <c r="I1263" s="1"/>
      <c r="J1263" s="1"/>
      <c r="K1263" s="1"/>
      <c r="L1263" s="1"/>
    </row>
    <row r="1264" ht="15.0" customHeight="1">
      <c r="A1264" s="93" t="s">
        <v>13</v>
      </c>
      <c r="B1264" s="195">
        <v>0.035</v>
      </c>
      <c r="C1264" s="247">
        <f t="shared" si="102"/>
        <v>0.0175</v>
      </c>
      <c r="D1264" s="95"/>
      <c r="E1264" s="249" t="s">
        <v>14</v>
      </c>
      <c r="F1264" s="1"/>
      <c r="G1264" s="1"/>
      <c r="H1264" s="1"/>
      <c r="I1264" s="1"/>
      <c r="J1264" s="1"/>
      <c r="K1264" s="1"/>
      <c r="L1264" s="1"/>
    </row>
    <row r="1265" ht="15.0" customHeight="1">
      <c r="A1265" s="93" t="s">
        <v>92</v>
      </c>
      <c r="B1265" s="195">
        <v>27.0</v>
      </c>
      <c r="C1265" s="247">
        <f t="shared" si="102"/>
        <v>13.5</v>
      </c>
      <c r="D1265" s="95"/>
      <c r="E1265" s="249" t="s">
        <v>18</v>
      </c>
      <c r="F1265" s="1"/>
      <c r="G1265" s="1"/>
      <c r="H1265" s="1"/>
      <c r="I1265" s="1"/>
      <c r="J1265" s="1"/>
      <c r="K1265" s="1"/>
      <c r="L1265" s="1"/>
    </row>
    <row r="1266" ht="15.0" customHeight="1">
      <c r="A1266" s="138" t="s">
        <v>148</v>
      </c>
      <c r="B1266" s="279">
        <v>21.0</v>
      </c>
      <c r="C1266" s="239">
        <f t="shared" si="102"/>
        <v>10.5</v>
      </c>
      <c r="D1266" s="151"/>
      <c r="E1266" s="242" t="s">
        <v>18</v>
      </c>
      <c r="F1266" s="1"/>
      <c r="G1266" s="1"/>
      <c r="H1266" s="1"/>
      <c r="I1266" s="1"/>
      <c r="J1266" s="1"/>
      <c r="K1266" s="1"/>
      <c r="L1266" s="1"/>
    </row>
    <row r="1267" ht="15.0" customHeight="1">
      <c r="A1267" s="68" t="s">
        <v>34</v>
      </c>
      <c r="B1267" s="145">
        <v>0.105</v>
      </c>
      <c r="C1267" s="210">
        <f t="shared" si="102"/>
        <v>0.0525</v>
      </c>
      <c r="D1267" s="81"/>
      <c r="E1267" s="216" t="s">
        <v>5</v>
      </c>
      <c r="F1267" s="1"/>
      <c r="G1267" s="1"/>
      <c r="H1267" s="1"/>
      <c r="I1267" s="1"/>
      <c r="J1267" s="1"/>
      <c r="K1267" s="1"/>
      <c r="L1267" s="1"/>
    </row>
    <row r="1268" ht="15.0" customHeight="1">
      <c r="A1268" s="93" t="s">
        <v>97</v>
      </c>
      <c r="B1268" s="195">
        <v>14.0</v>
      </c>
      <c r="C1268" s="247">
        <f t="shared" si="102"/>
        <v>7</v>
      </c>
      <c r="D1268" s="95"/>
      <c r="E1268" s="249" t="s">
        <v>18</v>
      </c>
      <c r="F1268" s="1"/>
      <c r="G1268" s="1"/>
      <c r="H1268" s="1"/>
      <c r="I1268" s="1"/>
      <c r="J1268" s="1"/>
      <c r="K1268" s="1"/>
      <c r="L1268" s="1"/>
    </row>
    <row r="1269" ht="15.0" customHeight="1">
      <c r="A1269" s="93" t="s">
        <v>847</v>
      </c>
      <c r="B1269" s="195">
        <v>21.0</v>
      </c>
      <c r="C1269" s="247">
        <f t="shared" si="102"/>
        <v>10.5</v>
      </c>
      <c r="D1269" s="95"/>
      <c r="E1269" s="249" t="s">
        <v>18</v>
      </c>
      <c r="F1269" s="1"/>
      <c r="G1269" s="1"/>
      <c r="H1269" s="1"/>
      <c r="I1269" s="1"/>
      <c r="J1269" s="1"/>
      <c r="K1269" s="1"/>
      <c r="L1269" s="1"/>
    </row>
    <row r="1270" ht="15.0" customHeight="1">
      <c r="A1270" s="93" t="s">
        <v>345</v>
      </c>
      <c r="B1270" s="195">
        <v>0.027</v>
      </c>
      <c r="C1270" s="247">
        <f t="shared" si="102"/>
        <v>0.0135</v>
      </c>
      <c r="D1270" s="95"/>
      <c r="E1270" s="249" t="s">
        <v>14</v>
      </c>
      <c r="F1270" s="1"/>
      <c r="G1270" s="1"/>
      <c r="H1270" s="1"/>
      <c r="I1270" s="1"/>
      <c r="J1270" s="1"/>
      <c r="K1270" s="1"/>
      <c r="L1270" s="1"/>
    </row>
    <row r="1271" ht="15.0" customHeight="1">
      <c r="A1271" s="93" t="s">
        <v>1395</v>
      </c>
      <c r="B1271" s="195">
        <v>0.027</v>
      </c>
      <c r="C1271" s="247">
        <f t="shared" si="102"/>
        <v>0.0135</v>
      </c>
      <c r="D1271" s="95"/>
      <c r="E1271" s="249" t="s">
        <v>14</v>
      </c>
      <c r="F1271" s="1"/>
      <c r="G1271" s="1"/>
      <c r="H1271" s="1"/>
      <c r="I1271" s="1"/>
      <c r="J1271" s="1"/>
      <c r="K1271" s="1"/>
      <c r="L1271" s="1"/>
    </row>
    <row r="1272" ht="15.0" customHeight="1">
      <c r="A1272" s="93" t="s">
        <v>103</v>
      </c>
      <c r="B1272" s="195">
        <v>7.0</v>
      </c>
      <c r="C1272" s="247">
        <f t="shared" si="102"/>
        <v>3.5</v>
      </c>
      <c r="D1272" s="95"/>
      <c r="E1272" s="249" t="s">
        <v>18</v>
      </c>
      <c r="F1272" s="1"/>
      <c r="G1272" s="1"/>
      <c r="H1272" s="1"/>
      <c r="I1272" s="1"/>
      <c r="J1272" s="1"/>
      <c r="K1272" s="1"/>
      <c r="L1272" s="1"/>
    </row>
    <row r="1273" ht="15.0" customHeight="1">
      <c r="A1273" s="105" t="s">
        <v>101</v>
      </c>
      <c r="B1273" s="200">
        <v>0.14</v>
      </c>
      <c r="C1273" s="522">
        <f t="shared" si="102"/>
        <v>0.07</v>
      </c>
      <c r="D1273" s="114"/>
      <c r="E1273" s="518" t="s">
        <v>5</v>
      </c>
      <c r="F1273" s="1"/>
      <c r="G1273" s="1"/>
      <c r="H1273" s="1"/>
      <c r="I1273" s="1"/>
      <c r="J1273" s="1"/>
      <c r="K1273" s="1"/>
      <c r="L1273" s="1"/>
    </row>
    <row r="1274" ht="15.0" customHeight="1">
      <c r="A1274" s="417" t="s">
        <v>2976</v>
      </c>
      <c r="B1274" s="418">
        <v>2.0</v>
      </c>
      <c r="C1274" s="541">
        <f t="shared" si="102"/>
        <v>1</v>
      </c>
      <c r="D1274" s="920"/>
      <c r="E1274" s="543" t="s">
        <v>1197</v>
      </c>
      <c r="F1274" s="1"/>
      <c r="G1274" s="1"/>
      <c r="H1274" s="1"/>
      <c r="I1274" s="1"/>
      <c r="J1274" s="1"/>
      <c r="K1274" s="1"/>
      <c r="L1274" s="1"/>
    </row>
    <row r="1275" ht="15.0" customHeight="1">
      <c r="A1275" s="68" t="s">
        <v>114</v>
      </c>
      <c r="B1275" s="145">
        <v>0.21</v>
      </c>
      <c r="C1275" s="210">
        <f>(B1275*C1273)/B1273</f>
        <v>0.105</v>
      </c>
      <c r="D1275" s="81"/>
      <c r="E1275" s="216" t="s">
        <v>5</v>
      </c>
      <c r="F1275" s="1"/>
      <c r="G1275" s="1"/>
      <c r="H1275" s="1"/>
      <c r="I1275" s="1"/>
      <c r="J1275" s="1"/>
      <c r="K1275" s="1"/>
      <c r="L1275" s="1"/>
    </row>
    <row r="1276" ht="15.0" customHeight="1">
      <c r="A1276" s="105" t="s">
        <v>963</v>
      </c>
      <c r="B1276" s="200">
        <v>0.07</v>
      </c>
      <c r="C1276" s="522">
        <f t="shared" ref="C1276:C1277" si="103">(B1276*C1275)/B1275</f>
        <v>0.035</v>
      </c>
      <c r="D1276" s="114"/>
      <c r="E1276" s="518" t="s">
        <v>9</v>
      </c>
      <c r="F1276" s="1"/>
      <c r="G1276" s="1"/>
      <c r="H1276" s="1"/>
      <c r="I1276" s="1"/>
      <c r="J1276" s="1"/>
      <c r="K1276" s="1"/>
      <c r="L1276" s="1"/>
    </row>
    <row r="1277" ht="15.0" customHeight="1">
      <c r="A1277" s="105" t="s">
        <v>1398</v>
      </c>
      <c r="B1277" s="200">
        <v>0.07</v>
      </c>
      <c r="C1277" s="522">
        <f t="shared" si="103"/>
        <v>0.035</v>
      </c>
      <c r="D1277" s="114"/>
      <c r="E1277" s="518" t="s">
        <v>14</v>
      </c>
      <c r="F1277" s="1"/>
      <c r="G1277" s="1"/>
      <c r="H1277" s="1"/>
      <c r="I1277" s="1"/>
      <c r="J1277" s="1"/>
      <c r="K1277" s="1"/>
      <c r="L1277" s="1"/>
    </row>
    <row r="1278" ht="15.0" customHeight="1">
      <c r="A1278" s="811" t="s">
        <v>49</v>
      </c>
      <c r="B1278" s="804">
        <v>43488.0</v>
      </c>
      <c r="C1278" s="184"/>
      <c r="D1278" s="184"/>
      <c r="E1278" s="1"/>
      <c r="F1278" s="1"/>
      <c r="G1278" s="1"/>
      <c r="H1278" s="1"/>
      <c r="I1278" s="1"/>
      <c r="J1278" s="1"/>
      <c r="K1278" s="1"/>
      <c r="L1278" s="1"/>
    </row>
    <row r="1279" ht="15.0" customHeight="1">
      <c r="A1279" s="302" t="s">
        <v>50</v>
      </c>
      <c r="B1279" s="804"/>
      <c r="C1279" s="184"/>
      <c r="D1279" s="184"/>
      <c r="E1279" s="1"/>
      <c r="F1279" s="1"/>
      <c r="G1279" s="1"/>
      <c r="H1279" s="1"/>
      <c r="I1279" s="1"/>
      <c r="J1279" s="1"/>
      <c r="K1279" s="1"/>
      <c r="L1279" s="1"/>
    </row>
    <row r="1280" ht="15.0" customHeight="1">
      <c r="A1280" s="1"/>
      <c r="B1280" s="1"/>
      <c r="C1280" s="184"/>
      <c r="D1280" s="184"/>
      <c r="E1280" s="1"/>
      <c r="F1280" s="1"/>
      <c r="G1280" s="1"/>
      <c r="H1280" s="1"/>
      <c r="I1280" s="1"/>
      <c r="J1280" s="1"/>
      <c r="K1280" s="1"/>
      <c r="L1280" s="1"/>
    </row>
    <row r="1281" ht="15.0" customHeight="1">
      <c r="A1281" s="1873" t="s">
        <v>119</v>
      </c>
      <c r="B1281" s="1874" t="s">
        <v>47</v>
      </c>
      <c r="C1281" s="184"/>
      <c r="D1281" s="184"/>
      <c r="E1281" s="1"/>
      <c r="F1281" s="1"/>
      <c r="G1281" s="1"/>
      <c r="H1281" s="1"/>
      <c r="I1281" s="1"/>
      <c r="J1281" s="1"/>
      <c r="K1281" s="1"/>
      <c r="L1281" s="1"/>
    </row>
    <row r="1282" ht="15.75" customHeight="1">
      <c r="A1282" s="1"/>
      <c r="B1282" s="107"/>
      <c r="C1282" s="184"/>
      <c r="D1282" s="184"/>
      <c r="E1282" s="1"/>
      <c r="F1282" s="1"/>
      <c r="G1282" s="1"/>
      <c r="H1282" s="1"/>
      <c r="I1282" s="1"/>
      <c r="J1282" s="1"/>
      <c r="K1282" s="1"/>
      <c r="L1282" s="1"/>
    </row>
    <row r="1283" ht="15.0" customHeight="1">
      <c r="A1283" s="1"/>
      <c r="B1283" s="107"/>
      <c r="C1283" s="184"/>
      <c r="D1283" s="184"/>
      <c r="E1283" s="1"/>
      <c r="F1283" s="1"/>
      <c r="G1283" s="1"/>
      <c r="H1283" s="1"/>
      <c r="I1283" s="1"/>
      <c r="J1283" s="1"/>
      <c r="K1283" s="1"/>
      <c r="L1283" s="1"/>
    </row>
    <row r="1284" ht="15.0" customHeight="1">
      <c r="A1284" s="209" t="s">
        <v>408</v>
      </c>
      <c r="B1284" s="18"/>
      <c r="C1284" s="18"/>
      <c r="D1284" s="18"/>
      <c r="E1284" s="19"/>
      <c r="F1284" s="1"/>
      <c r="G1284" s="1"/>
      <c r="H1284" s="1"/>
      <c r="I1284" s="1"/>
      <c r="J1284" s="1"/>
      <c r="K1284" s="1"/>
      <c r="L1284" s="1"/>
    </row>
    <row r="1285" ht="15.0" customHeight="1">
      <c r="A1285" s="1769" t="s">
        <v>1</v>
      </c>
      <c r="B1285" s="1771">
        <v>50.0</v>
      </c>
      <c r="C1285" s="1939">
        <v>10.0</v>
      </c>
      <c r="D1285" s="1945"/>
      <c r="E1285" s="1774" t="s">
        <v>5</v>
      </c>
      <c r="F1285" s="1"/>
      <c r="G1285" s="1"/>
      <c r="H1285" s="1"/>
      <c r="I1285" s="1"/>
      <c r="J1285" s="1"/>
      <c r="K1285" s="1"/>
      <c r="L1285" s="1"/>
    </row>
    <row r="1286" ht="15.0" customHeight="1">
      <c r="A1286" s="51" t="s">
        <v>53</v>
      </c>
      <c r="B1286" s="190">
        <v>10.0</v>
      </c>
      <c r="C1286" s="146">
        <f t="shared" ref="C1286:C1292" si="104">(B1286*C1285)/B1285</f>
        <v>2</v>
      </c>
      <c r="D1286" s="1614"/>
      <c r="E1286" s="514" t="s">
        <v>14</v>
      </c>
      <c r="F1286" s="1"/>
      <c r="G1286" s="1"/>
      <c r="H1286" s="1"/>
      <c r="I1286" s="1"/>
      <c r="J1286" s="1"/>
      <c r="K1286" s="1"/>
      <c r="L1286" s="1"/>
    </row>
    <row r="1287" ht="15.0" customHeight="1">
      <c r="A1287" s="68" t="s">
        <v>91</v>
      </c>
      <c r="B1287" s="145">
        <v>2.5</v>
      </c>
      <c r="C1287" s="155">
        <f t="shared" si="104"/>
        <v>0.5</v>
      </c>
      <c r="D1287" s="899"/>
      <c r="E1287" s="216" t="s">
        <v>5</v>
      </c>
      <c r="F1287" s="1"/>
      <c r="G1287" s="1"/>
      <c r="H1287" s="1"/>
      <c r="I1287" s="1"/>
      <c r="J1287" s="1"/>
      <c r="K1287" s="1"/>
      <c r="L1287" s="1"/>
    </row>
    <row r="1288" ht="15.0" customHeight="1">
      <c r="A1288" s="93" t="s">
        <v>2876</v>
      </c>
      <c r="B1288" s="195">
        <v>150.0</v>
      </c>
      <c r="C1288" s="78">
        <f t="shared" si="104"/>
        <v>30</v>
      </c>
      <c r="D1288" s="900"/>
      <c r="E1288" s="249" t="s">
        <v>18</v>
      </c>
      <c r="F1288" s="1"/>
      <c r="G1288" s="1"/>
      <c r="H1288" s="1"/>
      <c r="I1288" s="1"/>
      <c r="J1288" s="1"/>
      <c r="K1288" s="1"/>
      <c r="L1288" s="1"/>
    </row>
    <row r="1289" ht="15.0" customHeight="1">
      <c r="A1289" s="93" t="s">
        <v>2983</v>
      </c>
      <c r="B1289" s="1213">
        <v>50.0</v>
      </c>
      <c r="C1289" s="78">
        <f t="shared" si="104"/>
        <v>10</v>
      </c>
      <c r="D1289" s="900"/>
      <c r="E1289" s="249" t="s">
        <v>18</v>
      </c>
      <c r="F1289" s="1"/>
      <c r="G1289" s="1"/>
      <c r="H1289" s="1"/>
      <c r="I1289" s="1"/>
      <c r="J1289" s="1"/>
      <c r="K1289" s="1"/>
      <c r="L1289" s="1"/>
    </row>
    <row r="1290" ht="15.0" customHeight="1">
      <c r="A1290" s="93" t="s">
        <v>103</v>
      </c>
      <c r="B1290" s="195">
        <v>40.0</v>
      </c>
      <c r="C1290" s="78">
        <f t="shared" si="104"/>
        <v>8</v>
      </c>
      <c r="D1290" s="900"/>
      <c r="E1290" s="249" t="s">
        <v>18</v>
      </c>
      <c r="F1290" s="1"/>
      <c r="G1290" s="1"/>
      <c r="H1290" s="1"/>
      <c r="I1290" s="1"/>
      <c r="J1290" s="1"/>
      <c r="K1290" s="1"/>
      <c r="L1290" s="1"/>
    </row>
    <row r="1291" ht="15.0" customHeight="1">
      <c r="A1291" s="138" t="s">
        <v>83</v>
      </c>
      <c r="B1291" s="279">
        <v>200.0</v>
      </c>
      <c r="C1291" s="146">
        <f t="shared" si="104"/>
        <v>40</v>
      </c>
      <c r="D1291" s="1607"/>
      <c r="E1291" s="242" t="s">
        <v>18</v>
      </c>
      <c r="F1291" s="1"/>
      <c r="G1291" s="1"/>
      <c r="H1291" s="1"/>
      <c r="I1291" s="1"/>
      <c r="J1291" s="1"/>
      <c r="K1291" s="1"/>
      <c r="L1291" s="1"/>
    </row>
    <row r="1292" ht="15.0" customHeight="1">
      <c r="A1292" s="68" t="s">
        <v>2985</v>
      </c>
      <c r="B1292" s="145">
        <v>2.5</v>
      </c>
      <c r="C1292" s="155">
        <f t="shared" si="104"/>
        <v>0.5</v>
      </c>
      <c r="D1292" s="899"/>
      <c r="E1292" s="216" t="s">
        <v>14</v>
      </c>
      <c r="F1292" s="1"/>
      <c r="G1292" s="1"/>
      <c r="H1292" s="1"/>
      <c r="I1292" s="1"/>
      <c r="J1292" s="1"/>
      <c r="K1292" s="1"/>
      <c r="L1292" s="1"/>
    </row>
    <row r="1293" ht="15.0" customHeight="1">
      <c r="A1293" s="93" t="s">
        <v>2987</v>
      </c>
      <c r="B1293" s="195">
        <v>2.5</v>
      </c>
      <c r="C1293" s="78">
        <f t="shared" ref="C1293:C1295" si="105">(B1293*C1291)/B1291</f>
        <v>0.5</v>
      </c>
      <c r="D1293" s="900"/>
      <c r="E1293" s="249" t="s">
        <v>14</v>
      </c>
      <c r="F1293" s="1"/>
      <c r="G1293" s="1"/>
      <c r="H1293" s="1"/>
      <c r="I1293" s="1"/>
      <c r="J1293" s="1"/>
      <c r="K1293" s="1"/>
      <c r="L1293" s="1"/>
    </row>
    <row r="1294" ht="15.0" customHeight="1">
      <c r="A1294" s="119" t="s">
        <v>31</v>
      </c>
      <c r="B1294" s="238">
        <v>500.0</v>
      </c>
      <c r="C1294" s="78">
        <f t="shared" si="105"/>
        <v>100</v>
      </c>
      <c r="D1294" s="1583"/>
      <c r="E1294" s="520" t="s">
        <v>18</v>
      </c>
      <c r="F1294" s="1"/>
      <c r="G1294" s="1"/>
      <c r="H1294" s="1"/>
      <c r="I1294" s="1"/>
      <c r="J1294" s="1"/>
      <c r="K1294" s="1"/>
      <c r="L1294" s="1"/>
    </row>
    <row r="1295" ht="15.0" customHeight="1">
      <c r="A1295" s="417" t="s">
        <v>2988</v>
      </c>
      <c r="B1295" s="418">
        <v>2.0</v>
      </c>
      <c r="C1295" s="78">
        <f t="shared" si="105"/>
        <v>0.4</v>
      </c>
      <c r="D1295" s="1614"/>
      <c r="E1295" s="543" t="s">
        <v>93</v>
      </c>
      <c r="F1295" s="1"/>
      <c r="G1295" s="1"/>
      <c r="H1295" s="1"/>
      <c r="I1295" s="1"/>
      <c r="J1295" s="1"/>
      <c r="K1295" s="1"/>
      <c r="L1295" s="1"/>
    </row>
    <row r="1296" ht="15.0" customHeight="1">
      <c r="A1296" s="105" t="s">
        <v>157</v>
      </c>
      <c r="B1296" s="200">
        <v>24.0</v>
      </c>
      <c r="C1296" s="78">
        <f>(B1296*C1293)/B1293</f>
        <v>4.8</v>
      </c>
      <c r="D1296" s="1607"/>
      <c r="E1296" s="518" t="s">
        <v>5</v>
      </c>
      <c r="F1296" s="1"/>
      <c r="G1296" s="1"/>
      <c r="H1296" s="1"/>
      <c r="I1296" s="1"/>
      <c r="J1296" s="1"/>
      <c r="K1296" s="1"/>
      <c r="L1296" s="1"/>
    </row>
    <row r="1297" ht="15.0" customHeight="1">
      <c r="A1297" s="811" t="s">
        <v>49</v>
      </c>
      <c r="B1297" s="804">
        <v>43488.0</v>
      </c>
      <c r="C1297" s="184"/>
      <c r="D1297" s="184"/>
      <c r="E1297" s="1"/>
      <c r="F1297" s="1"/>
      <c r="G1297" s="1"/>
      <c r="H1297" s="1"/>
      <c r="I1297" s="1"/>
      <c r="J1297" s="1"/>
      <c r="K1297" s="1"/>
      <c r="L1297" s="1"/>
    </row>
    <row r="1298" ht="15.0" customHeight="1">
      <c r="A1298" s="302" t="s">
        <v>50</v>
      </c>
      <c r="B1298" s="804"/>
      <c r="C1298" s="184"/>
      <c r="D1298" s="184"/>
      <c r="E1298" s="1"/>
      <c r="F1298" s="1"/>
      <c r="G1298" s="1"/>
      <c r="H1298" s="1"/>
      <c r="I1298" s="1"/>
      <c r="J1298" s="1"/>
      <c r="K1298" s="1"/>
      <c r="L1298" s="1"/>
    </row>
    <row r="1299" ht="15.0" customHeight="1">
      <c r="A1299" s="1"/>
      <c r="B1299" s="1"/>
      <c r="C1299" s="184"/>
      <c r="D1299" s="184"/>
      <c r="E1299" s="1"/>
      <c r="F1299" s="1"/>
      <c r="G1299" s="1"/>
      <c r="H1299" s="1"/>
      <c r="I1299" s="1"/>
      <c r="J1299" s="1"/>
      <c r="K1299" s="1"/>
      <c r="L1299" s="1"/>
    </row>
    <row r="1300" ht="15.0" customHeight="1">
      <c r="A1300" s="1873" t="s">
        <v>119</v>
      </c>
      <c r="B1300" s="1874" t="s">
        <v>47</v>
      </c>
      <c r="C1300" s="184"/>
      <c r="D1300" s="184"/>
      <c r="E1300" s="1"/>
      <c r="F1300" s="1"/>
      <c r="G1300" s="1"/>
      <c r="H1300" s="1"/>
      <c r="I1300" s="1"/>
      <c r="J1300" s="1"/>
      <c r="K1300" s="1"/>
      <c r="L1300" s="1"/>
    </row>
    <row r="1301" ht="15.0" customHeight="1">
      <c r="A1301" s="1"/>
      <c r="B1301" s="107"/>
      <c r="C1301" s="184"/>
      <c r="D1301" s="184"/>
      <c r="E1301" s="1"/>
      <c r="F1301" s="1"/>
      <c r="G1301" s="1"/>
      <c r="H1301" s="1"/>
      <c r="I1301" s="1"/>
      <c r="J1301" s="1"/>
      <c r="K1301" s="1"/>
      <c r="L1301" s="1"/>
    </row>
    <row r="1302" ht="15.0" customHeight="1">
      <c r="A1302" s="2638" t="s">
        <v>2992</v>
      </c>
      <c r="B1302" s="18"/>
      <c r="C1302" s="18"/>
      <c r="D1302" s="18"/>
      <c r="E1302" s="19"/>
      <c r="F1302" s="1"/>
      <c r="G1302" s="1"/>
      <c r="H1302" s="1"/>
      <c r="I1302" s="1"/>
      <c r="J1302" s="1"/>
      <c r="K1302" s="1"/>
      <c r="L1302" s="1"/>
    </row>
    <row r="1303" ht="15.0" customHeight="1">
      <c r="A1303" s="25" t="s">
        <v>1</v>
      </c>
      <c r="B1303" s="26">
        <v>10.0</v>
      </c>
      <c r="C1303" s="1710">
        <v>100.0</v>
      </c>
      <c r="D1303" s="2640"/>
      <c r="E1303" s="2641" t="s">
        <v>2993</v>
      </c>
      <c r="F1303" s="1100" t="s">
        <v>2994</v>
      </c>
      <c r="G1303" s="1"/>
      <c r="H1303" s="1"/>
      <c r="I1303" s="1"/>
      <c r="J1303" s="1"/>
      <c r="K1303" s="1"/>
      <c r="L1303" s="1"/>
    </row>
    <row r="1304" ht="15.0" customHeight="1">
      <c r="A1304" s="163" t="s">
        <v>53</v>
      </c>
      <c r="B1304" s="316">
        <v>1.0</v>
      </c>
      <c r="C1304" s="666">
        <f t="shared" ref="C1304:C1305" si="106">(B1304*C1303)/B1303</f>
        <v>10</v>
      </c>
      <c r="D1304" s="2653"/>
      <c r="E1304" s="169" t="s">
        <v>14</v>
      </c>
      <c r="F1304" s="47"/>
      <c r="G1304" s="1"/>
      <c r="H1304" s="1"/>
      <c r="I1304" s="1"/>
      <c r="J1304" s="1"/>
      <c r="K1304" s="1"/>
      <c r="L1304" s="1"/>
    </row>
    <row r="1305" ht="15.0" customHeight="1">
      <c r="A1305" s="177" t="s">
        <v>805</v>
      </c>
      <c r="B1305" s="94">
        <v>0.33</v>
      </c>
      <c r="C1305" s="500">
        <f t="shared" si="106"/>
        <v>3.3</v>
      </c>
      <c r="D1305" s="2602"/>
      <c r="E1305" s="204" t="s">
        <v>14</v>
      </c>
      <c r="F1305" s="47"/>
      <c r="G1305" s="1"/>
      <c r="H1305" s="1"/>
      <c r="I1305" s="1"/>
      <c r="J1305" s="1"/>
      <c r="K1305" s="1"/>
      <c r="L1305" s="1"/>
    </row>
    <row r="1306" ht="15.0" customHeight="1">
      <c r="A1306" s="811" t="s">
        <v>49</v>
      </c>
      <c r="B1306" s="804">
        <v>43488.0</v>
      </c>
      <c r="C1306" s="184"/>
      <c r="D1306" s="184"/>
      <c r="E1306" s="1"/>
      <c r="F1306" s="76"/>
      <c r="G1306" s="1"/>
      <c r="H1306" s="1"/>
      <c r="I1306" s="1"/>
      <c r="J1306" s="1"/>
      <c r="K1306" s="1"/>
      <c r="L1306" s="1"/>
    </row>
    <row r="1307" ht="15.0" customHeight="1">
      <c r="A1307" s="302" t="s">
        <v>50</v>
      </c>
      <c r="B1307" s="804"/>
      <c r="C1307" s="184"/>
      <c r="D1307" s="184"/>
      <c r="E1307" s="1"/>
      <c r="F1307" s="1"/>
      <c r="G1307" s="1"/>
      <c r="H1307" s="1"/>
      <c r="I1307" s="1"/>
      <c r="J1307" s="1"/>
      <c r="K1307" s="1"/>
      <c r="L1307" s="1"/>
    </row>
    <row r="1308" ht="15.0" customHeight="1">
      <c r="A1308" s="1"/>
      <c r="B1308" s="1"/>
      <c r="C1308" s="184"/>
      <c r="D1308" s="184"/>
      <c r="E1308" s="1"/>
      <c r="F1308" s="1"/>
      <c r="G1308" s="1"/>
      <c r="H1308" s="1"/>
      <c r="I1308" s="1"/>
      <c r="J1308" s="1"/>
      <c r="K1308" s="1"/>
      <c r="L1308" s="1"/>
    </row>
    <row r="1309" ht="15.0" customHeight="1">
      <c r="A1309" s="1873" t="s">
        <v>119</v>
      </c>
      <c r="B1309" s="1874" t="s">
        <v>47</v>
      </c>
      <c r="C1309" s="184"/>
      <c r="D1309" s="184"/>
      <c r="E1309" s="1"/>
      <c r="F1309" s="1"/>
      <c r="G1309" s="1"/>
      <c r="H1309" s="1"/>
      <c r="I1309" s="1"/>
      <c r="J1309" s="1"/>
      <c r="K1309" s="1"/>
      <c r="L1309" s="1"/>
    </row>
  </sheetData>
  <mergeCells count="154">
    <mergeCell ref="A1:E1"/>
    <mergeCell ref="F4:F26"/>
    <mergeCell ref="F27:F29"/>
    <mergeCell ref="F30:F35"/>
    <mergeCell ref="F36:F43"/>
    <mergeCell ref="A45:C45"/>
    <mergeCell ref="A50:E50"/>
    <mergeCell ref="F52:F55"/>
    <mergeCell ref="F56:F66"/>
    <mergeCell ref="A75:E75"/>
    <mergeCell ref="F77:F97"/>
    <mergeCell ref="A106:E106"/>
    <mergeCell ref="F111:F117"/>
    <mergeCell ref="A126:E126"/>
    <mergeCell ref="F128:F131"/>
    <mergeCell ref="F132:F138"/>
    <mergeCell ref="F139:F141"/>
    <mergeCell ref="A150:E150"/>
    <mergeCell ref="F152:F155"/>
    <mergeCell ref="F156:F161"/>
    <mergeCell ref="A169:B169"/>
    <mergeCell ref="A178:E178"/>
    <mergeCell ref="F179:F181"/>
    <mergeCell ref="F182:F187"/>
    <mergeCell ref="F188:F193"/>
    <mergeCell ref="F194:F197"/>
    <mergeCell ref="A200:C201"/>
    <mergeCell ref="A207:E207"/>
    <mergeCell ref="F209:F215"/>
    <mergeCell ref="F216:F228"/>
    <mergeCell ref="F229:F231"/>
    <mergeCell ref="A233:C235"/>
    <mergeCell ref="A240:E240"/>
    <mergeCell ref="F242:F246"/>
    <mergeCell ref="F247:F255"/>
    <mergeCell ref="F257:F258"/>
    <mergeCell ref="A260:E262"/>
    <mergeCell ref="A267:E267"/>
    <mergeCell ref="F269:F272"/>
    <mergeCell ref="F273:F281"/>
    <mergeCell ref="A298:E298"/>
    <mergeCell ref="A326:E326"/>
    <mergeCell ref="F328:F332"/>
    <mergeCell ref="F333:F341"/>
    <mergeCell ref="F343:F344"/>
    <mergeCell ref="A346:C348"/>
    <mergeCell ref="A356:E356"/>
    <mergeCell ref="F356:F358"/>
    <mergeCell ref="F360:F366"/>
    <mergeCell ref="F671:F673"/>
    <mergeCell ref="F698:F708"/>
    <mergeCell ref="F715:F724"/>
    <mergeCell ref="F726:F730"/>
    <mergeCell ref="F731:F733"/>
    <mergeCell ref="F744:F747"/>
    <mergeCell ref="F748:F758"/>
    <mergeCell ref="F882:F884"/>
    <mergeCell ref="H887:K887"/>
    <mergeCell ref="H920:K920"/>
    <mergeCell ref="H1128:K1128"/>
    <mergeCell ref="F766:F773"/>
    <mergeCell ref="F774:F778"/>
    <mergeCell ref="F779:F785"/>
    <mergeCell ref="F787:F795"/>
    <mergeCell ref="F850:F857"/>
    <mergeCell ref="F866:F875"/>
    <mergeCell ref="F877:F881"/>
    <mergeCell ref="A845:E845"/>
    <mergeCell ref="A864:E864"/>
    <mergeCell ref="A887:E887"/>
    <mergeCell ref="F888:F889"/>
    <mergeCell ref="F890:F907"/>
    <mergeCell ref="F908:F909"/>
    <mergeCell ref="A920:E920"/>
    <mergeCell ref="A1113:E1113"/>
    <mergeCell ref="A1132:E1132"/>
    <mergeCell ref="A942:E942"/>
    <mergeCell ref="A975:E975"/>
    <mergeCell ref="F977:F980"/>
    <mergeCell ref="F985:F990"/>
    <mergeCell ref="A1000:E1000"/>
    <mergeCell ref="F1002:F1004"/>
    <mergeCell ref="A1028:E1028"/>
    <mergeCell ref="F1138:F1144"/>
    <mergeCell ref="F1145:F1149"/>
    <mergeCell ref="F1150:F1155"/>
    <mergeCell ref="A1164:E1164"/>
    <mergeCell ref="F1166:F1168"/>
    <mergeCell ref="F1006:F1008"/>
    <mergeCell ref="F1031:F1033"/>
    <mergeCell ref="F1034:F1056"/>
    <mergeCell ref="F1074:F1075"/>
    <mergeCell ref="F1076:F1093"/>
    <mergeCell ref="F1100:F1101"/>
    <mergeCell ref="F1134:F1137"/>
    <mergeCell ref="F1245:F1246"/>
    <mergeCell ref="A1256:E1256"/>
    <mergeCell ref="A1284:E1284"/>
    <mergeCell ref="A1302:E1302"/>
    <mergeCell ref="F1303:F1306"/>
    <mergeCell ref="F1170:F1182"/>
    <mergeCell ref="F1183:F1187"/>
    <mergeCell ref="A1196:E1196"/>
    <mergeCell ref="A1223:E1223"/>
    <mergeCell ref="F1226:F1233"/>
    <mergeCell ref="F1234:F1239"/>
    <mergeCell ref="F1240:F1244"/>
    <mergeCell ref="F370:F375"/>
    <mergeCell ref="A393:E393"/>
    <mergeCell ref="F397:F403"/>
    <mergeCell ref="F404:F409"/>
    <mergeCell ref="A418:E418"/>
    <mergeCell ref="F418:F420"/>
    <mergeCell ref="F422:F428"/>
    <mergeCell ref="F432:F437"/>
    <mergeCell ref="A446:E446"/>
    <mergeCell ref="A456:E456"/>
    <mergeCell ref="F459:F462"/>
    <mergeCell ref="F471:F476"/>
    <mergeCell ref="A486:E486"/>
    <mergeCell ref="A505:E505"/>
    <mergeCell ref="F507:F510"/>
    <mergeCell ref="F511:F519"/>
    <mergeCell ref="F520:F524"/>
    <mergeCell ref="A525:C527"/>
    <mergeCell ref="A532:E532"/>
    <mergeCell ref="F534:F537"/>
    <mergeCell ref="A555:E555"/>
    <mergeCell ref="A586:E586"/>
    <mergeCell ref="F614:F619"/>
    <mergeCell ref="F620:F634"/>
    <mergeCell ref="F635:F639"/>
    <mergeCell ref="A644:E644"/>
    <mergeCell ref="F540:F547"/>
    <mergeCell ref="F557:F560"/>
    <mergeCell ref="F561:F567"/>
    <mergeCell ref="F569:F579"/>
    <mergeCell ref="F588:F591"/>
    <mergeCell ref="F592:F601"/>
    <mergeCell ref="F608:F613"/>
    <mergeCell ref="F646:F657"/>
    <mergeCell ref="F658:F660"/>
    <mergeCell ref="F661:F666"/>
    <mergeCell ref="F667:F668"/>
    <mergeCell ref="F669:F670"/>
    <mergeCell ref="A678:E678"/>
    <mergeCell ref="A695:E695"/>
    <mergeCell ref="A713:E713"/>
    <mergeCell ref="A735:E738"/>
    <mergeCell ref="A742:E742"/>
    <mergeCell ref="A763:E763"/>
    <mergeCell ref="A786:E786"/>
    <mergeCell ref="A800:E800"/>
    <mergeCell ref="A819:E819"/>
  </mergeCells>
  <hyperlinks>
    <hyperlink display="BACK" location="'Recipe Index'!R45" ref="A44"/>
    <hyperlink display="HOME" location="'Recipe Index'!A10" ref="B44"/>
    <hyperlink display="BACK" location="'Recipe Index'!R45" ref="A67"/>
    <hyperlink display="HOME" location="'Recipe Index'!A10" ref="B67"/>
    <hyperlink display="BACK" location="'Recipe Index'!R55" ref="A98"/>
    <hyperlink display="HOME" location="'Recipe Index'!A10" ref="B98"/>
    <hyperlink display="BACK" location="'Recipe Index'!R55" ref="A121"/>
    <hyperlink display="HOME" location="'Recipe Index'!A10" ref="B121"/>
    <hyperlink display="BACK" location="'Recipe Index'!R55" ref="A142"/>
    <hyperlink display="HOME" location="'Recipe Index'!A10" ref="B142"/>
    <hyperlink display="BACK" location="'Recipe Index'!R45" ref="A170"/>
    <hyperlink display="HOME" location="'Recipe Index'!A10" ref="B170"/>
    <hyperlink display="BACK" location="'Recipe Index'!R55" ref="A199"/>
    <hyperlink display="HOME" location="'Recipe Index'!A10" ref="B199"/>
    <hyperlink display="BACK" location="'Recipe Index'!R55" ref="A232"/>
    <hyperlink display="HOME" location="'Recipe Index'!A10" ref="B232"/>
    <hyperlink display="BACK" location="'Recipe Index'!R65" ref="A259"/>
    <hyperlink display="HOME" location="'Recipe Index'!A10" ref="B259"/>
    <hyperlink display="BACK" location="'Recipe Index'!R55" ref="A284"/>
    <hyperlink display="HOME" location="'Recipe Index'!A10" ref="B284"/>
    <hyperlink display="BACK" location="'Recipe Index'!R65" ref="A312"/>
    <hyperlink display="HOME" location="'Recipe Index'!A10" ref="B312"/>
    <hyperlink display="BACK" location="'Recipe Index'!R65" ref="A349"/>
    <hyperlink display="HOME" location="'Recipe Index'!A10" ref="B349"/>
    <hyperlink display="BACK" location="'Recipe Index'!R65" ref="A380"/>
    <hyperlink display="HOME" location="'Recipe Index'!A10" ref="B380"/>
    <hyperlink display="BACK" location="'Recipe Index'!R65" ref="A414"/>
    <hyperlink display="HOME" location="'Recipe Index'!A10" ref="B414"/>
    <hyperlink display="BACK" location="'Recipe Index'!R65" ref="A442"/>
    <hyperlink display="HOME" location="'Recipe Index'!A10" ref="B442"/>
    <hyperlink display="BACK" location="'Recipe Index'!R65" ref="A452"/>
    <hyperlink display="HOME" location="'Recipe Index'!A10" ref="B452"/>
    <hyperlink display="BACK" location="'Recipe Index'!R65" ref="A482"/>
    <hyperlink display="HOME" location="'Recipe Index'!A10" ref="B482"/>
    <hyperlink display="BACK" location="'Recipe Index'!R65" ref="A501"/>
    <hyperlink display="HOME" location="'Recipe Index'!A10" ref="B501"/>
    <hyperlink display="BACK" location="'Recipe Index'!R65" ref="A528"/>
    <hyperlink display="HOME" location="'Recipe Index'!A10" ref="B528"/>
    <hyperlink display="BACK" location="'Recipe Index'!R65" ref="A551"/>
    <hyperlink display="HOME" location="'Recipe Index'!A10" ref="B551"/>
    <hyperlink display="BACK" location="'Recipe Index'!R65" ref="A582"/>
    <hyperlink display="HOME" location="'Recipe Index'!A10" ref="B582"/>
    <hyperlink display="BACK" location="'Recipe Index'!R65" ref="A603"/>
    <hyperlink display="HOME" location="'Recipe Index'!A10" ref="B603"/>
    <hyperlink display="BACK" location="'Recipe Index'!R65" ref="A640"/>
    <hyperlink display="HOME" location="'Recipe Index'!A10" ref="B640"/>
    <hyperlink display="BACK" location="'Recipe Index'!R65" ref="A674"/>
    <hyperlink display="HOME" location="'Recipe Index'!A10" ref="B674"/>
    <hyperlink display="BACK" location="'Recipe Index'!R65" ref="A693"/>
    <hyperlink display="HOME" location="'Recipe Index'!A10" ref="B693"/>
    <hyperlink display="BACK" location="'Recipe Index'!R65" ref="A709"/>
    <hyperlink display="HOME" location="'Recipe Index'!A10" ref="B709"/>
    <hyperlink display="BACK" location="'Recipe Index'!R65" ref="A734"/>
    <hyperlink display="HOME" location="'Recipe Index'!A10" ref="B734"/>
    <hyperlink display="BACK" location="'Recipe Index'!R65" ref="A761"/>
    <hyperlink display="HOME" location="'Recipe Index'!A10" ref="B761"/>
    <hyperlink display="BACK" location="'Recipe Index'!R65" ref="A796"/>
    <hyperlink display="HOME" location="'Recipe Index'!A10" ref="B796"/>
    <hyperlink display="BACK" location="'Recipe Index'!R65" ref="A815"/>
    <hyperlink display="HOME" location="'Recipe Index'!A10" ref="B815"/>
    <hyperlink display="BACK" location="'Recipe Index'!R65" ref="A843"/>
    <hyperlink display="HOME" location="'Recipe Index'!A10" ref="B843"/>
    <hyperlink display="BACK" location="'Recipe Index'!R65" ref="A858"/>
    <hyperlink display="HOME" location="'Recipe Index'!A10" ref="B858"/>
    <hyperlink display="BACK" location="'Recipe Index'!R65" ref="A885"/>
    <hyperlink display="HOME" location="'Recipe Index'!A10" ref="B885"/>
    <hyperlink display="BACK" location="'Recipe Index'!R65" ref="A910"/>
    <hyperlink display="HOME" location="'Recipe Index'!A10" ref="B910"/>
    <hyperlink display="BACK" location="'Recipe Index'!R65" ref="A937"/>
    <hyperlink display="HOME" location="'Recipe Index'!A10" ref="B937"/>
    <hyperlink display="BACK" location="'Recipe Index'!R65" ref="A969"/>
    <hyperlink display="HOME" location="'Recipe Index'!A10" ref="B969"/>
    <hyperlink display="BACK" location="'Recipe Index'!R65" ref="A994"/>
    <hyperlink display="HOME" location="'Recipe Index'!A10" ref="B994"/>
    <hyperlink display="BACK" location="'Recipe Index'!R65" ref="A1025"/>
    <hyperlink display="HOME" location="'Recipe Index'!A10" ref="B1025"/>
    <hyperlink display="BACK" location="'Recipe Index'!R65" ref="A1064"/>
    <hyperlink display="HOME" location="'Recipe Index'!A10" ref="B1064"/>
    <hyperlink display="BACK" location="'Recipe Index'!R65" ref="A1105"/>
    <hyperlink display="HOME" location="'Recipe Index'!A10" ref="B1105"/>
    <hyperlink display="BACK" location="'Recipe Index'!R65" ref="A1127"/>
    <hyperlink display="HOME" location="'Recipe Index'!A10" ref="B1127"/>
    <hyperlink display="BACK" location="'Recipe Index'!R65" ref="A1159"/>
    <hyperlink display="HOME" location="'Recipe Index'!A10" ref="B1159"/>
    <hyperlink display="BACK" location="'Recipe Index'!R65" ref="A1191"/>
    <hyperlink display="HOME" location="'Recipe Index'!A10" ref="B1191"/>
    <hyperlink display="BACK" location="'Recipe Index'!R65" ref="A1218"/>
    <hyperlink display="HOME" location="'Recipe Index'!A10" ref="B1218"/>
    <hyperlink display="BACK" location="'Recipe Index'!R65" ref="A1250"/>
    <hyperlink display="HOME" location="'Recipe Index'!A10" ref="B1250"/>
    <hyperlink display="BACK" location="'Recipe Index'!R65" ref="A1281"/>
    <hyperlink display="HOME" location="'Recipe Index'!A10" ref="B1281"/>
    <hyperlink display="BACK" location="'Recipe Index'!R65" ref="A1300"/>
    <hyperlink display="HOME" location="'Recipe Index'!A10" ref="B1300"/>
    <hyperlink display="BACK" location="'Recipe Index'!R65" ref="A1309"/>
    <hyperlink display="HOME" location="'Recipe Index'!A10" ref="B1309"/>
  </hyperlinks>
  <printOptions/>
  <pageMargins bottom="0.0" footer="0.0" header="0.0" left="0.0" right="0.0" top="0.0"/>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26.75"/>
    <col customWidth="1" min="2" max="2" width="10.25"/>
    <col customWidth="1" min="3" max="3" width="9.38"/>
    <col customWidth="1" min="4" max="4" width="5.0"/>
    <col customWidth="1" min="5" max="5" width="27.75"/>
    <col customWidth="1" min="6" max="6" width="17.38"/>
    <col customWidth="1" min="7" max="11" width="9.25"/>
    <col customWidth="1" min="12" max="26" width="14.38"/>
  </cols>
  <sheetData>
    <row r="1" ht="13.5" customHeight="1">
      <c r="A1" s="927" t="s">
        <v>236</v>
      </c>
      <c r="B1" s="5"/>
      <c r="C1" s="5"/>
      <c r="D1" s="6"/>
      <c r="E1" s="207"/>
      <c r="F1" s="11"/>
      <c r="G1" s="11"/>
      <c r="H1" s="11"/>
      <c r="I1" s="11"/>
      <c r="J1" s="11"/>
      <c r="K1" s="11"/>
    </row>
    <row r="2" ht="13.5" customHeight="1">
      <c r="A2" s="1144" t="s">
        <v>1267</v>
      </c>
      <c r="B2" s="1711">
        <v>540.0</v>
      </c>
      <c r="C2" s="210">
        <v>54.0</v>
      </c>
      <c r="D2" s="1714" t="s">
        <v>1342</v>
      </c>
      <c r="E2" s="1715" t="s">
        <v>1960</v>
      </c>
      <c r="F2" s="11"/>
      <c r="G2" s="11"/>
      <c r="H2" s="11"/>
      <c r="I2" s="11"/>
      <c r="J2" s="11"/>
      <c r="K2" s="11"/>
    </row>
    <row r="3" ht="13.5" customHeight="1">
      <c r="A3" s="898" t="s">
        <v>1286</v>
      </c>
      <c r="B3" s="1717">
        <v>420.0</v>
      </c>
      <c r="C3" s="247">
        <f t="shared" ref="C3:C18" si="1">(B3*C2)/B2</f>
        <v>42</v>
      </c>
      <c r="D3" s="1302" t="s">
        <v>1342</v>
      </c>
      <c r="E3" s="1719" t="s">
        <v>1964</v>
      </c>
      <c r="F3" s="11"/>
      <c r="G3" s="11"/>
      <c r="H3" s="11"/>
      <c r="I3" s="11"/>
      <c r="J3" s="11"/>
      <c r="K3" s="11"/>
    </row>
    <row r="4" ht="13.5" customHeight="1">
      <c r="A4" s="1151" t="s">
        <v>1965</v>
      </c>
      <c r="B4" s="1720">
        <v>600.0</v>
      </c>
      <c r="C4" s="522">
        <f t="shared" si="1"/>
        <v>60</v>
      </c>
      <c r="D4" s="1722" t="s">
        <v>1342</v>
      </c>
      <c r="E4" s="1724" t="s">
        <v>1969</v>
      </c>
      <c r="F4" s="11"/>
      <c r="G4" s="11"/>
      <c r="H4" s="11"/>
      <c r="I4" s="11"/>
      <c r="J4" s="11"/>
      <c r="K4" s="11"/>
    </row>
    <row r="5" ht="13.5" customHeight="1">
      <c r="A5" s="1726" t="s">
        <v>109</v>
      </c>
      <c r="B5" s="1728">
        <v>10.5</v>
      </c>
      <c r="C5" s="523">
        <f t="shared" si="1"/>
        <v>1.05</v>
      </c>
      <c r="D5" s="1734" t="s">
        <v>14</v>
      </c>
      <c r="E5" s="1736"/>
      <c r="F5" s="11"/>
      <c r="G5" s="11"/>
      <c r="H5" s="11"/>
      <c r="I5" s="11"/>
      <c r="J5" s="11"/>
      <c r="K5" s="11"/>
    </row>
    <row r="6" ht="13.5" customHeight="1">
      <c r="A6" s="1151" t="s">
        <v>1287</v>
      </c>
      <c r="B6" s="522">
        <v>42.0</v>
      </c>
      <c r="C6" s="522">
        <f t="shared" si="1"/>
        <v>4.2</v>
      </c>
      <c r="D6" s="518" t="s">
        <v>14</v>
      </c>
      <c r="E6" s="11"/>
      <c r="F6" s="11"/>
      <c r="G6" s="11"/>
      <c r="H6" s="11"/>
      <c r="I6" s="11"/>
      <c r="J6" s="11"/>
      <c r="K6" s="11"/>
    </row>
    <row r="7" ht="13.5" customHeight="1">
      <c r="A7" s="1726" t="s">
        <v>91</v>
      </c>
      <c r="B7" s="523">
        <v>2.52</v>
      </c>
      <c r="C7" s="523">
        <f t="shared" si="1"/>
        <v>0.252</v>
      </c>
      <c r="D7" s="520" t="s">
        <v>190</v>
      </c>
      <c r="E7" s="44" t="s">
        <v>1976</v>
      </c>
      <c r="F7" s="11"/>
      <c r="G7" s="11"/>
      <c r="H7" s="11"/>
      <c r="I7" s="11"/>
      <c r="J7" s="11"/>
      <c r="K7" s="11"/>
    </row>
    <row r="8" ht="13.5" customHeight="1">
      <c r="A8" s="898" t="s">
        <v>98</v>
      </c>
      <c r="B8" s="247">
        <v>168.0</v>
      </c>
      <c r="C8" s="247">
        <f t="shared" si="1"/>
        <v>16.8</v>
      </c>
      <c r="D8" s="249" t="s">
        <v>18</v>
      </c>
      <c r="E8" s="47"/>
      <c r="F8" s="11"/>
      <c r="G8" s="11"/>
      <c r="H8" s="11"/>
      <c r="I8" s="11"/>
      <c r="J8" s="11"/>
      <c r="K8" s="11"/>
    </row>
    <row r="9" ht="13.5" customHeight="1">
      <c r="A9" s="898" t="s">
        <v>113</v>
      </c>
      <c r="B9" s="247">
        <v>42.0</v>
      </c>
      <c r="C9" s="247">
        <f t="shared" si="1"/>
        <v>4.2</v>
      </c>
      <c r="D9" s="249" t="s">
        <v>18</v>
      </c>
      <c r="E9" s="47"/>
      <c r="F9" s="11"/>
      <c r="G9" s="11"/>
      <c r="H9" s="11"/>
      <c r="I9" s="11"/>
      <c r="J9" s="11"/>
      <c r="K9" s="11"/>
    </row>
    <row r="10" ht="13.5" customHeight="1">
      <c r="A10" s="898" t="s">
        <v>103</v>
      </c>
      <c r="B10" s="247">
        <v>105.0</v>
      </c>
      <c r="C10" s="247">
        <f t="shared" si="1"/>
        <v>10.5</v>
      </c>
      <c r="D10" s="249" t="s">
        <v>18</v>
      </c>
      <c r="E10" s="47"/>
      <c r="F10" s="11"/>
      <c r="G10" s="11"/>
      <c r="H10" s="11"/>
      <c r="I10" s="11"/>
      <c r="J10" s="11"/>
      <c r="K10" s="11"/>
    </row>
    <row r="11" ht="13.5" customHeight="1">
      <c r="A11" s="898" t="s">
        <v>52</v>
      </c>
      <c r="B11" s="247">
        <v>84.0</v>
      </c>
      <c r="C11" s="247">
        <f t="shared" si="1"/>
        <v>8.4</v>
      </c>
      <c r="D11" s="249" t="s">
        <v>18</v>
      </c>
      <c r="E11" s="47"/>
      <c r="F11" s="11"/>
      <c r="G11" s="11"/>
      <c r="H11" s="11"/>
      <c r="I11" s="11"/>
      <c r="J11" s="11"/>
      <c r="K11" s="11"/>
    </row>
    <row r="12" ht="13.5" customHeight="1">
      <c r="A12" s="898" t="s">
        <v>346</v>
      </c>
      <c r="B12" s="247">
        <v>630.0</v>
      </c>
      <c r="C12" s="247">
        <f t="shared" si="1"/>
        <v>63</v>
      </c>
      <c r="D12" s="249" t="s">
        <v>18</v>
      </c>
      <c r="E12" s="47"/>
      <c r="F12" s="11"/>
      <c r="G12" s="11"/>
      <c r="H12" s="11"/>
      <c r="I12" s="11"/>
      <c r="J12" s="11"/>
      <c r="K12" s="11"/>
    </row>
    <row r="13" ht="13.5" customHeight="1">
      <c r="A13" s="898" t="s">
        <v>1289</v>
      </c>
      <c r="B13" s="247">
        <v>1050.0</v>
      </c>
      <c r="C13" s="247">
        <f t="shared" si="1"/>
        <v>105</v>
      </c>
      <c r="D13" s="249" t="s">
        <v>18</v>
      </c>
      <c r="E13" s="47"/>
      <c r="F13" s="11"/>
      <c r="G13" s="11"/>
      <c r="H13" s="11"/>
      <c r="I13" s="11"/>
      <c r="J13" s="11"/>
      <c r="K13" s="11"/>
    </row>
    <row r="14" ht="13.5" customHeight="1">
      <c r="A14" s="898" t="s">
        <v>124</v>
      </c>
      <c r="B14" s="247">
        <v>315.0</v>
      </c>
      <c r="C14" s="247">
        <f t="shared" si="1"/>
        <v>31.5</v>
      </c>
      <c r="D14" s="1741" t="s">
        <v>18</v>
      </c>
      <c r="E14" s="47"/>
      <c r="F14" s="11"/>
      <c r="G14" s="11"/>
      <c r="H14" s="11"/>
      <c r="I14" s="11"/>
      <c r="J14" s="11"/>
      <c r="K14" s="11"/>
    </row>
    <row r="15" ht="13.5" customHeight="1">
      <c r="A15" s="898" t="s">
        <v>31</v>
      </c>
      <c r="B15" s="247">
        <v>525.0</v>
      </c>
      <c r="C15" s="247">
        <f t="shared" si="1"/>
        <v>52.5</v>
      </c>
      <c r="D15" s="1302" t="s">
        <v>18</v>
      </c>
      <c r="E15" s="47"/>
      <c r="F15" s="11"/>
      <c r="G15" s="11"/>
      <c r="H15" s="11"/>
      <c r="I15" s="11"/>
      <c r="J15" s="11"/>
      <c r="K15" s="11"/>
    </row>
    <row r="16" ht="13.5" customHeight="1">
      <c r="A16" s="898" t="s">
        <v>112</v>
      </c>
      <c r="B16" s="247">
        <v>105.0</v>
      </c>
      <c r="C16" s="247">
        <f t="shared" si="1"/>
        <v>10.5</v>
      </c>
      <c r="D16" s="1302" t="s">
        <v>18</v>
      </c>
      <c r="E16" s="47"/>
      <c r="F16" s="11"/>
      <c r="G16" s="11"/>
      <c r="H16" s="11"/>
      <c r="I16" s="11"/>
      <c r="J16" s="11"/>
      <c r="K16" s="11"/>
    </row>
    <row r="17" ht="13.5" customHeight="1">
      <c r="A17" s="898" t="s">
        <v>1290</v>
      </c>
      <c r="B17" s="247">
        <v>378.0</v>
      </c>
      <c r="C17" s="247">
        <f t="shared" si="1"/>
        <v>37.8</v>
      </c>
      <c r="D17" s="1302" t="s">
        <v>18</v>
      </c>
      <c r="E17" s="47"/>
      <c r="F17" s="11"/>
      <c r="G17" s="11"/>
      <c r="H17" s="11"/>
      <c r="I17" s="11"/>
      <c r="J17" s="11"/>
      <c r="K17" s="11"/>
    </row>
    <row r="18" ht="13.5" customHeight="1">
      <c r="A18" s="1743" t="s">
        <v>335</v>
      </c>
      <c r="B18" s="1745">
        <v>6.3</v>
      </c>
      <c r="C18" s="1747">
        <f t="shared" si="1"/>
        <v>0.63</v>
      </c>
      <c r="D18" s="1748" t="s">
        <v>5</v>
      </c>
      <c r="E18" s="47"/>
      <c r="F18" s="11"/>
      <c r="G18" s="11"/>
      <c r="H18" s="11"/>
      <c r="I18" s="11"/>
      <c r="J18" s="11"/>
      <c r="K18" s="11"/>
    </row>
    <row r="19" ht="13.5" customHeight="1">
      <c r="A19" s="1743" t="s">
        <v>1587</v>
      </c>
      <c r="B19" s="1745">
        <v>672.0</v>
      </c>
      <c r="C19" s="1747">
        <f t="shared" ref="C19:C20" si="2">(B19*C17)/B17</f>
        <v>67.2</v>
      </c>
      <c r="D19" s="1748" t="s">
        <v>18</v>
      </c>
      <c r="E19" s="47"/>
      <c r="F19" s="11"/>
      <c r="G19" s="11"/>
      <c r="H19" s="11"/>
      <c r="I19" s="11"/>
      <c r="J19" s="11"/>
      <c r="K19" s="11"/>
    </row>
    <row r="20" ht="13.5" customHeight="1">
      <c r="A20" s="1743" t="s">
        <v>1291</v>
      </c>
      <c r="B20" s="1745">
        <v>13.0</v>
      </c>
      <c r="C20" s="1747">
        <f t="shared" si="2"/>
        <v>1.3</v>
      </c>
      <c r="D20" s="1748" t="s">
        <v>93</v>
      </c>
      <c r="E20" s="47"/>
      <c r="F20" s="11"/>
      <c r="G20" s="11"/>
      <c r="H20" s="11"/>
      <c r="I20" s="11"/>
      <c r="J20" s="11"/>
      <c r="K20" s="11"/>
    </row>
    <row r="21" ht="13.5" customHeight="1">
      <c r="A21" s="1749" t="s">
        <v>1980</v>
      </c>
      <c r="B21" s="1750">
        <v>420.0</v>
      </c>
      <c r="C21" s="1752">
        <f t="shared" ref="C21:C22" si="3">(B21*C20)/B20</f>
        <v>42</v>
      </c>
      <c r="D21" s="1753" t="s">
        <v>18</v>
      </c>
      <c r="E21" s="76"/>
      <c r="F21" s="11"/>
      <c r="G21" s="11"/>
      <c r="H21" s="11"/>
      <c r="I21" s="11"/>
      <c r="J21" s="11"/>
      <c r="K21" s="11"/>
    </row>
    <row r="22" ht="13.5" customHeight="1">
      <c r="A22" s="1163" t="s">
        <v>1292</v>
      </c>
      <c r="B22" s="1754">
        <v>4.2</v>
      </c>
      <c r="C22" s="272">
        <f t="shared" si="3"/>
        <v>0.42</v>
      </c>
      <c r="D22" s="1755" t="s">
        <v>5</v>
      </c>
      <c r="E22" s="11"/>
      <c r="F22" s="11"/>
      <c r="G22" s="11"/>
      <c r="H22" s="11"/>
      <c r="I22" s="11"/>
      <c r="J22" s="11"/>
      <c r="K22" s="11"/>
    </row>
    <row r="23" ht="13.5" customHeight="1">
      <c r="A23" s="186" t="s">
        <v>120</v>
      </c>
      <c r="B23" s="1756">
        <v>42121.0</v>
      </c>
      <c r="C23" s="1757" t="s">
        <v>119</v>
      </c>
      <c r="D23" s="1"/>
      <c r="E23" s="11"/>
      <c r="F23" s="11"/>
      <c r="G23" s="11"/>
      <c r="H23" s="11"/>
      <c r="I23" s="11"/>
      <c r="J23" s="11"/>
      <c r="K23" s="11"/>
    </row>
    <row r="24" ht="13.5" customHeight="1">
      <c r="A24" s="1761" t="s">
        <v>50</v>
      </c>
      <c r="B24" s="1768">
        <v>42193.0</v>
      </c>
      <c r="C24" s="1"/>
      <c r="D24" s="1"/>
      <c r="E24" s="11"/>
      <c r="F24" s="11"/>
      <c r="G24" s="11"/>
      <c r="H24" s="11"/>
      <c r="I24" s="11"/>
      <c r="J24" s="11"/>
      <c r="K24" s="11"/>
    </row>
    <row r="25" ht="13.5" customHeight="1">
      <c r="A25" s="327" t="s">
        <v>1998</v>
      </c>
      <c r="B25" s="5"/>
      <c r="C25" s="5"/>
      <c r="D25" s="6"/>
      <c r="E25" s="11"/>
      <c r="F25" s="11"/>
      <c r="G25" s="11"/>
      <c r="H25" s="11"/>
      <c r="I25" s="11"/>
      <c r="J25" s="11"/>
      <c r="K25" s="11"/>
    </row>
    <row r="26" ht="13.5" customHeight="1">
      <c r="A26" s="63"/>
      <c r="D26" s="66"/>
      <c r="E26" s="11"/>
      <c r="F26" s="11"/>
      <c r="G26" s="11"/>
      <c r="H26" s="11"/>
      <c r="I26" s="11"/>
      <c r="J26" s="11"/>
      <c r="K26" s="11"/>
    </row>
    <row r="27" ht="15.75" customHeight="1">
      <c r="A27" s="102"/>
      <c r="B27" s="104"/>
      <c r="C27" s="104"/>
      <c r="D27" s="106"/>
      <c r="E27" s="11"/>
      <c r="F27" s="11"/>
      <c r="G27" s="11"/>
      <c r="H27" s="11"/>
      <c r="I27" s="11"/>
      <c r="J27" s="11"/>
      <c r="K27" s="11"/>
    </row>
    <row r="28" ht="13.5" customHeight="1">
      <c r="A28" s="11"/>
      <c r="B28" s="11"/>
      <c r="C28" s="11"/>
      <c r="D28" s="11"/>
      <c r="E28" s="11"/>
      <c r="F28" s="11"/>
      <c r="G28" s="11"/>
      <c r="H28" s="11"/>
      <c r="I28" s="11"/>
      <c r="J28" s="11"/>
      <c r="K28" s="11"/>
    </row>
    <row r="29" ht="13.5" customHeight="1">
      <c r="A29" s="1326" t="s">
        <v>273</v>
      </c>
      <c r="B29" s="18"/>
      <c r="C29" s="18"/>
      <c r="D29" s="19"/>
      <c r="E29" s="30"/>
      <c r="F29" s="11"/>
      <c r="G29" s="11"/>
      <c r="H29" s="11"/>
      <c r="I29" s="11"/>
      <c r="J29" s="11"/>
      <c r="K29" s="11"/>
    </row>
    <row r="30" ht="13.5" customHeight="1">
      <c r="A30" s="51" t="s">
        <v>1</v>
      </c>
      <c r="B30" s="53">
        <v>200.0</v>
      </c>
      <c r="C30" s="53">
        <v>60.0</v>
      </c>
      <c r="D30" s="514" t="s">
        <v>9</v>
      </c>
      <c r="E30" s="30"/>
      <c r="F30" s="11"/>
      <c r="G30" s="11"/>
      <c r="H30" s="11"/>
      <c r="I30" s="11"/>
      <c r="J30" s="11"/>
      <c r="K30" s="11"/>
    </row>
    <row r="31" ht="13.5" customHeight="1">
      <c r="A31" s="68" t="s">
        <v>1170</v>
      </c>
      <c r="B31" s="210">
        <v>10.0</v>
      </c>
      <c r="C31" s="976">
        <f t="shared" ref="C31:C39" si="4">(B31*C30)/B30</f>
        <v>3</v>
      </c>
      <c r="D31" s="216" t="s">
        <v>14</v>
      </c>
      <c r="E31" s="44" t="s">
        <v>2001</v>
      </c>
      <c r="F31" s="11"/>
      <c r="G31" s="11"/>
      <c r="H31" s="11"/>
      <c r="I31" s="11"/>
      <c r="J31" s="11"/>
      <c r="K31" s="11"/>
    </row>
    <row r="32" ht="13.5" customHeight="1">
      <c r="A32" s="93" t="s">
        <v>2002</v>
      </c>
      <c r="B32" s="247">
        <v>12.5</v>
      </c>
      <c r="C32" s="992">
        <f t="shared" si="4"/>
        <v>3.75</v>
      </c>
      <c r="D32" s="249" t="s">
        <v>14</v>
      </c>
      <c r="E32" s="47"/>
      <c r="F32" s="11"/>
      <c r="G32" s="11"/>
      <c r="H32" s="11"/>
      <c r="I32" s="11"/>
      <c r="J32" s="11"/>
      <c r="K32" s="11"/>
    </row>
    <row r="33" ht="13.5" customHeight="1">
      <c r="A33" s="93" t="s">
        <v>335</v>
      </c>
      <c r="B33" s="247">
        <v>4.0</v>
      </c>
      <c r="C33" s="992">
        <f t="shared" si="4"/>
        <v>1.2</v>
      </c>
      <c r="D33" s="249" t="s">
        <v>5</v>
      </c>
      <c r="E33" s="47"/>
      <c r="F33" s="11"/>
      <c r="G33" s="11"/>
      <c r="H33" s="11"/>
      <c r="I33" s="11"/>
      <c r="J33" s="11"/>
      <c r="K33" s="11"/>
    </row>
    <row r="34" ht="13.5" customHeight="1">
      <c r="A34" s="93" t="s">
        <v>346</v>
      </c>
      <c r="B34" s="247">
        <v>300.0</v>
      </c>
      <c r="C34" s="992">
        <f t="shared" si="4"/>
        <v>90</v>
      </c>
      <c r="D34" s="249" t="s">
        <v>18</v>
      </c>
      <c r="E34" s="47"/>
      <c r="F34" s="11"/>
      <c r="G34" s="11"/>
      <c r="H34" s="11"/>
      <c r="I34" s="11"/>
      <c r="J34" s="11"/>
      <c r="K34" s="11"/>
    </row>
    <row r="35" ht="13.5" customHeight="1">
      <c r="A35" s="93" t="s">
        <v>112</v>
      </c>
      <c r="B35" s="247">
        <v>100.0</v>
      </c>
      <c r="C35" s="992">
        <f t="shared" si="4"/>
        <v>30</v>
      </c>
      <c r="D35" s="249" t="s">
        <v>18</v>
      </c>
      <c r="E35" s="47"/>
      <c r="F35" s="11"/>
      <c r="G35" s="11"/>
      <c r="H35" s="11"/>
      <c r="I35" s="11"/>
      <c r="J35" s="11"/>
      <c r="K35" s="11"/>
    </row>
    <row r="36" ht="13.5" customHeight="1">
      <c r="A36" s="93" t="s">
        <v>31</v>
      </c>
      <c r="B36" s="247">
        <v>300.0</v>
      </c>
      <c r="C36" s="992">
        <f t="shared" si="4"/>
        <v>90</v>
      </c>
      <c r="D36" s="249" t="s">
        <v>18</v>
      </c>
      <c r="E36" s="47"/>
      <c r="F36" s="11"/>
      <c r="G36" s="11"/>
      <c r="H36" s="11"/>
      <c r="I36" s="11"/>
      <c r="J36" s="11"/>
      <c r="K36" s="11"/>
    </row>
    <row r="37" ht="13.5" customHeight="1">
      <c r="A37" s="93" t="s">
        <v>1290</v>
      </c>
      <c r="B37" s="247">
        <v>700.0</v>
      </c>
      <c r="C37" s="992">
        <f t="shared" si="4"/>
        <v>210</v>
      </c>
      <c r="D37" s="249" t="s">
        <v>18</v>
      </c>
      <c r="E37" s="47"/>
      <c r="F37" s="11"/>
      <c r="G37" s="11"/>
      <c r="H37" s="11"/>
      <c r="I37" s="11"/>
      <c r="J37" s="11"/>
      <c r="K37" s="11"/>
    </row>
    <row r="38" ht="13.5" customHeight="1">
      <c r="A38" s="138" t="s">
        <v>288</v>
      </c>
      <c r="B38" s="239">
        <v>100.0</v>
      </c>
      <c r="C38" s="1777">
        <f t="shared" si="4"/>
        <v>30</v>
      </c>
      <c r="D38" s="242" t="s">
        <v>18</v>
      </c>
      <c r="E38" s="76"/>
      <c r="F38" s="11"/>
      <c r="G38" s="11"/>
      <c r="H38" s="11"/>
      <c r="I38" s="11"/>
      <c r="J38" s="11"/>
      <c r="K38" s="11"/>
    </row>
    <row r="39" ht="13.5" customHeight="1">
      <c r="A39" s="173" t="s">
        <v>2004</v>
      </c>
      <c r="B39" s="1071">
        <v>1.25</v>
      </c>
      <c r="C39" s="1091">
        <f t="shared" si="4"/>
        <v>0.375</v>
      </c>
      <c r="D39" s="1778" t="s">
        <v>5</v>
      </c>
      <c r="E39" s="11"/>
      <c r="F39" s="11"/>
      <c r="G39" s="11"/>
      <c r="H39" s="11"/>
      <c r="I39" s="11"/>
      <c r="J39" s="11"/>
      <c r="K39" s="11"/>
    </row>
    <row r="40" ht="13.5" customHeight="1">
      <c r="A40" s="203" t="s">
        <v>49</v>
      </c>
      <c r="B40" s="205">
        <v>41048.0</v>
      </c>
      <c r="C40" s="1757" t="s">
        <v>119</v>
      </c>
      <c r="D40" s="1"/>
      <c r="E40" s="11"/>
      <c r="F40" s="11"/>
      <c r="G40" s="11"/>
      <c r="H40" s="11"/>
      <c r="I40" s="11"/>
      <c r="J40" s="11"/>
      <c r="K40" s="11"/>
    </row>
    <row r="41" ht="13.5" customHeight="1">
      <c r="A41" s="342" t="s">
        <v>50</v>
      </c>
      <c r="B41" s="205">
        <v>41423.0</v>
      </c>
      <c r="C41" s="1"/>
      <c r="D41" s="1"/>
      <c r="E41" s="11"/>
      <c r="F41" s="11"/>
      <c r="G41" s="11"/>
      <c r="H41" s="11"/>
      <c r="I41" s="11"/>
      <c r="J41" s="11"/>
      <c r="K41" s="11"/>
    </row>
    <row r="42" ht="13.5" customHeight="1">
      <c r="A42" s="11"/>
      <c r="B42" s="11"/>
      <c r="C42" s="11"/>
      <c r="D42" s="11"/>
      <c r="E42" s="11"/>
      <c r="F42" s="11"/>
      <c r="G42" s="11"/>
      <c r="H42" s="11"/>
      <c r="I42" s="11"/>
      <c r="J42" s="11"/>
      <c r="K42" s="11"/>
    </row>
    <row r="43" ht="13.5" customHeight="1">
      <c r="A43" s="1326" t="s">
        <v>2008</v>
      </c>
      <c r="B43" s="18"/>
      <c r="C43" s="18"/>
      <c r="D43" s="19"/>
      <c r="E43" s="30"/>
      <c r="F43" s="11"/>
      <c r="G43" s="11"/>
      <c r="H43" s="11"/>
      <c r="I43" s="11"/>
      <c r="J43" s="11"/>
      <c r="K43" s="11"/>
    </row>
    <row r="44" ht="13.5" customHeight="1">
      <c r="A44" s="1779" t="s">
        <v>2009</v>
      </c>
      <c r="B44" s="976">
        <v>20.0</v>
      </c>
      <c r="C44" s="155">
        <v>60.0</v>
      </c>
      <c r="D44" s="1579" t="s">
        <v>9</v>
      </c>
      <c r="E44" s="30"/>
      <c r="F44" s="11"/>
      <c r="G44" s="11"/>
      <c r="H44" s="11"/>
      <c r="I44" s="11"/>
      <c r="J44" s="11"/>
      <c r="K44" s="11"/>
    </row>
    <row r="45" ht="16.5" customHeight="1">
      <c r="A45" s="1780" t="s">
        <v>2010</v>
      </c>
      <c r="B45" s="1121">
        <v>50.0</v>
      </c>
      <c r="C45" s="522">
        <f t="shared" ref="C45:C59" si="5">(B45*C44)/B44</f>
        <v>150</v>
      </c>
      <c r="D45" s="1781" t="s">
        <v>9</v>
      </c>
      <c r="E45" s="11"/>
      <c r="F45" s="11"/>
      <c r="G45" s="11"/>
      <c r="H45" s="11"/>
      <c r="I45" s="11"/>
      <c r="J45" s="11"/>
      <c r="K45" s="11"/>
    </row>
    <row r="46" ht="22.5" customHeight="1">
      <c r="A46" s="1782" t="s">
        <v>1170</v>
      </c>
      <c r="B46" s="985">
        <v>0.5</v>
      </c>
      <c r="C46" s="523">
        <f t="shared" si="5"/>
        <v>1.5</v>
      </c>
      <c r="D46" s="1584" t="s">
        <v>14</v>
      </c>
      <c r="E46" s="44" t="s">
        <v>2013</v>
      </c>
      <c r="F46" s="11"/>
      <c r="G46" s="11"/>
      <c r="H46" s="11"/>
      <c r="I46" s="11"/>
      <c r="J46" s="11"/>
      <c r="K46" s="11"/>
    </row>
    <row r="47" ht="13.5" customHeight="1">
      <c r="A47" s="1783" t="s">
        <v>1274</v>
      </c>
      <c r="B47" s="992">
        <v>0.5</v>
      </c>
      <c r="C47" s="247">
        <f t="shared" si="5"/>
        <v>1.5</v>
      </c>
      <c r="D47" s="1588" t="s">
        <v>14</v>
      </c>
      <c r="E47" s="47"/>
      <c r="F47" s="11"/>
      <c r="G47" s="11"/>
      <c r="H47" s="11"/>
      <c r="I47" s="11"/>
      <c r="J47" s="11"/>
      <c r="K47" s="11"/>
    </row>
    <row r="48" ht="13.5" customHeight="1">
      <c r="A48" s="1783" t="s">
        <v>112</v>
      </c>
      <c r="B48" s="992">
        <v>15.0</v>
      </c>
      <c r="C48" s="247">
        <f t="shared" si="5"/>
        <v>45</v>
      </c>
      <c r="D48" s="1588" t="s">
        <v>18</v>
      </c>
      <c r="E48" s="47"/>
      <c r="F48" s="11"/>
      <c r="G48" s="11"/>
      <c r="H48" s="11"/>
      <c r="I48" s="11"/>
      <c r="J48" s="11"/>
      <c r="K48" s="11"/>
    </row>
    <row r="49" ht="13.5" customHeight="1">
      <c r="A49" s="1783" t="s">
        <v>52</v>
      </c>
      <c r="B49" s="992">
        <v>5.0</v>
      </c>
      <c r="C49" s="247">
        <f t="shared" si="5"/>
        <v>15</v>
      </c>
      <c r="D49" s="1588" t="s">
        <v>18</v>
      </c>
      <c r="E49" s="47"/>
      <c r="F49" s="11"/>
      <c r="G49" s="11"/>
      <c r="H49" s="11"/>
      <c r="I49" s="11"/>
      <c r="J49" s="11"/>
      <c r="K49" s="11"/>
    </row>
    <row r="50" ht="13.5" customHeight="1">
      <c r="A50" s="1783" t="s">
        <v>103</v>
      </c>
      <c r="B50" s="992">
        <v>2.5</v>
      </c>
      <c r="C50" s="247">
        <f t="shared" si="5"/>
        <v>7.5</v>
      </c>
      <c r="D50" s="1588" t="s">
        <v>18</v>
      </c>
      <c r="E50" s="47"/>
      <c r="F50" s="11"/>
      <c r="G50" s="11"/>
      <c r="H50" s="11"/>
      <c r="I50" s="11"/>
      <c r="J50" s="11"/>
      <c r="K50" s="11"/>
    </row>
    <row r="51" ht="13.5" customHeight="1">
      <c r="A51" s="1783" t="s">
        <v>113</v>
      </c>
      <c r="B51" s="992">
        <v>12.5</v>
      </c>
      <c r="C51" s="247">
        <f t="shared" si="5"/>
        <v>37.5</v>
      </c>
      <c r="D51" s="1588" t="s">
        <v>18</v>
      </c>
      <c r="E51" s="47"/>
      <c r="F51" s="11"/>
      <c r="G51" s="11"/>
      <c r="H51" s="11"/>
      <c r="I51" s="11"/>
      <c r="J51" s="11"/>
      <c r="K51" s="11"/>
    </row>
    <row r="52" ht="13.5" customHeight="1">
      <c r="A52" s="1783" t="s">
        <v>2018</v>
      </c>
      <c r="B52" s="992">
        <v>0.02</v>
      </c>
      <c r="C52" s="247">
        <f t="shared" si="5"/>
        <v>0.06</v>
      </c>
      <c r="D52" s="1588" t="s">
        <v>14</v>
      </c>
      <c r="E52" s="47"/>
      <c r="F52" s="11"/>
      <c r="G52" s="11"/>
      <c r="H52" s="11"/>
      <c r="I52" s="11"/>
      <c r="J52" s="11"/>
      <c r="K52" s="11"/>
    </row>
    <row r="53" ht="13.5" customHeight="1">
      <c r="A53" s="1783" t="s">
        <v>31</v>
      </c>
      <c r="B53" s="992">
        <v>25.0</v>
      </c>
      <c r="C53" s="247">
        <f t="shared" si="5"/>
        <v>75</v>
      </c>
      <c r="D53" s="1588" t="s">
        <v>18</v>
      </c>
      <c r="E53" s="47"/>
      <c r="F53" s="11"/>
      <c r="G53" s="11"/>
      <c r="H53" s="11"/>
      <c r="I53" s="11"/>
      <c r="J53" s="11"/>
      <c r="K53" s="11"/>
    </row>
    <row r="54" ht="13.5" customHeight="1">
      <c r="A54" s="1783" t="s">
        <v>2019</v>
      </c>
      <c r="B54" s="992">
        <v>0.25</v>
      </c>
      <c r="C54" s="247">
        <f t="shared" si="5"/>
        <v>0.75</v>
      </c>
      <c r="D54" s="1588" t="s">
        <v>5</v>
      </c>
      <c r="E54" s="47"/>
      <c r="F54" s="11"/>
      <c r="G54" s="11"/>
      <c r="H54" s="11"/>
      <c r="I54" s="11"/>
      <c r="J54" s="11"/>
      <c r="K54" s="11"/>
    </row>
    <row r="55" ht="15.0" customHeight="1">
      <c r="A55" s="1783" t="s">
        <v>2021</v>
      </c>
      <c r="B55" s="992">
        <f>B54*10</f>
        <v>2.5</v>
      </c>
      <c r="C55" s="247">
        <f t="shared" si="5"/>
        <v>7.5</v>
      </c>
      <c r="D55" s="1588" t="s">
        <v>18</v>
      </c>
      <c r="E55" s="47"/>
      <c r="F55" s="11"/>
      <c r="G55" s="11"/>
      <c r="H55" s="11"/>
      <c r="I55" s="11"/>
      <c r="J55" s="11"/>
      <c r="K55" s="11"/>
    </row>
    <row r="56" ht="13.5" customHeight="1">
      <c r="A56" s="1783" t="s">
        <v>114</v>
      </c>
      <c r="B56" s="992">
        <v>0.2</v>
      </c>
      <c r="C56" s="247">
        <f t="shared" si="5"/>
        <v>0.6</v>
      </c>
      <c r="D56" s="1588" t="s">
        <v>5</v>
      </c>
      <c r="E56" s="47"/>
      <c r="F56" s="11"/>
      <c r="G56" s="11"/>
      <c r="H56" s="11"/>
      <c r="I56" s="11"/>
      <c r="J56" s="11"/>
      <c r="K56" s="11"/>
    </row>
    <row r="57" ht="13.5" customHeight="1">
      <c r="A57" s="1786" t="s">
        <v>91</v>
      </c>
      <c r="B57" s="981">
        <v>0.1</v>
      </c>
      <c r="C57" s="522">
        <f t="shared" si="5"/>
        <v>0.3</v>
      </c>
      <c r="D57" s="1605" t="s">
        <v>5</v>
      </c>
      <c r="E57" s="76"/>
      <c r="F57" s="11"/>
      <c r="G57" s="11"/>
      <c r="H57" s="11"/>
      <c r="I57" s="11"/>
      <c r="J57" s="11"/>
      <c r="K57" s="11"/>
    </row>
    <row r="58" ht="13.5" customHeight="1">
      <c r="A58" s="1787" t="s">
        <v>2026</v>
      </c>
      <c r="B58" s="1091">
        <v>0.2</v>
      </c>
      <c r="C58" s="545">
        <f t="shared" si="5"/>
        <v>0.6</v>
      </c>
      <c r="D58" s="1788" t="s">
        <v>5</v>
      </c>
      <c r="E58" s="161"/>
      <c r="F58" s="11"/>
      <c r="G58" s="11"/>
      <c r="H58" s="11"/>
      <c r="I58" s="11"/>
      <c r="J58" s="11"/>
      <c r="K58" s="11"/>
    </row>
    <row r="59" ht="13.5" customHeight="1">
      <c r="A59" s="1787" t="s">
        <v>1278</v>
      </c>
      <c r="B59" s="1091">
        <v>0.3</v>
      </c>
      <c r="C59" s="545">
        <f t="shared" si="5"/>
        <v>0.9</v>
      </c>
      <c r="D59" s="1788" t="s">
        <v>5</v>
      </c>
      <c r="E59" s="1186"/>
      <c r="F59" s="11"/>
      <c r="G59" s="11"/>
      <c r="H59" s="11"/>
      <c r="I59" s="11"/>
      <c r="J59" s="11"/>
      <c r="K59" s="11"/>
    </row>
    <row r="60" ht="15.75" customHeight="1">
      <c r="A60" s="1352" t="s">
        <v>120</v>
      </c>
      <c r="B60" s="1789">
        <v>40866.0</v>
      </c>
      <c r="C60" s="1757" t="s">
        <v>119</v>
      </c>
      <c r="D60" s="1"/>
      <c r="E60" s="11"/>
      <c r="F60" s="11"/>
      <c r="G60" s="11"/>
      <c r="H60" s="11"/>
      <c r="I60" s="11"/>
      <c r="J60" s="11"/>
      <c r="K60" s="11"/>
    </row>
    <row r="61" ht="15.75" customHeight="1">
      <c r="A61" s="90" t="s">
        <v>50</v>
      </c>
      <c r="B61" s="1789">
        <v>41647.0</v>
      </c>
      <c r="C61" s="1"/>
      <c r="D61" s="1"/>
      <c r="E61" s="11"/>
      <c r="F61" s="11"/>
      <c r="G61" s="11"/>
      <c r="H61" s="11"/>
      <c r="I61" s="11"/>
      <c r="J61" s="11"/>
      <c r="K61" s="11"/>
    </row>
    <row r="62" ht="13.5" customHeight="1">
      <c r="A62" s="11"/>
      <c r="B62" s="11"/>
      <c r="C62" s="11"/>
      <c r="D62" s="11"/>
      <c r="E62" s="11"/>
      <c r="F62" s="11"/>
      <c r="G62" s="11"/>
      <c r="H62" s="11"/>
      <c r="I62" s="11"/>
      <c r="J62" s="11"/>
      <c r="K62" s="11"/>
    </row>
    <row r="63" ht="13.5" customHeight="1">
      <c r="A63" s="913" t="s">
        <v>446</v>
      </c>
      <c r="B63" s="5"/>
      <c r="C63" s="5"/>
      <c r="D63" s="6"/>
      <c r="E63" s="11"/>
      <c r="F63" s="11"/>
      <c r="G63" s="11"/>
      <c r="H63" s="11"/>
      <c r="I63" s="11"/>
      <c r="J63" s="11"/>
      <c r="K63" s="11"/>
    </row>
    <row r="64" ht="13.5" customHeight="1">
      <c r="A64" s="173" t="s">
        <v>1</v>
      </c>
      <c r="B64" s="545">
        <v>300.0</v>
      </c>
      <c r="C64" s="545">
        <v>60.0</v>
      </c>
      <c r="D64" s="547" t="s">
        <v>2028</v>
      </c>
      <c r="E64" s="11"/>
      <c r="F64" s="11"/>
      <c r="G64" s="11"/>
      <c r="H64" s="11"/>
      <c r="I64" s="11"/>
      <c r="J64" s="11"/>
      <c r="K64" s="11"/>
    </row>
    <row r="65" ht="13.5" customHeight="1">
      <c r="A65" s="119" t="s">
        <v>1</v>
      </c>
      <c r="B65" s="523">
        <v>600.0</v>
      </c>
      <c r="C65" s="985">
        <f t="shared" ref="C65:C77" si="6">(B65*C64)/B64</f>
        <v>120</v>
      </c>
      <c r="D65" s="520" t="s">
        <v>2029</v>
      </c>
      <c r="E65" s="11"/>
      <c r="F65" s="11"/>
      <c r="G65" s="11"/>
      <c r="H65" s="11"/>
      <c r="I65" s="11"/>
      <c r="J65" s="11"/>
      <c r="K65" s="11"/>
    </row>
    <row r="66" ht="13.5" customHeight="1">
      <c r="A66" s="93" t="s">
        <v>109</v>
      </c>
      <c r="B66" s="247">
        <v>8.0</v>
      </c>
      <c r="C66" s="247">
        <f t="shared" si="6"/>
        <v>1.6</v>
      </c>
      <c r="D66" s="249" t="s">
        <v>14</v>
      </c>
      <c r="E66" s="11"/>
      <c r="F66" s="11"/>
      <c r="G66" s="11"/>
      <c r="H66" s="11"/>
      <c r="I66" s="11"/>
      <c r="J66" s="11"/>
      <c r="K66" s="11"/>
    </row>
    <row r="67" ht="13.5" customHeight="1">
      <c r="A67" s="93" t="s">
        <v>1274</v>
      </c>
      <c r="B67" s="247">
        <v>2.0</v>
      </c>
      <c r="C67" s="247">
        <f t="shared" si="6"/>
        <v>0.4</v>
      </c>
      <c r="D67" s="249" t="s">
        <v>14</v>
      </c>
      <c r="E67" s="11"/>
      <c r="F67" s="11"/>
      <c r="G67" s="11"/>
      <c r="H67" s="11"/>
      <c r="I67" s="11"/>
      <c r="J67" s="11"/>
      <c r="K67" s="11"/>
    </row>
    <row r="68" ht="13.5" customHeight="1">
      <c r="A68" s="1626" t="s">
        <v>1240</v>
      </c>
      <c r="B68" s="528">
        <v>1.5</v>
      </c>
      <c r="C68" s="528">
        <f t="shared" si="6"/>
        <v>0.3</v>
      </c>
      <c r="D68" s="1635" t="s">
        <v>14</v>
      </c>
      <c r="E68" s="11"/>
      <c r="F68" s="11"/>
      <c r="G68" s="11"/>
      <c r="H68" s="11"/>
      <c r="I68" s="11"/>
      <c r="J68" s="11"/>
      <c r="K68" s="11"/>
    </row>
    <row r="69" ht="13.5" customHeight="1">
      <c r="A69" s="93" t="s">
        <v>113</v>
      </c>
      <c r="B69" s="247">
        <v>25.0</v>
      </c>
      <c r="C69" s="247">
        <f t="shared" si="6"/>
        <v>5</v>
      </c>
      <c r="D69" s="249" t="s">
        <v>18</v>
      </c>
      <c r="E69" s="11"/>
      <c r="F69" s="11"/>
      <c r="G69" s="11"/>
      <c r="H69" s="11"/>
      <c r="I69" s="11"/>
      <c r="J69" s="11"/>
      <c r="K69" s="11"/>
    </row>
    <row r="70" ht="13.5" customHeight="1">
      <c r="A70" s="93" t="s">
        <v>103</v>
      </c>
      <c r="B70" s="247">
        <v>25.0</v>
      </c>
      <c r="C70" s="247">
        <f t="shared" si="6"/>
        <v>5</v>
      </c>
      <c r="D70" s="249" t="s">
        <v>18</v>
      </c>
      <c r="E70" s="11"/>
      <c r="F70" s="11"/>
      <c r="G70" s="11"/>
      <c r="H70" s="11"/>
      <c r="I70" s="11"/>
      <c r="J70" s="11"/>
      <c r="K70" s="11"/>
    </row>
    <row r="71" ht="13.5" customHeight="1">
      <c r="A71" s="93" t="s">
        <v>390</v>
      </c>
      <c r="B71" s="247">
        <v>100.0</v>
      </c>
      <c r="C71" s="992">
        <f t="shared" si="6"/>
        <v>20</v>
      </c>
      <c r="D71" s="249" t="s">
        <v>18</v>
      </c>
      <c r="E71" s="11"/>
      <c r="F71" s="11"/>
      <c r="G71" s="11"/>
      <c r="H71" s="11"/>
      <c r="I71" s="11"/>
      <c r="J71" s="11"/>
      <c r="K71" s="11"/>
    </row>
    <row r="72" ht="13.5" customHeight="1">
      <c r="A72" s="93" t="s">
        <v>2032</v>
      </c>
      <c r="B72" s="247">
        <v>200.0</v>
      </c>
      <c r="C72" s="247">
        <f t="shared" si="6"/>
        <v>40</v>
      </c>
      <c r="D72" s="249" t="s">
        <v>18</v>
      </c>
      <c r="E72" s="11"/>
      <c r="F72" s="11"/>
      <c r="G72" s="11"/>
      <c r="H72" s="11"/>
      <c r="I72" s="11"/>
      <c r="J72" s="11"/>
      <c r="K72" s="11"/>
    </row>
    <row r="73" ht="13.5" customHeight="1">
      <c r="A73" s="93" t="s">
        <v>31</v>
      </c>
      <c r="B73" s="247">
        <v>250.0</v>
      </c>
      <c r="C73" s="247">
        <f t="shared" si="6"/>
        <v>50</v>
      </c>
      <c r="D73" s="249" t="s">
        <v>18</v>
      </c>
      <c r="E73" s="11"/>
      <c r="F73" s="11"/>
      <c r="G73" s="11"/>
      <c r="H73" s="11"/>
      <c r="I73" s="11"/>
      <c r="J73" s="11"/>
      <c r="K73" s="11"/>
    </row>
    <row r="74" ht="13.5" customHeight="1">
      <c r="A74" s="93" t="s">
        <v>122</v>
      </c>
      <c r="B74" s="247">
        <v>2.0</v>
      </c>
      <c r="C74" s="247">
        <f t="shared" si="6"/>
        <v>0.4</v>
      </c>
      <c r="D74" s="249" t="s">
        <v>5</v>
      </c>
      <c r="E74" s="11"/>
      <c r="F74" s="11"/>
      <c r="G74" s="11"/>
      <c r="H74" s="11"/>
      <c r="I74" s="11"/>
      <c r="J74" s="11"/>
      <c r="K74" s="11"/>
    </row>
    <row r="75" ht="13.5" customHeight="1">
      <c r="A75" s="138" t="s">
        <v>2034</v>
      </c>
      <c r="B75" s="239">
        <v>5.0</v>
      </c>
      <c r="C75" s="239">
        <f t="shared" si="6"/>
        <v>1</v>
      </c>
      <c r="D75" s="242" t="s">
        <v>5</v>
      </c>
      <c r="E75" s="11"/>
      <c r="F75" s="11"/>
      <c r="G75" s="11"/>
      <c r="H75" s="11"/>
      <c r="I75" s="11"/>
      <c r="J75" s="11"/>
      <c r="K75" s="11"/>
    </row>
    <row r="76" ht="13.5" customHeight="1">
      <c r="A76" s="173" t="s">
        <v>1292</v>
      </c>
      <c r="B76" s="545">
        <v>1.5</v>
      </c>
      <c r="C76" s="545">
        <f t="shared" si="6"/>
        <v>0.3</v>
      </c>
      <c r="D76" s="547" t="s">
        <v>5</v>
      </c>
      <c r="E76" s="11"/>
      <c r="F76" s="11"/>
      <c r="G76" s="11"/>
      <c r="H76" s="11"/>
      <c r="I76" s="11"/>
      <c r="J76" s="11"/>
      <c r="K76" s="11"/>
    </row>
    <row r="77" ht="13.5" customHeight="1">
      <c r="A77" s="173" t="s">
        <v>2037</v>
      </c>
      <c r="B77" s="545">
        <v>3000.0</v>
      </c>
      <c r="C77" s="545">
        <f t="shared" si="6"/>
        <v>600</v>
      </c>
      <c r="D77" s="547" t="s">
        <v>82</v>
      </c>
      <c r="E77" s="11"/>
      <c r="F77" s="11"/>
      <c r="G77" s="11"/>
      <c r="H77" s="11"/>
      <c r="I77" s="11"/>
      <c r="J77" s="11"/>
      <c r="K77" s="11"/>
    </row>
    <row r="78" ht="13.5" customHeight="1">
      <c r="A78" s="685" t="s">
        <v>186</v>
      </c>
      <c r="B78" s="1799">
        <v>41408.0</v>
      </c>
      <c r="C78" s="1800" t="s">
        <v>119</v>
      </c>
      <c r="D78" s="1"/>
      <c r="E78" s="11"/>
      <c r="F78" s="11"/>
      <c r="G78" s="11"/>
      <c r="H78" s="11"/>
      <c r="I78" s="11"/>
      <c r="J78" s="11"/>
      <c r="K78" s="11"/>
    </row>
    <row r="79" ht="13.5" customHeight="1">
      <c r="A79" s="692" t="s">
        <v>1486</v>
      </c>
      <c r="B79" s="1802">
        <v>41408.0</v>
      </c>
      <c r="C79" s="1"/>
      <c r="D79" s="1"/>
      <c r="E79" s="11"/>
      <c r="F79" s="11"/>
      <c r="G79" s="11"/>
      <c r="H79" s="11"/>
      <c r="I79" s="11"/>
      <c r="J79" s="11"/>
      <c r="K79" s="11"/>
    </row>
    <row r="80" ht="13.5" customHeight="1">
      <c r="A80" s="11"/>
      <c r="B80" s="11"/>
      <c r="C80" s="11"/>
      <c r="D80" s="11"/>
      <c r="E80" s="11"/>
      <c r="F80" s="11"/>
      <c r="G80" s="11"/>
      <c r="H80" s="11"/>
      <c r="I80" s="11"/>
      <c r="J80" s="11"/>
      <c r="K80" s="11"/>
    </row>
    <row r="81" ht="13.5" customHeight="1">
      <c r="A81" s="209" t="s">
        <v>2041</v>
      </c>
      <c r="B81" s="18"/>
      <c r="C81" s="18"/>
      <c r="D81" s="19"/>
      <c r="E81" s="11"/>
      <c r="F81" s="11"/>
      <c r="G81" s="11"/>
      <c r="H81" s="11"/>
      <c r="I81" s="11"/>
      <c r="J81" s="11"/>
      <c r="K81" s="11"/>
    </row>
    <row r="82" ht="13.5" customHeight="1">
      <c r="A82" s="1803" t="s">
        <v>1</v>
      </c>
      <c r="B82" s="1253">
        <v>15.0</v>
      </c>
      <c r="C82" s="1253">
        <v>60.0</v>
      </c>
      <c r="D82" s="543" t="s">
        <v>741</v>
      </c>
      <c r="E82" s="11"/>
      <c r="F82" s="11"/>
      <c r="G82" s="11"/>
      <c r="H82" s="11"/>
      <c r="I82" s="11"/>
      <c r="J82" s="11"/>
      <c r="K82" s="11"/>
    </row>
    <row r="83" ht="13.5" customHeight="1">
      <c r="A83" s="68" t="s">
        <v>109</v>
      </c>
      <c r="B83" s="73">
        <v>0.65</v>
      </c>
      <c r="C83" s="210">
        <f t="shared" ref="C83:C93" si="7">(B83*C82)/B82</f>
        <v>2.6</v>
      </c>
      <c r="D83" s="216" t="s">
        <v>14</v>
      </c>
      <c r="E83" s="11"/>
      <c r="F83" s="11"/>
      <c r="G83" s="11"/>
      <c r="H83" s="11"/>
      <c r="I83" s="11"/>
      <c r="J83" s="11"/>
      <c r="K83" s="11"/>
    </row>
    <row r="84" ht="13.5" customHeight="1">
      <c r="A84" s="105" t="s">
        <v>31</v>
      </c>
      <c r="B84" s="110">
        <v>14.0</v>
      </c>
      <c r="C84" s="522">
        <f t="shared" si="7"/>
        <v>56</v>
      </c>
      <c r="D84" s="518" t="s">
        <v>18</v>
      </c>
      <c r="E84" s="11"/>
      <c r="F84" s="11"/>
      <c r="G84" s="11"/>
      <c r="H84" s="11"/>
      <c r="I84" s="11"/>
      <c r="J84" s="11"/>
      <c r="K84" s="11"/>
    </row>
    <row r="85" ht="13.5" customHeight="1">
      <c r="A85" s="68" t="s">
        <v>91</v>
      </c>
      <c r="B85" s="73">
        <v>0.08</v>
      </c>
      <c r="C85" s="210">
        <f t="shared" si="7"/>
        <v>0.32</v>
      </c>
      <c r="D85" s="216" t="s">
        <v>5</v>
      </c>
      <c r="E85" s="11"/>
      <c r="F85" s="11"/>
      <c r="G85" s="11"/>
      <c r="H85" s="11"/>
      <c r="I85" s="11"/>
      <c r="J85" s="11"/>
      <c r="K85" s="11"/>
    </row>
    <row r="86" ht="13.5" customHeight="1">
      <c r="A86" s="93" t="s">
        <v>113</v>
      </c>
      <c r="B86" s="94">
        <v>4.0</v>
      </c>
      <c r="C86" s="247">
        <f t="shared" si="7"/>
        <v>16</v>
      </c>
      <c r="D86" s="249" t="s">
        <v>18</v>
      </c>
      <c r="E86" s="11"/>
      <c r="F86" s="11"/>
      <c r="G86" s="11"/>
      <c r="H86" s="11"/>
      <c r="I86" s="11"/>
      <c r="J86" s="11"/>
      <c r="K86" s="11"/>
    </row>
    <row r="87" ht="13.5" customHeight="1">
      <c r="A87" s="93" t="s">
        <v>103</v>
      </c>
      <c r="B87" s="94">
        <v>5.0</v>
      </c>
      <c r="C87" s="247">
        <f t="shared" si="7"/>
        <v>20</v>
      </c>
      <c r="D87" s="249" t="s">
        <v>18</v>
      </c>
      <c r="E87" s="11"/>
      <c r="F87" s="11"/>
      <c r="G87" s="11"/>
      <c r="H87" s="11"/>
      <c r="I87" s="11"/>
      <c r="J87" s="11"/>
      <c r="K87" s="11"/>
    </row>
    <row r="88" ht="15.0" customHeight="1">
      <c r="A88" s="93" t="s">
        <v>179</v>
      </c>
      <c r="B88" s="94">
        <v>5.0</v>
      </c>
      <c r="C88" s="247">
        <f t="shared" si="7"/>
        <v>20</v>
      </c>
      <c r="D88" s="249" t="s">
        <v>18</v>
      </c>
      <c r="E88" s="11"/>
      <c r="F88" s="11"/>
      <c r="G88" s="11"/>
      <c r="H88" s="11"/>
      <c r="I88" s="11"/>
      <c r="J88" s="11"/>
      <c r="K88" s="11"/>
    </row>
    <row r="89" ht="15.75" customHeight="1">
      <c r="A89" s="93" t="s">
        <v>92</v>
      </c>
      <c r="B89" s="94">
        <v>5.0</v>
      </c>
      <c r="C89" s="247">
        <f t="shared" si="7"/>
        <v>20</v>
      </c>
      <c r="D89" s="249" t="s">
        <v>18</v>
      </c>
      <c r="E89" s="11"/>
      <c r="F89" s="11"/>
      <c r="G89" s="11"/>
      <c r="H89" s="11"/>
      <c r="I89" s="11"/>
      <c r="J89" s="11"/>
      <c r="K89" s="11"/>
    </row>
    <row r="90" ht="13.5" customHeight="1">
      <c r="A90" s="93" t="s">
        <v>2045</v>
      </c>
      <c r="B90" s="94">
        <v>0.6</v>
      </c>
      <c r="C90" s="247">
        <f t="shared" si="7"/>
        <v>2.4</v>
      </c>
      <c r="D90" s="249" t="s">
        <v>14</v>
      </c>
      <c r="E90" s="11"/>
      <c r="F90" s="11"/>
      <c r="G90" s="11"/>
      <c r="H90" s="11"/>
      <c r="I90" s="11"/>
      <c r="J90" s="11"/>
      <c r="K90" s="11"/>
    </row>
    <row r="91" ht="13.5" customHeight="1">
      <c r="A91" s="93" t="s">
        <v>935</v>
      </c>
      <c r="B91" s="94">
        <v>16.0</v>
      </c>
      <c r="C91" s="247">
        <f t="shared" si="7"/>
        <v>64</v>
      </c>
      <c r="D91" s="249" t="s">
        <v>156</v>
      </c>
      <c r="E91" s="11"/>
      <c r="F91" s="11"/>
      <c r="G91" s="11"/>
      <c r="H91" s="11"/>
      <c r="I91" s="11"/>
      <c r="J91" s="11"/>
      <c r="K91" s="11"/>
    </row>
    <row r="92" ht="13.5" customHeight="1">
      <c r="A92" s="93" t="s">
        <v>2046</v>
      </c>
      <c r="B92" s="94">
        <v>8.0</v>
      </c>
      <c r="C92" s="247">
        <f t="shared" si="7"/>
        <v>32</v>
      </c>
      <c r="D92" s="249" t="s">
        <v>18</v>
      </c>
      <c r="E92" s="11"/>
      <c r="F92" s="11"/>
      <c r="G92" s="11"/>
      <c r="H92" s="11"/>
      <c r="I92" s="11"/>
      <c r="J92" s="11"/>
      <c r="K92" s="11"/>
    </row>
    <row r="93" ht="13.5" customHeight="1">
      <c r="A93" s="105" t="s">
        <v>114</v>
      </c>
      <c r="B93" s="110">
        <v>0.05</v>
      </c>
      <c r="C93" s="522">
        <f t="shared" si="7"/>
        <v>0.2</v>
      </c>
      <c r="D93" s="518" t="s">
        <v>5</v>
      </c>
      <c r="E93" s="11"/>
      <c r="F93" s="11"/>
      <c r="G93" s="11"/>
      <c r="H93" s="11"/>
      <c r="I93" s="11"/>
      <c r="J93" s="11"/>
      <c r="K93" s="11"/>
    </row>
    <row r="94" ht="13.5" customHeight="1">
      <c r="A94" s="30"/>
      <c r="B94" s="30"/>
      <c r="C94" s="1"/>
      <c r="D94" s="1"/>
      <c r="E94" s="11"/>
      <c r="F94" s="11"/>
      <c r="G94" s="11"/>
      <c r="H94" s="11"/>
      <c r="I94" s="11"/>
      <c r="J94" s="11"/>
      <c r="K94" s="11"/>
    </row>
    <row r="95" ht="13.5" customHeight="1">
      <c r="A95" s="1811" t="s">
        <v>2047</v>
      </c>
      <c r="B95" s="5"/>
      <c r="C95" s="5"/>
      <c r="D95" s="6"/>
      <c r="E95" s="11"/>
      <c r="F95" s="11"/>
      <c r="G95" s="11"/>
      <c r="H95" s="11"/>
      <c r="I95" s="11"/>
      <c r="J95" s="11"/>
      <c r="K95" s="11"/>
    </row>
    <row r="96" ht="13.5" customHeight="1">
      <c r="A96" s="63"/>
      <c r="D96" s="66"/>
      <c r="E96" s="11"/>
      <c r="F96" s="11"/>
      <c r="G96" s="11"/>
      <c r="H96" s="11"/>
      <c r="I96" s="11"/>
      <c r="J96" s="11"/>
      <c r="K96" s="11"/>
    </row>
    <row r="97" ht="13.5" customHeight="1">
      <c r="A97" s="102"/>
      <c r="B97" s="104"/>
      <c r="C97" s="104"/>
      <c r="D97" s="106"/>
      <c r="E97" s="11"/>
      <c r="F97" s="11"/>
      <c r="G97" s="11"/>
      <c r="H97" s="11"/>
      <c r="I97" s="11"/>
      <c r="J97" s="11"/>
      <c r="K97" s="11"/>
    </row>
    <row r="98" ht="13.5" customHeight="1">
      <c r="A98" s="795" t="s">
        <v>49</v>
      </c>
      <c r="B98" s="1812">
        <v>42518.0</v>
      </c>
      <c r="C98" s="1800" t="s">
        <v>119</v>
      </c>
      <c r="D98" s="1"/>
      <c r="E98" s="11"/>
      <c r="F98" s="11"/>
      <c r="G98" s="11"/>
      <c r="H98" s="11"/>
      <c r="I98" s="11"/>
      <c r="J98" s="11"/>
      <c r="K98" s="11"/>
    </row>
    <row r="99" ht="13.5" customHeight="1">
      <c r="A99" s="795" t="s">
        <v>1433</v>
      </c>
      <c r="B99" s="1812">
        <v>42804.0</v>
      </c>
      <c r="C99" s="1"/>
      <c r="D99" s="1"/>
      <c r="E99" s="11"/>
      <c r="F99" s="11"/>
      <c r="G99" s="11"/>
      <c r="H99" s="11"/>
      <c r="I99" s="11"/>
      <c r="J99" s="11"/>
      <c r="K99" s="11"/>
    </row>
    <row r="100" ht="13.5" customHeight="1">
      <c r="A100" s="11"/>
      <c r="B100" s="11"/>
      <c r="C100" s="11"/>
      <c r="D100" s="11"/>
      <c r="E100" s="11"/>
      <c r="F100" s="11"/>
      <c r="G100" s="11"/>
      <c r="H100" s="11"/>
      <c r="I100" s="11"/>
      <c r="J100" s="11"/>
      <c r="K100" s="11"/>
    </row>
    <row r="101" ht="13.5" customHeight="1">
      <c r="A101" s="11"/>
      <c r="B101" s="11"/>
      <c r="C101" s="11"/>
      <c r="D101" s="11"/>
      <c r="E101" s="11"/>
      <c r="F101" s="11"/>
      <c r="G101" s="11"/>
      <c r="H101" s="11"/>
      <c r="I101" s="11"/>
      <c r="J101" s="11"/>
      <c r="K101" s="11"/>
    </row>
    <row r="102" ht="13.5" customHeight="1">
      <c r="A102" s="11"/>
      <c r="B102" s="11"/>
      <c r="C102" s="11"/>
      <c r="D102" s="11"/>
      <c r="E102" s="11"/>
      <c r="F102" s="11"/>
      <c r="G102" s="11"/>
      <c r="H102" s="11"/>
      <c r="I102" s="11"/>
      <c r="J102" s="11"/>
      <c r="K102" s="11"/>
    </row>
    <row r="103" ht="13.5" customHeight="1">
      <c r="A103" s="11"/>
      <c r="B103" s="11"/>
      <c r="C103" s="11"/>
      <c r="D103" s="11"/>
      <c r="E103" s="11"/>
      <c r="F103" s="11"/>
      <c r="G103" s="11"/>
      <c r="H103" s="11"/>
      <c r="I103" s="11"/>
      <c r="J103" s="11"/>
      <c r="K103" s="11"/>
    </row>
    <row r="104" ht="13.5" customHeight="1">
      <c r="A104" s="11"/>
      <c r="B104" s="11"/>
      <c r="C104" s="11"/>
      <c r="D104" s="11"/>
      <c r="E104" s="11"/>
      <c r="F104" s="11"/>
      <c r="G104" s="11"/>
      <c r="H104" s="11"/>
      <c r="I104" s="11"/>
      <c r="J104" s="11"/>
      <c r="K104" s="11"/>
    </row>
    <row r="105" ht="13.5" customHeight="1">
      <c r="A105" s="11"/>
      <c r="B105" s="11"/>
      <c r="C105" s="11"/>
      <c r="D105" s="11"/>
      <c r="E105" s="11"/>
      <c r="F105" s="11"/>
      <c r="G105" s="11"/>
      <c r="H105" s="11"/>
      <c r="I105" s="11"/>
      <c r="J105" s="11"/>
      <c r="K105" s="11"/>
    </row>
    <row r="106" ht="13.5" customHeight="1">
      <c r="A106" s="11"/>
      <c r="B106" s="11"/>
      <c r="C106" s="11"/>
      <c r="D106" s="11"/>
      <c r="E106" s="11"/>
      <c r="F106" s="11"/>
      <c r="G106" s="11"/>
      <c r="H106" s="11"/>
      <c r="I106" s="11"/>
      <c r="J106" s="11"/>
      <c r="K106" s="11"/>
    </row>
    <row r="107" ht="13.5" customHeight="1">
      <c r="A107" s="11"/>
      <c r="B107" s="11"/>
      <c r="C107" s="11"/>
      <c r="D107" s="11"/>
      <c r="E107" s="11"/>
      <c r="F107" s="11"/>
      <c r="G107" s="11"/>
      <c r="H107" s="11"/>
      <c r="I107" s="11"/>
      <c r="J107" s="11"/>
      <c r="K107" s="11"/>
    </row>
    <row r="108" ht="13.5" customHeight="1">
      <c r="A108" s="11"/>
      <c r="B108" s="11"/>
      <c r="C108" s="11"/>
      <c r="D108" s="11"/>
      <c r="E108" s="11"/>
      <c r="F108" s="11"/>
      <c r="G108" s="11"/>
      <c r="H108" s="11"/>
      <c r="I108" s="11"/>
      <c r="J108" s="11"/>
      <c r="K108" s="11"/>
    </row>
    <row r="109" ht="13.5" customHeight="1">
      <c r="A109" s="11"/>
      <c r="B109" s="11"/>
      <c r="C109" s="11"/>
      <c r="D109" s="11"/>
      <c r="E109" s="11"/>
      <c r="F109" s="11"/>
      <c r="G109" s="11"/>
      <c r="H109" s="11"/>
      <c r="I109" s="11"/>
      <c r="J109" s="11"/>
      <c r="K109" s="11"/>
    </row>
    <row r="110" ht="13.5" customHeight="1">
      <c r="A110" s="11"/>
      <c r="B110" s="11"/>
      <c r="C110" s="11"/>
      <c r="D110" s="11"/>
      <c r="E110" s="11"/>
      <c r="F110" s="11"/>
      <c r="G110" s="11"/>
      <c r="H110" s="11"/>
      <c r="I110" s="11"/>
      <c r="J110" s="11"/>
      <c r="K110" s="11"/>
    </row>
    <row r="111" ht="13.5" customHeight="1">
      <c r="A111" s="11"/>
      <c r="B111" s="11"/>
      <c r="C111" s="11"/>
      <c r="D111" s="11"/>
      <c r="E111" s="11"/>
      <c r="F111" s="11"/>
      <c r="G111" s="11"/>
      <c r="H111" s="11"/>
      <c r="I111" s="11"/>
      <c r="J111" s="11"/>
      <c r="K111" s="11"/>
    </row>
    <row r="112" ht="13.5" customHeight="1">
      <c r="A112" s="11"/>
      <c r="B112" s="11"/>
      <c r="C112" s="11"/>
      <c r="D112" s="11"/>
      <c r="E112" s="11"/>
      <c r="F112" s="11"/>
      <c r="G112" s="11"/>
      <c r="H112" s="11"/>
      <c r="I112" s="11"/>
      <c r="J112" s="11"/>
      <c r="K112" s="11"/>
    </row>
    <row r="113" ht="16.5" customHeight="1">
      <c r="A113" s="11"/>
      <c r="B113" s="11"/>
      <c r="C113" s="11"/>
      <c r="D113" s="11"/>
      <c r="E113" s="11"/>
      <c r="F113" s="11"/>
      <c r="G113" s="11"/>
      <c r="H113" s="11"/>
      <c r="I113" s="11"/>
      <c r="J113" s="11"/>
      <c r="K113" s="11"/>
    </row>
    <row r="114" ht="13.5" customHeight="1">
      <c r="A114" s="11"/>
      <c r="B114" s="11"/>
      <c r="C114" s="11"/>
      <c r="D114" s="11"/>
      <c r="E114" s="11"/>
      <c r="F114" s="11"/>
      <c r="G114" s="11"/>
      <c r="H114" s="11"/>
      <c r="I114" s="11"/>
      <c r="J114" s="11"/>
      <c r="K114" s="11"/>
    </row>
    <row r="115" ht="13.5" customHeight="1">
      <c r="A115" s="11"/>
      <c r="B115" s="11"/>
      <c r="C115" s="11"/>
      <c r="D115" s="11"/>
      <c r="E115" s="11"/>
      <c r="F115" s="11"/>
      <c r="G115" s="11"/>
      <c r="H115" s="11"/>
      <c r="I115" s="11"/>
      <c r="J115" s="11"/>
      <c r="K115" s="11"/>
    </row>
    <row r="116" ht="13.5" customHeight="1">
      <c r="A116" s="11"/>
      <c r="B116" s="11"/>
      <c r="C116" s="11"/>
      <c r="D116" s="11"/>
      <c r="E116" s="11"/>
      <c r="F116" s="11"/>
      <c r="G116" s="11"/>
      <c r="H116" s="11"/>
      <c r="I116" s="11"/>
      <c r="J116" s="11"/>
      <c r="K116" s="11"/>
    </row>
    <row r="117" ht="13.5" customHeight="1">
      <c r="A117" s="11"/>
      <c r="B117" s="11"/>
      <c r="C117" s="11"/>
      <c r="D117" s="11"/>
      <c r="E117" s="11"/>
      <c r="F117" s="11"/>
      <c r="G117" s="11"/>
      <c r="H117" s="11"/>
      <c r="I117" s="11"/>
      <c r="J117" s="11"/>
      <c r="K117" s="11"/>
    </row>
    <row r="118" ht="13.5" customHeight="1">
      <c r="A118" s="11"/>
      <c r="B118" s="11"/>
      <c r="C118" s="11"/>
      <c r="D118" s="11"/>
      <c r="E118" s="11"/>
      <c r="F118" s="11"/>
      <c r="G118" s="11"/>
      <c r="H118" s="11"/>
      <c r="I118" s="11"/>
      <c r="J118" s="11"/>
      <c r="K118" s="11"/>
    </row>
    <row r="119" ht="13.5" customHeight="1">
      <c r="A119" s="11"/>
      <c r="B119" s="11"/>
      <c r="C119" s="11"/>
      <c r="D119" s="11"/>
      <c r="E119" s="11"/>
      <c r="F119" s="11"/>
      <c r="G119" s="11"/>
      <c r="H119" s="11"/>
      <c r="I119" s="11"/>
      <c r="J119" s="11"/>
      <c r="K119" s="11"/>
    </row>
    <row r="120" ht="13.5" customHeight="1">
      <c r="A120" s="11"/>
      <c r="B120" s="11"/>
      <c r="C120" s="11"/>
      <c r="D120" s="11"/>
      <c r="E120" s="11"/>
      <c r="F120" s="11"/>
      <c r="G120" s="11"/>
      <c r="H120" s="11"/>
      <c r="I120" s="11"/>
      <c r="J120" s="11"/>
      <c r="K120" s="11"/>
    </row>
    <row r="121" ht="13.5" customHeight="1">
      <c r="A121" s="11"/>
      <c r="B121" s="11"/>
      <c r="C121" s="11"/>
      <c r="D121" s="11"/>
      <c r="E121" s="11"/>
      <c r="F121" s="11"/>
      <c r="G121" s="11"/>
      <c r="H121" s="11"/>
      <c r="I121" s="11"/>
      <c r="J121" s="11"/>
      <c r="K121" s="11"/>
    </row>
    <row r="122" ht="13.5" customHeight="1">
      <c r="A122" s="11"/>
      <c r="B122" s="11"/>
      <c r="C122" s="11"/>
      <c r="D122" s="11"/>
      <c r="E122" s="11"/>
      <c r="F122" s="11"/>
      <c r="G122" s="11"/>
      <c r="H122" s="11"/>
      <c r="I122" s="11"/>
      <c r="J122" s="11"/>
      <c r="K122" s="11"/>
    </row>
    <row r="123" ht="13.5" customHeight="1">
      <c r="A123" s="11"/>
      <c r="B123" s="11"/>
      <c r="C123" s="11"/>
      <c r="D123" s="11"/>
      <c r="E123" s="11"/>
      <c r="F123" s="11"/>
      <c r="G123" s="11"/>
      <c r="H123" s="11"/>
      <c r="I123" s="11"/>
      <c r="J123" s="11"/>
      <c r="K123" s="11"/>
    </row>
    <row r="124" ht="13.5" customHeight="1">
      <c r="A124" s="11"/>
      <c r="B124" s="11"/>
      <c r="C124" s="11"/>
      <c r="D124" s="11"/>
      <c r="E124" s="11"/>
      <c r="F124" s="11"/>
      <c r="G124" s="11"/>
      <c r="H124" s="11"/>
      <c r="I124" s="11"/>
      <c r="J124" s="11"/>
      <c r="K124" s="11"/>
    </row>
    <row r="125" ht="13.5" customHeight="1">
      <c r="A125" s="11"/>
      <c r="B125" s="11"/>
      <c r="C125" s="11"/>
      <c r="D125" s="11"/>
      <c r="E125" s="11"/>
      <c r="F125" s="11"/>
      <c r="G125" s="11"/>
      <c r="H125" s="11"/>
      <c r="I125" s="11"/>
      <c r="J125" s="11"/>
      <c r="K125" s="11"/>
    </row>
    <row r="126" ht="13.5" customHeight="1">
      <c r="A126" s="11"/>
      <c r="B126" s="11"/>
      <c r="C126" s="11"/>
      <c r="D126" s="11"/>
      <c r="E126" s="11"/>
      <c r="F126" s="11"/>
      <c r="G126" s="11"/>
      <c r="H126" s="11"/>
      <c r="I126" s="11"/>
      <c r="J126" s="11"/>
      <c r="K126" s="11"/>
    </row>
    <row r="127" ht="13.5" customHeight="1">
      <c r="A127" s="11"/>
      <c r="B127" s="11"/>
      <c r="C127" s="11"/>
      <c r="D127" s="11"/>
      <c r="E127" s="11"/>
      <c r="F127" s="11"/>
      <c r="G127" s="11"/>
      <c r="H127" s="11"/>
      <c r="I127" s="11"/>
      <c r="J127" s="11"/>
      <c r="K127" s="11"/>
    </row>
    <row r="128" ht="13.5" customHeight="1">
      <c r="A128" s="11"/>
      <c r="B128" s="11"/>
      <c r="C128" s="11"/>
      <c r="D128" s="11"/>
      <c r="E128" s="11"/>
      <c r="F128" s="11"/>
      <c r="G128" s="11"/>
      <c r="H128" s="11"/>
      <c r="I128" s="11"/>
      <c r="J128" s="11"/>
      <c r="K128" s="11"/>
    </row>
    <row r="129" ht="13.5" customHeight="1">
      <c r="A129" s="11"/>
      <c r="B129" s="11"/>
      <c r="C129" s="11"/>
      <c r="D129" s="11"/>
      <c r="E129" s="11"/>
      <c r="F129" s="11"/>
      <c r="G129" s="11"/>
      <c r="H129" s="11"/>
      <c r="I129" s="11"/>
      <c r="J129" s="11"/>
      <c r="K129" s="11"/>
    </row>
    <row r="130" ht="13.5" customHeight="1">
      <c r="A130" s="11"/>
      <c r="B130" s="11"/>
      <c r="C130" s="11"/>
      <c r="D130" s="11"/>
      <c r="E130" s="11"/>
      <c r="F130" s="11"/>
      <c r="G130" s="11"/>
      <c r="H130" s="11"/>
      <c r="I130" s="11"/>
      <c r="J130" s="11"/>
      <c r="K130" s="11"/>
    </row>
    <row r="131" ht="15.75" customHeight="1">
      <c r="A131" s="11"/>
      <c r="B131" s="11"/>
      <c r="C131" s="11"/>
      <c r="D131" s="11"/>
      <c r="E131" s="11"/>
      <c r="F131" s="11"/>
      <c r="G131" s="11"/>
      <c r="H131" s="11"/>
      <c r="I131" s="11"/>
      <c r="J131" s="11"/>
      <c r="K131" s="11"/>
    </row>
    <row r="132" ht="13.5" customHeight="1">
      <c r="A132" s="11"/>
      <c r="B132" s="11"/>
      <c r="C132" s="11"/>
      <c r="D132" s="11"/>
      <c r="E132" s="11"/>
      <c r="F132" s="11"/>
      <c r="G132" s="11"/>
      <c r="H132" s="11"/>
      <c r="I132" s="11"/>
      <c r="J132" s="11"/>
      <c r="K132" s="11"/>
    </row>
    <row r="133" ht="13.5" customHeight="1">
      <c r="A133" s="11"/>
      <c r="B133" s="11"/>
      <c r="C133" s="11"/>
      <c r="D133" s="11"/>
      <c r="E133" s="11"/>
      <c r="F133" s="11"/>
      <c r="G133" s="11"/>
      <c r="H133" s="11"/>
      <c r="I133" s="11"/>
      <c r="J133" s="11"/>
      <c r="K133" s="11"/>
    </row>
    <row r="134" ht="13.5" customHeight="1">
      <c r="A134" s="11"/>
      <c r="B134" s="11"/>
      <c r="C134" s="11"/>
      <c r="D134" s="11"/>
      <c r="E134" s="11"/>
      <c r="F134" s="11"/>
      <c r="G134" s="11"/>
      <c r="H134" s="11"/>
      <c r="I134" s="11"/>
      <c r="J134" s="11"/>
      <c r="K134" s="11"/>
    </row>
    <row r="135" ht="13.5" customHeight="1">
      <c r="A135" s="11"/>
      <c r="B135" s="11"/>
      <c r="C135" s="11"/>
      <c r="D135" s="11"/>
      <c r="E135" s="11"/>
      <c r="F135" s="11"/>
      <c r="G135" s="11"/>
      <c r="H135" s="11"/>
      <c r="I135" s="11"/>
      <c r="J135" s="11"/>
      <c r="K135" s="11"/>
    </row>
    <row r="136" ht="13.5" customHeight="1">
      <c r="A136" s="11"/>
      <c r="B136" s="11"/>
      <c r="C136" s="11"/>
      <c r="D136" s="11"/>
      <c r="E136" s="11"/>
      <c r="F136" s="11"/>
      <c r="G136" s="11"/>
      <c r="H136" s="11"/>
      <c r="I136" s="11"/>
      <c r="J136" s="11"/>
      <c r="K136" s="11"/>
    </row>
    <row r="137" ht="13.5" customHeight="1">
      <c r="A137" s="11"/>
      <c r="B137" s="11"/>
      <c r="C137" s="11"/>
      <c r="D137" s="11"/>
      <c r="E137" s="11"/>
      <c r="F137" s="11"/>
      <c r="G137" s="11"/>
      <c r="H137" s="11"/>
      <c r="I137" s="11"/>
      <c r="J137" s="11"/>
      <c r="K137" s="11"/>
    </row>
    <row r="138" ht="13.5" customHeight="1">
      <c r="A138" s="11"/>
      <c r="B138" s="11"/>
      <c r="C138" s="11"/>
      <c r="D138" s="11"/>
      <c r="E138" s="11"/>
      <c r="F138" s="11"/>
      <c r="G138" s="11"/>
      <c r="H138" s="11"/>
      <c r="I138" s="11"/>
      <c r="J138" s="11"/>
      <c r="K138" s="11"/>
    </row>
    <row r="139" ht="13.5" customHeight="1">
      <c r="A139" s="11"/>
      <c r="B139" s="11"/>
      <c r="C139" s="11"/>
      <c r="D139" s="11"/>
      <c r="E139" s="11"/>
      <c r="F139" s="11"/>
      <c r="G139" s="11"/>
      <c r="H139" s="11"/>
      <c r="I139" s="11"/>
      <c r="J139" s="11"/>
      <c r="K139" s="11"/>
    </row>
    <row r="140" ht="13.5" customHeight="1">
      <c r="A140" s="11"/>
      <c r="B140" s="11"/>
      <c r="C140" s="11"/>
      <c r="D140" s="11"/>
      <c r="E140" s="11"/>
      <c r="F140" s="11"/>
      <c r="G140" s="11"/>
      <c r="H140" s="11"/>
      <c r="I140" s="11"/>
      <c r="J140" s="11"/>
      <c r="K140" s="11"/>
    </row>
    <row r="141" ht="13.5" customHeight="1">
      <c r="A141" s="11"/>
      <c r="B141" s="11"/>
      <c r="C141" s="11"/>
      <c r="D141" s="11"/>
      <c r="E141" s="11"/>
      <c r="F141" s="11"/>
      <c r="G141" s="11"/>
      <c r="H141" s="11"/>
      <c r="I141" s="11"/>
      <c r="J141" s="11"/>
      <c r="K141" s="11"/>
    </row>
    <row r="142" ht="13.5" customHeight="1">
      <c r="A142" s="11"/>
      <c r="B142" s="11"/>
      <c r="C142" s="11"/>
      <c r="D142" s="11"/>
      <c r="E142" s="11"/>
      <c r="F142" s="11"/>
      <c r="G142" s="11"/>
      <c r="H142" s="11"/>
      <c r="I142" s="11"/>
      <c r="J142" s="11"/>
      <c r="K142" s="11"/>
    </row>
    <row r="143" ht="13.5" customHeight="1">
      <c r="A143" s="11"/>
      <c r="B143" s="11"/>
      <c r="C143" s="11"/>
      <c r="D143" s="11"/>
      <c r="E143" s="11"/>
      <c r="F143" s="11"/>
      <c r="G143" s="11"/>
      <c r="H143" s="11"/>
      <c r="I143" s="11"/>
      <c r="J143" s="11"/>
      <c r="K143" s="11"/>
    </row>
    <row r="144" ht="13.5" customHeight="1">
      <c r="A144" s="11"/>
      <c r="B144" s="11"/>
      <c r="C144" s="11"/>
      <c r="D144" s="11"/>
      <c r="E144" s="11"/>
      <c r="F144" s="11"/>
      <c r="G144" s="11"/>
      <c r="H144" s="11"/>
      <c r="I144" s="11"/>
      <c r="J144" s="11"/>
      <c r="K144" s="11"/>
    </row>
    <row r="145" ht="13.5" customHeight="1">
      <c r="A145" s="11"/>
      <c r="B145" s="11"/>
      <c r="C145" s="11"/>
      <c r="D145" s="11"/>
      <c r="E145" s="11"/>
      <c r="F145" s="11"/>
      <c r="G145" s="11"/>
      <c r="H145" s="11"/>
      <c r="I145" s="11"/>
      <c r="J145" s="11"/>
      <c r="K145" s="11"/>
    </row>
    <row r="146" ht="13.5" customHeight="1">
      <c r="A146" s="11"/>
      <c r="B146" s="11"/>
      <c r="C146" s="11"/>
      <c r="D146" s="11"/>
      <c r="E146" s="11"/>
      <c r="F146" s="11"/>
      <c r="G146" s="11"/>
      <c r="H146" s="11"/>
      <c r="I146" s="11"/>
      <c r="J146" s="11"/>
      <c r="K146" s="11"/>
    </row>
    <row r="147" ht="13.5" customHeight="1">
      <c r="A147" s="11"/>
      <c r="B147" s="11"/>
      <c r="C147" s="11"/>
      <c r="D147" s="11"/>
      <c r="E147" s="11"/>
      <c r="F147" s="11"/>
      <c r="G147" s="11"/>
      <c r="H147" s="11"/>
      <c r="I147" s="11"/>
      <c r="J147" s="11"/>
      <c r="K147" s="11"/>
    </row>
    <row r="148" ht="13.5" customHeight="1">
      <c r="A148" s="11"/>
      <c r="B148" s="11"/>
      <c r="C148" s="11"/>
      <c r="D148" s="11"/>
      <c r="E148" s="11"/>
      <c r="F148" s="11"/>
      <c r="G148" s="11"/>
      <c r="H148" s="11"/>
      <c r="I148" s="11"/>
      <c r="J148" s="11"/>
      <c r="K148" s="11"/>
    </row>
    <row r="149" ht="13.5" customHeight="1">
      <c r="A149" s="11"/>
      <c r="B149" s="11"/>
      <c r="C149" s="11"/>
      <c r="D149" s="11"/>
      <c r="E149" s="11"/>
      <c r="F149" s="11"/>
      <c r="G149" s="11"/>
      <c r="H149" s="11"/>
      <c r="I149" s="11"/>
      <c r="J149" s="11"/>
      <c r="K149" s="11"/>
    </row>
    <row r="150" ht="13.5" customHeight="1">
      <c r="A150" s="11"/>
      <c r="B150" s="11"/>
      <c r="C150" s="11"/>
      <c r="D150" s="11"/>
      <c r="E150" s="11"/>
      <c r="F150" s="11"/>
      <c r="G150" s="11"/>
      <c r="H150" s="11"/>
      <c r="I150" s="11"/>
      <c r="J150" s="11"/>
      <c r="K150" s="11"/>
    </row>
    <row r="151" ht="13.5" customHeight="1">
      <c r="A151" s="11"/>
      <c r="B151" s="11"/>
      <c r="C151" s="11"/>
      <c r="D151" s="11"/>
      <c r="E151" s="11"/>
      <c r="F151" s="11"/>
      <c r="G151" s="11"/>
      <c r="H151" s="11"/>
      <c r="I151" s="11"/>
      <c r="J151" s="11"/>
      <c r="K151" s="11"/>
    </row>
    <row r="152" ht="13.5" customHeight="1">
      <c r="A152" s="11"/>
      <c r="B152" s="11"/>
      <c r="C152" s="11"/>
      <c r="D152" s="11"/>
      <c r="E152" s="11"/>
      <c r="F152" s="11"/>
      <c r="G152" s="11"/>
      <c r="H152" s="11"/>
      <c r="I152" s="11"/>
      <c r="J152" s="11"/>
      <c r="K152" s="11"/>
    </row>
    <row r="153" ht="13.5" customHeight="1">
      <c r="A153" s="11"/>
      <c r="B153" s="11"/>
      <c r="C153" s="11"/>
      <c r="D153" s="11"/>
      <c r="E153" s="11"/>
      <c r="F153" s="11"/>
      <c r="G153" s="11"/>
      <c r="H153" s="11"/>
      <c r="I153" s="11"/>
      <c r="J153" s="11"/>
      <c r="K153" s="11"/>
    </row>
    <row r="154" ht="13.5" customHeight="1">
      <c r="A154" s="11"/>
      <c r="B154" s="11"/>
      <c r="C154" s="11"/>
      <c r="D154" s="11"/>
      <c r="E154" s="11"/>
      <c r="F154" s="11"/>
      <c r="G154" s="11"/>
      <c r="H154" s="11"/>
      <c r="I154" s="11"/>
      <c r="J154" s="11"/>
      <c r="K154" s="11"/>
    </row>
    <row r="155" ht="13.5" customHeight="1">
      <c r="A155" s="11"/>
      <c r="B155" s="11"/>
      <c r="C155" s="11"/>
      <c r="D155" s="11"/>
      <c r="E155" s="11"/>
      <c r="F155" s="11"/>
      <c r="G155" s="11"/>
      <c r="H155" s="11"/>
      <c r="I155" s="11"/>
      <c r="J155" s="11"/>
      <c r="K155" s="11"/>
    </row>
    <row r="156" ht="13.5" customHeight="1">
      <c r="A156" s="11"/>
      <c r="B156" s="11"/>
      <c r="C156" s="11"/>
      <c r="D156" s="11"/>
      <c r="E156" s="11"/>
      <c r="F156" s="11"/>
      <c r="G156" s="11"/>
      <c r="H156" s="11"/>
      <c r="I156" s="11"/>
      <c r="J156" s="11"/>
      <c r="K156" s="11"/>
    </row>
    <row r="157" ht="13.5" customHeight="1">
      <c r="A157" s="11"/>
      <c r="B157" s="11"/>
      <c r="C157" s="11"/>
      <c r="D157" s="11"/>
      <c r="E157" s="11"/>
      <c r="F157" s="11"/>
      <c r="G157" s="11"/>
      <c r="H157" s="11"/>
      <c r="I157" s="11"/>
      <c r="J157" s="11"/>
      <c r="K157" s="11"/>
    </row>
    <row r="158" ht="13.5" customHeight="1">
      <c r="A158" s="11"/>
      <c r="B158" s="11"/>
      <c r="C158" s="11"/>
      <c r="D158" s="11"/>
      <c r="E158" s="11"/>
      <c r="F158" s="11"/>
      <c r="G158" s="11"/>
      <c r="H158" s="11"/>
      <c r="I158" s="11"/>
      <c r="J158" s="11"/>
      <c r="K158" s="11"/>
    </row>
    <row r="159" ht="13.5" customHeight="1">
      <c r="A159" s="11"/>
      <c r="B159" s="11"/>
      <c r="C159" s="11"/>
      <c r="D159" s="11"/>
      <c r="E159" s="11"/>
      <c r="F159" s="11"/>
      <c r="G159" s="11"/>
      <c r="H159" s="11"/>
      <c r="I159" s="11"/>
      <c r="J159" s="11"/>
      <c r="K159" s="11"/>
    </row>
    <row r="160" ht="13.5" customHeight="1">
      <c r="A160" s="11"/>
      <c r="B160" s="11"/>
      <c r="C160" s="11"/>
      <c r="D160" s="11"/>
      <c r="E160" s="11"/>
      <c r="F160" s="11"/>
      <c r="G160" s="11"/>
      <c r="H160" s="11"/>
      <c r="I160" s="11"/>
      <c r="J160" s="11"/>
      <c r="K160" s="11"/>
    </row>
    <row r="161" ht="13.5" customHeight="1">
      <c r="A161" s="11"/>
      <c r="B161" s="11"/>
      <c r="C161" s="11"/>
      <c r="D161" s="11"/>
      <c r="E161" s="11"/>
      <c r="F161" s="11"/>
      <c r="G161" s="11"/>
      <c r="H161" s="11"/>
      <c r="I161" s="11"/>
      <c r="J161" s="11"/>
      <c r="K161" s="11"/>
    </row>
    <row r="162" ht="13.5" customHeight="1">
      <c r="A162" s="11"/>
      <c r="B162" s="11"/>
      <c r="C162" s="11"/>
      <c r="D162" s="11"/>
      <c r="E162" s="11"/>
      <c r="F162" s="11"/>
      <c r="G162" s="11"/>
      <c r="H162" s="11"/>
      <c r="I162" s="11"/>
      <c r="J162" s="11"/>
      <c r="K162" s="11"/>
    </row>
    <row r="163" ht="13.5" customHeight="1">
      <c r="A163" s="11"/>
      <c r="B163" s="11"/>
      <c r="C163" s="11"/>
      <c r="D163" s="11"/>
      <c r="E163" s="11"/>
      <c r="F163" s="11"/>
      <c r="G163" s="11"/>
      <c r="H163" s="11"/>
      <c r="I163" s="11"/>
      <c r="J163" s="11"/>
      <c r="K163" s="11"/>
    </row>
    <row r="164" ht="13.5" customHeight="1">
      <c r="A164" s="11"/>
      <c r="B164" s="11"/>
      <c r="C164" s="11"/>
      <c r="D164" s="11"/>
      <c r="E164" s="11"/>
      <c r="F164" s="11"/>
      <c r="G164" s="11"/>
      <c r="H164" s="11"/>
      <c r="I164" s="11"/>
      <c r="J164" s="11"/>
      <c r="K164" s="11"/>
    </row>
    <row r="165" ht="13.5" customHeight="1">
      <c r="A165" s="11"/>
      <c r="B165" s="11"/>
      <c r="C165" s="11"/>
      <c r="D165" s="11"/>
      <c r="E165" s="11"/>
      <c r="F165" s="11"/>
      <c r="G165" s="11"/>
      <c r="H165" s="11"/>
      <c r="I165" s="11"/>
      <c r="J165" s="11"/>
      <c r="K165" s="11"/>
    </row>
    <row r="166" ht="13.5" customHeight="1">
      <c r="A166" s="11"/>
      <c r="B166" s="11"/>
      <c r="C166" s="11"/>
      <c r="D166" s="11"/>
      <c r="E166" s="11"/>
      <c r="F166" s="11"/>
      <c r="G166" s="11"/>
      <c r="H166" s="11"/>
      <c r="I166" s="11"/>
      <c r="J166" s="11"/>
      <c r="K166" s="11"/>
    </row>
    <row r="167" ht="13.5" customHeight="1">
      <c r="A167" s="11"/>
      <c r="B167" s="11"/>
      <c r="C167" s="11"/>
      <c r="D167" s="11"/>
      <c r="E167" s="11"/>
      <c r="F167" s="11"/>
      <c r="G167" s="11"/>
      <c r="H167" s="11"/>
      <c r="I167" s="11"/>
      <c r="J167" s="11"/>
      <c r="K167" s="11"/>
    </row>
    <row r="168" ht="13.5" customHeight="1">
      <c r="A168" s="11"/>
      <c r="B168" s="11"/>
      <c r="C168" s="11"/>
      <c r="D168" s="11"/>
      <c r="E168" s="11"/>
      <c r="F168" s="11"/>
      <c r="G168" s="11"/>
      <c r="H168" s="11"/>
      <c r="I168" s="11"/>
      <c r="J168" s="11"/>
      <c r="K168" s="11"/>
    </row>
    <row r="169" ht="13.5" customHeight="1">
      <c r="A169" s="11"/>
      <c r="B169" s="11"/>
      <c r="C169" s="11"/>
      <c r="D169" s="11"/>
      <c r="E169" s="11"/>
      <c r="F169" s="11"/>
      <c r="G169" s="11"/>
      <c r="H169" s="11"/>
      <c r="I169" s="11"/>
      <c r="J169" s="11"/>
      <c r="K169" s="11"/>
    </row>
    <row r="170" ht="13.5" customHeight="1">
      <c r="A170" s="11"/>
      <c r="B170" s="11"/>
      <c r="C170" s="11"/>
      <c r="D170" s="11"/>
      <c r="E170" s="11"/>
      <c r="F170" s="11"/>
      <c r="G170" s="11"/>
      <c r="H170" s="11"/>
      <c r="I170" s="11"/>
      <c r="J170" s="11"/>
      <c r="K170" s="11"/>
    </row>
    <row r="171" ht="13.5" customHeight="1">
      <c r="A171" s="11"/>
      <c r="B171" s="11"/>
      <c r="C171" s="11"/>
      <c r="D171" s="11"/>
      <c r="E171" s="11"/>
      <c r="F171" s="11"/>
      <c r="G171" s="11"/>
      <c r="H171" s="11"/>
      <c r="I171" s="11"/>
      <c r="J171" s="11"/>
      <c r="K171" s="11"/>
    </row>
    <row r="172" ht="13.5" customHeight="1">
      <c r="A172" s="11"/>
      <c r="B172" s="11"/>
      <c r="C172" s="11"/>
      <c r="D172" s="11"/>
      <c r="E172" s="11"/>
      <c r="F172" s="11"/>
      <c r="G172" s="11"/>
      <c r="H172" s="11"/>
      <c r="I172" s="11"/>
      <c r="J172" s="11"/>
      <c r="K172" s="11"/>
    </row>
    <row r="173" ht="13.5" customHeight="1">
      <c r="A173" s="11"/>
      <c r="B173" s="11"/>
      <c r="C173" s="11"/>
      <c r="D173" s="11"/>
      <c r="E173" s="11"/>
      <c r="F173" s="11"/>
      <c r="G173" s="11"/>
      <c r="H173" s="11"/>
      <c r="I173" s="11"/>
      <c r="J173" s="11"/>
      <c r="K173" s="11"/>
    </row>
    <row r="174" ht="13.5" customHeight="1">
      <c r="A174" s="11"/>
      <c r="B174" s="11"/>
      <c r="C174" s="11"/>
      <c r="D174" s="11"/>
      <c r="E174" s="11"/>
      <c r="F174" s="11"/>
      <c r="G174" s="11"/>
      <c r="H174" s="11"/>
      <c r="I174" s="11"/>
      <c r="J174" s="11"/>
      <c r="K174" s="11"/>
    </row>
    <row r="175" ht="13.5" customHeight="1">
      <c r="A175" s="11"/>
      <c r="B175" s="11"/>
      <c r="C175" s="11"/>
      <c r="D175" s="11"/>
      <c r="E175" s="11"/>
      <c r="F175" s="11"/>
      <c r="G175" s="11"/>
      <c r="H175" s="11"/>
      <c r="I175" s="11"/>
      <c r="J175" s="11"/>
      <c r="K175" s="11"/>
    </row>
    <row r="176" ht="13.5" customHeight="1">
      <c r="A176" s="11"/>
      <c r="B176" s="11"/>
      <c r="C176" s="11"/>
      <c r="D176" s="11"/>
      <c r="E176" s="11"/>
      <c r="F176" s="11"/>
      <c r="G176" s="11"/>
      <c r="H176" s="11"/>
      <c r="I176" s="11"/>
      <c r="J176" s="11"/>
      <c r="K176" s="11"/>
    </row>
    <row r="177" ht="13.5" customHeight="1">
      <c r="A177" s="11"/>
      <c r="B177" s="11"/>
      <c r="C177" s="11"/>
      <c r="D177" s="11"/>
      <c r="E177" s="11"/>
      <c r="F177" s="11"/>
      <c r="G177" s="11"/>
      <c r="H177" s="11"/>
      <c r="I177" s="11"/>
      <c r="J177" s="11"/>
      <c r="K177" s="11"/>
    </row>
    <row r="178" ht="13.5" customHeight="1">
      <c r="A178" s="11"/>
      <c r="B178" s="11"/>
      <c r="C178" s="11"/>
      <c r="D178" s="11"/>
      <c r="E178" s="11"/>
      <c r="F178" s="11"/>
      <c r="G178" s="11"/>
      <c r="H178" s="11"/>
      <c r="I178" s="11"/>
      <c r="J178" s="11"/>
      <c r="K178" s="11"/>
    </row>
    <row r="179" ht="13.5" customHeight="1">
      <c r="A179" s="11"/>
      <c r="B179" s="11"/>
      <c r="C179" s="11"/>
      <c r="D179" s="11"/>
      <c r="E179" s="11"/>
      <c r="F179" s="11"/>
      <c r="G179" s="11"/>
      <c r="H179" s="11"/>
      <c r="I179" s="11"/>
      <c r="J179" s="11"/>
      <c r="K179" s="11"/>
    </row>
    <row r="180" ht="13.5" customHeight="1">
      <c r="A180" s="11"/>
      <c r="B180" s="11"/>
      <c r="C180" s="11"/>
      <c r="D180" s="11"/>
      <c r="E180" s="11"/>
      <c r="F180" s="11"/>
      <c r="G180" s="11"/>
      <c r="H180" s="11"/>
      <c r="I180" s="11"/>
      <c r="J180" s="11"/>
      <c r="K180" s="11"/>
    </row>
    <row r="181" ht="13.5" customHeight="1">
      <c r="A181" s="11"/>
      <c r="B181" s="11"/>
      <c r="C181" s="11"/>
      <c r="D181" s="11"/>
      <c r="E181" s="11"/>
      <c r="F181" s="11"/>
      <c r="G181" s="11"/>
      <c r="H181" s="11"/>
      <c r="I181" s="11"/>
      <c r="J181" s="11"/>
      <c r="K181" s="11"/>
    </row>
    <row r="182" ht="13.5" customHeight="1">
      <c r="A182" s="11"/>
      <c r="B182" s="11"/>
      <c r="C182" s="11"/>
      <c r="D182" s="11"/>
      <c r="E182" s="11"/>
      <c r="F182" s="11"/>
      <c r="G182" s="11"/>
      <c r="H182" s="11"/>
      <c r="I182" s="11"/>
      <c r="J182" s="11"/>
      <c r="K182" s="11"/>
    </row>
    <row r="183" ht="13.5" customHeight="1">
      <c r="A183" s="11"/>
      <c r="B183" s="11"/>
      <c r="C183" s="11"/>
      <c r="D183" s="11"/>
      <c r="E183" s="11"/>
      <c r="F183" s="11"/>
      <c r="G183" s="11"/>
      <c r="H183" s="11"/>
      <c r="I183" s="11"/>
      <c r="J183" s="11"/>
      <c r="K183" s="11"/>
    </row>
    <row r="184" ht="13.5" customHeight="1">
      <c r="A184" s="11"/>
      <c r="B184" s="11"/>
      <c r="C184" s="11"/>
      <c r="D184" s="11"/>
      <c r="E184" s="11"/>
      <c r="F184" s="11"/>
      <c r="G184" s="11"/>
      <c r="H184" s="11"/>
      <c r="I184" s="11"/>
      <c r="J184" s="11"/>
      <c r="K184" s="11"/>
    </row>
    <row r="185" ht="13.5" customHeight="1">
      <c r="A185" s="11"/>
      <c r="B185" s="11"/>
      <c r="C185" s="11"/>
      <c r="D185" s="11"/>
      <c r="E185" s="11"/>
      <c r="F185" s="11"/>
      <c r="G185" s="11"/>
      <c r="H185" s="11"/>
      <c r="I185" s="11"/>
      <c r="J185" s="11"/>
      <c r="K185" s="11"/>
    </row>
    <row r="186" ht="15.0" customHeight="1">
      <c r="A186" s="11"/>
      <c r="B186" s="11"/>
      <c r="C186" s="11"/>
      <c r="D186" s="11"/>
      <c r="E186" s="11"/>
      <c r="F186" s="11"/>
      <c r="G186" s="11"/>
      <c r="H186" s="11"/>
      <c r="I186" s="11"/>
      <c r="J186" s="11"/>
      <c r="K186" s="11"/>
    </row>
    <row r="187" ht="13.5" customHeight="1">
      <c r="A187" s="11"/>
      <c r="B187" s="11"/>
      <c r="C187" s="11"/>
      <c r="D187" s="11"/>
      <c r="E187" s="11"/>
      <c r="F187" s="11"/>
      <c r="G187" s="11"/>
      <c r="H187" s="11"/>
      <c r="I187" s="11"/>
      <c r="J187" s="11"/>
      <c r="K187" s="11"/>
    </row>
    <row r="188" ht="13.5" customHeight="1">
      <c r="A188" s="11"/>
      <c r="B188" s="11"/>
      <c r="C188" s="11"/>
      <c r="D188" s="11"/>
      <c r="E188" s="11"/>
      <c r="F188" s="11"/>
      <c r="G188" s="11"/>
      <c r="H188" s="11"/>
      <c r="I188" s="11"/>
      <c r="J188" s="11"/>
      <c r="K188" s="11"/>
    </row>
    <row r="189" ht="13.5" customHeight="1">
      <c r="A189" s="11"/>
      <c r="B189" s="11"/>
      <c r="C189" s="11"/>
      <c r="D189" s="11"/>
      <c r="E189" s="11"/>
      <c r="F189" s="11"/>
      <c r="G189" s="11"/>
      <c r="H189" s="11"/>
      <c r="I189" s="11"/>
      <c r="J189" s="11"/>
      <c r="K189" s="11"/>
    </row>
    <row r="190" ht="13.5" customHeight="1">
      <c r="A190" s="11"/>
      <c r="B190" s="11"/>
      <c r="C190" s="11"/>
      <c r="D190" s="11"/>
      <c r="E190" s="11"/>
      <c r="F190" s="11"/>
      <c r="G190" s="11"/>
      <c r="H190" s="11"/>
      <c r="I190" s="11"/>
      <c r="J190" s="11"/>
      <c r="K190" s="11"/>
    </row>
    <row r="191" ht="13.5" customHeight="1">
      <c r="A191" s="11"/>
      <c r="B191" s="11"/>
      <c r="C191" s="11"/>
      <c r="D191" s="11"/>
      <c r="E191" s="11"/>
      <c r="F191" s="11"/>
      <c r="G191" s="11"/>
      <c r="H191" s="11"/>
      <c r="I191" s="11"/>
      <c r="J191" s="11"/>
      <c r="K191" s="11"/>
    </row>
    <row r="192" ht="13.5" customHeight="1">
      <c r="A192" s="11"/>
      <c r="B192" s="11"/>
      <c r="C192" s="11"/>
      <c r="D192" s="11"/>
      <c r="E192" s="11"/>
      <c r="F192" s="11"/>
      <c r="G192" s="11"/>
      <c r="H192" s="11"/>
      <c r="I192" s="11"/>
      <c r="J192" s="11"/>
      <c r="K192" s="11"/>
    </row>
    <row r="193" ht="13.5" customHeight="1">
      <c r="A193" s="11"/>
      <c r="B193" s="11"/>
      <c r="C193" s="11"/>
      <c r="D193" s="11"/>
      <c r="E193" s="11"/>
      <c r="F193" s="11"/>
      <c r="G193" s="11"/>
      <c r="H193" s="11"/>
      <c r="I193" s="11"/>
      <c r="J193" s="11"/>
      <c r="K193" s="11"/>
    </row>
    <row r="194" ht="13.5" customHeight="1">
      <c r="A194" s="11"/>
      <c r="B194" s="11"/>
      <c r="C194" s="11"/>
      <c r="D194" s="11"/>
      <c r="E194" s="11"/>
      <c r="F194" s="11"/>
      <c r="G194" s="11"/>
      <c r="H194" s="11"/>
      <c r="I194" s="11"/>
      <c r="J194" s="11"/>
      <c r="K194" s="11"/>
    </row>
    <row r="195" ht="13.5" customHeight="1">
      <c r="A195" s="11"/>
      <c r="B195" s="11"/>
      <c r="C195" s="11"/>
      <c r="D195" s="11"/>
      <c r="E195" s="11"/>
      <c r="F195" s="11"/>
      <c r="G195" s="11"/>
      <c r="H195" s="11"/>
      <c r="I195" s="11"/>
      <c r="J195" s="11"/>
      <c r="K195" s="11"/>
    </row>
    <row r="196" ht="13.5" customHeight="1">
      <c r="A196" s="11"/>
      <c r="B196" s="11"/>
      <c r="C196" s="11"/>
      <c r="D196" s="11"/>
      <c r="E196" s="11"/>
      <c r="F196" s="11"/>
      <c r="G196" s="11"/>
      <c r="H196" s="11"/>
      <c r="I196" s="11"/>
      <c r="J196" s="11"/>
      <c r="K196" s="11"/>
    </row>
    <row r="197" ht="13.5" customHeight="1">
      <c r="A197" s="11"/>
      <c r="B197" s="11"/>
      <c r="C197" s="11"/>
      <c r="D197" s="11"/>
      <c r="E197" s="11"/>
      <c r="F197" s="11"/>
      <c r="G197" s="11"/>
      <c r="H197" s="11"/>
      <c r="I197" s="11"/>
      <c r="J197" s="11"/>
      <c r="K197" s="11"/>
    </row>
    <row r="198" ht="13.5" customHeight="1">
      <c r="A198" s="11"/>
      <c r="B198" s="11"/>
      <c r="C198" s="11"/>
      <c r="D198" s="11"/>
      <c r="E198" s="11"/>
      <c r="F198" s="11"/>
      <c r="G198" s="11"/>
      <c r="H198" s="11"/>
      <c r="I198" s="11"/>
      <c r="J198" s="11"/>
      <c r="K198" s="11"/>
    </row>
    <row r="199" ht="13.5" customHeight="1">
      <c r="A199" s="11"/>
      <c r="B199" s="11"/>
      <c r="C199" s="11"/>
      <c r="D199" s="11"/>
      <c r="E199" s="11"/>
      <c r="F199" s="11"/>
      <c r="G199" s="11"/>
      <c r="H199" s="11"/>
      <c r="I199" s="11"/>
      <c r="J199" s="11"/>
      <c r="K199" s="11"/>
    </row>
    <row r="200" ht="13.5" customHeight="1">
      <c r="A200" s="11"/>
      <c r="B200" s="11"/>
      <c r="C200" s="11"/>
      <c r="D200" s="11"/>
      <c r="E200" s="11"/>
      <c r="F200" s="11"/>
      <c r="G200" s="11"/>
      <c r="H200" s="11"/>
      <c r="I200" s="11"/>
      <c r="J200" s="11"/>
      <c r="K200" s="11"/>
    </row>
    <row r="201" ht="13.5" customHeight="1">
      <c r="A201" s="11"/>
      <c r="B201" s="11"/>
      <c r="C201" s="11"/>
      <c r="D201" s="11"/>
      <c r="E201" s="11"/>
      <c r="F201" s="11"/>
      <c r="G201" s="11"/>
      <c r="H201" s="11"/>
      <c r="I201" s="11"/>
      <c r="J201" s="11"/>
      <c r="K201" s="11"/>
    </row>
    <row r="202" ht="13.5" customHeight="1">
      <c r="A202" s="11"/>
      <c r="B202" s="11"/>
      <c r="C202" s="11"/>
      <c r="D202" s="11"/>
      <c r="E202" s="11"/>
      <c r="F202" s="11"/>
      <c r="G202" s="11"/>
      <c r="H202" s="11"/>
      <c r="I202" s="11"/>
      <c r="J202" s="11"/>
      <c r="K202" s="11"/>
    </row>
    <row r="203" ht="13.5" customHeight="1">
      <c r="A203" s="11"/>
      <c r="B203" s="11"/>
      <c r="C203" s="11"/>
      <c r="D203" s="11"/>
      <c r="E203" s="11"/>
      <c r="F203" s="11"/>
      <c r="G203" s="11"/>
      <c r="H203" s="11"/>
      <c r="I203" s="11"/>
      <c r="J203" s="11"/>
      <c r="K203" s="11"/>
    </row>
    <row r="204" ht="13.5" customHeight="1">
      <c r="A204" s="11"/>
      <c r="B204" s="11"/>
      <c r="C204" s="11"/>
      <c r="D204" s="11"/>
      <c r="E204" s="11"/>
      <c r="F204" s="11"/>
      <c r="G204" s="11"/>
      <c r="H204" s="11"/>
      <c r="I204" s="11"/>
      <c r="J204" s="11"/>
      <c r="K204" s="11"/>
    </row>
    <row r="205" ht="13.5" customHeight="1">
      <c r="A205" s="11"/>
      <c r="B205" s="11"/>
      <c r="C205" s="11"/>
      <c r="D205" s="11"/>
      <c r="E205" s="11"/>
      <c r="F205" s="11"/>
      <c r="G205" s="11"/>
      <c r="H205" s="11"/>
      <c r="I205" s="11"/>
      <c r="J205" s="11"/>
      <c r="K205" s="11"/>
    </row>
    <row r="206" ht="13.5" customHeight="1">
      <c r="A206" s="11"/>
      <c r="B206" s="11"/>
      <c r="C206" s="11"/>
      <c r="D206" s="11"/>
      <c r="E206" s="11"/>
      <c r="F206" s="11"/>
      <c r="G206" s="11"/>
      <c r="H206" s="11"/>
      <c r="I206" s="11"/>
      <c r="J206" s="11"/>
      <c r="K206" s="11"/>
    </row>
    <row r="207" ht="13.5" customHeight="1">
      <c r="A207" s="11"/>
      <c r="B207" s="11"/>
      <c r="C207" s="11"/>
      <c r="D207" s="11"/>
      <c r="E207" s="11"/>
      <c r="F207" s="11"/>
      <c r="G207" s="11"/>
      <c r="H207" s="11"/>
      <c r="I207" s="11"/>
      <c r="J207" s="11"/>
      <c r="K207" s="11"/>
    </row>
    <row r="208" ht="13.5" customHeight="1">
      <c r="A208" s="11"/>
      <c r="B208" s="11"/>
      <c r="C208" s="11"/>
      <c r="D208" s="11"/>
      <c r="E208" s="11"/>
      <c r="F208" s="11"/>
      <c r="G208" s="11"/>
      <c r="H208" s="11"/>
      <c r="I208" s="11"/>
      <c r="J208" s="11"/>
      <c r="K208" s="11"/>
    </row>
    <row r="209" ht="13.5" customHeight="1">
      <c r="A209" s="11"/>
      <c r="B209" s="11"/>
      <c r="C209" s="11"/>
      <c r="D209" s="11"/>
      <c r="E209" s="11"/>
      <c r="F209" s="11"/>
      <c r="G209" s="11"/>
      <c r="H209" s="11"/>
      <c r="I209" s="11"/>
      <c r="J209" s="11"/>
      <c r="K209" s="11"/>
    </row>
    <row r="210" ht="13.5" customHeight="1">
      <c r="A210" s="11"/>
      <c r="B210" s="11"/>
      <c r="C210" s="11"/>
      <c r="D210" s="11"/>
      <c r="E210" s="11"/>
      <c r="F210" s="11"/>
      <c r="G210" s="11"/>
      <c r="H210" s="11"/>
      <c r="I210" s="11"/>
      <c r="J210" s="11"/>
      <c r="K210" s="11"/>
    </row>
    <row r="211" ht="13.5" customHeight="1">
      <c r="A211" s="11"/>
      <c r="B211" s="11"/>
      <c r="C211" s="11"/>
      <c r="D211" s="11"/>
      <c r="E211" s="11"/>
      <c r="F211" s="11"/>
      <c r="G211" s="11"/>
      <c r="H211" s="11"/>
      <c r="I211" s="11"/>
      <c r="J211" s="11"/>
      <c r="K211" s="11"/>
    </row>
    <row r="212" ht="13.5" customHeight="1">
      <c r="A212" s="11"/>
      <c r="B212" s="11"/>
      <c r="C212" s="11"/>
      <c r="D212" s="11"/>
      <c r="E212" s="11"/>
      <c r="F212" s="11"/>
      <c r="G212" s="11"/>
      <c r="H212" s="11"/>
      <c r="I212" s="11"/>
      <c r="J212" s="11"/>
      <c r="K212" s="11"/>
    </row>
    <row r="213" ht="13.5" customHeight="1">
      <c r="A213" s="11"/>
      <c r="B213" s="11"/>
      <c r="C213" s="11"/>
      <c r="D213" s="11"/>
      <c r="E213" s="11"/>
      <c r="F213" s="11"/>
      <c r="G213" s="11"/>
      <c r="H213" s="11"/>
      <c r="I213" s="11"/>
      <c r="J213" s="11"/>
      <c r="K213" s="11"/>
    </row>
    <row r="214" ht="13.5" customHeight="1">
      <c r="A214" s="11"/>
      <c r="B214" s="11"/>
      <c r="C214" s="11"/>
      <c r="D214" s="11"/>
      <c r="E214" s="11"/>
      <c r="F214" s="11"/>
      <c r="G214" s="11"/>
      <c r="H214" s="11"/>
      <c r="I214" s="11"/>
      <c r="J214" s="11"/>
      <c r="K214" s="11"/>
    </row>
    <row r="215" ht="13.5" customHeight="1">
      <c r="A215" s="11"/>
      <c r="B215" s="11"/>
      <c r="C215" s="11"/>
      <c r="D215" s="11"/>
      <c r="E215" s="11"/>
      <c r="F215" s="11"/>
      <c r="G215" s="11"/>
      <c r="H215" s="11"/>
      <c r="I215" s="11"/>
      <c r="J215" s="11"/>
      <c r="K215" s="11"/>
    </row>
    <row r="216" ht="13.5" customHeight="1">
      <c r="A216" s="11"/>
      <c r="B216" s="11"/>
      <c r="C216" s="11"/>
      <c r="D216" s="11"/>
      <c r="E216" s="11"/>
      <c r="F216" s="11"/>
      <c r="G216" s="11"/>
      <c r="H216" s="11"/>
      <c r="I216" s="11"/>
      <c r="J216" s="11"/>
      <c r="K216" s="11"/>
    </row>
    <row r="217" ht="13.5" customHeight="1">
      <c r="A217" s="11"/>
      <c r="B217" s="11"/>
      <c r="C217" s="11"/>
      <c r="D217" s="11"/>
      <c r="E217" s="11"/>
      <c r="F217" s="11"/>
      <c r="G217" s="11"/>
      <c r="H217" s="11"/>
      <c r="I217" s="11"/>
      <c r="J217" s="11"/>
      <c r="K217" s="11"/>
    </row>
    <row r="218" ht="13.5" customHeight="1">
      <c r="A218" s="11"/>
      <c r="B218" s="11"/>
      <c r="C218" s="11"/>
      <c r="D218" s="11"/>
      <c r="E218" s="11"/>
      <c r="F218" s="11"/>
      <c r="G218" s="11"/>
      <c r="H218" s="11"/>
      <c r="I218" s="11"/>
      <c r="J218" s="11"/>
      <c r="K218" s="11"/>
    </row>
    <row r="219" ht="13.5" customHeight="1">
      <c r="A219" s="11"/>
      <c r="B219" s="11"/>
      <c r="C219" s="11"/>
      <c r="D219" s="11"/>
      <c r="E219" s="11"/>
      <c r="F219" s="11"/>
      <c r="G219" s="11"/>
      <c r="H219" s="11"/>
      <c r="I219" s="11"/>
      <c r="J219" s="11"/>
      <c r="K219" s="11"/>
    </row>
    <row r="220" ht="13.5" customHeight="1">
      <c r="A220" s="11"/>
      <c r="B220" s="11"/>
      <c r="C220" s="11"/>
      <c r="D220" s="11"/>
      <c r="E220" s="11"/>
      <c r="F220" s="11"/>
      <c r="G220" s="11"/>
      <c r="H220" s="11"/>
      <c r="I220" s="11"/>
      <c r="J220" s="11"/>
      <c r="K220" s="11"/>
    </row>
    <row r="221" ht="13.5" customHeight="1">
      <c r="A221" s="11"/>
      <c r="B221" s="11"/>
      <c r="C221" s="11"/>
      <c r="D221" s="11"/>
      <c r="E221" s="11"/>
      <c r="F221" s="11"/>
      <c r="G221" s="11"/>
      <c r="H221" s="11"/>
      <c r="I221" s="11"/>
      <c r="J221" s="11"/>
      <c r="K221" s="11"/>
    </row>
    <row r="222" ht="13.5" customHeight="1">
      <c r="A222" s="11"/>
      <c r="B222" s="11"/>
      <c r="C222" s="11"/>
      <c r="D222" s="11"/>
      <c r="E222" s="11"/>
      <c r="F222" s="11"/>
      <c r="G222" s="11"/>
      <c r="H222" s="11"/>
      <c r="I222" s="11"/>
      <c r="J222" s="11"/>
      <c r="K222" s="11"/>
    </row>
    <row r="223" ht="13.5" customHeight="1">
      <c r="A223" s="11"/>
      <c r="B223" s="11"/>
      <c r="C223" s="11"/>
      <c r="D223" s="11"/>
      <c r="E223" s="11"/>
      <c r="F223" s="11"/>
      <c r="G223" s="11"/>
      <c r="H223" s="11"/>
      <c r="I223" s="11"/>
      <c r="J223" s="11"/>
      <c r="K223" s="11"/>
    </row>
    <row r="224" ht="13.5" customHeight="1">
      <c r="A224" s="11"/>
      <c r="B224" s="11"/>
      <c r="C224" s="11"/>
      <c r="D224" s="11"/>
      <c r="E224" s="11"/>
      <c r="F224" s="11"/>
      <c r="G224" s="11"/>
      <c r="H224" s="11"/>
      <c r="I224" s="11"/>
      <c r="J224" s="11"/>
      <c r="K224" s="11"/>
    </row>
    <row r="225" ht="13.5" customHeight="1">
      <c r="A225" s="11"/>
      <c r="B225" s="11"/>
      <c r="C225" s="11"/>
      <c r="D225" s="11"/>
      <c r="E225" s="11"/>
      <c r="F225" s="11"/>
      <c r="G225" s="11"/>
      <c r="H225" s="11"/>
      <c r="I225" s="11"/>
      <c r="J225" s="11"/>
      <c r="K225" s="11"/>
    </row>
    <row r="226" ht="13.5" customHeight="1">
      <c r="A226" s="11"/>
      <c r="B226" s="11"/>
      <c r="C226" s="11"/>
      <c r="D226" s="11"/>
      <c r="E226" s="11"/>
      <c r="F226" s="11"/>
      <c r="G226" s="11"/>
      <c r="H226" s="11"/>
      <c r="I226" s="11"/>
      <c r="J226" s="11"/>
      <c r="K226" s="11"/>
    </row>
    <row r="227" ht="13.5" customHeight="1">
      <c r="A227" s="11"/>
      <c r="B227" s="11"/>
      <c r="C227" s="11"/>
      <c r="D227" s="11"/>
      <c r="E227" s="11"/>
      <c r="F227" s="11"/>
      <c r="G227" s="11"/>
      <c r="H227" s="11"/>
      <c r="I227" s="11"/>
      <c r="J227" s="11"/>
      <c r="K227" s="11"/>
    </row>
    <row r="228" ht="13.5" customHeight="1">
      <c r="A228" s="11"/>
      <c r="B228" s="11"/>
      <c r="C228" s="11"/>
      <c r="D228" s="11"/>
      <c r="E228" s="11"/>
      <c r="F228" s="11"/>
      <c r="G228" s="11"/>
      <c r="H228" s="11"/>
      <c r="I228" s="11"/>
      <c r="J228" s="11"/>
      <c r="K228" s="11"/>
    </row>
    <row r="229" ht="13.5" customHeight="1">
      <c r="A229" s="11"/>
      <c r="B229" s="11"/>
      <c r="C229" s="11"/>
      <c r="D229" s="11"/>
      <c r="E229" s="11"/>
      <c r="F229" s="11"/>
      <c r="G229" s="11"/>
      <c r="H229" s="11"/>
      <c r="I229" s="11"/>
      <c r="J229" s="11"/>
      <c r="K229" s="11"/>
    </row>
    <row r="230" ht="13.5" customHeight="1">
      <c r="A230" s="11"/>
      <c r="B230" s="11"/>
      <c r="C230" s="11"/>
      <c r="D230" s="11"/>
      <c r="E230" s="11"/>
      <c r="F230" s="11"/>
      <c r="G230" s="11"/>
      <c r="H230" s="11"/>
      <c r="I230" s="11"/>
      <c r="J230" s="11"/>
      <c r="K230" s="11"/>
    </row>
    <row r="231" ht="13.5" customHeight="1">
      <c r="A231" s="11"/>
      <c r="B231" s="11"/>
      <c r="C231" s="11"/>
      <c r="D231" s="11"/>
      <c r="E231" s="11"/>
      <c r="F231" s="11"/>
      <c r="G231" s="11"/>
      <c r="H231" s="11"/>
      <c r="I231" s="11"/>
      <c r="J231" s="11"/>
      <c r="K231" s="11"/>
    </row>
    <row r="232" ht="13.5" customHeight="1">
      <c r="A232" s="11"/>
      <c r="B232" s="11"/>
      <c r="C232" s="11"/>
      <c r="D232" s="11"/>
      <c r="E232" s="11"/>
      <c r="F232" s="11"/>
      <c r="G232" s="11"/>
      <c r="H232" s="11"/>
      <c r="I232" s="11"/>
      <c r="J232" s="11"/>
      <c r="K232" s="11"/>
    </row>
    <row r="233" ht="13.5" customHeight="1">
      <c r="A233" s="11"/>
      <c r="B233" s="11"/>
      <c r="C233" s="11"/>
      <c r="D233" s="11"/>
      <c r="E233" s="11"/>
      <c r="F233" s="11"/>
      <c r="G233" s="11"/>
      <c r="H233" s="11"/>
      <c r="I233" s="11"/>
      <c r="J233" s="11"/>
      <c r="K233" s="11"/>
    </row>
    <row r="234" ht="13.5" customHeight="1">
      <c r="A234" s="11"/>
      <c r="B234" s="11"/>
      <c r="C234" s="11"/>
      <c r="D234" s="11"/>
      <c r="E234" s="11"/>
      <c r="F234" s="11"/>
      <c r="G234" s="11"/>
      <c r="H234" s="11"/>
      <c r="I234" s="11"/>
      <c r="J234" s="11"/>
      <c r="K234" s="11"/>
    </row>
    <row r="235" ht="13.5" customHeight="1">
      <c r="A235" s="11"/>
      <c r="B235" s="11"/>
      <c r="C235" s="11"/>
      <c r="D235" s="11"/>
      <c r="E235" s="11"/>
      <c r="F235" s="11"/>
      <c r="G235" s="11"/>
      <c r="H235" s="11"/>
      <c r="I235" s="11"/>
      <c r="J235" s="11"/>
      <c r="K235" s="11"/>
    </row>
    <row r="236" ht="13.5" customHeight="1">
      <c r="A236" s="11"/>
      <c r="B236" s="11"/>
      <c r="C236" s="11"/>
      <c r="D236" s="11"/>
      <c r="E236" s="11"/>
      <c r="F236" s="11"/>
      <c r="G236" s="11"/>
      <c r="H236" s="11"/>
      <c r="I236" s="11"/>
      <c r="J236" s="11"/>
      <c r="K236" s="11"/>
    </row>
    <row r="237" ht="13.5" customHeight="1">
      <c r="A237" s="11"/>
      <c r="B237" s="11"/>
      <c r="C237" s="11"/>
      <c r="D237" s="11"/>
      <c r="E237" s="11"/>
      <c r="F237" s="11"/>
      <c r="G237" s="11"/>
      <c r="H237" s="11"/>
      <c r="I237" s="11"/>
      <c r="J237" s="11"/>
      <c r="K237" s="11"/>
    </row>
    <row r="238" ht="13.5" customHeight="1">
      <c r="A238" s="11"/>
      <c r="B238" s="11"/>
      <c r="C238" s="11"/>
      <c r="D238" s="11"/>
      <c r="E238" s="11"/>
      <c r="F238" s="11"/>
      <c r="G238" s="11"/>
      <c r="H238" s="11"/>
      <c r="I238" s="11"/>
      <c r="J238" s="11"/>
      <c r="K238" s="11"/>
    </row>
    <row r="239" ht="13.5" customHeight="1">
      <c r="A239" s="11"/>
      <c r="B239" s="11"/>
      <c r="C239" s="11"/>
      <c r="D239" s="11"/>
      <c r="E239" s="11"/>
      <c r="F239" s="11"/>
      <c r="G239" s="11"/>
      <c r="H239" s="11"/>
      <c r="I239" s="11"/>
      <c r="J239" s="11"/>
      <c r="K239" s="11"/>
    </row>
    <row r="240" ht="13.5" customHeight="1">
      <c r="A240" s="11"/>
      <c r="B240" s="11"/>
      <c r="C240" s="11"/>
      <c r="D240" s="11"/>
      <c r="E240" s="11"/>
      <c r="F240" s="11"/>
      <c r="G240" s="11"/>
      <c r="H240" s="11"/>
      <c r="I240" s="11"/>
      <c r="J240" s="11"/>
      <c r="K240" s="11"/>
    </row>
    <row r="241" ht="15.0" customHeight="1">
      <c r="A241" s="11"/>
      <c r="B241" s="11"/>
      <c r="C241" s="11"/>
      <c r="D241" s="11"/>
      <c r="E241" s="11"/>
      <c r="F241" s="11"/>
      <c r="G241" s="11"/>
      <c r="H241" s="11"/>
      <c r="I241" s="11"/>
      <c r="J241" s="11"/>
      <c r="K241" s="11"/>
    </row>
    <row r="242" ht="13.5" customHeight="1">
      <c r="A242" s="11"/>
      <c r="B242" s="11"/>
      <c r="C242" s="11"/>
      <c r="D242" s="11"/>
      <c r="E242" s="11"/>
      <c r="F242" s="11"/>
      <c r="G242" s="11"/>
      <c r="H242" s="11"/>
      <c r="I242" s="11"/>
      <c r="J242" s="11"/>
      <c r="K242" s="11"/>
    </row>
    <row r="243" ht="13.5" customHeight="1">
      <c r="A243" s="11"/>
      <c r="B243" s="11"/>
      <c r="C243" s="11"/>
      <c r="D243" s="11"/>
      <c r="E243" s="11"/>
      <c r="F243" s="11"/>
      <c r="G243" s="11"/>
      <c r="H243" s="11"/>
      <c r="I243" s="11"/>
      <c r="J243" s="11"/>
      <c r="K243" s="11"/>
    </row>
    <row r="244" ht="13.5" customHeight="1">
      <c r="A244" s="11"/>
      <c r="B244" s="11"/>
      <c r="C244" s="11"/>
      <c r="D244" s="11"/>
      <c r="E244" s="11"/>
      <c r="F244" s="11"/>
      <c r="G244" s="11"/>
      <c r="H244" s="11"/>
      <c r="I244" s="11"/>
      <c r="J244" s="11"/>
      <c r="K244" s="11"/>
    </row>
    <row r="245" ht="13.5" customHeight="1">
      <c r="A245" s="11"/>
      <c r="B245" s="11"/>
      <c r="C245" s="11"/>
      <c r="D245" s="11"/>
      <c r="E245" s="11"/>
      <c r="F245" s="11"/>
      <c r="G245" s="11"/>
      <c r="H245" s="11"/>
      <c r="I245" s="11"/>
      <c r="J245" s="11"/>
      <c r="K245" s="11"/>
    </row>
    <row r="246" ht="13.5" customHeight="1">
      <c r="A246" s="11"/>
      <c r="B246" s="11"/>
      <c r="C246" s="11"/>
      <c r="D246" s="11"/>
      <c r="E246" s="11"/>
      <c r="F246" s="11"/>
      <c r="G246" s="11"/>
      <c r="H246" s="11"/>
      <c r="I246" s="11"/>
      <c r="J246" s="11"/>
      <c r="K246" s="11"/>
    </row>
    <row r="247" ht="13.5" customHeight="1">
      <c r="A247" s="11"/>
      <c r="B247" s="11"/>
      <c r="C247" s="11"/>
      <c r="D247" s="11"/>
      <c r="E247" s="11"/>
      <c r="F247" s="11"/>
      <c r="G247" s="11"/>
      <c r="H247" s="11"/>
      <c r="I247" s="11"/>
      <c r="J247" s="11"/>
      <c r="K247" s="11"/>
    </row>
    <row r="248" ht="13.5" customHeight="1">
      <c r="A248" s="11"/>
      <c r="B248" s="11"/>
      <c r="C248" s="11"/>
      <c r="D248" s="11"/>
      <c r="E248" s="11"/>
      <c r="F248" s="11"/>
      <c r="G248" s="11"/>
      <c r="H248" s="11"/>
      <c r="I248" s="11"/>
      <c r="J248" s="11"/>
      <c r="K248" s="11"/>
    </row>
    <row r="249" ht="15.0" customHeight="1">
      <c r="A249" s="11"/>
      <c r="B249" s="11"/>
      <c r="C249" s="11"/>
      <c r="D249" s="11"/>
      <c r="E249" s="11"/>
      <c r="F249" s="11"/>
      <c r="G249" s="11"/>
      <c r="H249" s="11"/>
      <c r="I249" s="11"/>
      <c r="J249" s="11"/>
      <c r="K249" s="11"/>
    </row>
    <row r="250" ht="13.5" customHeight="1">
      <c r="A250" s="11"/>
      <c r="B250" s="11"/>
      <c r="C250" s="11"/>
      <c r="D250" s="11"/>
      <c r="E250" s="11"/>
      <c r="F250" s="11"/>
      <c r="G250" s="11"/>
      <c r="H250" s="11"/>
      <c r="I250" s="11"/>
      <c r="J250" s="11"/>
      <c r="K250" s="11"/>
    </row>
    <row r="251" ht="13.5" customHeight="1">
      <c r="A251" s="11"/>
      <c r="B251" s="11"/>
      <c r="C251" s="11"/>
      <c r="D251" s="11"/>
      <c r="E251" s="11"/>
      <c r="F251" s="11"/>
      <c r="G251" s="11"/>
      <c r="H251" s="11"/>
      <c r="I251" s="11"/>
      <c r="J251" s="11"/>
      <c r="K251" s="11"/>
    </row>
    <row r="252" ht="13.5" customHeight="1">
      <c r="A252" s="11"/>
      <c r="B252" s="11"/>
      <c r="C252" s="11"/>
      <c r="D252" s="11"/>
      <c r="E252" s="11"/>
      <c r="F252" s="11"/>
      <c r="G252" s="11"/>
      <c r="H252" s="11"/>
      <c r="I252" s="11"/>
      <c r="J252" s="11"/>
      <c r="K252" s="11"/>
    </row>
    <row r="253" ht="13.5" customHeight="1">
      <c r="A253" s="11"/>
      <c r="B253" s="11"/>
      <c r="C253" s="11"/>
      <c r="D253" s="11"/>
      <c r="E253" s="11"/>
      <c r="F253" s="11"/>
      <c r="G253" s="11"/>
      <c r="H253" s="11"/>
      <c r="I253" s="11"/>
      <c r="J253" s="11"/>
      <c r="K253" s="11"/>
    </row>
    <row r="254" ht="19.5" customHeight="1">
      <c r="A254" s="11"/>
      <c r="B254" s="11"/>
      <c r="C254" s="11"/>
      <c r="D254" s="11"/>
      <c r="E254" s="11"/>
      <c r="F254" s="11"/>
      <c r="G254" s="11"/>
      <c r="H254" s="11"/>
      <c r="I254" s="11"/>
      <c r="J254" s="11"/>
      <c r="K254" s="11"/>
    </row>
    <row r="255" ht="13.5" customHeight="1">
      <c r="A255" s="11"/>
      <c r="B255" s="11"/>
      <c r="C255" s="11"/>
      <c r="D255" s="11"/>
      <c r="E255" s="11"/>
      <c r="F255" s="11"/>
      <c r="G255" s="11"/>
      <c r="H255" s="11"/>
      <c r="I255" s="11"/>
      <c r="J255" s="11"/>
      <c r="K255" s="11"/>
    </row>
    <row r="256" ht="13.5" customHeight="1">
      <c r="A256" s="11"/>
      <c r="B256" s="11"/>
      <c r="C256" s="11"/>
      <c r="D256" s="11"/>
      <c r="E256" s="11"/>
      <c r="F256" s="11"/>
      <c r="G256" s="11"/>
      <c r="H256" s="11"/>
      <c r="I256" s="11"/>
      <c r="J256" s="11"/>
      <c r="K256" s="11"/>
    </row>
    <row r="257" ht="13.5" customHeight="1">
      <c r="A257" s="11"/>
      <c r="B257" s="11"/>
      <c r="C257" s="11"/>
      <c r="D257" s="11"/>
      <c r="E257" s="11"/>
      <c r="F257" s="11"/>
      <c r="G257" s="11"/>
      <c r="H257" s="11"/>
      <c r="I257" s="11"/>
      <c r="J257" s="11"/>
      <c r="K257" s="11"/>
    </row>
    <row r="258" ht="13.5" customHeight="1">
      <c r="A258" s="11"/>
      <c r="B258" s="11"/>
      <c r="C258" s="11"/>
      <c r="D258" s="11"/>
      <c r="E258" s="11"/>
      <c r="F258" s="11"/>
      <c r="G258" s="11"/>
      <c r="H258" s="11"/>
      <c r="I258" s="11"/>
      <c r="J258" s="11"/>
      <c r="K258" s="11"/>
    </row>
    <row r="259" ht="13.5" customHeight="1">
      <c r="A259" s="11"/>
      <c r="B259" s="11"/>
      <c r="C259" s="11"/>
      <c r="D259" s="11"/>
      <c r="E259" s="11"/>
      <c r="F259" s="11"/>
      <c r="G259" s="11"/>
      <c r="H259" s="11"/>
      <c r="I259" s="11"/>
      <c r="J259" s="11"/>
      <c r="K259" s="11"/>
    </row>
    <row r="260" ht="13.5" customHeight="1">
      <c r="A260" s="11"/>
      <c r="B260" s="11"/>
      <c r="C260" s="11"/>
      <c r="D260" s="11"/>
      <c r="E260" s="11"/>
      <c r="F260" s="11"/>
      <c r="G260" s="11"/>
      <c r="H260" s="11"/>
      <c r="I260" s="11"/>
      <c r="J260" s="11"/>
      <c r="K260" s="11"/>
    </row>
    <row r="261" ht="13.5" customHeight="1">
      <c r="A261" s="11"/>
      <c r="B261" s="11"/>
      <c r="C261" s="11"/>
      <c r="D261" s="11"/>
      <c r="E261" s="11"/>
      <c r="F261" s="11"/>
      <c r="G261" s="11"/>
      <c r="H261" s="11"/>
      <c r="I261" s="11"/>
      <c r="J261" s="11"/>
      <c r="K261" s="11"/>
    </row>
    <row r="262" ht="13.5" customHeight="1">
      <c r="A262" s="11"/>
      <c r="B262" s="11"/>
      <c r="C262" s="11"/>
      <c r="D262" s="11"/>
      <c r="E262" s="11"/>
      <c r="F262" s="11"/>
      <c r="G262" s="11"/>
      <c r="H262" s="11"/>
      <c r="I262" s="11"/>
      <c r="J262" s="11"/>
      <c r="K262" s="11"/>
    </row>
    <row r="263" ht="15.0" customHeight="1">
      <c r="A263" s="11"/>
      <c r="B263" s="11"/>
      <c r="C263" s="11"/>
      <c r="D263" s="11"/>
      <c r="E263" s="11"/>
      <c r="F263" s="11"/>
      <c r="G263" s="11"/>
      <c r="H263" s="11"/>
      <c r="I263" s="11"/>
      <c r="J263" s="11"/>
      <c r="K263" s="11"/>
    </row>
    <row r="264" ht="15.0" customHeight="1">
      <c r="A264" s="11"/>
      <c r="B264" s="11"/>
      <c r="C264" s="11"/>
      <c r="D264" s="11"/>
      <c r="E264" s="11"/>
      <c r="F264" s="11"/>
      <c r="G264" s="11"/>
      <c r="H264" s="11"/>
      <c r="I264" s="11"/>
      <c r="J264" s="11"/>
      <c r="K264" s="11"/>
    </row>
    <row r="265" ht="15.0" customHeight="1">
      <c r="A265" s="11"/>
      <c r="B265" s="11"/>
      <c r="C265" s="11"/>
      <c r="D265" s="11"/>
      <c r="E265" s="11"/>
      <c r="F265" s="11"/>
      <c r="G265" s="11"/>
      <c r="H265" s="11"/>
      <c r="I265" s="11"/>
      <c r="J265" s="11"/>
      <c r="K265" s="11"/>
    </row>
    <row r="266" ht="15.75" customHeight="1">
      <c r="A266" s="11"/>
      <c r="B266" s="11"/>
      <c r="C266" s="11"/>
      <c r="D266" s="11"/>
      <c r="E266" s="11"/>
      <c r="F266" s="11"/>
      <c r="G266" s="11"/>
      <c r="H266" s="11"/>
      <c r="I266" s="11"/>
      <c r="J266" s="11"/>
      <c r="K266" s="11"/>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63:D63"/>
    <mergeCell ref="A81:D81"/>
    <mergeCell ref="A95:D97"/>
    <mergeCell ref="A1:D1"/>
    <mergeCell ref="E7:E21"/>
    <mergeCell ref="A25:D27"/>
    <mergeCell ref="A29:D29"/>
    <mergeCell ref="E31:E38"/>
    <mergeCell ref="A43:D43"/>
    <mergeCell ref="E46:E57"/>
  </mergeCells>
  <hyperlinks>
    <hyperlink display="BACK" location="'Recipe Index'!Z38" ref="C23"/>
    <hyperlink display="BACK" location="'Recipe Index'!Z38" ref="C40"/>
    <hyperlink display="BACK" location="'Recipe Index'!Z38" ref="C60"/>
    <hyperlink display="BACK" location="'Recipe Index'!Z38" ref="C78"/>
    <hyperlink display="BACK" location="'Recipe Index'!Z38" ref="C98"/>
  </hyperlink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8.75"/>
    <col customWidth="1" hidden="1" min="2" max="2" width="13.63"/>
    <col customWidth="1" min="3" max="3" width="12.0"/>
    <col customWidth="1" min="4" max="4" width="5.38"/>
    <col customWidth="1" min="5" max="5" width="23.25"/>
    <col customWidth="1" min="6" max="6" width="6.75"/>
    <col customWidth="1" min="7" max="7" width="9.25"/>
    <col customWidth="1" min="8" max="8" width="6.38"/>
    <col customWidth="1" min="9" max="19" width="9.25"/>
    <col customWidth="1" min="20" max="26" width="14.38"/>
  </cols>
  <sheetData>
    <row r="1" ht="15.0" customHeight="1">
      <c r="A1" s="240" t="s">
        <v>257</v>
      </c>
      <c r="B1" s="5"/>
      <c r="C1" s="5"/>
      <c r="D1" s="6"/>
      <c r="E1" s="141"/>
      <c r="F1" s="1"/>
      <c r="G1" s="1"/>
      <c r="H1" s="1"/>
      <c r="I1" s="1"/>
      <c r="J1" s="1"/>
      <c r="K1" s="1"/>
      <c r="L1" s="1"/>
      <c r="M1" s="1"/>
      <c r="N1" s="1"/>
      <c r="O1" s="1"/>
      <c r="P1" s="1"/>
      <c r="Q1" s="1"/>
      <c r="R1" s="1"/>
      <c r="S1" s="1"/>
    </row>
    <row r="2" ht="14.25" customHeight="1">
      <c r="A2" s="25" t="s">
        <v>1</v>
      </c>
      <c r="B2" s="314">
        <v>100.0</v>
      </c>
      <c r="C2" s="218">
        <v>20.0</v>
      </c>
      <c r="D2" s="28" t="s">
        <v>5</v>
      </c>
      <c r="E2" s="141"/>
      <c r="F2" s="1"/>
      <c r="G2" s="1"/>
      <c r="H2" s="1"/>
      <c r="I2" s="1"/>
      <c r="J2" s="1"/>
      <c r="K2" s="1"/>
      <c r="L2" s="1"/>
      <c r="M2" s="1"/>
      <c r="N2" s="1"/>
      <c r="O2" s="1"/>
      <c r="P2" s="1"/>
      <c r="Q2" s="1"/>
      <c r="R2" s="1"/>
      <c r="S2" s="1"/>
    </row>
    <row r="3" ht="14.25" customHeight="1">
      <c r="A3" s="163" t="s">
        <v>1962</v>
      </c>
      <c r="B3" s="285">
        <v>1.0</v>
      </c>
      <c r="C3" s="221">
        <f t="shared" ref="C3:C16" si="1">(B3*C2)/B2</f>
        <v>0.2</v>
      </c>
      <c r="D3" s="169" t="s">
        <v>14</v>
      </c>
      <c r="E3" s="524" t="s">
        <v>1963</v>
      </c>
      <c r="F3" s="1"/>
      <c r="G3" s="1"/>
      <c r="H3" s="1"/>
      <c r="I3" s="1"/>
      <c r="J3" s="1"/>
      <c r="K3" s="1"/>
      <c r="L3" s="1"/>
      <c r="M3" s="1"/>
      <c r="N3" s="1"/>
      <c r="O3" s="1"/>
      <c r="P3" s="1"/>
      <c r="Q3" s="1"/>
      <c r="R3" s="1"/>
      <c r="S3" s="1"/>
    </row>
    <row r="4" ht="14.25" customHeight="1">
      <c r="A4" s="177" t="s">
        <v>59</v>
      </c>
      <c r="B4" s="198">
        <v>50.0</v>
      </c>
      <c r="C4" s="27">
        <f t="shared" si="1"/>
        <v>10</v>
      </c>
      <c r="D4" s="204" t="s">
        <v>5</v>
      </c>
      <c r="E4" s="47"/>
      <c r="F4" s="1"/>
      <c r="G4" s="1"/>
      <c r="H4" s="1"/>
      <c r="I4" s="1"/>
      <c r="J4" s="1"/>
      <c r="K4" s="1"/>
      <c r="L4" s="1"/>
      <c r="M4" s="1"/>
      <c r="N4" s="1"/>
      <c r="O4" s="1"/>
      <c r="P4" s="1"/>
      <c r="Q4" s="1"/>
      <c r="R4" s="1"/>
      <c r="S4" s="1"/>
    </row>
    <row r="5" ht="14.25" customHeight="1">
      <c r="A5" s="177" t="s">
        <v>31</v>
      </c>
      <c r="B5" s="198">
        <v>850.0</v>
      </c>
      <c r="C5" s="27">
        <f t="shared" si="1"/>
        <v>170</v>
      </c>
      <c r="D5" s="204" t="s">
        <v>18</v>
      </c>
      <c r="E5" s="47"/>
      <c r="F5" s="1"/>
      <c r="G5" s="1"/>
      <c r="H5" s="1"/>
      <c r="I5" s="1"/>
      <c r="J5" s="1"/>
      <c r="K5" s="1"/>
      <c r="L5" s="1"/>
      <c r="M5" s="1"/>
      <c r="N5" s="1"/>
      <c r="O5" s="1"/>
      <c r="P5" s="1"/>
      <c r="Q5" s="1"/>
      <c r="R5" s="1"/>
      <c r="S5" s="1"/>
    </row>
    <row r="6" ht="14.25" customHeight="1">
      <c r="A6" s="177" t="s">
        <v>79</v>
      </c>
      <c r="B6" s="198">
        <v>10.0</v>
      </c>
      <c r="C6" s="27">
        <f t="shared" si="1"/>
        <v>2</v>
      </c>
      <c r="D6" s="204" t="s">
        <v>14</v>
      </c>
      <c r="E6" s="47"/>
      <c r="F6" s="1"/>
      <c r="G6" s="1"/>
      <c r="H6" s="1"/>
      <c r="I6" s="1"/>
      <c r="J6" s="1"/>
      <c r="K6" s="1"/>
      <c r="L6" s="1"/>
      <c r="M6" s="1"/>
      <c r="N6" s="1"/>
      <c r="O6" s="1"/>
      <c r="P6" s="1"/>
      <c r="Q6" s="1"/>
      <c r="R6" s="1"/>
      <c r="S6" s="1"/>
    </row>
    <row r="7" ht="14.25" customHeight="1">
      <c r="A7" s="177" t="s">
        <v>1967</v>
      </c>
      <c r="B7" s="198">
        <v>10.0</v>
      </c>
      <c r="C7" s="27">
        <f t="shared" si="1"/>
        <v>2</v>
      </c>
      <c r="D7" s="204" t="s">
        <v>14</v>
      </c>
      <c r="E7" s="47"/>
      <c r="F7" s="1"/>
      <c r="G7" s="1"/>
      <c r="H7" s="1"/>
      <c r="I7" s="1"/>
      <c r="J7" s="1"/>
      <c r="K7" s="1"/>
      <c r="L7" s="1"/>
      <c r="M7" s="1"/>
      <c r="N7" s="1"/>
      <c r="O7" s="1"/>
      <c r="P7" s="1"/>
      <c r="Q7" s="1"/>
      <c r="R7" s="1"/>
      <c r="S7" s="1"/>
    </row>
    <row r="8" ht="14.25" customHeight="1">
      <c r="A8" s="208" t="s">
        <v>1968</v>
      </c>
      <c r="B8" s="211">
        <v>25.0</v>
      </c>
      <c r="C8" s="236">
        <f t="shared" si="1"/>
        <v>5</v>
      </c>
      <c r="D8" s="212" t="s">
        <v>14</v>
      </c>
      <c r="E8" s="47"/>
      <c r="F8" s="1"/>
      <c r="G8" s="1"/>
      <c r="H8" s="1"/>
      <c r="I8" s="1"/>
      <c r="J8" s="1"/>
      <c r="K8" s="1"/>
      <c r="L8" s="1"/>
      <c r="M8" s="1"/>
      <c r="N8" s="1"/>
      <c r="O8" s="1"/>
      <c r="P8" s="1"/>
      <c r="Q8" s="1"/>
      <c r="R8" s="1"/>
      <c r="S8" s="1"/>
    </row>
    <row r="9" ht="14.25" customHeight="1">
      <c r="A9" s="157" t="s">
        <v>216</v>
      </c>
      <c r="B9" s="390">
        <v>1.0</v>
      </c>
      <c r="C9" s="244">
        <f t="shared" si="1"/>
        <v>0.2</v>
      </c>
      <c r="D9" s="159" t="s">
        <v>14</v>
      </c>
      <c r="E9" s="47"/>
      <c r="F9" s="1"/>
      <c r="G9" s="1"/>
      <c r="H9" s="1"/>
      <c r="I9" s="1"/>
      <c r="J9" s="1"/>
      <c r="K9" s="1"/>
      <c r="L9" s="1"/>
      <c r="M9" s="1"/>
      <c r="N9" s="1"/>
      <c r="O9" s="1"/>
      <c r="P9" s="1"/>
      <c r="Q9" s="1"/>
      <c r="R9" s="1"/>
      <c r="S9" s="1"/>
    </row>
    <row r="10" ht="14.25" customHeight="1">
      <c r="A10" s="177" t="s">
        <v>13</v>
      </c>
      <c r="B10" s="198">
        <v>2.5</v>
      </c>
      <c r="C10" s="27">
        <f t="shared" si="1"/>
        <v>0.5</v>
      </c>
      <c r="D10" s="204" t="s">
        <v>14</v>
      </c>
      <c r="E10" s="47"/>
      <c r="F10" s="1"/>
      <c r="G10" s="1"/>
      <c r="H10" s="1"/>
      <c r="I10" s="1"/>
      <c r="J10" s="1"/>
      <c r="K10" s="1"/>
      <c r="L10" s="1"/>
      <c r="M10" s="1"/>
      <c r="N10" s="1"/>
      <c r="O10" s="1"/>
      <c r="P10" s="1"/>
      <c r="Q10" s="1"/>
      <c r="R10" s="1"/>
      <c r="S10" s="1"/>
    </row>
    <row r="11" ht="14.25" customHeight="1">
      <c r="A11" s="208" t="s">
        <v>252</v>
      </c>
      <c r="B11" s="211">
        <v>150.0</v>
      </c>
      <c r="C11" s="236">
        <f t="shared" si="1"/>
        <v>30</v>
      </c>
      <c r="D11" s="212" t="s">
        <v>18</v>
      </c>
      <c r="E11" s="76"/>
      <c r="F11" s="1"/>
      <c r="G11" s="1"/>
      <c r="H11" s="1"/>
      <c r="I11" s="1"/>
      <c r="J11" s="1"/>
      <c r="K11" s="1"/>
      <c r="L11" s="1"/>
      <c r="M11" s="1"/>
      <c r="N11" s="1"/>
      <c r="O11" s="1"/>
      <c r="P11" s="1"/>
      <c r="Q11" s="1"/>
      <c r="R11" s="1"/>
      <c r="S11" s="1"/>
    </row>
    <row r="12" ht="14.25" customHeight="1">
      <c r="A12" s="251" t="s">
        <v>1970</v>
      </c>
      <c r="B12" s="1005">
        <v>0.5</v>
      </c>
      <c r="C12" s="1248">
        <f t="shared" si="1"/>
        <v>0.1</v>
      </c>
      <c r="D12" s="255" t="s">
        <v>14</v>
      </c>
      <c r="E12" s="44" t="s">
        <v>1971</v>
      </c>
      <c r="F12" s="1"/>
      <c r="G12" s="1"/>
      <c r="H12" s="1"/>
      <c r="I12" s="1"/>
      <c r="J12" s="1"/>
      <c r="K12" s="1"/>
      <c r="L12" s="1"/>
      <c r="M12" s="1"/>
      <c r="N12" s="1"/>
      <c r="O12" s="1"/>
      <c r="P12" s="1"/>
      <c r="Q12" s="1"/>
      <c r="R12" s="1"/>
      <c r="S12" s="1"/>
    </row>
    <row r="13" ht="14.25" customHeight="1">
      <c r="A13" s="25" t="s">
        <v>1972</v>
      </c>
      <c r="B13" s="314">
        <v>3.0</v>
      </c>
      <c r="C13" s="218">
        <f t="shared" si="1"/>
        <v>0.6</v>
      </c>
      <c r="D13" s="1505" t="s">
        <v>14</v>
      </c>
      <c r="E13" s="1730"/>
      <c r="F13" s="1"/>
      <c r="G13" s="1"/>
      <c r="H13" s="1"/>
      <c r="I13" s="1"/>
      <c r="J13" s="1"/>
      <c r="K13" s="1"/>
      <c r="L13" s="1"/>
      <c r="M13" s="1"/>
      <c r="N13" s="1"/>
      <c r="O13" s="1"/>
      <c r="P13" s="1"/>
      <c r="Q13" s="1"/>
      <c r="R13" s="1"/>
      <c r="S13" s="1"/>
    </row>
    <row r="14" ht="14.25" customHeight="1">
      <c r="A14" s="163" t="s">
        <v>1096</v>
      </c>
      <c r="B14" s="285">
        <v>1.0</v>
      </c>
      <c r="C14" s="221">
        <f t="shared" si="1"/>
        <v>0.2</v>
      </c>
      <c r="D14" s="991" t="s">
        <v>14</v>
      </c>
      <c r="E14" s="92" t="s">
        <v>1234</v>
      </c>
      <c r="F14" s="1"/>
      <c r="G14" s="1"/>
      <c r="H14" s="1"/>
      <c r="I14" s="1"/>
      <c r="J14" s="1"/>
      <c r="K14" s="1"/>
      <c r="L14" s="1"/>
      <c r="M14" s="1"/>
      <c r="N14" s="1"/>
      <c r="O14" s="1"/>
      <c r="P14" s="1"/>
      <c r="Q14" s="1"/>
      <c r="R14" s="1"/>
      <c r="S14" s="1"/>
    </row>
    <row r="15" ht="14.25" customHeight="1">
      <c r="A15" s="208" t="s">
        <v>1975</v>
      </c>
      <c r="B15" s="211">
        <v>3.0</v>
      </c>
      <c r="C15" s="236">
        <f t="shared" si="1"/>
        <v>0.6</v>
      </c>
      <c r="D15" s="996" t="s">
        <v>5</v>
      </c>
      <c r="E15" s="115"/>
      <c r="F15" s="1"/>
      <c r="G15" s="1"/>
      <c r="H15" s="1"/>
      <c r="I15" s="1"/>
      <c r="J15" s="1"/>
      <c r="K15" s="1"/>
      <c r="L15" s="1"/>
      <c r="M15" s="1"/>
      <c r="N15" s="1"/>
      <c r="O15" s="1"/>
      <c r="P15" s="1"/>
      <c r="Q15" s="1"/>
      <c r="R15" s="1"/>
      <c r="S15" s="1"/>
    </row>
    <row r="16" ht="14.25" customHeight="1">
      <c r="A16" s="325" t="s">
        <v>167</v>
      </c>
      <c r="B16" s="337">
        <v>0.5</v>
      </c>
      <c r="C16" s="370">
        <f t="shared" si="1"/>
        <v>0.1</v>
      </c>
      <c r="D16" s="1319" t="s">
        <v>5</v>
      </c>
      <c r="E16" s="1730" t="s">
        <v>204</v>
      </c>
      <c r="F16" s="1"/>
      <c r="G16" s="1"/>
      <c r="H16" s="1"/>
      <c r="I16" s="1"/>
      <c r="J16" s="1"/>
      <c r="K16" s="1"/>
      <c r="L16" s="1"/>
      <c r="M16" s="1"/>
      <c r="N16" s="1"/>
      <c r="O16" s="1"/>
      <c r="P16" s="1"/>
      <c r="Q16" s="1"/>
      <c r="R16" s="1"/>
      <c r="S16" s="1"/>
    </row>
    <row r="17" ht="14.25" customHeight="1">
      <c r="A17" s="215" t="s">
        <v>42</v>
      </c>
      <c r="B17" s="1744" t="s">
        <v>47</v>
      </c>
      <c r="C17" s="107"/>
      <c r="D17" s="1"/>
      <c r="E17" s="1"/>
      <c r="F17" s="1"/>
      <c r="G17" s="1"/>
      <c r="H17" s="1"/>
      <c r="I17" s="1"/>
      <c r="J17" s="1"/>
      <c r="K17" s="1"/>
      <c r="L17" s="1"/>
      <c r="M17" s="1"/>
      <c r="N17" s="1"/>
      <c r="O17" s="1"/>
      <c r="P17" s="1"/>
      <c r="Q17" s="1"/>
      <c r="R17" s="1"/>
      <c r="S17" s="1"/>
    </row>
    <row r="18" ht="14.25" customHeight="1">
      <c r="A18" s="786" t="s">
        <v>49</v>
      </c>
      <c r="B18" s="303">
        <v>40800.0</v>
      </c>
      <c r="C18" s="107"/>
      <c r="D18" s="1"/>
      <c r="E18" s="1"/>
      <c r="F18" s="1"/>
      <c r="G18" s="1"/>
      <c r="H18" s="1"/>
      <c r="I18" s="1"/>
      <c r="J18" s="1"/>
      <c r="K18" s="1"/>
      <c r="L18" s="1"/>
      <c r="M18" s="1"/>
      <c r="N18" s="1"/>
      <c r="O18" s="1"/>
      <c r="P18" s="1"/>
      <c r="Q18" s="1"/>
      <c r="R18" s="1"/>
      <c r="S18" s="1"/>
    </row>
    <row r="19" ht="14.25" customHeight="1">
      <c r="A19" s="786" t="s">
        <v>50</v>
      </c>
      <c r="B19" s="303">
        <v>41760.0</v>
      </c>
      <c r="C19" s="107"/>
      <c r="D19" s="1"/>
      <c r="E19" s="1"/>
      <c r="F19" s="1"/>
      <c r="G19" s="1"/>
      <c r="H19" s="1"/>
      <c r="I19" s="1"/>
      <c r="J19" s="1"/>
      <c r="K19" s="1"/>
      <c r="L19" s="1"/>
      <c r="M19" s="1"/>
      <c r="N19" s="1"/>
      <c r="O19" s="1"/>
      <c r="P19" s="1"/>
      <c r="Q19" s="1"/>
      <c r="R19" s="1"/>
      <c r="S19" s="1"/>
    </row>
    <row r="20" ht="14.25" customHeight="1">
      <c r="A20" s="1"/>
      <c r="B20" s="1"/>
      <c r="C20" s="107"/>
      <c r="D20" s="1"/>
      <c r="E20" s="1"/>
      <c r="F20" s="1"/>
      <c r="G20" s="1"/>
      <c r="H20" s="1"/>
      <c r="I20" s="1"/>
      <c r="J20" s="1"/>
      <c r="K20" s="1"/>
      <c r="L20" s="1"/>
      <c r="M20" s="1"/>
      <c r="N20" s="1"/>
      <c r="O20" s="1"/>
      <c r="P20" s="1"/>
      <c r="Q20" s="1"/>
      <c r="R20" s="1"/>
      <c r="S20" s="1"/>
    </row>
    <row r="21" ht="14.25" customHeight="1">
      <c r="A21" s="240" t="s">
        <v>277</v>
      </c>
      <c r="B21" s="5"/>
      <c r="C21" s="5"/>
      <c r="D21" s="6"/>
      <c r="E21" s="141"/>
      <c r="F21" s="1"/>
      <c r="G21" s="1"/>
      <c r="H21" s="1"/>
      <c r="I21" s="1"/>
      <c r="J21" s="1"/>
      <c r="K21" s="1"/>
      <c r="L21" s="1"/>
      <c r="M21" s="1"/>
      <c r="N21" s="1"/>
      <c r="O21" s="1"/>
      <c r="P21" s="1"/>
      <c r="Q21" s="1"/>
      <c r="R21" s="1"/>
      <c r="S21" s="1"/>
    </row>
    <row r="22" ht="14.25" customHeight="1">
      <c r="A22" s="25" t="s">
        <v>1</v>
      </c>
      <c r="B22" s="314">
        <v>100.0</v>
      </c>
      <c r="C22" s="218">
        <v>4.0</v>
      </c>
      <c r="D22" s="28" t="s">
        <v>5</v>
      </c>
      <c r="E22" s="141"/>
      <c r="F22" s="1"/>
      <c r="G22" s="1"/>
      <c r="H22" s="1"/>
      <c r="I22" s="1"/>
      <c r="J22" s="1"/>
      <c r="K22" s="1"/>
      <c r="L22" s="1"/>
      <c r="M22" s="1"/>
      <c r="N22" s="1"/>
      <c r="O22" s="1"/>
      <c r="P22" s="1"/>
      <c r="Q22" s="1"/>
      <c r="R22" s="1"/>
      <c r="S22" s="1"/>
    </row>
    <row r="23" ht="14.25" customHeight="1">
      <c r="A23" s="163" t="s">
        <v>1962</v>
      </c>
      <c r="B23" s="285">
        <v>1.0</v>
      </c>
      <c r="C23" s="221">
        <f t="shared" ref="C23:C33" si="2">(B23*C22)/B22</f>
        <v>0.04</v>
      </c>
      <c r="D23" s="991" t="s">
        <v>14</v>
      </c>
      <c r="E23" s="1751" t="s">
        <v>1981</v>
      </c>
      <c r="F23" s="1"/>
      <c r="G23" s="1"/>
      <c r="H23" s="1"/>
      <c r="I23" s="1"/>
      <c r="J23" s="1"/>
      <c r="K23" s="1"/>
      <c r="L23" s="1"/>
      <c r="M23" s="1"/>
      <c r="N23" s="1"/>
      <c r="O23" s="1"/>
      <c r="P23" s="1"/>
      <c r="Q23" s="1"/>
      <c r="R23" s="1"/>
      <c r="S23" s="1"/>
    </row>
    <row r="24" ht="14.25" customHeight="1">
      <c r="A24" s="177" t="s">
        <v>59</v>
      </c>
      <c r="B24" s="198">
        <v>50.0</v>
      </c>
      <c r="C24" s="27">
        <f t="shared" si="2"/>
        <v>2</v>
      </c>
      <c r="D24" s="993" t="s">
        <v>5</v>
      </c>
      <c r="E24" s="98"/>
      <c r="F24" s="1"/>
      <c r="G24" s="1"/>
      <c r="H24" s="1"/>
      <c r="I24" s="1"/>
      <c r="J24" s="1"/>
      <c r="K24" s="1"/>
      <c r="L24" s="1"/>
      <c r="M24" s="1"/>
      <c r="N24" s="1"/>
      <c r="O24" s="1"/>
      <c r="P24" s="1"/>
      <c r="Q24" s="1"/>
      <c r="R24" s="1"/>
      <c r="S24" s="1"/>
    </row>
    <row r="25" ht="15.0" customHeight="1">
      <c r="A25" s="177" t="s">
        <v>31</v>
      </c>
      <c r="B25" s="198">
        <v>850.0</v>
      </c>
      <c r="C25" s="27">
        <f t="shared" si="2"/>
        <v>34</v>
      </c>
      <c r="D25" s="993" t="s">
        <v>18</v>
      </c>
      <c r="E25" s="98"/>
      <c r="F25" s="1"/>
      <c r="G25" s="1"/>
      <c r="H25" s="1"/>
      <c r="I25" s="1"/>
      <c r="J25" s="1"/>
      <c r="K25" s="1"/>
      <c r="L25" s="1"/>
      <c r="M25" s="1"/>
      <c r="N25" s="1"/>
      <c r="O25" s="1"/>
      <c r="P25" s="1"/>
      <c r="Q25" s="1"/>
      <c r="R25" s="1"/>
      <c r="S25" s="1"/>
    </row>
    <row r="26" ht="14.25" customHeight="1">
      <c r="A26" s="177" t="s">
        <v>1982</v>
      </c>
      <c r="B26" s="198">
        <v>5.0</v>
      </c>
      <c r="C26" s="27">
        <f t="shared" si="2"/>
        <v>0.2</v>
      </c>
      <c r="D26" s="993" t="s">
        <v>14</v>
      </c>
      <c r="E26" s="98"/>
      <c r="F26" s="1"/>
      <c r="G26" s="1"/>
      <c r="H26" s="1"/>
      <c r="I26" s="1"/>
      <c r="J26" s="1"/>
      <c r="K26" s="1"/>
      <c r="L26" s="1"/>
      <c r="M26" s="1"/>
      <c r="N26" s="1"/>
      <c r="O26" s="1"/>
      <c r="P26" s="1"/>
      <c r="Q26" s="1"/>
      <c r="R26" s="1"/>
      <c r="S26" s="1"/>
    </row>
    <row r="27" ht="14.25" customHeight="1">
      <c r="A27" s="208" t="s">
        <v>1968</v>
      </c>
      <c r="B27" s="211">
        <v>35.0</v>
      </c>
      <c r="C27" s="236">
        <f t="shared" si="2"/>
        <v>1.4</v>
      </c>
      <c r="D27" s="996" t="s">
        <v>14</v>
      </c>
      <c r="E27" s="98"/>
      <c r="F27" s="1"/>
      <c r="G27" s="1"/>
      <c r="H27" s="1"/>
      <c r="I27" s="1"/>
      <c r="J27" s="1"/>
      <c r="K27" s="1"/>
      <c r="L27" s="1"/>
      <c r="M27" s="1"/>
      <c r="N27" s="1"/>
      <c r="O27" s="1"/>
      <c r="P27" s="1"/>
      <c r="Q27" s="1"/>
      <c r="R27" s="1"/>
      <c r="S27" s="1"/>
    </row>
    <row r="28" ht="14.25" customHeight="1">
      <c r="A28" s="157" t="s">
        <v>216</v>
      </c>
      <c r="B28" s="390">
        <v>1.0</v>
      </c>
      <c r="C28" s="244">
        <f t="shared" si="2"/>
        <v>0.04</v>
      </c>
      <c r="D28" s="1001" t="s">
        <v>14</v>
      </c>
      <c r="E28" s="98"/>
      <c r="F28" s="1"/>
      <c r="G28" s="1"/>
      <c r="H28" s="1"/>
      <c r="I28" s="1"/>
      <c r="J28" s="1"/>
      <c r="K28" s="1"/>
      <c r="L28" s="1"/>
      <c r="M28" s="1"/>
      <c r="N28" s="1"/>
      <c r="O28" s="1"/>
      <c r="P28" s="1"/>
      <c r="Q28" s="1"/>
      <c r="R28" s="1"/>
      <c r="S28" s="1"/>
    </row>
    <row r="29" ht="14.25" customHeight="1">
      <c r="A29" s="177" t="s">
        <v>13</v>
      </c>
      <c r="B29" s="198">
        <v>1.5</v>
      </c>
      <c r="C29" s="27">
        <f t="shared" si="2"/>
        <v>0.06</v>
      </c>
      <c r="D29" s="993" t="s">
        <v>14</v>
      </c>
      <c r="E29" s="98"/>
      <c r="F29" s="1"/>
      <c r="G29" s="1"/>
      <c r="H29" s="1"/>
      <c r="I29" s="1"/>
      <c r="J29" s="1"/>
      <c r="K29" s="1"/>
      <c r="L29" s="1"/>
      <c r="M29" s="1"/>
      <c r="N29" s="1"/>
      <c r="O29" s="1"/>
      <c r="P29" s="1"/>
      <c r="Q29" s="1"/>
      <c r="R29" s="1"/>
      <c r="S29" s="1"/>
    </row>
    <row r="30" ht="14.25" customHeight="1">
      <c r="A30" s="208" t="s">
        <v>252</v>
      </c>
      <c r="B30" s="211">
        <v>80.0</v>
      </c>
      <c r="C30" s="236">
        <f t="shared" si="2"/>
        <v>3.2</v>
      </c>
      <c r="D30" s="996" t="s">
        <v>18</v>
      </c>
      <c r="E30" s="115"/>
      <c r="F30" s="1"/>
      <c r="G30" s="1"/>
      <c r="H30" s="1"/>
      <c r="I30" s="1"/>
      <c r="J30" s="1"/>
      <c r="K30" s="1"/>
      <c r="L30" s="1"/>
      <c r="M30" s="1"/>
      <c r="N30" s="1"/>
      <c r="O30" s="1"/>
      <c r="P30" s="1"/>
      <c r="Q30" s="1"/>
      <c r="R30" s="1"/>
      <c r="S30" s="1"/>
    </row>
    <row r="31" ht="14.25" customHeight="1">
      <c r="A31" s="251" t="s">
        <v>1970</v>
      </c>
      <c r="B31" s="1005">
        <v>0.5</v>
      </c>
      <c r="C31" s="1248">
        <f t="shared" si="2"/>
        <v>0.02</v>
      </c>
      <c r="D31" s="1006" t="s">
        <v>14</v>
      </c>
      <c r="E31" s="1730" t="s">
        <v>1971</v>
      </c>
      <c r="F31" s="1"/>
      <c r="G31" s="1"/>
      <c r="H31" s="1"/>
      <c r="I31" s="1"/>
      <c r="J31" s="1"/>
      <c r="K31" s="1"/>
      <c r="L31" s="1"/>
      <c r="M31" s="1"/>
      <c r="N31" s="1"/>
      <c r="O31" s="1"/>
      <c r="P31" s="1"/>
      <c r="Q31" s="1"/>
      <c r="R31" s="1"/>
      <c r="S31" s="1"/>
    </row>
    <row r="32" ht="14.25" customHeight="1">
      <c r="A32" s="163" t="s">
        <v>1096</v>
      </c>
      <c r="B32" s="285">
        <v>1.0</v>
      </c>
      <c r="C32" s="221">
        <f t="shared" si="2"/>
        <v>0.04</v>
      </c>
      <c r="D32" s="991" t="s">
        <v>14</v>
      </c>
      <c r="E32" s="1730"/>
      <c r="F32" s="1"/>
      <c r="G32" s="1"/>
      <c r="H32" s="1"/>
      <c r="I32" s="1"/>
      <c r="J32" s="1"/>
      <c r="K32" s="1"/>
      <c r="L32" s="1"/>
      <c r="M32" s="1"/>
      <c r="N32" s="1"/>
      <c r="O32" s="1"/>
      <c r="P32" s="1"/>
      <c r="Q32" s="1"/>
      <c r="R32" s="1"/>
      <c r="S32" s="1"/>
    </row>
    <row r="33" ht="14.25" customHeight="1">
      <c r="A33" s="208" t="s">
        <v>1975</v>
      </c>
      <c r="B33" s="211">
        <v>3.0</v>
      </c>
      <c r="C33" s="236">
        <f t="shared" si="2"/>
        <v>0.12</v>
      </c>
      <c r="D33" s="996" t="s">
        <v>5</v>
      </c>
      <c r="E33" s="1730" t="s">
        <v>1183</v>
      </c>
      <c r="F33" s="1"/>
      <c r="G33" s="1"/>
      <c r="H33" s="1"/>
      <c r="I33" s="1"/>
      <c r="J33" s="1"/>
      <c r="K33" s="1"/>
      <c r="L33" s="1"/>
      <c r="M33" s="1"/>
      <c r="N33" s="1"/>
      <c r="O33" s="1"/>
      <c r="P33" s="1"/>
      <c r="Q33" s="1"/>
      <c r="R33" s="1"/>
      <c r="S33" s="1"/>
    </row>
    <row r="34" ht="14.25" customHeight="1">
      <c r="A34" s="215" t="s">
        <v>42</v>
      </c>
      <c r="B34" s="893" t="s">
        <v>47</v>
      </c>
      <c r="C34" s="107"/>
      <c r="D34" s="1"/>
      <c r="E34" s="1"/>
      <c r="F34" s="1"/>
      <c r="G34" s="1"/>
      <c r="H34" s="1"/>
      <c r="I34" s="1"/>
      <c r="J34" s="1"/>
      <c r="K34" s="1"/>
      <c r="L34" s="1"/>
      <c r="M34" s="1"/>
      <c r="N34" s="1"/>
      <c r="O34" s="1"/>
      <c r="P34" s="1"/>
      <c r="Q34" s="1"/>
      <c r="R34" s="1"/>
      <c r="S34" s="1"/>
    </row>
    <row r="35" ht="14.25" customHeight="1">
      <c r="A35" s="786" t="s">
        <v>49</v>
      </c>
      <c r="B35" s="303">
        <v>41349.0</v>
      </c>
      <c r="C35" s="107"/>
      <c r="D35" s="1"/>
      <c r="E35" s="1"/>
      <c r="F35" s="1"/>
      <c r="G35" s="1"/>
      <c r="H35" s="1"/>
      <c r="I35" s="1"/>
      <c r="J35" s="1"/>
      <c r="K35" s="1"/>
      <c r="L35" s="1"/>
      <c r="M35" s="1"/>
      <c r="N35" s="1"/>
      <c r="O35" s="1"/>
      <c r="P35" s="1"/>
      <c r="Q35" s="1"/>
      <c r="R35" s="1"/>
      <c r="S35" s="1"/>
    </row>
    <row r="36" ht="14.25" customHeight="1">
      <c r="A36" s="786" t="s">
        <v>50</v>
      </c>
      <c r="B36" s="303"/>
      <c r="C36" s="107"/>
      <c r="D36" s="1"/>
      <c r="E36" s="1"/>
      <c r="F36" s="1"/>
      <c r="G36" s="1"/>
      <c r="H36" s="1"/>
      <c r="I36" s="1"/>
      <c r="J36" s="1"/>
      <c r="K36" s="1"/>
      <c r="L36" s="1"/>
      <c r="M36" s="1"/>
      <c r="N36" s="1"/>
      <c r="O36" s="1"/>
      <c r="P36" s="1"/>
      <c r="Q36" s="1"/>
      <c r="R36" s="1"/>
      <c r="S36" s="1"/>
    </row>
    <row r="37" ht="14.25" customHeight="1">
      <c r="A37" s="1"/>
      <c r="B37" s="1"/>
      <c r="C37" s="107"/>
      <c r="D37" s="1"/>
      <c r="E37" s="1"/>
      <c r="F37" s="1"/>
      <c r="G37" s="1"/>
      <c r="H37" s="1"/>
      <c r="I37" s="1"/>
      <c r="J37" s="1"/>
      <c r="K37" s="1"/>
      <c r="L37" s="1"/>
      <c r="M37" s="1"/>
      <c r="N37" s="1"/>
      <c r="O37" s="1"/>
      <c r="P37" s="1"/>
      <c r="Q37" s="1"/>
      <c r="R37" s="1"/>
      <c r="S37" s="1"/>
    </row>
    <row r="38" ht="14.25" customHeight="1">
      <c r="A38" s="386" t="s">
        <v>417</v>
      </c>
      <c r="B38" s="5"/>
      <c r="C38" s="5"/>
      <c r="D38" s="6"/>
      <c r="E38" s="427"/>
      <c r="F38" s="1"/>
      <c r="G38" s="1"/>
      <c r="H38" s="1"/>
      <c r="I38" s="1"/>
      <c r="J38" s="1"/>
      <c r="K38" s="1"/>
      <c r="L38" s="1"/>
      <c r="M38" s="1"/>
      <c r="N38" s="1"/>
      <c r="O38" s="1"/>
      <c r="P38" s="1"/>
      <c r="Q38" s="1"/>
      <c r="R38" s="1"/>
      <c r="S38" s="1"/>
    </row>
    <row r="39" ht="14.25" customHeight="1">
      <c r="A39" s="1058" t="s">
        <v>1</v>
      </c>
      <c r="B39" s="1059">
        <v>50.0</v>
      </c>
      <c r="C39" s="145">
        <v>20.0</v>
      </c>
      <c r="D39" s="1764" t="s">
        <v>5</v>
      </c>
      <c r="E39" s="141"/>
      <c r="F39" s="1"/>
      <c r="G39" s="1"/>
      <c r="H39" s="1"/>
      <c r="I39" s="1"/>
      <c r="J39" s="1"/>
      <c r="K39" s="1"/>
      <c r="L39" s="1"/>
      <c r="M39" s="1"/>
      <c r="N39" s="1"/>
      <c r="O39" s="1"/>
      <c r="P39" s="1"/>
      <c r="Q39" s="1"/>
      <c r="R39" s="1"/>
      <c r="S39" s="1"/>
    </row>
    <row r="40" ht="14.25" customHeight="1">
      <c r="A40" s="177" t="s">
        <v>1853</v>
      </c>
      <c r="B40" s="1246">
        <v>0.75</v>
      </c>
      <c r="C40" s="27">
        <f t="shared" ref="C40:C58" si="3">(B40*C39)/B39</f>
        <v>0.3</v>
      </c>
      <c r="D40" s="204" t="s">
        <v>5</v>
      </c>
      <c r="E40" s="903" t="s">
        <v>1985</v>
      </c>
      <c r="F40" s="1"/>
      <c r="G40" s="1"/>
      <c r="H40" s="1"/>
      <c r="I40" s="1"/>
      <c r="J40" s="1"/>
      <c r="K40" s="1"/>
      <c r="L40" s="1"/>
      <c r="M40" s="1"/>
      <c r="N40" s="1"/>
      <c r="O40" s="1"/>
      <c r="P40" s="1"/>
      <c r="Q40" s="1"/>
      <c r="R40" s="1"/>
      <c r="S40" s="1"/>
    </row>
    <row r="41" ht="14.25" customHeight="1">
      <c r="A41" s="177" t="s">
        <v>1986</v>
      </c>
      <c r="B41" s="1246">
        <v>150.0</v>
      </c>
      <c r="C41" s="27">
        <f t="shared" si="3"/>
        <v>60</v>
      </c>
      <c r="D41" s="204" t="s">
        <v>82</v>
      </c>
      <c r="E41" s="47"/>
      <c r="F41" s="1"/>
      <c r="G41" s="1"/>
      <c r="H41" s="1"/>
      <c r="I41" s="1"/>
      <c r="J41" s="1"/>
      <c r="K41" s="1"/>
      <c r="L41" s="1"/>
      <c r="M41" s="1"/>
      <c r="N41" s="1"/>
      <c r="O41" s="1"/>
      <c r="P41" s="1"/>
      <c r="Q41" s="1"/>
      <c r="R41" s="1"/>
      <c r="S41" s="1"/>
    </row>
    <row r="42" ht="14.25" customHeight="1">
      <c r="A42" s="177" t="s">
        <v>1987</v>
      </c>
      <c r="B42" s="1246">
        <v>400.0</v>
      </c>
      <c r="C42" s="27">
        <f t="shared" si="3"/>
        <v>160</v>
      </c>
      <c r="D42" s="204" t="s">
        <v>82</v>
      </c>
      <c r="E42" s="47"/>
      <c r="F42" s="1"/>
      <c r="G42" s="1"/>
      <c r="H42" s="1"/>
      <c r="I42" s="1"/>
      <c r="J42" s="1"/>
      <c r="K42" s="1"/>
      <c r="L42" s="1"/>
      <c r="M42" s="1"/>
      <c r="N42" s="1"/>
      <c r="O42" s="1"/>
      <c r="P42" s="1"/>
      <c r="Q42" s="1"/>
      <c r="R42" s="1"/>
      <c r="S42" s="1"/>
    </row>
    <row r="43" ht="14.25" customHeight="1">
      <c r="A43" s="177" t="s">
        <v>1988</v>
      </c>
      <c r="B43" s="1246">
        <v>2.0</v>
      </c>
      <c r="C43" s="27">
        <f t="shared" si="3"/>
        <v>0.8</v>
      </c>
      <c r="D43" s="204" t="s">
        <v>14</v>
      </c>
      <c r="E43" s="47"/>
      <c r="F43" s="1"/>
      <c r="G43" s="1"/>
      <c r="H43" s="1"/>
      <c r="I43" s="1"/>
      <c r="J43" s="1"/>
      <c r="K43" s="1"/>
      <c r="L43" s="1"/>
      <c r="M43" s="1"/>
      <c r="N43" s="1"/>
      <c r="O43" s="1"/>
      <c r="P43" s="1"/>
      <c r="Q43" s="1"/>
      <c r="R43" s="1"/>
      <c r="S43" s="1"/>
    </row>
    <row r="44" ht="14.25" customHeight="1">
      <c r="A44" s="262" t="s">
        <v>1989</v>
      </c>
      <c r="B44" s="1765">
        <v>1.0</v>
      </c>
      <c r="C44" s="50">
        <f t="shared" si="3"/>
        <v>0.4</v>
      </c>
      <c r="D44" s="267" t="s">
        <v>14</v>
      </c>
      <c r="E44" s="76"/>
      <c r="F44" s="1"/>
      <c r="G44" s="1"/>
      <c r="H44" s="1"/>
      <c r="I44" s="1"/>
      <c r="J44" s="1"/>
      <c r="K44" s="1"/>
      <c r="L44" s="1"/>
      <c r="M44" s="1"/>
      <c r="N44" s="1"/>
      <c r="O44" s="1"/>
      <c r="P44" s="1"/>
      <c r="Q44" s="1"/>
      <c r="R44" s="1"/>
      <c r="S44" s="1"/>
    </row>
    <row r="45" ht="14.25" customHeight="1">
      <c r="A45" s="163" t="s">
        <v>1990</v>
      </c>
      <c r="B45" s="1490">
        <v>2.0</v>
      </c>
      <c r="C45" s="221">
        <f t="shared" si="3"/>
        <v>0.8</v>
      </c>
      <c r="D45" s="169" t="s">
        <v>14</v>
      </c>
      <c r="E45" s="903" t="s">
        <v>1991</v>
      </c>
      <c r="F45" s="1"/>
      <c r="G45" s="1"/>
      <c r="H45" s="1"/>
      <c r="I45" s="1"/>
      <c r="J45" s="1"/>
      <c r="K45" s="1"/>
      <c r="L45" s="1"/>
      <c r="M45" s="1"/>
      <c r="N45" s="1"/>
      <c r="O45" s="1"/>
      <c r="P45" s="1"/>
      <c r="Q45" s="1"/>
      <c r="R45" s="1"/>
      <c r="S45" s="1"/>
    </row>
    <row r="46" ht="14.25" customHeight="1">
      <c r="A46" s="177" t="s">
        <v>1993</v>
      </c>
      <c r="B46" s="1246">
        <v>4.0</v>
      </c>
      <c r="C46" s="27">
        <f t="shared" si="3"/>
        <v>1.6</v>
      </c>
      <c r="D46" s="204" t="s">
        <v>14</v>
      </c>
      <c r="E46" s="47"/>
      <c r="F46" s="1"/>
      <c r="G46" s="1"/>
      <c r="H46" s="1"/>
      <c r="I46" s="1"/>
      <c r="J46" s="1"/>
      <c r="K46" s="1"/>
      <c r="L46" s="1"/>
      <c r="M46" s="1"/>
      <c r="N46" s="1"/>
      <c r="O46" s="1"/>
      <c r="P46" s="1"/>
      <c r="Q46" s="1"/>
      <c r="R46" s="1"/>
      <c r="S46" s="1"/>
    </row>
    <row r="47" ht="14.25" customHeight="1">
      <c r="A47" s="208" t="s">
        <v>850</v>
      </c>
      <c r="B47" s="1492">
        <v>2.5</v>
      </c>
      <c r="C47" s="236">
        <f t="shared" si="3"/>
        <v>1</v>
      </c>
      <c r="D47" s="212" t="s">
        <v>14</v>
      </c>
      <c r="E47" s="76"/>
      <c r="F47" s="1"/>
      <c r="G47" s="1"/>
      <c r="H47" s="1"/>
      <c r="I47" s="1"/>
      <c r="J47" s="1"/>
      <c r="K47" s="1"/>
      <c r="L47" s="1"/>
      <c r="M47" s="1"/>
      <c r="N47" s="1"/>
      <c r="O47" s="1"/>
      <c r="P47" s="1"/>
      <c r="Q47" s="1"/>
      <c r="R47" s="1"/>
      <c r="S47" s="1"/>
    </row>
    <row r="48" ht="14.25" customHeight="1">
      <c r="A48" s="208" t="s">
        <v>179</v>
      </c>
      <c r="B48" s="1492">
        <v>100.0</v>
      </c>
      <c r="C48" s="236">
        <f t="shared" si="3"/>
        <v>40</v>
      </c>
      <c r="D48" s="212" t="s">
        <v>82</v>
      </c>
      <c r="E48" s="1766"/>
      <c r="F48" s="1"/>
      <c r="G48" s="1"/>
      <c r="H48" s="1"/>
      <c r="I48" s="1"/>
      <c r="J48" s="1"/>
      <c r="K48" s="1"/>
      <c r="L48" s="1"/>
      <c r="M48" s="1"/>
      <c r="N48" s="1"/>
      <c r="O48" s="1"/>
      <c r="P48" s="1"/>
      <c r="Q48" s="1"/>
      <c r="R48" s="1"/>
      <c r="S48" s="1"/>
    </row>
    <row r="49" ht="14.25" customHeight="1">
      <c r="A49" s="163" t="s">
        <v>1994</v>
      </c>
      <c r="B49" s="1490">
        <v>40.0</v>
      </c>
      <c r="C49" s="221">
        <f t="shared" si="3"/>
        <v>16</v>
      </c>
      <c r="D49" s="169" t="s">
        <v>5</v>
      </c>
      <c r="E49" s="903" t="s">
        <v>1991</v>
      </c>
      <c r="F49" s="1"/>
      <c r="G49" s="1"/>
      <c r="H49" s="1"/>
      <c r="I49" s="1"/>
      <c r="J49" s="1"/>
      <c r="K49" s="1"/>
      <c r="L49" s="1"/>
      <c r="M49" s="1"/>
      <c r="N49" s="1"/>
      <c r="O49" s="1"/>
      <c r="P49" s="1"/>
      <c r="Q49" s="1"/>
      <c r="R49" s="1"/>
      <c r="S49" s="1"/>
    </row>
    <row r="50" ht="14.25" customHeight="1">
      <c r="A50" s="177" t="s">
        <v>1995</v>
      </c>
      <c r="B50" s="1246">
        <v>150.0</v>
      </c>
      <c r="C50" s="27">
        <f t="shared" si="3"/>
        <v>60</v>
      </c>
      <c r="D50" s="204" t="s">
        <v>18</v>
      </c>
      <c r="E50" s="47"/>
      <c r="F50" s="1"/>
      <c r="G50" s="1"/>
      <c r="H50" s="1"/>
      <c r="I50" s="1"/>
      <c r="J50" s="1"/>
      <c r="K50" s="1"/>
      <c r="L50" s="1"/>
      <c r="M50" s="1"/>
      <c r="N50" s="1"/>
      <c r="O50" s="1"/>
      <c r="P50" s="1"/>
      <c r="Q50" s="1"/>
      <c r="R50" s="1"/>
      <c r="S50" s="1"/>
    </row>
    <row r="51" ht="14.25" customHeight="1">
      <c r="A51" s="262" t="s">
        <v>1291</v>
      </c>
      <c r="B51" s="1765">
        <v>3.0</v>
      </c>
      <c r="C51" s="50">
        <f t="shared" si="3"/>
        <v>1.2</v>
      </c>
      <c r="D51" s="267" t="s">
        <v>93</v>
      </c>
      <c r="E51" s="47"/>
      <c r="F51" s="1"/>
      <c r="G51" s="1"/>
      <c r="H51" s="1"/>
      <c r="I51" s="1"/>
      <c r="J51" s="1"/>
      <c r="K51" s="1"/>
      <c r="L51" s="1"/>
      <c r="M51" s="1"/>
      <c r="N51" s="1"/>
      <c r="O51" s="1"/>
      <c r="P51" s="1"/>
      <c r="Q51" s="1"/>
      <c r="R51" s="1"/>
      <c r="S51" s="1"/>
    </row>
    <row r="52" ht="14.25" customHeight="1">
      <c r="A52" s="208" t="s">
        <v>1997</v>
      </c>
      <c r="B52" s="1492">
        <v>1.0</v>
      </c>
      <c r="C52" s="236">
        <f t="shared" si="3"/>
        <v>0.4</v>
      </c>
      <c r="D52" s="212" t="s">
        <v>5</v>
      </c>
      <c r="E52" s="76"/>
      <c r="F52" s="1"/>
      <c r="G52" s="1"/>
      <c r="H52" s="1"/>
      <c r="I52" s="1"/>
      <c r="J52" s="1"/>
      <c r="K52" s="1"/>
      <c r="L52" s="1"/>
      <c r="M52" s="1"/>
      <c r="N52" s="1"/>
      <c r="O52" s="1"/>
      <c r="P52" s="1"/>
      <c r="Q52" s="1"/>
      <c r="R52" s="1"/>
      <c r="S52" s="1"/>
    </row>
    <row r="53" ht="14.25" customHeight="1">
      <c r="A53" s="157" t="s">
        <v>179</v>
      </c>
      <c r="B53" s="1770">
        <v>150.0</v>
      </c>
      <c r="C53" s="244">
        <f t="shared" si="3"/>
        <v>60</v>
      </c>
      <c r="D53" s="159" t="s">
        <v>18</v>
      </c>
      <c r="E53" s="903" t="s">
        <v>1999</v>
      </c>
      <c r="F53" s="1"/>
      <c r="G53" s="1"/>
      <c r="H53" s="1"/>
      <c r="I53" s="1"/>
      <c r="J53" s="1"/>
      <c r="K53" s="1"/>
      <c r="L53" s="1"/>
      <c r="M53" s="1"/>
      <c r="N53" s="1"/>
      <c r="O53" s="1"/>
      <c r="P53" s="1"/>
      <c r="Q53" s="1"/>
      <c r="R53" s="1"/>
      <c r="S53" s="1"/>
    </row>
    <row r="54" ht="14.25" customHeight="1">
      <c r="A54" s="177" t="s">
        <v>216</v>
      </c>
      <c r="B54" s="1246">
        <v>1.25</v>
      </c>
      <c r="C54" s="27">
        <f t="shared" si="3"/>
        <v>0.5</v>
      </c>
      <c r="D54" s="204" t="s">
        <v>14</v>
      </c>
      <c r="E54" s="47"/>
      <c r="F54" s="1"/>
      <c r="G54" s="1"/>
      <c r="H54" s="1"/>
      <c r="I54" s="1"/>
      <c r="J54" s="1"/>
      <c r="K54" s="1"/>
      <c r="L54" s="1"/>
      <c r="M54" s="1"/>
      <c r="N54" s="1"/>
      <c r="O54" s="1"/>
      <c r="P54" s="1"/>
      <c r="Q54" s="1"/>
      <c r="R54" s="1"/>
      <c r="S54" s="1"/>
    </row>
    <row r="55" ht="14.25" customHeight="1">
      <c r="A55" s="177" t="s">
        <v>31</v>
      </c>
      <c r="B55" s="1246">
        <v>500.0</v>
      </c>
      <c r="C55" s="27">
        <f t="shared" si="3"/>
        <v>200</v>
      </c>
      <c r="D55" s="204" t="s">
        <v>18</v>
      </c>
      <c r="E55" s="47"/>
      <c r="F55" s="1"/>
      <c r="G55" s="1"/>
      <c r="H55" s="1"/>
      <c r="I55" s="1"/>
      <c r="J55" s="1"/>
      <c r="K55" s="1"/>
      <c r="L55" s="1"/>
      <c r="M55" s="1"/>
      <c r="N55" s="1"/>
      <c r="O55" s="1"/>
      <c r="P55" s="1"/>
      <c r="Q55" s="1"/>
      <c r="R55" s="1"/>
      <c r="S55" s="1"/>
    </row>
    <row r="56" ht="14.25" customHeight="1">
      <c r="A56" s="262" t="s">
        <v>2000</v>
      </c>
      <c r="B56" s="1765">
        <v>5.0</v>
      </c>
      <c r="C56" s="27">
        <f t="shared" si="3"/>
        <v>2</v>
      </c>
      <c r="D56" s="267" t="s">
        <v>5</v>
      </c>
      <c r="E56" s="47"/>
      <c r="F56" s="1"/>
      <c r="G56" s="1"/>
      <c r="H56" s="1"/>
      <c r="I56" s="1"/>
      <c r="J56" s="1"/>
      <c r="K56" s="1"/>
      <c r="L56" s="1"/>
      <c r="M56" s="1"/>
      <c r="N56" s="1"/>
      <c r="O56" s="1"/>
      <c r="P56" s="1"/>
      <c r="Q56" s="1"/>
      <c r="R56" s="1"/>
      <c r="S56" s="1"/>
    </row>
    <row r="57" ht="14.25" customHeight="1">
      <c r="A57" s="1775" t="s">
        <v>636</v>
      </c>
      <c r="B57" s="1064">
        <v>0.25</v>
      </c>
      <c r="C57" s="50">
        <f t="shared" si="3"/>
        <v>0.1</v>
      </c>
      <c r="D57" s="1776" t="s">
        <v>14</v>
      </c>
      <c r="E57" s="76"/>
      <c r="F57" s="1"/>
      <c r="G57" s="1"/>
      <c r="H57" s="1"/>
      <c r="I57" s="1"/>
      <c r="J57" s="1"/>
      <c r="K57" s="1"/>
      <c r="L57" s="1"/>
      <c r="M57" s="1"/>
      <c r="N57" s="1"/>
      <c r="O57" s="1"/>
      <c r="P57" s="1"/>
      <c r="Q57" s="1"/>
      <c r="R57" s="1"/>
      <c r="S57" s="1"/>
    </row>
    <row r="58" ht="14.25" customHeight="1">
      <c r="A58" s="458" t="s">
        <v>167</v>
      </c>
      <c r="B58" s="1497">
        <v>0.2</v>
      </c>
      <c r="C58" s="71">
        <f t="shared" si="3"/>
        <v>0.08</v>
      </c>
      <c r="D58" s="463" t="s">
        <v>5</v>
      </c>
      <c r="E58" s="784"/>
      <c r="F58" s="1"/>
      <c r="G58" s="1"/>
      <c r="H58" s="1"/>
      <c r="I58" s="1"/>
      <c r="J58" s="1"/>
      <c r="K58" s="1"/>
      <c r="L58" s="1"/>
      <c r="M58" s="1"/>
      <c r="N58" s="1"/>
      <c r="O58" s="1"/>
      <c r="P58" s="1"/>
      <c r="Q58" s="1"/>
      <c r="R58" s="1"/>
      <c r="S58" s="1"/>
    </row>
    <row r="59" ht="15.0" customHeight="1">
      <c r="A59" s="215" t="s">
        <v>42</v>
      </c>
      <c r="B59" s="893" t="s">
        <v>47</v>
      </c>
      <c r="C59" s="107"/>
      <c r="D59" s="1"/>
      <c r="E59" s="1"/>
      <c r="F59" s="1"/>
      <c r="G59" s="1"/>
      <c r="H59" s="1"/>
      <c r="I59" s="1"/>
      <c r="J59" s="1"/>
      <c r="K59" s="1"/>
      <c r="L59" s="1"/>
      <c r="M59" s="1"/>
      <c r="N59" s="1"/>
      <c r="O59" s="1"/>
      <c r="P59" s="1"/>
      <c r="Q59" s="1"/>
      <c r="R59" s="1"/>
      <c r="S59" s="1"/>
    </row>
    <row r="60" ht="14.25" customHeight="1">
      <c r="A60" s="786" t="s">
        <v>49</v>
      </c>
      <c r="B60" s="303">
        <v>41346.0</v>
      </c>
      <c r="C60" s="107"/>
      <c r="D60" s="1"/>
      <c r="E60" s="1"/>
      <c r="F60" s="1"/>
      <c r="G60" s="1"/>
      <c r="H60" s="1"/>
      <c r="I60" s="1"/>
      <c r="J60" s="1"/>
      <c r="K60" s="1"/>
      <c r="L60" s="1"/>
      <c r="M60" s="1"/>
      <c r="N60" s="1"/>
      <c r="O60" s="1"/>
      <c r="P60" s="1"/>
      <c r="Q60" s="1"/>
      <c r="R60" s="1"/>
      <c r="S60" s="1"/>
    </row>
    <row r="61" ht="14.25" customHeight="1">
      <c r="A61" s="786" t="s">
        <v>50</v>
      </c>
      <c r="B61" s="303">
        <v>41347.0</v>
      </c>
      <c r="C61" s="107"/>
      <c r="D61" s="1"/>
      <c r="E61" s="1"/>
      <c r="F61" s="1"/>
      <c r="G61" s="1"/>
      <c r="H61" s="1"/>
      <c r="I61" s="1"/>
      <c r="J61" s="1"/>
      <c r="K61" s="1"/>
      <c r="L61" s="1"/>
      <c r="M61" s="1"/>
      <c r="N61" s="1"/>
      <c r="O61" s="1"/>
      <c r="P61" s="1"/>
      <c r="Q61" s="1"/>
      <c r="R61" s="1"/>
      <c r="S61" s="1"/>
    </row>
    <row r="62" ht="14.25" customHeight="1">
      <c r="A62" s="1"/>
      <c r="B62" s="1"/>
      <c r="C62" s="107"/>
      <c r="D62" s="1"/>
      <c r="E62" s="141"/>
      <c r="F62" s="1"/>
      <c r="G62" s="1"/>
      <c r="H62" s="1"/>
      <c r="I62" s="1"/>
      <c r="J62" s="1"/>
      <c r="K62" s="1"/>
      <c r="L62" s="1"/>
      <c r="M62" s="1"/>
      <c r="N62" s="1"/>
      <c r="O62" s="1"/>
      <c r="P62" s="1"/>
      <c r="Q62" s="1"/>
      <c r="R62" s="1"/>
      <c r="S62" s="1"/>
    </row>
    <row r="63" ht="14.25" customHeight="1">
      <c r="A63" s="240" t="s">
        <v>543</v>
      </c>
      <c r="B63" s="5"/>
      <c r="C63" s="5"/>
      <c r="D63" s="6"/>
      <c r="E63" s="141"/>
      <c r="F63" s="1"/>
      <c r="G63" s="1"/>
      <c r="H63" s="1"/>
      <c r="I63" s="1"/>
      <c r="J63" s="1"/>
      <c r="K63" s="1"/>
      <c r="L63" s="1"/>
      <c r="M63" s="1"/>
      <c r="N63" s="1"/>
      <c r="O63" s="1"/>
      <c r="P63" s="1"/>
      <c r="Q63" s="1"/>
      <c r="R63" s="1"/>
      <c r="S63" s="1"/>
    </row>
    <row r="64" ht="14.25" customHeight="1">
      <c r="A64" s="25" t="s">
        <v>1</v>
      </c>
      <c r="B64" s="314">
        <v>100.0</v>
      </c>
      <c r="C64" s="218">
        <v>20.0</v>
      </c>
      <c r="D64" s="28" t="s">
        <v>5</v>
      </c>
      <c r="E64" s="264" t="s">
        <v>2007</v>
      </c>
      <c r="F64" s="1"/>
      <c r="G64" s="1"/>
      <c r="H64" s="1"/>
      <c r="I64" s="1"/>
      <c r="J64" s="1"/>
      <c r="K64" s="1"/>
      <c r="L64" s="1"/>
      <c r="M64" s="1"/>
      <c r="N64" s="1"/>
      <c r="O64" s="1"/>
      <c r="P64" s="1"/>
      <c r="Q64" s="1"/>
      <c r="R64" s="1"/>
      <c r="S64" s="1"/>
    </row>
    <row r="65" ht="14.25" customHeight="1">
      <c r="A65" s="163" t="s">
        <v>157</v>
      </c>
      <c r="B65" s="285">
        <v>80.0</v>
      </c>
      <c r="C65" s="221">
        <f t="shared" ref="C65:C78" si="4">(B65*C64)/B64</f>
        <v>16</v>
      </c>
      <c r="D65" s="169" t="s">
        <v>5</v>
      </c>
      <c r="E65" s="66"/>
      <c r="F65" s="1"/>
      <c r="G65" s="1"/>
      <c r="H65" s="1"/>
      <c r="I65" s="1"/>
      <c r="J65" s="1"/>
      <c r="K65" s="1"/>
      <c r="L65" s="1"/>
      <c r="M65" s="1"/>
      <c r="N65" s="1"/>
      <c r="O65" s="1"/>
      <c r="P65" s="1"/>
      <c r="Q65" s="1"/>
      <c r="R65" s="1"/>
      <c r="S65" s="1"/>
    </row>
    <row r="66" ht="14.25" customHeight="1">
      <c r="A66" s="177" t="s">
        <v>2011</v>
      </c>
      <c r="B66" s="198">
        <v>5.0</v>
      </c>
      <c r="C66" s="27">
        <f t="shared" si="4"/>
        <v>1</v>
      </c>
      <c r="D66" s="204" t="s">
        <v>14</v>
      </c>
      <c r="E66" s="66"/>
      <c r="F66" s="1"/>
      <c r="G66" s="1"/>
      <c r="H66" s="1"/>
      <c r="I66" s="1"/>
      <c r="J66" s="1"/>
      <c r="K66" s="1"/>
      <c r="L66" s="1"/>
      <c r="M66" s="1"/>
      <c r="N66" s="1"/>
      <c r="O66" s="1"/>
      <c r="P66" s="1"/>
      <c r="Q66" s="1"/>
      <c r="R66" s="1"/>
      <c r="S66" s="1"/>
    </row>
    <row r="67" ht="14.25" customHeight="1">
      <c r="A67" s="177" t="s">
        <v>2012</v>
      </c>
      <c r="B67" s="198">
        <v>3.0</v>
      </c>
      <c r="C67" s="27">
        <f t="shared" si="4"/>
        <v>0.6</v>
      </c>
      <c r="D67" s="204" t="s">
        <v>14</v>
      </c>
      <c r="E67" s="66"/>
      <c r="F67" s="1"/>
      <c r="G67" s="1"/>
      <c r="H67" s="1"/>
      <c r="I67" s="1"/>
      <c r="J67" s="1"/>
      <c r="K67" s="1"/>
      <c r="L67" s="1"/>
      <c r="M67" s="1"/>
      <c r="N67" s="1"/>
      <c r="O67" s="1"/>
      <c r="P67" s="1"/>
      <c r="Q67" s="1"/>
      <c r="R67" s="1"/>
      <c r="S67" s="1"/>
    </row>
    <row r="68" ht="14.25" customHeight="1">
      <c r="A68" s="177" t="s">
        <v>1987</v>
      </c>
      <c r="B68" s="198">
        <v>250.0</v>
      </c>
      <c r="C68" s="27">
        <f t="shared" si="4"/>
        <v>50</v>
      </c>
      <c r="D68" s="204" t="s">
        <v>18</v>
      </c>
      <c r="E68" s="66"/>
      <c r="F68" s="1"/>
      <c r="G68" s="1">
        <f>0.25*1400</f>
        <v>350</v>
      </c>
      <c r="H68" s="1"/>
      <c r="I68" s="1"/>
      <c r="J68" s="1"/>
      <c r="K68" s="1"/>
      <c r="L68" s="1"/>
      <c r="M68" s="1"/>
      <c r="N68" s="1"/>
      <c r="O68" s="1"/>
      <c r="P68" s="1"/>
      <c r="Q68" s="1"/>
      <c r="R68" s="1"/>
      <c r="S68" s="1"/>
    </row>
    <row r="69" ht="14.25" customHeight="1">
      <c r="A69" s="177" t="s">
        <v>252</v>
      </c>
      <c r="B69" s="198">
        <v>50.0</v>
      </c>
      <c r="C69" s="27">
        <f t="shared" si="4"/>
        <v>10</v>
      </c>
      <c r="D69" s="204" t="s">
        <v>18</v>
      </c>
      <c r="E69" s="106"/>
      <c r="F69" s="1"/>
      <c r="G69" s="1"/>
      <c r="H69" s="1"/>
      <c r="I69" s="1"/>
      <c r="J69" s="1"/>
      <c r="K69" s="1"/>
      <c r="L69" s="1"/>
      <c r="M69" s="1"/>
      <c r="N69" s="1"/>
      <c r="O69" s="1"/>
      <c r="P69" s="1"/>
      <c r="Q69" s="1"/>
      <c r="R69" s="1"/>
      <c r="S69" s="1"/>
    </row>
    <row r="70" ht="14.25" customHeight="1">
      <c r="A70" s="208" t="s">
        <v>2014</v>
      </c>
      <c r="B70" s="211">
        <v>200.0</v>
      </c>
      <c r="C70" s="236">
        <f t="shared" si="4"/>
        <v>40</v>
      </c>
      <c r="D70" s="212" t="s">
        <v>18</v>
      </c>
      <c r="E70" s="44" t="s">
        <v>2015</v>
      </c>
      <c r="F70" s="1"/>
      <c r="G70" s="1"/>
      <c r="H70" s="1"/>
      <c r="I70" s="1"/>
      <c r="J70" s="1"/>
      <c r="K70" s="1"/>
      <c r="L70" s="1"/>
      <c r="M70" s="1"/>
      <c r="N70" s="1"/>
      <c r="O70" s="1"/>
      <c r="P70" s="1"/>
      <c r="Q70" s="1"/>
      <c r="R70" s="1"/>
      <c r="S70" s="1"/>
    </row>
    <row r="71" ht="14.25" customHeight="1">
      <c r="A71" s="157" t="s">
        <v>2016</v>
      </c>
      <c r="B71" s="390">
        <v>10.0</v>
      </c>
      <c r="C71" s="244">
        <f t="shared" si="4"/>
        <v>2</v>
      </c>
      <c r="D71" s="159" t="s">
        <v>14</v>
      </c>
      <c r="E71" s="47"/>
      <c r="F71" s="1"/>
      <c r="G71" s="1"/>
      <c r="H71" s="1"/>
      <c r="I71" s="1"/>
      <c r="J71" s="1"/>
      <c r="K71" s="1"/>
      <c r="L71" s="1"/>
      <c r="M71" s="1"/>
      <c r="N71" s="1"/>
      <c r="O71" s="1"/>
      <c r="P71" s="1"/>
      <c r="Q71" s="1"/>
      <c r="R71" s="1"/>
      <c r="S71" s="1"/>
    </row>
    <row r="72" ht="14.25" customHeight="1">
      <c r="A72" s="177" t="s">
        <v>2017</v>
      </c>
      <c r="B72" s="198">
        <v>2.5</v>
      </c>
      <c r="C72" s="244">
        <f t="shared" si="4"/>
        <v>0.5</v>
      </c>
      <c r="D72" s="204" t="s">
        <v>14</v>
      </c>
      <c r="E72" s="47"/>
      <c r="F72" s="1"/>
      <c r="G72" s="1"/>
      <c r="H72" s="1"/>
      <c r="I72" s="1"/>
      <c r="J72" s="1"/>
      <c r="K72" s="1"/>
      <c r="L72" s="1"/>
      <c r="M72" s="1"/>
      <c r="N72" s="1"/>
      <c r="O72" s="1"/>
      <c r="P72" s="1"/>
      <c r="Q72" s="1"/>
      <c r="R72" s="1"/>
      <c r="S72" s="1"/>
    </row>
    <row r="73" ht="14.25" customHeight="1">
      <c r="A73" s="177" t="s">
        <v>216</v>
      </c>
      <c r="B73" s="198">
        <v>3.0</v>
      </c>
      <c r="C73" s="244">
        <f t="shared" si="4"/>
        <v>0.6</v>
      </c>
      <c r="D73" s="204" t="s">
        <v>14</v>
      </c>
      <c r="E73" s="47"/>
      <c r="F73" s="1"/>
      <c r="G73" s="1"/>
      <c r="H73" s="1"/>
      <c r="I73" s="1"/>
      <c r="J73" s="1"/>
      <c r="K73" s="1"/>
      <c r="L73" s="1"/>
      <c r="M73" s="1"/>
      <c r="N73" s="1"/>
      <c r="O73" s="1"/>
      <c r="P73" s="1"/>
      <c r="Q73" s="1"/>
      <c r="R73" s="1"/>
      <c r="S73" s="1"/>
    </row>
    <row r="74" ht="14.25" customHeight="1">
      <c r="A74" s="177" t="s">
        <v>31</v>
      </c>
      <c r="B74" s="198">
        <v>1200.0</v>
      </c>
      <c r="C74" s="244">
        <f t="shared" si="4"/>
        <v>240</v>
      </c>
      <c r="D74" s="204" t="s">
        <v>18</v>
      </c>
      <c r="E74" s="76"/>
      <c r="F74" s="1"/>
      <c r="G74" s="1"/>
      <c r="H74" s="1"/>
      <c r="I74" s="1"/>
      <c r="J74" s="1"/>
      <c r="K74" s="1"/>
      <c r="L74" s="1"/>
      <c r="M74" s="1"/>
      <c r="N74" s="1"/>
      <c r="O74" s="1"/>
      <c r="P74" s="1"/>
      <c r="Q74" s="1"/>
      <c r="R74" s="1"/>
      <c r="S74" s="1"/>
    </row>
    <row r="75" ht="14.25" customHeight="1">
      <c r="A75" s="262" t="s">
        <v>13</v>
      </c>
      <c r="B75" s="383">
        <v>1.2</v>
      </c>
      <c r="C75" s="1248">
        <f t="shared" si="4"/>
        <v>0.24</v>
      </c>
      <c r="D75" s="267" t="s">
        <v>14</v>
      </c>
      <c r="E75" s="44" t="s">
        <v>2020</v>
      </c>
      <c r="F75" s="1"/>
      <c r="G75" s="1"/>
      <c r="H75" s="1"/>
      <c r="I75" s="1"/>
      <c r="J75" s="1"/>
      <c r="K75" s="1"/>
      <c r="L75" s="1"/>
      <c r="M75" s="1"/>
      <c r="N75" s="1"/>
      <c r="O75" s="1"/>
      <c r="P75" s="1"/>
      <c r="Q75" s="1"/>
      <c r="R75" s="1"/>
      <c r="S75" s="1"/>
    </row>
    <row r="76" ht="14.25" customHeight="1">
      <c r="A76" s="458" t="s">
        <v>2022</v>
      </c>
      <c r="B76" s="460">
        <v>2.5</v>
      </c>
      <c r="C76" s="71">
        <f t="shared" si="4"/>
        <v>0.5</v>
      </c>
      <c r="D76" s="463" t="s">
        <v>14</v>
      </c>
      <c r="E76" s="1730" t="s">
        <v>2023</v>
      </c>
      <c r="F76" s="1"/>
      <c r="G76" s="1"/>
      <c r="H76" s="1"/>
      <c r="I76" s="1"/>
      <c r="J76" s="1"/>
      <c r="K76" s="1"/>
      <c r="L76" s="1"/>
      <c r="M76" s="1"/>
      <c r="N76" s="1"/>
      <c r="O76" s="1"/>
      <c r="P76" s="1"/>
      <c r="Q76" s="1"/>
      <c r="R76" s="1"/>
      <c r="S76" s="1"/>
    </row>
    <row r="77" ht="14.25" customHeight="1">
      <c r="A77" s="177" t="s">
        <v>2024</v>
      </c>
      <c r="B77" s="198">
        <v>1000.0</v>
      </c>
      <c r="C77" s="27">
        <f t="shared" si="4"/>
        <v>200</v>
      </c>
      <c r="D77" s="993" t="s">
        <v>18</v>
      </c>
      <c r="E77" s="1730" t="s">
        <v>2025</v>
      </c>
      <c r="F77" s="1"/>
      <c r="G77" s="1"/>
      <c r="H77" s="1"/>
      <c r="I77" s="1"/>
      <c r="J77" s="1"/>
      <c r="K77" s="1"/>
      <c r="L77" s="1"/>
      <c r="M77" s="1"/>
      <c r="N77" s="1"/>
      <c r="O77" s="1"/>
      <c r="P77" s="1"/>
      <c r="Q77" s="1"/>
      <c r="R77" s="1"/>
      <c r="S77" s="1"/>
    </row>
    <row r="78" ht="14.25" customHeight="1">
      <c r="A78" s="458" t="s">
        <v>167</v>
      </c>
      <c r="B78" s="460">
        <v>0.4</v>
      </c>
      <c r="C78" s="71">
        <f t="shared" si="4"/>
        <v>0.08</v>
      </c>
      <c r="D78" s="1008" t="s">
        <v>5</v>
      </c>
      <c r="E78" s="1"/>
      <c r="F78" s="1"/>
      <c r="G78" s="1"/>
      <c r="H78" s="1"/>
      <c r="I78" s="1"/>
      <c r="J78" s="1"/>
      <c r="K78" s="1"/>
      <c r="L78" s="1"/>
      <c r="M78" s="1"/>
      <c r="N78" s="1"/>
      <c r="O78" s="1"/>
      <c r="P78" s="1"/>
      <c r="Q78" s="1"/>
      <c r="R78" s="1"/>
      <c r="S78" s="1"/>
    </row>
    <row r="79" ht="14.25" customHeight="1">
      <c r="A79" s="215" t="s">
        <v>42</v>
      </c>
      <c r="B79" s="893" t="s">
        <v>47</v>
      </c>
      <c r="C79" s="107"/>
      <c r="D79" s="1"/>
      <c r="E79" s="1"/>
      <c r="F79" s="1"/>
      <c r="G79" s="1"/>
      <c r="H79" s="1"/>
      <c r="I79" s="1"/>
      <c r="J79" s="1"/>
      <c r="K79" s="1"/>
      <c r="L79" s="1"/>
      <c r="M79" s="1"/>
      <c r="N79" s="1"/>
      <c r="O79" s="1"/>
      <c r="P79" s="1"/>
      <c r="Q79" s="1"/>
      <c r="R79" s="1"/>
      <c r="S79" s="1"/>
    </row>
    <row r="80" ht="14.25" customHeight="1">
      <c r="A80" s="786" t="s">
        <v>49</v>
      </c>
      <c r="B80" s="303">
        <v>41095.0</v>
      </c>
      <c r="C80" s="107"/>
      <c r="D80" s="1"/>
      <c r="E80" s="1"/>
      <c r="F80" s="1"/>
      <c r="G80" s="1"/>
      <c r="H80" s="1"/>
      <c r="I80" s="1"/>
      <c r="J80" s="1"/>
      <c r="K80" s="1"/>
      <c r="L80" s="1"/>
      <c r="M80" s="1"/>
      <c r="N80" s="1"/>
      <c r="O80" s="1"/>
      <c r="P80" s="1"/>
      <c r="Q80" s="1"/>
      <c r="R80" s="1"/>
      <c r="S80" s="1"/>
    </row>
    <row r="81" ht="14.25" customHeight="1">
      <c r="A81" s="786" t="s">
        <v>50</v>
      </c>
      <c r="B81" s="303">
        <v>41812.0</v>
      </c>
      <c r="C81" s="107"/>
      <c r="D81" s="1"/>
      <c r="E81" s="141"/>
      <c r="F81" s="1"/>
      <c r="G81" s="1"/>
      <c r="H81" s="1"/>
      <c r="I81" s="1"/>
      <c r="J81" s="1"/>
      <c r="K81" s="1"/>
      <c r="L81" s="1"/>
      <c r="M81" s="1"/>
      <c r="N81" s="1"/>
      <c r="O81" s="1"/>
      <c r="P81" s="1"/>
      <c r="Q81" s="1"/>
      <c r="R81" s="1"/>
      <c r="S81" s="1"/>
    </row>
    <row r="82" ht="14.25" customHeight="1">
      <c r="A82" s="1"/>
      <c r="B82" s="1"/>
      <c r="C82" s="107"/>
      <c r="D82" s="1"/>
      <c r="E82" s="141"/>
      <c r="F82" s="1"/>
      <c r="G82" s="1"/>
      <c r="H82" s="1"/>
      <c r="I82" s="1"/>
      <c r="J82" s="1"/>
      <c r="K82" s="1"/>
      <c r="L82" s="1"/>
      <c r="M82" s="1"/>
      <c r="N82" s="1"/>
      <c r="O82" s="1"/>
      <c r="P82" s="1"/>
      <c r="Q82" s="1"/>
      <c r="R82" s="1"/>
      <c r="S82" s="1"/>
    </row>
    <row r="83" ht="14.25" customHeight="1">
      <c r="A83" s="1"/>
      <c r="B83" s="1"/>
      <c r="C83" s="107"/>
      <c r="D83" s="1"/>
      <c r="E83" s="141"/>
      <c r="F83" s="1"/>
      <c r="G83" s="1"/>
      <c r="H83" s="1"/>
      <c r="I83" s="1"/>
      <c r="J83" s="1"/>
      <c r="K83" s="1"/>
      <c r="L83" s="1"/>
      <c r="M83" s="1"/>
      <c r="N83" s="1"/>
      <c r="O83" s="1"/>
      <c r="P83" s="1"/>
      <c r="Q83" s="1"/>
      <c r="R83" s="1"/>
      <c r="S83" s="1"/>
    </row>
    <row r="84" ht="14.25" customHeight="1">
      <c r="A84" s="1"/>
      <c r="B84" s="1"/>
      <c r="C84" s="107"/>
      <c r="D84" s="1"/>
      <c r="E84" s="141"/>
      <c r="F84" s="1"/>
      <c r="G84" s="1"/>
      <c r="H84" s="1"/>
      <c r="I84" s="1"/>
      <c r="J84" s="1"/>
      <c r="K84" s="1"/>
      <c r="L84" s="1"/>
      <c r="M84" s="1"/>
      <c r="N84" s="1"/>
      <c r="O84" s="1"/>
      <c r="P84" s="1"/>
      <c r="Q84" s="1"/>
      <c r="R84" s="1"/>
      <c r="S84" s="1"/>
    </row>
    <row r="85" ht="14.25" customHeight="1">
      <c r="A85" s="1790" t="s">
        <v>2027</v>
      </c>
      <c r="B85" s="5"/>
      <c r="C85" s="5"/>
      <c r="D85" s="6"/>
      <c r="E85" s="141"/>
      <c r="F85" s="1"/>
      <c r="G85" s="1"/>
      <c r="H85" s="1"/>
      <c r="I85" s="1"/>
      <c r="J85" s="1"/>
      <c r="K85" s="1"/>
      <c r="L85" s="1"/>
      <c r="M85" s="1"/>
      <c r="N85" s="1"/>
      <c r="O85" s="1"/>
      <c r="P85" s="1"/>
      <c r="Q85" s="1"/>
      <c r="R85" s="1"/>
      <c r="S85" s="1"/>
    </row>
    <row r="86" ht="14.25" customHeight="1">
      <c r="A86" s="360" t="s">
        <v>1</v>
      </c>
      <c r="B86" s="1395">
        <v>60.0</v>
      </c>
      <c r="C86" s="71">
        <v>160.0</v>
      </c>
      <c r="D86" s="366" t="s">
        <v>5</v>
      </c>
      <c r="E86" s="141"/>
      <c r="F86" s="1"/>
      <c r="G86" s="1"/>
      <c r="H86" s="1"/>
      <c r="I86" s="1"/>
      <c r="J86" s="1"/>
      <c r="K86" s="1"/>
      <c r="L86" s="1"/>
      <c r="M86" s="1"/>
      <c r="N86" s="1"/>
      <c r="O86" s="1"/>
      <c r="P86" s="1"/>
      <c r="Q86" s="1"/>
      <c r="R86" s="1"/>
      <c r="S86" s="1"/>
    </row>
    <row r="87" ht="14.25" customHeight="1">
      <c r="A87" s="360" t="s">
        <v>79</v>
      </c>
      <c r="B87" s="1395">
        <v>30.0</v>
      </c>
      <c r="C87" s="71">
        <f t="shared" ref="C87:C93" si="5">(B87*C86)/B86</f>
        <v>80</v>
      </c>
      <c r="D87" s="366" t="s">
        <v>366</v>
      </c>
      <c r="E87" s="141"/>
      <c r="F87" s="1"/>
      <c r="G87" s="1"/>
      <c r="H87" s="1"/>
      <c r="I87" s="1"/>
      <c r="J87" s="1"/>
      <c r="K87" s="1"/>
      <c r="L87" s="1"/>
      <c r="M87" s="1"/>
      <c r="N87" s="1"/>
      <c r="O87" s="1"/>
      <c r="P87" s="1"/>
      <c r="Q87" s="1"/>
      <c r="R87" s="1"/>
      <c r="S87" s="1"/>
    </row>
    <row r="88" ht="14.25" customHeight="1">
      <c r="A88" s="345" t="s">
        <v>1853</v>
      </c>
      <c r="B88" s="1792">
        <v>1.0</v>
      </c>
      <c r="C88" s="1793">
        <f t="shared" si="5"/>
        <v>2.666666667</v>
      </c>
      <c r="D88" s="348" t="s">
        <v>366</v>
      </c>
      <c r="E88" s="141"/>
      <c r="F88" s="1"/>
      <c r="G88" s="1"/>
      <c r="H88" s="1"/>
      <c r="I88" s="1"/>
      <c r="J88" s="1"/>
      <c r="K88" s="1"/>
      <c r="L88" s="1"/>
      <c r="M88" s="1"/>
      <c r="N88" s="1"/>
      <c r="O88" s="1"/>
      <c r="P88" s="1"/>
      <c r="Q88" s="1"/>
      <c r="R88" s="1"/>
      <c r="S88" s="1"/>
    </row>
    <row r="89" ht="14.25" customHeight="1">
      <c r="A89" s="350" t="s">
        <v>103</v>
      </c>
      <c r="B89" s="1498">
        <v>0.17</v>
      </c>
      <c r="C89" s="1794">
        <f t="shared" si="5"/>
        <v>0.4533333333</v>
      </c>
      <c r="D89" s="352" t="s">
        <v>366</v>
      </c>
      <c r="E89" s="141"/>
      <c r="F89" s="1"/>
      <c r="G89" s="1"/>
      <c r="H89" s="1"/>
      <c r="I89" s="1"/>
      <c r="J89" s="1"/>
      <c r="K89" s="1"/>
      <c r="L89" s="1"/>
      <c r="M89" s="1"/>
      <c r="N89" s="1"/>
      <c r="O89" s="1"/>
      <c r="P89" s="1"/>
      <c r="Q89" s="1"/>
      <c r="R89" s="1"/>
      <c r="S89" s="1"/>
    </row>
    <row r="90" ht="14.25" customHeight="1">
      <c r="A90" s="606" t="s">
        <v>2031</v>
      </c>
      <c r="B90" s="1502">
        <v>0.163</v>
      </c>
      <c r="C90" s="1796">
        <f t="shared" si="5"/>
        <v>0.4346666667</v>
      </c>
      <c r="D90" s="1475" t="s">
        <v>366</v>
      </c>
      <c r="E90" s="141"/>
      <c r="F90" s="1"/>
      <c r="G90" s="1"/>
      <c r="H90" s="1"/>
      <c r="I90" s="1"/>
      <c r="J90" s="1"/>
      <c r="K90" s="1"/>
      <c r="L90" s="1"/>
      <c r="M90" s="1"/>
      <c r="N90" s="1"/>
      <c r="O90" s="1"/>
      <c r="P90" s="1"/>
      <c r="Q90" s="1"/>
      <c r="R90" s="1"/>
      <c r="S90" s="1"/>
    </row>
    <row r="91" ht="14.25" customHeight="1">
      <c r="A91" s="345" t="s">
        <v>551</v>
      </c>
      <c r="B91" s="1792">
        <v>0.45</v>
      </c>
      <c r="C91" s="221">
        <f t="shared" si="5"/>
        <v>1.2</v>
      </c>
      <c r="D91" s="348" t="s">
        <v>366</v>
      </c>
      <c r="E91" s="141"/>
      <c r="F91" s="1"/>
      <c r="G91" s="1"/>
      <c r="H91" s="1"/>
      <c r="I91" s="1"/>
      <c r="J91" s="1"/>
      <c r="K91" s="1"/>
      <c r="L91" s="1"/>
      <c r="M91" s="1"/>
      <c r="N91" s="1"/>
      <c r="O91" s="1"/>
      <c r="P91" s="1"/>
      <c r="Q91" s="1"/>
      <c r="R91" s="1"/>
      <c r="S91" s="1"/>
    </row>
    <row r="92" ht="14.25" customHeight="1">
      <c r="A92" s="350" t="s">
        <v>13</v>
      </c>
      <c r="B92" s="1498">
        <v>0.7</v>
      </c>
      <c r="C92" s="1794">
        <f t="shared" si="5"/>
        <v>1.866666667</v>
      </c>
      <c r="D92" s="352" t="s">
        <v>366</v>
      </c>
      <c r="E92" s="141"/>
      <c r="F92" s="1"/>
      <c r="G92" s="1"/>
      <c r="H92" s="1"/>
      <c r="I92" s="1"/>
      <c r="J92" s="1"/>
      <c r="K92" s="1"/>
      <c r="L92" s="1"/>
      <c r="M92" s="1"/>
      <c r="N92" s="1"/>
      <c r="O92" s="1"/>
      <c r="P92" s="1"/>
      <c r="Q92" s="1"/>
      <c r="R92" s="1"/>
      <c r="S92" s="1"/>
    </row>
    <row r="93" ht="14.25" customHeight="1">
      <c r="A93" s="354" t="s">
        <v>2036</v>
      </c>
      <c r="B93" s="1498">
        <v>1.25</v>
      </c>
      <c r="C93" s="1794">
        <f t="shared" si="5"/>
        <v>3.333333333</v>
      </c>
      <c r="D93" s="356" t="s">
        <v>366</v>
      </c>
      <c r="E93" s="141"/>
      <c r="F93" s="1"/>
      <c r="G93" s="1"/>
      <c r="H93" s="1"/>
      <c r="I93" s="1"/>
      <c r="J93" s="1"/>
      <c r="K93" s="1"/>
      <c r="L93" s="1"/>
      <c r="M93" s="1"/>
      <c r="N93" s="1"/>
      <c r="O93" s="1"/>
      <c r="P93" s="1"/>
      <c r="Q93" s="1"/>
      <c r="R93" s="1"/>
      <c r="S93" s="1"/>
    </row>
    <row r="94" ht="14.25" customHeight="1">
      <c r="A94" s="606" t="s">
        <v>2038</v>
      </c>
      <c r="B94" s="1502">
        <v>1.25</v>
      </c>
      <c r="C94" s="1796">
        <f>(B94*C92)/B92</f>
        <v>3.333333333</v>
      </c>
      <c r="D94" s="1475" t="s">
        <v>366</v>
      </c>
      <c r="E94" s="141"/>
      <c r="F94" s="1"/>
      <c r="G94" s="1"/>
      <c r="H94" s="1"/>
      <c r="I94" s="1"/>
      <c r="J94" s="1"/>
      <c r="K94" s="1"/>
      <c r="L94" s="1"/>
      <c r="M94" s="1"/>
      <c r="N94" s="1"/>
      <c r="O94" s="1"/>
      <c r="P94" s="1"/>
      <c r="Q94" s="1"/>
      <c r="R94" s="1"/>
      <c r="S94" s="1"/>
    </row>
    <row r="95" ht="14.25" customHeight="1">
      <c r="A95" s="345" t="s">
        <v>216</v>
      </c>
      <c r="B95" s="1792">
        <v>225.0</v>
      </c>
      <c r="C95" s="221">
        <f t="shared" ref="C95:C96" si="6">(B95*C94)/B94</f>
        <v>600</v>
      </c>
      <c r="D95" s="348" t="s">
        <v>18</v>
      </c>
      <c r="E95" s="141"/>
      <c r="F95" s="1"/>
      <c r="G95" s="1"/>
      <c r="H95" s="1"/>
      <c r="I95" s="1"/>
      <c r="J95" s="1"/>
      <c r="K95" s="1"/>
      <c r="L95" s="1"/>
      <c r="M95" s="1"/>
      <c r="N95" s="1"/>
      <c r="O95" s="1"/>
      <c r="P95" s="1"/>
      <c r="Q95" s="1"/>
      <c r="R95" s="1"/>
      <c r="S95" s="1"/>
    </row>
    <row r="96" ht="14.25" customHeight="1">
      <c r="A96" s="606" t="s">
        <v>2039</v>
      </c>
      <c r="B96" s="1502">
        <v>1.0</v>
      </c>
      <c r="C96" s="1796">
        <f t="shared" si="6"/>
        <v>2.666666667</v>
      </c>
      <c r="D96" s="1475" t="s">
        <v>5</v>
      </c>
      <c r="E96" s="141"/>
      <c r="F96" s="1"/>
      <c r="G96" s="1"/>
      <c r="H96" s="1"/>
      <c r="I96" s="1"/>
      <c r="J96" s="1"/>
      <c r="K96" s="1"/>
      <c r="L96" s="1"/>
      <c r="M96" s="1"/>
      <c r="N96" s="1"/>
      <c r="O96" s="1"/>
      <c r="P96" s="1"/>
      <c r="Q96" s="1"/>
      <c r="R96" s="1"/>
      <c r="S96" s="1"/>
    </row>
    <row r="97" ht="14.25" customHeight="1">
      <c r="A97" s="345" t="s">
        <v>2040</v>
      </c>
      <c r="B97" s="1792">
        <v>0.5</v>
      </c>
      <c r="C97" s="1793">
        <f t="shared" ref="C97:C99" si="7">(B97*C94)/B94</f>
        <v>1.333333333</v>
      </c>
      <c r="D97" s="348" t="s">
        <v>366</v>
      </c>
      <c r="E97" s="1"/>
      <c r="F97" s="1"/>
      <c r="G97" s="1"/>
      <c r="H97" s="1"/>
      <c r="I97" s="1"/>
      <c r="J97" s="1"/>
      <c r="K97" s="1"/>
      <c r="L97" s="1"/>
      <c r="M97" s="1"/>
      <c r="N97" s="1"/>
      <c r="O97" s="1"/>
      <c r="P97" s="1"/>
      <c r="Q97" s="1"/>
      <c r="R97" s="1"/>
      <c r="S97" s="1"/>
    </row>
    <row r="98" ht="14.25" customHeight="1">
      <c r="A98" s="591" t="s">
        <v>2042</v>
      </c>
      <c r="B98" s="1498">
        <v>0.5</v>
      </c>
      <c r="C98" s="1794">
        <f t="shared" si="7"/>
        <v>1.333333333</v>
      </c>
      <c r="D98" s="1457" t="s">
        <v>366</v>
      </c>
      <c r="E98" s="1"/>
      <c r="F98" s="1"/>
      <c r="G98" s="1"/>
      <c r="H98" s="1"/>
      <c r="I98" s="1"/>
      <c r="J98" s="1"/>
      <c r="K98" s="1"/>
      <c r="L98" s="1"/>
      <c r="M98" s="1"/>
      <c r="N98" s="1"/>
      <c r="O98" s="1"/>
      <c r="P98" s="1"/>
      <c r="Q98" s="1"/>
      <c r="R98" s="1"/>
      <c r="S98" s="1"/>
    </row>
    <row r="99" ht="14.25" customHeight="1">
      <c r="A99" s="1806" t="s">
        <v>2043</v>
      </c>
      <c r="B99" s="1502">
        <v>2.0</v>
      </c>
      <c r="C99" s="1796">
        <f t="shared" si="7"/>
        <v>5.333333333</v>
      </c>
      <c r="D99" s="1810" t="s">
        <v>5</v>
      </c>
      <c r="E99" s="1"/>
      <c r="F99" s="1"/>
      <c r="G99" s="1"/>
      <c r="H99" s="1"/>
      <c r="I99" s="1"/>
      <c r="J99" s="1"/>
      <c r="K99" s="1"/>
      <c r="L99" s="1"/>
      <c r="M99" s="1"/>
      <c r="N99" s="1"/>
      <c r="O99" s="1"/>
      <c r="P99" s="1"/>
      <c r="Q99" s="1"/>
      <c r="R99" s="1"/>
      <c r="S99" s="1"/>
    </row>
    <row r="100" ht="14.25" customHeight="1">
      <c r="A100" s="215" t="s">
        <v>42</v>
      </c>
      <c r="B100" s="1"/>
      <c r="C100" s="107"/>
      <c r="D100" s="1"/>
      <c r="E100" s="1"/>
      <c r="F100" s="1"/>
      <c r="G100" s="1"/>
      <c r="H100" s="1"/>
      <c r="I100" s="1"/>
      <c r="J100" s="1"/>
      <c r="K100" s="1"/>
      <c r="L100" s="1"/>
      <c r="M100" s="1"/>
      <c r="N100" s="1"/>
      <c r="O100" s="1"/>
      <c r="P100" s="1"/>
      <c r="Q100" s="1"/>
      <c r="R100" s="1"/>
      <c r="S100" s="1"/>
    </row>
    <row r="101" ht="14.25" customHeight="1">
      <c r="A101" s="786" t="s">
        <v>49</v>
      </c>
      <c r="B101" s="1"/>
      <c r="C101" s="107"/>
      <c r="D101" s="1"/>
      <c r="E101" s="1"/>
      <c r="F101" s="1"/>
      <c r="G101" s="1"/>
      <c r="H101" s="1"/>
      <c r="I101" s="1"/>
      <c r="J101" s="1"/>
      <c r="K101" s="1"/>
      <c r="L101" s="1"/>
      <c r="M101" s="1"/>
      <c r="N101" s="1"/>
      <c r="O101" s="1"/>
      <c r="P101" s="1"/>
      <c r="Q101" s="1"/>
      <c r="R101" s="1"/>
      <c r="S101" s="1"/>
    </row>
    <row r="102" ht="14.25" customHeight="1">
      <c r="A102" s="786" t="s">
        <v>50</v>
      </c>
      <c r="B102" s="1"/>
      <c r="C102" s="107"/>
      <c r="D102" s="1"/>
      <c r="E102" s="141"/>
      <c r="F102" s="1"/>
      <c r="G102" s="1"/>
      <c r="H102" s="1"/>
      <c r="I102" s="1"/>
      <c r="J102" s="1"/>
      <c r="K102" s="1"/>
      <c r="L102" s="1"/>
      <c r="M102" s="1"/>
      <c r="N102" s="1"/>
      <c r="O102" s="1"/>
      <c r="P102" s="1"/>
      <c r="Q102" s="1"/>
      <c r="R102" s="1"/>
      <c r="S102" s="1"/>
    </row>
    <row r="103" ht="14.25" customHeight="1">
      <c r="A103" s="1790" t="s">
        <v>2027</v>
      </c>
      <c r="B103" s="5"/>
      <c r="C103" s="5"/>
      <c r="D103" s="6"/>
      <c r="E103" s="141"/>
      <c r="F103" s="1815" t="s">
        <v>42</v>
      </c>
      <c r="G103" s="1815" t="s">
        <v>47</v>
      </c>
      <c r="H103" s="1"/>
      <c r="I103" s="1"/>
      <c r="J103" s="1312" t="s">
        <v>2048</v>
      </c>
      <c r="K103" s="1">
        <v>30.0</v>
      </c>
      <c r="L103" s="1" t="s">
        <v>366</v>
      </c>
      <c r="M103" s="1"/>
      <c r="N103" s="1"/>
      <c r="O103" s="1"/>
      <c r="P103" s="1817" t="s">
        <v>2027</v>
      </c>
      <c r="Q103" s="5"/>
      <c r="R103" s="5"/>
      <c r="S103" s="6"/>
    </row>
    <row r="104" ht="14.25" customHeight="1">
      <c r="A104" s="360" t="s">
        <v>1</v>
      </c>
      <c r="B104" s="1395">
        <v>60.0</v>
      </c>
      <c r="C104" s="71">
        <v>10.0</v>
      </c>
      <c r="D104" s="366" t="s">
        <v>5</v>
      </c>
      <c r="E104" s="578" t="s">
        <v>2049</v>
      </c>
      <c r="F104" s="1172" t="s">
        <v>800</v>
      </c>
      <c r="G104" s="1174" t="s">
        <v>802</v>
      </c>
      <c r="H104" s="1"/>
      <c r="I104" s="1"/>
      <c r="J104" s="1312" t="s">
        <v>2050</v>
      </c>
      <c r="K104" s="1">
        <v>1.0</v>
      </c>
      <c r="L104" s="1" t="s">
        <v>366</v>
      </c>
      <c r="M104" s="1"/>
      <c r="N104" s="1"/>
      <c r="O104" s="1"/>
      <c r="P104" s="360" t="s">
        <v>1</v>
      </c>
      <c r="Q104" s="1820">
        <v>60.0</v>
      </c>
      <c r="R104" s="1654">
        <v>10.0</v>
      </c>
      <c r="S104" s="1397" t="s">
        <v>5</v>
      </c>
    </row>
    <row r="105" ht="14.25" customHeight="1">
      <c r="A105" s="360" t="s">
        <v>79</v>
      </c>
      <c r="B105" s="1395">
        <v>30.0</v>
      </c>
      <c r="C105" s="71">
        <f t="shared" ref="C105:C111" si="8">(B105*C104)/B104</f>
        <v>5</v>
      </c>
      <c r="D105" s="366" t="s">
        <v>366</v>
      </c>
      <c r="E105" s="44" t="s">
        <v>2052</v>
      </c>
      <c r="F105" s="1782"/>
      <c r="G105" s="1584" t="str">
        <f>F105*#REF!</f>
        <v>#REF!</v>
      </c>
      <c r="H105" s="1"/>
      <c r="I105" s="1"/>
      <c r="J105" s="1312" t="s">
        <v>2053</v>
      </c>
      <c r="K105" s="1">
        <v>1.0</v>
      </c>
      <c r="L105" s="1" t="s">
        <v>1364</v>
      </c>
      <c r="M105" s="1"/>
      <c r="N105" s="1"/>
      <c r="O105" s="1"/>
      <c r="P105" s="360" t="s">
        <v>79</v>
      </c>
      <c r="Q105" s="1820">
        <v>33.0</v>
      </c>
      <c r="R105" s="1497">
        <f t="shared" ref="R105:R111" si="9">(Q105*R104)/Q104</f>
        <v>5.5</v>
      </c>
      <c r="S105" s="1397" t="s">
        <v>366</v>
      </c>
    </row>
    <row r="106" ht="14.25" customHeight="1">
      <c r="A106" s="345" t="s">
        <v>1853</v>
      </c>
      <c r="B106" s="1792">
        <v>1.0</v>
      </c>
      <c r="C106" s="722">
        <f t="shared" si="8"/>
        <v>0.1666666667</v>
      </c>
      <c r="D106" s="348" t="s">
        <v>366</v>
      </c>
      <c r="E106" s="47"/>
      <c r="F106" s="1824"/>
      <c r="G106" s="1588">
        <f t="shared" ref="G106:G110" si="10">F106*C106</f>
        <v>0</v>
      </c>
      <c r="H106" s="1"/>
      <c r="I106" s="1"/>
      <c r="J106" s="1312" t="s">
        <v>1427</v>
      </c>
      <c r="K106" s="1">
        <v>1.0</v>
      </c>
      <c r="L106" s="1" t="s">
        <v>1364</v>
      </c>
      <c r="M106" s="1"/>
      <c r="N106" s="1"/>
      <c r="O106" s="1"/>
      <c r="P106" s="345" t="s">
        <v>1853</v>
      </c>
      <c r="Q106" s="1826">
        <v>1.0</v>
      </c>
      <c r="R106" s="1490">
        <f t="shared" si="9"/>
        <v>0.1666666667</v>
      </c>
      <c r="S106" s="1398" t="s">
        <v>366</v>
      </c>
    </row>
    <row r="107" ht="14.25" customHeight="1">
      <c r="A107" s="350" t="s">
        <v>103</v>
      </c>
      <c r="B107" s="1498">
        <v>0.17</v>
      </c>
      <c r="C107" s="712">
        <f t="shared" si="8"/>
        <v>0.02833333333</v>
      </c>
      <c r="D107" s="352" t="s">
        <v>366</v>
      </c>
      <c r="E107" s="76"/>
      <c r="F107" s="1824"/>
      <c r="G107" s="1588">
        <f t="shared" si="10"/>
        <v>0</v>
      </c>
      <c r="H107" s="1"/>
      <c r="I107" s="1"/>
      <c r="J107" s="1312" t="s">
        <v>2062</v>
      </c>
      <c r="K107" s="1">
        <v>1.25</v>
      </c>
      <c r="L107" s="1" t="s">
        <v>1364</v>
      </c>
      <c r="M107" s="1"/>
      <c r="N107" s="1"/>
      <c r="O107" s="1"/>
      <c r="P107" s="350" t="s">
        <v>103</v>
      </c>
      <c r="Q107" s="1835">
        <v>0.17</v>
      </c>
      <c r="R107" s="1246">
        <f t="shared" si="9"/>
        <v>0.02833333333</v>
      </c>
      <c r="S107" s="1399" t="s">
        <v>366</v>
      </c>
    </row>
    <row r="108" ht="14.25" customHeight="1">
      <c r="A108" s="606" t="s">
        <v>2031</v>
      </c>
      <c r="B108" s="1502">
        <v>0.163</v>
      </c>
      <c r="C108" s="724">
        <f t="shared" si="8"/>
        <v>0.02716666667</v>
      </c>
      <c r="D108" s="1475" t="s">
        <v>366</v>
      </c>
      <c r="E108" s="44" t="s">
        <v>2066</v>
      </c>
      <c r="F108" s="1837"/>
      <c r="G108" s="1588">
        <f t="shared" si="10"/>
        <v>0</v>
      </c>
      <c r="H108" s="1"/>
      <c r="I108" s="1"/>
      <c r="J108" s="1312" t="s">
        <v>2067</v>
      </c>
      <c r="K108" s="1">
        <v>1.25</v>
      </c>
      <c r="L108" s="1" t="s">
        <v>1364</v>
      </c>
      <c r="M108" s="1"/>
      <c r="N108" s="1"/>
      <c r="O108" s="1"/>
      <c r="P108" s="606" t="s">
        <v>2031</v>
      </c>
      <c r="Q108" s="1840">
        <v>0.21</v>
      </c>
      <c r="R108" s="1492">
        <f t="shared" si="9"/>
        <v>0.035</v>
      </c>
      <c r="S108" s="1403" t="s">
        <v>366</v>
      </c>
    </row>
    <row r="109" ht="14.25" customHeight="1">
      <c r="A109" s="345" t="s">
        <v>551</v>
      </c>
      <c r="B109" s="1792">
        <v>0.542</v>
      </c>
      <c r="C109" s="722">
        <f t="shared" si="8"/>
        <v>0.09033333333</v>
      </c>
      <c r="D109" s="348" t="s">
        <v>366</v>
      </c>
      <c r="E109" s="47"/>
      <c r="F109" s="1837"/>
      <c r="G109" s="1588">
        <f t="shared" si="10"/>
        <v>0</v>
      </c>
      <c r="H109" s="1"/>
      <c r="I109" s="1"/>
      <c r="J109" s="1312" t="s">
        <v>13</v>
      </c>
      <c r="K109" s="1">
        <v>1.2</v>
      </c>
      <c r="L109" s="1" t="s">
        <v>1369</v>
      </c>
      <c r="M109" s="1" t="s">
        <v>2070</v>
      </c>
      <c r="N109" s="1"/>
      <c r="O109" s="1"/>
      <c r="P109" s="345" t="s">
        <v>551</v>
      </c>
      <c r="Q109" s="1826">
        <v>0.75</v>
      </c>
      <c r="R109" s="1490">
        <f t="shared" si="9"/>
        <v>0.125</v>
      </c>
      <c r="S109" s="1398" t="s">
        <v>366</v>
      </c>
    </row>
    <row r="110" ht="14.25" customHeight="1">
      <c r="A110" s="350" t="s">
        <v>13</v>
      </c>
      <c r="B110" s="1498">
        <v>0.7</v>
      </c>
      <c r="C110" s="712">
        <f t="shared" si="8"/>
        <v>0.1166666667</v>
      </c>
      <c r="D110" s="352" t="s">
        <v>366</v>
      </c>
      <c r="E110" s="47"/>
      <c r="F110" s="1837"/>
      <c r="G110" s="1588">
        <f t="shared" si="10"/>
        <v>0</v>
      </c>
      <c r="H110" s="1"/>
      <c r="I110" s="1"/>
      <c r="J110" s="1312" t="s">
        <v>31</v>
      </c>
      <c r="K110" s="1">
        <v>2.0</v>
      </c>
      <c r="L110" s="1" t="s">
        <v>1364</v>
      </c>
      <c r="M110" s="1" t="s">
        <v>2072</v>
      </c>
      <c r="N110" s="1"/>
      <c r="O110" s="1"/>
      <c r="P110" s="350" t="s">
        <v>13</v>
      </c>
      <c r="Q110" s="1835">
        <v>1.4</v>
      </c>
      <c r="R110" s="1246">
        <f t="shared" si="9"/>
        <v>0.2333333333</v>
      </c>
      <c r="S110" s="1399" t="s">
        <v>366</v>
      </c>
    </row>
    <row r="111" ht="14.25" customHeight="1">
      <c r="A111" s="354" t="s">
        <v>2036</v>
      </c>
      <c r="B111" s="1498">
        <v>1.25</v>
      </c>
      <c r="C111" s="712">
        <f t="shared" si="8"/>
        <v>0.2083333333</v>
      </c>
      <c r="D111" s="356" t="s">
        <v>366</v>
      </c>
      <c r="E111" s="76"/>
      <c r="F111" s="1837"/>
      <c r="G111" s="1588"/>
      <c r="H111" s="1"/>
      <c r="I111" s="1"/>
      <c r="J111" s="1312" t="s">
        <v>392</v>
      </c>
      <c r="K111" s="1">
        <v>2.0</v>
      </c>
      <c r="L111" s="1" t="s">
        <v>1364</v>
      </c>
      <c r="M111" s="1"/>
      <c r="N111" s="1"/>
      <c r="O111" s="1"/>
      <c r="P111" s="354" t="s">
        <v>2036</v>
      </c>
      <c r="Q111" s="1835">
        <v>40.0</v>
      </c>
      <c r="R111" s="1246">
        <f t="shared" si="9"/>
        <v>6.666666667</v>
      </c>
      <c r="S111" s="1845" t="s">
        <v>18</v>
      </c>
    </row>
    <row r="112" ht="14.25" customHeight="1">
      <c r="A112" s="606" t="s">
        <v>2038</v>
      </c>
      <c r="B112" s="1502">
        <v>1.25</v>
      </c>
      <c r="C112" s="724">
        <f>(B112*C110)/B110</f>
        <v>0.2083333333</v>
      </c>
      <c r="D112" s="1475" t="s">
        <v>366</v>
      </c>
      <c r="E112" s="44" t="s">
        <v>2073</v>
      </c>
      <c r="F112" s="1837"/>
      <c r="G112" s="1588">
        <f t="shared" ref="G112:G113" si="11">F112*C112</f>
        <v>0</v>
      </c>
      <c r="H112" s="1"/>
      <c r="I112" s="1"/>
      <c r="J112" s="1312" t="s">
        <v>2074</v>
      </c>
      <c r="K112" s="1">
        <v>0.5</v>
      </c>
      <c r="L112" s="1" t="s">
        <v>366</v>
      </c>
      <c r="M112" s="1"/>
      <c r="N112" s="1"/>
      <c r="O112" s="1"/>
      <c r="P112" s="606" t="s">
        <v>2038</v>
      </c>
      <c r="Q112" s="1840">
        <v>50.0</v>
      </c>
      <c r="R112" s="1492">
        <f>(Q112*R110)/Q110</f>
        <v>8.333333333</v>
      </c>
      <c r="S112" s="1403" t="s">
        <v>18</v>
      </c>
    </row>
    <row r="113" ht="14.25" customHeight="1">
      <c r="A113" s="345" t="s">
        <v>216</v>
      </c>
      <c r="B113" s="1792">
        <v>225.0</v>
      </c>
      <c r="C113" s="722">
        <f t="shared" ref="C113:C114" si="12">(B113*C112)/B112</f>
        <v>37.5</v>
      </c>
      <c r="D113" s="348" t="s">
        <v>18</v>
      </c>
      <c r="E113" s="76"/>
      <c r="F113" s="1837"/>
      <c r="G113" s="1588">
        <f t="shared" si="11"/>
        <v>0</v>
      </c>
      <c r="H113" s="1"/>
      <c r="I113" s="1"/>
      <c r="J113" s="1" t="s">
        <v>2076</v>
      </c>
      <c r="K113" s="1">
        <v>2.0</v>
      </c>
      <c r="L113" s="1" t="s">
        <v>1369</v>
      </c>
      <c r="M113" s="1"/>
      <c r="N113" s="1"/>
      <c r="O113" s="1"/>
      <c r="P113" s="345" t="s">
        <v>216</v>
      </c>
      <c r="Q113" s="1826">
        <v>550.0</v>
      </c>
      <c r="R113" s="1490">
        <f t="shared" ref="R113:R114" si="13">(Q113*R112)/Q112</f>
        <v>91.66666667</v>
      </c>
      <c r="S113" s="1398" t="s">
        <v>18</v>
      </c>
    </row>
    <row r="114" ht="24.0" customHeight="1">
      <c r="A114" s="606" t="s">
        <v>2039</v>
      </c>
      <c r="B114" s="1502">
        <v>1.0</v>
      </c>
      <c r="C114" s="724">
        <f t="shared" si="12"/>
        <v>0.1666666667</v>
      </c>
      <c r="D114" s="1475" t="s">
        <v>5</v>
      </c>
      <c r="E114" s="679" t="s">
        <v>2077</v>
      </c>
      <c r="F114" s="1837"/>
      <c r="G114" s="1588"/>
      <c r="H114" s="1"/>
      <c r="I114" s="1"/>
      <c r="J114" s="1" t="s">
        <v>2078</v>
      </c>
      <c r="K114" s="1">
        <v>0.5</v>
      </c>
      <c r="L114" s="1" t="s">
        <v>366</v>
      </c>
      <c r="M114" s="1"/>
      <c r="N114" s="1"/>
      <c r="O114" s="1"/>
      <c r="P114" s="606" t="s">
        <v>2039</v>
      </c>
      <c r="Q114" s="1840">
        <v>1.0</v>
      </c>
      <c r="R114" s="1492">
        <f t="shared" si="13"/>
        <v>0.1666666667</v>
      </c>
      <c r="S114" s="1403" t="s">
        <v>5</v>
      </c>
    </row>
    <row r="115" ht="14.25" customHeight="1">
      <c r="A115" s="345" t="s">
        <v>2040</v>
      </c>
      <c r="B115" s="1792">
        <v>0.5</v>
      </c>
      <c r="C115" s="722">
        <f t="shared" ref="C115:C117" si="14">(B115*C112)/B112</f>
        <v>0.08333333333</v>
      </c>
      <c r="D115" s="348" t="s">
        <v>366</v>
      </c>
      <c r="E115" s="44" t="s">
        <v>2079</v>
      </c>
      <c r="F115" s="1837"/>
      <c r="G115" s="1588">
        <f>F115*C117</f>
        <v>0</v>
      </c>
      <c r="H115" s="1"/>
      <c r="I115" s="1"/>
      <c r="J115" s="1" t="s">
        <v>2080</v>
      </c>
      <c r="K115" s="1" t="s">
        <v>2081</v>
      </c>
      <c r="L115" s="1"/>
      <c r="M115" s="1"/>
      <c r="N115" s="1"/>
      <c r="O115" s="1"/>
      <c r="P115" s="345" t="s">
        <v>2040</v>
      </c>
      <c r="Q115" s="1826">
        <v>0.5</v>
      </c>
      <c r="R115" s="1490">
        <f t="shared" ref="R115:R117" si="15">(Q115*R112)/Q112</f>
        <v>0.08333333333</v>
      </c>
      <c r="S115" s="1398" t="s">
        <v>366</v>
      </c>
    </row>
    <row r="116" ht="15.0" customHeight="1">
      <c r="A116" s="591" t="s">
        <v>2042</v>
      </c>
      <c r="B116" s="1498">
        <v>0.5</v>
      </c>
      <c r="C116" s="712">
        <f t="shared" si="14"/>
        <v>0.08333333333</v>
      </c>
      <c r="D116" s="1457" t="s">
        <v>366</v>
      </c>
      <c r="E116" s="76"/>
      <c r="F116" s="1837"/>
      <c r="G116" s="1588" t="str">
        <f t="shared" ref="G116:G117" si="16">F116*#REF!</f>
        <v>#REF!</v>
      </c>
      <c r="H116" s="1"/>
      <c r="I116" s="1"/>
      <c r="J116" s="1"/>
      <c r="K116" s="1"/>
      <c r="L116" s="1"/>
      <c r="M116" s="1"/>
      <c r="N116" s="1"/>
      <c r="O116" s="1"/>
      <c r="P116" s="591" t="s">
        <v>2042</v>
      </c>
      <c r="Q116" s="1835">
        <v>0.5</v>
      </c>
      <c r="R116" s="1246">
        <f t="shared" si="15"/>
        <v>0.08333333333</v>
      </c>
      <c r="S116" s="1405" t="s">
        <v>366</v>
      </c>
    </row>
    <row r="117" ht="14.25" customHeight="1">
      <c r="A117" s="1806" t="s">
        <v>2043</v>
      </c>
      <c r="B117" s="1502">
        <v>2.0</v>
      </c>
      <c r="C117" s="724">
        <f t="shared" si="14"/>
        <v>0.3333333333</v>
      </c>
      <c r="D117" s="1810" t="s">
        <v>5</v>
      </c>
      <c r="E117" s="847" t="s">
        <v>842</v>
      </c>
      <c r="F117" s="1837"/>
      <c r="G117" s="1588" t="str">
        <f t="shared" si="16"/>
        <v>#REF!</v>
      </c>
      <c r="H117" s="1"/>
      <c r="I117" s="1"/>
      <c r="J117" s="1"/>
      <c r="K117" s="1"/>
      <c r="L117" s="1"/>
      <c r="M117" s="1"/>
      <c r="N117" s="1"/>
      <c r="O117" s="1"/>
      <c r="P117" s="1806" t="s">
        <v>2043</v>
      </c>
      <c r="Q117" s="1840">
        <v>2.0</v>
      </c>
      <c r="R117" s="1492">
        <f t="shared" si="15"/>
        <v>0.3333333333</v>
      </c>
      <c r="S117" s="1857" t="s">
        <v>5</v>
      </c>
    </row>
    <row r="118" ht="14.25" customHeight="1">
      <c r="A118" s="1858" t="s">
        <v>2084</v>
      </c>
      <c r="B118" s="5"/>
      <c r="C118" s="5"/>
      <c r="D118" s="6"/>
      <c r="E118" s="851" t="s">
        <v>1343</v>
      </c>
      <c r="F118" s="1859"/>
      <c r="G118" s="1860" t="str">
        <f>SUM(G105:G117)</f>
        <v>#REF!</v>
      </c>
      <c r="H118" s="1"/>
      <c r="I118" s="1"/>
      <c r="J118" s="1"/>
      <c r="K118" s="1"/>
      <c r="L118" s="1"/>
      <c r="M118" s="1"/>
      <c r="N118" s="1"/>
      <c r="O118" s="1"/>
      <c r="P118" s="458" t="s">
        <v>114</v>
      </c>
      <c r="Q118" s="460">
        <v>2.5</v>
      </c>
      <c r="R118" s="1497">
        <f>(Q118*R117)/Q117</f>
        <v>0.4166666667</v>
      </c>
      <c r="S118" s="463" t="s">
        <v>5</v>
      </c>
    </row>
    <row r="119" ht="14.25" customHeight="1">
      <c r="A119" s="63"/>
      <c r="D119" s="66"/>
      <c r="E119" s="856" t="s">
        <v>852</v>
      </c>
      <c r="F119" s="853">
        <v>40.0</v>
      </c>
      <c r="G119" s="855" t="str">
        <f>F119/100*G118</f>
        <v>#REF!</v>
      </c>
      <c r="H119" s="1"/>
      <c r="I119" s="1"/>
      <c r="J119" s="1"/>
      <c r="K119" s="1"/>
      <c r="L119" s="1"/>
      <c r="M119" s="1"/>
      <c r="N119" s="1"/>
      <c r="O119" s="1"/>
      <c r="P119" s="1"/>
      <c r="Q119" s="1"/>
      <c r="R119" s="1"/>
      <c r="S119" s="1"/>
    </row>
    <row r="120" ht="14.25" customHeight="1">
      <c r="A120" s="63"/>
      <c r="D120" s="66"/>
      <c r="E120" s="861" t="s">
        <v>2094</v>
      </c>
      <c r="F120" s="858"/>
      <c r="G120" s="859" t="str">
        <f>SUM(G118:G119)</f>
        <v>#REF!</v>
      </c>
      <c r="H120" s="1"/>
      <c r="I120" s="1"/>
      <c r="J120" s="1"/>
      <c r="K120" s="1"/>
      <c r="L120" s="1"/>
      <c r="M120" s="1"/>
      <c r="N120" s="1"/>
      <c r="O120" s="1"/>
      <c r="P120" s="1"/>
      <c r="Q120" s="1"/>
      <c r="R120" s="1"/>
      <c r="S120" s="1"/>
    </row>
    <row r="121" ht="14.25" customHeight="1">
      <c r="A121" s="102"/>
      <c r="B121" s="104"/>
      <c r="C121" s="104"/>
      <c r="D121" s="106"/>
      <c r="E121" s="1863" t="s">
        <v>866</v>
      </c>
      <c r="F121" s="863"/>
      <c r="G121" s="864" t="str">
        <f>G120/C104</f>
        <v>#REF!</v>
      </c>
      <c r="H121" s="1"/>
      <c r="I121" s="1"/>
      <c r="J121" s="1"/>
      <c r="K121" s="1"/>
      <c r="L121" s="1"/>
      <c r="M121" s="1"/>
      <c r="N121" s="1"/>
      <c r="O121" s="1"/>
      <c r="P121" s="1"/>
      <c r="Q121" s="1"/>
      <c r="R121" s="1"/>
      <c r="S121" s="1"/>
    </row>
    <row r="122" ht="14.25" customHeight="1">
      <c r="A122" s="215" t="s">
        <v>42</v>
      </c>
      <c r="B122" s="1"/>
      <c r="C122" s="107"/>
      <c r="D122" s="1"/>
      <c r="E122" s="872" t="s">
        <v>880</v>
      </c>
      <c r="F122" s="868"/>
      <c r="G122" s="871">
        <v>0.3</v>
      </c>
      <c r="H122" s="1"/>
      <c r="I122" s="1"/>
      <c r="J122" s="1"/>
      <c r="K122" s="1"/>
      <c r="L122" s="1"/>
      <c r="M122" s="1"/>
      <c r="N122" s="1"/>
      <c r="O122" s="1"/>
      <c r="P122" s="1"/>
      <c r="Q122" s="1"/>
      <c r="R122" s="1"/>
      <c r="S122" s="1"/>
    </row>
    <row r="123" ht="14.25" customHeight="1">
      <c r="A123" s="786" t="s">
        <v>49</v>
      </c>
      <c r="B123" s="1867">
        <v>43078.0</v>
      </c>
      <c r="C123" s="107"/>
      <c r="D123" s="1"/>
      <c r="E123" s="1869" t="s">
        <v>2101</v>
      </c>
      <c r="F123" s="875"/>
      <c r="G123" s="876" t="str">
        <f>G122*G121</f>
        <v>#REF!</v>
      </c>
      <c r="H123" s="1"/>
      <c r="I123" s="1"/>
      <c r="J123" s="1"/>
      <c r="K123" s="1"/>
      <c r="L123" s="1"/>
      <c r="M123" s="1"/>
      <c r="N123" s="1"/>
      <c r="O123" s="1"/>
      <c r="P123" s="1"/>
      <c r="Q123" s="1"/>
      <c r="R123" s="1"/>
      <c r="S123" s="1"/>
    </row>
    <row r="124" ht="14.25" customHeight="1">
      <c r="A124" s="786" t="s">
        <v>50</v>
      </c>
      <c r="B124" s="1812">
        <v>42752.0</v>
      </c>
      <c r="C124" s="107"/>
      <c r="D124" s="1"/>
      <c r="E124" s="1"/>
      <c r="F124" s="1871"/>
      <c r="G124" s="1872">
        <f>C104/G122</f>
        <v>33.33333333</v>
      </c>
      <c r="H124" s="1"/>
      <c r="I124" s="1"/>
      <c r="J124" s="1"/>
      <c r="K124" s="1"/>
      <c r="L124" s="1"/>
      <c r="M124" s="1"/>
      <c r="N124" s="1"/>
      <c r="O124" s="1"/>
      <c r="P124" s="1"/>
      <c r="Q124" s="1"/>
      <c r="R124" s="1"/>
      <c r="S124" s="1"/>
    </row>
    <row r="125" ht="15.0" customHeight="1">
      <c r="A125" s="1"/>
      <c r="B125" s="1"/>
      <c r="C125" s="107"/>
      <c r="D125" s="1"/>
      <c r="E125" s="1"/>
      <c r="F125" s="1"/>
      <c r="G125" s="1"/>
      <c r="H125" s="1"/>
      <c r="I125" s="1"/>
      <c r="J125" s="1"/>
      <c r="K125" s="1"/>
      <c r="L125" s="1"/>
      <c r="M125" s="1"/>
      <c r="N125" s="1"/>
      <c r="O125" s="1"/>
      <c r="P125" s="1"/>
      <c r="Q125" s="1"/>
      <c r="R125" s="1"/>
      <c r="S125" s="1"/>
    </row>
    <row r="126" ht="14.25" customHeight="1">
      <c r="A126" s="1"/>
      <c r="B126" s="1"/>
      <c r="C126" s="107"/>
      <c r="D126" s="1"/>
      <c r="E126" s="1"/>
      <c r="F126" s="1"/>
      <c r="G126" s="1"/>
      <c r="H126" s="1"/>
      <c r="I126" s="1"/>
      <c r="J126" s="1"/>
      <c r="K126" s="1"/>
      <c r="L126" s="1"/>
      <c r="M126" s="1"/>
      <c r="N126" s="1"/>
      <c r="O126" s="1"/>
      <c r="P126" s="1"/>
      <c r="Q126" s="1"/>
      <c r="R126" s="1"/>
      <c r="S126" s="1"/>
    </row>
    <row r="127" ht="14.25" customHeight="1">
      <c r="A127" s="1"/>
      <c r="B127" s="1"/>
      <c r="C127" s="107"/>
      <c r="D127" s="1"/>
      <c r="E127" s="1"/>
      <c r="F127" s="1"/>
      <c r="G127" s="1"/>
      <c r="H127" s="1"/>
      <c r="I127" s="1"/>
      <c r="J127" s="1"/>
      <c r="K127" s="1"/>
      <c r="L127" s="1"/>
      <c r="M127" s="1"/>
      <c r="N127" s="1"/>
      <c r="O127" s="1"/>
      <c r="P127" s="1"/>
      <c r="Q127" s="1"/>
      <c r="R127" s="1"/>
      <c r="S127" s="1"/>
    </row>
    <row r="128" ht="14.25" customHeight="1">
      <c r="A128" s="1"/>
      <c r="B128" s="1"/>
      <c r="C128" s="107"/>
      <c r="D128" s="1"/>
      <c r="E128" s="1"/>
      <c r="F128" s="1"/>
      <c r="G128" s="1"/>
      <c r="H128" s="1"/>
      <c r="I128" s="1"/>
      <c r="J128" s="1"/>
      <c r="K128" s="1"/>
      <c r="L128" s="1"/>
      <c r="M128" s="1"/>
      <c r="N128" s="1"/>
      <c r="O128" s="1"/>
      <c r="P128" s="1"/>
      <c r="Q128" s="1"/>
      <c r="R128" s="1"/>
      <c r="S128" s="1"/>
    </row>
    <row r="129" ht="14.25" customHeight="1">
      <c r="A129" s="1"/>
      <c r="B129" s="1"/>
      <c r="C129" s="107"/>
      <c r="D129" s="1"/>
      <c r="E129" s="1"/>
      <c r="F129" s="1"/>
      <c r="G129" s="1"/>
      <c r="H129" s="1"/>
      <c r="I129" s="1"/>
      <c r="J129" s="1"/>
      <c r="K129" s="1"/>
      <c r="L129" s="1"/>
      <c r="M129" s="1"/>
      <c r="N129" s="1"/>
      <c r="O129" s="1"/>
      <c r="P129" s="1"/>
      <c r="Q129" s="1"/>
      <c r="R129" s="1"/>
      <c r="S129" s="1"/>
    </row>
    <row r="130" ht="14.25" customHeight="1">
      <c r="A130" s="913" t="s">
        <v>2106</v>
      </c>
      <c r="B130" s="5"/>
      <c r="C130" s="5"/>
      <c r="D130" s="6"/>
      <c r="E130" s="1"/>
      <c r="F130" s="1"/>
      <c r="G130" s="1"/>
      <c r="H130" s="1"/>
      <c r="I130" s="1"/>
      <c r="J130" s="1"/>
      <c r="K130" s="1"/>
      <c r="L130" s="1"/>
      <c r="M130" s="1"/>
      <c r="N130" s="1"/>
      <c r="O130" s="1"/>
      <c r="P130" s="1"/>
      <c r="Q130" s="1"/>
      <c r="R130" s="1"/>
      <c r="S130" s="1"/>
    </row>
    <row r="131" ht="14.25" customHeight="1">
      <c r="A131" s="51" t="s">
        <v>1</v>
      </c>
      <c r="B131" s="190">
        <v>3.5</v>
      </c>
      <c r="C131" s="190">
        <v>28.0</v>
      </c>
      <c r="D131" s="514" t="s">
        <v>5</v>
      </c>
      <c r="E131" s="1"/>
      <c r="F131" s="1"/>
      <c r="G131" s="1"/>
      <c r="H131" s="1"/>
      <c r="I131" s="1"/>
      <c r="J131" s="1"/>
      <c r="K131" s="1"/>
      <c r="L131" s="1"/>
      <c r="M131" s="1"/>
      <c r="N131" s="1"/>
      <c r="O131" s="1"/>
      <c r="P131" s="1"/>
      <c r="Q131" s="1"/>
      <c r="R131" s="1"/>
      <c r="S131" s="1"/>
    </row>
    <row r="132" ht="14.25" customHeight="1">
      <c r="A132" s="68" t="s">
        <v>2107</v>
      </c>
      <c r="B132" s="145">
        <v>0.2</v>
      </c>
      <c r="C132" s="1192">
        <f t="shared" ref="C132:C135" si="17">(B132*C131)/B131</f>
        <v>1.6</v>
      </c>
      <c r="D132" s="216" t="s">
        <v>366</v>
      </c>
      <c r="E132" s="1"/>
      <c r="F132" s="1"/>
      <c r="G132" s="1"/>
      <c r="H132" s="1"/>
      <c r="I132" s="1"/>
      <c r="J132" s="1"/>
      <c r="K132" s="1"/>
      <c r="L132" s="1"/>
      <c r="M132" s="1"/>
      <c r="N132" s="1"/>
      <c r="O132" s="1"/>
      <c r="P132" s="1"/>
      <c r="Q132" s="1"/>
      <c r="R132" s="1"/>
      <c r="S132" s="1"/>
    </row>
    <row r="133" ht="14.25" customHeight="1">
      <c r="A133" s="93" t="s">
        <v>2109</v>
      </c>
      <c r="B133" s="195">
        <v>0.2</v>
      </c>
      <c r="C133" s="1878">
        <f t="shared" si="17"/>
        <v>1.6</v>
      </c>
      <c r="D133" s="249" t="s">
        <v>366</v>
      </c>
      <c r="E133" s="1"/>
      <c r="F133" s="1"/>
      <c r="G133" s="1"/>
      <c r="H133" s="1"/>
      <c r="I133" s="1"/>
      <c r="J133" s="1"/>
      <c r="K133" s="1"/>
      <c r="L133" s="1"/>
      <c r="M133" s="1"/>
      <c r="N133" s="1"/>
      <c r="O133" s="1"/>
      <c r="P133" s="1"/>
      <c r="Q133" s="1"/>
      <c r="R133" s="1"/>
      <c r="S133" s="1"/>
    </row>
    <row r="134" ht="14.25" customHeight="1">
      <c r="A134" s="93" t="s">
        <v>1319</v>
      </c>
      <c r="B134" s="195">
        <v>0.2</v>
      </c>
      <c r="C134" s="1878">
        <f t="shared" si="17"/>
        <v>1.6</v>
      </c>
      <c r="D134" s="249" t="s">
        <v>366</v>
      </c>
      <c r="E134" s="1"/>
      <c r="F134" s="1"/>
      <c r="G134" s="1"/>
      <c r="H134" s="1"/>
      <c r="I134" s="1"/>
      <c r="J134" s="1"/>
      <c r="K134" s="1"/>
      <c r="L134" s="1"/>
      <c r="M134" s="1"/>
      <c r="N134" s="1"/>
      <c r="O134" s="1"/>
      <c r="P134" s="1"/>
      <c r="Q134" s="1"/>
      <c r="R134" s="1"/>
      <c r="S134" s="1"/>
    </row>
    <row r="135" ht="14.25" customHeight="1">
      <c r="A135" s="93" t="s">
        <v>1610</v>
      </c>
      <c r="B135" s="195">
        <v>0.4</v>
      </c>
      <c r="C135" s="1878">
        <f t="shared" si="17"/>
        <v>3.2</v>
      </c>
      <c r="D135" s="249" t="s">
        <v>366</v>
      </c>
      <c r="E135" s="1"/>
      <c r="F135" s="1"/>
      <c r="G135" s="1"/>
      <c r="H135" s="1"/>
      <c r="I135" s="1"/>
      <c r="J135" s="1"/>
      <c r="K135" s="1"/>
      <c r="L135" s="1"/>
      <c r="M135" s="1"/>
      <c r="N135" s="1"/>
      <c r="O135" s="1"/>
      <c r="P135" s="1"/>
      <c r="Q135" s="1"/>
      <c r="R135" s="1"/>
      <c r="S135" s="1"/>
    </row>
    <row r="136" ht="14.25" customHeight="1">
      <c r="A136" s="105" t="s">
        <v>2111</v>
      </c>
      <c r="B136" s="200">
        <v>0.2</v>
      </c>
      <c r="C136" s="1879">
        <f t="shared" ref="C136:C139" si="18">(B136*C131)/B131</f>
        <v>1.6</v>
      </c>
      <c r="D136" s="518" t="s">
        <v>366</v>
      </c>
      <c r="E136" s="1"/>
      <c r="F136" s="1"/>
      <c r="G136" s="1"/>
      <c r="H136" s="1"/>
      <c r="I136" s="1"/>
      <c r="J136" s="1"/>
      <c r="K136" s="1"/>
      <c r="L136" s="1"/>
      <c r="M136" s="1"/>
      <c r="N136" s="1"/>
      <c r="O136" s="1"/>
      <c r="P136" s="1"/>
      <c r="Q136" s="1"/>
      <c r="R136" s="1"/>
      <c r="S136" s="1"/>
    </row>
    <row r="137" ht="14.25" customHeight="1">
      <c r="A137" s="68" t="s">
        <v>2112</v>
      </c>
      <c r="B137" s="145">
        <v>0.35</v>
      </c>
      <c r="C137" s="1192">
        <f t="shared" si="18"/>
        <v>2.8</v>
      </c>
      <c r="D137" s="216" t="s">
        <v>366</v>
      </c>
      <c r="E137" s="1"/>
      <c r="F137" s="1"/>
      <c r="G137" s="1"/>
      <c r="H137" s="1"/>
      <c r="I137" s="1"/>
      <c r="J137" s="1"/>
      <c r="K137" s="1"/>
      <c r="L137" s="1"/>
      <c r="M137" s="1"/>
      <c r="N137" s="1"/>
      <c r="O137" s="1"/>
      <c r="P137" s="1"/>
      <c r="Q137" s="1"/>
      <c r="R137" s="1"/>
      <c r="S137" s="1"/>
    </row>
    <row r="138" ht="14.25" customHeight="1">
      <c r="A138" s="93" t="s">
        <v>2114</v>
      </c>
      <c r="B138" s="195">
        <v>0.2</v>
      </c>
      <c r="C138" s="1878">
        <f t="shared" si="18"/>
        <v>1.6</v>
      </c>
      <c r="D138" s="249" t="s">
        <v>366</v>
      </c>
      <c r="E138" s="1"/>
      <c r="F138" s="1"/>
      <c r="G138" s="1"/>
      <c r="H138" s="1"/>
      <c r="I138" s="1"/>
      <c r="J138" s="1"/>
      <c r="K138" s="1"/>
      <c r="L138" s="1"/>
      <c r="M138" s="1"/>
      <c r="N138" s="1"/>
      <c r="O138" s="1"/>
      <c r="P138" s="1"/>
      <c r="Q138" s="1"/>
      <c r="R138" s="1"/>
      <c r="S138" s="1"/>
    </row>
    <row r="139" ht="14.25" customHeight="1">
      <c r="A139" s="93" t="s">
        <v>2115</v>
      </c>
      <c r="B139" s="195">
        <v>0.2</v>
      </c>
      <c r="C139" s="1878">
        <f t="shared" si="18"/>
        <v>1.6</v>
      </c>
      <c r="D139" s="249" t="s">
        <v>366</v>
      </c>
      <c r="E139" s="1"/>
      <c r="F139" s="1"/>
      <c r="G139" s="1"/>
      <c r="H139" s="1"/>
      <c r="I139" s="1"/>
      <c r="J139" s="1"/>
      <c r="K139" s="1"/>
      <c r="L139" s="1"/>
      <c r="M139" s="1"/>
      <c r="N139" s="1"/>
      <c r="O139" s="1"/>
      <c r="P139" s="1"/>
      <c r="Q139" s="1"/>
      <c r="R139" s="1"/>
      <c r="S139" s="1"/>
    </row>
    <row r="140" ht="14.25" customHeight="1">
      <c r="A140" s="93" t="s">
        <v>1167</v>
      </c>
      <c r="B140" s="195">
        <v>0.1</v>
      </c>
      <c r="C140" s="1878">
        <f t="shared" ref="C140:C146" si="19">(B140*C139)/B139</f>
        <v>0.8</v>
      </c>
      <c r="D140" s="249" t="s">
        <v>366</v>
      </c>
      <c r="E140" s="1"/>
      <c r="F140" s="1"/>
      <c r="G140" s="1"/>
      <c r="H140" s="1"/>
      <c r="I140" s="1"/>
      <c r="J140" s="1"/>
      <c r="K140" s="1"/>
      <c r="L140" s="1"/>
      <c r="M140" s="1"/>
      <c r="N140" s="1"/>
      <c r="O140" s="1"/>
      <c r="P140" s="1"/>
      <c r="Q140" s="1"/>
      <c r="R140" s="1"/>
      <c r="S140" s="1"/>
    </row>
    <row r="141" ht="14.25" customHeight="1">
      <c r="A141" s="105" t="s">
        <v>2116</v>
      </c>
      <c r="B141" s="200">
        <v>0.1</v>
      </c>
      <c r="C141" s="1879">
        <f t="shared" si="19"/>
        <v>0.8</v>
      </c>
      <c r="D141" s="518" t="s">
        <v>366</v>
      </c>
      <c r="E141" s="1"/>
      <c r="F141" s="1"/>
      <c r="G141" s="1"/>
      <c r="H141" s="1"/>
      <c r="I141" s="1"/>
      <c r="J141" s="1"/>
      <c r="K141" s="1"/>
      <c r="L141" s="1"/>
      <c r="M141" s="1"/>
      <c r="N141" s="1"/>
      <c r="O141" s="1"/>
      <c r="P141" s="1"/>
      <c r="Q141" s="1"/>
      <c r="R141" s="1"/>
      <c r="S141" s="1"/>
    </row>
    <row r="142" ht="14.25" customHeight="1">
      <c r="A142" s="68" t="s">
        <v>124</v>
      </c>
      <c r="B142" s="145">
        <v>10.0</v>
      </c>
      <c r="C142" s="1192">
        <f t="shared" si="19"/>
        <v>80</v>
      </c>
      <c r="D142" s="216" t="s">
        <v>18</v>
      </c>
      <c r="E142" s="1"/>
      <c r="F142" s="1"/>
      <c r="G142" s="1"/>
      <c r="H142" s="1"/>
      <c r="I142" s="1"/>
      <c r="J142" s="1"/>
      <c r="K142" s="1"/>
      <c r="L142" s="1"/>
      <c r="M142" s="1"/>
      <c r="N142" s="1"/>
      <c r="O142" s="1"/>
      <c r="P142" s="1"/>
      <c r="Q142" s="1"/>
      <c r="R142" s="1"/>
      <c r="S142" s="1"/>
    </row>
    <row r="143" ht="14.25" customHeight="1">
      <c r="A143" s="93" t="s">
        <v>13</v>
      </c>
      <c r="B143" s="195">
        <v>80.0</v>
      </c>
      <c r="C143" s="1878">
        <f t="shared" si="19"/>
        <v>640</v>
      </c>
      <c r="D143" s="249" t="s">
        <v>18</v>
      </c>
      <c r="E143" s="1"/>
      <c r="F143" s="1"/>
      <c r="G143" s="1"/>
      <c r="H143" s="1"/>
      <c r="I143" s="1"/>
      <c r="J143" s="1"/>
      <c r="K143" s="1"/>
      <c r="L143" s="1"/>
      <c r="M143" s="1"/>
      <c r="N143" s="1"/>
      <c r="O143" s="1"/>
      <c r="P143" s="1"/>
      <c r="Q143" s="1"/>
      <c r="R143" s="1"/>
      <c r="S143" s="1"/>
    </row>
    <row r="144" ht="14.25" customHeight="1">
      <c r="A144" s="105" t="s">
        <v>2118</v>
      </c>
      <c r="B144" s="200">
        <v>35.0</v>
      </c>
      <c r="C144" s="1879">
        <f t="shared" si="19"/>
        <v>280</v>
      </c>
      <c r="D144" s="518" t="s">
        <v>18</v>
      </c>
      <c r="E144" s="1"/>
      <c r="F144" s="1"/>
      <c r="G144" s="1"/>
      <c r="H144" s="1"/>
      <c r="I144" s="1"/>
      <c r="J144" s="1"/>
      <c r="K144" s="1"/>
      <c r="L144" s="1"/>
      <c r="M144" s="1"/>
      <c r="N144" s="1"/>
      <c r="O144" s="1"/>
      <c r="P144" s="1"/>
      <c r="Q144" s="1"/>
      <c r="R144" s="1"/>
      <c r="S144" s="1"/>
    </row>
    <row r="145" ht="14.25" customHeight="1">
      <c r="A145" s="68" t="s">
        <v>2043</v>
      </c>
      <c r="B145" s="145">
        <v>0.35</v>
      </c>
      <c r="C145" s="1192">
        <f t="shared" si="19"/>
        <v>2.8</v>
      </c>
      <c r="D145" s="216" t="s">
        <v>5</v>
      </c>
      <c r="E145" s="1"/>
      <c r="F145" s="1"/>
      <c r="G145" s="1"/>
      <c r="H145" s="1"/>
      <c r="I145" s="1"/>
      <c r="J145" s="1"/>
      <c r="K145" s="1"/>
      <c r="L145" s="1"/>
      <c r="M145" s="1"/>
      <c r="N145" s="1"/>
      <c r="O145" s="1"/>
      <c r="P145" s="1"/>
      <c r="Q145" s="1"/>
      <c r="R145" s="1"/>
      <c r="S145" s="1"/>
    </row>
    <row r="146" ht="14.25" customHeight="1">
      <c r="A146" s="105" t="s">
        <v>2120</v>
      </c>
      <c r="B146" s="200">
        <v>1.0</v>
      </c>
      <c r="C146" s="1883">
        <f t="shared" si="19"/>
        <v>8</v>
      </c>
      <c r="D146" s="518" t="s">
        <v>5</v>
      </c>
      <c r="E146" s="1"/>
      <c r="F146" s="1"/>
      <c r="G146" s="1"/>
      <c r="H146" s="1"/>
      <c r="I146" s="1"/>
      <c r="J146" s="1"/>
      <c r="K146" s="1"/>
      <c r="L146" s="1"/>
      <c r="M146" s="1"/>
      <c r="N146" s="1"/>
      <c r="O146" s="1"/>
      <c r="P146" s="1"/>
      <c r="Q146" s="1"/>
      <c r="R146" s="1"/>
      <c r="S146" s="1"/>
    </row>
    <row r="147" ht="14.25" customHeight="1">
      <c r="A147" s="215" t="s">
        <v>42</v>
      </c>
      <c r="B147" s="1"/>
      <c r="C147" s="107"/>
      <c r="D147" s="1"/>
      <c r="E147" s="1"/>
      <c r="F147" s="1"/>
      <c r="G147" s="1"/>
      <c r="H147" s="1"/>
      <c r="I147" s="1"/>
      <c r="J147" s="1"/>
      <c r="K147" s="1"/>
      <c r="L147" s="1"/>
      <c r="M147" s="1"/>
      <c r="N147" s="1"/>
      <c r="O147" s="1"/>
      <c r="P147" s="1"/>
      <c r="Q147" s="1"/>
      <c r="R147" s="1"/>
      <c r="S147" s="1"/>
    </row>
    <row r="148" ht="14.25" customHeight="1">
      <c r="A148" s="786" t="s">
        <v>49</v>
      </c>
      <c r="B148" s="1"/>
      <c r="C148" s="107"/>
      <c r="D148" s="1"/>
      <c r="E148" s="1"/>
      <c r="F148" s="1"/>
      <c r="G148" s="1"/>
      <c r="H148" s="1"/>
      <c r="I148" s="1"/>
      <c r="J148" s="1"/>
      <c r="K148" s="1"/>
      <c r="L148" s="1"/>
      <c r="M148" s="1"/>
      <c r="N148" s="1"/>
      <c r="O148" s="1"/>
      <c r="P148" s="1"/>
      <c r="Q148" s="1"/>
      <c r="R148" s="1"/>
      <c r="S148" s="1"/>
    </row>
    <row r="149" ht="14.25" customHeight="1">
      <c r="A149" s="786" t="s">
        <v>50</v>
      </c>
      <c r="B149" s="1"/>
      <c r="C149" s="107"/>
      <c r="D149" s="1"/>
      <c r="E149" s="1"/>
      <c r="F149" s="1"/>
      <c r="G149" s="1"/>
      <c r="H149" s="1"/>
      <c r="I149" s="1"/>
      <c r="J149" s="1"/>
      <c r="K149" s="1"/>
      <c r="L149" s="1"/>
      <c r="M149" s="1"/>
      <c r="N149" s="1"/>
      <c r="O149" s="1"/>
      <c r="P149" s="1"/>
      <c r="Q149" s="1"/>
      <c r="R149" s="1"/>
      <c r="S149" s="1"/>
    </row>
    <row r="150" ht="14.25" customHeight="1">
      <c r="A150" s="1"/>
      <c r="B150" s="1"/>
      <c r="C150" s="107"/>
      <c r="D150" s="1"/>
      <c r="E150" s="1"/>
      <c r="F150" s="1"/>
      <c r="G150" s="1"/>
      <c r="H150" s="1"/>
      <c r="I150" s="1"/>
      <c r="J150" s="1"/>
      <c r="K150" s="1"/>
      <c r="L150" s="1"/>
      <c r="M150" s="1"/>
      <c r="N150" s="1"/>
      <c r="O150" s="1"/>
      <c r="P150" s="1"/>
      <c r="Q150" s="1"/>
      <c r="R150" s="1"/>
      <c r="S150" s="1"/>
    </row>
    <row r="151" ht="14.25" customHeight="1">
      <c r="A151" s="1885" t="s">
        <v>450</v>
      </c>
      <c r="B151" s="1227"/>
      <c r="C151" s="1227"/>
      <c r="D151" s="1228"/>
      <c r="E151" s="1"/>
      <c r="F151" s="1"/>
      <c r="G151" s="1"/>
      <c r="H151" s="1"/>
      <c r="I151" s="1"/>
      <c r="J151" s="1"/>
      <c r="K151" s="1"/>
      <c r="L151" s="1"/>
      <c r="M151" s="1"/>
      <c r="N151" s="1"/>
      <c r="O151" s="1"/>
      <c r="P151" s="1"/>
      <c r="Q151" s="1"/>
      <c r="R151" s="1"/>
      <c r="S151" s="1"/>
    </row>
    <row r="152" ht="14.25" customHeight="1">
      <c r="A152" s="93" t="s">
        <v>2124</v>
      </c>
      <c r="B152" s="195">
        <v>4.0</v>
      </c>
      <c r="C152" s="195">
        <v>10.0</v>
      </c>
      <c r="D152" s="1158" t="s">
        <v>5</v>
      </c>
      <c r="E152" s="1"/>
      <c r="F152" s="1"/>
      <c r="G152" s="1"/>
      <c r="H152" s="1"/>
      <c r="I152" s="1"/>
      <c r="J152" s="1"/>
      <c r="K152" s="1"/>
      <c r="L152" s="1"/>
      <c r="M152" s="1"/>
      <c r="N152" s="1"/>
      <c r="O152" s="1"/>
      <c r="P152" s="1"/>
      <c r="Q152" s="1"/>
      <c r="R152" s="1"/>
      <c r="S152" s="1"/>
    </row>
    <row r="153" ht="14.25" customHeight="1">
      <c r="A153" s="93" t="s">
        <v>2127</v>
      </c>
      <c r="B153" s="195">
        <v>0.5</v>
      </c>
      <c r="C153" s="195">
        <f t="shared" ref="C153:C160" si="20">C152/B152*B153</f>
        <v>1.25</v>
      </c>
      <c r="D153" s="1158" t="s">
        <v>366</v>
      </c>
      <c r="E153" s="1"/>
      <c r="F153" s="1"/>
      <c r="G153" s="1"/>
      <c r="H153" s="1"/>
      <c r="I153" s="1"/>
      <c r="J153" s="1"/>
      <c r="K153" s="1"/>
      <c r="L153" s="1"/>
      <c r="M153" s="1"/>
      <c r="N153" s="1"/>
      <c r="O153" s="1"/>
      <c r="P153" s="1"/>
      <c r="Q153" s="1"/>
      <c r="R153" s="1"/>
      <c r="S153" s="1"/>
    </row>
    <row r="154" ht="14.25" customHeight="1">
      <c r="A154" s="93" t="s">
        <v>2130</v>
      </c>
      <c r="B154" s="195">
        <v>0.5</v>
      </c>
      <c r="C154" s="195">
        <f t="shared" si="20"/>
        <v>1.25</v>
      </c>
      <c r="D154" s="1158" t="s">
        <v>366</v>
      </c>
      <c r="E154" s="1"/>
      <c r="F154" s="1"/>
      <c r="G154" s="1"/>
      <c r="H154" s="1"/>
      <c r="I154" s="1"/>
      <c r="J154" s="1"/>
      <c r="K154" s="1"/>
      <c r="L154" s="1"/>
      <c r="M154" s="1"/>
      <c r="N154" s="1"/>
      <c r="O154" s="1"/>
      <c r="P154" s="1"/>
      <c r="Q154" s="1"/>
      <c r="R154" s="1"/>
      <c r="S154" s="1"/>
    </row>
    <row r="155" ht="14.25" customHeight="1">
      <c r="A155" s="93" t="s">
        <v>2131</v>
      </c>
      <c r="B155" s="195">
        <v>0.5</v>
      </c>
      <c r="C155" s="195">
        <f t="shared" si="20"/>
        <v>1.25</v>
      </c>
      <c r="D155" s="1158" t="s">
        <v>366</v>
      </c>
      <c r="E155" s="1"/>
      <c r="F155" s="1"/>
      <c r="G155" s="1"/>
      <c r="H155" s="1"/>
      <c r="I155" s="1"/>
      <c r="J155" s="1"/>
      <c r="K155" s="1"/>
      <c r="L155" s="1"/>
      <c r="M155" s="1"/>
      <c r="N155" s="1"/>
      <c r="O155" s="1"/>
      <c r="P155" s="1"/>
      <c r="Q155" s="1"/>
      <c r="R155" s="1"/>
      <c r="S155" s="1"/>
    </row>
    <row r="156" ht="14.25" customHeight="1">
      <c r="A156" s="93" t="s">
        <v>2133</v>
      </c>
      <c r="B156" s="195">
        <v>0.3</v>
      </c>
      <c r="C156" s="195">
        <f t="shared" si="20"/>
        <v>0.75</v>
      </c>
      <c r="D156" s="1158" t="s">
        <v>366</v>
      </c>
      <c r="E156" s="1"/>
      <c r="F156" s="1"/>
      <c r="G156" s="1"/>
      <c r="H156" s="1"/>
      <c r="I156" s="1"/>
      <c r="J156" s="1"/>
      <c r="K156" s="1"/>
      <c r="L156" s="1"/>
      <c r="M156" s="1"/>
      <c r="N156" s="1"/>
      <c r="O156" s="1"/>
      <c r="P156" s="1"/>
      <c r="Q156" s="1"/>
      <c r="R156" s="1"/>
      <c r="S156" s="1"/>
    </row>
    <row r="157" ht="14.25" customHeight="1">
      <c r="A157" s="93" t="s">
        <v>2134</v>
      </c>
      <c r="B157" s="195">
        <v>4.0</v>
      </c>
      <c r="C157" s="195">
        <f t="shared" si="20"/>
        <v>10</v>
      </c>
      <c r="D157" s="1158" t="s">
        <v>18</v>
      </c>
      <c r="E157" s="1"/>
      <c r="F157" s="1"/>
      <c r="G157" s="1"/>
      <c r="H157" s="1"/>
      <c r="I157" s="1"/>
      <c r="J157" s="1"/>
      <c r="K157" s="1"/>
      <c r="L157" s="1"/>
      <c r="M157" s="1"/>
      <c r="N157" s="1"/>
      <c r="O157" s="1"/>
      <c r="P157" s="1"/>
      <c r="Q157" s="1"/>
      <c r="R157" s="1"/>
      <c r="S157" s="1"/>
    </row>
    <row r="158" ht="14.25" customHeight="1">
      <c r="A158" s="93" t="s">
        <v>2135</v>
      </c>
      <c r="B158" s="195">
        <v>6.0</v>
      </c>
      <c r="C158" s="195">
        <f t="shared" si="20"/>
        <v>15</v>
      </c>
      <c r="D158" s="1158" t="s">
        <v>18</v>
      </c>
      <c r="E158" s="1"/>
      <c r="F158" s="1"/>
      <c r="G158" s="1"/>
      <c r="H158" s="1"/>
      <c r="I158" s="1"/>
      <c r="J158" s="1"/>
      <c r="K158" s="1"/>
      <c r="L158" s="1"/>
      <c r="M158" s="1"/>
      <c r="N158" s="1"/>
      <c r="O158" s="1"/>
      <c r="P158" s="1"/>
      <c r="Q158" s="1"/>
      <c r="R158" s="1"/>
      <c r="S158" s="1"/>
    </row>
    <row r="159" ht="14.25" customHeight="1">
      <c r="A159" s="93" t="s">
        <v>31</v>
      </c>
      <c r="B159" s="195">
        <v>12.5</v>
      </c>
      <c r="C159" s="195">
        <f t="shared" si="20"/>
        <v>31.25</v>
      </c>
      <c r="D159" s="1158" t="s">
        <v>18</v>
      </c>
      <c r="E159" s="1"/>
      <c r="F159" s="1"/>
      <c r="G159" s="1"/>
      <c r="H159" s="1"/>
      <c r="I159" s="1"/>
      <c r="J159" s="1"/>
      <c r="K159" s="1"/>
      <c r="L159" s="1"/>
      <c r="M159" s="1"/>
      <c r="N159" s="1"/>
      <c r="O159" s="1"/>
      <c r="P159" s="1"/>
      <c r="Q159" s="1"/>
      <c r="R159" s="1"/>
      <c r="S159" s="1"/>
    </row>
    <row r="160" ht="14.25" customHeight="1">
      <c r="A160" s="93" t="s">
        <v>834</v>
      </c>
      <c r="B160" s="195">
        <v>12.5</v>
      </c>
      <c r="C160" s="195">
        <f t="shared" si="20"/>
        <v>31.25</v>
      </c>
      <c r="D160" s="1158" t="s">
        <v>18</v>
      </c>
      <c r="E160" s="1"/>
      <c r="F160" s="1"/>
      <c r="G160" s="1"/>
      <c r="H160" s="1"/>
      <c r="I160" s="1"/>
      <c r="J160" s="1"/>
      <c r="K160" s="1"/>
      <c r="L160" s="1"/>
      <c r="M160" s="1"/>
      <c r="N160" s="1"/>
      <c r="O160" s="1"/>
      <c r="P160" s="1"/>
      <c r="Q160" s="1"/>
      <c r="R160" s="1"/>
      <c r="S160" s="1"/>
    </row>
    <row r="161" ht="14.25" customHeight="1">
      <c r="A161" s="93" t="s">
        <v>2137</v>
      </c>
      <c r="B161" s="195">
        <v>10.0</v>
      </c>
      <c r="C161" s="195">
        <f t="shared" ref="C161:C162" si="21">C159/B159*B161</f>
        <v>25</v>
      </c>
      <c r="D161" s="1158" t="s">
        <v>18</v>
      </c>
      <c r="E161" s="1"/>
      <c r="F161" s="1"/>
      <c r="G161" s="1"/>
      <c r="H161" s="1"/>
      <c r="I161" s="1"/>
      <c r="J161" s="1"/>
      <c r="K161" s="1"/>
      <c r="L161" s="1"/>
      <c r="M161" s="1"/>
      <c r="N161" s="1"/>
      <c r="O161" s="1"/>
      <c r="P161" s="1"/>
      <c r="Q161" s="1"/>
      <c r="R161" s="1"/>
      <c r="S161" s="1"/>
    </row>
    <row r="162" ht="14.25" customHeight="1">
      <c r="A162" s="93" t="s">
        <v>2139</v>
      </c>
      <c r="B162" s="195">
        <v>1.0</v>
      </c>
      <c r="C162" s="195">
        <f t="shared" si="21"/>
        <v>2.5</v>
      </c>
      <c r="D162" s="1158" t="s">
        <v>1342</v>
      </c>
      <c r="E162" s="1"/>
      <c r="F162" s="1"/>
      <c r="G162" s="1"/>
      <c r="H162" s="1"/>
      <c r="I162" s="1"/>
      <c r="J162" s="1"/>
      <c r="K162" s="1"/>
      <c r="L162" s="1"/>
      <c r="M162" s="1"/>
      <c r="N162" s="1"/>
      <c r="O162" s="1"/>
      <c r="P162" s="1"/>
      <c r="Q162" s="1"/>
      <c r="R162" s="1"/>
      <c r="S162" s="1"/>
    </row>
    <row r="163" ht="14.25" customHeight="1">
      <c r="A163" s="93" t="s">
        <v>1068</v>
      </c>
      <c r="B163" s="195">
        <v>15.0</v>
      </c>
      <c r="C163" s="195">
        <f t="shared" ref="C163:C164" si="22">C162/B162*B163</f>
        <v>37.5</v>
      </c>
      <c r="D163" s="1158" t="s">
        <v>82</v>
      </c>
      <c r="E163" s="1"/>
      <c r="F163" s="1"/>
      <c r="G163" s="1"/>
      <c r="H163" s="1"/>
      <c r="I163" s="1"/>
      <c r="J163" s="1"/>
      <c r="K163" s="1"/>
      <c r="L163" s="1"/>
      <c r="M163" s="1"/>
      <c r="N163" s="1"/>
      <c r="O163" s="1"/>
      <c r="P163" s="1"/>
      <c r="Q163" s="1"/>
      <c r="R163" s="1"/>
      <c r="S163" s="1"/>
    </row>
    <row r="164" ht="14.25" customHeight="1">
      <c r="A164" s="105" t="s">
        <v>958</v>
      </c>
      <c r="B164" s="200">
        <v>60.0</v>
      </c>
      <c r="C164" s="200">
        <f t="shared" si="22"/>
        <v>150</v>
      </c>
      <c r="D164" s="1182" t="s">
        <v>82</v>
      </c>
      <c r="E164" s="1"/>
      <c r="F164" s="1"/>
      <c r="G164" s="1"/>
      <c r="H164" s="1"/>
      <c r="I164" s="1"/>
      <c r="J164" s="1"/>
      <c r="K164" s="1"/>
      <c r="L164" s="1"/>
      <c r="M164" s="1"/>
      <c r="N164" s="1"/>
      <c r="O164" s="1"/>
      <c r="P164" s="1"/>
      <c r="Q164" s="1"/>
      <c r="R164" s="1"/>
      <c r="S164" s="1"/>
    </row>
    <row r="165" ht="14.25" customHeight="1">
      <c r="A165" s="215" t="s">
        <v>42</v>
      </c>
      <c r="B165" s="1"/>
      <c r="C165" s="107"/>
      <c r="D165" s="1"/>
      <c r="E165" s="1"/>
      <c r="F165" s="1"/>
      <c r="G165" s="1"/>
      <c r="H165" s="1"/>
      <c r="I165" s="1"/>
      <c r="J165" s="1"/>
      <c r="K165" s="1"/>
      <c r="L165" s="1"/>
      <c r="M165" s="1"/>
      <c r="N165" s="1"/>
      <c r="O165" s="1"/>
      <c r="P165" s="1"/>
      <c r="Q165" s="1"/>
      <c r="R165" s="1"/>
      <c r="S165" s="1"/>
    </row>
    <row r="166" ht="15.0" customHeight="1">
      <c r="A166" s="786" t="s">
        <v>49</v>
      </c>
      <c r="B166" s="1"/>
      <c r="C166" s="107"/>
      <c r="D166" s="1"/>
      <c r="E166" s="1"/>
      <c r="F166" s="1"/>
      <c r="G166" s="1"/>
      <c r="H166" s="1"/>
      <c r="I166" s="1"/>
      <c r="J166" s="1"/>
      <c r="K166" s="1"/>
      <c r="L166" s="1"/>
      <c r="M166" s="1"/>
      <c r="N166" s="1"/>
      <c r="O166" s="1"/>
      <c r="P166" s="1"/>
      <c r="Q166" s="1"/>
      <c r="R166" s="1"/>
      <c r="S166" s="1"/>
    </row>
    <row r="167" ht="14.25" customHeight="1">
      <c r="A167" s="786" t="s">
        <v>50</v>
      </c>
      <c r="B167" s="1"/>
      <c r="C167" s="107"/>
      <c r="D167" s="1"/>
      <c r="E167" s="1"/>
      <c r="F167" s="1"/>
      <c r="G167" s="1"/>
      <c r="H167" s="1"/>
      <c r="I167" s="1"/>
      <c r="J167" s="1"/>
      <c r="K167" s="1"/>
      <c r="L167" s="1"/>
      <c r="M167" s="1"/>
      <c r="N167" s="1"/>
      <c r="O167" s="1"/>
      <c r="P167" s="1"/>
      <c r="Q167" s="1"/>
      <c r="R167" s="1"/>
      <c r="S167" s="1"/>
    </row>
    <row r="168" ht="14.25" customHeight="1">
      <c r="A168" s="1"/>
      <c r="B168" s="1"/>
      <c r="C168" s="107"/>
      <c r="D168" s="1"/>
      <c r="E168" s="1"/>
      <c r="F168" s="1"/>
      <c r="G168" s="1"/>
      <c r="H168" s="1"/>
      <c r="I168" s="1"/>
      <c r="J168" s="1"/>
      <c r="K168" s="1"/>
      <c r="L168" s="1"/>
      <c r="M168" s="1"/>
      <c r="N168" s="1"/>
      <c r="O168" s="1"/>
      <c r="P168" s="1"/>
      <c r="Q168" s="1"/>
      <c r="R168" s="1"/>
      <c r="S168" s="1"/>
    </row>
    <row r="169" ht="14.25" customHeight="1">
      <c r="A169" s="1"/>
      <c r="B169" s="1"/>
      <c r="C169" s="107"/>
      <c r="D169" s="1"/>
      <c r="E169" s="1"/>
      <c r="F169" s="1"/>
      <c r="G169" s="1"/>
      <c r="H169" s="1"/>
      <c r="I169" s="1"/>
      <c r="J169" s="1"/>
      <c r="K169" s="1"/>
      <c r="L169" s="1"/>
      <c r="M169" s="1"/>
      <c r="N169" s="1"/>
      <c r="O169" s="1"/>
      <c r="P169" s="1"/>
      <c r="Q169" s="1"/>
      <c r="R169" s="1"/>
      <c r="S169" s="1"/>
    </row>
    <row r="170" ht="14.25" customHeight="1">
      <c r="A170" s="1"/>
      <c r="B170" s="1"/>
      <c r="C170" s="107"/>
      <c r="D170" s="1"/>
      <c r="E170" s="1"/>
      <c r="F170" s="1"/>
      <c r="G170" s="1"/>
      <c r="H170" s="1"/>
      <c r="I170" s="1"/>
      <c r="J170" s="1"/>
      <c r="K170" s="1"/>
      <c r="L170" s="1"/>
      <c r="M170" s="1"/>
      <c r="N170" s="1"/>
      <c r="O170" s="1"/>
      <c r="P170" s="1"/>
      <c r="Q170" s="1"/>
      <c r="R170" s="1"/>
      <c r="S170" s="1"/>
    </row>
    <row r="171" ht="14.25" customHeight="1">
      <c r="A171" s="511" t="s">
        <v>2140</v>
      </c>
      <c r="B171" s="18"/>
      <c r="C171" s="18"/>
      <c r="D171" s="19"/>
      <c r="E171" s="1"/>
      <c r="F171" s="1"/>
      <c r="G171" s="1"/>
      <c r="H171" s="1"/>
      <c r="I171" s="1"/>
      <c r="J171" s="1"/>
      <c r="K171" s="1"/>
      <c r="L171" s="1"/>
      <c r="M171" s="1"/>
      <c r="N171" s="1"/>
      <c r="O171" s="1"/>
      <c r="P171" s="1"/>
      <c r="Q171" s="1"/>
      <c r="R171" s="1"/>
      <c r="S171" s="1"/>
    </row>
    <row r="172" ht="14.25" customHeight="1">
      <c r="A172" s="119" t="s">
        <v>1388</v>
      </c>
      <c r="B172" s="238">
        <v>20.0</v>
      </c>
      <c r="C172" s="1892">
        <v>350.0</v>
      </c>
      <c r="D172" s="1184" t="s">
        <v>5</v>
      </c>
      <c r="E172" s="1"/>
      <c r="F172" s="1"/>
      <c r="G172" s="1"/>
      <c r="H172" s="1"/>
      <c r="I172" s="1"/>
      <c r="J172" s="1"/>
      <c r="K172" s="1"/>
      <c r="L172" s="1"/>
      <c r="M172" s="1"/>
      <c r="N172" s="1"/>
      <c r="O172" s="1"/>
      <c r="P172" s="1"/>
      <c r="Q172" s="1"/>
      <c r="R172" s="1"/>
      <c r="S172" s="1"/>
    </row>
    <row r="173" ht="14.25" customHeight="1">
      <c r="A173" s="93" t="s">
        <v>2141</v>
      </c>
      <c r="B173" s="195">
        <v>2.0</v>
      </c>
      <c r="C173" s="195">
        <f t="shared" ref="C173:C180" si="23">C172/B172*B173</f>
        <v>35</v>
      </c>
      <c r="D173" s="1158" t="s">
        <v>1908</v>
      </c>
      <c r="E173" s="1"/>
      <c r="F173" s="1"/>
      <c r="G173" s="1"/>
      <c r="H173" s="1"/>
      <c r="I173" s="1"/>
      <c r="J173" s="1"/>
      <c r="K173" s="1"/>
      <c r="L173" s="1"/>
      <c r="M173" s="1"/>
      <c r="N173" s="1"/>
      <c r="O173" s="1"/>
      <c r="P173" s="1"/>
      <c r="Q173" s="1"/>
      <c r="R173" s="1"/>
      <c r="S173" s="1"/>
    </row>
    <row r="174" ht="14.25" customHeight="1">
      <c r="A174" s="93" t="s">
        <v>1574</v>
      </c>
      <c r="B174" s="195">
        <v>6.5</v>
      </c>
      <c r="C174" s="195">
        <f t="shared" si="23"/>
        <v>113.75</v>
      </c>
      <c r="D174" s="1158" t="s">
        <v>1908</v>
      </c>
      <c r="E174" s="1"/>
      <c r="F174" s="1"/>
      <c r="G174" s="1"/>
      <c r="H174" s="1"/>
      <c r="I174" s="1"/>
      <c r="J174" s="1"/>
      <c r="K174" s="1"/>
      <c r="L174" s="1"/>
      <c r="M174" s="1"/>
      <c r="N174" s="1"/>
      <c r="O174" s="1"/>
      <c r="P174" s="1"/>
      <c r="Q174" s="1"/>
      <c r="R174" s="1"/>
      <c r="S174" s="1"/>
    </row>
    <row r="175" ht="14.25" customHeight="1">
      <c r="A175" s="93" t="s">
        <v>1071</v>
      </c>
      <c r="B175" s="195">
        <v>6.0</v>
      </c>
      <c r="C175" s="195">
        <f t="shared" si="23"/>
        <v>105</v>
      </c>
      <c r="D175" s="1158" t="s">
        <v>366</v>
      </c>
      <c r="E175" s="1"/>
      <c r="F175" s="1"/>
      <c r="G175" s="1"/>
      <c r="H175" s="1"/>
      <c r="I175" s="1"/>
      <c r="J175" s="1"/>
      <c r="K175" s="1"/>
      <c r="L175" s="1"/>
      <c r="M175" s="1"/>
      <c r="N175" s="1"/>
      <c r="O175" s="1"/>
      <c r="P175" s="1"/>
      <c r="Q175" s="1"/>
      <c r="R175" s="1"/>
      <c r="S175" s="1"/>
    </row>
    <row r="176" ht="14.25" customHeight="1">
      <c r="A176" s="93" t="s">
        <v>79</v>
      </c>
      <c r="B176" s="195">
        <v>4.0</v>
      </c>
      <c r="C176" s="195">
        <f t="shared" si="23"/>
        <v>70</v>
      </c>
      <c r="D176" s="1158" t="s">
        <v>366</v>
      </c>
      <c r="E176" s="1"/>
      <c r="F176" s="1"/>
      <c r="G176" s="1"/>
      <c r="H176" s="1"/>
      <c r="I176" s="1"/>
      <c r="J176" s="1"/>
      <c r="K176" s="1"/>
      <c r="L176" s="1"/>
      <c r="M176" s="1"/>
      <c r="N176" s="1"/>
      <c r="O176" s="1"/>
      <c r="P176" s="1"/>
      <c r="Q176" s="1"/>
      <c r="R176" s="1"/>
      <c r="S176" s="1"/>
    </row>
    <row r="177" ht="14.25" customHeight="1">
      <c r="A177" s="93" t="s">
        <v>114</v>
      </c>
      <c r="B177" s="195">
        <v>2.0</v>
      </c>
      <c r="C177" s="195">
        <f t="shared" si="23"/>
        <v>35</v>
      </c>
      <c r="D177" s="1158" t="s">
        <v>2147</v>
      </c>
      <c r="E177" s="1"/>
      <c r="F177" s="1"/>
      <c r="G177" s="1"/>
      <c r="H177" s="1"/>
      <c r="I177" s="1"/>
      <c r="J177" s="1"/>
      <c r="K177" s="1"/>
      <c r="L177" s="1"/>
      <c r="M177" s="1"/>
      <c r="N177" s="1"/>
      <c r="O177" s="1"/>
      <c r="P177" s="1"/>
      <c r="Q177" s="1"/>
      <c r="R177" s="1"/>
      <c r="S177" s="1"/>
    </row>
    <row r="178" ht="14.25" customHeight="1">
      <c r="A178" s="93" t="s">
        <v>31</v>
      </c>
      <c r="B178" s="195">
        <v>40.0</v>
      </c>
      <c r="C178" s="195">
        <f t="shared" si="23"/>
        <v>700</v>
      </c>
      <c r="D178" s="1158" t="s">
        <v>1638</v>
      </c>
      <c r="E178" s="1"/>
      <c r="F178" s="1"/>
      <c r="G178" s="1"/>
      <c r="H178" s="1"/>
      <c r="I178" s="1"/>
      <c r="J178" s="1"/>
      <c r="K178" s="1"/>
      <c r="L178" s="1"/>
      <c r="M178" s="1"/>
      <c r="N178" s="1"/>
      <c r="O178" s="1"/>
      <c r="P178" s="1"/>
      <c r="Q178" s="1"/>
      <c r="R178" s="1"/>
      <c r="S178" s="1"/>
    </row>
    <row r="179" ht="14.25" customHeight="1">
      <c r="A179" s="93" t="s">
        <v>112</v>
      </c>
      <c r="B179" s="195">
        <v>25.0</v>
      </c>
      <c r="C179" s="195">
        <f t="shared" si="23"/>
        <v>437.5</v>
      </c>
      <c r="D179" s="1158" t="s">
        <v>1638</v>
      </c>
      <c r="E179" s="1"/>
      <c r="F179" s="1"/>
      <c r="G179" s="1"/>
      <c r="H179" s="1"/>
      <c r="I179" s="1"/>
      <c r="J179" s="1"/>
      <c r="K179" s="1"/>
      <c r="L179" s="1"/>
      <c r="M179" s="1"/>
      <c r="N179" s="1"/>
      <c r="O179" s="1"/>
      <c r="P179" s="1"/>
      <c r="Q179" s="1"/>
      <c r="R179" s="1"/>
      <c r="S179" s="1"/>
    </row>
    <row r="180" ht="14.25" customHeight="1">
      <c r="A180" s="105" t="s">
        <v>2148</v>
      </c>
      <c r="B180" s="200">
        <v>20.0</v>
      </c>
      <c r="C180" s="200">
        <f t="shared" si="23"/>
        <v>350</v>
      </c>
      <c r="D180" s="1182" t="s">
        <v>1638</v>
      </c>
      <c r="E180" s="1"/>
      <c r="F180" s="1"/>
      <c r="G180" s="1"/>
      <c r="H180" s="1"/>
      <c r="I180" s="1"/>
      <c r="J180" s="1"/>
      <c r="K180" s="1"/>
      <c r="L180" s="1"/>
      <c r="M180" s="1"/>
      <c r="N180" s="1"/>
      <c r="O180" s="1"/>
      <c r="P180" s="1"/>
      <c r="Q180" s="1"/>
      <c r="R180" s="1"/>
      <c r="S180" s="1"/>
    </row>
    <row r="181" ht="14.25" customHeight="1">
      <c r="A181" s="215" t="s">
        <v>42</v>
      </c>
      <c r="B181" s="1"/>
      <c r="C181" s="107"/>
      <c r="D181" s="1"/>
      <c r="E181" s="1"/>
      <c r="F181" s="1"/>
      <c r="G181" s="1"/>
      <c r="H181" s="1"/>
      <c r="I181" s="1"/>
      <c r="J181" s="1"/>
      <c r="K181" s="1"/>
      <c r="L181" s="1"/>
      <c r="M181" s="1"/>
      <c r="N181" s="1"/>
      <c r="O181" s="1"/>
      <c r="P181" s="1"/>
      <c r="Q181" s="1"/>
      <c r="R181" s="1"/>
      <c r="S181" s="1"/>
    </row>
    <row r="182" ht="14.25" customHeight="1">
      <c r="A182" s="786" t="s">
        <v>49</v>
      </c>
      <c r="B182" s="1"/>
      <c r="C182" s="107"/>
      <c r="D182" s="1"/>
      <c r="E182" s="1"/>
      <c r="F182" s="1"/>
      <c r="G182" s="1"/>
      <c r="H182" s="1"/>
      <c r="I182" s="1"/>
      <c r="J182" s="1"/>
      <c r="K182" s="1"/>
      <c r="L182" s="1"/>
      <c r="M182" s="1"/>
      <c r="N182" s="1"/>
      <c r="O182" s="1"/>
      <c r="P182" s="1"/>
      <c r="Q182" s="1"/>
      <c r="R182" s="1"/>
      <c r="S182" s="1"/>
    </row>
    <row r="183" ht="14.25" customHeight="1">
      <c r="A183" s="786" t="s">
        <v>50</v>
      </c>
      <c r="B183" s="1"/>
      <c r="C183" s="107"/>
      <c r="D183" s="1"/>
      <c r="E183" s="1"/>
      <c r="F183" s="1"/>
      <c r="G183" s="1"/>
      <c r="H183" s="1"/>
      <c r="I183" s="1"/>
      <c r="J183" s="1"/>
      <c r="K183" s="1"/>
      <c r="L183" s="1"/>
      <c r="M183" s="1"/>
      <c r="N183" s="1"/>
      <c r="O183" s="1"/>
      <c r="P183" s="1"/>
      <c r="Q183" s="1"/>
      <c r="R183" s="1"/>
      <c r="S183" s="1"/>
    </row>
    <row r="184" ht="14.25" customHeight="1">
      <c r="A184" s="1"/>
      <c r="B184" s="1"/>
      <c r="C184" s="107"/>
      <c r="D184" s="1"/>
      <c r="E184" s="1"/>
      <c r="F184" s="1"/>
      <c r="G184" s="1"/>
      <c r="H184" s="1"/>
      <c r="I184" s="1"/>
      <c r="J184" s="1"/>
      <c r="K184" s="1"/>
      <c r="L184" s="1"/>
      <c r="M184" s="1"/>
      <c r="N184" s="1"/>
      <c r="O184" s="1"/>
      <c r="P184" s="1"/>
      <c r="Q184" s="1"/>
      <c r="R184" s="1"/>
      <c r="S184" s="1"/>
    </row>
    <row r="185" ht="14.25" customHeight="1">
      <c r="A185" s="1"/>
      <c r="B185" s="1"/>
      <c r="C185" s="107"/>
      <c r="D185" s="1"/>
      <c r="E185" s="1"/>
      <c r="F185" s="1"/>
      <c r="G185" s="1"/>
      <c r="H185" s="1"/>
      <c r="I185" s="1"/>
      <c r="J185" s="1"/>
      <c r="K185" s="1"/>
      <c r="L185" s="1"/>
      <c r="M185" s="1"/>
      <c r="N185" s="1"/>
      <c r="O185" s="1"/>
      <c r="P185" s="1"/>
      <c r="Q185" s="1"/>
      <c r="R185" s="1"/>
      <c r="S185" s="1"/>
    </row>
    <row r="186" ht="14.25" customHeight="1">
      <c r="A186" s="1"/>
      <c r="B186" s="1"/>
      <c r="C186" s="107"/>
      <c r="D186" s="1"/>
      <c r="E186" s="373" t="s">
        <v>2152</v>
      </c>
      <c r="F186" s="1"/>
      <c r="G186" s="1"/>
      <c r="H186" s="1"/>
      <c r="I186" s="1"/>
      <c r="J186" s="1"/>
      <c r="K186" s="1"/>
      <c r="L186" s="1"/>
      <c r="M186" s="1"/>
      <c r="N186" s="1"/>
      <c r="O186" s="1"/>
      <c r="P186" s="1"/>
      <c r="Q186" s="1"/>
      <c r="R186" s="1"/>
      <c r="S186" s="1"/>
    </row>
    <row r="187" ht="15.0" customHeight="1">
      <c r="A187" s="577" t="s">
        <v>2154</v>
      </c>
      <c r="B187" s="18"/>
      <c r="C187" s="18"/>
      <c r="D187" s="19"/>
      <c r="E187" s="1"/>
      <c r="F187" s="1"/>
      <c r="G187" s="1"/>
      <c r="H187" s="1"/>
      <c r="I187" s="1"/>
      <c r="J187" s="1"/>
      <c r="K187" s="1"/>
      <c r="L187" s="1"/>
      <c r="M187" s="1"/>
      <c r="N187" s="1"/>
      <c r="O187" s="1"/>
      <c r="P187" s="1"/>
      <c r="Q187" s="1"/>
      <c r="R187" s="1"/>
      <c r="S187" s="1"/>
    </row>
    <row r="188" ht="14.25" customHeight="1">
      <c r="A188" s="119" t="s">
        <v>1</v>
      </c>
      <c r="B188" s="238">
        <v>2.5</v>
      </c>
      <c r="C188" s="523">
        <v>13.0</v>
      </c>
      <c r="D188" s="176" t="s">
        <v>5</v>
      </c>
      <c r="E188" s="1"/>
      <c r="F188" s="1"/>
      <c r="G188" s="1"/>
      <c r="H188" s="1"/>
      <c r="I188" s="1"/>
      <c r="J188" s="1"/>
      <c r="K188" s="1"/>
      <c r="L188" s="1"/>
      <c r="M188" s="1"/>
      <c r="N188" s="1"/>
      <c r="O188" s="1"/>
      <c r="P188" s="1"/>
      <c r="Q188" s="1"/>
      <c r="R188" s="1"/>
      <c r="S188" s="1"/>
    </row>
    <row r="189" ht="14.25" customHeight="1">
      <c r="A189" s="93" t="s">
        <v>2127</v>
      </c>
      <c r="B189" s="195">
        <v>0.5</v>
      </c>
      <c r="C189" s="247">
        <f t="shared" ref="C189:C199" si="24">C188/B188*B189</f>
        <v>2.6</v>
      </c>
      <c r="D189" s="165" t="s">
        <v>366</v>
      </c>
      <c r="E189" s="1"/>
      <c r="F189" s="1"/>
      <c r="G189" s="1"/>
      <c r="H189" s="1"/>
      <c r="I189" s="1"/>
      <c r="J189" s="1"/>
      <c r="K189" s="1"/>
      <c r="L189" s="1"/>
      <c r="M189" s="1"/>
      <c r="N189" s="1"/>
      <c r="O189" s="1"/>
      <c r="P189" s="1"/>
      <c r="Q189" s="1"/>
      <c r="R189" s="1"/>
      <c r="S189" s="1"/>
    </row>
    <row r="190" ht="14.25" customHeight="1">
      <c r="A190" s="93" t="s">
        <v>2130</v>
      </c>
      <c r="B190" s="195">
        <v>0.5</v>
      </c>
      <c r="C190" s="247">
        <f t="shared" si="24"/>
        <v>2.6</v>
      </c>
      <c r="D190" s="165" t="s">
        <v>366</v>
      </c>
      <c r="E190" s="1"/>
      <c r="F190" s="1"/>
      <c r="G190" s="1"/>
      <c r="H190" s="1"/>
      <c r="I190" s="1"/>
      <c r="J190" s="1"/>
      <c r="K190" s="1"/>
      <c r="L190" s="1"/>
      <c r="M190" s="1"/>
      <c r="N190" s="1"/>
      <c r="O190" s="1"/>
      <c r="P190" s="1"/>
      <c r="Q190" s="1"/>
      <c r="R190" s="1"/>
      <c r="S190" s="1"/>
    </row>
    <row r="191" ht="24.75" customHeight="1">
      <c r="A191" s="93" t="s">
        <v>2131</v>
      </c>
      <c r="B191" s="195">
        <v>0.5</v>
      </c>
      <c r="C191" s="247">
        <f t="shared" si="24"/>
        <v>2.6</v>
      </c>
      <c r="D191" s="165" t="s">
        <v>366</v>
      </c>
      <c r="E191" s="1"/>
      <c r="F191" s="1"/>
      <c r="G191" s="1"/>
      <c r="H191" s="1"/>
      <c r="I191" s="1"/>
      <c r="J191" s="1"/>
      <c r="K191" s="1"/>
      <c r="L191" s="1"/>
      <c r="M191" s="1"/>
      <c r="N191" s="1"/>
      <c r="O191" s="1"/>
      <c r="P191" s="1"/>
      <c r="Q191" s="1"/>
      <c r="R191" s="1"/>
      <c r="S191" s="1"/>
    </row>
    <row r="192" ht="14.25" customHeight="1">
      <c r="A192" s="93" t="s">
        <v>2133</v>
      </c>
      <c r="B192" s="195">
        <v>0.15</v>
      </c>
      <c r="C192" s="247">
        <f t="shared" si="24"/>
        <v>0.78</v>
      </c>
      <c r="D192" s="165" t="s">
        <v>366</v>
      </c>
      <c r="E192" s="1"/>
      <c r="F192" s="1"/>
      <c r="G192" s="1"/>
      <c r="H192" s="1"/>
      <c r="I192" s="1"/>
      <c r="J192" s="1"/>
      <c r="K192" s="1"/>
      <c r="L192" s="1"/>
      <c r="M192" s="1"/>
      <c r="N192" s="1"/>
      <c r="O192" s="1"/>
      <c r="P192" s="1"/>
      <c r="Q192" s="1"/>
      <c r="R192" s="1"/>
      <c r="S192" s="1"/>
    </row>
    <row r="193" ht="14.25" customHeight="1">
      <c r="A193" s="93" t="s">
        <v>2134</v>
      </c>
      <c r="B193" s="195">
        <v>4.0</v>
      </c>
      <c r="C193" s="247">
        <f t="shared" si="24"/>
        <v>20.8</v>
      </c>
      <c r="D193" s="165" t="s">
        <v>18</v>
      </c>
      <c r="E193" s="1"/>
      <c r="F193" s="1"/>
      <c r="G193" s="1"/>
      <c r="H193" s="1"/>
      <c r="I193" s="1"/>
      <c r="J193" s="1"/>
      <c r="K193" s="1"/>
      <c r="L193" s="1"/>
      <c r="M193" s="1"/>
      <c r="N193" s="1"/>
      <c r="O193" s="1"/>
      <c r="P193" s="1"/>
      <c r="Q193" s="1"/>
      <c r="R193" s="1"/>
      <c r="S193" s="1"/>
    </row>
    <row r="194" ht="14.25" customHeight="1">
      <c r="A194" s="93" t="s">
        <v>2135</v>
      </c>
      <c r="B194" s="195">
        <v>2.0</v>
      </c>
      <c r="C194" s="247">
        <f t="shared" si="24"/>
        <v>10.4</v>
      </c>
      <c r="D194" s="165" t="s">
        <v>18</v>
      </c>
      <c r="E194" s="1"/>
      <c r="F194" s="1"/>
      <c r="G194" s="1"/>
      <c r="H194" s="1"/>
      <c r="I194" s="1"/>
      <c r="J194" s="1"/>
      <c r="K194" s="1"/>
      <c r="L194" s="1"/>
      <c r="M194" s="1"/>
      <c r="N194" s="1"/>
      <c r="O194" s="1"/>
      <c r="P194" s="1"/>
      <c r="Q194" s="1"/>
      <c r="R194" s="1"/>
      <c r="S194" s="1"/>
    </row>
    <row r="195" ht="14.25" customHeight="1">
      <c r="A195" s="93" t="s">
        <v>31</v>
      </c>
      <c r="B195" s="195">
        <v>10.0</v>
      </c>
      <c r="C195" s="247">
        <f t="shared" si="24"/>
        <v>52</v>
      </c>
      <c r="D195" s="165" t="s">
        <v>18</v>
      </c>
      <c r="E195" s="1"/>
      <c r="F195" s="1"/>
      <c r="G195" s="1"/>
      <c r="H195" s="1"/>
      <c r="I195" s="1"/>
      <c r="J195" s="1"/>
      <c r="K195" s="1"/>
      <c r="L195" s="1"/>
      <c r="M195" s="1"/>
      <c r="N195" s="1"/>
      <c r="O195" s="1"/>
      <c r="P195" s="1"/>
      <c r="Q195" s="1"/>
      <c r="R195" s="1"/>
      <c r="S195" s="1"/>
    </row>
    <row r="196" ht="14.25" customHeight="1">
      <c r="A196" s="93" t="s">
        <v>834</v>
      </c>
      <c r="B196" s="195">
        <v>8.0</v>
      </c>
      <c r="C196" s="247">
        <f t="shared" si="24"/>
        <v>41.6</v>
      </c>
      <c r="D196" s="165" t="s">
        <v>18</v>
      </c>
      <c r="E196" s="1"/>
      <c r="F196" s="1"/>
      <c r="G196" s="1"/>
      <c r="H196" s="1"/>
      <c r="I196" s="1"/>
      <c r="J196" s="1"/>
      <c r="K196" s="1"/>
      <c r="L196" s="1"/>
      <c r="M196" s="1"/>
      <c r="N196" s="1"/>
      <c r="O196" s="1"/>
      <c r="P196" s="1"/>
      <c r="Q196" s="1"/>
      <c r="R196" s="1"/>
      <c r="S196" s="1"/>
    </row>
    <row r="197" ht="14.25" customHeight="1">
      <c r="A197" s="93" t="s">
        <v>2137</v>
      </c>
      <c r="B197" s="195">
        <v>5.0</v>
      </c>
      <c r="C197" s="247">
        <f t="shared" si="24"/>
        <v>26</v>
      </c>
      <c r="D197" s="165" t="s">
        <v>18</v>
      </c>
      <c r="E197" s="1"/>
      <c r="F197" s="1"/>
      <c r="G197" s="1"/>
      <c r="H197" s="1"/>
      <c r="I197" s="1"/>
      <c r="J197" s="1"/>
      <c r="K197" s="1"/>
      <c r="L197" s="1"/>
      <c r="M197" s="1"/>
      <c r="N197" s="1"/>
      <c r="O197" s="1"/>
      <c r="P197" s="1"/>
      <c r="Q197" s="1"/>
      <c r="R197" s="1"/>
      <c r="S197" s="1"/>
    </row>
    <row r="198" ht="14.25" customHeight="1">
      <c r="A198" s="93" t="s">
        <v>1068</v>
      </c>
      <c r="B198" s="195">
        <v>15.0</v>
      </c>
      <c r="C198" s="247">
        <f t="shared" si="24"/>
        <v>78</v>
      </c>
      <c r="D198" s="165" t="s">
        <v>82</v>
      </c>
      <c r="E198" s="1"/>
      <c r="F198" s="1"/>
      <c r="G198" s="1"/>
      <c r="H198" s="1"/>
      <c r="I198" s="1"/>
      <c r="J198" s="1"/>
      <c r="K198" s="1"/>
      <c r="L198" s="1"/>
      <c r="M198" s="1"/>
      <c r="N198" s="1"/>
      <c r="O198" s="1"/>
      <c r="P198" s="1"/>
      <c r="Q198" s="1"/>
      <c r="R198" s="1"/>
      <c r="S198" s="1"/>
    </row>
    <row r="199" ht="14.25" customHeight="1">
      <c r="A199" s="105" t="s">
        <v>958</v>
      </c>
      <c r="B199" s="200">
        <v>60.0</v>
      </c>
      <c r="C199" s="522">
        <f t="shared" si="24"/>
        <v>312</v>
      </c>
      <c r="D199" s="172" t="s">
        <v>82</v>
      </c>
      <c r="E199" s="1"/>
      <c r="F199" s="1"/>
      <c r="G199" s="1"/>
      <c r="H199" s="1"/>
      <c r="I199" s="1"/>
      <c r="J199" s="1"/>
      <c r="K199" s="1"/>
      <c r="L199" s="1"/>
      <c r="M199" s="1"/>
      <c r="N199" s="1"/>
      <c r="O199" s="1"/>
      <c r="P199" s="1"/>
      <c r="Q199" s="1"/>
      <c r="R199" s="1"/>
      <c r="S199" s="1"/>
    </row>
    <row r="200" ht="14.25" customHeight="1">
      <c r="A200" s="215" t="s">
        <v>42</v>
      </c>
      <c r="B200" s="1"/>
      <c r="C200" s="107"/>
      <c r="D200" s="1"/>
      <c r="E200" s="1"/>
      <c r="F200" s="1"/>
      <c r="G200" s="1"/>
      <c r="H200" s="1"/>
      <c r="I200" s="1"/>
      <c r="J200" s="1"/>
      <c r="K200" s="1"/>
      <c r="L200" s="1"/>
      <c r="M200" s="1"/>
      <c r="N200" s="1"/>
      <c r="O200" s="1"/>
      <c r="P200" s="1"/>
      <c r="Q200" s="1"/>
      <c r="R200" s="1"/>
      <c r="S200" s="1"/>
    </row>
    <row r="201" ht="14.25" customHeight="1">
      <c r="A201" s="786" t="s">
        <v>49</v>
      </c>
      <c r="B201" s="1"/>
      <c r="C201" s="107"/>
      <c r="D201" s="1"/>
      <c r="E201" s="1"/>
      <c r="F201" s="1"/>
      <c r="G201" s="1"/>
      <c r="H201" s="1"/>
      <c r="I201" s="1"/>
      <c r="J201" s="1"/>
      <c r="K201" s="1"/>
      <c r="L201" s="1"/>
      <c r="M201" s="1"/>
      <c r="N201" s="1"/>
      <c r="O201" s="1"/>
      <c r="P201" s="1"/>
      <c r="Q201" s="1"/>
      <c r="R201" s="1"/>
      <c r="S201" s="1"/>
    </row>
    <row r="202" ht="14.25" customHeight="1">
      <c r="A202" s="786" t="s">
        <v>50</v>
      </c>
      <c r="B202" s="1"/>
      <c r="C202" s="107"/>
      <c r="D202" s="1"/>
      <c r="E202" s="1"/>
      <c r="F202" s="1"/>
      <c r="G202" s="1"/>
      <c r="H202" s="1"/>
      <c r="I202" s="1"/>
      <c r="J202" s="1"/>
      <c r="K202" s="1"/>
      <c r="L202" s="1"/>
      <c r="M202" s="1"/>
      <c r="N202" s="1"/>
      <c r="O202" s="1"/>
      <c r="P202" s="1"/>
      <c r="Q202" s="1"/>
      <c r="R202" s="1"/>
      <c r="S202" s="1"/>
    </row>
    <row r="203" ht="14.25" customHeight="1">
      <c r="A203" s="1817" t="s">
        <v>2027</v>
      </c>
      <c r="B203" s="5"/>
      <c r="C203" s="5"/>
      <c r="D203" s="6"/>
      <c r="E203" s="1"/>
      <c r="F203" s="1"/>
      <c r="G203" s="1"/>
      <c r="H203" s="1"/>
      <c r="I203" s="1"/>
      <c r="J203" s="1"/>
      <c r="K203" s="1"/>
      <c r="L203" s="1"/>
      <c r="M203" s="1"/>
      <c r="N203" s="1"/>
      <c r="O203" s="1"/>
      <c r="P203" s="1"/>
      <c r="Q203" s="1"/>
      <c r="R203" s="1"/>
      <c r="S203" s="1"/>
    </row>
    <row r="204" ht="14.25" customHeight="1">
      <c r="A204" s="360" t="s">
        <v>1</v>
      </c>
      <c r="B204" s="1820">
        <v>60.0</v>
      </c>
      <c r="C204" s="1654">
        <v>10.0</v>
      </c>
      <c r="D204" s="1397" t="s">
        <v>5</v>
      </c>
      <c r="E204" s="1"/>
      <c r="F204" s="1"/>
      <c r="G204" s="1"/>
      <c r="H204" s="1"/>
      <c r="I204" s="1"/>
      <c r="J204" s="1"/>
      <c r="K204" s="1"/>
      <c r="L204" s="1"/>
      <c r="M204" s="1"/>
      <c r="N204" s="1"/>
      <c r="O204" s="1"/>
      <c r="P204" s="1"/>
      <c r="Q204" s="1"/>
      <c r="R204" s="1"/>
      <c r="S204" s="1"/>
    </row>
    <row r="205" ht="14.25" customHeight="1">
      <c r="A205" s="360" t="s">
        <v>79</v>
      </c>
      <c r="B205" s="1820">
        <v>33.0</v>
      </c>
      <c r="C205" s="1654">
        <f t="shared" ref="C205:C211" si="25">(B205*C204)/B204</f>
        <v>5.5</v>
      </c>
      <c r="D205" s="1397" t="s">
        <v>366</v>
      </c>
      <c r="E205" s="1"/>
      <c r="F205" s="1"/>
      <c r="G205" s="1"/>
      <c r="H205" s="1"/>
      <c r="I205" s="1"/>
      <c r="J205" s="1"/>
      <c r="K205" s="1"/>
      <c r="L205" s="1"/>
      <c r="M205" s="1"/>
      <c r="N205" s="1"/>
      <c r="O205" s="1"/>
      <c r="P205" s="1"/>
      <c r="Q205" s="1"/>
      <c r="R205" s="1"/>
      <c r="S205" s="1"/>
    </row>
    <row r="206" ht="14.25" customHeight="1">
      <c r="A206" s="345" t="s">
        <v>1853</v>
      </c>
      <c r="B206" s="1826">
        <v>1.0</v>
      </c>
      <c r="C206" s="1045">
        <f t="shared" si="25"/>
        <v>0.1666666667</v>
      </c>
      <c r="D206" s="1398" t="s">
        <v>366</v>
      </c>
      <c r="E206" s="1"/>
      <c r="F206" s="1"/>
      <c r="G206" s="1"/>
      <c r="H206" s="1"/>
      <c r="I206" s="1"/>
      <c r="J206" s="1"/>
      <c r="K206" s="1"/>
      <c r="L206" s="1"/>
      <c r="M206" s="1"/>
      <c r="N206" s="1"/>
      <c r="O206" s="1"/>
      <c r="P206" s="1"/>
      <c r="Q206" s="1"/>
      <c r="R206" s="1"/>
      <c r="S206" s="1"/>
    </row>
    <row r="207" ht="14.25" customHeight="1">
      <c r="A207" s="350" t="s">
        <v>103</v>
      </c>
      <c r="B207" s="1835">
        <v>0.17</v>
      </c>
      <c r="C207" s="1340">
        <f t="shared" si="25"/>
        <v>0.02833333333</v>
      </c>
      <c r="D207" s="1399" t="s">
        <v>366</v>
      </c>
      <c r="E207" s="1"/>
      <c r="F207" s="1"/>
      <c r="G207" s="1"/>
      <c r="H207" s="1"/>
      <c r="I207" s="1"/>
      <c r="J207" s="1"/>
      <c r="K207" s="1"/>
      <c r="L207" s="1"/>
      <c r="M207" s="1"/>
      <c r="N207" s="1"/>
      <c r="O207" s="1"/>
      <c r="P207" s="1"/>
      <c r="Q207" s="1"/>
      <c r="R207" s="1"/>
      <c r="S207" s="1"/>
    </row>
    <row r="208" ht="14.25" customHeight="1">
      <c r="A208" s="606" t="s">
        <v>2031</v>
      </c>
      <c r="B208" s="1840">
        <v>0.21</v>
      </c>
      <c r="C208" s="1418">
        <f t="shared" si="25"/>
        <v>0.035</v>
      </c>
      <c r="D208" s="1403" t="s">
        <v>366</v>
      </c>
      <c r="E208" s="1"/>
      <c r="F208" s="1"/>
      <c r="G208" s="1"/>
      <c r="H208" s="1"/>
      <c r="I208" s="1"/>
      <c r="J208" s="1"/>
      <c r="K208" s="1"/>
      <c r="L208" s="1"/>
      <c r="M208" s="1"/>
      <c r="N208" s="1"/>
      <c r="O208" s="1"/>
      <c r="P208" s="1"/>
      <c r="Q208" s="1"/>
      <c r="R208" s="1"/>
      <c r="S208" s="1"/>
    </row>
    <row r="209" ht="14.25" customHeight="1">
      <c r="A209" s="345" t="s">
        <v>551</v>
      </c>
      <c r="B209" s="1826">
        <v>0.75</v>
      </c>
      <c r="C209" s="1045">
        <f t="shared" si="25"/>
        <v>0.125</v>
      </c>
      <c r="D209" s="1398" t="s">
        <v>366</v>
      </c>
      <c r="E209" s="1"/>
      <c r="F209" s="1"/>
      <c r="G209" s="1"/>
      <c r="H209" s="1"/>
      <c r="I209" s="1"/>
      <c r="J209" s="1"/>
      <c r="K209" s="1"/>
      <c r="L209" s="1"/>
      <c r="M209" s="1"/>
      <c r="N209" s="1"/>
      <c r="O209" s="1"/>
      <c r="P209" s="1"/>
      <c r="Q209" s="1"/>
      <c r="R209" s="1"/>
      <c r="S209" s="1"/>
    </row>
    <row r="210" ht="14.25" customHeight="1">
      <c r="A210" s="350" t="s">
        <v>13</v>
      </c>
      <c r="B210" s="1835">
        <v>1.4</v>
      </c>
      <c r="C210" s="1340">
        <f t="shared" si="25"/>
        <v>0.2333333333</v>
      </c>
      <c r="D210" s="1399" t="s">
        <v>366</v>
      </c>
      <c r="E210" s="1"/>
      <c r="F210" s="1"/>
      <c r="G210" s="1"/>
      <c r="H210" s="1"/>
      <c r="I210" s="1"/>
      <c r="J210" s="1"/>
      <c r="K210" s="1"/>
      <c r="L210" s="1"/>
      <c r="M210" s="1"/>
      <c r="N210" s="1"/>
      <c r="O210" s="1"/>
      <c r="P210" s="1"/>
      <c r="Q210" s="1"/>
      <c r="R210" s="1"/>
      <c r="S210" s="1"/>
    </row>
    <row r="211" ht="14.25" customHeight="1">
      <c r="A211" s="354" t="s">
        <v>2036</v>
      </c>
      <c r="B211" s="1835">
        <v>40.0</v>
      </c>
      <c r="C211" s="1340">
        <f t="shared" si="25"/>
        <v>6.666666667</v>
      </c>
      <c r="D211" s="1845" t="s">
        <v>18</v>
      </c>
      <c r="E211" s="1"/>
      <c r="F211" s="1"/>
      <c r="G211" s="1"/>
      <c r="H211" s="1"/>
      <c r="I211" s="1"/>
      <c r="J211" s="1"/>
      <c r="K211" s="1"/>
      <c r="L211" s="1"/>
      <c r="M211" s="1"/>
      <c r="N211" s="1"/>
      <c r="O211" s="1"/>
      <c r="P211" s="1"/>
      <c r="Q211" s="1"/>
      <c r="R211" s="1"/>
      <c r="S211" s="1"/>
    </row>
    <row r="212" ht="14.25" customHeight="1">
      <c r="A212" s="606" t="s">
        <v>2038</v>
      </c>
      <c r="B212" s="1840">
        <v>50.0</v>
      </c>
      <c r="C212" s="1418">
        <f>(B212*C210)/B210</f>
        <v>8.333333333</v>
      </c>
      <c r="D212" s="1403" t="s">
        <v>18</v>
      </c>
      <c r="E212" s="1"/>
      <c r="F212" s="1"/>
      <c r="G212" s="1"/>
      <c r="H212" s="1"/>
      <c r="I212" s="1"/>
      <c r="J212" s="1"/>
      <c r="K212" s="1"/>
      <c r="L212" s="1"/>
      <c r="M212" s="1"/>
      <c r="N212" s="1"/>
      <c r="O212" s="1"/>
      <c r="P212" s="1"/>
      <c r="Q212" s="1"/>
      <c r="R212" s="1"/>
      <c r="S212" s="1"/>
    </row>
    <row r="213" ht="14.25" customHeight="1">
      <c r="A213" s="345" t="s">
        <v>216</v>
      </c>
      <c r="B213" s="1826">
        <v>550.0</v>
      </c>
      <c r="C213" s="1045">
        <f t="shared" ref="C213:C214" si="26">(B213*C212)/B212</f>
        <v>91.66666667</v>
      </c>
      <c r="D213" s="1398" t="s">
        <v>18</v>
      </c>
      <c r="E213" s="1"/>
      <c r="F213" s="1"/>
      <c r="G213" s="1"/>
      <c r="H213" s="1"/>
      <c r="I213" s="1"/>
      <c r="J213" s="1"/>
      <c r="K213" s="1"/>
      <c r="L213" s="1"/>
      <c r="M213" s="1"/>
      <c r="N213" s="1"/>
      <c r="O213" s="1"/>
      <c r="P213" s="1"/>
      <c r="Q213" s="1"/>
      <c r="R213" s="1"/>
      <c r="S213" s="1"/>
    </row>
    <row r="214" ht="14.25" customHeight="1">
      <c r="A214" s="606" t="s">
        <v>2039</v>
      </c>
      <c r="B214" s="1840">
        <v>1.0</v>
      </c>
      <c r="C214" s="1418">
        <f t="shared" si="26"/>
        <v>0.1666666667</v>
      </c>
      <c r="D214" s="1403" t="s">
        <v>5</v>
      </c>
      <c r="E214" s="1"/>
      <c r="F214" s="1"/>
      <c r="G214" s="1"/>
      <c r="H214" s="1"/>
      <c r="I214" s="1"/>
      <c r="J214" s="1"/>
      <c r="K214" s="1"/>
      <c r="L214" s="1"/>
      <c r="M214" s="1"/>
      <c r="N214" s="1"/>
      <c r="O214" s="1"/>
      <c r="P214" s="1"/>
      <c r="Q214" s="1"/>
      <c r="R214" s="1"/>
      <c r="S214" s="1"/>
    </row>
    <row r="215" ht="14.25" customHeight="1">
      <c r="A215" s="345" t="s">
        <v>2040</v>
      </c>
      <c r="B215" s="1826">
        <v>0.5</v>
      </c>
      <c r="C215" s="1045">
        <f t="shared" ref="C215:C217" si="27">(B215*C212)/B212</f>
        <v>0.08333333333</v>
      </c>
      <c r="D215" s="1398" t="s">
        <v>366</v>
      </c>
      <c r="E215" s="1"/>
      <c r="F215" s="1"/>
      <c r="G215" s="1"/>
      <c r="H215" s="1"/>
      <c r="I215" s="1"/>
      <c r="J215" s="1"/>
      <c r="K215" s="1"/>
      <c r="L215" s="1"/>
      <c r="M215" s="1"/>
      <c r="N215" s="1"/>
      <c r="O215" s="1"/>
      <c r="P215" s="1"/>
      <c r="Q215" s="1"/>
      <c r="R215" s="1"/>
      <c r="S215" s="1"/>
    </row>
    <row r="216" ht="14.25" customHeight="1">
      <c r="A216" s="591" t="s">
        <v>2042</v>
      </c>
      <c r="B216" s="1835">
        <v>0.5</v>
      </c>
      <c r="C216" s="1340">
        <f t="shared" si="27"/>
        <v>0.08333333333</v>
      </c>
      <c r="D216" s="1405" t="s">
        <v>366</v>
      </c>
      <c r="E216" s="1"/>
      <c r="F216" s="1"/>
      <c r="G216" s="1"/>
      <c r="H216" s="1"/>
      <c r="I216" s="1"/>
      <c r="J216" s="1"/>
      <c r="K216" s="1"/>
      <c r="L216" s="1"/>
      <c r="M216" s="1"/>
      <c r="N216" s="1"/>
      <c r="O216" s="1"/>
      <c r="P216" s="1"/>
      <c r="Q216" s="1"/>
      <c r="R216" s="1"/>
      <c r="S216" s="1"/>
    </row>
    <row r="217" ht="14.25" customHeight="1">
      <c r="A217" s="1806" t="s">
        <v>2043</v>
      </c>
      <c r="B217" s="1840">
        <v>2.0</v>
      </c>
      <c r="C217" s="1418">
        <f t="shared" si="27"/>
        <v>0.3333333333</v>
      </c>
      <c r="D217" s="1857" t="s">
        <v>5</v>
      </c>
      <c r="E217" s="1"/>
      <c r="F217" s="1"/>
      <c r="G217" s="1"/>
      <c r="H217" s="1"/>
      <c r="I217" s="1"/>
      <c r="J217" s="1"/>
      <c r="K217" s="1"/>
      <c r="L217" s="1"/>
      <c r="M217" s="1"/>
      <c r="N217" s="1"/>
      <c r="O217" s="1"/>
      <c r="P217" s="1"/>
      <c r="Q217" s="1"/>
      <c r="R217" s="1"/>
      <c r="S217" s="1"/>
    </row>
    <row r="218" ht="14.25" customHeight="1">
      <c r="A218" s="458" t="s">
        <v>114</v>
      </c>
      <c r="B218" s="460">
        <v>2.5</v>
      </c>
      <c r="C218" s="1654">
        <f>(B218*C217)/B217</f>
        <v>0.4166666667</v>
      </c>
      <c r="D218" s="463" t="s">
        <v>5</v>
      </c>
      <c r="E218" s="1"/>
      <c r="F218" s="1"/>
      <c r="G218" s="1"/>
      <c r="H218" s="1"/>
      <c r="I218" s="1"/>
      <c r="J218" s="1"/>
      <c r="K218" s="1"/>
      <c r="L218" s="1"/>
      <c r="M218" s="1"/>
      <c r="N218" s="1"/>
      <c r="O218" s="1"/>
      <c r="P218" s="1"/>
      <c r="Q218" s="1"/>
      <c r="R218" s="1"/>
      <c r="S218" s="1"/>
    </row>
    <row r="219" ht="14.25" customHeight="1">
      <c r="A219" s="215" t="s">
        <v>42</v>
      </c>
      <c r="B219" s="1"/>
      <c r="C219" s="107"/>
      <c r="D219" s="1"/>
      <c r="E219" s="1"/>
      <c r="F219" s="1"/>
      <c r="G219" s="1"/>
      <c r="H219" s="1"/>
      <c r="I219" s="1"/>
      <c r="J219" s="1"/>
      <c r="K219" s="1"/>
      <c r="L219" s="1"/>
      <c r="M219" s="1"/>
      <c r="N219" s="1"/>
      <c r="O219" s="1"/>
      <c r="P219" s="1"/>
      <c r="Q219" s="1"/>
      <c r="R219" s="1"/>
      <c r="S219" s="1"/>
    </row>
    <row r="220" ht="14.25" customHeight="1">
      <c r="A220" s="786" t="s">
        <v>49</v>
      </c>
      <c r="B220" s="1"/>
      <c r="C220" s="107"/>
      <c r="D220" s="1"/>
      <c r="E220" s="1"/>
      <c r="F220" s="1"/>
      <c r="G220" s="1"/>
      <c r="H220" s="1"/>
      <c r="I220" s="1"/>
      <c r="J220" s="1"/>
      <c r="K220" s="1"/>
      <c r="L220" s="1"/>
      <c r="M220" s="1"/>
      <c r="N220" s="1"/>
      <c r="O220" s="1"/>
      <c r="P220" s="1"/>
      <c r="Q220" s="1"/>
      <c r="R220" s="1"/>
      <c r="S220" s="1"/>
    </row>
    <row r="221" ht="14.25" customHeight="1">
      <c r="A221" s="786" t="s">
        <v>50</v>
      </c>
      <c r="B221" s="1"/>
      <c r="C221" s="107"/>
      <c r="D221" s="1"/>
      <c r="E221" s="1"/>
      <c r="F221" s="1"/>
      <c r="G221" s="1"/>
      <c r="H221" s="1"/>
      <c r="I221" s="1"/>
      <c r="J221" s="1"/>
      <c r="K221" s="1"/>
      <c r="L221" s="1"/>
      <c r="M221" s="1"/>
      <c r="N221" s="1"/>
      <c r="O221" s="1"/>
      <c r="P221" s="1"/>
      <c r="Q221" s="1"/>
      <c r="R221" s="1"/>
      <c r="S221" s="1"/>
    </row>
    <row r="222" ht="14.25" customHeight="1">
      <c r="A222" s="1"/>
      <c r="B222" s="1"/>
      <c r="C222" s="107"/>
      <c r="D222" s="1"/>
      <c r="E222" s="1"/>
      <c r="F222" s="1"/>
      <c r="G222" s="1"/>
      <c r="H222" s="1"/>
      <c r="I222" s="1"/>
      <c r="J222" s="1"/>
      <c r="K222" s="1"/>
      <c r="L222" s="1"/>
      <c r="M222" s="1"/>
      <c r="N222" s="1"/>
      <c r="O222" s="1"/>
      <c r="P222" s="1"/>
      <c r="Q222" s="1"/>
      <c r="R222" s="1"/>
      <c r="S222" s="1"/>
    </row>
    <row r="223" ht="15.0" customHeight="1">
      <c r="A223" s="1"/>
      <c r="B223" s="1"/>
      <c r="C223" s="107"/>
      <c r="D223" s="1"/>
      <c r="E223" s="1"/>
      <c r="F223" s="1"/>
      <c r="G223" s="1"/>
      <c r="H223" s="1"/>
      <c r="I223" s="1"/>
      <c r="J223" s="1"/>
      <c r="K223" s="1"/>
      <c r="L223" s="1"/>
      <c r="M223" s="1"/>
      <c r="N223" s="1"/>
      <c r="O223" s="1"/>
      <c r="P223" s="1"/>
      <c r="Q223" s="1"/>
      <c r="R223" s="1"/>
      <c r="S223" s="1"/>
    </row>
    <row r="224" ht="14.25" customHeight="1">
      <c r="A224" s="913" t="s">
        <v>2197</v>
      </c>
      <c r="B224" s="5"/>
      <c r="C224" s="5"/>
      <c r="D224" s="6"/>
      <c r="E224" s="1"/>
      <c r="F224" s="1"/>
      <c r="G224" s="1"/>
      <c r="H224" s="1"/>
      <c r="I224" s="1"/>
      <c r="J224" s="1"/>
      <c r="K224" s="1"/>
      <c r="L224" s="1"/>
      <c r="M224" s="1"/>
      <c r="N224" s="1"/>
      <c r="O224" s="1"/>
      <c r="P224" s="1"/>
      <c r="Q224" s="1"/>
      <c r="R224" s="1"/>
      <c r="S224" s="1"/>
    </row>
    <row r="225" ht="14.25" customHeight="1">
      <c r="A225" s="51" t="s">
        <v>1</v>
      </c>
      <c r="B225" s="190">
        <v>10.0</v>
      </c>
      <c r="C225" s="191">
        <v>350.0</v>
      </c>
      <c r="D225" s="514" t="s">
        <v>5</v>
      </c>
      <c r="E225" s="1"/>
      <c r="F225" s="1"/>
      <c r="G225" s="1"/>
      <c r="H225" s="1"/>
      <c r="I225" s="1"/>
      <c r="J225" s="1"/>
      <c r="K225" s="1"/>
      <c r="L225" s="1"/>
      <c r="M225" s="1"/>
      <c r="N225" s="1"/>
      <c r="O225" s="1"/>
      <c r="P225" s="1"/>
      <c r="Q225" s="1"/>
      <c r="R225" s="1"/>
      <c r="S225" s="1"/>
    </row>
    <row r="226" ht="15.0" customHeight="1">
      <c r="A226" s="68" t="s">
        <v>2198</v>
      </c>
      <c r="B226" s="145">
        <v>5.6</v>
      </c>
      <c r="C226" s="1192">
        <f t="shared" ref="C226:C227" si="28">(B226*C225)/B225</f>
        <v>196</v>
      </c>
      <c r="D226" s="216" t="s">
        <v>366</v>
      </c>
      <c r="E226" s="1"/>
      <c r="F226" s="1"/>
      <c r="G226" s="1"/>
      <c r="H226" s="1"/>
      <c r="I226" s="1"/>
      <c r="J226" s="1"/>
      <c r="K226" s="1"/>
      <c r="L226" s="1"/>
      <c r="M226" s="1"/>
      <c r="N226" s="1"/>
      <c r="O226" s="1"/>
      <c r="P226" s="1"/>
      <c r="Q226" s="1"/>
      <c r="R226" s="1"/>
      <c r="S226" s="1"/>
    </row>
    <row r="227" ht="14.25" customHeight="1">
      <c r="A227" s="93" t="s">
        <v>2200</v>
      </c>
      <c r="B227" s="195">
        <v>3.2</v>
      </c>
      <c r="C227" s="1878">
        <f t="shared" si="28"/>
        <v>112</v>
      </c>
      <c r="D227" s="249" t="s">
        <v>366</v>
      </c>
      <c r="E227" s="1"/>
      <c r="F227" s="1"/>
      <c r="G227" s="1"/>
      <c r="H227" s="1"/>
      <c r="I227" s="1"/>
      <c r="J227" s="1"/>
      <c r="K227" s="1"/>
      <c r="L227" s="1"/>
      <c r="M227" s="1"/>
      <c r="N227" s="1"/>
      <c r="O227" s="1"/>
      <c r="P227" s="1"/>
      <c r="Q227" s="1"/>
      <c r="R227" s="1"/>
      <c r="S227" s="1"/>
    </row>
    <row r="228" ht="14.25" customHeight="1">
      <c r="A228" s="93" t="s">
        <v>2201</v>
      </c>
      <c r="B228" s="195">
        <v>2.0</v>
      </c>
      <c r="C228" s="1878">
        <f>(B228*C225)/B225</f>
        <v>70</v>
      </c>
      <c r="D228" s="249" t="s">
        <v>366</v>
      </c>
      <c r="E228" s="1"/>
      <c r="F228" s="1"/>
      <c r="G228" s="1"/>
      <c r="H228" s="1"/>
      <c r="I228" s="1"/>
      <c r="J228" s="1"/>
      <c r="K228" s="1"/>
      <c r="L228" s="1"/>
      <c r="M228" s="1"/>
      <c r="N228" s="1"/>
      <c r="O228" s="1"/>
      <c r="P228" s="1"/>
      <c r="Q228" s="1"/>
      <c r="R228" s="1"/>
      <c r="S228" s="1"/>
    </row>
    <row r="229" ht="14.25" customHeight="1">
      <c r="A229" s="93" t="s">
        <v>31</v>
      </c>
      <c r="B229" s="195">
        <v>50.0</v>
      </c>
      <c r="C229" s="1878">
        <f t="shared" ref="C229:C230" si="29">(B229*C228)/B228</f>
        <v>1750</v>
      </c>
      <c r="D229" s="249" t="s">
        <v>18</v>
      </c>
      <c r="E229" s="1"/>
      <c r="F229" s="1"/>
      <c r="G229" s="1"/>
      <c r="H229" s="1"/>
      <c r="I229" s="1"/>
      <c r="J229" s="1"/>
      <c r="K229" s="1"/>
      <c r="L229" s="1"/>
      <c r="M229" s="1"/>
      <c r="N229" s="1"/>
      <c r="O229" s="1"/>
      <c r="P229" s="1"/>
      <c r="Q229" s="1"/>
      <c r="R229" s="1"/>
      <c r="S229" s="1"/>
    </row>
    <row r="230" ht="14.25" customHeight="1">
      <c r="A230" s="105" t="s">
        <v>167</v>
      </c>
      <c r="B230" s="200">
        <v>20.0</v>
      </c>
      <c r="C230" s="1879">
        <f t="shared" si="29"/>
        <v>700</v>
      </c>
      <c r="D230" s="518" t="s">
        <v>82</v>
      </c>
      <c r="E230" s="1"/>
      <c r="F230" s="1"/>
      <c r="G230" s="1"/>
      <c r="H230" s="1"/>
      <c r="I230" s="1"/>
      <c r="J230" s="1"/>
      <c r="K230" s="1"/>
      <c r="L230" s="1"/>
      <c r="M230" s="1"/>
      <c r="N230" s="1"/>
      <c r="O230" s="1"/>
      <c r="P230" s="1"/>
      <c r="Q230" s="1"/>
      <c r="R230" s="1"/>
      <c r="S230" s="1"/>
    </row>
    <row r="231" ht="14.25" customHeight="1">
      <c r="A231" s="1928" t="s">
        <v>42</v>
      </c>
      <c r="B231" s="1929">
        <v>43554.0</v>
      </c>
      <c r="C231" s="1"/>
      <c r="D231" s="1"/>
      <c r="E231" s="1"/>
      <c r="F231" s="1"/>
      <c r="G231" s="1"/>
      <c r="H231" s="1"/>
      <c r="I231" s="1"/>
      <c r="J231" s="1"/>
      <c r="K231" s="1"/>
      <c r="L231" s="1"/>
      <c r="M231" s="1"/>
      <c r="N231" s="1"/>
      <c r="O231" s="1"/>
      <c r="P231" s="1"/>
      <c r="Q231" s="1"/>
      <c r="R231" s="1"/>
      <c r="S231" s="1"/>
    </row>
    <row r="232" ht="14.25" customHeight="1">
      <c r="A232" s="786" t="s">
        <v>49</v>
      </c>
      <c r="B232" s="796">
        <v>43554.0</v>
      </c>
      <c r="C232" s="1"/>
      <c r="D232" s="1"/>
      <c r="E232" s="1"/>
      <c r="F232" s="1"/>
      <c r="G232" s="1"/>
      <c r="H232" s="1"/>
      <c r="I232" s="1"/>
      <c r="J232" s="1"/>
      <c r="K232" s="1"/>
      <c r="L232" s="1"/>
      <c r="M232" s="1"/>
      <c r="N232" s="1"/>
      <c r="O232" s="1"/>
      <c r="P232" s="1"/>
      <c r="Q232" s="1"/>
      <c r="R232" s="1"/>
      <c r="S232" s="1"/>
    </row>
    <row r="233" ht="14.25" customHeight="1">
      <c r="A233" s="786" t="s">
        <v>50</v>
      </c>
      <c r="B233" s="1"/>
      <c r="C233" s="1"/>
      <c r="D233" s="1"/>
      <c r="E233" s="1"/>
      <c r="F233" s="1"/>
      <c r="G233" s="1"/>
      <c r="H233" s="1"/>
      <c r="I233" s="1"/>
      <c r="J233" s="1"/>
      <c r="K233" s="1"/>
      <c r="L233" s="1"/>
      <c r="M233" s="1"/>
      <c r="N233" s="1"/>
      <c r="O233" s="1"/>
      <c r="P233" s="1"/>
      <c r="Q233" s="1"/>
      <c r="R233" s="1"/>
      <c r="S233" s="1"/>
    </row>
    <row r="234" ht="14.25" customHeight="1">
      <c r="A234" s="1"/>
      <c r="B234" s="1"/>
      <c r="C234" s="107"/>
      <c r="D234" s="1"/>
      <c r="E234" s="1"/>
      <c r="F234" s="1"/>
      <c r="G234" s="1"/>
      <c r="H234" s="1"/>
      <c r="I234" s="1"/>
      <c r="J234" s="1"/>
      <c r="K234" s="1"/>
      <c r="L234" s="1"/>
      <c r="M234" s="1"/>
      <c r="N234" s="1"/>
      <c r="O234" s="1"/>
      <c r="P234" s="1"/>
      <c r="Q234" s="1"/>
      <c r="R234" s="1"/>
      <c r="S234" s="1"/>
    </row>
    <row r="235" ht="14.25" customHeight="1">
      <c r="A235" s="1"/>
      <c r="B235" s="1"/>
      <c r="C235" s="107"/>
      <c r="D235" s="1"/>
      <c r="E235" s="1"/>
      <c r="F235" s="1"/>
      <c r="G235" s="1"/>
      <c r="H235" s="1"/>
      <c r="I235" s="1"/>
      <c r="J235" s="1"/>
      <c r="K235" s="1"/>
      <c r="L235" s="1"/>
      <c r="M235" s="1"/>
      <c r="N235" s="1"/>
      <c r="O235" s="1"/>
      <c r="P235" s="1"/>
      <c r="Q235" s="1"/>
      <c r="R235" s="1"/>
      <c r="S235" s="1"/>
    </row>
    <row r="236" ht="14.25" customHeight="1">
      <c r="A236" s="913" t="s">
        <v>2205</v>
      </c>
      <c r="B236" s="5"/>
      <c r="C236" s="5"/>
      <c r="D236" s="6"/>
      <c r="E236" s="1"/>
      <c r="F236" s="1"/>
      <c r="G236" s="1"/>
      <c r="H236" s="1"/>
      <c r="I236" s="1"/>
      <c r="J236" s="1"/>
      <c r="K236" s="1"/>
      <c r="L236" s="1"/>
      <c r="M236" s="1"/>
      <c r="N236" s="1"/>
      <c r="O236" s="1"/>
      <c r="P236" s="1"/>
      <c r="Q236" s="1"/>
      <c r="R236" s="1"/>
      <c r="S236" s="1"/>
    </row>
    <row r="237" ht="14.25" customHeight="1">
      <c r="A237" s="51" t="s">
        <v>1</v>
      </c>
      <c r="B237" s="190">
        <v>8.0</v>
      </c>
      <c r="C237" s="190">
        <v>8.0</v>
      </c>
      <c r="D237" s="514" t="s">
        <v>5</v>
      </c>
      <c r="E237" s="1"/>
      <c r="F237" s="1"/>
      <c r="G237" s="1"/>
      <c r="H237" s="1"/>
      <c r="I237" s="1"/>
      <c r="J237" s="1"/>
      <c r="K237" s="1"/>
      <c r="L237" s="1"/>
      <c r="M237" s="1"/>
      <c r="N237" s="1"/>
      <c r="O237" s="1"/>
      <c r="P237" s="1"/>
      <c r="Q237" s="1"/>
      <c r="R237" s="1"/>
      <c r="S237" s="1"/>
    </row>
    <row r="238" ht="14.25" customHeight="1">
      <c r="A238" s="68" t="s">
        <v>2206</v>
      </c>
      <c r="B238" s="145">
        <v>4.0</v>
      </c>
      <c r="C238" s="1192">
        <f t="shared" ref="C238:C242" si="30">(B238*C237)/B237</f>
        <v>4</v>
      </c>
      <c r="D238" s="216" t="s">
        <v>366</v>
      </c>
      <c r="E238" s="1"/>
      <c r="F238" s="1"/>
      <c r="G238" s="1"/>
      <c r="H238" s="1"/>
      <c r="I238" s="1"/>
      <c r="J238" s="1"/>
      <c r="K238" s="1"/>
      <c r="L238" s="1"/>
      <c r="M238" s="1"/>
      <c r="N238" s="1"/>
      <c r="O238" s="1"/>
      <c r="P238" s="1"/>
      <c r="Q238" s="1"/>
      <c r="R238" s="1"/>
      <c r="S238" s="1"/>
    </row>
    <row r="239" ht="14.25" customHeight="1">
      <c r="A239" s="93" t="s">
        <v>2208</v>
      </c>
      <c r="B239" s="195">
        <v>2.0</v>
      </c>
      <c r="C239" s="1878">
        <f t="shared" si="30"/>
        <v>2</v>
      </c>
      <c r="D239" s="249" t="s">
        <v>1208</v>
      </c>
      <c r="E239" s="1"/>
      <c r="F239" s="1"/>
      <c r="G239" s="1"/>
      <c r="H239" s="1"/>
      <c r="I239" s="1"/>
      <c r="J239" s="1"/>
      <c r="K239" s="1"/>
      <c r="L239" s="1"/>
      <c r="M239" s="1"/>
      <c r="N239" s="1"/>
      <c r="O239" s="1"/>
      <c r="P239" s="1"/>
      <c r="Q239" s="1"/>
      <c r="R239" s="1"/>
      <c r="S239" s="1"/>
    </row>
    <row r="240" ht="14.25" customHeight="1">
      <c r="A240" s="93" t="s">
        <v>31</v>
      </c>
      <c r="B240" s="195">
        <v>45.0</v>
      </c>
      <c r="C240" s="1878">
        <f t="shared" si="30"/>
        <v>45</v>
      </c>
      <c r="D240" s="249" t="s">
        <v>18</v>
      </c>
      <c r="E240" s="1"/>
      <c r="F240" s="1"/>
      <c r="G240" s="1"/>
      <c r="H240" s="1"/>
      <c r="I240" s="1"/>
      <c r="J240" s="1"/>
      <c r="K240" s="1"/>
      <c r="L240" s="1"/>
      <c r="M240" s="1"/>
      <c r="N240" s="1"/>
      <c r="O240" s="1"/>
      <c r="P240" s="1"/>
      <c r="Q240" s="1"/>
      <c r="R240" s="1"/>
      <c r="S240" s="1"/>
    </row>
    <row r="241" ht="14.25" customHeight="1">
      <c r="A241" s="93" t="s">
        <v>2201</v>
      </c>
      <c r="B241" s="195">
        <v>2.0</v>
      </c>
      <c r="C241" s="1878">
        <f t="shared" si="30"/>
        <v>2</v>
      </c>
      <c r="D241" s="249" t="s">
        <v>1208</v>
      </c>
      <c r="E241" s="1"/>
      <c r="F241" s="1"/>
      <c r="G241" s="1"/>
      <c r="H241" s="1"/>
      <c r="I241" s="1"/>
      <c r="J241" s="1"/>
      <c r="K241" s="1"/>
      <c r="L241" s="1"/>
      <c r="M241" s="1"/>
      <c r="N241" s="1"/>
      <c r="O241" s="1"/>
      <c r="P241" s="1"/>
      <c r="Q241" s="1"/>
      <c r="R241" s="1"/>
      <c r="S241" s="1"/>
    </row>
    <row r="242" ht="14.25" customHeight="1">
      <c r="A242" s="105" t="s">
        <v>167</v>
      </c>
      <c r="B242" s="200">
        <v>20.0</v>
      </c>
      <c r="C242" s="1879">
        <f t="shared" si="30"/>
        <v>20</v>
      </c>
      <c r="D242" s="518" t="s">
        <v>82</v>
      </c>
      <c r="E242" s="1"/>
      <c r="F242" s="1"/>
      <c r="G242" s="1"/>
      <c r="H242" s="1"/>
      <c r="I242" s="1"/>
      <c r="J242" s="1"/>
      <c r="K242" s="1"/>
      <c r="L242" s="1"/>
      <c r="M242" s="1"/>
      <c r="N242" s="1"/>
      <c r="O242" s="1"/>
      <c r="P242" s="1"/>
      <c r="Q242" s="1"/>
      <c r="R242" s="1"/>
      <c r="S242" s="1"/>
    </row>
    <row r="243" ht="14.25" customHeight="1">
      <c r="A243" s="1928" t="s">
        <v>42</v>
      </c>
      <c r="B243" s="1929">
        <v>43554.0</v>
      </c>
      <c r="C243" s="107"/>
      <c r="D243" s="1"/>
      <c r="E243" s="1"/>
      <c r="F243" s="1"/>
      <c r="G243" s="1"/>
      <c r="H243" s="1"/>
      <c r="I243" s="1"/>
      <c r="J243" s="1"/>
      <c r="K243" s="1"/>
      <c r="L243" s="1"/>
      <c r="M243" s="1"/>
      <c r="N243" s="1"/>
      <c r="O243" s="1"/>
      <c r="P243" s="1"/>
      <c r="Q243" s="1"/>
      <c r="R243" s="1"/>
      <c r="S243" s="1"/>
    </row>
    <row r="244" ht="14.25" customHeight="1">
      <c r="A244" s="786" t="s">
        <v>49</v>
      </c>
      <c r="B244" s="796">
        <v>43554.0</v>
      </c>
      <c r="C244" s="107"/>
      <c r="D244" s="1"/>
      <c r="E244" s="1"/>
      <c r="F244" s="1"/>
      <c r="G244" s="1"/>
      <c r="H244" s="1"/>
      <c r="I244" s="1"/>
      <c r="J244" s="1"/>
      <c r="K244" s="1"/>
      <c r="L244" s="1"/>
      <c r="M244" s="1"/>
      <c r="N244" s="1"/>
      <c r="O244" s="1"/>
      <c r="P244" s="1"/>
      <c r="Q244" s="1"/>
      <c r="R244" s="1"/>
      <c r="S244" s="1"/>
    </row>
    <row r="245" ht="14.25" customHeight="1">
      <c r="A245" s="786" t="s">
        <v>50</v>
      </c>
      <c r="B245" s="1"/>
      <c r="C245" s="107"/>
      <c r="D245" s="1"/>
      <c r="E245" s="1"/>
      <c r="F245" s="1"/>
      <c r="G245" s="1"/>
      <c r="H245" s="1"/>
      <c r="I245" s="1"/>
      <c r="J245" s="1"/>
      <c r="K245" s="1"/>
      <c r="L245" s="1"/>
      <c r="M245" s="1"/>
      <c r="N245" s="1"/>
      <c r="O245" s="1"/>
      <c r="P245" s="1"/>
      <c r="Q245" s="1"/>
      <c r="R245" s="1"/>
      <c r="S245" s="1"/>
    </row>
    <row r="246" ht="14.25" customHeight="1">
      <c r="A246" s="1"/>
      <c r="B246" s="1"/>
      <c r="C246" s="107"/>
      <c r="D246" s="1"/>
      <c r="E246" s="1"/>
      <c r="F246" s="1"/>
      <c r="G246" s="1"/>
      <c r="H246" s="1"/>
      <c r="I246" s="1"/>
      <c r="J246" s="1"/>
      <c r="K246" s="1"/>
      <c r="L246" s="1"/>
      <c r="M246" s="1"/>
      <c r="N246" s="1"/>
      <c r="O246" s="1"/>
      <c r="P246" s="1"/>
      <c r="Q246" s="1"/>
      <c r="R246" s="1"/>
      <c r="S246" s="1"/>
    </row>
    <row r="247" ht="14.25" customHeight="1">
      <c r="A247" s="1"/>
      <c r="B247" s="1"/>
      <c r="C247" s="107"/>
      <c r="D247" s="1"/>
      <c r="E247" s="1"/>
      <c r="F247" s="1"/>
      <c r="G247" s="1"/>
      <c r="H247" s="1"/>
      <c r="I247" s="1"/>
      <c r="J247" s="1"/>
      <c r="K247" s="1"/>
      <c r="L247" s="1"/>
      <c r="M247" s="1"/>
      <c r="N247" s="1"/>
      <c r="O247" s="1"/>
      <c r="P247" s="1"/>
      <c r="Q247" s="1"/>
      <c r="R247" s="1"/>
      <c r="S247" s="1"/>
    </row>
    <row r="248" ht="14.25" customHeight="1">
      <c r="A248" s="913" t="s">
        <v>2211</v>
      </c>
      <c r="B248" s="5"/>
      <c r="C248" s="5"/>
      <c r="D248" s="6"/>
      <c r="E248" s="610" t="s">
        <v>2212</v>
      </c>
      <c r="F248" s="1"/>
      <c r="G248" s="1"/>
      <c r="H248" s="1"/>
      <c r="I248" s="1"/>
      <c r="J248" s="1"/>
      <c r="K248" s="1"/>
      <c r="L248" s="1"/>
      <c r="M248" s="1"/>
      <c r="N248" s="1"/>
      <c r="O248" s="1"/>
      <c r="P248" s="1"/>
      <c r="Q248" s="1"/>
      <c r="R248" s="1"/>
      <c r="S248" s="1"/>
    </row>
    <row r="249" ht="14.25" customHeight="1">
      <c r="A249" s="51" t="s">
        <v>1</v>
      </c>
      <c r="B249" s="190">
        <v>10.0</v>
      </c>
      <c r="C249" s="190">
        <v>10.0</v>
      </c>
      <c r="D249" s="514" t="s">
        <v>5</v>
      </c>
      <c r="E249" s="47"/>
      <c r="F249" s="1"/>
      <c r="G249" s="1"/>
      <c r="H249" s="1"/>
      <c r="I249" s="1"/>
      <c r="J249" s="1"/>
      <c r="K249" s="1"/>
      <c r="L249" s="1"/>
      <c r="M249" s="1"/>
      <c r="N249" s="1"/>
      <c r="O249" s="1"/>
      <c r="P249" s="1"/>
      <c r="Q249" s="1"/>
      <c r="R249" s="1"/>
      <c r="S249" s="1"/>
    </row>
    <row r="250" ht="14.25" customHeight="1">
      <c r="A250" s="68" t="s">
        <v>2213</v>
      </c>
      <c r="B250" s="145">
        <v>1.0</v>
      </c>
      <c r="C250" s="1192">
        <f t="shared" ref="C250:C252" si="31">(B250*C249)/B249</f>
        <v>1</v>
      </c>
      <c r="D250" s="216" t="s">
        <v>366</v>
      </c>
      <c r="E250" s="47"/>
      <c r="F250" s="1"/>
      <c r="G250" s="1"/>
      <c r="H250" s="1"/>
      <c r="I250" s="1"/>
      <c r="J250" s="1"/>
      <c r="K250" s="1"/>
      <c r="L250" s="1"/>
      <c r="M250" s="1"/>
      <c r="N250" s="1"/>
      <c r="O250" s="1"/>
      <c r="P250" s="1"/>
      <c r="Q250" s="1"/>
      <c r="R250" s="1"/>
      <c r="S250" s="1"/>
    </row>
    <row r="251" ht="14.25" customHeight="1">
      <c r="A251" s="93" t="s">
        <v>2214</v>
      </c>
      <c r="B251" s="195">
        <v>2.5</v>
      </c>
      <c r="C251" s="1878">
        <f t="shared" si="31"/>
        <v>2.5</v>
      </c>
      <c r="D251" s="249" t="s">
        <v>741</v>
      </c>
      <c r="E251" s="47"/>
      <c r="F251" s="1"/>
      <c r="G251" s="1"/>
      <c r="H251" s="1"/>
      <c r="I251" s="1"/>
      <c r="J251" s="1"/>
      <c r="K251" s="1"/>
      <c r="L251" s="1"/>
      <c r="M251" s="1"/>
      <c r="N251" s="1"/>
      <c r="O251" s="1"/>
      <c r="P251" s="1"/>
      <c r="Q251" s="1"/>
      <c r="R251" s="1"/>
      <c r="S251" s="1"/>
    </row>
    <row r="252" ht="14.25" customHeight="1">
      <c r="A252" s="93" t="s">
        <v>1071</v>
      </c>
      <c r="B252" s="195">
        <v>1.5</v>
      </c>
      <c r="C252" s="1878">
        <f t="shared" si="31"/>
        <v>1.5</v>
      </c>
      <c r="D252" s="249" t="s">
        <v>366</v>
      </c>
      <c r="E252" s="47"/>
      <c r="F252" s="1"/>
      <c r="G252" s="1"/>
      <c r="H252" s="1"/>
      <c r="I252" s="1"/>
      <c r="J252" s="1"/>
      <c r="K252" s="1"/>
      <c r="L252" s="1"/>
      <c r="M252" s="1"/>
      <c r="N252" s="1"/>
      <c r="O252" s="1"/>
      <c r="P252" s="1"/>
      <c r="Q252" s="1"/>
      <c r="R252" s="1"/>
      <c r="S252" s="1"/>
    </row>
    <row r="253" ht="14.25" customHeight="1">
      <c r="A253" s="93" t="s">
        <v>2200</v>
      </c>
      <c r="B253" s="195">
        <v>1.5</v>
      </c>
      <c r="C253" s="1878">
        <f t="shared" ref="C253:C254" si="32">(B253*C250)/B250</f>
        <v>1.5</v>
      </c>
      <c r="D253" s="249" t="s">
        <v>366</v>
      </c>
      <c r="E253" s="47"/>
      <c r="F253" s="1"/>
      <c r="G253" s="1"/>
      <c r="H253" s="1"/>
      <c r="I253" s="1"/>
      <c r="J253" s="1"/>
      <c r="K253" s="1"/>
      <c r="L253" s="1"/>
      <c r="M253" s="1"/>
      <c r="N253" s="1"/>
      <c r="O253" s="1"/>
      <c r="P253" s="1"/>
      <c r="Q253" s="1"/>
      <c r="R253" s="1"/>
      <c r="S253" s="1"/>
    </row>
    <row r="254" ht="14.25" customHeight="1">
      <c r="A254" s="93" t="s">
        <v>2216</v>
      </c>
      <c r="B254" s="195">
        <v>2.0</v>
      </c>
      <c r="C254" s="1878">
        <f t="shared" si="32"/>
        <v>2</v>
      </c>
      <c r="D254" s="249" t="s">
        <v>366</v>
      </c>
      <c r="E254" s="47"/>
      <c r="F254" s="1"/>
      <c r="G254" s="1"/>
      <c r="H254" s="1"/>
      <c r="I254" s="1"/>
      <c r="J254" s="1"/>
      <c r="K254" s="1"/>
      <c r="L254" s="1"/>
      <c r="M254" s="1"/>
      <c r="N254" s="1"/>
      <c r="O254" s="1"/>
      <c r="P254" s="1"/>
      <c r="Q254" s="1"/>
      <c r="R254" s="1"/>
      <c r="S254" s="1"/>
    </row>
    <row r="255" ht="14.25" customHeight="1">
      <c r="A255" s="93" t="s">
        <v>31</v>
      </c>
      <c r="B255" s="195">
        <v>50.0</v>
      </c>
      <c r="C255" s="1878">
        <f t="shared" ref="C255:C256" si="33">(B255*C254)/B254</f>
        <v>50</v>
      </c>
      <c r="D255" s="249" t="s">
        <v>18</v>
      </c>
      <c r="E255" s="76"/>
      <c r="F255" s="1"/>
      <c r="G255" s="1"/>
      <c r="H255" s="1"/>
      <c r="I255" s="1"/>
      <c r="J255" s="1"/>
      <c r="K255" s="1"/>
      <c r="L255" s="1"/>
      <c r="M255" s="1"/>
      <c r="N255" s="1"/>
      <c r="O255" s="1"/>
      <c r="P255" s="1"/>
      <c r="Q255" s="1"/>
      <c r="R255" s="1"/>
      <c r="S255" s="1"/>
    </row>
    <row r="256" ht="14.25" customHeight="1">
      <c r="A256" s="105" t="s">
        <v>167</v>
      </c>
      <c r="B256" s="200">
        <v>20.0</v>
      </c>
      <c r="C256" s="1879">
        <f t="shared" si="33"/>
        <v>20</v>
      </c>
      <c r="D256" s="518" t="s">
        <v>82</v>
      </c>
      <c r="E256" s="1"/>
      <c r="F256" s="1"/>
      <c r="G256" s="1"/>
      <c r="H256" s="1"/>
      <c r="I256" s="1"/>
      <c r="J256" s="1"/>
      <c r="K256" s="1"/>
      <c r="L256" s="1"/>
      <c r="M256" s="1"/>
      <c r="N256" s="1"/>
      <c r="O256" s="1"/>
      <c r="P256" s="1"/>
      <c r="Q256" s="1"/>
      <c r="R256" s="1"/>
      <c r="S256" s="1"/>
    </row>
    <row r="257" ht="14.25" customHeight="1">
      <c r="A257" s="1928" t="s">
        <v>42</v>
      </c>
      <c r="B257" s="1929">
        <v>43554.0</v>
      </c>
      <c r="C257" s="107"/>
      <c r="D257" s="1"/>
      <c r="E257" s="1"/>
      <c r="F257" s="1"/>
      <c r="G257" s="1"/>
      <c r="H257" s="1"/>
      <c r="I257" s="1"/>
      <c r="J257" s="1"/>
      <c r="K257" s="1"/>
      <c r="L257" s="1"/>
      <c r="M257" s="1"/>
      <c r="N257" s="1"/>
      <c r="O257" s="1"/>
      <c r="P257" s="1"/>
      <c r="Q257" s="1"/>
      <c r="R257" s="1"/>
      <c r="S257" s="1"/>
    </row>
    <row r="258" ht="14.25" customHeight="1">
      <c r="A258" s="786" t="s">
        <v>49</v>
      </c>
      <c r="B258" s="796">
        <v>43554.0</v>
      </c>
      <c r="C258" s="107"/>
      <c r="D258" s="1"/>
      <c r="E258" s="1"/>
      <c r="F258" s="1"/>
      <c r="G258" s="1"/>
      <c r="H258" s="1"/>
      <c r="I258" s="1"/>
      <c r="J258" s="1"/>
      <c r="K258" s="1"/>
      <c r="L258" s="1"/>
      <c r="M258" s="1"/>
      <c r="N258" s="1"/>
      <c r="O258" s="1"/>
      <c r="P258" s="1"/>
      <c r="Q258" s="1"/>
      <c r="R258" s="1"/>
      <c r="S258" s="1"/>
    </row>
    <row r="259" ht="14.25" customHeight="1">
      <c r="A259" s="786" t="s">
        <v>50</v>
      </c>
      <c r="B259" s="1"/>
      <c r="C259" s="107"/>
      <c r="D259" s="1"/>
      <c r="E259" s="1"/>
      <c r="F259" s="1"/>
      <c r="G259" s="1"/>
      <c r="H259" s="1"/>
      <c r="I259" s="1"/>
      <c r="J259" s="1"/>
      <c r="K259" s="1"/>
      <c r="L259" s="1"/>
      <c r="M259" s="1"/>
      <c r="N259" s="1"/>
      <c r="O259" s="1"/>
      <c r="P259" s="1"/>
      <c r="Q259" s="1"/>
      <c r="R259" s="1"/>
      <c r="S259" s="1"/>
    </row>
    <row r="260" ht="14.25" customHeight="1">
      <c r="A260" s="1"/>
      <c r="B260" s="1"/>
      <c r="C260" s="107"/>
      <c r="D260" s="1"/>
      <c r="E260" s="1"/>
      <c r="F260" s="1"/>
      <c r="G260" s="1"/>
      <c r="H260" s="1"/>
      <c r="I260" s="1"/>
      <c r="J260" s="1"/>
      <c r="K260" s="1"/>
      <c r="L260" s="1"/>
      <c r="M260" s="1"/>
      <c r="N260" s="1"/>
      <c r="O260" s="1"/>
      <c r="P260" s="1"/>
      <c r="Q260" s="1"/>
      <c r="R260" s="1"/>
      <c r="S260" s="1"/>
    </row>
    <row r="261" ht="14.25" customHeight="1">
      <c r="A261" s="1"/>
      <c r="B261" s="1"/>
      <c r="C261" s="107"/>
      <c r="D261" s="1"/>
      <c r="E261" s="1"/>
      <c r="F261" s="1"/>
      <c r="G261" s="1"/>
      <c r="H261" s="1"/>
      <c r="I261" s="1"/>
      <c r="J261" s="1"/>
      <c r="K261" s="1"/>
      <c r="L261" s="1"/>
      <c r="M261" s="1"/>
      <c r="N261" s="1"/>
      <c r="O261" s="1"/>
      <c r="P261" s="1"/>
      <c r="Q261" s="1"/>
      <c r="R261" s="1"/>
      <c r="S261" s="1"/>
    </row>
    <row r="262" ht="14.25" customHeight="1">
      <c r="A262" s="1"/>
      <c r="B262" s="1"/>
      <c r="C262" s="107"/>
      <c r="D262" s="1"/>
      <c r="E262" s="1"/>
      <c r="F262" s="1"/>
      <c r="G262" s="1"/>
      <c r="H262" s="1"/>
      <c r="I262" s="1"/>
      <c r="J262" s="1"/>
      <c r="K262" s="1"/>
      <c r="L262" s="1"/>
      <c r="M262" s="1"/>
      <c r="N262" s="1"/>
      <c r="O262" s="1"/>
      <c r="P262" s="1"/>
      <c r="Q262" s="1"/>
      <c r="R262" s="1"/>
      <c r="S262" s="1"/>
    </row>
    <row r="263" ht="14.25" customHeight="1">
      <c r="A263" s="913" t="s">
        <v>2220</v>
      </c>
      <c r="B263" s="5"/>
      <c r="C263" s="5"/>
      <c r="D263" s="6"/>
      <c r="E263" s="1"/>
      <c r="F263" s="1"/>
      <c r="G263" s="1"/>
      <c r="H263" s="1"/>
      <c r="I263" s="1"/>
      <c r="J263" s="1"/>
      <c r="K263" s="1"/>
      <c r="L263" s="1"/>
      <c r="M263" s="1"/>
      <c r="N263" s="1"/>
      <c r="O263" s="1"/>
      <c r="P263" s="1"/>
      <c r="Q263" s="1"/>
      <c r="R263" s="1"/>
      <c r="S263" s="1"/>
    </row>
    <row r="264" ht="14.25" customHeight="1">
      <c r="A264" s="51" t="s">
        <v>1</v>
      </c>
      <c r="B264" s="190">
        <v>9.0</v>
      </c>
      <c r="C264" s="190">
        <v>9.0</v>
      </c>
      <c r="D264" s="514" t="s">
        <v>5</v>
      </c>
      <c r="E264" s="1"/>
      <c r="F264" s="1"/>
      <c r="G264" s="1"/>
      <c r="H264" s="1"/>
      <c r="I264" s="1"/>
      <c r="J264" s="1"/>
      <c r="K264" s="1"/>
      <c r="L264" s="1"/>
      <c r="M264" s="1"/>
      <c r="N264" s="1"/>
      <c r="O264" s="1"/>
      <c r="P264" s="1"/>
      <c r="Q264" s="1"/>
      <c r="R264" s="1"/>
      <c r="S264" s="1"/>
    </row>
    <row r="265" ht="14.25" customHeight="1">
      <c r="A265" s="68" t="s">
        <v>2221</v>
      </c>
      <c r="B265" s="145">
        <v>3.0</v>
      </c>
      <c r="C265" s="145">
        <f>(C264*B265)/B264</f>
        <v>3</v>
      </c>
      <c r="D265" s="216" t="s">
        <v>366</v>
      </c>
      <c r="E265" s="1"/>
      <c r="F265" s="1"/>
      <c r="G265" s="1"/>
      <c r="H265" s="1"/>
      <c r="I265" s="1"/>
      <c r="J265" s="1"/>
      <c r="K265" s="1"/>
      <c r="L265" s="1"/>
      <c r="M265" s="1"/>
      <c r="N265" s="1"/>
      <c r="O265" s="1"/>
      <c r="P265" s="1"/>
      <c r="Q265" s="1"/>
      <c r="R265" s="1"/>
      <c r="S265" s="1"/>
    </row>
    <row r="266" ht="14.25" customHeight="1">
      <c r="A266" s="93" t="s">
        <v>31</v>
      </c>
      <c r="B266" s="195">
        <v>50.0</v>
      </c>
      <c r="C266" s="1878">
        <f t="shared" ref="C266:C267" si="34">(B266*C265)/B265</f>
        <v>50</v>
      </c>
      <c r="D266" s="249" t="s">
        <v>18</v>
      </c>
      <c r="E266" s="1"/>
      <c r="F266" s="1"/>
      <c r="G266" s="1"/>
      <c r="H266" s="1"/>
      <c r="I266" s="1"/>
      <c r="J266" s="1"/>
      <c r="K266" s="1"/>
      <c r="L266" s="1"/>
      <c r="M266" s="1"/>
      <c r="N266" s="1"/>
      <c r="O266" s="1"/>
      <c r="P266" s="1"/>
      <c r="Q266" s="1"/>
      <c r="R266" s="1"/>
      <c r="S266" s="1"/>
    </row>
    <row r="267" ht="14.25" customHeight="1">
      <c r="A267" s="105" t="s">
        <v>167</v>
      </c>
      <c r="B267" s="200">
        <v>20.0</v>
      </c>
      <c r="C267" s="1879">
        <f t="shared" si="34"/>
        <v>20</v>
      </c>
      <c r="D267" s="518" t="s">
        <v>82</v>
      </c>
      <c r="E267" s="1"/>
      <c r="F267" s="1"/>
      <c r="G267" s="1"/>
      <c r="H267" s="1"/>
      <c r="I267" s="1"/>
      <c r="J267" s="1"/>
      <c r="K267" s="1"/>
      <c r="L267" s="1"/>
      <c r="M267" s="1"/>
      <c r="N267" s="1"/>
      <c r="O267" s="1"/>
      <c r="P267" s="1"/>
      <c r="Q267" s="1"/>
      <c r="R267" s="1"/>
      <c r="S267" s="1"/>
    </row>
    <row r="268" ht="14.25" customHeight="1">
      <c r="A268" s="1928" t="s">
        <v>42</v>
      </c>
      <c r="B268" s="1929">
        <v>43554.0</v>
      </c>
      <c r="C268" s="107"/>
      <c r="D268" s="1"/>
      <c r="E268" s="1"/>
      <c r="F268" s="1"/>
      <c r="G268" s="1"/>
      <c r="H268" s="1"/>
      <c r="I268" s="1"/>
      <c r="J268" s="1"/>
      <c r="K268" s="1"/>
      <c r="L268" s="1"/>
      <c r="M268" s="1"/>
      <c r="N268" s="1"/>
      <c r="O268" s="1"/>
      <c r="P268" s="1"/>
      <c r="Q268" s="1"/>
      <c r="R268" s="1"/>
      <c r="S268" s="1"/>
    </row>
    <row r="269" ht="14.25" customHeight="1">
      <c r="A269" s="786" t="s">
        <v>49</v>
      </c>
      <c r="B269" s="796">
        <v>43554.0</v>
      </c>
      <c r="C269" s="107"/>
      <c r="D269" s="1"/>
      <c r="E269" s="1"/>
      <c r="F269" s="1"/>
      <c r="G269" s="1"/>
      <c r="H269" s="1"/>
      <c r="I269" s="1"/>
      <c r="J269" s="1"/>
      <c r="K269" s="1"/>
      <c r="L269" s="1"/>
      <c r="M269" s="1"/>
      <c r="N269" s="1"/>
      <c r="O269" s="1"/>
      <c r="P269" s="1"/>
      <c r="Q269" s="1"/>
      <c r="R269" s="1"/>
      <c r="S269" s="1"/>
    </row>
    <row r="270" ht="14.25" customHeight="1">
      <c r="A270" s="786" t="s">
        <v>50</v>
      </c>
      <c r="B270" s="1"/>
      <c r="C270" s="107"/>
      <c r="D270" s="1"/>
      <c r="E270" s="1"/>
      <c r="F270" s="1"/>
      <c r="G270" s="1"/>
      <c r="H270" s="1"/>
      <c r="I270" s="1"/>
      <c r="J270" s="1"/>
      <c r="K270" s="1"/>
      <c r="L270" s="1"/>
      <c r="M270" s="1"/>
      <c r="N270" s="1"/>
      <c r="O270" s="1"/>
      <c r="P270" s="1"/>
      <c r="Q270" s="1"/>
      <c r="R270" s="1"/>
      <c r="S270" s="1"/>
    </row>
    <row r="271" ht="14.25" customHeight="1">
      <c r="A271" s="1"/>
      <c r="B271" s="1"/>
      <c r="C271" s="107"/>
      <c r="D271" s="1"/>
      <c r="E271" s="1"/>
      <c r="F271" s="1"/>
      <c r="G271" s="1"/>
      <c r="H271" s="1"/>
      <c r="I271" s="1"/>
      <c r="J271" s="1"/>
      <c r="K271" s="1"/>
      <c r="L271" s="1"/>
      <c r="M271" s="1"/>
      <c r="N271" s="1"/>
      <c r="O271" s="1"/>
      <c r="P271" s="1"/>
      <c r="Q271" s="1"/>
      <c r="R271" s="1"/>
      <c r="S271" s="1"/>
    </row>
    <row r="272" ht="14.25" customHeight="1">
      <c r="A272" s="1955" t="s">
        <v>2228</v>
      </c>
      <c r="B272" s="5"/>
      <c r="C272" s="5"/>
      <c r="D272" s="6"/>
      <c r="E272" s="1962"/>
      <c r="F272" s="818" t="s">
        <v>42</v>
      </c>
      <c r="G272" s="85" t="s">
        <v>47</v>
      </c>
      <c r="H272" s="1"/>
      <c r="I272" s="1"/>
      <c r="J272" s="1"/>
      <c r="K272" s="1"/>
      <c r="L272" s="1"/>
      <c r="M272" s="1"/>
      <c r="N272" s="1"/>
      <c r="O272" s="1"/>
      <c r="P272" s="1"/>
      <c r="Q272" s="1"/>
      <c r="R272" s="1"/>
      <c r="S272" s="1"/>
    </row>
    <row r="273" ht="14.25" customHeight="1">
      <c r="A273" s="820" t="s">
        <v>1</v>
      </c>
      <c r="B273" s="821">
        <v>6.5</v>
      </c>
      <c r="C273" s="821">
        <v>230.0</v>
      </c>
      <c r="D273" s="823" t="s">
        <v>5</v>
      </c>
      <c r="E273" s="1966"/>
      <c r="F273" s="825" t="s">
        <v>800</v>
      </c>
      <c r="G273" s="829" t="s">
        <v>802</v>
      </c>
      <c r="H273" s="1"/>
      <c r="I273" s="1"/>
      <c r="J273" s="1"/>
      <c r="K273" s="1"/>
      <c r="L273" s="1"/>
      <c r="M273" s="1"/>
      <c r="N273" s="1"/>
      <c r="O273" s="1"/>
      <c r="P273" s="1"/>
      <c r="Q273" s="1"/>
      <c r="R273" s="1"/>
      <c r="S273" s="1"/>
    </row>
    <row r="274" ht="14.25" customHeight="1">
      <c r="A274" s="707" t="s">
        <v>2254</v>
      </c>
      <c r="B274" s="10">
        <v>1.0</v>
      </c>
      <c r="C274" s="10">
        <f t="shared" ref="C274:C287" si="35">(B274*C273)/B273</f>
        <v>35.38461538</v>
      </c>
      <c r="D274" s="832" t="s">
        <v>366</v>
      </c>
      <c r="E274" s="1966"/>
      <c r="F274" s="1969">
        <v>150.0</v>
      </c>
      <c r="G274" s="838">
        <f t="shared" ref="G274:G287" si="36">(C274*F274)</f>
        <v>5307.692308</v>
      </c>
      <c r="H274" s="1"/>
      <c r="I274" s="1"/>
      <c r="J274" s="1"/>
      <c r="K274" s="1"/>
      <c r="L274" s="1"/>
      <c r="M274" s="1"/>
      <c r="N274" s="1"/>
      <c r="O274" s="1"/>
      <c r="P274" s="1"/>
      <c r="Q274" s="1"/>
      <c r="R274" s="1"/>
      <c r="S274" s="1"/>
    </row>
    <row r="275" ht="14.25" customHeight="1">
      <c r="A275" s="1982" t="s">
        <v>2256</v>
      </c>
      <c r="B275" s="10">
        <v>1.0</v>
      </c>
      <c r="C275" s="10">
        <f t="shared" si="35"/>
        <v>35.38461538</v>
      </c>
      <c r="D275" s="832" t="s">
        <v>366</v>
      </c>
      <c r="E275" s="1966"/>
      <c r="F275" s="1983">
        <v>150.0</v>
      </c>
      <c r="G275" s="838">
        <f t="shared" si="36"/>
        <v>5307.692308</v>
      </c>
      <c r="H275" s="1"/>
      <c r="I275" s="1"/>
      <c r="J275" s="1"/>
      <c r="K275" s="1"/>
      <c r="L275" s="1"/>
      <c r="M275" s="1"/>
      <c r="N275" s="1"/>
      <c r="O275" s="1"/>
      <c r="P275" s="1"/>
      <c r="Q275" s="1"/>
      <c r="R275" s="1"/>
      <c r="S275" s="1"/>
    </row>
    <row r="276" ht="14.25" customHeight="1">
      <c r="A276" s="1982" t="s">
        <v>2263</v>
      </c>
      <c r="B276" s="10">
        <v>1.0</v>
      </c>
      <c r="C276" s="10">
        <f t="shared" si="35"/>
        <v>35.38461538</v>
      </c>
      <c r="D276" s="832" t="s">
        <v>366</v>
      </c>
      <c r="E276" s="1966"/>
      <c r="F276" s="1983">
        <v>30.0</v>
      </c>
      <c r="G276" s="838">
        <f t="shared" si="36"/>
        <v>1061.538462</v>
      </c>
      <c r="H276" s="1"/>
      <c r="I276" s="1"/>
      <c r="J276" s="1"/>
      <c r="K276" s="1"/>
      <c r="L276" s="1"/>
      <c r="M276" s="1"/>
      <c r="N276" s="1"/>
      <c r="O276" s="1"/>
      <c r="P276" s="1"/>
      <c r="Q276" s="1"/>
      <c r="R276" s="1"/>
      <c r="S276" s="1"/>
    </row>
    <row r="277" ht="14.25" customHeight="1">
      <c r="A277" s="1982" t="s">
        <v>985</v>
      </c>
      <c r="B277" s="10">
        <v>1.0</v>
      </c>
      <c r="C277" s="10">
        <f t="shared" si="35"/>
        <v>35.38461538</v>
      </c>
      <c r="D277" s="832" t="s">
        <v>366</v>
      </c>
      <c r="E277" s="1966"/>
      <c r="F277" s="1983">
        <v>12.0</v>
      </c>
      <c r="G277" s="838">
        <f t="shared" si="36"/>
        <v>424.6153846</v>
      </c>
      <c r="H277" s="1"/>
      <c r="I277" s="1"/>
      <c r="J277" s="1"/>
      <c r="K277" s="1"/>
      <c r="L277" s="1"/>
      <c r="M277" s="1"/>
      <c r="N277" s="1"/>
      <c r="O277" s="1"/>
      <c r="P277" s="1"/>
      <c r="Q277" s="1"/>
      <c r="R277" s="1"/>
      <c r="S277" s="1"/>
    </row>
    <row r="278" ht="14.25" customHeight="1">
      <c r="A278" s="1982" t="s">
        <v>2266</v>
      </c>
      <c r="B278" s="10">
        <v>1.0</v>
      </c>
      <c r="C278" s="10">
        <f t="shared" si="35"/>
        <v>35.38461538</v>
      </c>
      <c r="D278" s="832" t="s">
        <v>366</v>
      </c>
      <c r="E278" s="1966"/>
      <c r="F278" s="1983">
        <v>50.0</v>
      </c>
      <c r="G278" s="838">
        <f t="shared" si="36"/>
        <v>1769.230769</v>
      </c>
      <c r="H278" s="1"/>
      <c r="I278" s="1"/>
      <c r="J278" s="1"/>
      <c r="K278" s="1"/>
      <c r="L278" s="1"/>
      <c r="M278" s="1"/>
      <c r="N278" s="1"/>
      <c r="O278" s="1"/>
      <c r="P278" s="1"/>
      <c r="Q278" s="1"/>
      <c r="R278" s="1"/>
      <c r="S278" s="1"/>
    </row>
    <row r="279" ht="14.25" customHeight="1">
      <c r="A279" s="1982" t="s">
        <v>1944</v>
      </c>
      <c r="B279" s="1984">
        <v>2.0</v>
      </c>
      <c r="C279" s="10">
        <f t="shared" si="35"/>
        <v>70.76923077</v>
      </c>
      <c r="D279" s="1985" t="s">
        <v>1197</v>
      </c>
      <c r="E279" s="1966"/>
      <c r="F279" s="1983">
        <v>75.0</v>
      </c>
      <c r="G279" s="838">
        <f t="shared" si="36"/>
        <v>5307.692308</v>
      </c>
      <c r="H279" s="1"/>
      <c r="I279" s="1"/>
      <c r="J279" s="1"/>
      <c r="K279" s="1"/>
      <c r="L279" s="1"/>
      <c r="M279" s="1"/>
      <c r="N279" s="1"/>
      <c r="O279" s="1"/>
      <c r="P279" s="1"/>
      <c r="Q279" s="1"/>
      <c r="R279" s="1"/>
      <c r="S279" s="1"/>
    </row>
    <row r="280" ht="14.25" customHeight="1">
      <c r="A280" s="1982" t="s">
        <v>2268</v>
      </c>
      <c r="B280" s="1984">
        <v>1.0</v>
      </c>
      <c r="C280" s="10">
        <f t="shared" si="35"/>
        <v>35.38461538</v>
      </c>
      <c r="D280" s="1985" t="s">
        <v>14</v>
      </c>
      <c r="E280" s="1966"/>
      <c r="F280" s="1983">
        <v>95.0</v>
      </c>
      <c r="G280" s="838">
        <f t="shared" si="36"/>
        <v>3361.538462</v>
      </c>
      <c r="H280" s="1"/>
      <c r="I280" s="1"/>
      <c r="J280" s="1"/>
      <c r="K280" s="1"/>
      <c r="L280" s="1"/>
      <c r="M280" s="1"/>
      <c r="N280" s="1"/>
      <c r="O280" s="1"/>
      <c r="P280" s="1"/>
      <c r="Q280" s="1"/>
      <c r="R280" s="1"/>
      <c r="S280" s="1"/>
    </row>
    <row r="281" ht="14.25" customHeight="1">
      <c r="A281" s="1982" t="s">
        <v>2269</v>
      </c>
      <c r="B281" s="1984">
        <v>0.275</v>
      </c>
      <c r="C281" s="10">
        <f t="shared" si="35"/>
        <v>9.730769231</v>
      </c>
      <c r="D281" s="1985" t="s">
        <v>14</v>
      </c>
      <c r="E281" s="1966"/>
      <c r="F281" s="1983">
        <v>79.0</v>
      </c>
      <c r="G281" s="838">
        <f t="shared" si="36"/>
        <v>768.7307692</v>
      </c>
      <c r="H281" s="1"/>
      <c r="I281" s="1"/>
      <c r="J281" s="1"/>
      <c r="K281" s="1"/>
      <c r="L281" s="1"/>
      <c r="M281" s="1"/>
      <c r="N281" s="1"/>
      <c r="O281" s="1"/>
      <c r="P281" s="1"/>
      <c r="Q281" s="1"/>
      <c r="R281" s="1"/>
      <c r="S281" s="1"/>
    </row>
    <row r="282" ht="14.25" customHeight="1">
      <c r="A282" s="1982" t="s">
        <v>2036</v>
      </c>
      <c r="B282" s="1984">
        <v>0.02</v>
      </c>
      <c r="C282" s="10">
        <f t="shared" si="35"/>
        <v>0.7076923077</v>
      </c>
      <c r="D282" s="1985" t="s">
        <v>366</v>
      </c>
      <c r="E282" s="1966"/>
      <c r="F282" s="1983">
        <v>280.0</v>
      </c>
      <c r="G282" s="838">
        <f t="shared" si="36"/>
        <v>198.1538462</v>
      </c>
      <c r="H282" s="1"/>
      <c r="I282" s="1"/>
      <c r="J282" s="1"/>
      <c r="K282" s="1"/>
      <c r="L282" s="1"/>
      <c r="M282" s="1"/>
      <c r="N282" s="1"/>
      <c r="O282" s="1"/>
      <c r="P282" s="1"/>
      <c r="Q282" s="1"/>
      <c r="R282" s="1"/>
      <c r="S282" s="1"/>
    </row>
    <row r="283" ht="14.25" customHeight="1">
      <c r="A283" s="22" t="s">
        <v>333</v>
      </c>
      <c r="B283" s="1984">
        <v>0.02</v>
      </c>
      <c r="C283" s="10">
        <f t="shared" si="35"/>
        <v>0.7076923077</v>
      </c>
      <c r="D283" s="38" t="s">
        <v>14</v>
      </c>
      <c r="E283" s="1966"/>
      <c r="F283" s="1988">
        <v>220.0</v>
      </c>
      <c r="G283" s="838">
        <f t="shared" si="36"/>
        <v>155.6923077</v>
      </c>
      <c r="H283" s="1"/>
      <c r="I283" s="1"/>
      <c r="J283" s="1"/>
      <c r="K283" s="1"/>
      <c r="L283" s="1"/>
      <c r="M283" s="1"/>
      <c r="N283" s="1"/>
      <c r="O283" s="1"/>
      <c r="P283" s="1"/>
      <c r="Q283" s="1"/>
      <c r="R283" s="1"/>
      <c r="S283" s="1"/>
    </row>
    <row r="284" ht="14.25" customHeight="1">
      <c r="A284" s="22" t="s">
        <v>2273</v>
      </c>
      <c r="B284" s="23">
        <v>0.06</v>
      </c>
      <c r="C284" s="10">
        <f t="shared" si="35"/>
        <v>2.123076923</v>
      </c>
      <c r="D284" s="38" t="s">
        <v>366</v>
      </c>
      <c r="E284" s="1966"/>
      <c r="F284" s="1988">
        <v>38.0</v>
      </c>
      <c r="G284" s="838">
        <f t="shared" si="36"/>
        <v>80.67692308</v>
      </c>
      <c r="H284" s="1"/>
      <c r="I284" s="1"/>
      <c r="J284" s="1"/>
      <c r="K284" s="1"/>
      <c r="L284" s="1"/>
      <c r="M284" s="1"/>
      <c r="N284" s="1"/>
      <c r="O284" s="1"/>
      <c r="P284" s="1"/>
      <c r="Q284" s="1"/>
      <c r="R284" s="1"/>
      <c r="S284" s="1"/>
    </row>
    <row r="285" ht="14.25" customHeight="1">
      <c r="A285" s="22" t="s">
        <v>252</v>
      </c>
      <c r="B285" s="23">
        <v>0.01</v>
      </c>
      <c r="C285" s="10">
        <f t="shared" si="35"/>
        <v>0.3538461538</v>
      </c>
      <c r="D285" s="38" t="s">
        <v>14</v>
      </c>
      <c r="E285" s="1966"/>
      <c r="F285" s="1988">
        <v>431.0</v>
      </c>
      <c r="G285" s="838">
        <f t="shared" si="36"/>
        <v>152.5076923</v>
      </c>
      <c r="H285" s="1"/>
      <c r="I285" s="1"/>
      <c r="J285" s="1"/>
      <c r="K285" s="1"/>
      <c r="L285" s="1"/>
      <c r="M285" s="1"/>
      <c r="N285" s="1"/>
      <c r="O285" s="1"/>
      <c r="P285" s="1"/>
      <c r="Q285" s="1"/>
      <c r="R285" s="1"/>
      <c r="S285" s="1"/>
    </row>
    <row r="286" ht="14.25" customHeight="1">
      <c r="A286" s="22" t="s">
        <v>13</v>
      </c>
      <c r="B286" s="23">
        <v>0.01</v>
      </c>
      <c r="C286" s="10">
        <f t="shared" si="35"/>
        <v>0.3538461538</v>
      </c>
      <c r="D286" s="38" t="s">
        <v>18</v>
      </c>
      <c r="E286" s="1966"/>
      <c r="F286" s="1988">
        <v>38.0</v>
      </c>
      <c r="G286" s="838">
        <f t="shared" si="36"/>
        <v>13.44615385</v>
      </c>
      <c r="H286" s="1"/>
      <c r="I286" s="1"/>
      <c r="J286" s="1"/>
      <c r="K286" s="1"/>
      <c r="L286" s="1"/>
      <c r="M286" s="1"/>
      <c r="N286" s="1"/>
      <c r="O286" s="1"/>
      <c r="P286" s="1"/>
      <c r="Q286" s="1"/>
      <c r="R286" s="1"/>
      <c r="S286" s="1"/>
    </row>
    <row r="287" ht="14.25" customHeight="1">
      <c r="A287" s="22" t="s">
        <v>114</v>
      </c>
      <c r="B287" s="23">
        <v>0.03</v>
      </c>
      <c r="C287" s="10">
        <f t="shared" si="35"/>
        <v>1.061538462</v>
      </c>
      <c r="D287" s="38" t="s">
        <v>5</v>
      </c>
      <c r="E287" s="1966"/>
      <c r="F287" s="1988">
        <v>5.0</v>
      </c>
      <c r="G287" s="838">
        <f t="shared" si="36"/>
        <v>5.307692308</v>
      </c>
      <c r="H287" s="1"/>
      <c r="I287" s="1"/>
      <c r="J287" s="1"/>
      <c r="K287" s="1"/>
      <c r="L287" s="1"/>
      <c r="M287" s="1"/>
      <c r="N287" s="1"/>
      <c r="O287" s="1"/>
      <c r="P287" s="1"/>
      <c r="Q287" s="1"/>
      <c r="R287" s="1"/>
      <c r="S287" s="1"/>
    </row>
    <row r="288" ht="14.25" customHeight="1">
      <c r="A288" s="1"/>
      <c r="B288" s="107"/>
      <c r="C288" s="86"/>
      <c r="D288" s="87"/>
      <c r="E288" s="847" t="s">
        <v>842</v>
      </c>
      <c r="F288" s="1993"/>
      <c r="G288" s="850">
        <f>SUM(G274:G287)</f>
        <v>23914.51538</v>
      </c>
      <c r="H288" s="1"/>
      <c r="I288" s="1"/>
      <c r="J288" s="1"/>
      <c r="K288" s="1"/>
      <c r="L288" s="1"/>
      <c r="M288" s="1"/>
      <c r="N288" s="1"/>
      <c r="O288" s="1"/>
      <c r="P288" s="1"/>
      <c r="Q288" s="1"/>
      <c r="R288" s="1"/>
      <c r="S288" s="1"/>
    </row>
    <row r="289" ht="14.25" customHeight="1">
      <c r="A289" s="1"/>
      <c r="B289" s="107"/>
      <c r="C289" s="86"/>
      <c r="D289" s="87"/>
      <c r="E289" s="851" t="s">
        <v>845</v>
      </c>
      <c r="F289" s="1995">
        <v>20.0</v>
      </c>
      <c r="G289" s="855">
        <f>F289/100*G288</f>
        <v>4782.903077</v>
      </c>
      <c r="H289" s="1"/>
      <c r="I289" s="1"/>
      <c r="J289" s="1"/>
      <c r="K289" s="1"/>
      <c r="L289" s="1"/>
      <c r="M289" s="1"/>
      <c r="N289" s="1"/>
      <c r="O289" s="1"/>
      <c r="P289" s="1"/>
      <c r="Q289" s="1"/>
      <c r="R289" s="1"/>
      <c r="S289" s="1"/>
    </row>
    <row r="290" ht="14.25" customHeight="1">
      <c r="A290" s="1"/>
      <c r="B290" s="107"/>
      <c r="C290" s="86"/>
      <c r="D290" s="87"/>
      <c r="E290" s="856" t="s">
        <v>852</v>
      </c>
      <c r="F290" s="1997"/>
      <c r="G290" s="859">
        <f>SUM(G288:G289)</f>
        <v>28697.41846</v>
      </c>
      <c r="H290" s="1"/>
      <c r="I290" s="1"/>
      <c r="J290" s="1"/>
      <c r="K290" s="1"/>
      <c r="L290" s="1"/>
      <c r="M290" s="1"/>
      <c r="N290" s="1"/>
      <c r="O290" s="1"/>
      <c r="P290" s="1"/>
      <c r="Q290" s="1"/>
      <c r="R290" s="1"/>
      <c r="S290" s="1"/>
    </row>
    <row r="291" ht="14.25" customHeight="1">
      <c r="A291" s="88" t="s">
        <v>49</v>
      </c>
      <c r="B291" s="1"/>
      <c r="C291" s="89">
        <v>43811.0</v>
      </c>
      <c r="D291" s="87"/>
      <c r="E291" s="861" t="s">
        <v>860</v>
      </c>
      <c r="F291" s="1999"/>
      <c r="G291" s="864">
        <f>G290/C273</f>
        <v>124.7713846</v>
      </c>
      <c r="H291" s="1"/>
      <c r="I291" s="1"/>
      <c r="J291" s="1"/>
      <c r="K291" s="1"/>
      <c r="L291" s="1"/>
      <c r="M291" s="1"/>
      <c r="N291" s="1"/>
      <c r="O291" s="1"/>
      <c r="P291" s="1"/>
      <c r="Q291" s="1"/>
      <c r="R291" s="1"/>
      <c r="S291" s="1"/>
    </row>
    <row r="292" ht="14.25" customHeight="1">
      <c r="A292" s="90" t="s">
        <v>50</v>
      </c>
      <c r="B292" s="89"/>
      <c r="C292" s="89">
        <v>43811.0</v>
      </c>
      <c r="D292" s="87"/>
      <c r="E292" s="866" t="s">
        <v>866</v>
      </c>
      <c r="F292" s="2000">
        <v>0.08</v>
      </c>
      <c r="G292" s="871">
        <v>0.08</v>
      </c>
      <c r="H292" s="1"/>
      <c r="I292" s="1"/>
      <c r="J292" s="1"/>
      <c r="K292" s="1"/>
      <c r="L292" s="1"/>
      <c r="M292" s="1"/>
      <c r="N292" s="1"/>
      <c r="O292" s="1"/>
      <c r="P292" s="1"/>
      <c r="Q292" s="1"/>
      <c r="R292" s="1"/>
      <c r="S292" s="1"/>
    </row>
    <row r="293" ht="14.25" customHeight="1">
      <c r="A293" s="7"/>
      <c r="B293" s="86"/>
      <c r="C293" s="86"/>
      <c r="D293" s="87"/>
      <c r="E293" s="872" t="s">
        <v>880</v>
      </c>
      <c r="F293" s="2001"/>
      <c r="G293" s="876">
        <f>G292*G291</f>
        <v>9.981710769</v>
      </c>
      <c r="H293" s="1"/>
      <c r="I293" s="1"/>
      <c r="J293" s="1"/>
      <c r="K293" s="1"/>
      <c r="L293" s="1"/>
      <c r="M293" s="1"/>
      <c r="N293" s="1"/>
      <c r="O293" s="1"/>
      <c r="P293" s="1"/>
      <c r="Q293" s="1"/>
      <c r="R293" s="1"/>
      <c r="S293" s="1"/>
    </row>
    <row r="294" ht="14.25" customHeight="1">
      <c r="A294" s="7"/>
      <c r="B294" s="86"/>
      <c r="C294" s="86"/>
      <c r="D294" s="87"/>
      <c r="E294" s="877" t="s">
        <v>891</v>
      </c>
      <c r="F294" s="2002"/>
      <c r="G294" s="882">
        <f>C273/G292</f>
        <v>2875</v>
      </c>
      <c r="H294" s="1"/>
      <c r="I294" s="1"/>
      <c r="J294" s="1"/>
      <c r="K294" s="1"/>
      <c r="L294" s="1"/>
      <c r="M294" s="1"/>
      <c r="N294" s="1"/>
      <c r="O294" s="1"/>
      <c r="P294" s="1"/>
      <c r="Q294" s="1"/>
      <c r="R294" s="1"/>
      <c r="S294" s="1"/>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1:D1"/>
    <mergeCell ref="E3:E11"/>
    <mergeCell ref="E14:E15"/>
    <mergeCell ref="A21:D21"/>
    <mergeCell ref="E23:E30"/>
    <mergeCell ref="A38:D38"/>
    <mergeCell ref="E40:E44"/>
    <mergeCell ref="A103:D103"/>
    <mergeCell ref="P103:S103"/>
    <mergeCell ref="E105:E107"/>
    <mergeCell ref="E108:E111"/>
    <mergeCell ref="E112:E113"/>
    <mergeCell ref="E115:E116"/>
    <mergeCell ref="A118:D121"/>
    <mergeCell ref="A130:D130"/>
    <mergeCell ref="E45:E47"/>
    <mergeCell ref="E49:E52"/>
    <mergeCell ref="E53:E57"/>
    <mergeCell ref="A63:D63"/>
    <mergeCell ref="E64:E69"/>
    <mergeCell ref="E70:E74"/>
    <mergeCell ref="A85:D85"/>
    <mergeCell ref="A248:D248"/>
    <mergeCell ref="A263:D263"/>
    <mergeCell ref="A272:D272"/>
    <mergeCell ref="A151:D151"/>
    <mergeCell ref="A171:D171"/>
    <mergeCell ref="A187:D187"/>
    <mergeCell ref="A203:D203"/>
    <mergeCell ref="A224:D224"/>
    <mergeCell ref="A236:D236"/>
    <mergeCell ref="E248:E255"/>
  </mergeCells>
  <hyperlinks>
    <hyperlink display="Back" location="'Recipe Index'!AQ38" ref="A17"/>
    <hyperlink display="HOME" location="'Recipe Index'!A2" ref="B17"/>
    <hyperlink display="Back" location="'Recipe Index'!AQ38" ref="A34"/>
    <hyperlink display="HOME" location="'Recipe Index'!A2" ref="B34"/>
    <hyperlink display="Back" location="'Recipe Index'!AQ38" ref="A59"/>
    <hyperlink display="HOME" location="'Recipe Index'!A2" ref="B59"/>
    <hyperlink display="Back" location="'Recipe Index'!AQ38" ref="A79"/>
    <hyperlink display="HOME" location="'Recipe Index'!A2" ref="B79"/>
    <hyperlink display="Back" location="'Recipe Index'!AQ38" ref="A100"/>
    <hyperlink display="Back" location="'Recipe Index'!BO50" ref="F103"/>
    <hyperlink display="HOME" location="'Recipe Index'!A2" ref="G103"/>
    <hyperlink display="Back" location="'Recipe Index'!AQ38" ref="A122"/>
    <hyperlink display="Back" location="'Recipe Index'!AQ38" ref="A147"/>
    <hyperlink display="Back" location="'Recipe Index'!AQ38" ref="A165"/>
    <hyperlink display="Back" location="'Recipe Index'!AQ38" ref="A181"/>
    <hyperlink display="Back" location="'Recipe Index'!AQ38" ref="A200"/>
    <hyperlink display="Back" location="'Recipe Index'!AQ38" ref="A219"/>
    <hyperlink display="Back" location="'Recipe Index'!AQ38" ref="A231"/>
    <hyperlink display="Back" location="'Recipe Index'!AQ38" ref="A243"/>
    <hyperlink display="Back" location="'Recipe Index'!AQ38" ref="A257"/>
    <hyperlink display="Back" location="'Recipe Index'!AQ38" ref="A268"/>
    <hyperlink display="Back" location="'Recipe Index'!EA64" ref="F272"/>
    <hyperlink display="HOME" location="'Recipe Index'!A2" ref="G272"/>
  </hyperlink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22.75"/>
    <col customWidth="1" min="2" max="2" width="54.25"/>
    <col customWidth="1" hidden="1" min="3" max="3" width="10.25"/>
    <col customWidth="1" min="4" max="5" width="12.0"/>
    <col customWidth="1" min="6" max="6" width="6.75"/>
    <col customWidth="1" min="7" max="7" width="30.25"/>
    <col customWidth="1" min="8" max="8" width="30.63"/>
    <col customWidth="1" min="9" max="9" width="11.0"/>
    <col customWidth="1" min="10" max="10" width="7.63"/>
    <col customWidth="1" min="11" max="11" width="10.25"/>
    <col customWidth="1" min="12" max="12" width="28.25"/>
    <col customWidth="1" min="13" max="13" width="8.38"/>
  </cols>
  <sheetData>
    <row r="1" ht="15.75" customHeight="1">
      <c r="A1" s="1"/>
      <c r="B1" s="511" t="s">
        <v>2030</v>
      </c>
      <c r="C1" s="18"/>
      <c r="D1" s="18"/>
      <c r="E1" s="18"/>
      <c r="F1" s="19"/>
      <c r="G1" s="1795"/>
      <c r="H1" s="920"/>
      <c r="I1" s="1"/>
      <c r="J1" s="1"/>
      <c r="K1" s="1"/>
      <c r="L1" s="1"/>
      <c r="M1" s="1"/>
    </row>
    <row r="2" ht="15.75" customHeight="1">
      <c r="A2" s="1"/>
      <c r="B2" s="553" t="s">
        <v>2033</v>
      </c>
      <c r="C2" s="145">
        <v>100.0</v>
      </c>
      <c r="D2" s="155">
        <v>60.0</v>
      </c>
      <c r="E2" s="899"/>
      <c r="F2" s="137" t="s">
        <v>5</v>
      </c>
      <c r="G2" s="63"/>
      <c r="H2" s="920"/>
      <c r="I2" s="1"/>
      <c r="J2" s="1"/>
      <c r="K2" s="1"/>
      <c r="L2" s="1"/>
      <c r="M2" s="1"/>
    </row>
    <row r="3" ht="15.75" customHeight="1">
      <c r="A3" s="1"/>
      <c r="B3" s="93" t="s">
        <v>2035</v>
      </c>
      <c r="C3" s="195">
        <v>50.0</v>
      </c>
      <c r="D3" s="78">
        <f t="shared" ref="D3:D11" si="1">(C3*D2)/C2</f>
        <v>30</v>
      </c>
      <c r="E3" s="900"/>
      <c r="F3" s="165" t="s">
        <v>14</v>
      </c>
      <c r="G3" s="63"/>
      <c r="H3" s="920"/>
      <c r="I3" s="1"/>
      <c r="J3" s="1"/>
      <c r="K3" s="1"/>
      <c r="L3" s="1"/>
      <c r="M3" s="1"/>
    </row>
    <row r="4" ht="15.75" customHeight="1">
      <c r="A4" s="1"/>
      <c r="B4" s="93" t="s">
        <v>1532</v>
      </c>
      <c r="C4" s="195">
        <v>50.0</v>
      </c>
      <c r="D4" s="78">
        <f t="shared" si="1"/>
        <v>30</v>
      </c>
      <c r="E4" s="900"/>
      <c r="F4" s="165" t="s">
        <v>14</v>
      </c>
      <c r="G4" s="63"/>
      <c r="H4" s="920"/>
      <c r="I4" s="1"/>
      <c r="J4" s="1"/>
      <c r="K4" s="1"/>
      <c r="L4" s="1"/>
      <c r="M4" s="1"/>
    </row>
    <row r="5" ht="15.0" customHeight="1">
      <c r="A5" s="1"/>
      <c r="B5" s="1801" t="s">
        <v>11</v>
      </c>
      <c r="C5" s="1804">
        <v>12.5</v>
      </c>
      <c r="D5" s="1807">
        <f t="shared" si="1"/>
        <v>7.5</v>
      </c>
      <c r="E5" s="1809"/>
      <c r="F5" s="1813" t="s">
        <v>14</v>
      </c>
      <c r="G5" s="63"/>
      <c r="H5" s="920"/>
      <c r="I5" s="1"/>
      <c r="J5" s="1"/>
      <c r="K5" s="1"/>
      <c r="L5" s="1"/>
      <c r="M5" s="1"/>
    </row>
    <row r="6" ht="15.75" customHeight="1">
      <c r="A6" s="1"/>
      <c r="B6" s="421" t="s">
        <v>11</v>
      </c>
      <c r="C6" s="422">
        <v>10.0</v>
      </c>
      <c r="D6" s="1816">
        <f t="shared" si="1"/>
        <v>6</v>
      </c>
      <c r="E6" s="1818"/>
      <c r="F6" s="425" t="s">
        <v>14</v>
      </c>
      <c r="G6" s="63"/>
      <c r="H6" s="920"/>
      <c r="I6" s="1"/>
      <c r="J6" s="1"/>
      <c r="K6" s="1"/>
      <c r="L6" s="1"/>
      <c r="M6" s="1"/>
    </row>
    <row r="7" ht="15.0" customHeight="1">
      <c r="A7" s="1"/>
      <c r="B7" s="421" t="s">
        <v>2051</v>
      </c>
      <c r="C7" s="422">
        <v>5.0</v>
      </c>
      <c r="D7" s="1816">
        <f t="shared" si="1"/>
        <v>3</v>
      </c>
      <c r="E7" s="1818"/>
      <c r="F7" s="425" t="s">
        <v>14</v>
      </c>
      <c r="G7" s="63"/>
      <c r="H7" s="920"/>
      <c r="I7" s="1"/>
      <c r="J7" s="1"/>
      <c r="K7" s="1"/>
      <c r="L7" s="1"/>
      <c r="M7" s="1"/>
    </row>
    <row r="8" ht="15.75" customHeight="1">
      <c r="A8" s="1"/>
      <c r="B8" s="93" t="s">
        <v>572</v>
      </c>
      <c r="C8" s="195">
        <v>100.0</v>
      </c>
      <c r="D8" s="78">
        <f t="shared" si="1"/>
        <v>60</v>
      </c>
      <c r="E8" s="900"/>
      <c r="F8" s="165" t="s">
        <v>82</v>
      </c>
      <c r="G8" s="63"/>
      <c r="H8" s="920"/>
      <c r="I8" s="1"/>
      <c r="J8" s="1"/>
      <c r="K8" s="1"/>
      <c r="L8" s="1"/>
      <c r="M8" s="1"/>
    </row>
    <row r="9" ht="15.75" customHeight="1">
      <c r="A9" s="1"/>
      <c r="B9" s="93" t="s">
        <v>569</v>
      </c>
      <c r="C9" s="195">
        <v>20.0</v>
      </c>
      <c r="D9" s="78">
        <f t="shared" si="1"/>
        <v>12</v>
      </c>
      <c r="E9" s="900"/>
      <c r="F9" s="165" t="s">
        <v>82</v>
      </c>
      <c r="G9" s="63"/>
      <c r="H9" s="920"/>
      <c r="I9" s="1"/>
      <c r="J9" s="1"/>
      <c r="K9" s="1"/>
      <c r="L9" s="1"/>
      <c r="M9" s="1"/>
    </row>
    <row r="10" ht="15.75" customHeight="1">
      <c r="A10" s="1"/>
      <c r="B10" s="93" t="s">
        <v>17</v>
      </c>
      <c r="C10" s="195">
        <v>200.0</v>
      </c>
      <c r="D10" s="78">
        <f t="shared" si="1"/>
        <v>120</v>
      </c>
      <c r="E10" s="900"/>
      <c r="F10" s="165" t="s">
        <v>18</v>
      </c>
      <c r="G10" s="63"/>
      <c r="H10" s="920"/>
      <c r="I10" s="1"/>
      <c r="J10" s="1"/>
      <c r="K10" s="1"/>
      <c r="L10" s="1"/>
      <c r="M10" s="1"/>
    </row>
    <row r="11" ht="15.0" customHeight="1">
      <c r="A11" s="1"/>
      <c r="B11" s="105" t="s">
        <v>21</v>
      </c>
      <c r="C11" s="200">
        <v>50.0</v>
      </c>
      <c r="D11" s="56">
        <f t="shared" si="1"/>
        <v>30</v>
      </c>
      <c r="E11" s="1604"/>
      <c r="F11" s="172" t="s">
        <v>18</v>
      </c>
      <c r="G11" s="102"/>
      <c r="H11" s="920"/>
      <c r="I11" s="1"/>
      <c r="J11" s="1"/>
      <c r="K11" s="1"/>
      <c r="L11" s="1"/>
      <c r="M11" s="1"/>
    </row>
    <row r="12" ht="14.25" customHeight="1">
      <c r="A12" s="1"/>
      <c r="B12" s="258" t="s">
        <v>119</v>
      </c>
      <c r="C12" s="258" t="s">
        <v>47</v>
      </c>
      <c r="D12" s="184"/>
      <c r="E12" s="184"/>
      <c r="F12" s="108"/>
      <c r="G12" s="1"/>
      <c r="H12" s="920"/>
      <c r="I12" s="1"/>
      <c r="J12" s="1"/>
      <c r="K12" s="1"/>
      <c r="L12" s="1"/>
      <c r="M12" s="1"/>
    </row>
    <row r="13" ht="14.25" customHeight="1">
      <c r="A13" s="1"/>
      <c r="B13" s="90" t="s">
        <v>120</v>
      </c>
      <c r="C13" s="1188">
        <v>41279.0</v>
      </c>
      <c r="D13" s="184"/>
      <c r="E13" s="184"/>
      <c r="F13" s="108"/>
      <c r="G13" s="1"/>
      <c r="H13" s="920"/>
      <c r="I13" s="1"/>
      <c r="J13" s="1"/>
      <c r="K13" s="1"/>
      <c r="L13" s="1"/>
      <c r="M13" s="1"/>
    </row>
    <row r="14" ht="14.25" customHeight="1">
      <c r="A14" s="1"/>
      <c r="B14" s="305" t="s">
        <v>50</v>
      </c>
      <c r="C14" s="1188">
        <v>41498.0</v>
      </c>
      <c r="D14" s="184"/>
      <c r="E14" s="184"/>
      <c r="F14" s="108"/>
      <c r="G14" s="1"/>
      <c r="H14" s="920"/>
      <c r="I14" s="1"/>
      <c r="J14" s="1"/>
      <c r="K14" s="1"/>
      <c r="L14" s="1"/>
      <c r="M14" s="1"/>
    </row>
    <row r="15" ht="14.25" customHeight="1">
      <c r="A15" s="1"/>
      <c r="B15" s="206" t="s">
        <v>274</v>
      </c>
      <c r="C15" s="5"/>
      <c r="D15" s="5"/>
      <c r="E15" s="5"/>
      <c r="F15" s="6"/>
      <c r="G15" s="207"/>
      <c r="H15" s="920"/>
      <c r="I15" s="1"/>
      <c r="J15" s="1"/>
      <c r="K15" s="1"/>
      <c r="L15" s="1"/>
      <c r="M15" s="1"/>
    </row>
    <row r="16" ht="14.25" customHeight="1">
      <c r="A16" s="1"/>
      <c r="B16" s="512" t="s">
        <v>1</v>
      </c>
      <c r="C16" s="1553">
        <v>45.0</v>
      </c>
      <c r="D16" s="513">
        <v>60.0</v>
      </c>
      <c r="E16" s="1576"/>
      <c r="F16" s="125" t="s">
        <v>5</v>
      </c>
      <c r="G16" s="207"/>
      <c r="H16" s="920"/>
      <c r="I16" s="1"/>
      <c r="J16" s="1"/>
      <c r="K16" s="1"/>
      <c r="L16" s="1"/>
      <c r="M16" s="1"/>
    </row>
    <row r="17" ht="14.25" customHeight="1">
      <c r="A17" s="1"/>
      <c r="B17" s="68" t="s">
        <v>2055</v>
      </c>
      <c r="C17" s="145">
        <v>80.0</v>
      </c>
      <c r="D17" s="155">
        <f>(C17*D16)/C16</f>
        <v>106.6666667</v>
      </c>
      <c r="E17" s="899"/>
      <c r="F17" s="137" t="s">
        <v>5</v>
      </c>
      <c r="G17" s="999" t="s">
        <v>2056</v>
      </c>
      <c r="H17" s="920"/>
      <c r="I17" s="1"/>
      <c r="J17" s="1"/>
      <c r="K17" s="1"/>
      <c r="L17" s="1"/>
      <c r="M17" s="1"/>
    </row>
    <row r="18" ht="14.25" customHeight="1">
      <c r="A18" s="1"/>
      <c r="B18" s="93" t="s">
        <v>17</v>
      </c>
      <c r="C18" s="195">
        <v>50.0</v>
      </c>
      <c r="D18" s="78">
        <f t="shared" ref="D18:D22" si="2">(C18*D16)/C16</f>
        <v>66.66666667</v>
      </c>
      <c r="E18" s="900"/>
      <c r="F18" s="165" t="s">
        <v>18</v>
      </c>
      <c r="H18" s="920"/>
      <c r="I18" s="1"/>
      <c r="J18" s="1"/>
      <c r="K18" s="1"/>
      <c r="L18" s="1"/>
      <c r="M18" s="1"/>
    </row>
    <row r="19" ht="14.25" customHeight="1">
      <c r="A19" s="1"/>
      <c r="B19" s="93" t="s">
        <v>13</v>
      </c>
      <c r="C19" s="195">
        <v>10.0</v>
      </c>
      <c r="D19" s="78">
        <f t="shared" si="2"/>
        <v>13.33333333</v>
      </c>
      <c r="E19" s="900"/>
      <c r="F19" s="165" t="s">
        <v>14</v>
      </c>
      <c r="H19" s="920"/>
      <c r="I19" s="1"/>
      <c r="J19" s="1"/>
      <c r="K19" s="1"/>
      <c r="L19" s="1"/>
      <c r="M19" s="1"/>
    </row>
    <row r="20" ht="14.25" customHeight="1">
      <c r="A20" s="1"/>
      <c r="B20" s="93" t="s">
        <v>749</v>
      </c>
      <c r="C20" s="195">
        <v>300.0</v>
      </c>
      <c r="D20" s="78">
        <f t="shared" si="2"/>
        <v>400</v>
      </c>
      <c r="E20" s="900"/>
      <c r="F20" s="165" t="s">
        <v>18</v>
      </c>
      <c r="H20" s="920"/>
      <c r="I20" s="1"/>
      <c r="J20" s="1"/>
      <c r="K20" s="1"/>
      <c r="L20" s="1"/>
      <c r="M20" s="1"/>
    </row>
    <row r="21" ht="14.25" customHeight="1">
      <c r="A21" s="1"/>
      <c r="B21" s="138" t="s">
        <v>2057</v>
      </c>
      <c r="C21" s="279">
        <v>300.0</v>
      </c>
      <c r="D21" s="146">
        <f t="shared" si="2"/>
        <v>400</v>
      </c>
      <c r="E21" s="1607"/>
      <c r="F21" s="281" t="s">
        <v>18</v>
      </c>
      <c r="H21" s="920"/>
      <c r="I21" s="1"/>
      <c r="J21" s="1"/>
      <c r="K21" s="1"/>
      <c r="L21" s="1"/>
      <c r="M21" s="1"/>
    </row>
    <row r="22" ht="14.25" customHeight="1">
      <c r="A22" s="1"/>
      <c r="B22" s="173" t="s">
        <v>2058</v>
      </c>
      <c r="C22" s="275">
        <v>2.0</v>
      </c>
      <c r="D22" s="179">
        <f t="shared" si="2"/>
        <v>2.666666667</v>
      </c>
      <c r="E22" s="1689"/>
      <c r="F22" s="278" t="s">
        <v>18</v>
      </c>
      <c r="G22" s="1830"/>
      <c r="H22" s="920"/>
      <c r="I22" s="1"/>
      <c r="J22" s="1"/>
      <c r="K22" s="1"/>
      <c r="L22" s="1"/>
      <c r="M22" s="1"/>
    </row>
    <row r="23" ht="14.25" customHeight="1">
      <c r="A23" s="1"/>
      <c r="B23" s="119" t="s">
        <v>2061</v>
      </c>
      <c r="C23" s="982">
        <v>40.0</v>
      </c>
      <c r="D23" s="129">
        <f>(C23*D20)/C20</f>
        <v>53.33333333</v>
      </c>
      <c r="E23" s="1583"/>
      <c r="F23" s="176" t="s">
        <v>5</v>
      </c>
      <c r="G23" s="141" t="s">
        <v>2063</v>
      </c>
      <c r="H23" s="920"/>
      <c r="I23" s="1"/>
      <c r="J23" s="1"/>
      <c r="K23" s="1"/>
      <c r="L23" s="1"/>
      <c r="M23" s="1"/>
    </row>
    <row r="24" ht="14.25" customHeight="1">
      <c r="A24" s="1"/>
      <c r="B24" s="119" t="s">
        <v>2064</v>
      </c>
      <c r="C24" s="982">
        <v>15.0</v>
      </c>
      <c r="D24" s="78">
        <f t="shared" ref="D24:D25" si="3">(C24*D20)/C20</f>
        <v>20</v>
      </c>
      <c r="E24" s="1583"/>
      <c r="F24" s="176" t="s">
        <v>14</v>
      </c>
      <c r="H24" s="920"/>
      <c r="I24" s="1"/>
      <c r="J24" s="1"/>
      <c r="K24" s="1"/>
      <c r="L24" s="1"/>
      <c r="M24" s="1"/>
    </row>
    <row r="25" ht="14.25" customHeight="1">
      <c r="A25" s="1"/>
      <c r="B25" s="93" t="s">
        <v>1210</v>
      </c>
      <c r="C25" s="195">
        <v>0.25</v>
      </c>
      <c r="D25" s="78">
        <f t="shared" si="3"/>
        <v>0.3333333333</v>
      </c>
      <c r="E25" s="900"/>
      <c r="F25" s="165" t="s">
        <v>14</v>
      </c>
      <c r="H25" s="920"/>
      <c r="I25" s="1"/>
      <c r="J25" s="1"/>
      <c r="K25" s="1"/>
      <c r="L25" s="1"/>
      <c r="M25" s="1"/>
    </row>
    <row r="26" ht="14.25" customHeight="1">
      <c r="A26" s="1"/>
      <c r="B26" s="105" t="s">
        <v>2065</v>
      </c>
      <c r="C26" s="980">
        <v>1000.0</v>
      </c>
      <c r="D26" s="56">
        <f>(C26*D21)/C21</f>
        <v>1333.333333</v>
      </c>
      <c r="E26" s="1604"/>
      <c r="F26" s="172" t="s">
        <v>741</v>
      </c>
      <c r="G26" s="104"/>
      <c r="H26" s="920"/>
      <c r="I26" s="1"/>
      <c r="J26" s="1"/>
      <c r="K26" s="1"/>
      <c r="L26" s="1"/>
      <c r="M26" s="1"/>
    </row>
    <row r="27" ht="14.25" customHeight="1">
      <c r="A27" s="1"/>
      <c r="B27" s="258" t="s">
        <v>119</v>
      </c>
      <c r="C27" s="258" t="s">
        <v>47</v>
      </c>
      <c r="D27" s="184"/>
      <c r="E27" s="184"/>
      <c r="F27" s="108"/>
      <c r="G27" s="1"/>
      <c r="H27" s="920"/>
      <c r="I27" s="1"/>
      <c r="J27" s="1"/>
      <c r="K27" s="1"/>
      <c r="L27" s="1"/>
      <c r="M27" s="1"/>
    </row>
    <row r="28" ht="14.25" customHeight="1">
      <c r="A28" s="1"/>
      <c r="B28" s="90" t="s">
        <v>502</v>
      </c>
      <c r="C28" s="1188">
        <v>42169.0</v>
      </c>
      <c r="D28" s="184"/>
      <c r="E28" s="184"/>
      <c r="F28" s="108"/>
      <c r="G28" s="1"/>
      <c r="H28" s="920"/>
      <c r="I28" s="1"/>
      <c r="J28" s="1"/>
      <c r="K28" s="1"/>
      <c r="L28" s="1"/>
      <c r="M28" s="1"/>
    </row>
    <row r="29" ht="14.25" customHeight="1">
      <c r="A29" s="1"/>
      <c r="B29" s="305" t="s">
        <v>50</v>
      </c>
      <c r="C29" s="1188"/>
      <c r="D29" s="1838"/>
      <c r="E29" s="1838"/>
      <c r="F29" s="1839"/>
      <c r="G29" s="1"/>
      <c r="H29" s="920"/>
      <c r="I29" s="1"/>
      <c r="J29" s="1"/>
      <c r="K29" s="1"/>
      <c r="L29" s="1"/>
      <c r="M29" s="1"/>
    </row>
    <row r="30" ht="14.25" customHeight="1">
      <c r="A30" s="1"/>
      <c r="B30" s="1"/>
      <c r="C30" s="107"/>
      <c r="D30" s="184"/>
      <c r="E30" s="184"/>
      <c r="F30" s="108"/>
      <c r="G30" s="207"/>
      <c r="H30" s="920"/>
      <c r="I30" s="1"/>
      <c r="J30" s="1"/>
      <c r="K30" s="1"/>
      <c r="L30" s="1"/>
      <c r="M30" s="1"/>
    </row>
    <row r="31" ht="14.25" customHeight="1">
      <c r="A31" s="1"/>
      <c r="B31" s="209" t="s">
        <v>2068</v>
      </c>
      <c r="C31" s="18"/>
      <c r="D31" s="18"/>
      <c r="E31" s="18"/>
      <c r="F31" s="19"/>
      <c r="G31" s="207"/>
      <c r="H31" s="920"/>
      <c r="I31" s="1"/>
      <c r="J31" s="1"/>
      <c r="K31" s="1"/>
      <c r="L31" s="1"/>
      <c r="M31" s="1"/>
    </row>
    <row r="32" ht="14.25" customHeight="1">
      <c r="A32" s="1"/>
      <c r="B32" s="51" t="s">
        <v>1</v>
      </c>
      <c r="C32" s="190">
        <v>75.0</v>
      </c>
      <c r="D32" s="513">
        <v>105.0</v>
      </c>
      <c r="E32" s="1576"/>
      <c r="F32" s="125" t="s">
        <v>5</v>
      </c>
      <c r="G32" s="207"/>
      <c r="H32" s="920"/>
      <c r="I32" s="1"/>
      <c r="J32" s="1"/>
      <c r="K32" s="1"/>
      <c r="L32" s="1"/>
      <c r="M32" s="1"/>
    </row>
    <row r="33" ht="14.25" customHeight="1">
      <c r="A33" s="1"/>
      <c r="B33" s="51" t="s">
        <v>140</v>
      </c>
      <c r="C33" s="190">
        <v>10.0</v>
      </c>
      <c r="D33" s="513">
        <f t="shared" ref="D33:D45" si="4">(C33*D32)/C32</f>
        <v>14</v>
      </c>
      <c r="E33" s="1576"/>
      <c r="F33" s="125" t="s">
        <v>14</v>
      </c>
      <c r="G33" s="194" t="s">
        <v>2069</v>
      </c>
      <c r="H33" s="920"/>
      <c r="I33" s="1"/>
      <c r="J33" s="1"/>
      <c r="K33" s="1"/>
      <c r="L33" s="1"/>
      <c r="M33" s="1"/>
    </row>
    <row r="34" ht="15.0" customHeight="1">
      <c r="A34" s="44" t="s">
        <v>2071</v>
      </c>
      <c r="B34" s="1842" t="s">
        <v>743</v>
      </c>
      <c r="C34" s="1844">
        <v>9.0</v>
      </c>
      <c r="D34" s="1846">
        <f t="shared" si="4"/>
        <v>12.6</v>
      </c>
      <c r="E34" s="1847"/>
      <c r="F34" s="1849" t="s">
        <v>5</v>
      </c>
      <c r="G34" s="63"/>
      <c r="H34" s="920"/>
      <c r="I34" s="1"/>
      <c r="J34" s="1"/>
      <c r="K34" s="1"/>
      <c r="L34" s="1"/>
      <c r="M34" s="1"/>
    </row>
    <row r="35" ht="14.25" customHeight="1">
      <c r="A35" s="47"/>
      <c r="B35" s="1801" t="s">
        <v>743</v>
      </c>
      <c r="C35" s="1804">
        <v>4.0</v>
      </c>
      <c r="D35" s="1807">
        <f t="shared" si="4"/>
        <v>5.6</v>
      </c>
      <c r="E35" s="1809"/>
      <c r="F35" s="1813" t="s">
        <v>5</v>
      </c>
      <c r="G35" s="63"/>
      <c r="H35" s="920"/>
      <c r="I35" s="1"/>
      <c r="J35" s="1"/>
      <c r="K35" s="1"/>
      <c r="L35" s="1"/>
      <c r="M35" s="1"/>
    </row>
    <row r="36" ht="14.25" customHeight="1">
      <c r="A36" s="76"/>
      <c r="B36" s="901" t="s">
        <v>91</v>
      </c>
      <c r="C36" s="1850">
        <v>4.0</v>
      </c>
      <c r="D36" s="1852">
        <f t="shared" si="4"/>
        <v>5.6</v>
      </c>
      <c r="E36" s="1854"/>
      <c r="F36" s="1855" t="s">
        <v>5</v>
      </c>
      <c r="G36" s="63"/>
      <c r="H36" s="920"/>
      <c r="I36" s="1"/>
      <c r="J36" s="1"/>
      <c r="K36" s="1"/>
      <c r="L36" s="1"/>
      <c r="M36" s="1"/>
    </row>
    <row r="37" ht="15.0" customHeight="1">
      <c r="A37" s="44" t="s">
        <v>2082</v>
      </c>
      <c r="B37" s="68" t="s">
        <v>157</v>
      </c>
      <c r="C37" s="1192">
        <f>+IF(C33&lt;10,3.5*C33,IF(C33&gt;=15,3*C33,(3 + (15-C33)*0.1)*C33))</f>
        <v>35</v>
      </c>
      <c r="D37" s="155">
        <f t="shared" si="4"/>
        <v>49</v>
      </c>
      <c r="E37" s="899"/>
      <c r="F37" s="137" t="s">
        <v>5</v>
      </c>
      <c r="G37" s="63"/>
      <c r="H37" s="920"/>
      <c r="I37" s="1"/>
      <c r="J37" s="1"/>
      <c r="K37" s="1"/>
      <c r="L37" s="1"/>
      <c r="M37" s="1"/>
    </row>
    <row r="38" ht="14.25" customHeight="1">
      <c r="A38" s="47"/>
      <c r="B38" s="138" t="s">
        <v>13</v>
      </c>
      <c r="C38" s="279">
        <v>17.5</v>
      </c>
      <c r="D38" s="146">
        <f t="shared" si="4"/>
        <v>24.5</v>
      </c>
      <c r="E38" s="1607"/>
      <c r="F38" s="281" t="s">
        <v>14</v>
      </c>
      <c r="G38" s="63"/>
      <c r="H38" s="920"/>
      <c r="I38" s="1"/>
      <c r="J38" s="1"/>
      <c r="K38" s="1"/>
      <c r="L38" s="1"/>
      <c r="M38" s="1"/>
    </row>
    <row r="39" ht="14.25" customHeight="1">
      <c r="A39" s="76"/>
      <c r="B39" s="105" t="s">
        <v>2087</v>
      </c>
      <c r="C39" s="200">
        <v>25.0</v>
      </c>
      <c r="D39" s="56">
        <f t="shared" si="4"/>
        <v>35</v>
      </c>
      <c r="E39" s="1604"/>
      <c r="F39" s="172" t="s">
        <v>82</v>
      </c>
      <c r="G39" s="102"/>
      <c r="H39" s="920"/>
      <c r="I39" s="1"/>
      <c r="J39" s="1"/>
      <c r="K39" s="1"/>
      <c r="L39" s="1"/>
      <c r="M39" s="1"/>
    </row>
    <row r="40" ht="14.25" customHeight="1">
      <c r="A40" s="1"/>
      <c r="B40" s="119" t="s">
        <v>971</v>
      </c>
      <c r="C40" s="238">
        <v>750.0</v>
      </c>
      <c r="D40" s="542">
        <f t="shared" si="4"/>
        <v>1050</v>
      </c>
      <c r="E40" s="1614"/>
      <c r="F40" s="176" t="s">
        <v>18</v>
      </c>
      <c r="G40" s="1861"/>
      <c r="H40" s="920"/>
      <c r="I40" s="1"/>
      <c r="J40" s="1"/>
      <c r="K40" s="1"/>
      <c r="L40" s="1"/>
      <c r="M40" s="1"/>
    </row>
    <row r="41" ht="14.25" customHeight="1">
      <c r="A41" s="1"/>
      <c r="B41" s="138" t="s">
        <v>1046</v>
      </c>
      <c r="C41" s="279">
        <v>750.0</v>
      </c>
      <c r="D41" s="146">
        <f t="shared" si="4"/>
        <v>1050</v>
      </c>
      <c r="E41" s="1607"/>
      <c r="F41" s="281" t="s">
        <v>18</v>
      </c>
      <c r="G41" s="1862"/>
      <c r="H41" s="920"/>
      <c r="I41" s="1"/>
      <c r="J41" s="1"/>
      <c r="K41" s="1"/>
      <c r="L41" s="1"/>
      <c r="M41" s="1"/>
    </row>
    <row r="42" ht="14.25" customHeight="1">
      <c r="A42" s="1"/>
      <c r="B42" s="68" t="s">
        <v>2089</v>
      </c>
      <c r="C42" s="145">
        <v>12.5</v>
      </c>
      <c r="D42" s="155">
        <f t="shared" si="4"/>
        <v>17.5</v>
      </c>
      <c r="E42" s="899"/>
      <c r="F42" s="137" t="s">
        <v>5</v>
      </c>
      <c r="G42" s="140" t="s">
        <v>2091</v>
      </c>
      <c r="H42" s="920"/>
      <c r="I42" s="1"/>
      <c r="J42" s="1"/>
      <c r="K42" s="1"/>
      <c r="L42" s="1"/>
      <c r="M42" s="1"/>
    </row>
    <row r="43" ht="14.25" customHeight="1">
      <c r="A43" s="193"/>
      <c r="B43" s="93" t="s">
        <v>2093</v>
      </c>
      <c r="C43" s="195">
        <v>18.0</v>
      </c>
      <c r="D43" s="78">
        <f t="shared" si="4"/>
        <v>25.2</v>
      </c>
      <c r="E43" s="900"/>
      <c r="F43" s="165" t="s">
        <v>14</v>
      </c>
      <c r="H43" s="920"/>
      <c r="I43" s="1"/>
      <c r="J43" s="1"/>
      <c r="K43" s="1"/>
      <c r="L43" s="1"/>
      <c r="M43" s="1"/>
    </row>
    <row r="44" ht="14.25" customHeight="1">
      <c r="A44" s="193"/>
      <c r="B44" s="138" t="s">
        <v>17</v>
      </c>
      <c r="C44" s="279">
        <v>100.0</v>
      </c>
      <c r="D44" s="78">
        <f t="shared" si="4"/>
        <v>140</v>
      </c>
      <c r="E44" s="1607"/>
      <c r="F44" s="281" t="s">
        <v>18</v>
      </c>
      <c r="H44" s="920"/>
      <c r="I44" s="1"/>
      <c r="J44" s="1"/>
      <c r="K44" s="1"/>
      <c r="L44" s="1"/>
      <c r="M44" s="1"/>
    </row>
    <row r="45" ht="14.25" customHeight="1">
      <c r="A45" s="193"/>
      <c r="B45" s="105" t="s">
        <v>13</v>
      </c>
      <c r="C45" s="200">
        <v>3.5</v>
      </c>
      <c r="D45" s="56">
        <f t="shared" si="4"/>
        <v>4.9</v>
      </c>
      <c r="E45" s="1604"/>
      <c r="F45" s="172" t="s">
        <v>14</v>
      </c>
      <c r="G45" s="104"/>
      <c r="H45" s="920"/>
      <c r="I45" s="1"/>
      <c r="J45" s="1"/>
      <c r="K45" s="1"/>
      <c r="L45" s="1"/>
      <c r="M45" s="1"/>
    </row>
    <row r="46" ht="14.25" customHeight="1">
      <c r="A46" s="1"/>
      <c r="B46" s="258" t="s">
        <v>119</v>
      </c>
      <c r="C46" s="258" t="s">
        <v>47</v>
      </c>
      <c r="D46" s="184"/>
      <c r="E46" s="184"/>
      <c r="F46" s="108"/>
      <c r="G46" s="1"/>
      <c r="H46" s="920"/>
      <c r="I46" s="1"/>
      <c r="J46" s="1"/>
      <c r="K46" s="1"/>
      <c r="L46" s="1"/>
      <c r="M46" s="1"/>
    </row>
    <row r="47" ht="14.25" customHeight="1">
      <c r="A47" s="1"/>
      <c r="B47" s="1864" t="s">
        <v>2095</v>
      </c>
      <c r="C47" s="18"/>
      <c r="D47" s="19"/>
      <c r="E47" s="1865"/>
      <c r="F47" s="108"/>
      <c r="G47" s="1"/>
      <c r="H47" s="920"/>
      <c r="I47" s="1"/>
      <c r="J47" s="1"/>
      <c r="K47" s="1"/>
      <c r="L47" s="1"/>
      <c r="M47" s="1"/>
    </row>
    <row r="48" ht="14.25" customHeight="1">
      <c r="A48" s="1"/>
      <c r="B48" s="203" t="s">
        <v>49</v>
      </c>
      <c r="C48" s="1188">
        <v>41195.0</v>
      </c>
      <c r="D48" s="184"/>
      <c r="E48" s="184"/>
      <c r="F48" s="108"/>
      <c r="G48" s="1"/>
      <c r="H48" s="920"/>
      <c r="I48" s="1"/>
      <c r="J48" s="1"/>
      <c r="K48" s="1"/>
      <c r="L48" s="1"/>
      <c r="M48" s="1"/>
    </row>
    <row r="49" ht="14.25" customHeight="1">
      <c r="A49" s="1"/>
      <c r="B49" s="342" t="s">
        <v>50</v>
      </c>
      <c r="C49" s="1188">
        <v>41447.0</v>
      </c>
      <c r="D49" s="184"/>
      <c r="E49" s="184"/>
      <c r="F49" s="108"/>
      <c r="G49" s="1"/>
      <c r="H49" s="920"/>
      <c r="I49" s="1"/>
      <c r="J49" s="1"/>
      <c r="K49" s="1"/>
      <c r="L49" s="1"/>
      <c r="M49" s="1"/>
    </row>
    <row r="50" ht="14.25" customHeight="1">
      <c r="A50" s="1"/>
      <c r="B50" s="1"/>
      <c r="C50" s="107"/>
      <c r="D50" s="184"/>
      <c r="E50" s="184"/>
      <c r="F50" s="108"/>
      <c r="G50" s="921"/>
      <c r="H50" s="920"/>
      <c r="I50" s="1"/>
      <c r="J50" s="1"/>
      <c r="K50" s="1"/>
      <c r="L50" s="1"/>
      <c r="M50" s="1"/>
    </row>
    <row r="51" ht="14.25" customHeight="1">
      <c r="A51" s="1"/>
      <c r="B51" s="209" t="s">
        <v>2097</v>
      </c>
      <c r="C51" s="18"/>
      <c r="D51" s="18"/>
      <c r="E51" s="18"/>
      <c r="F51" s="19"/>
      <c r="G51" s="207"/>
      <c r="H51" s="920"/>
      <c r="I51" s="1"/>
      <c r="J51" s="1"/>
      <c r="K51" s="1"/>
      <c r="L51" s="1"/>
      <c r="M51" s="1"/>
    </row>
    <row r="52" ht="14.25" customHeight="1">
      <c r="A52" s="1"/>
      <c r="B52" s="51" t="s">
        <v>2098</v>
      </c>
      <c r="C52" s="190">
        <v>10.0</v>
      </c>
      <c r="D52" s="513">
        <v>1.0</v>
      </c>
      <c r="E52" s="1576"/>
      <c r="F52" s="125" t="s">
        <v>14</v>
      </c>
      <c r="G52" s="1868" t="s">
        <v>2099</v>
      </c>
      <c r="H52" s="920"/>
      <c r="I52" s="1"/>
      <c r="J52" s="1"/>
      <c r="K52" s="1"/>
      <c r="L52" s="1"/>
      <c r="M52" s="1"/>
    </row>
    <row r="53" ht="14.25" customHeight="1">
      <c r="A53" s="1"/>
      <c r="B53" s="68" t="s">
        <v>2102</v>
      </c>
      <c r="C53" s="145">
        <v>12.5</v>
      </c>
      <c r="D53" s="164">
        <f t="shared" ref="D53:D57" si="5">(C53*D52)/C52</f>
        <v>1.25</v>
      </c>
      <c r="E53" s="1731"/>
      <c r="F53" s="137" t="s">
        <v>14</v>
      </c>
      <c r="G53" s="63"/>
      <c r="H53" s="920"/>
      <c r="I53" s="1"/>
      <c r="J53" s="1"/>
      <c r="K53" s="1"/>
      <c r="L53" s="1"/>
      <c r="M53" s="1"/>
    </row>
    <row r="54" ht="14.25" customHeight="1">
      <c r="A54" s="1"/>
      <c r="B54" s="93" t="s">
        <v>743</v>
      </c>
      <c r="C54" s="195">
        <v>1.25</v>
      </c>
      <c r="D54" s="201">
        <f t="shared" si="5"/>
        <v>0.125</v>
      </c>
      <c r="E54" s="1735"/>
      <c r="F54" s="165" t="s">
        <v>5</v>
      </c>
      <c r="G54" s="63"/>
      <c r="H54" s="920"/>
      <c r="I54" s="1"/>
      <c r="J54" s="1"/>
      <c r="K54" s="1"/>
      <c r="L54" s="1"/>
      <c r="M54" s="1"/>
    </row>
    <row r="55" ht="14.25" customHeight="1">
      <c r="A55" s="1"/>
      <c r="B55" s="93" t="s">
        <v>15</v>
      </c>
      <c r="C55" s="195">
        <v>5.0</v>
      </c>
      <c r="D55" s="201">
        <f t="shared" si="5"/>
        <v>0.5</v>
      </c>
      <c r="E55" s="1735"/>
      <c r="F55" s="165" t="s">
        <v>5</v>
      </c>
      <c r="G55" s="63"/>
      <c r="H55" s="920"/>
      <c r="I55" s="1"/>
      <c r="J55" s="1"/>
      <c r="K55" s="1"/>
      <c r="L55" s="1"/>
      <c r="M55" s="1"/>
    </row>
    <row r="56" ht="14.25" customHeight="1">
      <c r="A56" s="1"/>
      <c r="B56" s="93" t="s">
        <v>2104</v>
      </c>
      <c r="C56" s="195">
        <v>1.1</v>
      </c>
      <c r="D56" s="201">
        <f t="shared" si="5"/>
        <v>0.11</v>
      </c>
      <c r="E56" s="1735"/>
      <c r="F56" s="165" t="s">
        <v>14</v>
      </c>
      <c r="G56" s="63"/>
      <c r="H56" s="920"/>
      <c r="I56" s="1"/>
      <c r="J56" s="1"/>
      <c r="K56" s="1"/>
      <c r="L56" s="1"/>
      <c r="M56" s="1"/>
    </row>
    <row r="57" ht="14.25" customHeight="1">
      <c r="A57" s="1"/>
      <c r="B57" s="105" t="s">
        <v>13</v>
      </c>
      <c r="C57" s="200">
        <v>4.8</v>
      </c>
      <c r="D57" s="257">
        <f t="shared" si="5"/>
        <v>0.48</v>
      </c>
      <c r="E57" s="1738"/>
      <c r="F57" s="172" t="s">
        <v>14</v>
      </c>
      <c r="G57" s="63"/>
      <c r="H57" s="920"/>
      <c r="I57" s="1"/>
      <c r="J57" s="1"/>
      <c r="K57" s="1"/>
      <c r="L57" s="1"/>
      <c r="M57" s="1"/>
    </row>
    <row r="58" ht="14.25" customHeight="1">
      <c r="A58" s="1"/>
      <c r="B58" s="149" t="s">
        <v>1</v>
      </c>
      <c r="C58" s="152">
        <v>8.8</v>
      </c>
      <c r="D58" s="274">
        <f>(C58*D56)/C56</f>
        <v>0.88</v>
      </c>
      <c r="E58" s="1690"/>
      <c r="F58" s="156" t="s">
        <v>5</v>
      </c>
      <c r="G58" s="102"/>
      <c r="H58" s="920"/>
      <c r="I58" s="1"/>
      <c r="J58" s="1"/>
      <c r="K58" s="1"/>
      <c r="L58" s="1"/>
      <c r="M58" s="1"/>
    </row>
    <row r="59" ht="14.25" customHeight="1">
      <c r="A59" s="1"/>
      <c r="B59" s="258" t="s">
        <v>119</v>
      </c>
      <c r="C59" s="258" t="s">
        <v>47</v>
      </c>
      <c r="D59" s="184"/>
      <c r="E59" s="184"/>
      <c r="F59" s="108"/>
      <c r="G59" s="1"/>
      <c r="H59" s="920"/>
      <c r="I59" s="1"/>
      <c r="J59" s="1"/>
      <c r="K59" s="1"/>
      <c r="L59" s="1"/>
      <c r="M59" s="1"/>
    </row>
    <row r="60" ht="14.25" customHeight="1">
      <c r="A60" s="1"/>
      <c r="B60" s="1877" t="s">
        <v>2108</v>
      </c>
      <c r="C60" s="5"/>
      <c r="D60" s="6"/>
      <c r="E60" s="1881"/>
      <c r="F60" s="108"/>
      <c r="G60" s="1"/>
      <c r="H60" s="920"/>
      <c r="I60" s="1"/>
      <c r="J60" s="1"/>
      <c r="K60" s="1"/>
      <c r="L60" s="1"/>
      <c r="M60" s="1"/>
    </row>
    <row r="61" ht="14.25" customHeight="1">
      <c r="A61" s="1"/>
      <c r="B61" s="102"/>
      <c r="C61" s="104"/>
      <c r="D61" s="106"/>
      <c r="E61" s="1881"/>
      <c r="F61" s="108"/>
      <c r="G61" s="1"/>
      <c r="H61" s="920"/>
      <c r="I61" s="1"/>
      <c r="J61" s="1"/>
      <c r="K61" s="1"/>
      <c r="L61" s="1"/>
      <c r="M61" s="1"/>
    </row>
    <row r="62" ht="14.25" customHeight="1">
      <c r="A62" s="1"/>
      <c r="B62" s="90" t="s">
        <v>120</v>
      </c>
      <c r="C62" s="187">
        <v>40816.0</v>
      </c>
      <c r="D62" s="184"/>
      <c r="E62" s="184"/>
      <c r="F62" s="108"/>
      <c r="G62" s="1"/>
      <c r="H62" s="920"/>
      <c r="I62" s="1"/>
      <c r="J62" s="1"/>
      <c r="K62" s="1"/>
      <c r="L62" s="1"/>
      <c r="M62" s="1"/>
    </row>
    <row r="63" ht="14.25" customHeight="1">
      <c r="A63" s="1"/>
      <c r="B63" s="305" t="s">
        <v>50</v>
      </c>
      <c r="C63" s="187">
        <v>43333.0</v>
      </c>
      <c r="D63" s="184"/>
      <c r="E63" s="184"/>
      <c r="F63" s="108"/>
      <c r="G63" s="1"/>
      <c r="H63" s="920"/>
      <c r="I63" s="1"/>
      <c r="J63" s="1"/>
      <c r="K63" s="1"/>
      <c r="L63" s="1"/>
      <c r="M63" s="1"/>
    </row>
    <row r="64" ht="14.25" customHeight="1">
      <c r="A64" s="1"/>
      <c r="B64" s="1"/>
      <c r="C64" s="107"/>
      <c r="D64" s="184"/>
      <c r="E64" s="184"/>
      <c r="F64" s="108"/>
      <c r="G64" s="921"/>
      <c r="H64" s="920"/>
      <c r="I64" s="1"/>
      <c r="J64" s="1"/>
      <c r="K64" s="1"/>
      <c r="L64" s="1"/>
      <c r="M64" s="1"/>
    </row>
    <row r="65" ht="19.5" customHeight="1">
      <c r="A65" s="1"/>
      <c r="B65" s="209" t="s">
        <v>564</v>
      </c>
      <c r="C65" s="18"/>
      <c r="D65" s="18"/>
      <c r="E65" s="18"/>
      <c r="F65" s="19"/>
      <c r="G65" s="1882" t="s">
        <v>2119</v>
      </c>
      <c r="H65" s="920"/>
      <c r="I65" s="1"/>
      <c r="J65" s="1"/>
      <c r="K65" s="1"/>
      <c r="L65" s="1"/>
      <c r="M65" s="1"/>
    </row>
    <row r="66" ht="14.25" customHeight="1">
      <c r="A66" s="1"/>
      <c r="B66" s="173" t="s">
        <v>1</v>
      </c>
      <c r="C66" s="275">
        <v>100.0</v>
      </c>
      <c r="D66" s="915">
        <v>70.0</v>
      </c>
      <c r="E66" s="1689"/>
      <c r="F66" s="278" t="s">
        <v>5</v>
      </c>
      <c r="G66" s="63"/>
      <c r="H66" s="920"/>
      <c r="I66" s="1"/>
      <c r="J66" s="1"/>
      <c r="K66" s="1"/>
      <c r="L66" s="1"/>
      <c r="M66" s="1"/>
    </row>
    <row r="67" ht="14.25" customHeight="1">
      <c r="A67" s="1"/>
      <c r="B67" s="51" t="s">
        <v>314</v>
      </c>
      <c r="C67" s="190">
        <v>20.0</v>
      </c>
      <c r="D67" s="513">
        <f t="shared" ref="D67:D75" si="6">(C67*D66)/C66</f>
        <v>14</v>
      </c>
      <c r="E67" s="1576"/>
      <c r="F67" s="125" t="s">
        <v>366</v>
      </c>
      <c r="G67" s="63"/>
      <c r="H67" s="920"/>
      <c r="I67" s="1"/>
      <c r="J67" s="1"/>
      <c r="K67" s="1"/>
      <c r="L67" s="1"/>
      <c r="M67" s="1"/>
    </row>
    <row r="68" ht="14.25" customHeight="1">
      <c r="A68" s="1"/>
      <c r="B68" s="68" t="s">
        <v>140</v>
      </c>
      <c r="C68" s="145">
        <v>5.0</v>
      </c>
      <c r="D68" s="1193">
        <f t="shared" si="6"/>
        <v>3.5</v>
      </c>
      <c r="E68" s="1884"/>
      <c r="F68" s="137" t="s">
        <v>366</v>
      </c>
      <c r="G68" s="63"/>
      <c r="H68" s="920"/>
      <c r="I68" s="1"/>
      <c r="J68" s="1"/>
      <c r="K68" s="1"/>
      <c r="L68" s="1"/>
      <c r="M68" s="1"/>
    </row>
    <row r="69" ht="14.25" customHeight="1">
      <c r="A69" s="1"/>
      <c r="B69" s="93" t="s">
        <v>2122</v>
      </c>
      <c r="C69" s="195">
        <v>15.0</v>
      </c>
      <c r="D69" s="1420">
        <f t="shared" si="6"/>
        <v>10.5</v>
      </c>
      <c r="E69" s="1886"/>
      <c r="F69" s="165" t="s">
        <v>366</v>
      </c>
      <c r="G69" s="102"/>
      <c r="H69" s="920"/>
      <c r="I69" s="1"/>
      <c r="J69" s="1"/>
      <c r="K69" s="1"/>
      <c r="L69" s="1"/>
      <c r="M69" s="1"/>
    </row>
    <row r="70" ht="15.0" customHeight="1">
      <c r="A70" s="1"/>
      <c r="B70" s="68" t="s">
        <v>2132</v>
      </c>
      <c r="C70" s="145">
        <v>18.0</v>
      </c>
      <c r="D70" s="155">
        <f t="shared" si="6"/>
        <v>12.6</v>
      </c>
      <c r="E70" s="899"/>
      <c r="F70" s="137" t="s">
        <v>5</v>
      </c>
      <c r="G70" s="922" t="s">
        <v>2136</v>
      </c>
      <c r="H70" s="920"/>
      <c r="I70" s="1"/>
      <c r="J70" s="1"/>
      <c r="K70" s="1"/>
      <c r="L70" s="1"/>
      <c r="M70" s="1"/>
    </row>
    <row r="71" ht="14.25" customHeight="1">
      <c r="A71" s="1"/>
      <c r="B71" s="138" t="s">
        <v>1132</v>
      </c>
      <c r="C71" s="279">
        <v>500.0</v>
      </c>
      <c r="D71" s="1887">
        <f t="shared" si="6"/>
        <v>350</v>
      </c>
      <c r="E71" s="1889"/>
      <c r="F71" s="281" t="s">
        <v>18</v>
      </c>
      <c r="G71" s="102"/>
      <c r="H71" s="920"/>
      <c r="I71" s="1"/>
      <c r="J71" s="1"/>
      <c r="K71" s="1"/>
      <c r="L71" s="1"/>
      <c r="M71" s="1"/>
    </row>
    <row r="72" ht="14.25" customHeight="1">
      <c r="A72" s="1"/>
      <c r="B72" s="51" t="s">
        <v>59</v>
      </c>
      <c r="C72" s="190">
        <f>+IF(C67&lt;10,2.4*C67,IF(C67&gt;=15,2.15*C67,(2.15+(15-C67)*0.05)*C67))</f>
        <v>43</v>
      </c>
      <c r="D72" s="513">
        <f t="shared" si="6"/>
        <v>30.1</v>
      </c>
      <c r="E72" s="1576"/>
      <c r="F72" s="125" t="s">
        <v>5</v>
      </c>
      <c r="G72" s="194" t="s">
        <v>2144</v>
      </c>
      <c r="H72" s="920"/>
      <c r="I72" s="1"/>
      <c r="J72" s="1"/>
      <c r="K72" s="1"/>
      <c r="L72" s="1"/>
      <c r="M72" s="1"/>
    </row>
    <row r="73" ht="14.25" customHeight="1">
      <c r="A73" s="1"/>
      <c r="B73" s="105" t="s">
        <v>13</v>
      </c>
      <c r="C73" s="200">
        <v>35.0</v>
      </c>
      <c r="D73" s="1897">
        <f t="shared" si="6"/>
        <v>24.5</v>
      </c>
      <c r="E73" s="1898"/>
      <c r="F73" s="172" t="s">
        <v>366</v>
      </c>
      <c r="G73" s="102"/>
      <c r="H73" s="920"/>
      <c r="I73" s="1"/>
      <c r="J73" s="1"/>
      <c r="K73" s="1"/>
      <c r="L73" s="1"/>
      <c r="M73" s="1"/>
    </row>
    <row r="74" ht="14.25" customHeight="1">
      <c r="A74" s="1"/>
      <c r="B74" s="138" t="s">
        <v>2149</v>
      </c>
      <c r="C74" s="279">
        <v>100.0</v>
      </c>
      <c r="D74" s="146">
        <f t="shared" si="6"/>
        <v>70</v>
      </c>
      <c r="E74" s="1607"/>
      <c r="F74" s="281" t="s">
        <v>18</v>
      </c>
      <c r="G74" s="493"/>
      <c r="H74" s="920"/>
      <c r="I74" s="1"/>
      <c r="J74" s="1"/>
      <c r="K74" s="1"/>
      <c r="L74" s="1"/>
      <c r="M74" s="1"/>
    </row>
    <row r="75" ht="14.25" customHeight="1">
      <c r="A75" s="1"/>
      <c r="B75" s="105" t="s">
        <v>2150</v>
      </c>
      <c r="C75" s="200">
        <v>200.0</v>
      </c>
      <c r="D75" s="56">
        <f t="shared" si="6"/>
        <v>140</v>
      </c>
      <c r="E75" s="1604"/>
      <c r="F75" s="172" t="s">
        <v>18</v>
      </c>
      <c r="G75" s="493"/>
      <c r="H75" s="920"/>
      <c r="I75" s="1"/>
      <c r="J75" s="1"/>
      <c r="K75" s="1"/>
      <c r="L75" s="1"/>
      <c r="M75" s="1"/>
    </row>
    <row r="76" ht="14.25" customHeight="1">
      <c r="A76" s="1"/>
      <c r="B76" s="258" t="s">
        <v>119</v>
      </c>
      <c r="C76" s="258" t="s">
        <v>47</v>
      </c>
      <c r="D76" s="184"/>
      <c r="E76" s="184"/>
      <c r="F76" s="108"/>
      <c r="G76" s="1"/>
      <c r="H76" s="920"/>
      <c r="I76" s="1"/>
      <c r="J76" s="1"/>
      <c r="K76" s="1"/>
      <c r="L76" s="1"/>
      <c r="M76" s="1"/>
    </row>
    <row r="77" ht="14.25" customHeight="1">
      <c r="A77" s="1"/>
      <c r="B77" s="90" t="s">
        <v>502</v>
      </c>
      <c r="C77" s="260">
        <v>41833.0</v>
      </c>
      <c r="D77" s="184"/>
      <c r="E77" s="184"/>
      <c r="F77" s="108"/>
      <c r="G77" s="1"/>
      <c r="H77" s="920"/>
      <c r="I77" s="1"/>
      <c r="J77" s="1"/>
      <c r="K77" s="1"/>
      <c r="L77" s="1"/>
      <c r="M77" s="1"/>
    </row>
    <row r="78" ht="14.25" customHeight="1">
      <c r="A78" s="1"/>
      <c r="B78" s="90" t="s">
        <v>50</v>
      </c>
      <c r="C78" s="260">
        <v>41833.0</v>
      </c>
      <c r="D78" s="184"/>
      <c r="E78" s="184"/>
      <c r="F78" s="108"/>
      <c r="G78" s="1"/>
      <c r="H78" s="920"/>
      <c r="I78" s="1"/>
      <c r="J78" s="1"/>
      <c r="K78" s="1"/>
      <c r="L78" s="1"/>
      <c r="M78" s="1"/>
    </row>
    <row r="79" ht="14.25" customHeight="1">
      <c r="A79" s="1"/>
      <c r="B79" s="209" t="s">
        <v>586</v>
      </c>
      <c r="C79" s="18"/>
      <c r="D79" s="18"/>
      <c r="E79" s="18"/>
      <c r="F79" s="19"/>
      <c r="G79" s="1902"/>
      <c r="H79" s="920"/>
      <c r="I79" s="1"/>
      <c r="J79" s="1"/>
      <c r="K79" s="1"/>
      <c r="L79" s="1"/>
      <c r="M79" s="1"/>
    </row>
    <row r="80" ht="14.25" customHeight="1">
      <c r="A80" s="1"/>
      <c r="B80" s="51" t="s">
        <v>1</v>
      </c>
      <c r="C80" s="190">
        <v>100.0</v>
      </c>
      <c r="D80" s="513">
        <v>500.0</v>
      </c>
      <c r="E80" s="1576"/>
      <c r="F80" s="125" t="s">
        <v>5</v>
      </c>
      <c r="G80" s="141"/>
      <c r="H80" s="920"/>
      <c r="I80" s="1"/>
      <c r="J80" s="1"/>
      <c r="K80" s="1"/>
      <c r="L80" s="1"/>
      <c r="M80" s="1"/>
    </row>
    <row r="81" ht="15.0" customHeight="1">
      <c r="A81" s="1"/>
      <c r="B81" s="68" t="s">
        <v>15</v>
      </c>
      <c r="C81" s="145">
        <v>60.0</v>
      </c>
      <c r="D81" s="155">
        <f t="shared" ref="D81:D93" si="7">(C81*D80)/C80</f>
        <v>300</v>
      </c>
      <c r="E81" s="899"/>
      <c r="F81" s="137" t="s">
        <v>5</v>
      </c>
      <c r="G81" s="140" t="s">
        <v>2157</v>
      </c>
      <c r="H81" s="920"/>
      <c r="I81" s="1"/>
      <c r="J81" s="1"/>
      <c r="K81" s="1"/>
      <c r="L81" s="1"/>
      <c r="M81" s="1"/>
    </row>
    <row r="82" ht="14.25" customHeight="1">
      <c r="A82" s="1"/>
      <c r="B82" s="93" t="s">
        <v>2158</v>
      </c>
      <c r="C82" s="1213">
        <v>2.4</v>
      </c>
      <c r="D82" s="78">
        <f t="shared" si="7"/>
        <v>12</v>
      </c>
      <c r="E82" s="900"/>
      <c r="F82" s="165" t="s">
        <v>366</v>
      </c>
      <c r="H82" s="920"/>
      <c r="I82" s="1"/>
      <c r="J82" s="1"/>
      <c r="K82" s="1"/>
      <c r="L82" s="1"/>
      <c r="M82" s="1"/>
    </row>
    <row r="83" ht="14.25" customHeight="1">
      <c r="A83" s="1"/>
      <c r="B83" s="93" t="s">
        <v>147</v>
      </c>
      <c r="C83" s="1213">
        <v>0.6</v>
      </c>
      <c r="D83" s="94">
        <f t="shared" si="7"/>
        <v>3</v>
      </c>
      <c r="E83" s="1586"/>
      <c r="F83" s="165" t="s">
        <v>5</v>
      </c>
      <c r="H83" s="920"/>
      <c r="I83" s="1"/>
      <c r="J83" s="1"/>
      <c r="K83" s="1"/>
      <c r="L83" s="1"/>
      <c r="M83" s="1"/>
    </row>
    <row r="84" ht="14.25" customHeight="1">
      <c r="A84" s="1"/>
      <c r="B84" s="138" t="s">
        <v>13</v>
      </c>
      <c r="C84" s="279">
        <v>15.0</v>
      </c>
      <c r="D84" s="146">
        <f t="shared" si="7"/>
        <v>75</v>
      </c>
      <c r="E84" s="1607"/>
      <c r="F84" s="281" t="s">
        <v>366</v>
      </c>
      <c r="G84" s="104"/>
      <c r="H84" s="920"/>
      <c r="I84" s="1"/>
      <c r="J84" s="1"/>
      <c r="K84" s="1"/>
      <c r="L84" s="1"/>
      <c r="M84" s="1"/>
    </row>
    <row r="85" ht="15.0" customHeight="1">
      <c r="A85" s="1"/>
      <c r="B85" s="68" t="s">
        <v>2159</v>
      </c>
      <c r="C85" s="145">
        <v>1250.0</v>
      </c>
      <c r="D85" s="155">
        <f t="shared" si="7"/>
        <v>6250</v>
      </c>
      <c r="E85" s="899"/>
      <c r="F85" s="137" t="s">
        <v>18</v>
      </c>
      <c r="G85" s="194" t="s">
        <v>2160</v>
      </c>
      <c r="H85" s="920"/>
      <c r="I85" s="1"/>
      <c r="J85" s="1"/>
      <c r="K85" s="1"/>
      <c r="L85" s="1"/>
      <c r="M85" s="1"/>
    </row>
    <row r="86" ht="14.25" customHeight="1">
      <c r="A86" s="1"/>
      <c r="B86" s="138" t="s">
        <v>2161</v>
      </c>
      <c r="C86" s="279">
        <v>250.0</v>
      </c>
      <c r="D86" s="146">
        <f t="shared" si="7"/>
        <v>1250</v>
      </c>
      <c r="E86" s="1607"/>
      <c r="F86" s="281" t="s">
        <v>2162</v>
      </c>
      <c r="G86" s="102"/>
      <c r="H86" s="920"/>
      <c r="I86" s="1"/>
      <c r="J86" s="1"/>
      <c r="K86" s="1"/>
      <c r="L86" s="1"/>
      <c r="M86" s="1"/>
    </row>
    <row r="87" ht="15.0" customHeight="1">
      <c r="A87" s="1"/>
      <c r="B87" s="68" t="s">
        <v>17</v>
      </c>
      <c r="C87" s="145">
        <v>200.0</v>
      </c>
      <c r="D87" s="155">
        <f t="shared" si="7"/>
        <v>1000</v>
      </c>
      <c r="E87" s="899"/>
      <c r="F87" s="137" t="s">
        <v>18</v>
      </c>
      <c r="G87" s="194" t="s">
        <v>2163</v>
      </c>
      <c r="H87" s="920"/>
      <c r="I87" s="1"/>
      <c r="J87" s="1"/>
      <c r="K87" s="1"/>
      <c r="L87" s="1"/>
      <c r="M87" s="1"/>
    </row>
    <row r="88" ht="14.25" customHeight="1">
      <c r="A88" s="1"/>
      <c r="B88" s="93" t="s">
        <v>2165</v>
      </c>
      <c r="C88" s="195">
        <v>20.0</v>
      </c>
      <c r="D88" s="78">
        <f t="shared" si="7"/>
        <v>100</v>
      </c>
      <c r="E88" s="900"/>
      <c r="F88" s="165" t="s">
        <v>5</v>
      </c>
      <c r="G88" s="63"/>
      <c r="H88" s="920"/>
      <c r="I88" s="1"/>
      <c r="J88" s="1"/>
      <c r="K88" s="1"/>
      <c r="L88" s="1"/>
      <c r="M88" s="1"/>
    </row>
    <row r="89" ht="14.25" customHeight="1">
      <c r="A89" s="1"/>
      <c r="B89" s="93" t="s">
        <v>13</v>
      </c>
      <c r="C89" s="195">
        <v>10.0</v>
      </c>
      <c r="D89" s="78">
        <f t="shared" si="7"/>
        <v>50</v>
      </c>
      <c r="E89" s="900"/>
      <c r="F89" s="165" t="s">
        <v>366</v>
      </c>
      <c r="G89" s="63"/>
      <c r="H89" s="920"/>
      <c r="I89" s="1"/>
      <c r="J89" s="1"/>
      <c r="K89" s="1"/>
      <c r="L89" s="1"/>
      <c r="M89" s="1"/>
    </row>
    <row r="90" ht="14.25" customHeight="1">
      <c r="A90" s="1"/>
      <c r="B90" s="105" t="s">
        <v>2167</v>
      </c>
      <c r="C90" s="200">
        <v>40.0</v>
      </c>
      <c r="D90" s="56">
        <f t="shared" si="7"/>
        <v>200</v>
      </c>
      <c r="E90" s="1604"/>
      <c r="F90" s="172" t="s">
        <v>5</v>
      </c>
      <c r="G90" s="102"/>
      <c r="H90" s="920"/>
      <c r="I90" s="1"/>
      <c r="J90" s="1"/>
      <c r="K90" s="1"/>
      <c r="L90" s="1"/>
      <c r="M90" s="1"/>
    </row>
    <row r="91" ht="15.0" customHeight="1">
      <c r="A91" s="1"/>
      <c r="B91" s="119" t="s">
        <v>2168</v>
      </c>
      <c r="C91" s="238">
        <v>6.6</v>
      </c>
      <c r="D91" s="129">
        <f t="shared" si="7"/>
        <v>33</v>
      </c>
      <c r="E91" s="1583"/>
      <c r="F91" s="176" t="s">
        <v>5</v>
      </c>
      <c r="G91" s="140" t="s">
        <v>2169</v>
      </c>
      <c r="H91" s="920"/>
      <c r="I91" s="1"/>
      <c r="J91" s="1"/>
      <c r="K91" s="1"/>
      <c r="L91" s="1"/>
      <c r="M91" s="1"/>
    </row>
    <row r="92" ht="14.25" customHeight="1">
      <c r="A92" s="1"/>
      <c r="B92" s="93" t="s">
        <v>2170</v>
      </c>
      <c r="C92" s="195">
        <v>6.0</v>
      </c>
      <c r="D92" s="78">
        <f t="shared" si="7"/>
        <v>30</v>
      </c>
      <c r="E92" s="900"/>
      <c r="F92" s="165" t="s">
        <v>366</v>
      </c>
      <c r="H92" s="920"/>
      <c r="I92" s="1"/>
      <c r="J92" s="1"/>
      <c r="K92" s="1"/>
      <c r="L92" s="1"/>
      <c r="M92" s="1"/>
    </row>
    <row r="93" ht="14.25" customHeight="1">
      <c r="A93" s="1"/>
      <c r="B93" s="105" t="s">
        <v>2171</v>
      </c>
      <c r="C93" s="200">
        <v>0.6</v>
      </c>
      <c r="D93" s="56">
        <f t="shared" si="7"/>
        <v>3</v>
      </c>
      <c r="E93" s="1604"/>
      <c r="F93" s="172" t="s">
        <v>366</v>
      </c>
      <c r="H93" s="920"/>
      <c r="I93" s="1"/>
      <c r="J93" s="1"/>
      <c r="K93" s="1"/>
      <c r="L93" s="1"/>
      <c r="M93" s="1"/>
    </row>
    <row r="94" ht="14.25" customHeight="1">
      <c r="A94" s="1"/>
      <c r="B94" s="1873" t="s">
        <v>119</v>
      </c>
      <c r="C94" s="258" t="s">
        <v>47</v>
      </c>
      <c r="D94" s="184"/>
      <c r="E94" s="184"/>
      <c r="F94" s="108"/>
      <c r="G94" s="1"/>
      <c r="H94" s="920"/>
      <c r="I94" s="1"/>
      <c r="J94" s="1"/>
      <c r="K94" s="1"/>
      <c r="L94" s="1"/>
      <c r="M94" s="1"/>
    </row>
    <row r="95" ht="15.0" customHeight="1">
      <c r="A95" s="1"/>
      <c r="B95" s="1908" t="s">
        <v>2174</v>
      </c>
      <c r="C95" s="5"/>
      <c r="D95" s="6"/>
      <c r="E95" s="1909"/>
      <c r="F95" s="108"/>
      <c r="G95" s="1"/>
      <c r="H95" s="920"/>
      <c r="I95" s="1"/>
      <c r="J95" s="1"/>
      <c r="K95" s="1"/>
      <c r="L95" s="1"/>
      <c r="M95" s="1"/>
    </row>
    <row r="96" ht="14.25" customHeight="1">
      <c r="A96" s="1"/>
      <c r="B96" s="102"/>
      <c r="C96" s="104"/>
      <c r="D96" s="106"/>
      <c r="E96" s="1909"/>
      <c r="F96" s="108"/>
      <c r="G96" s="1"/>
      <c r="H96" s="920"/>
      <c r="I96" s="1"/>
      <c r="J96" s="1"/>
      <c r="K96" s="1"/>
      <c r="L96" s="1"/>
      <c r="M96" s="1"/>
    </row>
    <row r="97" ht="14.25" customHeight="1">
      <c r="A97" s="1"/>
      <c r="B97" s="550" t="s">
        <v>49</v>
      </c>
      <c r="C97" s="260">
        <v>41159.0</v>
      </c>
      <c r="D97" s="184"/>
      <c r="E97" s="184"/>
      <c r="F97" s="108"/>
      <c r="G97" s="1"/>
      <c r="H97" s="920"/>
      <c r="I97" s="1"/>
      <c r="J97" s="1"/>
      <c r="K97" s="1"/>
      <c r="L97" s="1"/>
      <c r="M97" s="1"/>
    </row>
    <row r="98" ht="14.25" customHeight="1">
      <c r="A98" s="1"/>
      <c r="B98" s="1024" t="s">
        <v>50</v>
      </c>
      <c r="C98" s="260">
        <v>41175.0</v>
      </c>
      <c r="D98" s="184"/>
      <c r="E98" s="184"/>
      <c r="F98" s="108"/>
      <c r="G98" s="1"/>
      <c r="H98" s="1"/>
      <c r="I98" s="1"/>
      <c r="J98" s="1"/>
      <c r="K98" s="1"/>
      <c r="L98" s="1"/>
      <c r="M98" s="1"/>
    </row>
    <row r="99" ht="14.25" customHeight="1">
      <c r="A99" s="1"/>
      <c r="B99" s="1911" t="s">
        <v>2184</v>
      </c>
      <c r="C99" s="104"/>
      <c r="D99" s="104"/>
      <c r="E99" s="104"/>
      <c r="F99" s="104"/>
      <c r="G99" s="1"/>
      <c r="H99" s="1"/>
      <c r="I99" s="1"/>
      <c r="J99" s="1"/>
      <c r="K99" s="1"/>
      <c r="L99" s="1"/>
      <c r="M99" s="1"/>
    </row>
    <row r="100" ht="14.25" customHeight="1">
      <c r="A100" s="1"/>
      <c r="B100" s="209" t="s">
        <v>614</v>
      </c>
      <c r="C100" s="18"/>
      <c r="D100" s="18"/>
      <c r="E100" s="18"/>
      <c r="F100" s="19"/>
      <c r="G100" s="921"/>
      <c r="H100" s="1"/>
      <c r="I100" s="1"/>
      <c r="J100" s="1"/>
      <c r="K100" s="1"/>
      <c r="L100" s="1"/>
      <c r="M100" s="1"/>
    </row>
    <row r="101" ht="14.25" customHeight="1">
      <c r="A101" s="1"/>
      <c r="B101" s="68" t="s">
        <v>1</v>
      </c>
      <c r="C101" s="145">
        <v>100.0</v>
      </c>
      <c r="D101" s="1791">
        <v>237.5</v>
      </c>
      <c r="E101" s="899"/>
      <c r="F101" s="137" t="s">
        <v>5</v>
      </c>
      <c r="G101" s="207"/>
      <c r="H101" s="1"/>
      <c r="I101" s="1"/>
      <c r="J101" s="1"/>
      <c r="K101" s="1"/>
      <c r="L101" s="1"/>
      <c r="M101" s="1"/>
    </row>
    <row r="102" ht="14.25" customHeight="1">
      <c r="A102" s="1"/>
      <c r="B102" s="93" t="s">
        <v>2158</v>
      </c>
      <c r="C102" s="195">
        <v>16.0</v>
      </c>
      <c r="D102" s="78">
        <f t="shared" ref="D102:D103" si="8">(C102*D101)/C101</f>
        <v>38</v>
      </c>
      <c r="E102" s="900"/>
      <c r="F102" s="165" t="s">
        <v>366</v>
      </c>
      <c r="G102" s="1913" t="s">
        <v>2189</v>
      </c>
      <c r="H102" s="1"/>
      <c r="I102" s="1"/>
      <c r="J102" s="1"/>
      <c r="K102" s="1"/>
      <c r="L102" s="1"/>
      <c r="M102" s="1"/>
    </row>
    <row r="103" ht="14.25" customHeight="1">
      <c r="A103" s="1"/>
      <c r="B103" s="93" t="s">
        <v>1739</v>
      </c>
      <c r="C103" s="195">
        <v>13.5</v>
      </c>
      <c r="D103" s="78">
        <f t="shared" si="8"/>
        <v>32.0625</v>
      </c>
      <c r="E103" s="900"/>
      <c r="F103" s="165" t="s">
        <v>366</v>
      </c>
      <c r="G103" s="102"/>
      <c r="H103" s="1"/>
      <c r="I103" s="1"/>
      <c r="J103" s="1"/>
      <c r="K103" s="1"/>
      <c r="L103" s="1"/>
      <c r="M103" s="1"/>
    </row>
    <row r="104" ht="14.25" customHeight="1">
      <c r="A104" s="1"/>
      <c r="B104" s="93" t="s">
        <v>13</v>
      </c>
      <c r="C104" s="195">
        <v>28.5</v>
      </c>
      <c r="D104" s="78">
        <f>(C104*D102)/C102</f>
        <v>67.6875</v>
      </c>
      <c r="E104" s="900"/>
      <c r="F104" s="165" t="s">
        <v>366</v>
      </c>
      <c r="G104" s="1"/>
      <c r="H104" s="1"/>
      <c r="I104" s="1"/>
      <c r="J104" s="1"/>
      <c r="K104" s="1"/>
      <c r="L104" s="1"/>
      <c r="M104" s="1"/>
    </row>
    <row r="105" ht="14.25" customHeight="1">
      <c r="A105" s="1"/>
      <c r="B105" s="262" t="s">
        <v>59</v>
      </c>
      <c r="C105" s="791">
        <f t="shared" ref="C105:D105" si="9">IF(C102&lt;=10, (5-0.1*C102)*C102, 4*C102)</f>
        <v>64</v>
      </c>
      <c r="D105" s="1348">
        <f t="shared" si="9"/>
        <v>152</v>
      </c>
      <c r="E105" s="1915"/>
      <c r="F105" s="793" t="s">
        <v>5</v>
      </c>
      <c r="G105" s="1"/>
      <c r="H105" s="1"/>
      <c r="I105" s="1"/>
      <c r="J105" s="1"/>
      <c r="K105" s="1"/>
      <c r="L105" s="1"/>
      <c r="M105" s="1"/>
    </row>
    <row r="106" ht="14.25" customHeight="1">
      <c r="A106" s="1"/>
      <c r="B106" s="93" t="s">
        <v>2195</v>
      </c>
      <c r="C106" s="195">
        <v>1500.0000000000002</v>
      </c>
      <c r="D106" s="78">
        <f>(C106*D104)/C104</f>
        <v>3562.5</v>
      </c>
      <c r="E106" s="900"/>
      <c r="F106" s="165" t="s">
        <v>18</v>
      </c>
      <c r="G106" s="1"/>
      <c r="H106" s="1"/>
      <c r="I106" s="1"/>
      <c r="J106" s="1"/>
      <c r="K106" s="1"/>
      <c r="L106" s="1"/>
      <c r="M106" s="1"/>
    </row>
    <row r="107" ht="14.25" customHeight="1">
      <c r="A107" s="1"/>
      <c r="B107" s="93" t="s">
        <v>1046</v>
      </c>
      <c r="C107" s="195">
        <v>1500.0000000000002</v>
      </c>
      <c r="D107" s="78">
        <f t="shared" ref="D107:D108" si="10">(C107*D106)/C106</f>
        <v>3562.5</v>
      </c>
      <c r="E107" s="900"/>
      <c r="F107" s="165" t="s">
        <v>18</v>
      </c>
      <c r="G107" s="763"/>
      <c r="H107" s="1"/>
      <c r="I107" s="1"/>
      <c r="J107" s="1"/>
      <c r="K107" s="1"/>
      <c r="L107" s="1"/>
      <c r="M107" s="1"/>
    </row>
    <row r="108" ht="14.25" customHeight="1">
      <c r="A108" s="1"/>
      <c r="B108" s="105" t="s">
        <v>17</v>
      </c>
      <c r="C108" s="200">
        <v>150.00000000000003</v>
      </c>
      <c r="D108" s="56">
        <f t="shared" si="10"/>
        <v>356.25</v>
      </c>
      <c r="E108" s="1604"/>
      <c r="F108" s="172" t="s">
        <v>18</v>
      </c>
      <c r="G108" s="1920"/>
      <c r="H108" s="1"/>
      <c r="I108" s="1"/>
      <c r="J108" s="1"/>
      <c r="K108" s="1"/>
      <c r="L108" s="1"/>
      <c r="M108" s="1"/>
    </row>
    <row r="109" ht="14.25" customHeight="1">
      <c r="A109" s="1"/>
      <c r="B109" s="1640" t="s">
        <v>119</v>
      </c>
      <c r="C109" s="183" t="s">
        <v>47</v>
      </c>
      <c r="D109" s="184"/>
      <c r="E109" s="184"/>
      <c r="F109" s="108"/>
      <c r="G109" s="1"/>
      <c r="H109" s="1"/>
      <c r="I109" s="1"/>
      <c r="J109" s="1"/>
      <c r="K109" s="1"/>
      <c r="L109" s="1"/>
      <c r="M109" s="1"/>
    </row>
    <row r="110" ht="14.25" customHeight="1">
      <c r="A110" s="1"/>
      <c r="B110" s="90" t="s">
        <v>49</v>
      </c>
      <c r="C110" s="260">
        <v>40847.0</v>
      </c>
      <c r="D110" s="184"/>
      <c r="E110" s="184"/>
      <c r="F110" s="108"/>
      <c r="G110" s="1"/>
      <c r="H110" s="1"/>
      <c r="I110" s="1"/>
      <c r="J110" s="1"/>
      <c r="K110" s="1"/>
      <c r="L110" s="1"/>
      <c r="M110" s="1"/>
    </row>
    <row r="111" ht="14.25" customHeight="1">
      <c r="A111" s="1"/>
      <c r="B111" s="90" t="s">
        <v>50</v>
      </c>
      <c r="C111" s="260">
        <v>41816.0</v>
      </c>
      <c r="D111" s="184"/>
      <c r="E111" s="184"/>
      <c r="F111" s="108"/>
      <c r="G111" s="1"/>
      <c r="H111" s="1"/>
      <c r="I111" s="1"/>
      <c r="J111" s="1"/>
      <c r="K111" s="1"/>
      <c r="L111" s="1"/>
      <c r="M111" s="1"/>
    </row>
    <row r="112" ht="14.25" customHeight="1">
      <c r="A112" s="1"/>
      <c r="B112" s="1"/>
      <c r="C112" s="107"/>
      <c r="D112" s="184"/>
      <c r="E112" s="184"/>
      <c r="F112" s="108"/>
      <c r="G112" s="921"/>
      <c r="H112" s="1"/>
      <c r="I112" s="1"/>
      <c r="J112" s="1"/>
      <c r="K112" s="1"/>
      <c r="L112" s="1"/>
      <c r="M112" s="1"/>
    </row>
    <row r="113" ht="14.25" customHeight="1">
      <c r="A113" s="1"/>
      <c r="B113" s="209" t="s">
        <v>976</v>
      </c>
      <c r="C113" s="18"/>
      <c r="D113" s="18"/>
      <c r="E113" s="18"/>
      <c r="F113" s="19"/>
      <c r="G113" s="921"/>
      <c r="H113" s="1"/>
      <c r="I113" s="1"/>
      <c r="J113" s="1"/>
      <c r="K113" s="1"/>
      <c r="L113" s="1"/>
      <c r="M113" s="1"/>
    </row>
    <row r="114" ht="16.5" customHeight="1">
      <c r="A114" s="1"/>
      <c r="B114" s="68" t="s">
        <v>1</v>
      </c>
      <c r="C114" s="145">
        <v>110.0</v>
      </c>
      <c r="D114" s="1791">
        <v>77.0</v>
      </c>
      <c r="E114" s="1927">
        <v>80.0</v>
      </c>
      <c r="F114" s="137" t="s">
        <v>5</v>
      </c>
      <c r="G114" s="1"/>
      <c r="H114" s="1"/>
      <c r="I114" s="1"/>
      <c r="J114" s="1"/>
      <c r="K114" s="1"/>
      <c r="L114" s="1"/>
      <c r="M114" s="1"/>
    </row>
    <row r="115" ht="14.25" customHeight="1">
      <c r="A115" s="1"/>
      <c r="B115" s="93" t="s">
        <v>2158</v>
      </c>
      <c r="C115" s="195">
        <v>16.0</v>
      </c>
      <c r="D115" s="521">
        <f t="shared" ref="D115:D116" si="11">(C115*D114)/C114</f>
        <v>11.2</v>
      </c>
      <c r="E115" s="1653"/>
      <c r="F115" s="165" t="s">
        <v>366</v>
      </c>
      <c r="G115" s="1913" t="s">
        <v>2189</v>
      </c>
      <c r="H115" s="920"/>
      <c r="I115" s="1"/>
      <c r="J115" s="1"/>
      <c r="K115" s="1"/>
      <c r="L115" s="1"/>
      <c r="M115" s="1"/>
    </row>
    <row r="116" ht="14.25" customHeight="1">
      <c r="A116" s="1"/>
      <c r="B116" s="1931" t="s">
        <v>1739</v>
      </c>
      <c r="C116" s="1933">
        <v>13.5</v>
      </c>
      <c r="D116" s="1934">
        <f t="shared" si="11"/>
        <v>9.45</v>
      </c>
      <c r="E116" s="1935"/>
      <c r="F116" s="1936" t="s">
        <v>366</v>
      </c>
      <c r="G116" s="102"/>
      <c r="H116" s="920"/>
      <c r="I116" s="1"/>
      <c r="J116" s="1"/>
      <c r="K116" s="1"/>
      <c r="L116" s="1"/>
      <c r="M116" s="1"/>
    </row>
    <row r="117" ht="15.0" customHeight="1">
      <c r="A117" s="1"/>
      <c r="B117" s="93" t="s">
        <v>13</v>
      </c>
      <c r="C117" s="195">
        <v>28.5</v>
      </c>
      <c r="D117" s="521">
        <f>(C117*D115)/C115</f>
        <v>19.95</v>
      </c>
      <c r="E117" s="1653"/>
      <c r="F117" s="165" t="s">
        <v>366</v>
      </c>
      <c r="G117" s="493"/>
      <c r="H117" s="920"/>
      <c r="I117" s="1"/>
      <c r="J117" s="1"/>
      <c r="K117" s="1"/>
      <c r="L117" s="1"/>
      <c r="M117" s="1"/>
    </row>
    <row r="118" ht="15.75" customHeight="1">
      <c r="A118" s="1"/>
      <c r="B118" s="262" t="s">
        <v>59</v>
      </c>
      <c r="C118" s="791">
        <f t="shared" ref="C118:D118" si="12">IF(C115&lt;=10, (5-0.1*C115)*C115, 4*C115)</f>
        <v>64</v>
      </c>
      <c r="D118" s="1348">
        <f t="shared" si="12"/>
        <v>44.8</v>
      </c>
      <c r="E118" s="1915"/>
      <c r="F118" s="793" t="s">
        <v>5</v>
      </c>
      <c r="G118" s="493"/>
      <c r="H118" s="920"/>
      <c r="I118" s="1"/>
      <c r="J118" s="1"/>
      <c r="K118" s="1"/>
      <c r="L118" s="1"/>
      <c r="M118" s="1"/>
    </row>
    <row r="119" ht="14.25" customHeight="1">
      <c r="A119" s="1"/>
      <c r="B119" s="93" t="s">
        <v>1711</v>
      </c>
      <c r="C119" s="195">
        <v>1500.0000000000002</v>
      </c>
      <c r="D119" s="78">
        <f>(C119*D117)/C117</f>
        <v>1050</v>
      </c>
      <c r="E119" s="900"/>
      <c r="F119" s="165" t="s">
        <v>18</v>
      </c>
      <c r="G119" s="493"/>
      <c r="H119" s="920"/>
      <c r="I119" s="1"/>
      <c r="J119" s="1"/>
      <c r="K119" s="1"/>
      <c r="L119" s="1"/>
      <c r="M119" s="1"/>
    </row>
    <row r="120" ht="14.25" customHeight="1">
      <c r="A120" s="1"/>
      <c r="B120" s="93" t="s">
        <v>1046</v>
      </c>
      <c r="C120" s="195">
        <v>1500.0000000000002</v>
      </c>
      <c r="D120" s="78">
        <f t="shared" ref="D120:D124" si="13">(C120*D119)/C119</f>
        <v>1050</v>
      </c>
      <c r="E120" s="900"/>
      <c r="F120" s="165" t="s">
        <v>18</v>
      </c>
      <c r="G120" s="493"/>
      <c r="H120" s="920"/>
      <c r="I120" s="1"/>
      <c r="J120" s="1"/>
      <c r="K120" s="1"/>
      <c r="L120" s="1"/>
      <c r="M120" s="1"/>
    </row>
    <row r="121" ht="14.25" customHeight="1">
      <c r="A121" s="1"/>
      <c r="B121" s="163" t="s">
        <v>1067</v>
      </c>
      <c r="C121" s="221">
        <v>6.0</v>
      </c>
      <c r="D121" s="1938">
        <f t="shared" si="13"/>
        <v>4.2</v>
      </c>
      <c r="E121" s="1944"/>
      <c r="F121" s="733" t="s">
        <v>18</v>
      </c>
      <c r="G121" s="194" t="s">
        <v>2217</v>
      </c>
      <c r="H121" s="920"/>
      <c r="I121" s="1"/>
      <c r="J121" s="1"/>
      <c r="K121" s="1"/>
      <c r="L121" s="1"/>
      <c r="M121" s="1"/>
    </row>
    <row r="122" ht="14.25" customHeight="1">
      <c r="A122" s="1"/>
      <c r="B122" s="208" t="s">
        <v>1062</v>
      </c>
      <c r="C122" s="236">
        <v>75.0</v>
      </c>
      <c r="D122" s="1947">
        <f t="shared" si="13"/>
        <v>52.5</v>
      </c>
      <c r="E122" s="1948"/>
      <c r="F122" s="1052" t="s">
        <v>82</v>
      </c>
      <c r="G122" s="63"/>
      <c r="H122" s="920"/>
      <c r="I122" s="1"/>
      <c r="J122" s="1"/>
      <c r="K122" s="1"/>
      <c r="L122" s="1"/>
      <c r="M122" s="1"/>
    </row>
    <row r="123" ht="14.25" customHeight="1">
      <c r="A123" s="1"/>
      <c r="B123" s="119" t="s">
        <v>2218</v>
      </c>
      <c r="C123" s="238">
        <v>25.000000000000004</v>
      </c>
      <c r="D123" s="519">
        <f t="shared" si="13"/>
        <v>17.5</v>
      </c>
      <c r="E123" s="1657"/>
      <c r="F123" s="176" t="s">
        <v>9</v>
      </c>
      <c r="G123" s="63"/>
      <c r="H123" s="920"/>
      <c r="I123" s="1"/>
      <c r="J123" s="1"/>
      <c r="K123" s="1"/>
      <c r="L123" s="1"/>
      <c r="M123" s="1"/>
    </row>
    <row r="124" ht="14.25" customHeight="1">
      <c r="A124" s="1"/>
      <c r="B124" s="105" t="s">
        <v>13</v>
      </c>
      <c r="C124" s="200">
        <v>2.5</v>
      </c>
      <c r="D124" s="517">
        <f t="shared" si="13"/>
        <v>1.75</v>
      </c>
      <c r="E124" s="1656"/>
      <c r="F124" s="172" t="s">
        <v>366</v>
      </c>
      <c r="G124" s="102"/>
      <c r="H124" s="920"/>
      <c r="I124" s="1"/>
      <c r="J124" s="1"/>
      <c r="K124" s="1"/>
      <c r="L124" s="1"/>
      <c r="M124" s="1"/>
    </row>
    <row r="125" ht="14.25" customHeight="1">
      <c r="A125" s="1"/>
      <c r="B125" s="258" t="s">
        <v>119</v>
      </c>
      <c r="C125" s="258" t="s">
        <v>47</v>
      </c>
      <c r="D125" s="184"/>
      <c r="E125" s="184"/>
      <c r="F125" s="108"/>
      <c r="G125" s="1952"/>
      <c r="H125" s="920"/>
      <c r="I125" s="1"/>
      <c r="J125" s="1"/>
      <c r="K125" s="1"/>
      <c r="L125" s="1"/>
      <c r="M125" s="1"/>
    </row>
    <row r="126" ht="14.25" customHeight="1">
      <c r="A126" s="1"/>
      <c r="B126" s="90" t="s">
        <v>49</v>
      </c>
      <c r="C126" s="260">
        <v>40847.0</v>
      </c>
      <c r="D126" s="184"/>
      <c r="E126" s="184"/>
      <c r="F126" s="108"/>
      <c r="G126" s="1952"/>
      <c r="H126" s="920"/>
      <c r="I126" s="1"/>
      <c r="J126" s="1"/>
      <c r="K126" s="1"/>
      <c r="L126" s="1"/>
      <c r="M126" s="1"/>
    </row>
    <row r="127" ht="14.25" customHeight="1">
      <c r="A127" s="1"/>
      <c r="B127" s="90" t="s">
        <v>50</v>
      </c>
      <c r="C127" s="260">
        <v>41816.0</v>
      </c>
      <c r="D127" s="184"/>
      <c r="E127" s="184"/>
      <c r="F127" s="108"/>
      <c r="G127" s="1952"/>
      <c r="H127" s="920"/>
      <c r="I127" s="1"/>
      <c r="J127" s="1"/>
      <c r="K127" s="1"/>
      <c r="L127" s="1"/>
      <c r="M127" s="1"/>
    </row>
    <row r="128" ht="14.25" customHeight="1">
      <c r="A128" s="1"/>
      <c r="B128" s="1"/>
      <c r="C128" s="107"/>
      <c r="D128" s="184"/>
      <c r="E128" s="184"/>
      <c r="F128" s="108"/>
      <c r="G128" s="207"/>
      <c r="H128" s="920"/>
      <c r="I128" s="1"/>
      <c r="J128" s="1"/>
      <c r="K128" s="1"/>
      <c r="L128" s="1"/>
      <c r="M128" s="1"/>
    </row>
    <row r="129" ht="14.25" customHeight="1">
      <c r="A129" s="1"/>
      <c r="B129" s="209" t="s">
        <v>2224</v>
      </c>
      <c r="C129" s="18"/>
      <c r="D129" s="18"/>
      <c r="E129" s="18"/>
      <c r="F129" s="19"/>
      <c r="G129" s="207"/>
      <c r="H129" s="920"/>
      <c r="I129" s="1"/>
      <c r="J129" s="1"/>
      <c r="K129" s="1"/>
      <c r="L129" s="1"/>
      <c r="M129" s="1"/>
    </row>
    <row r="130" ht="14.25" customHeight="1">
      <c r="A130" s="1"/>
      <c r="B130" s="251" t="s">
        <v>140</v>
      </c>
      <c r="C130" s="1248">
        <v>10.0</v>
      </c>
      <c r="D130" s="253">
        <v>1.0</v>
      </c>
      <c r="E130" s="1760"/>
      <c r="F130" s="1197" t="s">
        <v>14</v>
      </c>
      <c r="G130" s="1"/>
      <c r="H130" s="920"/>
      <c r="I130" s="1"/>
      <c r="J130" s="1"/>
      <c r="K130" s="1"/>
      <c r="L130" s="1"/>
      <c r="M130" s="1"/>
    </row>
    <row r="131" ht="14.25" customHeight="1">
      <c r="A131" s="1"/>
      <c r="B131" s="1537" t="s">
        <v>743</v>
      </c>
      <c r="C131" s="1954">
        <v>8.0</v>
      </c>
      <c r="D131" s="1956">
        <f t="shared" ref="D131:D139" si="14">(C131*D130)/C130</f>
        <v>0.8</v>
      </c>
      <c r="E131" s="1964"/>
      <c r="F131" s="1965" t="s">
        <v>5</v>
      </c>
      <c r="G131" s="194" t="s">
        <v>2253</v>
      </c>
      <c r="H131" s="920"/>
      <c r="I131" s="1"/>
      <c r="J131" s="1"/>
      <c r="K131" s="1"/>
      <c r="L131" s="1"/>
      <c r="M131" s="1"/>
    </row>
    <row r="132" ht="14.25" customHeight="1">
      <c r="A132" s="1"/>
      <c r="B132" s="1970" t="s">
        <v>743</v>
      </c>
      <c r="C132" s="1971">
        <v>3.0</v>
      </c>
      <c r="D132" s="1972">
        <f t="shared" si="14"/>
        <v>0.3</v>
      </c>
      <c r="E132" s="1973"/>
      <c r="F132" s="1974" t="s">
        <v>5</v>
      </c>
      <c r="G132" s="63"/>
      <c r="H132" s="920"/>
      <c r="I132" s="1"/>
      <c r="J132" s="1"/>
      <c r="K132" s="1"/>
      <c r="L132" s="1"/>
      <c r="M132" s="1"/>
    </row>
    <row r="133" ht="14.25" customHeight="1">
      <c r="A133" s="1"/>
      <c r="B133" s="1975" t="s">
        <v>91</v>
      </c>
      <c r="C133" s="1976">
        <v>3.0</v>
      </c>
      <c r="D133" s="1977">
        <f t="shared" si="14"/>
        <v>0.3</v>
      </c>
      <c r="E133" s="1978"/>
      <c r="F133" s="1979" t="s">
        <v>5</v>
      </c>
      <c r="G133" s="102"/>
      <c r="H133" s="920"/>
      <c r="I133" s="1"/>
      <c r="J133" s="1"/>
      <c r="K133" s="1"/>
      <c r="L133" s="1"/>
      <c r="M133" s="1"/>
    </row>
    <row r="134" ht="14.25" customHeight="1">
      <c r="A134" s="1"/>
      <c r="B134" s="68" t="s">
        <v>1046</v>
      </c>
      <c r="C134" s="1192">
        <v>750.0</v>
      </c>
      <c r="D134" s="155">
        <f t="shared" si="14"/>
        <v>75</v>
      </c>
      <c r="E134" s="899"/>
      <c r="F134" s="137" t="s">
        <v>18</v>
      </c>
      <c r="G134" s="140" t="s">
        <v>2260</v>
      </c>
      <c r="H134" s="920"/>
      <c r="I134" s="1"/>
      <c r="J134" s="1"/>
      <c r="K134" s="1"/>
      <c r="L134" s="1"/>
      <c r="M134" s="1"/>
    </row>
    <row r="135" ht="14.25" customHeight="1">
      <c r="A135" s="1"/>
      <c r="B135" s="1280" t="s">
        <v>2195</v>
      </c>
      <c r="C135" s="1980">
        <v>750.0</v>
      </c>
      <c r="D135" s="1283">
        <f t="shared" si="14"/>
        <v>75</v>
      </c>
      <c r="E135" s="1981"/>
      <c r="F135" s="1284" t="s">
        <v>18</v>
      </c>
      <c r="G135" s="104"/>
      <c r="H135" s="920"/>
      <c r="I135" s="1"/>
      <c r="J135" s="1"/>
      <c r="K135" s="1"/>
      <c r="L135" s="1"/>
      <c r="M135" s="1"/>
    </row>
    <row r="136" ht="14.25" customHeight="1">
      <c r="A136" s="1"/>
      <c r="B136" s="417" t="s">
        <v>1081</v>
      </c>
      <c r="C136" s="418">
        <v>125.0</v>
      </c>
      <c r="D136" s="542">
        <f t="shared" si="14"/>
        <v>12.5</v>
      </c>
      <c r="E136" s="1614"/>
      <c r="F136" s="420" t="s">
        <v>82</v>
      </c>
      <c r="G136" s="207"/>
      <c r="H136" s="920"/>
      <c r="I136" s="1"/>
      <c r="J136" s="1"/>
      <c r="K136" s="1"/>
      <c r="L136" s="1"/>
      <c r="M136" s="1"/>
    </row>
    <row r="137" ht="14.25" customHeight="1">
      <c r="A137" s="1"/>
      <c r="B137" s="68" t="s">
        <v>1079</v>
      </c>
      <c r="C137" s="145">
        <v>100.0</v>
      </c>
      <c r="D137" s="155">
        <f t="shared" si="14"/>
        <v>10</v>
      </c>
      <c r="E137" s="899"/>
      <c r="F137" s="137" t="s">
        <v>82</v>
      </c>
      <c r="G137" s="999" t="s">
        <v>2264</v>
      </c>
      <c r="H137" s="920"/>
      <c r="I137" s="1"/>
      <c r="J137" s="1"/>
      <c r="K137" s="1"/>
      <c r="L137" s="1"/>
      <c r="M137" s="1"/>
    </row>
    <row r="138" ht="14.25" customHeight="1">
      <c r="A138" s="1"/>
      <c r="B138" s="93" t="s">
        <v>80</v>
      </c>
      <c r="C138" s="195">
        <v>20.0</v>
      </c>
      <c r="D138" s="78">
        <f t="shared" si="14"/>
        <v>2</v>
      </c>
      <c r="E138" s="900"/>
      <c r="F138" s="165" t="s">
        <v>14</v>
      </c>
      <c r="H138" s="920"/>
      <c r="I138" s="1"/>
      <c r="J138" s="1"/>
      <c r="K138" s="1"/>
      <c r="L138" s="1"/>
      <c r="M138" s="1"/>
    </row>
    <row r="139" ht="14.25" customHeight="1">
      <c r="A139" s="1"/>
      <c r="B139" s="93" t="s">
        <v>31</v>
      </c>
      <c r="C139" s="195">
        <v>60.0</v>
      </c>
      <c r="D139" s="78">
        <f t="shared" si="14"/>
        <v>6</v>
      </c>
      <c r="E139" s="900"/>
      <c r="F139" s="165" t="s">
        <v>18</v>
      </c>
      <c r="H139" s="920"/>
      <c r="I139" s="1"/>
      <c r="J139" s="1"/>
      <c r="K139" s="1"/>
      <c r="L139" s="1"/>
      <c r="M139" s="1"/>
    </row>
    <row r="140" ht="14.25" customHeight="1">
      <c r="A140" s="1"/>
      <c r="B140" s="93" t="s">
        <v>59</v>
      </c>
      <c r="C140" s="1878">
        <f t="shared" ref="C140:D140" si="15">+IF(C130&lt;10,4*C130,IF(C130&gt;=15,3.5*C130,(3.5+(15-C130)*0.1)*C130))</f>
        <v>40</v>
      </c>
      <c r="D140" s="1420">
        <f t="shared" si="15"/>
        <v>4</v>
      </c>
      <c r="E140" s="1886"/>
      <c r="F140" s="165" t="s">
        <v>5</v>
      </c>
      <c r="H140" s="920"/>
      <c r="I140" s="1"/>
      <c r="J140" s="1"/>
      <c r="K140" s="1"/>
      <c r="L140" s="1"/>
      <c r="M140" s="1"/>
    </row>
    <row r="141" ht="14.25" customHeight="1">
      <c r="A141" s="1"/>
      <c r="B141" s="1986" t="s">
        <v>1054</v>
      </c>
      <c r="C141" s="1987">
        <f t="shared" ref="C141:D141" si="16">+IF(C130&lt;=10,(5+0.1*C130)*C130, 6*C130)</f>
        <v>60</v>
      </c>
      <c r="D141" s="1989">
        <f t="shared" si="16"/>
        <v>5.1</v>
      </c>
      <c r="E141" s="1990"/>
      <c r="F141" s="1991" t="s">
        <v>5</v>
      </c>
      <c r="G141" s="104"/>
      <c r="H141" s="920"/>
      <c r="I141" s="1"/>
      <c r="J141" s="1"/>
      <c r="K141" s="1"/>
      <c r="L141" s="1"/>
      <c r="M141" s="1"/>
    </row>
    <row r="142" ht="14.25" customHeight="1">
      <c r="A142" s="193"/>
      <c r="B142" s="258" t="s">
        <v>119</v>
      </c>
      <c r="C142" s="258" t="s">
        <v>47</v>
      </c>
      <c r="D142" s="184"/>
      <c r="E142" s="184"/>
      <c r="F142" s="108"/>
      <c r="G142" s="1"/>
      <c r="H142" s="920"/>
      <c r="I142" s="1"/>
      <c r="J142" s="1"/>
      <c r="K142" s="1"/>
      <c r="L142" s="1"/>
      <c r="M142" s="1"/>
    </row>
    <row r="143" ht="14.25" customHeight="1">
      <c r="A143" s="1"/>
      <c r="B143" s="90" t="s">
        <v>120</v>
      </c>
      <c r="C143" s="1188">
        <v>40948.0</v>
      </c>
      <c r="D143" s="184"/>
      <c r="E143" s="184"/>
      <c r="F143" s="108"/>
      <c r="G143" s="1"/>
      <c r="H143" s="920"/>
      <c r="I143" s="1"/>
      <c r="J143" s="1"/>
      <c r="K143" s="1"/>
      <c r="L143" s="1"/>
      <c r="M143" s="1"/>
    </row>
    <row r="144" ht="14.25" customHeight="1">
      <c r="A144" s="1"/>
      <c r="B144" s="305" t="s">
        <v>50</v>
      </c>
      <c r="C144" s="804">
        <v>41538.0</v>
      </c>
      <c r="D144" s="184"/>
      <c r="E144" s="184"/>
      <c r="F144" s="108"/>
      <c r="G144" s="1"/>
      <c r="H144" s="920"/>
      <c r="I144" s="1"/>
      <c r="J144" s="1"/>
      <c r="K144" s="1"/>
      <c r="L144" s="1"/>
      <c r="M144" s="1"/>
    </row>
    <row r="145" ht="14.25" customHeight="1">
      <c r="A145" s="1"/>
      <c r="B145" s="1"/>
      <c r="C145" s="107"/>
      <c r="D145" s="184"/>
      <c r="E145" s="184"/>
      <c r="F145" s="108"/>
      <c r="G145" s="921"/>
      <c r="H145" s="920"/>
      <c r="I145" s="1"/>
      <c r="J145" s="1"/>
      <c r="K145" s="1"/>
      <c r="L145" s="1"/>
      <c r="M145" s="1"/>
    </row>
    <row r="146" ht="15.0" customHeight="1">
      <c r="A146" s="1"/>
      <c r="B146" s="209" t="s">
        <v>2278</v>
      </c>
      <c r="C146" s="18"/>
      <c r="D146" s="18"/>
      <c r="E146" s="18"/>
      <c r="F146" s="19"/>
      <c r="G146" s="207"/>
      <c r="H146" s="920"/>
      <c r="I146" s="1"/>
      <c r="J146" s="1"/>
      <c r="K146" s="1"/>
      <c r="L146" s="1"/>
      <c r="M146" s="1"/>
    </row>
    <row r="147" ht="15.75" customHeight="1">
      <c r="A147" s="1"/>
      <c r="B147" s="51" t="s">
        <v>1</v>
      </c>
      <c r="C147" s="190">
        <v>100.0</v>
      </c>
      <c r="D147" s="513">
        <v>60.0</v>
      </c>
      <c r="E147" s="1576"/>
      <c r="F147" s="125" t="s">
        <v>5</v>
      </c>
      <c r="G147" s="207"/>
      <c r="H147" s="920"/>
      <c r="I147" s="1"/>
      <c r="J147" s="1"/>
      <c r="K147" s="1"/>
      <c r="L147" s="1"/>
      <c r="M147" s="1"/>
    </row>
    <row r="148" ht="14.25" customHeight="1">
      <c r="A148" s="1"/>
      <c r="B148" s="68" t="s">
        <v>743</v>
      </c>
      <c r="C148" s="145">
        <v>5.0</v>
      </c>
      <c r="D148" s="164">
        <f t="shared" ref="D148:D157" si="17">(C148*D147)/C147</f>
        <v>3</v>
      </c>
      <c r="E148" s="1731"/>
      <c r="F148" s="137" t="s">
        <v>5</v>
      </c>
      <c r="G148" s="1795" t="s">
        <v>2280</v>
      </c>
      <c r="H148" s="920"/>
      <c r="I148" s="1"/>
      <c r="J148" s="1"/>
      <c r="K148" s="1"/>
      <c r="L148" s="1"/>
      <c r="M148" s="1"/>
    </row>
    <row r="149" ht="14.25" customHeight="1">
      <c r="A149" s="1"/>
      <c r="B149" s="105" t="s">
        <v>140</v>
      </c>
      <c r="C149" s="200">
        <v>15.0</v>
      </c>
      <c r="D149" s="257">
        <f t="shared" si="17"/>
        <v>9</v>
      </c>
      <c r="E149" s="1738"/>
      <c r="F149" s="172" t="s">
        <v>14</v>
      </c>
      <c r="G149" s="102"/>
      <c r="H149" s="920"/>
      <c r="I149" s="1"/>
      <c r="J149" s="1"/>
      <c r="K149" s="1"/>
      <c r="L149" s="1"/>
      <c r="M149" s="1"/>
    </row>
    <row r="150" ht="14.25" customHeight="1">
      <c r="A150" s="1"/>
      <c r="B150" s="119" t="s">
        <v>1138</v>
      </c>
      <c r="C150" s="238">
        <v>1000.0</v>
      </c>
      <c r="D150" s="158">
        <f t="shared" si="17"/>
        <v>600</v>
      </c>
      <c r="E150" s="1998"/>
      <c r="F150" s="176" t="s">
        <v>18</v>
      </c>
      <c r="G150" s="1795"/>
      <c r="H150" s="920"/>
      <c r="I150" s="1"/>
      <c r="J150" s="1"/>
      <c r="K150" s="1"/>
      <c r="L150" s="1"/>
      <c r="M150" s="1"/>
    </row>
    <row r="151" ht="14.25" customHeight="1">
      <c r="A151" s="1"/>
      <c r="B151" s="105" t="s">
        <v>1046</v>
      </c>
      <c r="C151" s="200">
        <v>1000.0</v>
      </c>
      <c r="D151" s="257">
        <f t="shared" si="17"/>
        <v>600</v>
      </c>
      <c r="E151" s="1738"/>
      <c r="F151" s="172" t="s">
        <v>18</v>
      </c>
      <c r="G151" s="102"/>
      <c r="H151" s="920"/>
      <c r="I151" s="1"/>
      <c r="J151" s="1"/>
      <c r="K151" s="1"/>
      <c r="L151" s="1"/>
      <c r="M151" s="1"/>
    </row>
    <row r="152" ht="14.25" customHeight="1">
      <c r="A152" s="1"/>
      <c r="B152" s="68" t="s">
        <v>102</v>
      </c>
      <c r="C152" s="145">
        <v>200.0</v>
      </c>
      <c r="D152" s="155">
        <f t="shared" si="17"/>
        <v>120</v>
      </c>
      <c r="E152" s="899"/>
      <c r="F152" s="137" t="s">
        <v>18</v>
      </c>
      <c r="G152" s="194" t="s">
        <v>2282</v>
      </c>
      <c r="H152" s="920"/>
      <c r="I152" s="1"/>
      <c r="J152" s="1"/>
      <c r="K152" s="1"/>
      <c r="L152" s="1"/>
      <c r="M152" s="1"/>
    </row>
    <row r="153" ht="14.25" customHeight="1">
      <c r="A153" s="1"/>
      <c r="B153" s="93" t="s">
        <v>963</v>
      </c>
      <c r="C153" s="195">
        <v>7.5</v>
      </c>
      <c r="D153" s="129">
        <f t="shared" si="17"/>
        <v>4.5</v>
      </c>
      <c r="E153" s="1583"/>
      <c r="F153" s="165" t="s">
        <v>14</v>
      </c>
      <c r="G153" s="63"/>
      <c r="H153" s="920"/>
      <c r="I153" s="1"/>
      <c r="J153" s="1"/>
      <c r="K153" s="1"/>
      <c r="L153" s="1"/>
      <c r="M153" s="1"/>
    </row>
    <row r="154" ht="14.25" customHeight="1">
      <c r="A154" s="1"/>
      <c r="B154" s="93" t="s">
        <v>858</v>
      </c>
      <c r="C154" s="195">
        <v>30.0</v>
      </c>
      <c r="D154" s="146">
        <f t="shared" si="17"/>
        <v>18</v>
      </c>
      <c r="E154" s="1607"/>
      <c r="F154" s="165" t="s">
        <v>9</v>
      </c>
      <c r="G154" s="63"/>
      <c r="H154" s="920"/>
      <c r="I154" s="1"/>
      <c r="J154" s="1"/>
      <c r="K154" s="1"/>
      <c r="L154" s="1"/>
      <c r="M154" s="1"/>
    </row>
    <row r="155" ht="14.25" customHeight="1">
      <c r="A155" s="1"/>
      <c r="B155" s="138" t="s">
        <v>80</v>
      </c>
      <c r="C155" s="279">
        <v>7.5</v>
      </c>
      <c r="D155" s="146">
        <f t="shared" si="17"/>
        <v>4.5</v>
      </c>
      <c r="E155" s="1607"/>
      <c r="F155" s="281" t="s">
        <v>14</v>
      </c>
      <c r="G155" s="63"/>
      <c r="H155" s="920"/>
      <c r="I155" s="1"/>
      <c r="J155" s="1"/>
      <c r="K155" s="1"/>
      <c r="L155" s="1"/>
      <c r="M155" s="1"/>
    </row>
    <row r="156" ht="14.25" customHeight="1">
      <c r="A156" s="1"/>
      <c r="B156" s="138" t="s">
        <v>34</v>
      </c>
      <c r="C156" s="279">
        <v>5.0</v>
      </c>
      <c r="D156" s="146">
        <f t="shared" si="17"/>
        <v>3</v>
      </c>
      <c r="E156" s="1607"/>
      <c r="F156" s="281" t="s">
        <v>5</v>
      </c>
      <c r="G156" s="102"/>
      <c r="H156" s="920"/>
      <c r="I156" s="1"/>
      <c r="J156" s="1"/>
      <c r="K156" s="1"/>
      <c r="L156" s="1"/>
      <c r="M156" s="1"/>
    </row>
    <row r="157" ht="14.25" customHeight="1">
      <c r="A157" s="1"/>
      <c r="B157" s="68" t="s">
        <v>80</v>
      </c>
      <c r="C157" s="145">
        <v>25.0</v>
      </c>
      <c r="D157" s="155">
        <f t="shared" si="17"/>
        <v>15</v>
      </c>
      <c r="E157" s="899"/>
      <c r="F157" s="137" t="s">
        <v>14</v>
      </c>
      <c r="G157" s="1795" t="s">
        <v>2284</v>
      </c>
      <c r="H157" s="920"/>
      <c r="I157" s="1"/>
      <c r="J157" s="1"/>
      <c r="K157" s="1"/>
      <c r="L157" s="1"/>
      <c r="M157" s="1"/>
    </row>
    <row r="158" ht="14.25" customHeight="1">
      <c r="A158" s="1"/>
      <c r="B158" s="105" t="s">
        <v>157</v>
      </c>
      <c r="C158" s="1879">
        <f t="shared" ref="C158:D158" si="18">+IF(C149&lt;10,3.7*C149,IF(C149&gt;=15,3.2*C149,(3.2+(15-C149)*0.1)*C149))</f>
        <v>48</v>
      </c>
      <c r="D158" s="56">
        <f t="shared" si="18"/>
        <v>33.3</v>
      </c>
      <c r="E158" s="1604"/>
      <c r="F158" s="172" t="s">
        <v>5</v>
      </c>
      <c r="G158" s="102"/>
      <c r="H158" s="920"/>
      <c r="I158" s="1"/>
      <c r="J158" s="1"/>
      <c r="K158" s="1"/>
      <c r="L158" s="1"/>
      <c r="M158" s="1"/>
    </row>
    <row r="159" ht="14.25" customHeight="1">
      <c r="A159" s="1"/>
      <c r="B159" s="258" t="s">
        <v>119</v>
      </c>
      <c r="C159" s="258" t="s">
        <v>47</v>
      </c>
      <c r="D159" s="184"/>
      <c r="E159" s="184"/>
      <c r="F159" s="108"/>
      <c r="G159" s="1"/>
      <c r="H159" s="920"/>
      <c r="I159" s="1"/>
      <c r="J159" s="1"/>
      <c r="K159" s="1"/>
      <c r="L159" s="1"/>
      <c r="M159" s="1"/>
    </row>
    <row r="160" ht="14.25" customHeight="1">
      <c r="A160" s="1"/>
      <c r="B160" s="1270"/>
      <c r="C160" s="1494"/>
      <c r="D160" s="184"/>
      <c r="E160" s="184"/>
      <c r="F160" s="108"/>
      <c r="G160" s="1"/>
      <c r="H160" s="920"/>
      <c r="I160" s="1"/>
      <c r="J160" s="1"/>
      <c r="K160" s="1"/>
      <c r="L160" s="1"/>
      <c r="M160" s="1"/>
    </row>
    <row r="161" ht="14.25" customHeight="1">
      <c r="A161" s="1"/>
      <c r="B161" s="90" t="s">
        <v>120</v>
      </c>
      <c r="C161" s="1188">
        <v>40970.0</v>
      </c>
      <c r="D161" s="184"/>
      <c r="E161" s="184"/>
      <c r="F161" s="108"/>
      <c r="G161" s="1"/>
      <c r="H161" s="920"/>
      <c r="I161" s="1"/>
      <c r="J161" s="1"/>
      <c r="K161" s="1"/>
      <c r="L161" s="1"/>
      <c r="M161" s="1"/>
    </row>
    <row r="162" ht="14.25" customHeight="1">
      <c r="A162" s="1"/>
      <c r="B162" s="305" t="s">
        <v>50</v>
      </c>
      <c r="C162" s="804">
        <v>41539.0</v>
      </c>
      <c r="D162" s="184"/>
      <c r="E162" s="184"/>
      <c r="F162" s="108"/>
      <c r="G162" s="1"/>
      <c r="H162" s="920"/>
      <c r="I162" s="1"/>
      <c r="J162" s="1"/>
      <c r="K162" s="1"/>
      <c r="L162" s="1"/>
      <c r="M162" s="1"/>
    </row>
    <row r="163" ht="14.25" customHeight="1">
      <c r="A163" s="1"/>
      <c r="B163" s="913" t="s">
        <v>774</v>
      </c>
      <c r="C163" s="5"/>
      <c r="D163" s="5"/>
      <c r="E163" s="5"/>
      <c r="F163" s="6"/>
      <c r="G163" s="2005"/>
      <c r="H163" s="920"/>
      <c r="I163" s="1"/>
      <c r="J163" s="1"/>
      <c r="K163" s="1"/>
      <c r="L163" s="1"/>
      <c r="M163" s="1"/>
    </row>
    <row r="164" ht="14.25" customHeight="1">
      <c r="A164" s="1"/>
      <c r="B164" s="51" t="s">
        <v>1</v>
      </c>
      <c r="C164" s="190">
        <v>100.0</v>
      </c>
      <c r="D164" s="513">
        <v>60.0</v>
      </c>
      <c r="E164" s="1576"/>
      <c r="F164" s="125" t="s">
        <v>190</v>
      </c>
      <c r="G164" s="207"/>
      <c r="H164" s="920"/>
      <c r="I164" s="1"/>
      <c r="J164" s="1"/>
      <c r="K164" s="1"/>
      <c r="L164" s="1"/>
      <c r="M164" s="1"/>
    </row>
    <row r="165" ht="14.25" customHeight="1">
      <c r="A165" s="1"/>
      <c r="B165" s="68" t="s">
        <v>2290</v>
      </c>
      <c r="C165" s="145">
        <v>25.0</v>
      </c>
      <c r="D165" s="155">
        <f t="shared" ref="D165:D179" si="19">(C165*D164)/C164</f>
        <v>15</v>
      </c>
      <c r="E165" s="899"/>
      <c r="F165" s="137" t="s">
        <v>14</v>
      </c>
      <c r="G165" s="194" t="s">
        <v>2291</v>
      </c>
      <c r="H165" s="920"/>
      <c r="I165" s="1"/>
      <c r="J165" s="1"/>
      <c r="K165" s="1"/>
      <c r="L165" s="1"/>
      <c r="M165" s="1"/>
    </row>
    <row r="166" ht="14.25" customHeight="1">
      <c r="A166" s="1"/>
      <c r="B166" s="119" t="s">
        <v>2292</v>
      </c>
      <c r="C166" s="238">
        <v>5.0</v>
      </c>
      <c r="D166" s="129">
        <f t="shared" si="19"/>
        <v>3</v>
      </c>
      <c r="E166" s="1583"/>
      <c r="F166" s="176" t="s">
        <v>14</v>
      </c>
      <c r="G166" s="63"/>
      <c r="H166" s="920"/>
      <c r="I166" s="1"/>
      <c r="J166" s="1"/>
      <c r="K166" s="1"/>
      <c r="L166" s="1"/>
      <c r="M166" s="1"/>
    </row>
    <row r="167" ht="14.25" customHeight="1">
      <c r="A167" s="1"/>
      <c r="B167" s="119" t="s">
        <v>164</v>
      </c>
      <c r="C167" s="238">
        <v>7.5</v>
      </c>
      <c r="D167" s="129">
        <f t="shared" si="19"/>
        <v>4.5</v>
      </c>
      <c r="E167" s="1583"/>
      <c r="F167" s="176" t="s">
        <v>14</v>
      </c>
      <c r="G167" s="63"/>
      <c r="H167" s="920"/>
      <c r="I167" s="1"/>
      <c r="J167" s="1"/>
      <c r="K167" s="1"/>
      <c r="L167" s="1"/>
      <c r="M167" s="1"/>
    </row>
    <row r="168" ht="14.25" customHeight="1">
      <c r="A168" s="1"/>
      <c r="B168" s="93" t="s">
        <v>13</v>
      </c>
      <c r="C168" s="195">
        <v>25.0</v>
      </c>
      <c r="D168" s="78">
        <f t="shared" si="19"/>
        <v>15</v>
      </c>
      <c r="E168" s="900"/>
      <c r="F168" s="165" t="s">
        <v>14</v>
      </c>
      <c r="G168" s="63"/>
      <c r="H168" s="920"/>
      <c r="I168" s="1"/>
      <c r="J168" s="1"/>
      <c r="K168" s="1"/>
      <c r="L168" s="1"/>
      <c r="M168" s="1"/>
    </row>
    <row r="169" ht="14.25" customHeight="1">
      <c r="A169" s="1"/>
      <c r="B169" s="2010" t="s">
        <v>17</v>
      </c>
      <c r="C169" s="2012">
        <v>150.0</v>
      </c>
      <c r="D169" s="2014">
        <f t="shared" si="19"/>
        <v>90</v>
      </c>
      <c r="E169" s="2016"/>
      <c r="F169" s="2017" t="s">
        <v>18</v>
      </c>
      <c r="G169" s="63"/>
      <c r="H169" s="920"/>
      <c r="I169" s="1"/>
      <c r="J169" s="1"/>
      <c r="K169" s="1"/>
      <c r="L169" s="1"/>
      <c r="M169" s="1"/>
    </row>
    <row r="170" ht="14.25" customHeight="1">
      <c r="A170" s="1"/>
      <c r="B170" s="2021" t="s">
        <v>1380</v>
      </c>
      <c r="C170" s="2022">
        <v>50.0</v>
      </c>
      <c r="D170" s="2023">
        <f t="shared" si="19"/>
        <v>30</v>
      </c>
      <c r="E170" s="2024"/>
      <c r="F170" s="2026" t="s">
        <v>82</v>
      </c>
      <c r="G170" s="102"/>
      <c r="H170" s="920"/>
      <c r="I170" s="1"/>
      <c r="J170" s="1"/>
      <c r="K170" s="1"/>
      <c r="L170" s="1"/>
      <c r="M170" s="1"/>
    </row>
    <row r="171" ht="14.25" customHeight="1">
      <c r="A171" s="1"/>
      <c r="B171" s="119" t="s">
        <v>1704</v>
      </c>
      <c r="C171" s="238">
        <v>10.0</v>
      </c>
      <c r="D171" s="129">
        <f t="shared" si="19"/>
        <v>6</v>
      </c>
      <c r="E171" s="1583"/>
      <c r="F171" s="176" t="s">
        <v>14</v>
      </c>
      <c r="G171" s="207"/>
      <c r="H171" s="920"/>
      <c r="I171" s="1"/>
      <c r="J171" s="1"/>
      <c r="K171" s="1"/>
      <c r="L171" s="1"/>
      <c r="M171" s="1"/>
    </row>
    <row r="172" ht="14.25" customHeight="1">
      <c r="A172" s="1"/>
      <c r="B172" s="93" t="s">
        <v>2296</v>
      </c>
      <c r="C172" s="195">
        <v>5.0</v>
      </c>
      <c r="D172" s="78">
        <f t="shared" si="19"/>
        <v>3</v>
      </c>
      <c r="E172" s="900"/>
      <c r="F172" s="165" t="s">
        <v>14</v>
      </c>
      <c r="G172" s="207"/>
      <c r="H172" s="920"/>
      <c r="I172" s="1"/>
      <c r="J172" s="1"/>
      <c r="K172" s="1"/>
      <c r="L172" s="1"/>
      <c r="M172" s="1"/>
    </row>
    <row r="173" ht="14.25" customHeight="1">
      <c r="A173" s="1"/>
      <c r="B173" s="93" t="s">
        <v>1705</v>
      </c>
      <c r="C173" s="195">
        <v>5.0</v>
      </c>
      <c r="D173" s="78">
        <f t="shared" si="19"/>
        <v>3</v>
      </c>
      <c r="E173" s="900"/>
      <c r="F173" s="165" t="s">
        <v>14</v>
      </c>
      <c r="G173" s="207"/>
      <c r="H173" s="920"/>
      <c r="I173" s="1"/>
      <c r="J173" s="1"/>
      <c r="K173" s="1"/>
      <c r="L173" s="1"/>
      <c r="M173" s="1"/>
    </row>
    <row r="174" ht="14.25" customHeight="1">
      <c r="A174" s="1"/>
      <c r="B174" s="93" t="s">
        <v>1707</v>
      </c>
      <c r="C174" s="195">
        <v>2.5</v>
      </c>
      <c r="D174" s="78">
        <f t="shared" si="19"/>
        <v>1.5</v>
      </c>
      <c r="E174" s="900"/>
      <c r="F174" s="165" t="s">
        <v>14</v>
      </c>
      <c r="G174" s="207"/>
      <c r="H174" s="920"/>
      <c r="I174" s="1"/>
      <c r="J174" s="1"/>
      <c r="K174" s="1"/>
      <c r="L174" s="1"/>
      <c r="M174" s="1"/>
    </row>
    <row r="175" ht="14.25" customHeight="1">
      <c r="A175" s="1"/>
      <c r="B175" s="93" t="s">
        <v>1708</v>
      </c>
      <c r="C175" s="195">
        <v>10.0</v>
      </c>
      <c r="D175" s="78">
        <f t="shared" si="19"/>
        <v>6</v>
      </c>
      <c r="E175" s="900"/>
      <c r="F175" s="165" t="s">
        <v>14</v>
      </c>
      <c r="G175" s="207"/>
      <c r="H175" s="920"/>
      <c r="I175" s="1"/>
      <c r="J175" s="1"/>
      <c r="K175" s="1"/>
      <c r="L175" s="1"/>
      <c r="M175" s="1"/>
    </row>
    <row r="176" ht="14.25" customHeight="1">
      <c r="A176" s="1"/>
      <c r="B176" s="93" t="s">
        <v>2297</v>
      </c>
      <c r="C176" s="195">
        <v>2.5</v>
      </c>
      <c r="D176" s="78">
        <f t="shared" si="19"/>
        <v>1.5</v>
      </c>
      <c r="E176" s="900"/>
      <c r="F176" s="165" t="s">
        <v>14</v>
      </c>
      <c r="G176" s="207"/>
      <c r="H176" s="920"/>
      <c r="I176" s="1"/>
      <c r="J176" s="1"/>
      <c r="K176" s="1"/>
      <c r="L176" s="1"/>
      <c r="M176" s="1"/>
    </row>
    <row r="177" ht="14.25" customHeight="1">
      <c r="A177" s="1"/>
      <c r="B177" s="138" t="s">
        <v>2298</v>
      </c>
      <c r="C177" s="279">
        <v>2.5</v>
      </c>
      <c r="D177" s="146">
        <f t="shared" si="19"/>
        <v>1.5</v>
      </c>
      <c r="E177" s="1607"/>
      <c r="F177" s="281" t="s">
        <v>14</v>
      </c>
      <c r="G177" s="207"/>
      <c r="H177" s="920"/>
      <c r="I177" s="1"/>
      <c r="J177" s="1"/>
      <c r="K177" s="1"/>
      <c r="L177" s="1"/>
      <c r="M177" s="1"/>
    </row>
    <row r="178" ht="14.25" customHeight="1">
      <c r="A178" s="1"/>
      <c r="B178" s="68" t="s">
        <v>743</v>
      </c>
      <c r="C178" s="145">
        <v>1.0</v>
      </c>
      <c r="D178" s="155">
        <f t="shared" si="19"/>
        <v>0.6</v>
      </c>
      <c r="E178" s="899"/>
      <c r="F178" s="137" t="s">
        <v>190</v>
      </c>
      <c r="G178" s="922" t="s">
        <v>2299</v>
      </c>
      <c r="H178" s="920"/>
      <c r="I178" s="1"/>
      <c r="J178" s="1"/>
      <c r="K178" s="1"/>
      <c r="L178" s="1"/>
      <c r="M178" s="1"/>
    </row>
    <row r="179" ht="14.25" customHeight="1">
      <c r="A179" s="1"/>
      <c r="B179" s="105" t="s">
        <v>1711</v>
      </c>
      <c r="C179" s="200">
        <v>1500.0</v>
      </c>
      <c r="D179" s="56">
        <f t="shared" si="19"/>
        <v>900</v>
      </c>
      <c r="E179" s="1604"/>
      <c r="F179" s="172" t="s">
        <v>18</v>
      </c>
      <c r="G179" s="102"/>
      <c r="H179" s="920"/>
      <c r="I179" s="1"/>
      <c r="J179" s="1"/>
      <c r="K179" s="1"/>
      <c r="L179" s="1"/>
      <c r="M179" s="1"/>
    </row>
    <row r="180" ht="14.25" customHeight="1">
      <c r="A180" s="1"/>
      <c r="B180" s="258" t="s">
        <v>119</v>
      </c>
      <c r="C180" s="258" t="s">
        <v>47</v>
      </c>
      <c r="D180" s="184"/>
      <c r="E180" s="184"/>
      <c r="F180" s="108"/>
      <c r="G180" s="1"/>
      <c r="H180" s="920"/>
      <c r="I180" s="1"/>
      <c r="J180" s="1"/>
      <c r="K180" s="1"/>
      <c r="L180" s="1"/>
      <c r="M180" s="1"/>
    </row>
    <row r="181" ht="14.25" customHeight="1">
      <c r="A181" s="1"/>
      <c r="B181" s="90" t="s">
        <v>120</v>
      </c>
      <c r="C181" s="187">
        <v>41182.0</v>
      </c>
      <c r="D181" s="184"/>
      <c r="E181" s="184"/>
      <c r="F181" s="108"/>
      <c r="G181" s="1"/>
      <c r="H181" s="920"/>
      <c r="I181" s="1"/>
      <c r="J181" s="1"/>
      <c r="K181" s="1"/>
      <c r="L181" s="1"/>
      <c r="M181" s="1"/>
    </row>
    <row r="182" ht="14.25" customHeight="1">
      <c r="A182" s="1"/>
      <c r="B182" s="305" t="s">
        <v>50</v>
      </c>
      <c r="C182" s="1904">
        <v>41565.0</v>
      </c>
      <c r="D182" s="184"/>
      <c r="E182" s="184"/>
      <c r="F182" s="108"/>
      <c r="G182" s="1"/>
      <c r="H182" s="920"/>
      <c r="I182" s="1"/>
      <c r="J182" s="1"/>
      <c r="K182" s="1"/>
      <c r="L182" s="1"/>
      <c r="M182" s="1"/>
    </row>
    <row r="183" ht="14.25" customHeight="1">
      <c r="A183" s="1"/>
      <c r="B183" s="1"/>
      <c r="C183" s="107"/>
      <c r="D183" s="184"/>
      <c r="E183" s="184"/>
      <c r="F183" s="108"/>
      <c r="G183" s="1"/>
      <c r="H183" s="920"/>
      <c r="I183" s="1"/>
      <c r="J183" s="1"/>
      <c r="K183" s="1"/>
      <c r="L183" s="1"/>
      <c r="M183" s="1"/>
    </row>
    <row r="184" ht="14.25" customHeight="1">
      <c r="A184" s="1"/>
      <c r="B184" s="2037">
        <v>20.0</v>
      </c>
      <c r="C184" s="18"/>
      <c r="D184" s="18"/>
      <c r="E184" s="18"/>
      <c r="F184" s="19"/>
      <c r="G184" s="2038"/>
      <c r="H184" s="920"/>
      <c r="I184" s="1"/>
      <c r="J184" s="1"/>
      <c r="K184" s="1"/>
      <c r="L184" s="1"/>
      <c r="M184" s="1"/>
    </row>
    <row r="185" ht="14.25" customHeight="1">
      <c r="A185" s="1"/>
      <c r="B185" s="2039" t="s">
        <v>1</v>
      </c>
      <c r="C185" s="418">
        <v>80.0</v>
      </c>
      <c r="D185" s="886">
        <v>50.0</v>
      </c>
      <c r="E185" s="1709"/>
      <c r="F185" s="420" t="s">
        <v>5</v>
      </c>
      <c r="G185" s="194" t="s">
        <v>2307</v>
      </c>
      <c r="H185" s="920"/>
      <c r="I185" s="1"/>
      <c r="J185" s="1"/>
      <c r="K185" s="1"/>
      <c r="L185" s="1"/>
      <c r="M185" s="1"/>
    </row>
    <row r="186" ht="14.25" customHeight="1">
      <c r="A186" s="1"/>
      <c r="B186" s="173" t="s">
        <v>2309</v>
      </c>
      <c r="C186" s="275">
        <v>8.05</v>
      </c>
      <c r="D186" s="546">
        <f t="shared" ref="D186:D191" si="20">(C186*D185)/C185</f>
        <v>5.03125</v>
      </c>
      <c r="E186" s="1808"/>
      <c r="F186" s="2042" t="s">
        <v>366</v>
      </c>
      <c r="G186" s="102"/>
      <c r="H186" s="920"/>
      <c r="I186" s="1"/>
      <c r="J186" s="1"/>
      <c r="K186" s="1"/>
      <c r="L186" s="1"/>
      <c r="M186" s="1"/>
    </row>
    <row r="187" ht="14.25" customHeight="1">
      <c r="A187" s="1"/>
      <c r="B187" s="119" t="s">
        <v>2314</v>
      </c>
      <c r="C187" s="982">
        <v>24.5</v>
      </c>
      <c r="D187" s="129">
        <f t="shared" si="20"/>
        <v>15.3125</v>
      </c>
      <c r="E187" s="1583"/>
      <c r="F187" s="2046" t="s">
        <v>5</v>
      </c>
      <c r="G187" s="194" t="s">
        <v>2318</v>
      </c>
      <c r="H187" s="920"/>
      <c r="I187" s="1"/>
      <c r="J187" s="1"/>
      <c r="K187" s="1"/>
      <c r="L187" s="1"/>
      <c r="M187" s="1"/>
    </row>
    <row r="188" ht="14.25" customHeight="1">
      <c r="A188" s="1"/>
      <c r="B188" s="93" t="s">
        <v>13</v>
      </c>
      <c r="C188" s="195">
        <v>12.6</v>
      </c>
      <c r="D188" s="521">
        <f t="shared" si="20"/>
        <v>7.875</v>
      </c>
      <c r="E188" s="1653"/>
      <c r="F188" s="738" t="s">
        <v>366</v>
      </c>
      <c r="G188" s="63"/>
      <c r="H188" s="920"/>
      <c r="I188" s="1"/>
      <c r="J188" s="1"/>
      <c r="K188" s="1"/>
      <c r="L188" s="1"/>
      <c r="M188" s="1"/>
    </row>
    <row r="189" ht="14.25" customHeight="1">
      <c r="A189" s="1"/>
      <c r="B189" s="93" t="s">
        <v>2320</v>
      </c>
      <c r="C189" s="195">
        <v>15.399999999999999</v>
      </c>
      <c r="D189" s="521">
        <f t="shared" si="20"/>
        <v>9.625</v>
      </c>
      <c r="E189" s="1653"/>
      <c r="F189" s="738" t="s">
        <v>366</v>
      </c>
      <c r="G189" s="63"/>
      <c r="H189" s="920"/>
      <c r="I189" s="1"/>
      <c r="J189" s="1"/>
      <c r="K189" s="1"/>
      <c r="L189" s="1"/>
      <c r="M189" s="1"/>
    </row>
    <row r="190" ht="14.25" customHeight="1">
      <c r="A190" s="1"/>
      <c r="B190" s="93" t="s">
        <v>2322</v>
      </c>
      <c r="C190" s="195">
        <v>3.5</v>
      </c>
      <c r="D190" s="78">
        <f t="shared" si="20"/>
        <v>2.1875</v>
      </c>
      <c r="E190" s="900"/>
      <c r="F190" s="738" t="s">
        <v>366</v>
      </c>
      <c r="G190" s="63"/>
      <c r="H190" s="920"/>
      <c r="I190" s="1"/>
      <c r="J190" s="1"/>
      <c r="K190" s="1"/>
      <c r="L190" s="1"/>
      <c r="M190" s="1"/>
    </row>
    <row r="191" ht="14.25" customHeight="1">
      <c r="A191" s="1"/>
      <c r="B191" s="93" t="s">
        <v>2327</v>
      </c>
      <c r="C191" s="195">
        <v>3.5</v>
      </c>
      <c r="D191" s="78">
        <f t="shared" si="20"/>
        <v>2.1875</v>
      </c>
      <c r="E191" s="900"/>
      <c r="F191" s="738" t="s">
        <v>14</v>
      </c>
      <c r="G191" s="63"/>
      <c r="H191" s="920"/>
      <c r="I191" s="1"/>
      <c r="J191" s="1"/>
      <c r="K191" s="1"/>
      <c r="L191" s="1"/>
      <c r="M191" s="1"/>
    </row>
    <row r="192" ht="14.25" customHeight="1">
      <c r="A192" s="1"/>
      <c r="B192" s="93" t="s">
        <v>2328</v>
      </c>
      <c r="C192" s="195">
        <v>70.0</v>
      </c>
      <c r="D192" s="78">
        <f t="shared" ref="D192:D193" si="21">(C192*D190)/C190</f>
        <v>43.75</v>
      </c>
      <c r="E192" s="900"/>
      <c r="F192" s="738" t="s">
        <v>9</v>
      </c>
      <c r="G192" s="63"/>
      <c r="H192" s="920"/>
      <c r="I192" s="1"/>
      <c r="J192" s="1"/>
      <c r="K192" s="1"/>
      <c r="L192" s="1"/>
      <c r="M192" s="1"/>
    </row>
    <row r="193" ht="14.25" customHeight="1">
      <c r="A193" s="1"/>
      <c r="B193" s="93" t="s">
        <v>2329</v>
      </c>
      <c r="C193" s="195">
        <v>18.0</v>
      </c>
      <c r="D193" s="78">
        <f t="shared" si="21"/>
        <v>11.25</v>
      </c>
      <c r="E193" s="900"/>
      <c r="F193" s="738" t="s">
        <v>14</v>
      </c>
      <c r="G193" s="63"/>
      <c r="H193" s="920"/>
      <c r="I193" s="1"/>
      <c r="J193" s="1"/>
      <c r="K193" s="1"/>
      <c r="L193" s="1"/>
      <c r="M193" s="1"/>
    </row>
    <row r="194" ht="14.25" customHeight="1">
      <c r="A194" s="1"/>
      <c r="B194" s="93" t="s">
        <v>350</v>
      </c>
      <c r="C194" s="195">
        <v>1.75</v>
      </c>
      <c r="D194" s="78">
        <f t="shared" ref="D194:D199" si="22">(C194*D193)/C193</f>
        <v>1.09375</v>
      </c>
      <c r="E194" s="900"/>
      <c r="F194" s="738" t="s">
        <v>366</v>
      </c>
      <c r="G194" s="63"/>
      <c r="H194" s="920"/>
      <c r="I194" s="1"/>
      <c r="J194" s="1"/>
      <c r="K194" s="1"/>
      <c r="L194" s="1"/>
      <c r="M194" s="1"/>
    </row>
    <row r="195" ht="14.25" customHeight="1">
      <c r="A195" s="1"/>
      <c r="B195" s="93" t="s">
        <v>2333</v>
      </c>
      <c r="C195" s="195">
        <v>7.0</v>
      </c>
      <c r="D195" s="78">
        <f t="shared" si="22"/>
        <v>4.375</v>
      </c>
      <c r="E195" s="900"/>
      <c r="F195" s="738" t="s">
        <v>2334</v>
      </c>
      <c r="G195" s="63"/>
      <c r="H195" s="920"/>
      <c r="I195" s="1"/>
      <c r="J195" s="1"/>
      <c r="K195" s="1"/>
      <c r="L195" s="1"/>
      <c r="M195" s="1"/>
    </row>
    <row r="196" ht="14.25" customHeight="1">
      <c r="A196" s="1"/>
      <c r="B196" s="105" t="s">
        <v>17</v>
      </c>
      <c r="C196" s="980">
        <v>52.5</v>
      </c>
      <c r="D196" s="56">
        <f t="shared" si="22"/>
        <v>32.8125</v>
      </c>
      <c r="E196" s="1604"/>
      <c r="F196" s="2059" t="s">
        <v>18</v>
      </c>
      <c r="G196" s="102"/>
      <c r="H196" s="920"/>
      <c r="I196" s="1"/>
      <c r="J196" s="1"/>
      <c r="K196" s="1"/>
      <c r="L196" s="1"/>
      <c r="M196" s="1"/>
    </row>
    <row r="197" ht="15.0" customHeight="1">
      <c r="A197" s="1"/>
      <c r="B197" s="119" t="s">
        <v>2336</v>
      </c>
      <c r="C197" s="238">
        <v>1.4</v>
      </c>
      <c r="D197" s="129">
        <f t="shared" si="22"/>
        <v>0.875</v>
      </c>
      <c r="E197" s="1583"/>
      <c r="F197" s="2046" t="s">
        <v>5</v>
      </c>
      <c r="G197" s="493"/>
      <c r="H197" s="920"/>
      <c r="I197" s="1"/>
      <c r="J197" s="1"/>
      <c r="K197" s="1"/>
      <c r="L197" s="1"/>
      <c r="M197" s="1"/>
    </row>
    <row r="198" ht="14.25" customHeight="1">
      <c r="A198" s="1"/>
      <c r="B198" s="93" t="s">
        <v>2339</v>
      </c>
      <c r="C198" s="195">
        <v>1400.0</v>
      </c>
      <c r="D198" s="78">
        <f t="shared" si="22"/>
        <v>875</v>
      </c>
      <c r="E198" s="900"/>
      <c r="F198" s="738" t="s">
        <v>18</v>
      </c>
      <c r="G198" s="493"/>
      <c r="H198" s="920"/>
      <c r="I198" s="1"/>
      <c r="J198" s="1"/>
      <c r="K198" s="1"/>
      <c r="L198" s="1"/>
      <c r="M198" s="1"/>
    </row>
    <row r="199" ht="14.25" customHeight="1">
      <c r="A199" s="1"/>
      <c r="B199" s="105" t="s">
        <v>2342</v>
      </c>
      <c r="C199" s="200">
        <v>2100.0</v>
      </c>
      <c r="D199" s="56">
        <f t="shared" si="22"/>
        <v>1312.5</v>
      </c>
      <c r="E199" s="1604"/>
      <c r="F199" s="2059" t="s">
        <v>18</v>
      </c>
      <c r="G199" s="925"/>
      <c r="H199" s="920"/>
      <c r="I199" s="1"/>
      <c r="J199" s="1"/>
      <c r="K199" s="1"/>
      <c r="L199" s="1"/>
      <c r="M199" s="1"/>
    </row>
    <row r="200" ht="14.25" customHeight="1">
      <c r="A200" s="1"/>
      <c r="B200" s="258" t="s">
        <v>119</v>
      </c>
      <c r="C200" s="258" t="s">
        <v>47</v>
      </c>
      <c r="D200" s="184"/>
      <c r="E200" s="184"/>
      <c r="F200" s="108"/>
      <c r="G200" s="1"/>
      <c r="H200" s="920"/>
      <c r="I200" s="1"/>
      <c r="J200" s="1"/>
      <c r="K200" s="1"/>
      <c r="L200" s="1"/>
      <c r="M200" s="1"/>
    </row>
    <row r="201" ht="14.25" customHeight="1">
      <c r="A201" s="1"/>
      <c r="B201" s="90" t="s">
        <v>120</v>
      </c>
      <c r="C201" s="187">
        <v>42893.0</v>
      </c>
      <c r="D201" s="184"/>
      <c r="E201" s="184"/>
      <c r="F201" s="108"/>
      <c r="G201" s="1"/>
      <c r="H201" s="920"/>
      <c r="I201" s="1"/>
      <c r="J201" s="1"/>
      <c r="K201" s="1"/>
      <c r="L201" s="1"/>
      <c r="M201" s="1"/>
    </row>
    <row r="202" ht="14.25" customHeight="1">
      <c r="A202" s="1"/>
      <c r="B202" s="305" t="s">
        <v>50</v>
      </c>
      <c r="C202" s="187">
        <v>42893.0</v>
      </c>
      <c r="D202" s="184"/>
      <c r="E202" s="184"/>
      <c r="F202" s="108"/>
      <c r="G202" s="1"/>
      <c r="H202" s="920"/>
      <c r="I202" s="1"/>
      <c r="J202" s="1"/>
      <c r="K202" s="1"/>
      <c r="L202" s="1"/>
      <c r="M202" s="1"/>
    </row>
    <row r="203" ht="14.25" customHeight="1">
      <c r="A203" s="1"/>
      <c r="B203" s="1"/>
      <c r="C203" s="107"/>
      <c r="D203" s="184"/>
      <c r="E203" s="184"/>
      <c r="F203" s="108"/>
      <c r="G203" s="1"/>
      <c r="H203" s="920"/>
      <c r="I203" s="1"/>
      <c r="J203" s="1"/>
      <c r="K203" s="1"/>
      <c r="L203" s="1"/>
      <c r="M203" s="1"/>
    </row>
    <row r="204" ht="14.25" customHeight="1">
      <c r="A204" s="1"/>
      <c r="B204" s="511" t="s">
        <v>2346</v>
      </c>
      <c r="C204" s="18"/>
      <c r="D204" s="18"/>
      <c r="E204" s="18"/>
      <c r="F204" s="19"/>
      <c r="G204" s="921"/>
      <c r="H204" s="920"/>
      <c r="I204" s="1"/>
      <c r="J204" s="1"/>
      <c r="K204" s="1"/>
      <c r="L204" s="1"/>
      <c r="M204" s="1"/>
    </row>
    <row r="205" ht="15.0" customHeight="1">
      <c r="A205" s="1"/>
      <c r="B205" s="2039" t="s">
        <v>1</v>
      </c>
      <c r="C205" s="418">
        <v>175.0</v>
      </c>
      <c r="D205" s="886">
        <v>17.0</v>
      </c>
      <c r="E205" s="1614"/>
      <c r="F205" s="420" t="s">
        <v>5</v>
      </c>
      <c r="G205" s="194" t="s">
        <v>2307</v>
      </c>
      <c r="H205" s="920"/>
      <c r="I205" s="1"/>
      <c r="J205" s="1"/>
      <c r="K205" s="1"/>
      <c r="L205" s="1"/>
      <c r="M205" s="1"/>
    </row>
    <row r="206" ht="15.0" customHeight="1">
      <c r="A206" s="1"/>
      <c r="B206" s="51" t="s">
        <v>2309</v>
      </c>
      <c r="C206" s="190">
        <v>15.4</v>
      </c>
      <c r="D206" s="548">
        <f t="shared" ref="D206:D222" si="23">(C206*D205)/C205</f>
        <v>1.496</v>
      </c>
      <c r="E206" s="1651"/>
      <c r="F206" s="1275" t="s">
        <v>366</v>
      </c>
      <c r="G206" s="102"/>
      <c r="H206" s="920"/>
      <c r="I206" s="1"/>
      <c r="J206" s="1"/>
      <c r="K206" s="1"/>
      <c r="L206" s="1"/>
      <c r="M206" s="1"/>
    </row>
    <row r="207" ht="15.0" customHeight="1">
      <c r="A207" s="1"/>
      <c r="B207" s="51" t="s">
        <v>2352</v>
      </c>
      <c r="C207" s="190">
        <v>25.2</v>
      </c>
      <c r="D207" s="548">
        <f t="shared" si="23"/>
        <v>2.448</v>
      </c>
      <c r="E207" s="1651"/>
      <c r="F207" s="1275" t="s">
        <v>5</v>
      </c>
      <c r="G207" s="1861"/>
      <c r="H207" s="920"/>
      <c r="I207" s="1"/>
      <c r="J207" s="1"/>
      <c r="K207" s="1"/>
      <c r="L207" s="1"/>
      <c r="M207" s="1"/>
    </row>
    <row r="208" ht="15.0" customHeight="1">
      <c r="A208" s="1"/>
      <c r="B208" s="2066" t="s">
        <v>15</v>
      </c>
      <c r="C208" s="2069">
        <v>42.0</v>
      </c>
      <c r="D208" s="2070">
        <f t="shared" si="23"/>
        <v>4.08</v>
      </c>
      <c r="E208" s="2071"/>
      <c r="F208" s="2073" t="s">
        <v>5</v>
      </c>
      <c r="G208" s="194" t="s">
        <v>2355</v>
      </c>
      <c r="H208" s="920"/>
      <c r="I208" s="1"/>
      <c r="J208" s="1"/>
      <c r="K208" s="1"/>
      <c r="L208" s="1"/>
      <c r="M208" s="1"/>
    </row>
    <row r="209" ht="15.0" customHeight="1">
      <c r="A209" s="1"/>
      <c r="B209" s="1343" t="s">
        <v>2359</v>
      </c>
      <c r="C209" s="2076">
        <v>21.0</v>
      </c>
      <c r="D209" s="2077">
        <f t="shared" si="23"/>
        <v>2.04</v>
      </c>
      <c r="E209" s="2078"/>
      <c r="F209" s="2079" t="s">
        <v>5</v>
      </c>
      <c r="G209" s="63"/>
      <c r="H209" s="920"/>
      <c r="I209" s="1"/>
      <c r="J209" s="1"/>
      <c r="K209" s="1"/>
      <c r="L209" s="1"/>
      <c r="M209" s="1"/>
    </row>
    <row r="210" ht="15.0" customHeight="1">
      <c r="A210" s="1"/>
      <c r="B210" s="119" t="s">
        <v>13</v>
      </c>
      <c r="C210" s="238">
        <v>25.2</v>
      </c>
      <c r="D210" s="519">
        <f t="shared" si="23"/>
        <v>2.448</v>
      </c>
      <c r="E210" s="1657"/>
      <c r="F210" s="2046" t="s">
        <v>366</v>
      </c>
      <c r="G210" s="63"/>
      <c r="H210" s="920"/>
      <c r="I210" s="1"/>
      <c r="J210" s="1"/>
      <c r="K210" s="1"/>
      <c r="L210" s="1"/>
      <c r="M210" s="1"/>
    </row>
    <row r="211" ht="15.0" customHeight="1">
      <c r="A211" s="1"/>
      <c r="B211" s="93" t="s">
        <v>2320</v>
      </c>
      <c r="C211" s="195">
        <v>30.799999999999997</v>
      </c>
      <c r="D211" s="521">
        <f t="shared" si="23"/>
        <v>2.992</v>
      </c>
      <c r="E211" s="1653"/>
      <c r="F211" s="738" t="s">
        <v>366</v>
      </c>
      <c r="G211" s="63"/>
      <c r="H211" s="920"/>
      <c r="I211" s="1"/>
      <c r="J211" s="1"/>
      <c r="K211" s="1"/>
      <c r="L211" s="1"/>
      <c r="M211" s="1"/>
    </row>
    <row r="212" ht="15.0" customHeight="1">
      <c r="A212" s="1"/>
      <c r="B212" s="93" t="s">
        <v>2322</v>
      </c>
      <c r="C212" s="195">
        <v>7.0</v>
      </c>
      <c r="D212" s="78">
        <f t="shared" si="23"/>
        <v>0.68</v>
      </c>
      <c r="E212" s="900"/>
      <c r="F212" s="738" t="s">
        <v>366</v>
      </c>
      <c r="G212" s="63"/>
      <c r="H212" s="920"/>
      <c r="I212" s="1"/>
      <c r="J212" s="1"/>
      <c r="K212" s="1"/>
      <c r="L212" s="1"/>
      <c r="M212" s="1"/>
    </row>
    <row r="213" ht="15.0" customHeight="1">
      <c r="A213" s="1"/>
      <c r="B213" s="93" t="s">
        <v>11</v>
      </c>
      <c r="C213" s="195">
        <v>35.0</v>
      </c>
      <c r="D213" s="78">
        <f t="shared" si="23"/>
        <v>3.4</v>
      </c>
      <c r="E213" s="900"/>
      <c r="F213" s="738" t="s">
        <v>5</v>
      </c>
      <c r="G213" s="63"/>
      <c r="H213" s="920"/>
      <c r="I213" s="1"/>
      <c r="J213" s="1"/>
      <c r="K213" s="1"/>
      <c r="L213" s="1"/>
      <c r="M213" s="1"/>
    </row>
    <row r="214" ht="15.0" customHeight="1">
      <c r="A214" s="1"/>
      <c r="B214" s="93" t="s">
        <v>2361</v>
      </c>
      <c r="C214" s="195">
        <v>224.0</v>
      </c>
      <c r="D214" s="78">
        <f t="shared" si="23"/>
        <v>21.76</v>
      </c>
      <c r="E214" s="900"/>
      <c r="F214" s="738" t="s">
        <v>9</v>
      </c>
      <c r="G214" s="63"/>
      <c r="H214" s="920"/>
      <c r="I214" s="1"/>
      <c r="J214" s="1"/>
      <c r="K214" s="1"/>
      <c r="L214" s="1"/>
      <c r="M214" s="1"/>
    </row>
    <row r="215" ht="15.0" customHeight="1">
      <c r="A215" s="1"/>
      <c r="B215" s="93" t="s">
        <v>2327</v>
      </c>
      <c r="C215" s="195">
        <v>7.0</v>
      </c>
      <c r="D215" s="78">
        <f t="shared" si="23"/>
        <v>0.68</v>
      </c>
      <c r="E215" s="900"/>
      <c r="F215" s="738" t="s">
        <v>14</v>
      </c>
      <c r="G215" s="63"/>
      <c r="H215" s="920"/>
      <c r="I215" s="1"/>
      <c r="J215" s="1"/>
      <c r="K215" s="1"/>
      <c r="L215" s="1"/>
      <c r="M215" s="1"/>
    </row>
    <row r="216" ht="14.25" customHeight="1">
      <c r="A216" s="1"/>
      <c r="B216" s="93" t="s">
        <v>2362</v>
      </c>
      <c r="C216" s="195">
        <v>56.0</v>
      </c>
      <c r="D216" s="78">
        <f t="shared" si="23"/>
        <v>5.44</v>
      </c>
      <c r="E216" s="900"/>
      <c r="F216" s="738" t="s">
        <v>9</v>
      </c>
      <c r="G216" s="63"/>
      <c r="H216" s="920"/>
      <c r="I216" s="1"/>
      <c r="J216" s="1"/>
      <c r="K216" s="1"/>
      <c r="L216" s="1"/>
      <c r="M216" s="1"/>
    </row>
    <row r="217" ht="14.25" customHeight="1">
      <c r="A217" s="1"/>
      <c r="B217" s="93" t="s">
        <v>2139</v>
      </c>
      <c r="C217" s="195">
        <v>3.5</v>
      </c>
      <c r="D217" s="78">
        <f t="shared" si="23"/>
        <v>0.34</v>
      </c>
      <c r="E217" s="900"/>
      <c r="F217" s="738" t="s">
        <v>366</v>
      </c>
      <c r="G217" s="63"/>
      <c r="H217" s="920"/>
      <c r="I217" s="1"/>
      <c r="J217" s="1"/>
      <c r="K217" s="1"/>
      <c r="L217" s="1"/>
      <c r="M217" s="1"/>
    </row>
    <row r="218" ht="14.25" customHeight="1">
      <c r="A218" s="1"/>
      <c r="B218" s="93" t="s">
        <v>2363</v>
      </c>
      <c r="C218" s="195">
        <v>14.0</v>
      </c>
      <c r="D218" s="78">
        <f t="shared" si="23"/>
        <v>1.36</v>
      </c>
      <c r="E218" s="900"/>
      <c r="F218" s="738" t="s">
        <v>2334</v>
      </c>
      <c r="G218" s="63"/>
      <c r="H218" s="920"/>
      <c r="I218" s="1"/>
      <c r="J218" s="1"/>
      <c r="K218" s="1"/>
      <c r="L218" s="1"/>
      <c r="M218" s="1"/>
    </row>
    <row r="219" ht="14.25" customHeight="1">
      <c r="A219" s="1"/>
      <c r="B219" s="105" t="s">
        <v>2364</v>
      </c>
      <c r="C219" s="200">
        <v>14.0</v>
      </c>
      <c r="D219" s="56">
        <f t="shared" si="23"/>
        <v>1.36</v>
      </c>
      <c r="E219" s="1604"/>
      <c r="F219" s="2059" t="s">
        <v>18</v>
      </c>
      <c r="G219" s="102"/>
      <c r="H219" s="920"/>
      <c r="I219" s="1"/>
      <c r="J219" s="1"/>
      <c r="K219" s="1"/>
      <c r="L219" s="1"/>
      <c r="M219" s="1"/>
    </row>
    <row r="220" ht="14.25" customHeight="1">
      <c r="A220" s="1"/>
      <c r="B220" s="119" t="s">
        <v>2336</v>
      </c>
      <c r="C220" s="238">
        <v>2.8</v>
      </c>
      <c r="D220" s="129">
        <f t="shared" si="23"/>
        <v>0.272</v>
      </c>
      <c r="E220" s="1583"/>
      <c r="F220" s="2046" t="s">
        <v>5</v>
      </c>
      <c r="G220" s="2085" t="s">
        <v>2367</v>
      </c>
      <c r="H220" s="920"/>
      <c r="I220" s="1"/>
      <c r="J220" s="1"/>
      <c r="K220" s="1"/>
      <c r="L220" s="1"/>
      <c r="M220" s="1"/>
    </row>
    <row r="221" ht="14.25" customHeight="1">
      <c r="A221" s="1"/>
      <c r="B221" s="93" t="s">
        <v>2339</v>
      </c>
      <c r="C221" s="195">
        <v>2100.0</v>
      </c>
      <c r="D221" s="78">
        <f t="shared" si="23"/>
        <v>204</v>
      </c>
      <c r="E221" s="900"/>
      <c r="F221" s="738" t="s">
        <v>18</v>
      </c>
      <c r="G221" s="63"/>
      <c r="H221" s="920"/>
      <c r="I221" s="1"/>
      <c r="J221" s="1"/>
      <c r="K221" s="1"/>
      <c r="L221" s="1"/>
      <c r="M221" s="1"/>
    </row>
    <row r="222" ht="14.25" customHeight="1">
      <c r="A222" s="1"/>
      <c r="B222" s="105" t="s">
        <v>2342</v>
      </c>
      <c r="C222" s="200">
        <v>2800.0</v>
      </c>
      <c r="D222" s="56">
        <f t="shared" si="23"/>
        <v>272</v>
      </c>
      <c r="E222" s="1604"/>
      <c r="F222" s="2059" t="s">
        <v>18</v>
      </c>
      <c r="G222" s="102"/>
      <c r="H222" s="920"/>
      <c r="I222" s="1"/>
      <c r="J222" s="1"/>
      <c r="K222" s="1"/>
      <c r="L222" s="1"/>
      <c r="M222" s="1"/>
    </row>
    <row r="223" ht="14.25" customHeight="1">
      <c r="A223" s="1"/>
      <c r="B223" s="258" t="s">
        <v>119</v>
      </c>
      <c r="C223" s="258" t="s">
        <v>47</v>
      </c>
      <c r="D223" s="184"/>
      <c r="E223" s="184"/>
      <c r="F223" s="108"/>
      <c r="G223" s="1"/>
      <c r="H223" s="920"/>
      <c r="I223" s="1"/>
      <c r="J223" s="1"/>
      <c r="K223" s="1"/>
      <c r="L223" s="1"/>
      <c r="M223" s="1"/>
    </row>
    <row r="224" ht="14.25" customHeight="1">
      <c r="A224" s="1"/>
      <c r="B224" s="90" t="s">
        <v>120</v>
      </c>
      <c r="C224" s="187">
        <v>42893.0</v>
      </c>
      <c r="D224" s="184"/>
      <c r="E224" s="184"/>
      <c r="F224" s="108"/>
      <c r="G224" s="1"/>
      <c r="H224" s="920"/>
      <c r="I224" s="1"/>
      <c r="J224" s="1"/>
      <c r="K224" s="1"/>
      <c r="L224" s="1"/>
      <c r="M224" s="1"/>
    </row>
    <row r="225" ht="14.25" customHeight="1">
      <c r="A225" s="1"/>
      <c r="B225" s="305" t="s">
        <v>50</v>
      </c>
      <c r="C225" s="187">
        <v>42893.0</v>
      </c>
      <c r="D225" s="184"/>
      <c r="E225" s="184"/>
      <c r="F225" s="108"/>
      <c r="G225" s="1"/>
      <c r="H225" s="920"/>
      <c r="I225" s="1"/>
      <c r="J225" s="1"/>
      <c r="K225" s="1"/>
      <c r="L225" s="1"/>
      <c r="M225" s="1"/>
    </row>
    <row r="226" ht="14.25" customHeight="1">
      <c r="A226" s="1"/>
      <c r="B226" s="1"/>
      <c r="C226" s="107"/>
      <c r="D226" s="184"/>
      <c r="E226" s="184"/>
      <c r="F226" s="108"/>
      <c r="G226" s="921"/>
      <c r="H226" s="920"/>
      <c r="I226" s="1"/>
      <c r="J226" s="1"/>
      <c r="K226" s="1"/>
      <c r="L226" s="1"/>
      <c r="M226" s="1"/>
    </row>
    <row r="227" ht="14.25" customHeight="1">
      <c r="A227" s="1"/>
      <c r="B227" s="209" t="s">
        <v>806</v>
      </c>
      <c r="C227" s="18"/>
      <c r="D227" s="18"/>
      <c r="E227" s="18"/>
      <c r="F227" s="19"/>
      <c r="G227" s="1902"/>
      <c r="H227" s="920"/>
      <c r="I227" s="1"/>
      <c r="J227" s="1"/>
      <c r="K227" s="1"/>
      <c r="L227" s="1"/>
      <c r="M227" s="1"/>
    </row>
    <row r="228" ht="14.25" customHeight="1">
      <c r="A228" s="1"/>
      <c r="B228" s="68" t="s">
        <v>1</v>
      </c>
      <c r="C228" s="145">
        <v>100.0</v>
      </c>
      <c r="D228" s="155">
        <v>60.0</v>
      </c>
      <c r="E228" s="899"/>
      <c r="F228" s="137" t="s">
        <v>5</v>
      </c>
      <c r="G228" s="194" t="s">
        <v>2375</v>
      </c>
      <c r="H228" s="920"/>
      <c r="I228" s="1"/>
      <c r="J228" s="1"/>
      <c r="K228" s="1"/>
      <c r="L228" s="1"/>
      <c r="M228" s="1"/>
    </row>
    <row r="229" ht="15.0" customHeight="1">
      <c r="A229" s="1"/>
      <c r="B229" s="138" t="s">
        <v>15</v>
      </c>
      <c r="C229" s="279">
        <v>100.0</v>
      </c>
      <c r="D229" s="146">
        <f t="shared" ref="D229:D245" si="24">(C229*D228)/C228</f>
        <v>60</v>
      </c>
      <c r="E229" s="1607"/>
      <c r="F229" s="281" t="s">
        <v>5</v>
      </c>
      <c r="G229" s="63"/>
      <c r="H229" s="920"/>
      <c r="I229" s="1"/>
      <c r="J229" s="1"/>
      <c r="K229" s="1"/>
      <c r="L229" s="1"/>
      <c r="M229" s="1"/>
    </row>
    <row r="230" ht="14.25" customHeight="1">
      <c r="A230" s="1"/>
      <c r="B230" s="68" t="s">
        <v>2378</v>
      </c>
      <c r="C230" s="145">
        <v>1.6</v>
      </c>
      <c r="D230" s="155">
        <f t="shared" si="24"/>
        <v>0.96</v>
      </c>
      <c r="E230" s="899"/>
      <c r="F230" s="137" t="s">
        <v>5</v>
      </c>
      <c r="G230" s="63"/>
      <c r="H230" s="920"/>
      <c r="I230" s="1"/>
      <c r="J230" s="1"/>
      <c r="K230" s="1"/>
      <c r="L230" s="1"/>
      <c r="M230" s="1"/>
    </row>
    <row r="231" ht="14.25" customHeight="1">
      <c r="A231" s="1"/>
      <c r="B231" s="105" t="s">
        <v>2379</v>
      </c>
      <c r="C231" s="200">
        <v>8.0</v>
      </c>
      <c r="D231" s="56">
        <f t="shared" si="24"/>
        <v>4.8</v>
      </c>
      <c r="E231" s="1604"/>
      <c r="F231" s="172" t="s">
        <v>14</v>
      </c>
      <c r="G231" s="102"/>
      <c r="H231" s="920"/>
      <c r="I231" s="1"/>
      <c r="J231" s="1"/>
      <c r="K231" s="1"/>
      <c r="L231" s="1"/>
      <c r="M231" s="1"/>
    </row>
    <row r="232" ht="14.25" customHeight="1">
      <c r="A232" s="1"/>
      <c r="B232" s="173" t="s">
        <v>13</v>
      </c>
      <c r="C232" s="275">
        <v>17.5</v>
      </c>
      <c r="D232" s="179">
        <f t="shared" si="24"/>
        <v>10.5</v>
      </c>
      <c r="E232" s="1689"/>
      <c r="F232" s="278" t="s">
        <v>14</v>
      </c>
      <c r="G232" s="2092" t="s">
        <v>2382</v>
      </c>
      <c r="H232" s="920"/>
      <c r="I232" s="1"/>
      <c r="J232" s="1"/>
      <c r="K232" s="1"/>
      <c r="L232" s="1"/>
      <c r="M232" s="1"/>
    </row>
    <row r="233" ht="14.25" customHeight="1">
      <c r="A233" s="1"/>
      <c r="B233" s="93" t="s">
        <v>2385</v>
      </c>
      <c r="C233" s="195">
        <v>1200.0</v>
      </c>
      <c r="D233" s="78">
        <f t="shared" si="24"/>
        <v>720</v>
      </c>
      <c r="E233" s="900"/>
      <c r="F233" s="165" t="s">
        <v>18</v>
      </c>
      <c r="G233" s="1861" t="s">
        <v>2387</v>
      </c>
      <c r="H233" s="920"/>
      <c r="I233" s="1"/>
      <c r="J233" s="1"/>
      <c r="K233" s="1"/>
      <c r="L233" s="1"/>
      <c r="M233" s="1"/>
    </row>
    <row r="234" ht="15.0" customHeight="1">
      <c r="A234" s="1"/>
      <c r="B234" s="2094" t="s">
        <v>17</v>
      </c>
      <c r="C234" s="2096">
        <v>125.0</v>
      </c>
      <c r="D234" s="2098">
        <f t="shared" si="24"/>
        <v>75</v>
      </c>
      <c r="E234" s="2099"/>
      <c r="F234" s="2100" t="s">
        <v>18</v>
      </c>
      <c r="G234" s="2102"/>
      <c r="H234" s="920"/>
      <c r="I234" s="1"/>
      <c r="J234" s="1"/>
      <c r="K234" s="1"/>
      <c r="L234" s="1"/>
      <c r="M234" s="1"/>
    </row>
    <row r="235" ht="14.25" customHeight="1">
      <c r="A235" s="1"/>
      <c r="B235" s="2103" t="s">
        <v>2389</v>
      </c>
      <c r="C235" s="2104">
        <v>75.0</v>
      </c>
      <c r="D235" s="2105">
        <f t="shared" si="24"/>
        <v>45</v>
      </c>
      <c r="E235" s="2105"/>
      <c r="F235" s="2107" t="s">
        <v>82</v>
      </c>
      <c r="G235" s="2145" t="s">
        <v>2392</v>
      </c>
      <c r="H235" s="920"/>
      <c r="I235" s="1"/>
      <c r="J235" s="1"/>
      <c r="K235" s="1"/>
      <c r="L235" s="1"/>
      <c r="M235" s="1"/>
    </row>
    <row r="236" ht="14.25" customHeight="1">
      <c r="A236" s="1"/>
      <c r="B236" s="2148" t="s">
        <v>17</v>
      </c>
      <c r="C236" s="2149">
        <v>100.0</v>
      </c>
      <c r="D236" s="2152">
        <f t="shared" si="24"/>
        <v>60</v>
      </c>
      <c r="E236" s="2152"/>
      <c r="F236" s="2153" t="s">
        <v>18</v>
      </c>
      <c r="G236" s="2154"/>
      <c r="H236" s="920"/>
      <c r="I236" s="1"/>
      <c r="J236" s="1"/>
      <c r="K236" s="1"/>
      <c r="L236" s="1"/>
      <c r="M236" s="1"/>
    </row>
    <row r="237" ht="14.25" customHeight="1">
      <c r="A237" s="1"/>
      <c r="B237" s="2155" t="s">
        <v>1383</v>
      </c>
      <c r="C237" s="2156">
        <v>5.0</v>
      </c>
      <c r="D237" s="2157">
        <f t="shared" si="24"/>
        <v>3</v>
      </c>
      <c r="E237" s="2157"/>
      <c r="F237" s="2158" t="s">
        <v>82</v>
      </c>
      <c r="G237" s="2154"/>
      <c r="H237" s="920"/>
      <c r="I237" s="1"/>
      <c r="J237" s="1"/>
      <c r="K237" s="1"/>
      <c r="L237" s="1"/>
      <c r="M237" s="1"/>
    </row>
    <row r="238" ht="15.0" customHeight="1">
      <c r="A238" s="1"/>
      <c r="B238" s="2159" t="s">
        <v>422</v>
      </c>
      <c r="C238" s="2160">
        <v>2000.0</v>
      </c>
      <c r="D238" s="2161">
        <f t="shared" si="24"/>
        <v>1200</v>
      </c>
      <c r="E238" s="2162"/>
      <c r="F238" s="2165" t="s">
        <v>82</v>
      </c>
      <c r="G238" s="2167"/>
      <c r="H238" s="920"/>
      <c r="I238" s="1"/>
      <c r="J238" s="1"/>
      <c r="K238" s="1"/>
      <c r="L238" s="1"/>
      <c r="M238" s="1"/>
    </row>
    <row r="239" ht="14.25" customHeight="1">
      <c r="A239" s="1"/>
      <c r="B239" s="2169" t="s">
        <v>2460</v>
      </c>
      <c r="C239" s="2170">
        <v>100.0</v>
      </c>
      <c r="D239" s="2171">
        <f t="shared" si="24"/>
        <v>60</v>
      </c>
      <c r="E239" s="2175"/>
      <c r="F239" s="2177" t="s">
        <v>18</v>
      </c>
      <c r="G239" s="2179" t="s">
        <v>2464</v>
      </c>
      <c r="H239" s="920"/>
      <c r="I239" s="1"/>
      <c r="J239" s="1"/>
      <c r="K239" s="1"/>
      <c r="L239" s="1"/>
      <c r="M239" s="1"/>
    </row>
    <row r="240" ht="14.25" customHeight="1">
      <c r="A240" s="1"/>
      <c r="B240" s="2181" t="s">
        <v>2468</v>
      </c>
      <c r="C240" s="2182">
        <v>50.0</v>
      </c>
      <c r="D240" s="2187">
        <f t="shared" si="24"/>
        <v>30</v>
      </c>
      <c r="E240" s="2189"/>
      <c r="F240" s="2192" t="s">
        <v>82</v>
      </c>
      <c r="G240" s="2193"/>
      <c r="H240" s="920"/>
      <c r="I240" s="1"/>
      <c r="J240" s="1"/>
      <c r="K240" s="1"/>
      <c r="L240" s="1"/>
      <c r="M240" s="1"/>
    </row>
    <row r="241" ht="14.25" customHeight="1">
      <c r="A241" s="1"/>
      <c r="B241" s="2194" t="s">
        <v>2472</v>
      </c>
      <c r="C241" s="2195">
        <v>5.0</v>
      </c>
      <c r="D241" s="2196">
        <f t="shared" si="24"/>
        <v>3</v>
      </c>
      <c r="E241" s="2197"/>
      <c r="F241" s="2198" t="s">
        <v>18</v>
      </c>
      <c r="G241" s="2199"/>
      <c r="H241" s="920"/>
      <c r="I241" s="1"/>
      <c r="J241" s="1"/>
      <c r="K241" s="1"/>
      <c r="L241" s="1"/>
      <c r="M241" s="1"/>
    </row>
    <row r="242" ht="14.25" customHeight="1">
      <c r="A242" s="1"/>
      <c r="B242" s="2200" t="s">
        <v>2473</v>
      </c>
      <c r="C242" s="2201">
        <v>5.0</v>
      </c>
      <c r="D242" s="2205">
        <f t="shared" si="24"/>
        <v>3</v>
      </c>
      <c r="E242" s="2206"/>
      <c r="F242" s="2208" t="s">
        <v>14</v>
      </c>
      <c r="G242" s="2211" t="s">
        <v>1080</v>
      </c>
      <c r="H242" s="920"/>
      <c r="I242" s="1"/>
      <c r="J242" s="1"/>
      <c r="K242" s="1"/>
      <c r="L242" s="1"/>
      <c r="M242" s="1"/>
    </row>
    <row r="243" ht="14.25" customHeight="1">
      <c r="A243" s="1"/>
      <c r="B243" s="2213" t="s">
        <v>2478</v>
      </c>
      <c r="C243" s="2217">
        <v>-3.75</v>
      </c>
      <c r="D243" s="2219">
        <f t="shared" si="24"/>
        <v>-2.25</v>
      </c>
      <c r="E243" s="2221"/>
      <c r="F243" s="2224" t="s">
        <v>14</v>
      </c>
      <c r="G243" s="2227"/>
      <c r="H243" s="920"/>
      <c r="I243" s="1"/>
      <c r="J243" s="1"/>
      <c r="K243" s="1"/>
      <c r="L243" s="1"/>
      <c r="M243" s="1"/>
    </row>
    <row r="244" ht="14.25" customHeight="1">
      <c r="A244" s="1"/>
      <c r="B244" s="2213" t="s">
        <v>2482</v>
      </c>
      <c r="C244" s="2217">
        <v>250.0</v>
      </c>
      <c r="D244" s="2219">
        <f t="shared" si="24"/>
        <v>150</v>
      </c>
      <c r="E244" s="2221"/>
      <c r="F244" s="2224" t="s">
        <v>82</v>
      </c>
      <c r="G244" s="2227"/>
      <c r="H244" s="920"/>
      <c r="I244" s="1"/>
      <c r="J244" s="1"/>
      <c r="K244" s="1"/>
      <c r="L244" s="1"/>
      <c r="M244" s="1"/>
    </row>
    <row r="245" ht="14.25" customHeight="1">
      <c r="A245" s="1"/>
      <c r="B245" s="2230" t="s">
        <v>2485</v>
      </c>
      <c r="C245" s="2233">
        <v>100.0</v>
      </c>
      <c r="D245" s="2234">
        <f t="shared" si="24"/>
        <v>60</v>
      </c>
      <c r="E245" s="2236"/>
      <c r="F245" s="2238" t="s">
        <v>82</v>
      </c>
      <c r="G245" s="2239"/>
      <c r="H245" s="920"/>
      <c r="I245" s="1"/>
      <c r="J245" s="1"/>
      <c r="K245" s="1"/>
      <c r="L245" s="1"/>
      <c r="M245" s="1"/>
    </row>
    <row r="246" ht="14.25" customHeight="1">
      <c r="A246" s="1"/>
      <c r="B246" s="258" t="s">
        <v>119</v>
      </c>
      <c r="C246" s="258" t="s">
        <v>47</v>
      </c>
      <c r="D246" s="184"/>
      <c r="E246" s="184"/>
      <c r="F246" s="108"/>
      <c r="G246" s="1"/>
      <c r="H246" s="920"/>
      <c r="I246" s="1"/>
      <c r="J246" s="1"/>
      <c r="K246" s="1"/>
      <c r="L246" s="1"/>
      <c r="M246" s="1"/>
    </row>
    <row r="247" ht="14.25" customHeight="1">
      <c r="A247" s="1"/>
      <c r="B247" s="1"/>
      <c r="C247" s="107"/>
      <c r="D247" s="184"/>
      <c r="E247" s="184"/>
      <c r="F247" s="108"/>
      <c r="G247" s="1"/>
      <c r="H247" s="920"/>
      <c r="I247" s="1"/>
      <c r="J247" s="1"/>
      <c r="K247" s="1"/>
      <c r="L247" s="1"/>
      <c r="M247" s="1"/>
    </row>
    <row r="248" ht="14.25" customHeight="1">
      <c r="A248" s="1"/>
      <c r="B248" s="1"/>
      <c r="C248" s="107"/>
      <c r="D248" s="184"/>
      <c r="E248" s="184"/>
      <c r="F248" s="108"/>
      <c r="G248" s="1"/>
      <c r="H248" s="920"/>
      <c r="I248" s="1"/>
      <c r="J248" s="1"/>
      <c r="K248" s="1"/>
      <c r="L248" s="1"/>
      <c r="M248" s="1"/>
    </row>
    <row r="249" ht="14.25" customHeight="1">
      <c r="A249" s="1"/>
      <c r="B249" s="1"/>
      <c r="C249" s="107"/>
      <c r="D249" s="184"/>
      <c r="E249" s="184"/>
      <c r="F249" s="108"/>
      <c r="G249" s="1"/>
      <c r="H249" s="920"/>
      <c r="I249" s="1"/>
      <c r="J249" s="1"/>
      <c r="K249" s="1"/>
      <c r="L249" s="1"/>
      <c r="M249" s="1"/>
    </row>
    <row r="250" ht="14.25" customHeight="1">
      <c r="A250" s="1"/>
      <c r="B250" s="1"/>
      <c r="C250" s="107"/>
      <c r="D250" s="184"/>
      <c r="E250" s="184"/>
      <c r="F250" s="108"/>
      <c r="G250" s="1"/>
      <c r="H250" s="920"/>
      <c r="I250" s="1"/>
      <c r="J250" s="1"/>
      <c r="K250" s="1"/>
      <c r="L250" s="1"/>
      <c r="M250" s="1"/>
    </row>
    <row r="251" ht="14.25" customHeight="1">
      <c r="A251" s="1"/>
      <c r="B251" s="550" t="s">
        <v>502</v>
      </c>
      <c r="C251" s="260">
        <v>41118.0</v>
      </c>
      <c r="D251" s="184"/>
      <c r="E251" s="184"/>
      <c r="F251" s="108"/>
      <c r="G251" s="1"/>
      <c r="H251" s="920"/>
      <c r="I251" s="1"/>
      <c r="J251" s="1"/>
      <c r="K251" s="1"/>
      <c r="L251" s="1"/>
      <c r="M251" s="1"/>
    </row>
    <row r="252" ht="14.25" customHeight="1">
      <c r="A252" s="1"/>
      <c r="B252" s="1024" t="s">
        <v>50</v>
      </c>
      <c r="C252" s="260">
        <v>41301.0</v>
      </c>
      <c r="D252" s="184"/>
      <c r="E252" s="184"/>
      <c r="F252" s="108"/>
      <c r="G252" s="1"/>
      <c r="H252" s="920"/>
      <c r="I252" s="1"/>
      <c r="J252" s="1"/>
      <c r="K252" s="1"/>
      <c r="L252" s="1"/>
      <c r="M252" s="1"/>
    </row>
    <row r="253" ht="14.25" customHeight="1">
      <c r="A253" s="1"/>
      <c r="B253" s="1"/>
      <c r="C253" s="107"/>
      <c r="D253" s="2247"/>
      <c r="E253" s="2247"/>
      <c r="F253" s="2248"/>
      <c r="G253" s="2249"/>
      <c r="H253" s="920"/>
      <c r="I253" s="1"/>
      <c r="J253" s="1"/>
      <c r="K253" s="1"/>
      <c r="L253" s="1"/>
      <c r="M253" s="1"/>
    </row>
    <row r="254" ht="14.25" customHeight="1">
      <c r="A254" s="1"/>
      <c r="B254" s="1"/>
      <c r="C254" s="107"/>
      <c r="D254" s="184"/>
      <c r="E254" s="184"/>
      <c r="F254" s="108"/>
      <c r="G254" s="921"/>
      <c r="H254" s="920"/>
      <c r="I254" s="1"/>
      <c r="J254" s="1"/>
      <c r="K254" s="1"/>
      <c r="L254" s="1"/>
      <c r="M254" s="1"/>
    </row>
    <row r="255" ht="14.25" customHeight="1">
      <c r="A255" s="1"/>
      <c r="B255" s="1"/>
      <c r="C255" s="107"/>
      <c r="D255" s="184"/>
      <c r="E255" s="184"/>
      <c r="F255" s="108"/>
      <c r="G255" s="921"/>
      <c r="H255" s="920"/>
      <c r="I255" s="1"/>
      <c r="J255" s="1"/>
      <c r="K255" s="1"/>
      <c r="L255" s="1"/>
      <c r="M255" s="1"/>
    </row>
    <row r="256" ht="14.25" customHeight="1">
      <c r="A256" s="1"/>
      <c r="B256" s="1"/>
      <c r="C256" s="107"/>
      <c r="D256" s="184"/>
      <c r="E256" s="184"/>
      <c r="F256" s="108"/>
      <c r="G256" s="1"/>
      <c r="H256" s="920"/>
      <c r="I256" s="1"/>
      <c r="J256" s="1"/>
      <c r="K256" s="1"/>
      <c r="L256" s="1"/>
      <c r="M256" s="1"/>
    </row>
    <row r="257" ht="14.25" customHeight="1">
      <c r="A257" s="1"/>
      <c r="B257" s="1"/>
      <c r="C257" s="107"/>
      <c r="D257" s="184"/>
      <c r="E257" s="184"/>
      <c r="F257" s="108"/>
      <c r="G257" s="1"/>
      <c r="H257" s="920"/>
      <c r="I257" s="1"/>
      <c r="J257" s="1"/>
      <c r="K257" s="1"/>
      <c r="L257" s="1"/>
      <c r="M257" s="1"/>
    </row>
    <row r="258" ht="14.25" customHeight="1">
      <c r="A258" s="1"/>
      <c r="B258" s="1"/>
      <c r="C258" s="107"/>
      <c r="D258" s="184"/>
      <c r="E258" s="184"/>
      <c r="F258" s="108"/>
      <c r="G258" s="1"/>
      <c r="H258" s="920"/>
      <c r="I258" s="1"/>
      <c r="J258" s="1"/>
      <c r="K258" s="1"/>
      <c r="L258" s="1"/>
      <c r="M258" s="1"/>
    </row>
    <row r="259" ht="14.25" customHeight="1">
      <c r="A259" s="1"/>
      <c r="B259" s="1"/>
      <c r="C259" s="107"/>
      <c r="D259" s="184"/>
      <c r="E259" s="184"/>
      <c r="F259" s="108"/>
      <c r="G259" s="921"/>
      <c r="H259" s="920"/>
      <c r="I259" s="1"/>
      <c r="J259" s="1"/>
      <c r="K259" s="1"/>
      <c r="L259" s="1"/>
      <c r="M259" s="1"/>
    </row>
    <row r="260" ht="14.25" customHeight="1">
      <c r="A260" s="1"/>
      <c r="B260" s="209" t="s">
        <v>815</v>
      </c>
      <c r="C260" s="18"/>
      <c r="D260" s="18"/>
      <c r="E260" s="18"/>
      <c r="F260" s="19"/>
      <c r="G260" s="207"/>
      <c r="H260" s="920"/>
      <c r="I260" s="1"/>
      <c r="J260" s="1"/>
      <c r="K260" s="1"/>
      <c r="L260" s="1"/>
      <c r="M260" s="1"/>
    </row>
    <row r="261" ht="14.25" customHeight="1">
      <c r="A261" s="1"/>
      <c r="B261" s="977" t="s">
        <v>1</v>
      </c>
      <c r="C261" s="1894">
        <v>60.0</v>
      </c>
      <c r="D261" s="978">
        <v>60.0</v>
      </c>
      <c r="E261" s="2253"/>
      <c r="F261" s="979" t="s">
        <v>5</v>
      </c>
      <c r="G261" s="194" t="s">
        <v>1100</v>
      </c>
      <c r="H261" s="920"/>
      <c r="I261" s="1"/>
      <c r="J261" s="1"/>
      <c r="K261" s="1"/>
      <c r="L261" s="1"/>
      <c r="M261" s="1"/>
    </row>
    <row r="262" ht="14.25" customHeight="1">
      <c r="A262" s="1"/>
      <c r="B262" s="93" t="s">
        <v>1102</v>
      </c>
      <c r="C262" s="195">
        <v>10.0</v>
      </c>
      <c r="D262" s="78">
        <f t="shared" ref="D262:D271" si="25">(C262*D261)/C261</f>
        <v>10</v>
      </c>
      <c r="E262" s="900"/>
      <c r="F262" s="165" t="s">
        <v>14</v>
      </c>
      <c r="G262" s="63"/>
      <c r="H262" s="920"/>
      <c r="I262" s="1"/>
      <c r="J262" s="1"/>
      <c r="K262" s="1"/>
      <c r="L262" s="1"/>
      <c r="M262" s="1"/>
    </row>
    <row r="263" ht="14.25" customHeight="1">
      <c r="A263" s="1"/>
      <c r="B263" s="93" t="s">
        <v>2496</v>
      </c>
      <c r="C263" s="195">
        <v>2.0</v>
      </c>
      <c r="D263" s="78">
        <f t="shared" si="25"/>
        <v>2</v>
      </c>
      <c r="E263" s="900"/>
      <c r="F263" s="165" t="s">
        <v>5</v>
      </c>
      <c r="G263" s="63"/>
      <c r="H263" s="920"/>
      <c r="I263" s="1"/>
      <c r="J263" s="1"/>
      <c r="K263" s="1"/>
      <c r="L263" s="1"/>
      <c r="M263" s="1"/>
    </row>
    <row r="264" ht="14.25" customHeight="1">
      <c r="A264" s="1"/>
      <c r="B264" s="93" t="s">
        <v>59</v>
      </c>
      <c r="C264" s="195">
        <v>40.0</v>
      </c>
      <c r="D264" s="78">
        <f t="shared" si="25"/>
        <v>40</v>
      </c>
      <c r="E264" s="900"/>
      <c r="F264" s="165" t="s">
        <v>5</v>
      </c>
      <c r="G264" s="63"/>
      <c r="H264" s="920"/>
      <c r="I264" s="1"/>
      <c r="J264" s="1"/>
      <c r="K264" s="1"/>
      <c r="L264" s="1"/>
      <c r="M264" s="1"/>
    </row>
    <row r="265" ht="14.25" customHeight="1">
      <c r="A265" s="1"/>
      <c r="B265" s="138" t="s">
        <v>31</v>
      </c>
      <c r="C265" s="279">
        <v>150.0</v>
      </c>
      <c r="D265" s="146">
        <f t="shared" si="25"/>
        <v>150</v>
      </c>
      <c r="E265" s="1607"/>
      <c r="F265" s="281" t="s">
        <v>18</v>
      </c>
      <c r="G265" s="63"/>
      <c r="H265" s="920"/>
      <c r="I265" s="1"/>
      <c r="J265" s="1"/>
      <c r="K265" s="1"/>
      <c r="L265" s="1"/>
      <c r="M265" s="1"/>
    </row>
    <row r="266" ht="14.25" customHeight="1">
      <c r="A266" s="1"/>
      <c r="B266" s="105" t="s">
        <v>1080</v>
      </c>
      <c r="C266" s="200">
        <v>60.0</v>
      </c>
      <c r="D266" s="56">
        <f t="shared" si="25"/>
        <v>60</v>
      </c>
      <c r="E266" s="1604"/>
      <c r="F266" s="172" t="s">
        <v>82</v>
      </c>
      <c r="G266" s="102"/>
      <c r="H266" s="920"/>
      <c r="I266" s="1"/>
      <c r="J266" s="1"/>
      <c r="K266" s="1"/>
      <c r="L266" s="1"/>
      <c r="M266" s="1"/>
    </row>
    <row r="267" ht="14.25" customHeight="1">
      <c r="A267" s="1"/>
      <c r="B267" s="119" t="s">
        <v>80</v>
      </c>
      <c r="C267" s="238">
        <v>18.0</v>
      </c>
      <c r="D267" s="129">
        <f t="shared" si="25"/>
        <v>18</v>
      </c>
      <c r="E267" s="1583"/>
      <c r="F267" s="176" t="s">
        <v>14</v>
      </c>
      <c r="G267" s="194" t="s">
        <v>1111</v>
      </c>
      <c r="H267" s="920"/>
      <c r="I267" s="1"/>
      <c r="J267" s="1"/>
      <c r="K267" s="1"/>
      <c r="L267" s="1"/>
      <c r="M267" s="1"/>
    </row>
    <row r="268" ht="14.25" customHeight="1">
      <c r="A268" s="1"/>
      <c r="B268" s="417" t="s">
        <v>59</v>
      </c>
      <c r="C268" s="418">
        <v>4.5</v>
      </c>
      <c r="D268" s="146">
        <f t="shared" si="25"/>
        <v>4.5</v>
      </c>
      <c r="E268" s="1614"/>
      <c r="F268" s="420" t="s">
        <v>14</v>
      </c>
      <c r="G268" s="102"/>
      <c r="H268" s="920"/>
      <c r="I268" s="1"/>
      <c r="J268" s="1"/>
      <c r="K268" s="1"/>
      <c r="L268" s="1"/>
      <c r="M268" s="1"/>
    </row>
    <row r="269" ht="14.25" customHeight="1">
      <c r="A269" s="1"/>
      <c r="B269" s="68" t="s">
        <v>1112</v>
      </c>
      <c r="C269" s="145">
        <v>0.75</v>
      </c>
      <c r="D269" s="155">
        <f t="shared" si="25"/>
        <v>0.75</v>
      </c>
      <c r="E269" s="899"/>
      <c r="F269" s="137" t="s">
        <v>5</v>
      </c>
      <c r="G269" s="194" t="s">
        <v>1113</v>
      </c>
      <c r="H269" s="920"/>
      <c r="I269" s="1"/>
      <c r="J269" s="1"/>
      <c r="K269" s="1"/>
      <c r="L269" s="1"/>
      <c r="M269" s="1"/>
    </row>
    <row r="270" ht="14.25" customHeight="1">
      <c r="A270" s="1"/>
      <c r="B270" s="93" t="s">
        <v>2339</v>
      </c>
      <c r="C270" s="195">
        <v>750.0</v>
      </c>
      <c r="D270" s="78">
        <f t="shared" si="25"/>
        <v>750</v>
      </c>
      <c r="E270" s="900"/>
      <c r="F270" s="165" t="s">
        <v>18</v>
      </c>
      <c r="G270" s="63"/>
      <c r="H270" s="920"/>
      <c r="I270" s="1"/>
      <c r="J270" s="1"/>
      <c r="K270" s="1"/>
      <c r="L270" s="1"/>
      <c r="M270" s="1"/>
    </row>
    <row r="271" ht="14.25" customHeight="1">
      <c r="A271" s="1"/>
      <c r="B271" s="105" t="s">
        <v>1046</v>
      </c>
      <c r="C271" s="200">
        <v>750.0</v>
      </c>
      <c r="D271" s="56">
        <f t="shared" si="25"/>
        <v>750</v>
      </c>
      <c r="E271" s="1604"/>
      <c r="F271" s="172" t="s">
        <v>18</v>
      </c>
      <c r="G271" s="102"/>
      <c r="H271" s="920"/>
      <c r="I271" s="1"/>
      <c r="J271" s="1"/>
      <c r="K271" s="1"/>
      <c r="L271" s="1"/>
      <c r="M271" s="1"/>
    </row>
    <row r="272" ht="14.25" customHeight="1">
      <c r="A272" s="1"/>
      <c r="B272" s="258" t="s">
        <v>119</v>
      </c>
      <c r="C272" s="258" t="s">
        <v>47</v>
      </c>
      <c r="D272" s="2255"/>
      <c r="E272" s="2255"/>
      <c r="F272" s="2256"/>
      <c r="G272" s="1"/>
      <c r="H272" s="1"/>
      <c r="I272" s="1"/>
      <c r="J272" s="1"/>
      <c r="K272" s="1"/>
      <c r="L272" s="1"/>
      <c r="M272" s="1"/>
    </row>
    <row r="273" ht="14.25" customHeight="1">
      <c r="A273" s="1"/>
      <c r="B273" s="1"/>
      <c r="C273" s="107"/>
      <c r="D273" s="184"/>
      <c r="E273" s="184"/>
      <c r="F273" s="108"/>
      <c r="G273" s="1"/>
      <c r="H273" s="1"/>
      <c r="I273" s="1"/>
      <c r="J273" s="1"/>
      <c r="K273" s="1"/>
      <c r="L273" s="1"/>
      <c r="M273" s="1"/>
    </row>
    <row r="274" ht="14.25" customHeight="1">
      <c r="A274" s="1"/>
      <c r="B274" s="1"/>
      <c r="C274" s="107"/>
      <c r="D274" s="184"/>
      <c r="E274" s="184"/>
      <c r="F274" s="108"/>
      <c r="G274" s="1"/>
      <c r="H274" s="1"/>
      <c r="I274" s="1"/>
      <c r="J274" s="1"/>
      <c r="K274" s="1"/>
      <c r="L274" s="1"/>
      <c r="M274" s="1"/>
    </row>
    <row r="275" ht="14.25" customHeight="1">
      <c r="A275" s="1"/>
      <c r="B275" s="1"/>
      <c r="C275" s="107"/>
      <c r="D275" s="184"/>
      <c r="E275" s="184"/>
      <c r="F275" s="108"/>
      <c r="G275" s="1"/>
      <c r="H275" s="1"/>
      <c r="I275" s="1"/>
      <c r="J275" s="1"/>
      <c r="K275" s="1"/>
      <c r="L275" s="1"/>
      <c r="M275" s="1"/>
    </row>
    <row r="276" ht="14.25" customHeight="1">
      <c r="A276" s="1"/>
      <c r="B276" s="1"/>
      <c r="C276" s="107"/>
      <c r="D276" s="184"/>
      <c r="E276" s="184"/>
      <c r="F276" s="108"/>
      <c r="G276" s="1"/>
      <c r="H276" s="1"/>
      <c r="I276" s="1"/>
      <c r="J276" s="1"/>
      <c r="K276" s="1"/>
      <c r="L276" s="1"/>
      <c r="M276" s="1"/>
    </row>
    <row r="277" ht="14.25" customHeight="1">
      <c r="A277" s="1"/>
      <c r="B277" s="90" t="s">
        <v>120</v>
      </c>
      <c r="C277" s="1188">
        <v>40927.0</v>
      </c>
      <c r="D277" s="184"/>
      <c r="E277" s="184"/>
      <c r="F277" s="108"/>
      <c r="G277" s="1"/>
      <c r="H277" s="1"/>
      <c r="I277" s="1"/>
      <c r="J277" s="1"/>
      <c r="K277" s="1"/>
      <c r="L277" s="1"/>
      <c r="M277" s="1"/>
    </row>
    <row r="278" ht="14.25" customHeight="1">
      <c r="A278" s="1"/>
      <c r="B278" s="305" t="s">
        <v>50</v>
      </c>
      <c r="C278" s="1188">
        <v>41655.0</v>
      </c>
      <c r="D278" s="184"/>
      <c r="E278" s="184"/>
      <c r="F278" s="108"/>
      <c r="G278" s="1"/>
      <c r="H278" s="1"/>
      <c r="I278" s="1"/>
      <c r="J278" s="1"/>
      <c r="K278" s="1"/>
      <c r="L278" s="1"/>
      <c r="M278" s="1"/>
    </row>
    <row r="279" ht="14.25" customHeight="1">
      <c r="A279" s="1"/>
      <c r="B279" s="1"/>
      <c r="C279" s="107"/>
      <c r="D279" s="184"/>
      <c r="E279" s="184"/>
      <c r="F279" s="108"/>
      <c r="G279" s="1"/>
      <c r="H279" s="1"/>
      <c r="I279" s="1"/>
      <c r="J279" s="1"/>
      <c r="K279" s="1"/>
      <c r="L279" s="1"/>
      <c r="M279" s="1"/>
    </row>
    <row r="280" ht="14.25" customHeight="1">
      <c r="A280" s="1"/>
      <c r="B280" s="1"/>
      <c r="C280" s="107"/>
      <c r="D280" s="184"/>
      <c r="E280" s="184"/>
      <c r="F280" s="108"/>
      <c r="G280" s="1"/>
      <c r="H280" s="1"/>
      <c r="I280" s="1"/>
      <c r="J280" s="1"/>
      <c r="K280" s="1"/>
      <c r="L280" s="1"/>
      <c r="M280" s="1"/>
    </row>
    <row r="281" ht="14.25" customHeight="1">
      <c r="A281" s="1"/>
      <c r="B281" s="1"/>
      <c r="C281" s="107"/>
      <c r="D281" s="184"/>
      <c r="E281" s="184"/>
      <c r="F281" s="108"/>
      <c r="G281" s="1"/>
      <c r="H281" s="1"/>
      <c r="I281" s="1"/>
      <c r="J281" s="1"/>
      <c r="K281" s="1"/>
      <c r="L281" s="1"/>
      <c r="M281" s="1"/>
    </row>
    <row r="282" ht="14.25" customHeight="1">
      <c r="A282" s="1"/>
      <c r="B282" s="1"/>
      <c r="C282" s="107"/>
      <c r="D282" s="184"/>
      <c r="E282" s="184"/>
      <c r="F282" s="108"/>
      <c r="G282" s="1"/>
      <c r="H282" s="1"/>
      <c r="I282" s="1"/>
      <c r="J282" s="1"/>
      <c r="K282" s="1"/>
      <c r="L282" s="1"/>
      <c r="M282" s="1"/>
    </row>
    <row r="283" ht="14.25" customHeight="1">
      <c r="A283" s="1"/>
      <c r="B283" s="1"/>
      <c r="C283" s="107"/>
      <c r="D283" s="184"/>
      <c r="E283" s="184"/>
      <c r="F283" s="108"/>
      <c r="G283" s="1"/>
      <c r="H283" s="1"/>
      <c r="I283" s="1"/>
      <c r="J283" s="1"/>
      <c r="K283" s="1"/>
      <c r="L283" s="1"/>
      <c r="M283" s="1"/>
    </row>
    <row r="284" ht="14.25" customHeight="1">
      <c r="A284" s="1"/>
      <c r="B284" s="1"/>
      <c r="C284" s="107"/>
      <c r="D284" s="184"/>
      <c r="E284" s="184"/>
      <c r="F284" s="108"/>
      <c r="G284" s="1"/>
      <c r="H284" s="1"/>
      <c r="I284" s="1"/>
      <c r="J284" s="1"/>
      <c r="K284" s="1"/>
      <c r="L284" s="1"/>
      <c r="M284" s="1"/>
    </row>
    <row r="285" ht="14.25" customHeight="1">
      <c r="A285" s="1"/>
      <c r="B285" s="1"/>
      <c r="C285" s="107"/>
      <c r="D285" s="184"/>
      <c r="E285" s="184"/>
      <c r="F285" s="108"/>
      <c r="G285" s="1"/>
      <c r="H285" s="1"/>
      <c r="I285" s="1"/>
      <c r="J285" s="1"/>
      <c r="K285" s="1"/>
      <c r="L285" s="1"/>
      <c r="M285" s="1"/>
    </row>
    <row r="286" ht="14.25" customHeight="1">
      <c r="A286" s="1"/>
      <c r="B286" s="206" t="s">
        <v>838</v>
      </c>
      <c r="C286" s="5"/>
      <c r="D286" s="5"/>
      <c r="E286" s="5"/>
      <c r="F286" s="6"/>
      <c r="G286" s="1"/>
      <c r="H286" s="1"/>
      <c r="I286" s="1"/>
      <c r="J286" s="1"/>
      <c r="K286" s="1"/>
      <c r="L286" s="1"/>
      <c r="M286" s="1"/>
    </row>
    <row r="287" ht="14.25" customHeight="1">
      <c r="A287" s="1"/>
      <c r="B287" s="51" t="s">
        <v>1</v>
      </c>
      <c r="C287" s="121">
        <v>12.0</v>
      </c>
      <c r="D287" s="2266">
        <v>10.0</v>
      </c>
      <c r="E287" s="2267"/>
      <c r="F287" s="125" t="s">
        <v>5</v>
      </c>
      <c r="G287" s="194" t="s">
        <v>2510</v>
      </c>
      <c r="H287" s="920"/>
      <c r="I287" s="1"/>
      <c r="J287" s="1"/>
      <c r="K287" s="1"/>
      <c r="L287" s="1"/>
      <c r="M287" s="1"/>
    </row>
    <row r="288" ht="14.25" customHeight="1">
      <c r="A288" s="1"/>
      <c r="B288" s="68" t="s">
        <v>15</v>
      </c>
      <c r="C288" s="1202">
        <v>10.0</v>
      </c>
      <c r="D288" s="1193">
        <f t="shared" ref="D288:D302" si="26">(C288*D287)/C287</f>
        <v>8.333333333</v>
      </c>
      <c r="E288" s="1884"/>
      <c r="F288" s="137" t="s">
        <v>5</v>
      </c>
      <c r="G288" s="63"/>
      <c r="H288" s="920"/>
      <c r="I288" s="1"/>
      <c r="J288" s="1"/>
      <c r="K288" s="1"/>
      <c r="L288" s="1"/>
      <c r="M288" s="1"/>
    </row>
    <row r="289" ht="14.25" customHeight="1">
      <c r="A289" s="1"/>
      <c r="B289" s="93" t="s">
        <v>140</v>
      </c>
      <c r="C289" s="1213">
        <v>0.7</v>
      </c>
      <c r="D289" s="1420">
        <f t="shared" si="26"/>
        <v>0.5833333333</v>
      </c>
      <c r="E289" s="1886"/>
      <c r="F289" s="165" t="s">
        <v>14</v>
      </c>
      <c r="G289" s="63"/>
      <c r="H289" s="920"/>
      <c r="I289" s="1"/>
      <c r="J289" s="1"/>
      <c r="K289" s="1"/>
      <c r="L289" s="1"/>
      <c r="M289" s="1"/>
    </row>
    <row r="290" ht="14.25" customHeight="1">
      <c r="A290" s="1"/>
      <c r="B290" s="93" t="s">
        <v>743</v>
      </c>
      <c r="C290" s="1213">
        <v>0.2</v>
      </c>
      <c r="D290" s="1420">
        <f t="shared" si="26"/>
        <v>0.1666666667</v>
      </c>
      <c r="E290" s="1886"/>
      <c r="F290" s="165" t="s">
        <v>5</v>
      </c>
      <c r="G290" s="63"/>
      <c r="H290" s="920"/>
      <c r="I290" s="1"/>
      <c r="J290" s="1"/>
      <c r="K290" s="1"/>
      <c r="L290" s="1"/>
      <c r="M290" s="1"/>
    </row>
    <row r="291" ht="14.25" customHeight="1">
      <c r="A291" s="1"/>
      <c r="B291" s="105" t="s">
        <v>13</v>
      </c>
      <c r="C291" s="1216">
        <v>2.0</v>
      </c>
      <c r="D291" s="1897">
        <f t="shared" si="26"/>
        <v>1.666666667</v>
      </c>
      <c r="E291" s="1898"/>
      <c r="F291" s="172" t="s">
        <v>14</v>
      </c>
      <c r="G291" s="102"/>
      <c r="H291" s="920"/>
      <c r="I291" s="1"/>
      <c r="J291" s="1"/>
      <c r="K291" s="1"/>
      <c r="L291" s="1"/>
      <c r="M291" s="1"/>
    </row>
    <row r="292" ht="14.25" customHeight="1">
      <c r="A292" s="1"/>
      <c r="B292" s="119" t="s">
        <v>1371</v>
      </c>
      <c r="C292" s="1209">
        <v>100.0</v>
      </c>
      <c r="D292" s="1556">
        <f t="shared" si="26"/>
        <v>83.33333333</v>
      </c>
      <c r="E292" s="2268"/>
      <c r="F292" s="176" t="s">
        <v>18</v>
      </c>
      <c r="G292" s="2269"/>
      <c r="H292" s="920"/>
      <c r="I292" s="1"/>
      <c r="J292" s="1"/>
      <c r="K292" s="1"/>
      <c r="L292" s="1"/>
      <c r="M292" s="1"/>
    </row>
    <row r="293" ht="15.75" customHeight="1">
      <c r="A293" s="1"/>
      <c r="B293" s="93" t="s">
        <v>1372</v>
      </c>
      <c r="C293" s="1213">
        <v>50.0</v>
      </c>
      <c r="D293" s="1420">
        <f t="shared" si="26"/>
        <v>41.66666667</v>
      </c>
      <c r="E293" s="1886"/>
      <c r="F293" s="165" t="s">
        <v>18</v>
      </c>
      <c r="G293" s="2269"/>
      <c r="H293" s="920"/>
      <c r="I293" s="1"/>
      <c r="J293" s="1"/>
      <c r="K293" s="1"/>
      <c r="L293" s="1"/>
      <c r="M293" s="1"/>
    </row>
    <row r="294" ht="14.25" customHeight="1">
      <c r="A294" s="1"/>
      <c r="B294" s="93" t="s">
        <v>1374</v>
      </c>
      <c r="C294" s="1213">
        <v>0.25</v>
      </c>
      <c r="D294" s="1420">
        <f t="shared" si="26"/>
        <v>0.2083333333</v>
      </c>
      <c r="E294" s="1886"/>
      <c r="F294" s="165" t="s">
        <v>14</v>
      </c>
      <c r="G294" s="2269"/>
      <c r="H294" s="920"/>
      <c r="I294" s="1"/>
      <c r="J294" s="1"/>
      <c r="K294" s="1"/>
      <c r="L294" s="1"/>
      <c r="M294" s="1"/>
    </row>
    <row r="295" ht="14.25" customHeight="1">
      <c r="A295" s="1"/>
      <c r="B295" s="93" t="s">
        <v>743</v>
      </c>
      <c r="C295" s="1213">
        <v>0.025</v>
      </c>
      <c r="D295" s="1420">
        <f t="shared" si="26"/>
        <v>0.02083333333</v>
      </c>
      <c r="E295" s="1886"/>
      <c r="F295" s="165" t="s">
        <v>5</v>
      </c>
      <c r="G295" s="2269"/>
      <c r="H295" s="920"/>
      <c r="I295" s="1"/>
      <c r="J295" s="1"/>
      <c r="K295" s="1"/>
      <c r="L295" s="1"/>
      <c r="M295" s="1"/>
    </row>
    <row r="296" ht="14.25" customHeight="1">
      <c r="A296" s="1"/>
      <c r="B296" s="93" t="s">
        <v>1373</v>
      </c>
      <c r="C296" s="1213">
        <v>100.0</v>
      </c>
      <c r="D296" s="1420">
        <f t="shared" si="26"/>
        <v>83.33333333</v>
      </c>
      <c r="E296" s="1886"/>
      <c r="F296" s="165" t="s">
        <v>18</v>
      </c>
      <c r="G296" s="2269"/>
      <c r="H296" s="920"/>
      <c r="I296" s="1"/>
      <c r="J296" s="1"/>
      <c r="K296" s="1"/>
      <c r="L296" s="1"/>
      <c r="M296" s="1"/>
    </row>
    <row r="297" ht="14.25" customHeight="1">
      <c r="A297" s="1"/>
      <c r="B297" s="93" t="s">
        <v>2517</v>
      </c>
      <c r="C297" s="1213">
        <v>150.0</v>
      </c>
      <c r="D297" s="1420">
        <f t="shared" si="26"/>
        <v>125</v>
      </c>
      <c r="E297" s="1886"/>
      <c r="F297" s="165" t="s">
        <v>18</v>
      </c>
      <c r="G297" s="2269"/>
      <c r="H297" s="920"/>
      <c r="I297" s="1"/>
      <c r="J297" s="1"/>
      <c r="K297" s="1"/>
      <c r="L297" s="1"/>
      <c r="M297" s="1"/>
    </row>
    <row r="298" ht="14.25" customHeight="1">
      <c r="A298" s="1"/>
      <c r="B298" s="93" t="s">
        <v>2518</v>
      </c>
      <c r="C298" s="1213">
        <v>0.35</v>
      </c>
      <c r="D298" s="1420">
        <f t="shared" si="26"/>
        <v>0.2916666667</v>
      </c>
      <c r="E298" s="1886"/>
      <c r="F298" s="165" t="s">
        <v>14</v>
      </c>
      <c r="G298" s="2269"/>
      <c r="H298" s="920"/>
      <c r="I298" s="1"/>
      <c r="J298" s="1"/>
      <c r="K298" s="1"/>
      <c r="L298" s="1"/>
      <c r="M298" s="1"/>
    </row>
    <row r="299" ht="14.25" customHeight="1">
      <c r="A299" s="1"/>
      <c r="B299" s="93" t="s">
        <v>2519</v>
      </c>
      <c r="C299" s="195">
        <v>125.0</v>
      </c>
      <c r="D299" s="1420">
        <f t="shared" si="26"/>
        <v>104.1666667</v>
      </c>
      <c r="E299" s="1886"/>
      <c r="F299" s="165" t="s">
        <v>18</v>
      </c>
      <c r="G299" s="2269"/>
      <c r="H299" s="920"/>
      <c r="I299" s="1"/>
      <c r="J299" s="1"/>
      <c r="K299" s="1"/>
      <c r="L299" s="1"/>
      <c r="M299" s="1"/>
    </row>
    <row r="300" ht="14.25" customHeight="1">
      <c r="A300" s="1"/>
      <c r="B300" s="93" t="s">
        <v>1380</v>
      </c>
      <c r="C300" s="1213">
        <v>10.0</v>
      </c>
      <c r="D300" s="1420">
        <f t="shared" si="26"/>
        <v>8.333333333</v>
      </c>
      <c r="E300" s="1886"/>
      <c r="F300" s="165" t="s">
        <v>82</v>
      </c>
      <c r="G300" s="2269"/>
      <c r="H300" s="920"/>
      <c r="I300" s="1"/>
      <c r="J300" s="1"/>
      <c r="K300" s="1"/>
      <c r="L300" s="1"/>
      <c r="M300" s="1"/>
    </row>
    <row r="301" ht="14.25" customHeight="1">
      <c r="A301" s="1"/>
      <c r="B301" s="138" t="s">
        <v>2521</v>
      </c>
      <c r="C301" s="351">
        <v>0.5</v>
      </c>
      <c r="D301" s="1887">
        <f t="shared" si="26"/>
        <v>0.4166666667</v>
      </c>
      <c r="E301" s="1889"/>
      <c r="F301" s="281" t="s">
        <v>18</v>
      </c>
      <c r="G301" s="2269"/>
      <c r="H301" s="920"/>
      <c r="I301" s="1"/>
      <c r="J301" s="1"/>
      <c r="K301" s="1"/>
      <c r="L301" s="1"/>
      <c r="M301" s="1"/>
    </row>
    <row r="302" ht="14.25" customHeight="1">
      <c r="A302" s="1"/>
      <c r="B302" s="173" t="s">
        <v>1384</v>
      </c>
      <c r="C302" s="1234">
        <v>12.5</v>
      </c>
      <c r="D302" s="1550">
        <f t="shared" si="26"/>
        <v>10.41666667</v>
      </c>
      <c r="E302" s="2272"/>
      <c r="F302" s="278" t="s">
        <v>14</v>
      </c>
      <c r="G302" s="2273"/>
      <c r="H302" s="920"/>
      <c r="I302" s="1"/>
      <c r="J302" s="1"/>
      <c r="K302" s="1"/>
      <c r="L302" s="1"/>
      <c r="M302" s="1"/>
    </row>
    <row r="303" ht="14.25" customHeight="1">
      <c r="A303" s="1"/>
      <c r="B303" s="258" t="s">
        <v>119</v>
      </c>
      <c r="C303" s="258" t="s">
        <v>47</v>
      </c>
      <c r="D303" s="184"/>
      <c r="E303" s="184"/>
      <c r="F303" s="108"/>
      <c r="G303" s="921"/>
      <c r="H303" s="920"/>
      <c r="I303" s="1"/>
      <c r="J303" s="1"/>
      <c r="K303" s="1"/>
      <c r="L303" s="1"/>
      <c r="M303" s="1"/>
    </row>
    <row r="304" ht="14.25" customHeight="1">
      <c r="A304" s="1"/>
      <c r="B304" s="2276" t="s">
        <v>2529</v>
      </c>
      <c r="C304" s="5"/>
      <c r="D304" s="5"/>
      <c r="E304" s="5"/>
      <c r="F304" s="6"/>
      <c r="G304" s="921"/>
      <c r="H304" s="920"/>
      <c r="I304" s="1"/>
      <c r="J304" s="1"/>
      <c r="K304" s="1"/>
      <c r="L304" s="1"/>
      <c r="M304" s="1"/>
    </row>
    <row r="305" ht="14.25" customHeight="1">
      <c r="A305" s="1"/>
      <c r="B305" s="63"/>
      <c r="F305" s="66"/>
      <c r="G305" s="921"/>
      <c r="H305" s="920"/>
      <c r="I305" s="1"/>
      <c r="J305" s="1"/>
      <c r="K305" s="1"/>
      <c r="L305" s="1"/>
      <c r="M305" s="1"/>
    </row>
    <row r="306" ht="14.25" customHeight="1">
      <c r="A306" s="1"/>
      <c r="B306" s="63"/>
      <c r="F306" s="66"/>
      <c r="G306" s="921"/>
      <c r="H306" s="920"/>
      <c r="I306" s="1"/>
      <c r="J306" s="1"/>
      <c r="K306" s="1"/>
      <c r="L306" s="1"/>
      <c r="M306" s="1"/>
    </row>
    <row r="307" ht="14.25" customHeight="1">
      <c r="A307" s="1"/>
      <c r="B307" s="102"/>
      <c r="C307" s="104"/>
      <c r="D307" s="104"/>
      <c r="E307" s="104"/>
      <c r="F307" s="106"/>
      <c r="G307" s="921"/>
      <c r="H307" s="920"/>
      <c r="I307" s="1"/>
      <c r="J307" s="1"/>
      <c r="K307" s="1"/>
      <c r="L307" s="1"/>
      <c r="M307" s="1"/>
    </row>
    <row r="308" ht="14.25" customHeight="1">
      <c r="A308" s="1"/>
      <c r="B308" s="90" t="s">
        <v>120</v>
      </c>
      <c r="C308" s="1188">
        <v>41004.0</v>
      </c>
      <c r="D308" s="184"/>
      <c r="E308" s="184"/>
      <c r="F308" s="108"/>
      <c r="G308" s="921"/>
      <c r="H308" s="920"/>
      <c r="I308" s="1"/>
      <c r="J308" s="1"/>
      <c r="K308" s="1"/>
      <c r="L308" s="1"/>
      <c r="M308" s="1"/>
    </row>
    <row r="309" ht="14.25" customHeight="1">
      <c r="A309" s="1"/>
      <c r="B309" s="305" t="s">
        <v>50</v>
      </c>
      <c r="C309" s="1188">
        <v>41616.0</v>
      </c>
      <c r="D309" s="184"/>
      <c r="E309" s="184"/>
      <c r="F309" s="108"/>
      <c r="G309" s="921"/>
      <c r="H309" s="920"/>
      <c r="I309" s="1"/>
      <c r="J309" s="1"/>
      <c r="K309" s="1"/>
      <c r="L309" s="1"/>
      <c r="M309" s="1"/>
    </row>
    <row r="310" ht="14.25" customHeight="1">
      <c r="A310" s="1"/>
      <c r="B310" s="1"/>
      <c r="C310" s="107"/>
      <c r="D310" s="184"/>
      <c r="E310" s="184"/>
      <c r="F310" s="108"/>
      <c r="G310" s="207"/>
      <c r="H310" s="920"/>
      <c r="I310" s="1"/>
      <c r="J310" s="1"/>
      <c r="K310" s="1"/>
      <c r="L310" s="1"/>
      <c r="M310" s="1"/>
    </row>
    <row r="311" ht="14.25" customHeight="1">
      <c r="A311" s="1"/>
      <c r="B311" s="1"/>
      <c r="C311" s="107"/>
      <c r="D311" s="184"/>
      <c r="E311" s="184"/>
      <c r="F311" s="108"/>
      <c r="G311" s="2281"/>
      <c r="H311" s="920"/>
      <c r="I311" s="1"/>
      <c r="J311" s="1"/>
      <c r="K311" s="1"/>
      <c r="L311" s="1"/>
      <c r="M311" s="1"/>
    </row>
    <row r="312" ht="14.25" customHeight="1">
      <c r="A312" s="1"/>
      <c r="B312" s="1"/>
      <c r="C312" s="107"/>
      <c r="D312" s="184"/>
      <c r="E312" s="184"/>
      <c r="F312" s="108"/>
      <c r="G312" s="2281"/>
      <c r="H312" s="920"/>
      <c r="I312" s="1"/>
      <c r="J312" s="1"/>
      <c r="K312" s="1"/>
      <c r="L312" s="1"/>
      <c r="M312" s="1"/>
    </row>
    <row r="313" ht="14.25" customHeight="1">
      <c r="A313" s="1"/>
      <c r="B313" s="1"/>
      <c r="C313" s="107"/>
      <c r="D313" s="184"/>
      <c r="E313" s="184"/>
      <c r="F313" s="108"/>
      <c r="G313" s="2281"/>
      <c r="H313" s="920"/>
      <c r="I313" s="1"/>
      <c r="J313" s="1"/>
      <c r="K313" s="1"/>
      <c r="L313" s="1"/>
      <c r="M313" s="1"/>
    </row>
    <row r="314" ht="14.25" customHeight="1">
      <c r="A314" s="1"/>
      <c r="B314" s="1"/>
      <c r="C314" s="107"/>
      <c r="D314" s="184"/>
      <c r="E314" s="184"/>
      <c r="F314" s="108"/>
      <c r="G314" s="1"/>
      <c r="H314" s="920"/>
      <c r="I314" s="1"/>
      <c r="J314" s="1"/>
      <c r="K314" s="1"/>
      <c r="L314" s="1"/>
      <c r="M314" s="1"/>
    </row>
    <row r="315" ht="14.25" customHeight="1">
      <c r="A315" s="1"/>
      <c r="B315" s="1"/>
      <c r="C315" s="107"/>
      <c r="D315" s="184"/>
      <c r="E315" s="184"/>
      <c r="F315" s="108"/>
      <c r="G315" s="1"/>
      <c r="H315" s="920"/>
      <c r="I315" s="1"/>
      <c r="J315" s="1"/>
      <c r="K315" s="1"/>
      <c r="L315" s="1"/>
      <c r="M315" s="1"/>
    </row>
    <row r="316" ht="14.25" customHeight="1">
      <c r="A316" s="1"/>
      <c r="B316" s="1"/>
      <c r="C316" s="107"/>
      <c r="D316" s="184"/>
      <c r="E316" s="184"/>
      <c r="F316" s="108"/>
      <c r="G316" s="1"/>
      <c r="H316" s="920"/>
      <c r="I316" s="1"/>
      <c r="J316" s="1"/>
      <c r="K316" s="1"/>
      <c r="L316" s="1"/>
      <c r="M316" s="1"/>
    </row>
    <row r="317" ht="14.25" customHeight="1">
      <c r="A317" s="1"/>
      <c r="B317" s="1"/>
      <c r="C317" s="107"/>
      <c r="D317" s="184"/>
      <c r="E317" s="184"/>
      <c r="F317" s="108"/>
      <c r="G317" s="1"/>
      <c r="H317" s="920"/>
      <c r="I317" s="1"/>
      <c r="J317" s="1"/>
      <c r="K317" s="1"/>
      <c r="L317" s="1"/>
      <c r="M317" s="1"/>
    </row>
    <row r="318" ht="14.25" customHeight="1">
      <c r="A318" s="1"/>
      <c r="B318" s="1"/>
      <c r="C318" s="107"/>
      <c r="D318" s="184"/>
      <c r="E318" s="184"/>
      <c r="F318" s="108"/>
      <c r="G318" s="921"/>
      <c r="H318" s="920"/>
      <c r="I318" s="1"/>
      <c r="J318" s="1"/>
      <c r="K318" s="1"/>
      <c r="L318" s="1"/>
      <c r="M318" s="1"/>
    </row>
    <row r="319" ht="14.25" customHeight="1">
      <c r="A319" s="1"/>
      <c r="B319" s="206" t="s">
        <v>890</v>
      </c>
      <c r="C319" s="5"/>
      <c r="D319" s="5"/>
      <c r="E319" s="5"/>
      <c r="F319" s="6"/>
      <c r="G319" s="207"/>
      <c r="H319" s="920"/>
      <c r="I319" s="1"/>
      <c r="J319" s="1"/>
      <c r="K319" s="1"/>
      <c r="L319" s="1"/>
      <c r="M319" s="1"/>
    </row>
    <row r="320" ht="14.25" customHeight="1">
      <c r="A320" s="1"/>
      <c r="B320" s="173" t="s">
        <v>1</v>
      </c>
      <c r="C320" s="275">
        <v>70.0</v>
      </c>
      <c r="D320" s="915">
        <v>38.5</v>
      </c>
      <c r="E320" s="2285"/>
      <c r="F320" s="278" t="s">
        <v>5</v>
      </c>
      <c r="G320" s="1830"/>
      <c r="H320" s="920"/>
      <c r="I320" s="1">
        <f>120*2</f>
        <v>240</v>
      </c>
      <c r="J320" s="1"/>
      <c r="K320" s="1"/>
      <c r="L320" s="1"/>
      <c r="M320" s="1"/>
    </row>
    <row r="321" ht="14.25" customHeight="1">
      <c r="A321" s="1"/>
      <c r="B321" s="68" t="s">
        <v>2539</v>
      </c>
      <c r="C321" s="145">
        <v>100.0</v>
      </c>
      <c r="D321" s="516">
        <f t="shared" ref="D321:D330" si="27">(C321*D320)/C320</f>
        <v>55</v>
      </c>
      <c r="E321" s="1652"/>
      <c r="F321" s="137" t="s">
        <v>14</v>
      </c>
      <c r="G321" s="194" t="s">
        <v>2541</v>
      </c>
      <c r="H321" s="920"/>
      <c r="I321" s="1"/>
      <c r="J321" s="1"/>
      <c r="K321" s="1"/>
      <c r="L321" s="1"/>
      <c r="M321" s="1"/>
    </row>
    <row r="322" ht="14.25" customHeight="1">
      <c r="A322" s="1"/>
      <c r="B322" s="785" t="s">
        <v>15</v>
      </c>
      <c r="C322" s="2291">
        <v>100.0</v>
      </c>
      <c r="D322" s="2293">
        <f t="shared" si="27"/>
        <v>55</v>
      </c>
      <c r="E322" s="2295"/>
      <c r="F322" s="2298" t="s">
        <v>5</v>
      </c>
      <c r="G322" s="63"/>
      <c r="H322" s="920"/>
      <c r="I322" s="1"/>
      <c r="J322" s="1"/>
      <c r="K322" s="1"/>
      <c r="L322" s="1"/>
      <c r="M322" s="1"/>
    </row>
    <row r="323" ht="14.25" customHeight="1">
      <c r="A323" s="1"/>
      <c r="B323" s="2303" t="s">
        <v>15</v>
      </c>
      <c r="C323" s="2306">
        <v>50.0</v>
      </c>
      <c r="D323" s="2307">
        <f t="shared" si="27"/>
        <v>27.5</v>
      </c>
      <c r="E323" s="2308"/>
      <c r="F323" s="2309" t="s">
        <v>5</v>
      </c>
      <c r="G323" s="63"/>
      <c r="H323" s="920"/>
      <c r="I323" s="1"/>
      <c r="J323" s="1"/>
      <c r="K323" s="1"/>
      <c r="L323" s="1"/>
      <c r="M323" s="1"/>
    </row>
    <row r="324" ht="14.25" customHeight="1">
      <c r="A324" s="1"/>
      <c r="B324" s="2311" t="s">
        <v>2547</v>
      </c>
      <c r="C324" s="2314">
        <v>10.0</v>
      </c>
      <c r="D324" s="2316">
        <f t="shared" si="27"/>
        <v>5.5</v>
      </c>
      <c r="E324" s="2317"/>
      <c r="F324" s="2318" t="s">
        <v>366</v>
      </c>
      <c r="G324" s="63"/>
      <c r="H324" s="920"/>
      <c r="I324" s="1"/>
      <c r="J324" s="1"/>
      <c r="K324" s="1"/>
      <c r="L324" s="1"/>
      <c r="M324" s="1"/>
    </row>
    <row r="325" ht="14.25" customHeight="1">
      <c r="A325" s="1"/>
      <c r="B325" s="417" t="s">
        <v>13</v>
      </c>
      <c r="C325" s="418">
        <v>26.0</v>
      </c>
      <c r="D325" s="2320">
        <f t="shared" si="27"/>
        <v>14.3</v>
      </c>
      <c r="E325" s="2321"/>
      <c r="F325" s="420" t="s">
        <v>14</v>
      </c>
      <c r="G325" s="63"/>
      <c r="H325" s="920"/>
      <c r="I325" s="1"/>
      <c r="J325" s="1"/>
      <c r="K325" s="1"/>
      <c r="L325" s="1"/>
      <c r="M325" s="1"/>
    </row>
    <row r="326" ht="14.25" customHeight="1">
      <c r="A326" s="1"/>
      <c r="B326" s="105" t="s">
        <v>743</v>
      </c>
      <c r="C326" s="200">
        <v>4.0</v>
      </c>
      <c r="D326" s="517">
        <f t="shared" si="27"/>
        <v>2.2</v>
      </c>
      <c r="E326" s="1656"/>
      <c r="F326" s="172" t="s">
        <v>5</v>
      </c>
      <c r="G326" s="102"/>
      <c r="H326" s="920"/>
      <c r="I326" s="1"/>
      <c r="J326" s="1"/>
      <c r="K326" s="1"/>
      <c r="L326" s="1"/>
      <c r="M326" s="1"/>
    </row>
    <row r="327" ht="14.25" customHeight="1">
      <c r="A327" s="1"/>
      <c r="B327" s="173" t="s">
        <v>17</v>
      </c>
      <c r="C327" s="275">
        <v>150.0</v>
      </c>
      <c r="D327" s="546">
        <f t="shared" si="27"/>
        <v>82.5</v>
      </c>
      <c r="E327" s="1808"/>
      <c r="F327" s="278" t="s">
        <v>18</v>
      </c>
      <c r="G327" s="1830" t="s">
        <v>2549</v>
      </c>
      <c r="H327" s="920"/>
      <c r="I327" s="1"/>
      <c r="J327" s="1"/>
      <c r="K327" s="1"/>
      <c r="L327" s="1"/>
      <c r="M327" s="1"/>
    </row>
    <row r="328" ht="14.25" customHeight="1">
      <c r="A328" s="1"/>
      <c r="B328" s="68" t="s">
        <v>2550</v>
      </c>
      <c r="C328" s="145">
        <v>1.0</v>
      </c>
      <c r="D328" s="516">
        <f t="shared" si="27"/>
        <v>0.55</v>
      </c>
      <c r="E328" s="1652"/>
      <c r="F328" s="137" t="s">
        <v>5</v>
      </c>
      <c r="G328" s="44" t="s">
        <v>2551</v>
      </c>
      <c r="H328" s="1"/>
      <c r="I328" s="1"/>
      <c r="J328" s="1"/>
      <c r="K328" s="1"/>
      <c r="L328" s="1"/>
      <c r="M328" s="1"/>
    </row>
    <row r="329" ht="14.25" customHeight="1">
      <c r="A329" s="1"/>
      <c r="B329" s="93" t="s">
        <v>749</v>
      </c>
      <c r="C329" s="195">
        <v>1500.0</v>
      </c>
      <c r="D329" s="521">
        <f t="shared" si="27"/>
        <v>825</v>
      </c>
      <c r="E329" s="1653"/>
      <c r="F329" s="165" t="s">
        <v>18</v>
      </c>
      <c r="G329" s="47"/>
      <c r="H329" s="1"/>
      <c r="I329" s="1"/>
      <c r="J329" s="1"/>
      <c r="K329" s="1"/>
      <c r="L329" s="1"/>
      <c r="M329" s="1"/>
    </row>
    <row r="330" ht="14.25" customHeight="1">
      <c r="A330" s="1"/>
      <c r="B330" s="105" t="s">
        <v>1132</v>
      </c>
      <c r="C330" s="200">
        <v>2500.0</v>
      </c>
      <c r="D330" s="517">
        <f t="shared" si="27"/>
        <v>1375</v>
      </c>
      <c r="E330" s="1656"/>
      <c r="F330" s="172" t="s">
        <v>18</v>
      </c>
      <c r="G330" s="76"/>
      <c r="H330" s="1"/>
      <c r="I330" s="1"/>
      <c r="J330" s="1"/>
      <c r="K330" s="1"/>
      <c r="L330" s="1"/>
      <c r="M330" s="1"/>
    </row>
    <row r="331" ht="14.25" customHeight="1">
      <c r="A331" s="1"/>
      <c r="B331" s="258" t="s">
        <v>119</v>
      </c>
      <c r="C331" s="258" t="s">
        <v>47</v>
      </c>
      <c r="D331" s="184"/>
      <c r="E331" s="184"/>
      <c r="F331" s="108"/>
      <c r="G331" s="921"/>
      <c r="H331" s="920"/>
      <c r="I331" s="1"/>
      <c r="J331" s="1"/>
      <c r="K331" s="1"/>
      <c r="L331" s="1"/>
      <c r="M331" s="1"/>
    </row>
    <row r="332" ht="14.25" customHeight="1">
      <c r="A332" s="1"/>
      <c r="B332" s="1"/>
      <c r="C332" s="107"/>
      <c r="D332" s="184"/>
      <c r="E332" s="184"/>
      <c r="F332" s="108"/>
      <c r="G332" s="921"/>
      <c r="H332" s="920"/>
      <c r="I332" s="1"/>
      <c r="J332" s="1"/>
      <c r="K332" s="1"/>
      <c r="L332" s="1"/>
      <c r="M332" s="1"/>
    </row>
    <row r="333" ht="14.25" customHeight="1">
      <c r="A333" s="1"/>
      <c r="B333" s="1"/>
      <c r="C333" s="107"/>
      <c r="D333" s="184"/>
      <c r="E333" s="184"/>
      <c r="F333" s="108"/>
      <c r="G333" s="921"/>
      <c r="H333" s="920"/>
      <c r="I333" s="1"/>
      <c r="J333" s="1"/>
      <c r="K333" s="1"/>
      <c r="L333" s="1"/>
      <c r="M333" s="1"/>
    </row>
    <row r="334" ht="14.25" customHeight="1">
      <c r="A334" s="1"/>
      <c r="B334" s="1"/>
      <c r="C334" s="107"/>
      <c r="D334" s="184"/>
      <c r="E334" s="184"/>
      <c r="F334" s="108"/>
      <c r="G334" s="921"/>
      <c r="H334" s="920"/>
      <c r="I334" s="1"/>
      <c r="J334" s="1"/>
      <c r="K334" s="1"/>
      <c r="L334" s="1"/>
      <c r="M334" s="1"/>
    </row>
    <row r="335" ht="14.25" customHeight="1">
      <c r="A335" s="1"/>
      <c r="B335" s="1"/>
      <c r="C335" s="107"/>
      <c r="D335" s="184"/>
      <c r="E335" s="184"/>
      <c r="F335" s="108"/>
      <c r="G335" s="921"/>
      <c r="H335" s="920"/>
      <c r="I335" s="1"/>
      <c r="J335" s="1"/>
      <c r="K335" s="1"/>
      <c r="L335" s="1"/>
      <c r="M335" s="1"/>
    </row>
    <row r="336" ht="14.25" customHeight="1">
      <c r="A336" s="1"/>
      <c r="B336" s="90" t="s">
        <v>120</v>
      </c>
      <c r="C336" s="1188">
        <v>40816.0</v>
      </c>
      <c r="D336" s="184"/>
      <c r="E336" s="184"/>
      <c r="F336" s="108"/>
      <c r="G336" s="921"/>
      <c r="H336" s="920"/>
      <c r="I336" s="1"/>
      <c r="J336" s="1"/>
      <c r="K336" s="1"/>
      <c r="L336" s="1"/>
      <c r="M336" s="1"/>
    </row>
    <row r="337" ht="14.25" customHeight="1">
      <c r="A337" s="1"/>
      <c r="B337" s="305" t="s">
        <v>50</v>
      </c>
      <c r="C337" s="1188">
        <v>41180.0</v>
      </c>
      <c r="D337" s="184"/>
      <c r="E337" s="184"/>
      <c r="F337" s="108"/>
      <c r="G337" s="921"/>
      <c r="H337" s="920"/>
      <c r="I337" s="1"/>
      <c r="J337" s="1"/>
      <c r="K337" s="1"/>
      <c r="L337" s="1"/>
      <c r="M337" s="1"/>
    </row>
    <row r="338" ht="14.25" customHeight="1">
      <c r="A338" s="1"/>
      <c r="B338" s="1"/>
      <c r="C338" s="107"/>
      <c r="D338" s="184"/>
      <c r="E338" s="184"/>
      <c r="F338" s="108"/>
      <c r="G338" s="921"/>
      <c r="H338" s="920"/>
      <c r="I338" s="1"/>
      <c r="J338" s="1"/>
      <c r="K338" s="1"/>
      <c r="L338" s="1"/>
      <c r="M338" s="1"/>
    </row>
    <row r="339" ht="14.25" customHeight="1">
      <c r="A339" s="1"/>
      <c r="B339" s="1"/>
      <c r="C339" s="107"/>
      <c r="D339" s="184"/>
      <c r="E339" s="184"/>
      <c r="F339" s="108"/>
      <c r="G339" s="921"/>
      <c r="H339" s="920"/>
      <c r="I339" s="1"/>
      <c r="J339" s="1"/>
      <c r="K339" s="1"/>
      <c r="L339" s="1"/>
      <c r="M339" s="1"/>
    </row>
    <row r="340" ht="14.25" customHeight="1">
      <c r="A340" s="1"/>
      <c r="B340" s="1"/>
      <c r="C340" s="107"/>
      <c r="D340" s="184"/>
      <c r="E340" s="184"/>
      <c r="F340" s="108"/>
      <c r="G340" s="921"/>
      <c r="H340" s="920"/>
      <c r="I340" s="1"/>
      <c r="J340" s="1"/>
      <c r="K340" s="1"/>
      <c r="L340" s="1"/>
      <c r="M340" s="1"/>
    </row>
    <row r="341" ht="14.25" customHeight="1">
      <c r="A341" s="1"/>
      <c r="B341" s="1"/>
      <c r="C341" s="107"/>
      <c r="D341" s="184"/>
      <c r="E341" s="184"/>
      <c r="F341" s="108"/>
      <c r="G341" s="1"/>
      <c r="H341" s="920"/>
      <c r="I341" s="1"/>
      <c r="J341" s="1"/>
      <c r="K341" s="1"/>
      <c r="L341" s="1"/>
      <c r="M341" s="1"/>
    </row>
    <row r="342" ht="14.25" customHeight="1">
      <c r="A342" s="1"/>
      <c r="B342" s="1"/>
      <c r="C342" s="107"/>
      <c r="D342" s="184"/>
      <c r="E342" s="184"/>
      <c r="F342" s="108"/>
      <c r="G342" s="1"/>
      <c r="H342" s="920"/>
      <c r="I342" s="1"/>
      <c r="J342" s="1"/>
      <c r="K342" s="1"/>
      <c r="L342" s="1"/>
      <c r="M342" s="1"/>
    </row>
    <row r="343" ht="14.25" customHeight="1">
      <c r="A343" s="1"/>
      <c r="B343" s="1"/>
      <c r="C343" s="107"/>
      <c r="D343" s="184"/>
      <c r="E343" s="184"/>
      <c r="F343" s="108"/>
      <c r="G343" s="1"/>
      <c r="H343" s="920"/>
      <c r="I343" s="1"/>
      <c r="J343" s="1"/>
      <c r="K343" s="1"/>
      <c r="L343" s="1"/>
      <c r="M343" s="1"/>
    </row>
    <row r="344" ht="14.25" customHeight="1">
      <c r="A344" s="1"/>
      <c r="B344" s="206" t="s">
        <v>2558</v>
      </c>
      <c r="C344" s="5"/>
      <c r="D344" s="5"/>
      <c r="E344" s="5"/>
      <c r="F344" s="6"/>
      <c r="G344" s="577" t="s">
        <v>2559</v>
      </c>
      <c r="H344" s="971" t="s">
        <v>2560</v>
      </c>
      <c r="I344" s="1"/>
      <c r="J344" s="1"/>
      <c r="K344" s="1"/>
      <c r="L344" s="1"/>
      <c r="M344" s="1"/>
    </row>
    <row r="345" ht="14.25" customHeight="1">
      <c r="A345" s="1"/>
      <c r="B345" s="68" t="s">
        <v>2561</v>
      </c>
      <c r="C345" s="145">
        <v>7.0</v>
      </c>
      <c r="D345" s="221">
        <v>0.5</v>
      </c>
      <c r="E345" s="222"/>
      <c r="F345" s="1157" t="s">
        <v>14</v>
      </c>
      <c r="G345" s="681" t="s">
        <v>2563</v>
      </c>
      <c r="H345" s="920"/>
      <c r="I345" s="1"/>
      <c r="J345" s="1"/>
      <c r="K345" s="1"/>
      <c r="L345" s="1"/>
      <c r="M345" s="1"/>
    </row>
    <row r="346" ht="14.25" customHeight="1">
      <c r="A346" s="1"/>
      <c r="B346" s="93" t="s">
        <v>2565</v>
      </c>
      <c r="C346" s="195">
        <v>280.0</v>
      </c>
      <c r="D346" s="195">
        <f t="shared" ref="D346:D352" si="28">(C346*D345)/C345</f>
        <v>20</v>
      </c>
      <c r="E346" s="196"/>
      <c r="F346" s="1158" t="s">
        <v>18</v>
      </c>
      <c r="G346" s="63"/>
      <c r="H346" s="920"/>
      <c r="I346" s="1"/>
      <c r="J346" s="1"/>
      <c r="K346" s="1"/>
      <c r="L346" s="1"/>
      <c r="M346" s="1"/>
    </row>
    <row r="347" ht="14.25" customHeight="1">
      <c r="A347" s="1"/>
      <c r="B347" s="138" t="s">
        <v>2568</v>
      </c>
      <c r="C347" s="279">
        <v>154.0</v>
      </c>
      <c r="D347" s="279">
        <f t="shared" si="28"/>
        <v>11</v>
      </c>
      <c r="E347" s="280"/>
      <c r="F347" s="1219" t="s">
        <v>18</v>
      </c>
      <c r="G347" s="102"/>
      <c r="H347" s="920"/>
      <c r="I347" s="1"/>
      <c r="J347" s="1"/>
      <c r="K347" s="1"/>
      <c r="L347" s="1"/>
      <c r="M347" s="1"/>
    </row>
    <row r="348" ht="14.25" customHeight="1">
      <c r="A348" s="1"/>
      <c r="B348" s="68" t="s">
        <v>2570</v>
      </c>
      <c r="C348" s="145">
        <v>5.25</v>
      </c>
      <c r="D348" s="145">
        <f t="shared" si="28"/>
        <v>0.375</v>
      </c>
      <c r="E348" s="147"/>
      <c r="F348" s="1157" t="s">
        <v>14</v>
      </c>
      <c r="G348" s="655" t="s">
        <v>2571</v>
      </c>
      <c r="H348" s="920"/>
      <c r="I348" s="1"/>
      <c r="J348" s="1"/>
      <c r="K348" s="1"/>
      <c r="L348" s="1"/>
      <c r="M348" s="1"/>
    </row>
    <row r="349" ht="14.25" customHeight="1">
      <c r="A349" s="1"/>
      <c r="B349" s="93" t="s">
        <v>2573</v>
      </c>
      <c r="C349" s="195">
        <v>3.5</v>
      </c>
      <c r="D349" s="195">
        <f t="shared" si="28"/>
        <v>0.25</v>
      </c>
      <c r="E349" s="196"/>
      <c r="F349" s="1158" t="s">
        <v>14</v>
      </c>
      <c r="G349" s="63"/>
      <c r="H349" s="920"/>
      <c r="I349" s="1"/>
      <c r="J349" s="1"/>
      <c r="K349" s="1"/>
      <c r="L349" s="1"/>
      <c r="M349" s="1"/>
    </row>
    <row r="350" ht="14.25" customHeight="1">
      <c r="A350" s="1"/>
      <c r="B350" s="93" t="s">
        <v>2574</v>
      </c>
      <c r="C350" s="195">
        <v>5.25</v>
      </c>
      <c r="D350" s="195">
        <f t="shared" si="28"/>
        <v>0.375</v>
      </c>
      <c r="E350" s="196"/>
      <c r="F350" s="1158" t="s">
        <v>14</v>
      </c>
      <c r="G350" s="63"/>
      <c r="H350" s="920"/>
      <c r="I350" s="1"/>
      <c r="J350" s="1"/>
      <c r="K350" s="1"/>
      <c r="L350" s="1"/>
      <c r="M350" s="1"/>
    </row>
    <row r="351" ht="15.75" customHeight="1">
      <c r="A351" s="1"/>
      <c r="B351" s="105" t="s">
        <v>1380</v>
      </c>
      <c r="C351" s="200">
        <v>210.0</v>
      </c>
      <c r="D351" s="200">
        <f t="shared" si="28"/>
        <v>15</v>
      </c>
      <c r="E351" s="202"/>
      <c r="F351" s="1182" t="s">
        <v>82</v>
      </c>
      <c r="G351" s="102"/>
      <c r="H351" s="920"/>
      <c r="I351" s="1"/>
      <c r="J351" s="1"/>
      <c r="K351" s="1"/>
      <c r="L351" s="1"/>
      <c r="M351" s="1"/>
    </row>
    <row r="352" ht="14.25" customHeight="1">
      <c r="A352" s="1"/>
      <c r="B352" s="417" t="s">
        <v>2577</v>
      </c>
      <c r="C352" s="418">
        <v>12.25</v>
      </c>
      <c r="D352" s="418">
        <f t="shared" si="28"/>
        <v>0.875</v>
      </c>
      <c r="E352" s="419"/>
      <c r="F352" s="2337" t="s">
        <v>5</v>
      </c>
      <c r="G352" s="763"/>
      <c r="H352" s="920"/>
      <c r="I352" s="1"/>
      <c r="J352" s="1"/>
      <c r="K352" s="1"/>
      <c r="L352" s="1"/>
      <c r="M352" s="1"/>
    </row>
    <row r="353" ht="14.25" customHeight="1">
      <c r="A353" s="1"/>
      <c r="B353" s="68" t="s">
        <v>2579</v>
      </c>
      <c r="C353" s="145">
        <v>3.5</v>
      </c>
      <c r="D353" s="145">
        <f t="shared" ref="D353:D354" si="29">(C353*D350)/C350</f>
        <v>0.25</v>
      </c>
      <c r="E353" s="147"/>
      <c r="F353" s="1157" t="s">
        <v>366</v>
      </c>
      <c r="G353" s="1"/>
      <c r="H353" s="920"/>
      <c r="I353" s="1"/>
      <c r="J353" s="1"/>
      <c r="K353" s="1"/>
      <c r="L353" s="1"/>
      <c r="M353" s="1"/>
    </row>
    <row r="354" ht="14.25" customHeight="1">
      <c r="A354" s="1"/>
      <c r="B354" s="68" t="s">
        <v>2582</v>
      </c>
      <c r="C354" s="145">
        <v>35.0</v>
      </c>
      <c r="D354" s="145">
        <f t="shared" si="29"/>
        <v>2.5</v>
      </c>
      <c r="E354" s="147"/>
      <c r="F354" s="1157" t="s">
        <v>366</v>
      </c>
      <c r="G354" s="1"/>
      <c r="H354" s="920"/>
      <c r="I354" s="1"/>
      <c r="J354" s="1"/>
      <c r="K354" s="1"/>
      <c r="L354" s="1"/>
      <c r="M354" s="1"/>
    </row>
    <row r="355" ht="15.75" customHeight="1">
      <c r="A355" s="1"/>
      <c r="B355" s="173" t="s">
        <v>2583</v>
      </c>
      <c r="C355" s="275">
        <f t="shared" ref="C355:D355" si="30">C354*60/3.5</f>
        <v>600</v>
      </c>
      <c r="D355" s="1549">
        <f t="shared" si="30"/>
        <v>42.85714286</v>
      </c>
      <c r="E355" s="2339"/>
      <c r="F355" s="1610" t="s">
        <v>1785</v>
      </c>
      <c r="G355" s="2340" t="s">
        <v>2586</v>
      </c>
      <c r="H355" s="920"/>
      <c r="I355" s="1"/>
      <c r="J355" s="1"/>
      <c r="K355" s="1"/>
      <c r="L355" s="1"/>
      <c r="M355" s="1"/>
    </row>
    <row r="356" ht="14.25" customHeight="1">
      <c r="A356" s="1"/>
      <c r="B356" s="2341" t="s">
        <v>49</v>
      </c>
      <c r="C356" s="2342">
        <v>42771.0</v>
      </c>
      <c r="D356" s="184"/>
      <c r="E356" s="184"/>
      <c r="F356" s="108"/>
      <c r="G356" s="1"/>
      <c r="H356" s="920"/>
      <c r="I356" s="1"/>
      <c r="J356" s="1"/>
      <c r="K356" s="1"/>
      <c r="L356" s="1"/>
      <c r="M356" s="1"/>
    </row>
    <row r="357" ht="14.25" customHeight="1">
      <c r="A357" s="1"/>
      <c r="B357" s="795" t="s">
        <v>50</v>
      </c>
      <c r="C357" s="2343">
        <v>43504.0</v>
      </c>
      <c r="D357" s="184"/>
      <c r="E357" s="184"/>
      <c r="F357" s="108"/>
      <c r="G357" s="1"/>
      <c r="H357" s="920"/>
      <c r="I357" s="1"/>
      <c r="J357" s="1"/>
      <c r="K357" s="1"/>
      <c r="L357" s="1"/>
      <c r="M357" s="1"/>
    </row>
    <row r="358" ht="14.25" customHeight="1">
      <c r="A358" s="1"/>
      <c r="B358" s="2344" t="s">
        <v>119</v>
      </c>
      <c r="C358" s="2344" t="s">
        <v>47</v>
      </c>
      <c r="D358" s="184"/>
      <c r="E358" s="184"/>
      <c r="F358" s="108"/>
      <c r="G358" s="1"/>
      <c r="H358" s="920"/>
      <c r="I358" s="1"/>
      <c r="J358" s="1"/>
      <c r="K358" s="1"/>
      <c r="L358" s="1"/>
      <c r="M358" s="1"/>
    </row>
    <row r="359" ht="14.25" customHeight="1">
      <c r="A359" s="1"/>
      <c r="B359" s="1"/>
      <c r="C359" s="107"/>
      <c r="D359" s="184"/>
      <c r="E359" s="184"/>
      <c r="F359" s="108"/>
      <c r="G359" s="1"/>
      <c r="H359" s="920"/>
      <c r="I359" s="1"/>
      <c r="J359" s="1"/>
      <c r="K359" s="1"/>
      <c r="L359" s="1"/>
      <c r="M359" s="1"/>
    </row>
    <row r="360" ht="14.25" customHeight="1">
      <c r="A360" s="1"/>
      <c r="B360" s="2347" t="s">
        <v>2592</v>
      </c>
      <c r="C360" s="18"/>
      <c r="D360" s="18"/>
      <c r="E360" s="18"/>
      <c r="F360" s="18"/>
      <c r="G360" s="19"/>
      <c r="H360" s="1"/>
      <c r="I360" s="1"/>
      <c r="J360" s="1"/>
      <c r="K360" s="1"/>
      <c r="L360" s="1"/>
      <c r="M360" s="1"/>
    </row>
    <row r="361" ht="14.25" customHeight="1">
      <c r="A361" s="1"/>
      <c r="B361" s="1"/>
      <c r="C361" s="107"/>
      <c r="D361" s="184"/>
      <c r="E361" s="184"/>
      <c r="F361" s="108"/>
      <c r="G361" s="1"/>
      <c r="H361" s="920"/>
      <c r="I361" s="1"/>
      <c r="J361" s="1"/>
      <c r="K361" s="1"/>
      <c r="L361" s="1"/>
      <c r="M361" s="1"/>
    </row>
    <row r="362" ht="14.25" customHeight="1">
      <c r="A362" s="1"/>
      <c r="B362" s="2349" t="s">
        <v>2594</v>
      </c>
      <c r="C362" s="1504"/>
      <c r="D362" s="1504"/>
      <c r="E362" s="1504"/>
      <c r="F362" s="1504"/>
      <c r="G362" s="2351"/>
      <c r="H362" s="920"/>
      <c r="I362" s="1"/>
      <c r="J362" s="1"/>
      <c r="K362" s="1"/>
      <c r="L362" s="1"/>
      <c r="M362" s="1"/>
    </row>
    <row r="363" ht="14.25" customHeight="1">
      <c r="A363" s="1"/>
      <c r="B363" s="1" t="s">
        <v>2595</v>
      </c>
      <c r="C363" s="107"/>
      <c r="D363" s="184"/>
      <c r="E363" s="184"/>
      <c r="F363" s="108"/>
      <c r="G363" s="921"/>
      <c r="H363" s="920"/>
      <c r="I363" s="1"/>
      <c r="J363" s="1"/>
      <c r="K363" s="1"/>
      <c r="L363" s="1"/>
      <c r="M363" s="1"/>
    </row>
    <row r="364" ht="21.75" customHeight="1">
      <c r="A364" s="1"/>
      <c r="B364" s="2347" t="s">
        <v>2596</v>
      </c>
      <c r="C364" s="18"/>
      <c r="D364" s="18"/>
      <c r="E364" s="18"/>
      <c r="F364" s="18"/>
      <c r="G364" s="19"/>
      <c r="H364" s="920"/>
      <c r="I364" s="1"/>
      <c r="J364" s="1"/>
      <c r="K364" s="1"/>
      <c r="L364" s="1"/>
      <c r="M364" s="1"/>
    </row>
    <row r="365" ht="14.25" customHeight="1">
      <c r="A365" s="1"/>
      <c r="B365" s="1"/>
      <c r="C365" s="107"/>
      <c r="D365" s="184"/>
      <c r="E365" s="184"/>
      <c r="F365" s="108"/>
      <c r="G365" s="1"/>
      <c r="H365" s="920"/>
      <c r="I365" s="1"/>
      <c r="J365" s="1"/>
      <c r="K365" s="1"/>
      <c r="L365" s="1"/>
      <c r="M365" s="1"/>
    </row>
    <row r="366" ht="14.25" customHeight="1">
      <c r="A366" s="1"/>
      <c r="B366" s="1"/>
      <c r="C366" s="107"/>
      <c r="D366" s="184"/>
      <c r="E366" s="184"/>
      <c r="F366" s="108"/>
      <c r="G366" s="207"/>
      <c r="H366" s="920"/>
      <c r="I366" s="1"/>
      <c r="J366" s="1"/>
      <c r="K366" s="1"/>
      <c r="L366" s="1"/>
      <c r="M366" s="1"/>
    </row>
    <row r="367" ht="14.25" customHeight="1">
      <c r="A367" s="1"/>
      <c r="B367" s="209" t="s">
        <v>929</v>
      </c>
      <c r="C367" s="18"/>
      <c r="D367" s="18"/>
      <c r="E367" s="18"/>
      <c r="F367" s="19"/>
      <c r="G367" s="207"/>
      <c r="H367" s="920"/>
      <c r="I367" s="1"/>
      <c r="J367" s="1"/>
      <c r="K367" s="1"/>
      <c r="L367" s="1"/>
      <c r="M367" s="1"/>
    </row>
    <row r="368" ht="14.25" customHeight="1">
      <c r="A368" s="1"/>
      <c r="B368" s="51" t="s">
        <v>1</v>
      </c>
      <c r="C368" s="190">
        <v>65.0</v>
      </c>
      <c r="D368" s="513">
        <v>35.0</v>
      </c>
      <c r="E368" s="1576"/>
      <c r="F368" s="125" t="s">
        <v>5</v>
      </c>
      <c r="G368" s="207"/>
      <c r="H368" s="920"/>
      <c r="I368" s="1"/>
      <c r="J368" s="1"/>
      <c r="K368" s="1"/>
      <c r="L368" s="1"/>
      <c r="M368" s="1"/>
    </row>
    <row r="369" ht="14.25" customHeight="1">
      <c r="A369" s="1"/>
      <c r="B369" s="51" t="s">
        <v>140</v>
      </c>
      <c r="C369" s="190">
        <v>10.0</v>
      </c>
      <c r="D369" s="548">
        <f t="shared" ref="D369:D375" si="31">(C369*D368)/C368</f>
        <v>5.384615385</v>
      </c>
      <c r="E369" s="1651"/>
      <c r="F369" s="125" t="s">
        <v>14</v>
      </c>
      <c r="G369" s="194" t="s">
        <v>2597</v>
      </c>
      <c r="H369" s="920"/>
      <c r="I369" s="1"/>
      <c r="J369" s="1"/>
      <c r="K369" s="1"/>
      <c r="L369" s="1"/>
      <c r="M369" s="1"/>
    </row>
    <row r="370" ht="14.25" customHeight="1">
      <c r="A370" s="1"/>
      <c r="B370" s="1842" t="s">
        <v>743</v>
      </c>
      <c r="C370" s="1844">
        <v>8.0</v>
      </c>
      <c r="D370" s="2354">
        <f t="shared" si="31"/>
        <v>4.307692308</v>
      </c>
      <c r="E370" s="2355"/>
      <c r="F370" s="1849" t="s">
        <v>5</v>
      </c>
      <c r="G370" s="63"/>
      <c r="H370" s="920"/>
      <c r="I370" s="1"/>
      <c r="J370" s="1"/>
      <c r="K370" s="1"/>
      <c r="L370" s="1"/>
      <c r="M370" s="1"/>
    </row>
    <row r="371" ht="14.25" customHeight="1">
      <c r="A371" s="1"/>
      <c r="B371" s="1801" t="s">
        <v>743</v>
      </c>
      <c r="C371" s="1804">
        <v>4.0</v>
      </c>
      <c r="D371" s="2356">
        <f t="shared" si="31"/>
        <v>2.153846154</v>
      </c>
      <c r="E371" s="2357"/>
      <c r="F371" s="1813" t="s">
        <v>5</v>
      </c>
      <c r="G371" s="63"/>
      <c r="H371" s="920"/>
      <c r="I371" s="1"/>
      <c r="J371" s="1"/>
      <c r="K371" s="1"/>
      <c r="L371" s="1"/>
      <c r="M371" s="1"/>
    </row>
    <row r="372" ht="14.25" customHeight="1">
      <c r="A372" s="1"/>
      <c r="B372" s="785" t="s">
        <v>91</v>
      </c>
      <c r="C372" s="2291">
        <v>4.0</v>
      </c>
      <c r="D372" s="2293">
        <f t="shared" si="31"/>
        <v>2.153846154</v>
      </c>
      <c r="E372" s="2295"/>
      <c r="F372" s="2298" t="s">
        <v>5</v>
      </c>
      <c r="G372" s="63"/>
      <c r="H372" s="920"/>
      <c r="I372" s="1"/>
      <c r="J372" s="1"/>
      <c r="K372" s="1"/>
      <c r="L372" s="1"/>
      <c r="M372" s="1"/>
    </row>
    <row r="373" ht="14.25" customHeight="1">
      <c r="A373" s="1"/>
      <c r="B373" s="68" t="s">
        <v>157</v>
      </c>
      <c r="C373" s="1192">
        <v>34.0</v>
      </c>
      <c r="D373" s="516">
        <f t="shared" si="31"/>
        <v>18.30769231</v>
      </c>
      <c r="E373" s="1652"/>
      <c r="F373" s="137" t="s">
        <v>5</v>
      </c>
      <c r="G373" s="63"/>
      <c r="H373" s="920"/>
      <c r="I373" s="1"/>
      <c r="J373" s="1"/>
      <c r="K373" s="1"/>
      <c r="L373" s="1"/>
      <c r="M373" s="1"/>
    </row>
    <row r="374" ht="14.25" customHeight="1">
      <c r="A374" s="1"/>
      <c r="B374" s="93" t="s">
        <v>13</v>
      </c>
      <c r="C374" s="195">
        <v>17.5</v>
      </c>
      <c r="D374" s="521">
        <f t="shared" si="31"/>
        <v>9.423076923</v>
      </c>
      <c r="E374" s="1653"/>
      <c r="F374" s="165" t="s">
        <v>14</v>
      </c>
      <c r="G374" s="63"/>
      <c r="H374" s="920"/>
      <c r="I374" s="1"/>
      <c r="J374" s="1"/>
      <c r="K374" s="1"/>
      <c r="L374" s="1"/>
      <c r="M374" s="1"/>
    </row>
    <row r="375" ht="14.25" customHeight="1">
      <c r="A375" s="1"/>
      <c r="B375" s="105" t="s">
        <v>1067</v>
      </c>
      <c r="C375" s="200">
        <v>20.0</v>
      </c>
      <c r="D375" s="517">
        <f t="shared" si="31"/>
        <v>10.76923077</v>
      </c>
      <c r="E375" s="1656"/>
      <c r="F375" s="172" t="s">
        <v>82</v>
      </c>
      <c r="G375" s="63"/>
      <c r="H375" s="920"/>
      <c r="I375" s="1"/>
      <c r="J375" s="1"/>
      <c r="K375" s="1"/>
      <c r="L375" s="1"/>
      <c r="M375" s="1"/>
    </row>
    <row r="376" ht="14.25" customHeight="1">
      <c r="A376" s="1"/>
      <c r="B376" s="149" t="s">
        <v>2601</v>
      </c>
      <c r="C376" s="152">
        <v>60.0</v>
      </c>
      <c r="D376" s="556">
        <f>(C376*D379)/C379</f>
        <v>32.30769231</v>
      </c>
      <c r="E376" s="2360"/>
      <c r="F376" s="156" t="s">
        <v>82</v>
      </c>
      <c r="G376" s="102"/>
      <c r="H376" s="920"/>
      <c r="I376" s="1"/>
      <c r="J376" s="1"/>
      <c r="K376" s="1"/>
      <c r="L376" s="1"/>
      <c r="M376" s="1"/>
    </row>
    <row r="377" ht="14.25" customHeight="1">
      <c r="A377" s="1"/>
      <c r="B377" s="119" t="s">
        <v>2605</v>
      </c>
      <c r="C377" s="238">
        <v>700.0</v>
      </c>
      <c r="D377" s="2320">
        <f>(C377*D375)/C375</f>
        <v>376.9230769</v>
      </c>
      <c r="E377" s="2321"/>
      <c r="F377" s="176" t="s">
        <v>18</v>
      </c>
      <c r="G377" s="1861"/>
      <c r="H377" s="920"/>
      <c r="I377" s="1"/>
      <c r="J377" s="1"/>
      <c r="K377" s="1"/>
      <c r="L377" s="1"/>
      <c r="M377" s="1"/>
    </row>
    <row r="378" ht="14.25" customHeight="1">
      <c r="A378" s="1"/>
      <c r="B378" s="138" t="s">
        <v>1046</v>
      </c>
      <c r="C378" s="279">
        <v>700.0</v>
      </c>
      <c r="D378" s="842">
        <f t="shared" ref="D378:D380" si="32">(C378*D377)/C377</f>
        <v>376.9230769</v>
      </c>
      <c r="E378" s="1655"/>
      <c r="F378" s="281" t="s">
        <v>18</v>
      </c>
      <c r="G378" s="1862"/>
      <c r="H378" s="920"/>
      <c r="I378" s="1"/>
      <c r="J378" s="1"/>
      <c r="K378" s="1"/>
      <c r="L378" s="1"/>
      <c r="M378" s="1"/>
    </row>
    <row r="379" ht="14.25" customHeight="1">
      <c r="A379" s="1"/>
      <c r="B379" s="68" t="s">
        <v>11</v>
      </c>
      <c r="C379" s="145">
        <v>10.0</v>
      </c>
      <c r="D379" s="548">
        <f t="shared" si="32"/>
        <v>5.384615385</v>
      </c>
      <c r="E379" s="1651"/>
      <c r="F379" s="137" t="s">
        <v>5</v>
      </c>
      <c r="G379" s="194" t="s">
        <v>2611</v>
      </c>
      <c r="H379" s="920"/>
      <c r="I379" s="1"/>
      <c r="J379" s="1"/>
      <c r="K379" s="1"/>
      <c r="L379" s="1"/>
      <c r="M379" s="1"/>
    </row>
    <row r="380" ht="14.25" customHeight="1">
      <c r="A380" s="1"/>
      <c r="B380" s="105" t="s">
        <v>13</v>
      </c>
      <c r="C380" s="200">
        <v>2.5</v>
      </c>
      <c r="D380" s="517">
        <f t="shared" si="32"/>
        <v>1.346153846</v>
      </c>
      <c r="E380" s="1656"/>
      <c r="F380" s="172" t="s">
        <v>14</v>
      </c>
      <c r="G380" s="102"/>
      <c r="H380" s="920"/>
      <c r="I380" s="1"/>
      <c r="J380" s="1"/>
      <c r="K380" s="1"/>
      <c r="L380" s="1"/>
      <c r="M380" s="1"/>
    </row>
    <row r="381" ht="14.25" customHeight="1">
      <c r="A381" s="1"/>
      <c r="B381" s="258" t="s">
        <v>119</v>
      </c>
      <c r="C381" s="258" t="s">
        <v>47</v>
      </c>
      <c r="D381" s="184"/>
      <c r="E381" s="184"/>
      <c r="F381" s="108"/>
      <c r="G381" s="1"/>
      <c r="H381" s="920"/>
      <c r="I381" s="1"/>
      <c r="J381" s="1"/>
      <c r="K381" s="1"/>
      <c r="L381" s="1"/>
      <c r="M381" s="1"/>
    </row>
    <row r="382" ht="14.25" customHeight="1">
      <c r="A382" s="1"/>
      <c r="B382" s="203" t="s">
        <v>49</v>
      </c>
      <c r="C382" s="1188">
        <v>41190.0</v>
      </c>
      <c r="D382" s="184"/>
      <c r="E382" s="184"/>
      <c r="F382" s="108"/>
      <c r="G382" s="1"/>
      <c r="H382" s="920"/>
      <c r="I382" s="1"/>
      <c r="J382" s="1"/>
      <c r="K382" s="1"/>
      <c r="L382" s="1"/>
      <c r="M382" s="1"/>
    </row>
    <row r="383" ht="14.25" customHeight="1">
      <c r="A383" s="1"/>
      <c r="B383" s="342" t="s">
        <v>50</v>
      </c>
      <c r="C383" s="1188">
        <v>41447.0</v>
      </c>
      <c r="D383" s="184"/>
      <c r="E383" s="184"/>
      <c r="F383" s="108"/>
      <c r="G383" s="1"/>
      <c r="H383" s="920"/>
      <c r="I383" s="1"/>
      <c r="J383" s="1"/>
      <c r="K383" s="1"/>
      <c r="L383" s="1"/>
      <c r="M383" s="1"/>
    </row>
    <row r="384" ht="14.25" customHeight="1">
      <c r="A384" s="1"/>
      <c r="B384" s="1"/>
      <c r="C384" s="107"/>
      <c r="D384" s="184"/>
      <c r="E384" s="184"/>
      <c r="F384" s="108"/>
      <c r="G384" s="921"/>
      <c r="H384" s="920"/>
      <c r="I384" s="1"/>
      <c r="J384" s="1"/>
      <c r="K384" s="1"/>
      <c r="L384" s="1"/>
      <c r="M384" s="1"/>
    </row>
    <row r="385" ht="14.25" customHeight="1">
      <c r="A385" s="1"/>
      <c r="B385" s="209" t="s">
        <v>933</v>
      </c>
      <c r="C385" s="18"/>
      <c r="D385" s="18"/>
      <c r="E385" s="18"/>
      <c r="F385" s="19"/>
      <c r="G385" s="921"/>
      <c r="H385" s="920"/>
      <c r="I385" s="1"/>
      <c r="J385" s="1"/>
      <c r="K385" s="1"/>
      <c r="L385" s="1"/>
      <c r="M385" s="1"/>
    </row>
    <row r="386" ht="14.25" customHeight="1">
      <c r="A386" s="1"/>
      <c r="B386" s="173" t="s">
        <v>1</v>
      </c>
      <c r="C386" s="275">
        <v>100.0</v>
      </c>
      <c r="D386" s="179">
        <v>60.0</v>
      </c>
      <c r="E386" s="1689"/>
      <c r="F386" s="278" t="s">
        <v>5</v>
      </c>
      <c r="G386" s="2369"/>
      <c r="H386" s="920"/>
      <c r="I386" s="1"/>
      <c r="J386" s="1"/>
      <c r="K386" s="1"/>
      <c r="L386" s="1"/>
      <c r="M386" s="1"/>
    </row>
    <row r="387" ht="14.25" customHeight="1">
      <c r="A387" s="1"/>
      <c r="B387" s="68" t="s">
        <v>2614</v>
      </c>
      <c r="C387" s="145">
        <v>17.0</v>
      </c>
      <c r="D387" s="155">
        <f t="shared" ref="D387:D399" si="33">(C387*D386)/C386</f>
        <v>10.2</v>
      </c>
      <c r="E387" s="899"/>
      <c r="F387" s="137" t="s">
        <v>14</v>
      </c>
      <c r="G387" s="194" t="s">
        <v>2615</v>
      </c>
      <c r="H387" s="920"/>
      <c r="I387" s="1"/>
      <c r="J387" s="1"/>
      <c r="K387" s="1"/>
      <c r="L387" s="1"/>
      <c r="M387" s="1"/>
    </row>
    <row r="388" ht="14.25" customHeight="1">
      <c r="A388" s="1"/>
      <c r="B388" s="138" t="s">
        <v>743</v>
      </c>
      <c r="C388" s="279">
        <v>2.5</v>
      </c>
      <c r="D388" s="146">
        <f t="shared" si="33"/>
        <v>1.5</v>
      </c>
      <c r="E388" s="1607"/>
      <c r="F388" s="281" t="s">
        <v>5</v>
      </c>
      <c r="G388" s="63"/>
      <c r="H388" s="920"/>
      <c r="I388" s="1"/>
      <c r="J388" s="1"/>
      <c r="K388" s="1"/>
      <c r="L388" s="1"/>
      <c r="M388" s="1"/>
    </row>
    <row r="389" ht="14.25" customHeight="1">
      <c r="A389" s="1"/>
      <c r="B389" s="68" t="s">
        <v>13</v>
      </c>
      <c r="C389" s="145">
        <v>17.0</v>
      </c>
      <c r="D389" s="155">
        <f t="shared" si="33"/>
        <v>10.2</v>
      </c>
      <c r="E389" s="899"/>
      <c r="F389" s="137" t="s">
        <v>14</v>
      </c>
      <c r="G389" s="63"/>
      <c r="H389" s="920"/>
      <c r="I389" s="1"/>
      <c r="J389" s="1"/>
      <c r="K389" s="1"/>
      <c r="L389" s="1"/>
      <c r="M389" s="1"/>
    </row>
    <row r="390" ht="14.25" customHeight="1">
      <c r="A390" s="1"/>
      <c r="B390" s="93" t="s">
        <v>59</v>
      </c>
      <c r="C390" s="195">
        <v>51.0</v>
      </c>
      <c r="D390" s="78">
        <f t="shared" si="33"/>
        <v>30.6</v>
      </c>
      <c r="E390" s="900"/>
      <c r="F390" s="165" t="s">
        <v>5</v>
      </c>
      <c r="G390" s="63"/>
      <c r="H390" s="920"/>
      <c r="I390" s="1"/>
      <c r="J390" s="1"/>
      <c r="K390" s="1"/>
      <c r="L390" s="1"/>
      <c r="M390" s="1"/>
    </row>
    <row r="391" ht="14.25" customHeight="1">
      <c r="A391" s="1"/>
      <c r="B391" s="93" t="s">
        <v>2616</v>
      </c>
      <c r="C391" s="195">
        <v>10.0</v>
      </c>
      <c r="D391" s="78">
        <f t="shared" si="33"/>
        <v>6</v>
      </c>
      <c r="E391" s="900"/>
      <c r="F391" s="165" t="s">
        <v>18</v>
      </c>
      <c r="G391" s="63"/>
      <c r="H391" s="920"/>
      <c r="I391" s="1"/>
      <c r="J391" s="1"/>
      <c r="K391" s="1"/>
      <c r="L391" s="1"/>
      <c r="M391" s="1"/>
    </row>
    <row r="392" ht="14.25" customHeight="1">
      <c r="A392" s="1"/>
      <c r="B392" s="93" t="s">
        <v>31</v>
      </c>
      <c r="C392" s="195">
        <v>100.0</v>
      </c>
      <c r="D392" s="78">
        <f t="shared" si="33"/>
        <v>60</v>
      </c>
      <c r="E392" s="900"/>
      <c r="F392" s="165" t="s">
        <v>18</v>
      </c>
      <c r="G392" s="63"/>
      <c r="H392" s="920"/>
      <c r="I392" s="1"/>
      <c r="J392" s="1"/>
      <c r="K392" s="1"/>
      <c r="L392" s="1"/>
      <c r="M392" s="1"/>
    </row>
    <row r="393" ht="14.25" customHeight="1">
      <c r="A393" s="1"/>
      <c r="B393" s="105" t="s">
        <v>572</v>
      </c>
      <c r="C393" s="200">
        <v>50.0</v>
      </c>
      <c r="D393" s="56">
        <f t="shared" si="33"/>
        <v>30</v>
      </c>
      <c r="E393" s="1604"/>
      <c r="F393" s="172" t="s">
        <v>82</v>
      </c>
      <c r="G393" s="102"/>
      <c r="H393" s="920"/>
      <c r="I393" s="1"/>
      <c r="J393" s="1"/>
      <c r="K393" s="1"/>
      <c r="L393" s="1"/>
      <c r="M393" s="1"/>
    </row>
    <row r="394" ht="14.25" customHeight="1">
      <c r="A394" s="1"/>
      <c r="B394" s="119" t="s">
        <v>13</v>
      </c>
      <c r="C394" s="238">
        <v>8.0</v>
      </c>
      <c r="D394" s="129">
        <f t="shared" si="33"/>
        <v>4.8</v>
      </c>
      <c r="E394" s="1583"/>
      <c r="F394" s="176" t="s">
        <v>14</v>
      </c>
      <c r="G394" s="194" t="s">
        <v>2617</v>
      </c>
      <c r="H394" s="920"/>
      <c r="I394" s="1"/>
      <c r="J394" s="1"/>
      <c r="K394" s="1"/>
      <c r="L394" s="1"/>
      <c r="M394" s="1"/>
    </row>
    <row r="395" ht="14.25" customHeight="1">
      <c r="A395" s="1"/>
      <c r="B395" s="93" t="s">
        <v>11</v>
      </c>
      <c r="C395" s="195">
        <v>20.0</v>
      </c>
      <c r="D395" s="78">
        <f t="shared" si="33"/>
        <v>12</v>
      </c>
      <c r="E395" s="900"/>
      <c r="F395" s="165" t="s">
        <v>5</v>
      </c>
      <c r="G395" s="63"/>
      <c r="H395" s="920"/>
      <c r="I395" s="1"/>
      <c r="J395" s="1"/>
      <c r="K395" s="1"/>
      <c r="L395" s="1"/>
      <c r="M395" s="1"/>
    </row>
    <row r="396" ht="14.25" customHeight="1">
      <c r="A396" s="1"/>
      <c r="B396" s="105" t="s">
        <v>17</v>
      </c>
      <c r="C396" s="200">
        <v>100.0</v>
      </c>
      <c r="D396" s="56">
        <f t="shared" si="33"/>
        <v>60</v>
      </c>
      <c r="E396" s="1604"/>
      <c r="F396" s="172" t="s">
        <v>18</v>
      </c>
      <c r="G396" s="102"/>
      <c r="H396" s="920"/>
      <c r="I396" s="1"/>
      <c r="J396" s="1"/>
      <c r="K396" s="1"/>
      <c r="L396" s="1"/>
      <c r="M396" s="1"/>
    </row>
    <row r="397" ht="14.25" customHeight="1">
      <c r="A397" s="1"/>
      <c r="B397" s="68" t="s">
        <v>824</v>
      </c>
      <c r="C397" s="145">
        <v>1.0</v>
      </c>
      <c r="D397" s="155">
        <f t="shared" si="33"/>
        <v>0.6</v>
      </c>
      <c r="E397" s="899"/>
      <c r="F397" s="137" t="s">
        <v>5</v>
      </c>
      <c r="G397" s="569" t="s">
        <v>2618</v>
      </c>
      <c r="H397" s="920"/>
      <c r="I397" s="1"/>
      <c r="J397" s="1"/>
      <c r="K397" s="1"/>
      <c r="L397" s="1"/>
      <c r="M397" s="1"/>
    </row>
    <row r="398" ht="14.25" customHeight="1">
      <c r="A398" s="1"/>
      <c r="B398" s="93" t="s">
        <v>2195</v>
      </c>
      <c r="C398" s="195">
        <v>1500.0</v>
      </c>
      <c r="D398" s="78">
        <f t="shared" si="33"/>
        <v>900</v>
      </c>
      <c r="E398" s="900"/>
      <c r="F398" s="165" t="s">
        <v>18</v>
      </c>
      <c r="G398" s="570"/>
      <c r="H398" s="920"/>
      <c r="I398" s="1"/>
      <c r="J398" s="1"/>
      <c r="K398" s="1"/>
      <c r="L398" s="1"/>
      <c r="M398" s="1"/>
    </row>
    <row r="399" ht="14.25" customHeight="1">
      <c r="A399" s="1"/>
      <c r="B399" s="105" t="s">
        <v>2620</v>
      </c>
      <c r="C399" s="200">
        <v>1500.0</v>
      </c>
      <c r="D399" s="56">
        <f t="shared" si="33"/>
        <v>900</v>
      </c>
      <c r="E399" s="1604"/>
      <c r="F399" s="172" t="s">
        <v>18</v>
      </c>
      <c r="G399" s="2371"/>
      <c r="H399" s="920"/>
      <c r="I399" s="1"/>
      <c r="J399" s="1"/>
      <c r="K399" s="1"/>
      <c r="L399" s="1"/>
      <c r="M399" s="1"/>
    </row>
    <row r="400" ht="14.25" customHeight="1">
      <c r="A400" s="1"/>
      <c r="B400" s="258" t="s">
        <v>119</v>
      </c>
      <c r="C400" s="258" t="s">
        <v>47</v>
      </c>
      <c r="D400" s="184"/>
      <c r="E400" s="184"/>
      <c r="F400" s="2372"/>
      <c r="G400" s="1"/>
      <c r="H400" s="920"/>
      <c r="I400" s="1"/>
      <c r="J400" s="1"/>
      <c r="K400" s="1"/>
      <c r="L400" s="1"/>
      <c r="M400" s="1"/>
    </row>
    <row r="401" ht="14.25" customHeight="1">
      <c r="A401" s="1"/>
      <c r="B401" s="1"/>
      <c r="C401" s="107"/>
      <c r="D401" s="184"/>
      <c r="E401" s="184"/>
      <c r="F401" s="2372"/>
      <c r="G401" s="1"/>
      <c r="H401" s="920"/>
      <c r="I401" s="1"/>
      <c r="J401" s="1"/>
      <c r="K401" s="1"/>
      <c r="L401" s="1"/>
      <c r="M401" s="1"/>
    </row>
    <row r="402" ht="14.25" customHeight="1">
      <c r="A402" s="1"/>
      <c r="B402" s="1"/>
      <c r="C402" s="107"/>
      <c r="D402" s="184"/>
      <c r="E402" s="184"/>
      <c r="F402" s="2372"/>
      <c r="G402" s="1"/>
      <c r="H402" s="920"/>
      <c r="I402" s="1"/>
      <c r="J402" s="1"/>
      <c r="K402" s="1"/>
      <c r="L402" s="1"/>
      <c r="M402" s="1"/>
    </row>
    <row r="403" ht="14.25" customHeight="1">
      <c r="A403" s="1"/>
      <c r="B403" s="1"/>
      <c r="C403" s="107"/>
      <c r="D403" s="184"/>
      <c r="E403" s="184"/>
      <c r="F403" s="2372"/>
      <c r="G403" s="1"/>
      <c r="H403" s="920"/>
      <c r="I403" s="1"/>
      <c r="J403" s="1"/>
      <c r="K403" s="1"/>
      <c r="L403" s="1"/>
      <c r="M403" s="1"/>
    </row>
    <row r="404" ht="14.25" customHeight="1">
      <c r="A404" s="1"/>
      <c r="B404" s="1"/>
      <c r="C404" s="107"/>
      <c r="D404" s="184"/>
      <c r="E404" s="184"/>
      <c r="F404" s="2372"/>
      <c r="G404" s="1"/>
      <c r="H404" s="920"/>
      <c r="I404" s="1"/>
      <c r="J404" s="1"/>
      <c r="K404" s="1"/>
      <c r="L404" s="1"/>
      <c r="M404" s="1"/>
    </row>
    <row r="405" ht="14.25" customHeight="1">
      <c r="A405" s="1"/>
      <c r="B405" s="381" t="s">
        <v>49</v>
      </c>
      <c r="C405" s="1375">
        <v>41447.0</v>
      </c>
      <c r="D405" s="184"/>
      <c r="E405" s="184"/>
      <c r="F405" s="2372"/>
      <c r="G405" s="1"/>
      <c r="H405" s="920"/>
      <c r="I405" s="1"/>
      <c r="J405" s="1"/>
      <c r="K405" s="1"/>
      <c r="L405" s="1"/>
      <c r="M405" s="1"/>
    </row>
    <row r="406" ht="14.25" customHeight="1">
      <c r="A406" s="1"/>
      <c r="B406" s="1200" t="s">
        <v>50</v>
      </c>
      <c r="C406" s="1375">
        <v>41819.0</v>
      </c>
      <c r="D406" s="184"/>
      <c r="E406" s="184"/>
      <c r="F406" s="2372"/>
      <c r="G406" s="1"/>
      <c r="H406" s="920"/>
      <c r="I406" s="1"/>
      <c r="J406" s="1"/>
      <c r="K406" s="1"/>
      <c r="L406" s="1"/>
      <c r="M406" s="1"/>
    </row>
    <row r="407" ht="14.25" customHeight="1">
      <c r="A407" s="1"/>
      <c r="B407" s="1"/>
      <c r="C407" s="107"/>
      <c r="D407" s="184"/>
      <c r="E407" s="184"/>
      <c r="F407" s="108"/>
      <c r="G407" s="1"/>
      <c r="H407" s="920"/>
      <c r="I407" s="1"/>
      <c r="J407" s="1"/>
      <c r="K407" s="1"/>
      <c r="L407" s="1"/>
      <c r="M407" s="1"/>
    </row>
    <row r="408" ht="14.25" customHeight="1">
      <c r="A408" s="1"/>
      <c r="B408" s="1"/>
      <c r="C408" s="107"/>
      <c r="D408" s="184"/>
      <c r="E408" s="184"/>
      <c r="F408" s="108"/>
      <c r="G408" s="1"/>
      <c r="H408" s="920"/>
      <c r="I408" s="1"/>
      <c r="J408" s="1"/>
      <c r="K408" s="1"/>
      <c r="L408" s="1"/>
      <c r="M408" s="1"/>
    </row>
    <row r="409" ht="14.25" customHeight="1">
      <c r="A409" s="1"/>
      <c r="B409" s="1"/>
      <c r="C409" s="107"/>
      <c r="D409" s="184"/>
      <c r="E409" s="184"/>
      <c r="F409" s="108"/>
      <c r="G409" s="921"/>
      <c r="H409" s="920"/>
      <c r="I409" s="1"/>
      <c r="J409" s="1"/>
      <c r="K409" s="1"/>
      <c r="L409" s="1"/>
      <c r="M409" s="1"/>
    </row>
    <row r="410" ht="14.25" customHeight="1">
      <c r="A410" s="1"/>
      <c r="B410" s="1"/>
      <c r="C410" s="107"/>
      <c r="D410" s="184"/>
      <c r="E410" s="184"/>
      <c r="F410" s="108"/>
      <c r="G410" s="1"/>
      <c r="H410" s="920"/>
      <c r="I410" s="1"/>
      <c r="J410" s="1"/>
      <c r="K410" s="1"/>
      <c r="L410" s="1"/>
      <c r="M410" s="1"/>
    </row>
    <row r="411" ht="14.25" customHeight="1">
      <c r="A411" s="1"/>
      <c r="B411" s="1"/>
      <c r="C411" s="107"/>
      <c r="D411" s="184"/>
      <c r="E411" s="184"/>
      <c r="F411" s="108"/>
      <c r="G411" s="1"/>
      <c r="H411" s="920"/>
      <c r="I411" s="1"/>
      <c r="J411" s="1"/>
      <c r="K411" s="1"/>
      <c r="L411" s="1"/>
      <c r="M411" s="1"/>
    </row>
    <row r="412" ht="14.25" customHeight="1">
      <c r="A412" s="1"/>
      <c r="B412" s="1"/>
      <c r="C412" s="107"/>
      <c r="D412" s="184"/>
      <c r="E412" s="184"/>
      <c r="F412" s="108"/>
      <c r="G412" s="1"/>
      <c r="H412" s="920"/>
      <c r="I412" s="1"/>
      <c r="J412" s="1"/>
      <c r="K412" s="1"/>
      <c r="L412" s="1"/>
      <c r="M412" s="1"/>
    </row>
    <row r="413" ht="14.25" customHeight="1">
      <c r="A413" s="1"/>
      <c r="B413" s="1"/>
      <c r="C413" s="107"/>
      <c r="D413" s="184"/>
      <c r="E413" s="184"/>
      <c r="F413" s="108"/>
      <c r="G413" s="921"/>
      <c r="H413" s="920"/>
      <c r="I413" s="1"/>
      <c r="J413" s="1"/>
      <c r="K413" s="1"/>
      <c r="L413" s="1"/>
      <c r="M413" s="1"/>
    </row>
    <row r="414" ht="14.25" customHeight="1">
      <c r="A414" s="1"/>
      <c r="B414" s="511" t="s">
        <v>943</v>
      </c>
      <c r="C414" s="18"/>
      <c r="D414" s="18"/>
      <c r="E414" s="18"/>
      <c r="F414" s="19"/>
      <c r="G414" s="207"/>
      <c r="H414" s="920"/>
      <c r="I414" s="1"/>
      <c r="J414" s="1"/>
      <c r="K414" s="1"/>
      <c r="L414" s="1"/>
      <c r="M414" s="1"/>
    </row>
    <row r="415" ht="14.25" customHeight="1">
      <c r="A415" s="1"/>
      <c r="B415" s="51" t="s">
        <v>1</v>
      </c>
      <c r="C415" s="190">
        <v>100.0</v>
      </c>
      <c r="D415" s="513">
        <v>12.0</v>
      </c>
      <c r="E415" s="1576"/>
      <c r="F415" s="125" t="s">
        <v>5</v>
      </c>
      <c r="G415" s="194" t="s">
        <v>2626</v>
      </c>
      <c r="H415" s="920"/>
      <c r="I415" s="1"/>
      <c r="J415" s="1"/>
      <c r="K415" s="1"/>
      <c r="L415" s="1"/>
      <c r="M415" s="1"/>
    </row>
    <row r="416" ht="14.25" customHeight="1">
      <c r="A416" s="1"/>
      <c r="B416" s="68" t="s">
        <v>1952</v>
      </c>
      <c r="C416" s="145">
        <v>22.5</v>
      </c>
      <c r="D416" s="516">
        <f t="shared" ref="D416:D426" si="34">(C416*D415)/C415</f>
        <v>2.7</v>
      </c>
      <c r="E416" s="1652"/>
      <c r="F416" s="137" t="s">
        <v>14</v>
      </c>
      <c r="G416" s="63"/>
      <c r="H416" s="920"/>
      <c r="I416" s="1"/>
      <c r="J416" s="1"/>
      <c r="K416" s="1"/>
      <c r="L416" s="1"/>
      <c r="M416" s="1"/>
    </row>
    <row r="417" ht="14.25" customHeight="1">
      <c r="A417" s="1"/>
      <c r="B417" s="93" t="s">
        <v>59</v>
      </c>
      <c r="C417" s="195">
        <v>45.0</v>
      </c>
      <c r="D417" s="78">
        <f t="shared" si="34"/>
        <v>5.4</v>
      </c>
      <c r="E417" s="900"/>
      <c r="F417" s="165" t="s">
        <v>5</v>
      </c>
      <c r="G417" s="63"/>
      <c r="H417" s="920"/>
      <c r="I417" s="1"/>
      <c r="J417" s="1"/>
      <c r="K417" s="1"/>
      <c r="L417" s="1"/>
      <c r="M417" s="1"/>
    </row>
    <row r="418" ht="14.25" customHeight="1">
      <c r="A418" s="1"/>
      <c r="B418" s="93" t="s">
        <v>91</v>
      </c>
      <c r="C418" s="195">
        <v>1.0</v>
      </c>
      <c r="D418" s="78">
        <f t="shared" si="34"/>
        <v>0.12</v>
      </c>
      <c r="E418" s="900"/>
      <c r="F418" s="165" t="s">
        <v>5</v>
      </c>
      <c r="G418" s="63"/>
      <c r="H418" s="920"/>
      <c r="I418" s="1"/>
      <c r="J418" s="1"/>
      <c r="K418" s="1"/>
      <c r="L418" s="1"/>
      <c r="M418" s="1"/>
    </row>
    <row r="419" ht="15.75" customHeight="1">
      <c r="A419" s="1"/>
      <c r="B419" s="93" t="s">
        <v>31</v>
      </c>
      <c r="C419" s="195">
        <v>300.0</v>
      </c>
      <c r="D419" s="78">
        <f t="shared" si="34"/>
        <v>36</v>
      </c>
      <c r="E419" s="900"/>
      <c r="F419" s="165" t="s">
        <v>18</v>
      </c>
      <c r="G419" s="63"/>
      <c r="H419" s="920"/>
      <c r="I419" s="1"/>
      <c r="J419" s="1"/>
      <c r="K419" s="1"/>
      <c r="L419" s="1"/>
      <c r="M419" s="1"/>
    </row>
    <row r="420" ht="14.25" customHeight="1">
      <c r="A420" s="1"/>
      <c r="B420" s="138" t="s">
        <v>1125</v>
      </c>
      <c r="C420" s="279">
        <v>10.0</v>
      </c>
      <c r="D420" s="146">
        <f t="shared" si="34"/>
        <v>1.2</v>
      </c>
      <c r="E420" s="1607"/>
      <c r="F420" s="281" t="s">
        <v>82</v>
      </c>
      <c r="G420" s="102"/>
      <c r="H420" s="920"/>
      <c r="I420" s="1"/>
      <c r="J420" s="1"/>
      <c r="K420" s="1"/>
      <c r="L420" s="1"/>
      <c r="M420" s="1"/>
    </row>
    <row r="421" ht="14.25" customHeight="1">
      <c r="A421" s="1"/>
      <c r="B421" s="68" t="s">
        <v>743</v>
      </c>
      <c r="C421" s="145">
        <v>2.0</v>
      </c>
      <c r="D421" s="155">
        <f t="shared" si="34"/>
        <v>0.24</v>
      </c>
      <c r="E421" s="899"/>
      <c r="F421" s="137" t="s">
        <v>5</v>
      </c>
      <c r="G421" s="194" t="s">
        <v>2633</v>
      </c>
      <c r="H421" s="920"/>
      <c r="I421" s="1"/>
      <c r="J421" s="1"/>
      <c r="K421" s="1"/>
      <c r="L421" s="1"/>
      <c r="M421" s="1"/>
    </row>
    <row r="422" ht="14.25" customHeight="1">
      <c r="A422" s="1"/>
      <c r="B422" s="93" t="s">
        <v>884</v>
      </c>
      <c r="C422" s="195">
        <v>100.0</v>
      </c>
      <c r="D422" s="78">
        <f t="shared" si="34"/>
        <v>12</v>
      </c>
      <c r="E422" s="900"/>
      <c r="F422" s="165" t="s">
        <v>18</v>
      </c>
      <c r="G422" s="63"/>
      <c r="H422" s="920"/>
      <c r="I422" s="1"/>
      <c r="J422" s="1"/>
      <c r="K422" s="1"/>
      <c r="L422" s="1"/>
      <c r="M422" s="1"/>
    </row>
    <row r="423" ht="14.25" customHeight="1">
      <c r="A423" s="1"/>
      <c r="B423" s="93" t="s">
        <v>95</v>
      </c>
      <c r="C423" s="195">
        <v>200.0</v>
      </c>
      <c r="D423" s="78">
        <f t="shared" si="34"/>
        <v>24</v>
      </c>
      <c r="E423" s="900"/>
      <c r="F423" s="165" t="s">
        <v>18</v>
      </c>
      <c r="G423" s="63"/>
      <c r="H423" s="920"/>
      <c r="I423" s="1"/>
      <c r="J423" s="1"/>
      <c r="K423" s="1"/>
      <c r="L423" s="1"/>
      <c r="M423" s="1"/>
    </row>
    <row r="424" ht="14.25" customHeight="1">
      <c r="A424" s="1"/>
      <c r="B424" s="105" t="s">
        <v>96</v>
      </c>
      <c r="C424" s="200">
        <v>50.0</v>
      </c>
      <c r="D424" s="56">
        <f t="shared" si="34"/>
        <v>6</v>
      </c>
      <c r="E424" s="1604"/>
      <c r="F424" s="172" t="s">
        <v>18</v>
      </c>
      <c r="G424" s="102"/>
      <c r="H424" s="920"/>
      <c r="I424" s="1"/>
      <c r="J424" s="1"/>
      <c r="K424" s="1"/>
      <c r="L424" s="1"/>
      <c r="M424" s="1"/>
    </row>
    <row r="425" ht="14.25" customHeight="1">
      <c r="A425" s="1"/>
      <c r="B425" s="119" t="s">
        <v>13</v>
      </c>
      <c r="C425" s="238">
        <v>25.0</v>
      </c>
      <c r="D425" s="129">
        <f t="shared" si="34"/>
        <v>3</v>
      </c>
      <c r="E425" s="1583"/>
      <c r="F425" s="176" t="s">
        <v>14</v>
      </c>
      <c r="G425" s="194" t="s">
        <v>2635</v>
      </c>
      <c r="H425" s="920"/>
      <c r="I425" s="1"/>
      <c r="J425" s="1"/>
      <c r="K425" s="1"/>
      <c r="L425" s="1"/>
      <c r="M425" s="1"/>
    </row>
    <row r="426" ht="14.25" customHeight="1">
      <c r="A426" s="1"/>
      <c r="B426" s="105" t="s">
        <v>59</v>
      </c>
      <c r="C426" s="200">
        <v>10.0</v>
      </c>
      <c r="D426" s="56">
        <f t="shared" si="34"/>
        <v>1.2</v>
      </c>
      <c r="E426" s="1604"/>
      <c r="F426" s="172" t="s">
        <v>5</v>
      </c>
      <c r="G426" s="63"/>
      <c r="H426" s="920"/>
      <c r="I426" s="1"/>
      <c r="J426" s="1"/>
      <c r="K426" s="1"/>
      <c r="L426" s="1"/>
      <c r="M426" s="1"/>
    </row>
    <row r="427" ht="14.25" customHeight="1">
      <c r="A427" s="1"/>
      <c r="B427" s="173" t="s">
        <v>17</v>
      </c>
      <c r="C427" s="275">
        <v>200.0</v>
      </c>
      <c r="D427" s="179">
        <f>(C427*D435)/C435</f>
        <v>24</v>
      </c>
      <c r="E427" s="1689"/>
      <c r="F427" s="278" t="s">
        <v>18</v>
      </c>
      <c r="G427" s="102"/>
      <c r="H427" s="920"/>
      <c r="I427" s="1"/>
      <c r="J427" s="1"/>
      <c r="K427" s="1"/>
      <c r="L427" s="1"/>
      <c r="M427" s="1"/>
    </row>
    <row r="428" ht="14.25" customHeight="1">
      <c r="A428" s="1"/>
      <c r="B428" s="68" t="s">
        <v>2640</v>
      </c>
      <c r="C428" s="145">
        <v>5.0</v>
      </c>
      <c r="D428" s="155">
        <f>(C428*D426)/C426</f>
        <v>0.6</v>
      </c>
      <c r="E428" s="899"/>
      <c r="F428" s="137" t="s">
        <v>14</v>
      </c>
      <c r="G428" s="1795" t="s">
        <v>1134</v>
      </c>
      <c r="H428" s="920"/>
      <c r="I428" s="1"/>
      <c r="J428" s="1"/>
      <c r="K428" s="1"/>
      <c r="L428" s="1"/>
      <c r="M428" s="1"/>
    </row>
    <row r="429" ht="14.25" customHeight="1">
      <c r="A429" s="1"/>
      <c r="B429" s="105" t="s">
        <v>2645</v>
      </c>
      <c r="C429" s="200">
        <v>2.0</v>
      </c>
      <c r="D429" s="56">
        <f t="shared" ref="D429:D435" si="35">(C429*D428)/C428</f>
        <v>0.24</v>
      </c>
      <c r="E429" s="1604"/>
      <c r="F429" s="172" t="s">
        <v>14</v>
      </c>
      <c r="G429" s="102"/>
      <c r="H429" s="920"/>
      <c r="I429" s="1"/>
      <c r="J429" s="1"/>
      <c r="K429" s="1"/>
      <c r="L429" s="1"/>
      <c r="M429" s="1"/>
    </row>
    <row r="430" ht="14.25" customHeight="1">
      <c r="A430" s="1"/>
      <c r="B430" s="68" t="s">
        <v>743</v>
      </c>
      <c r="C430" s="145">
        <v>2.0</v>
      </c>
      <c r="D430" s="155">
        <f t="shared" si="35"/>
        <v>0.24</v>
      </c>
      <c r="E430" s="899"/>
      <c r="F430" s="137" t="s">
        <v>5</v>
      </c>
      <c r="G430" s="194" t="s">
        <v>2647</v>
      </c>
      <c r="H430" s="920"/>
      <c r="I430" s="1"/>
      <c r="J430" s="1"/>
      <c r="K430" s="1"/>
      <c r="L430" s="1"/>
      <c r="M430" s="1"/>
    </row>
    <row r="431" ht="14.25" customHeight="1">
      <c r="A431" s="1"/>
      <c r="B431" s="93" t="s">
        <v>2195</v>
      </c>
      <c r="C431" s="195">
        <v>750.0</v>
      </c>
      <c r="D431" s="78">
        <f t="shared" si="35"/>
        <v>90</v>
      </c>
      <c r="E431" s="900"/>
      <c r="F431" s="165" t="s">
        <v>18</v>
      </c>
      <c r="G431" s="63"/>
      <c r="H431" s="920"/>
      <c r="I431" s="1"/>
      <c r="J431" s="1"/>
      <c r="K431" s="1"/>
      <c r="L431" s="1"/>
      <c r="M431" s="1"/>
    </row>
    <row r="432" ht="14.25" customHeight="1">
      <c r="A432" s="1"/>
      <c r="B432" s="93" t="s">
        <v>1138</v>
      </c>
      <c r="C432" s="195">
        <v>500.0</v>
      </c>
      <c r="D432" s="78">
        <f t="shared" si="35"/>
        <v>60</v>
      </c>
      <c r="E432" s="900"/>
      <c r="F432" s="165" t="s">
        <v>18</v>
      </c>
      <c r="G432" s="63"/>
      <c r="H432" s="920"/>
      <c r="I432" s="1"/>
      <c r="J432" s="1"/>
      <c r="K432" s="1"/>
      <c r="L432" s="1"/>
      <c r="M432" s="1"/>
    </row>
    <row r="433" ht="14.25" customHeight="1">
      <c r="A433" s="1"/>
      <c r="B433" s="93" t="s">
        <v>1132</v>
      </c>
      <c r="C433" s="195">
        <v>750.0</v>
      </c>
      <c r="D433" s="78">
        <f t="shared" si="35"/>
        <v>90</v>
      </c>
      <c r="E433" s="900"/>
      <c r="F433" s="165" t="s">
        <v>18</v>
      </c>
      <c r="G433" s="63"/>
      <c r="H433" s="920"/>
      <c r="I433" s="1"/>
      <c r="J433" s="1"/>
      <c r="K433" s="1"/>
      <c r="L433" s="1"/>
      <c r="M433" s="1"/>
    </row>
    <row r="434" ht="14.25" customHeight="1">
      <c r="A434" s="1"/>
      <c r="B434" s="105" t="s">
        <v>1046</v>
      </c>
      <c r="C434" s="200">
        <v>1000.0</v>
      </c>
      <c r="D434" s="56">
        <f t="shared" si="35"/>
        <v>120</v>
      </c>
      <c r="E434" s="1604"/>
      <c r="F434" s="172" t="s">
        <v>18</v>
      </c>
      <c r="G434" s="102"/>
      <c r="H434" s="920"/>
      <c r="I434" s="1"/>
      <c r="J434" s="1"/>
      <c r="K434" s="1"/>
      <c r="L434" s="1"/>
      <c r="M434" s="1"/>
    </row>
    <row r="435" ht="14.25" customHeight="1">
      <c r="A435" s="1"/>
      <c r="B435" s="149" t="s">
        <v>2652</v>
      </c>
      <c r="C435" s="152">
        <v>1.0</v>
      </c>
      <c r="D435" s="274">
        <f t="shared" si="35"/>
        <v>0.12</v>
      </c>
      <c r="E435" s="1690"/>
      <c r="F435" s="156" t="s">
        <v>14</v>
      </c>
      <c r="G435" s="1862" t="s">
        <v>2653</v>
      </c>
      <c r="H435" s="920"/>
      <c r="I435" s="1"/>
      <c r="J435" s="1"/>
      <c r="K435" s="1"/>
      <c r="L435" s="1"/>
      <c r="M435" s="1"/>
    </row>
    <row r="436" ht="14.25" customHeight="1">
      <c r="A436" s="1"/>
      <c r="B436" s="258" t="s">
        <v>119</v>
      </c>
      <c r="C436" s="258" t="s">
        <v>47</v>
      </c>
      <c r="D436" s="184"/>
      <c r="E436" s="184"/>
      <c r="F436" s="108"/>
      <c r="G436" s="1"/>
      <c r="H436" s="920"/>
      <c r="I436" s="1"/>
      <c r="J436" s="1"/>
      <c r="K436" s="1"/>
      <c r="L436" s="1"/>
      <c r="M436" s="1"/>
    </row>
    <row r="437" ht="14.25" customHeight="1">
      <c r="A437" s="1"/>
      <c r="B437" s="2377" t="s">
        <v>2654</v>
      </c>
      <c r="C437" s="5"/>
      <c r="D437" s="6"/>
      <c r="E437" s="2378"/>
      <c r="F437" s="108"/>
      <c r="G437" s="1"/>
      <c r="H437" s="920"/>
      <c r="I437" s="1"/>
      <c r="J437" s="1"/>
      <c r="K437" s="1"/>
      <c r="L437" s="1"/>
      <c r="M437" s="1"/>
    </row>
    <row r="438" ht="14.25" customHeight="1">
      <c r="A438" s="1"/>
      <c r="B438" s="63"/>
      <c r="D438" s="66"/>
      <c r="E438" s="2378"/>
      <c r="F438" s="108"/>
      <c r="G438" s="1"/>
      <c r="H438" s="920"/>
      <c r="I438" s="1"/>
      <c r="J438" s="1"/>
      <c r="K438" s="1"/>
      <c r="L438" s="1"/>
      <c r="M438" s="1"/>
    </row>
    <row r="439" ht="14.25" customHeight="1">
      <c r="A439" s="1"/>
      <c r="B439" s="102"/>
      <c r="C439" s="104"/>
      <c r="D439" s="106"/>
      <c r="E439" s="2378"/>
      <c r="F439" s="108"/>
      <c r="G439" s="1"/>
      <c r="H439" s="920"/>
      <c r="I439" s="1"/>
      <c r="J439" s="1"/>
      <c r="K439" s="1"/>
      <c r="L439" s="1"/>
      <c r="M439" s="1"/>
    </row>
    <row r="440" ht="14.25" customHeight="1">
      <c r="A440" s="1"/>
      <c r="B440" s="1"/>
      <c r="C440" s="107"/>
      <c r="D440" s="184"/>
      <c r="E440" s="184"/>
      <c r="F440" s="108"/>
      <c r="G440" s="1"/>
      <c r="H440" s="920"/>
      <c r="I440" s="1"/>
      <c r="J440" s="1"/>
      <c r="K440" s="1"/>
      <c r="L440" s="1"/>
      <c r="M440" s="1"/>
    </row>
    <row r="441" ht="14.25" customHeight="1">
      <c r="A441" s="1"/>
      <c r="B441" s="203" t="s">
        <v>502</v>
      </c>
      <c r="C441" s="1309">
        <v>40790.0</v>
      </c>
      <c r="D441" s="184"/>
      <c r="E441" s="184"/>
      <c r="F441" s="108"/>
      <c r="G441" s="1"/>
      <c r="H441" s="920"/>
      <c r="I441" s="1"/>
      <c r="J441" s="1"/>
      <c r="K441" s="1"/>
      <c r="L441" s="1"/>
      <c r="M441" s="1"/>
    </row>
    <row r="442" ht="14.25" customHeight="1">
      <c r="A442" s="1"/>
      <c r="B442" s="203" t="s">
        <v>50</v>
      </c>
      <c r="C442" s="1309">
        <v>41555.0</v>
      </c>
      <c r="D442" s="184"/>
      <c r="E442" s="184"/>
      <c r="F442" s="108"/>
      <c r="G442" s="1"/>
      <c r="H442" s="920"/>
      <c r="I442" s="1"/>
      <c r="J442" s="1"/>
      <c r="K442" s="1"/>
      <c r="L442" s="1"/>
      <c r="M442" s="1"/>
    </row>
    <row r="443" ht="15.75" customHeight="1">
      <c r="A443" s="1"/>
      <c r="B443" s="1"/>
      <c r="C443" s="107"/>
      <c r="D443" s="184"/>
      <c r="E443" s="184"/>
      <c r="F443" s="108"/>
      <c r="G443" s="1"/>
      <c r="H443" s="920"/>
      <c r="I443" s="1"/>
      <c r="J443" s="1"/>
      <c r="K443" s="1"/>
      <c r="L443" s="1"/>
      <c r="M443" s="1"/>
    </row>
    <row r="444" ht="15.75" customHeight="1">
      <c r="A444" s="1"/>
      <c r="B444" s="1"/>
      <c r="C444" s="107"/>
      <c r="D444" s="184"/>
      <c r="E444" s="184"/>
      <c r="F444" s="108"/>
      <c r="G444" s="921"/>
      <c r="H444" s="920"/>
      <c r="I444" s="1"/>
      <c r="J444" s="1"/>
      <c r="K444" s="1"/>
      <c r="L444" s="1"/>
      <c r="M444" s="1"/>
    </row>
    <row r="445" ht="14.25" customHeight="1">
      <c r="A445" s="1"/>
      <c r="B445" s="1"/>
      <c r="C445" s="107"/>
      <c r="D445" s="184"/>
      <c r="E445" s="184"/>
      <c r="F445" s="108"/>
      <c r="G445" s="921"/>
      <c r="H445" s="920"/>
      <c r="I445" s="1"/>
      <c r="J445" s="1"/>
      <c r="K445" s="1"/>
      <c r="L445" s="1"/>
      <c r="M445" s="1"/>
    </row>
    <row r="446" ht="14.25" customHeight="1">
      <c r="A446" s="1"/>
      <c r="B446" s="1"/>
      <c r="C446" s="107"/>
      <c r="D446" s="184"/>
      <c r="E446" s="184"/>
      <c r="F446" s="108"/>
      <c r="G446" s="1"/>
      <c r="H446" s="920"/>
      <c r="I446" s="1"/>
      <c r="J446" s="1"/>
      <c r="K446" s="1"/>
      <c r="L446" s="1"/>
      <c r="M446" s="1"/>
    </row>
    <row r="447" ht="14.25" customHeight="1">
      <c r="A447" s="1"/>
      <c r="B447" s="1"/>
      <c r="C447" s="107"/>
      <c r="D447" s="184"/>
      <c r="E447" s="184"/>
      <c r="F447" s="108"/>
      <c r="G447" s="921"/>
      <c r="H447" s="920"/>
      <c r="I447" s="1"/>
      <c r="J447" s="1"/>
      <c r="K447" s="1"/>
      <c r="L447" s="1"/>
      <c r="M447" s="1"/>
    </row>
    <row r="448" ht="14.25" customHeight="1">
      <c r="A448" s="1"/>
      <c r="B448" s="1"/>
      <c r="C448" s="107"/>
      <c r="D448" s="184"/>
      <c r="E448" s="184"/>
      <c r="F448" s="108"/>
      <c r="G448" s="1"/>
      <c r="H448" s="920"/>
      <c r="I448" s="1"/>
      <c r="J448" s="1"/>
      <c r="K448" s="1"/>
      <c r="L448" s="1"/>
      <c r="M448" s="1"/>
    </row>
    <row r="449" ht="14.25" customHeight="1">
      <c r="A449" s="1"/>
      <c r="B449" s="1"/>
      <c r="C449" s="107"/>
      <c r="D449" s="184"/>
      <c r="E449" s="184"/>
      <c r="F449" s="108"/>
      <c r="G449" s="921"/>
      <c r="H449" s="920"/>
      <c r="I449" s="1"/>
      <c r="J449" s="1"/>
      <c r="K449" s="1"/>
      <c r="L449" s="1"/>
      <c r="M449" s="1"/>
    </row>
    <row r="450" ht="15.0" customHeight="1">
      <c r="A450" s="1"/>
      <c r="B450" s="206" t="s">
        <v>957</v>
      </c>
      <c r="C450" s="5"/>
      <c r="D450" s="5"/>
      <c r="E450" s="5"/>
      <c r="F450" s="6"/>
      <c r="G450" s="284"/>
      <c r="H450" s="920"/>
      <c r="I450" s="1"/>
      <c r="J450" s="1"/>
      <c r="K450" s="1"/>
      <c r="L450" s="1"/>
      <c r="M450" s="1"/>
    </row>
    <row r="451" ht="14.25" customHeight="1">
      <c r="A451" s="1"/>
      <c r="B451" s="512" t="s">
        <v>1</v>
      </c>
      <c r="C451" s="1553">
        <v>20.0</v>
      </c>
      <c r="D451" s="513">
        <v>16.0</v>
      </c>
      <c r="E451" s="1576"/>
      <c r="F451" s="125" t="s">
        <v>5</v>
      </c>
      <c r="G451" s="2388"/>
      <c r="H451" s="920"/>
      <c r="I451" s="1"/>
      <c r="J451" s="1"/>
      <c r="K451" s="1"/>
      <c r="L451" s="1"/>
      <c r="M451" s="1"/>
    </row>
    <row r="452" ht="14.25" customHeight="1">
      <c r="A452" s="1"/>
      <c r="B452" s="173" t="s">
        <v>2663</v>
      </c>
      <c r="C452" s="1155">
        <v>5.0</v>
      </c>
      <c r="D452" s="179">
        <f t="shared" ref="D452:D459" si="36">(C452*D451)/C451</f>
        <v>4</v>
      </c>
      <c r="E452" s="1689"/>
      <c r="F452" s="278" t="s">
        <v>14</v>
      </c>
      <c r="G452" s="1968" t="s">
        <v>2667</v>
      </c>
      <c r="H452" s="920"/>
      <c r="I452" s="1"/>
      <c r="J452" s="1"/>
      <c r="K452" s="1"/>
      <c r="L452" s="1"/>
      <c r="M452" s="1"/>
    </row>
    <row r="453" ht="18.75" customHeight="1">
      <c r="A453" s="1"/>
      <c r="B453" s="173" t="s">
        <v>2383</v>
      </c>
      <c r="C453" s="1155">
        <v>5.5</v>
      </c>
      <c r="D453" s="179">
        <f t="shared" si="36"/>
        <v>4.4</v>
      </c>
      <c r="E453" s="1689"/>
      <c r="F453" s="278" t="s">
        <v>5</v>
      </c>
      <c r="G453" s="283" t="s">
        <v>2671</v>
      </c>
      <c r="H453" s="920"/>
      <c r="I453" s="1"/>
      <c r="J453" s="1"/>
      <c r="K453" s="1"/>
      <c r="L453" s="1"/>
      <c r="M453" s="1"/>
    </row>
    <row r="454" ht="14.25" customHeight="1">
      <c r="A454" s="1"/>
      <c r="B454" s="173" t="s">
        <v>2540</v>
      </c>
      <c r="C454" s="1155">
        <v>2.5</v>
      </c>
      <c r="D454" s="179">
        <f t="shared" si="36"/>
        <v>2</v>
      </c>
      <c r="E454" s="1689"/>
      <c r="F454" s="278" t="s">
        <v>14</v>
      </c>
      <c r="G454" s="1968" t="s">
        <v>2673</v>
      </c>
      <c r="H454" s="920"/>
      <c r="I454" s="1"/>
      <c r="J454" s="1"/>
      <c r="K454" s="1"/>
      <c r="L454" s="1"/>
      <c r="M454" s="1"/>
    </row>
    <row r="455" ht="14.25" customHeight="1">
      <c r="A455" s="1"/>
      <c r="B455" s="68" t="s">
        <v>13</v>
      </c>
      <c r="C455" s="975">
        <v>6.0</v>
      </c>
      <c r="D455" s="155">
        <f t="shared" si="36"/>
        <v>4.8</v>
      </c>
      <c r="E455" s="899"/>
      <c r="F455" s="137" t="s">
        <v>14</v>
      </c>
      <c r="G455" s="922" t="s">
        <v>2675</v>
      </c>
      <c r="H455" s="920"/>
      <c r="I455" s="1"/>
      <c r="J455" s="1"/>
      <c r="K455" s="1"/>
      <c r="L455" s="1"/>
      <c r="M455" s="1"/>
    </row>
    <row r="456" ht="14.25" customHeight="1">
      <c r="A456" s="1"/>
      <c r="B456" s="105" t="s">
        <v>59</v>
      </c>
      <c r="C456" s="980">
        <v>3.0</v>
      </c>
      <c r="D456" s="56">
        <f t="shared" si="36"/>
        <v>2.4</v>
      </c>
      <c r="E456" s="1604"/>
      <c r="F456" s="172" t="s">
        <v>5</v>
      </c>
      <c r="G456" s="102"/>
      <c r="H456" s="920"/>
      <c r="I456" s="1"/>
      <c r="J456" s="1"/>
      <c r="K456" s="1"/>
      <c r="L456" s="1"/>
      <c r="M456" s="1"/>
    </row>
    <row r="457" ht="14.25" customHeight="1">
      <c r="A457" s="1"/>
      <c r="B457" s="68" t="s">
        <v>17</v>
      </c>
      <c r="C457" s="975">
        <v>50.0</v>
      </c>
      <c r="D457" s="155">
        <f t="shared" si="36"/>
        <v>40</v>
      </c>
      <c r="E457" s="899"/>
      <c r="F457" s="137" t="s">
        <v>18</v>
      </c>
      <c r="G457" s="922" t="s">
        <v>2678</v>
      </c>
      <c r="H457" s="920"/>
      <c r="I457" s="1"/>
      <c r="J457" s="1"/>
      <c r="K457" s="1"/>
      <c r="L457" s="1"/>
      <c r="M457" s="1"/>
    </row>
    <row r="458" ht="14.25" customHeight="1">
      <c r="A458" s="1"/>
      <c r="B458" s="105" t="s">
        <v>21</v>
      </c>
      <c r="C458" s="980">
        <v>25.0</v>
      </c>
      <c r="D458" s="56">
        <f t="shared" si="36"/>
        <v>20</v>
      </c>
      <c r="E458" s="1604"/>
      <c r="F458" s="172" t="s">
        <v>18</v>
      </c>
      <c r="G458" s="102"/>
      <c r="H458" s="920"/>
      <c r="I458" s="1"/>
      <c r="J458" s="1"/>
      <c r="K458" s="1"/>
      <c r="L458" s="1"/>
      <c r="M458" s="1"/>
    </row>
    <row r="459" ht="14.25" customHeight="1">
      <c r="A459" s="1"/>
      <c r="B459" s="173" t="s">
        <v>430</v>
      </c>
      <c r="C459" s="1155">
        <v>400.0</v>
      </c>
      <c r="D459" s="179">
        <f t="shared" si="36"/>
        <v>320</v>
      </c>
      <c r="E459" s="1689"/>
      <c r="F459" s="278" t="s">
        <v>18</v>
      </c>
      <c r="G459" s="2092" t="s">
        <v>2680</v>
      </c>
      <c r="H459" s="920"/>
      <c r="I459" s="1"/>
      <c r="J459" s="1"/>
      <c r="K459" s="1"/>
      <c r="L459" s="1"/>
      <c r="M459" s="1"/>
    </row>
    <row r="460" ht="14.25" customHeight="1">
      <c r="A460" s="1"/>
      <c r="B460" s="2393" t="s">
        <v>2681</v>
      </c>
      <c r="C460" s="5"/>
      <c r="D460" s="5"/>
      <c r="E460" s="5"/>
      <c r="F460" s="6"/>
      <c r="G460" s="1"/>
      <c r="H460" s="920"/>
      <c r="I460" s="1"/>
      <c r="J460" s="1"/>
      <c r="K460" s="1"/>
      <c r="L460" s="1"/>
      <c r="M460" s="1"/>
    </row>
    <row r="461" ht="14.25" customHeight="1">
      <c r="A461" s="1"/>
      <c r="B461" s="63"/>
      <c r="F461" s="66"/>
      <c r="G461" s="1"/>
      <c r="H461" s="920"/>
      <c r="I461" s="1"/>
      <c r="J461" s="1"/>
      <c r="K461" s="1"/>
      <c r="L461" s="1"/>
      <c r="M461" s="1"/>
    </row>
    <row r="462" ht="14.25" customHeight="1">
      <c r="A462" s="1"/>
      <c r="B462" s="63"/>
      <c r="F462" s="66"/>
      <c r="G462" s="1"/>
      <c r="H462" s="920"/>
      <c r="I462" s="1"/>
      <c r="J462" s="1"/>
      <c r="K462" s="1"/>
      <c r="L462" s="1"/>
      <c r="M462" s="1"/>
    </row>
    <row r="463" ht="14.25" customHeight="1">
      <c r="A463" s="1"/>
      <c r="B463" s="63"/>
      <c r="F463" s="66"/>
      <c r="G463" s="1"/>
      <c r="H463" s="920"/>
      <c r="I463" s="1"/>
      <c r="J463" s="1"/>
      <c r="K463" s="1"/>
      <c r="L463" s="1"/>
      <c r="M463" s="1"/>
    </row>
    <row r="464" ht="14.25" customHeight="1">
      <c r="A464" s="1"/>
      <c r="B464" s="102"/>
      <c r="C464" s="104"/>
      <c r="D464" s="104"/>
      <c r="E464" s="104"/>
      <c r="F464" s="106"/>
      <c r="G464" s="1"/>
      <c r="H464" s="920"/>
      <c r="I464" s="1"/>
      <c r="J464" s="1"/>
      <c r="K464" s="1"/>
      <c r="L464" s="1"/>
      <c r="M464" s="1"/>
    </row>
    <row r="465" ht="14.25" customHeight="1">
      <c r="A465" s="1"/>
      <c r="B465" s="90" t="s">
        <v>120</v>
      </c>
      <c r="C465" s="1188">
        <v>41011.0</v>
      </c>
      <c r="D465" s="184"/>
      <c r="E465" s="184"/>
      <c r="F465" s="108"/>
      <c r="G465" s="1"/>
      <c r="H465" s="920"/>
      <c r="I465" s="1"/>
      <c r="J465" s="1"/>
      <c r="K465" s="1"/>
      <c r="L465" s="1"/>
      <c r="M465" s="1"/>
    </row>
    <row r="466" ht="14.25" customHeight="1">
      <c r="A466" s="1"/>
      <c r="B466" s="305" t="s">
        <v>50</v>
      </c>
      <c r="C466" s="1188"/>
      <c r="D466" s="184"/>
      <c r="E466" s="184"/>
      <c r="F466" s="108"/>
      <c r="G466" s="1"/>
      <c r="H466" s="920"/>
      <c r="I466" s="1"/>
      <c r="J466" s="1"/>
      <c r="K466" s="1"/>
      <c r="L466" s="1"/>
      <c r="M466" s="1"/>
    </row>
    <row r="467" ht="14.25" customHeight="1">
      <c r="A467" s="1"/>
      <c r="B467" s="258" t="s">
        <v>119</v>
      </c>
      <c r="C467" s="258" t="s">
        <v>47</v>
      </c>
      <c r="D467" s="184"/>
      <c r="E467" s="184"/>
      <c r="F467" s="108"/>
      <c r="G467" s="921"/>
      <c r="H467" s="920"/>
      <c r="I467" s="1"/>
      <c r="J467" s="1"/>
      <c r="K467" s="1"/>
      <c r="L467" s="1"/>
      <c r="M467" s="1"/>
    </row>
    <row r="468" ht="14.25" customHeight="1">
      <c r="A468" s="1"/>
      <c r="B468" s="1"/>
      <c r="C468" s="107"/>
      <c r="D468" s="184"/>
      <c r="E468" s="184"/>
      <c r="F468" s="108"/>
      <c r="G468" s="921"/>
      <c r="H468" s="920"/>
      <c r="I468" s="1"/>
      <c r="J468" s="1"/>
      <c r="K468" s="1"/>
      <c r="L468" s="1"/>
      <c r="M468" s="1"/>
    </row>
    <row r="469" ht="14.25" customHeight="1">
      <c r="A469" s="1"/>
      <c r="B469" s="1"/>
      <c r="C469" s="107"/>
      <c r="D469" s="184"/>
      <c r="E469" s="184"/>
      <c r="F469" s="108"/>
      <c r="G469" s="921"/>
      <c r="H469" s="920"/>
      <c r="I469" s="1"/>
      <c r="J469" s="1"/>
      <c r="K469" s="1"/>
      <c r="L469" s="1"/>
      <c r="M469" s="1"/>
    </row>
    <row r="470" ht="14.25" customHeight="1">
      <c r="A470" s="1"/>
      <c r="B470" s="1"/>
      <c r="C470" s="107"/>
      <c r="D470" s="184"/>
      <c r="E470" s="184"/>
      <c r="F470" s="108"/>
      <c r="G470" s="1"/>
      <c r="H470" s="920"/>
      <c r="I470" s="1"/>
      <c r="J470" s="1"/>
      <c r="K470" s="1"/>
      <c r="L470" s="1"/>
      <c r="M470" s="1"/>
    </row>
    <row r="471" ht="14.25" customHeight="1">
      <c r="A471" s="1"/>
      <c r="B471" s="1"/>
      <c r="C471" s="107"/>
      <c r="D471" s="184"/>
      <c r="E471" s="184"/>
      <c r="F471" s="108"/>
      <c r="G471" s="1"/>
      <c r="H471" s="920"/>
      <c r="I471" s="1"/>
      <c r="J471" s="1"/>
      <c r="K471" s="1"/>
      <c r="L471" s="1"/>
      <c r="M471" s="1"/>
    </row>
    <row r="472" ht="14.25" customHeight="1">
      <c r="A472" s="1"/>
      <c r="B472" s="1"/>
      <c r="C472" s="107"/>
      <c r="D472" s="184"/>
      <c r="E472" s="184"/>
      <c r="F472" s="108"/>
      <c r="G472" s="921"/>
      <c r="H472" s="920"/>
      <c r="I472" s="1"/>
      <c r="J472" s="1"/>
      <c r="K472" s="1"/>
      <c r="L472" s="1"/>
      <c r="M472" s="1"/>
    </row>
    <row r="473" ht="14.25" customHeight="1">
      <c r="A473" s="1"/>
      <c r="B473" s="206" t="s">
        <v>969</v>
      </c>
      <c r="C473" s="5"/>
      <c r="D473" s="5"/>
      <c r="E473" s="5"/>
      <c r="F473" s="6"/>
      <c r="G473" s="207"/>
      <c r="H473" s="920"/>
      <c r="I473" s="1"/>
      <c r="J473" s="1"/>
      <c r="K473" s="1"/>
      <c r="L473" s="1"/>
      <c r="M473" s="1"/>
    </row>
    <row r="474" ht="14.25" customHeight="1">
      <c r="A474" s="1"/>
      <c r="B474" s="173" t="s">
        <v>1</v>
      </c>
      <c r="C474" s="275">
        <v>100.0</v>
      </c>
      <c r="D474" s="915">
        <v>220.0</v>
      </c>
      <c r="E474" s="1689"/>
      <c r="F474" s="278" t="s">
        <v>5</v>
      </c>
      <c r="G474" s="207"/>
      <c r="H474" s="920"/>
      <c r="I474" s="1"/>
      <c r="J474" s="1"/>
      <c r="K474" s="1"/>
      <c r="L474" s="1"/>
      <c r="M474" s="1"/>
    </row>
    <row r="475" ht="14.25" customHeight="1">
      <c r="A475" s="1"/>
      <c r="B475" s="68" t="s">
        <v>947</v>
      </c>
      <c r="C475" s="145">
        <v>15.0</v>
      </c>
      <c r="D475" s="155">
        <f t="shared" ref="D475:D491" si="37">(C475*D474)/C474</f>
        <v>33</v>
      </c>
      <c r="E475" s="899"/>
      <c r="F475" s="137" t="s">
        <v>14</v>
      </c>
      <c r="G475" s="194" t="s">
        <v>2694</v>
      </c>
      <c r="H475" s="920"/>
      <c r="I475" s="1"/>
      <c r="J475" s="1"/>
      <c r="K475" s="1"/>
      <c r="L475" s="1"/>
      <c r="M475" s="1"/>
    </row>
    <row r="476" ht="14.25" customHeight="1">
      <c r="A476" s="1"/>
      <c r="B476" s="93" t="s">
        <v>743</v>
      </c>
      <c r="C476" s="195">
        <v>2.0</v>
      </c>
      <c r="D476" s="78">
        <f t="shared" si="37"/>
        <v>4.4</v>
      </c>
      <c r="E476" s="900"/>
      <c r="F476" s="165" t="s">
        <v>5</v>
      </c>
      <c r="G476" s="63"/>
      <c r="H476" s="920"/>
      <c r="I476" s="1"/>
      <c r="J476" s="1"/>
      <c r="K476" s="1"/>
      <c r="L476" s="1"/>
      <c r="M476" s="1"/>
    </row>
    <row r="477" ht="15.0" customHeight="1">
      <c r="A477" s="1"/>
      <c r="B477" s="93" t="s">
        <v>243</v>
      </c>
      <c r="C477" s="195">
        <v>64.0</v>
      </c>
      <c r="D477" s="78">
        <f t="shared" si="37"/>
        <v>140.8</v>
      </c>
      <c r="E477" s="900"/>
      <c r="F477" s="165" t="s">
        <v>5</v>
      </c>
      <c r="G477" s="63"/>
      <c r="H477" s="920"/>
      <c r="I477" s="1"/>
      <c r="J477" s="1"/>
      <c r="K477" s="1"/>
      <c r="L477" s="1"/>
      <c r="M477" s="1"/>
    </row>
    <row r="478" ht="14.25" customHeight="1">
      <c r="A478" s="1"/>
      <c r="B478" s="105" t="s">
        <v>31</v>
      </c>
      <c r="C478" s="200">
        <v>150.0</v>
      </c>
      <c r="D478" s="56">
        <f t="shared" si="37"/>
        <v>330</v>
      </c>
      <c r="E478" s="1604"/>
      <c r="F478" s="172" t="s">
        <v>18</v>
      </c>
      <c r="G478" s="102"/>
      <c r="H478" s="920"/>
      <c r="I478" s="1"/>
      <c r="J478" s="1"/>
      <c r="K478" s="1"/>
      <c r="L478" s="1"/>
      <c r="M478" s="1"/>
    </row>
    <row r="479" ht="14.25" customHeight="1">
      <c r="A479" s="1"/>
      <c r="B479" s="68" t="s">
        <v>80</v>
      </c>
      <c r="C479" s="145">
        <v>20.0</v>
      </c>
      <c r="D479" s="155">
        <f t="shared" si="37"/>
        <v>44</v>
      </c>
      <c r="E479" s="899"/>
      <c r="F479" s="137" t="s">
        <v>14</v>
      </c>
      <c r="G479" s="1795"/>
      <c r="H479" s="920"/>
      <c r="I479" s="1"/>
      <c r="J479" s="1"/>
      <c r="K479" s="1"/>
      <c r="L479" s="1"/>
      <c r="M479" s="1"/>
    </row>
    <row r="480" ht="14.25" customHeight="1">
      <c r="A480" s="1"/>
      <c r="B480" s="105" t="s">
        <v>59</v>
      </c>
      <c r="C480" s="200">
        <v>2.0</v>
      </c>
      <c r="D480" s="56">
        <f t="shared" si="37"/>
        <v>4.4</v>
      </c>
      <c r="E480" s="1604"/>
      <c r="F480" s="172" t="s">
        <v>5</v>
      </c>
      <c r="G480" s="102"/>
      <c r="H480" s="920"/>
      <c r="I480" s="1"/>
      <c r="J480" s="1"/>
      <c r="K480" s="1"/>
      <c r="L480" s="1"/>
      <c r="M480" s="1"/>
    </row>
    <row r="481" ht="14.25" customHeight="1">
      <c r="A481" s="1"/>
      <c r="B481" s="119" t="s">
        <v>2698</v>
      </c>
      <c r="C481" s="238">
        <v>2.5</v>
      </c>
      <c r="D481" s="129">
        <f t="shared" si="37"/>
        <v>5.5</v>
      </c>
      <c r="E481" s="1583"/>
      <c r="F481" s="176" t="s">
        <v>5</v>
      </c>
      <c r="G481" s="1795" t="s">
        <v>2699</v>
      </c>
      <c r="H481" s="920"/>
      <c r="I481" s="1"/>
      <c r="J481" s="1"/>
      <c r="K481" s="1"/>
      <c r="L481" s="1"/>
      <c r="M481" s="1"/>
    </row>
    <row r="482" ht="14.25" customHeight="1">
      <c r="A482" s="1"/>
      <c r="B482" s="93" t="s">
        <v>746</v>
      </c>
      <c r="C482" s="195">
        <v>1500.0</v>
      </c>
      <c r="D482" s="78">
        <f t="shared" si="37"/>
        <v>3300</v>
      </c>
      <c r="E482" s="900"/>
      <c r="F482" s="165" t="s">
        <v>18</v>
      </c>
      <c r="G482" s="63"/>
      <c r="H482" s="920"/>
      <c r="I482" s="1"/>
      <c r="J482" s="1"/>
      <c r="K482" s="1"/>
      <c r="L482" s="1"/>
      <c r="M482" s="1"/>
    </row>
    <row r="483" ht="14.25" customHeight="1">
      <c r="A483" s="1"/>
      <c r="B483" s="93" t="s">
        <v>1046</v>
      </c>
      <c r="C483" s="195">
        <v>1500.0</v>
      </c>
      <c r="D483" s="78">
        <f t="shared" si="37"/>
        <v>3300</v>
      </c>
      <c r="E483" s="900"/>
      <c r="F483" s="165" t="s">
        <v>18</v>
      </c>
      <c r="G483" s="63"/>
      <c r="H483" s="920"/>
      <c r="I483" s="1"/>
      <c r="J483" s="1"/>
      <c r="K483" s="1"/>
      <c r="L483" s="1"/>
      <c r="M483" s="1"/>
    </row>
    <row r="484" ht="14.25" customHeight="1">
      <c r="A484" s="1"/>
      <c r="B484" s="138" t="s">
        <v>1047</v>
      </c>
      <c r="C484" s="279">
        <v>1.5</v>
      </c>
      <c r="D484" s="146">
        <f t="shared" si="37"/>
        <v>3.3</v>
      </c>
      <c r="E484" s="1607"/>
      <c r="F484" s="281" t="s">
        <v>14</v>
      </c>
      <c r="G484" s="102"/>
      <c r="H484" s="920"/>
      <c r="I484" s="1"/>
      <c r="J484" s="1"/>
      <c r="K484" s="1"/>
      <c r="L484" s="1"/>
      <c r="M484" s="1"/>
    </row>
    <row r="485" ht="14.25" customHeight="1">
      <c r="A485" s="1"/>
      <c r="B485" s="68" t="s">
        <v>430</v>
      </c>
      <c r="C485" s="145">
        <v>500.0</v>
      </c>
      <c r="D485" s="155">
        <f t="shared" si="37"/>
        <v>1100</v>
      </c>
      <c r="E485" s="899"/>
      <c r="F485" s="137" t="s">
        <v>18</v>
      </c>
      <c r="G485" s="999" t="s">
        <v>1501</v>
      </c>
      <c r="H485" s="920"/>
      <c r="I485" s="1"/>
      <c r="J485" s="1"/>
      <c r="K485" s="1"/>
      <c r="L485" s="1"/>
      <c r="M485" s="1"/>
    </row>
    <row r="486" ht="14.25" customHeight="1">
      <c r="A486" s="1"/>
      <c r="B486" s="138" t="s">
        <v>2702</v>
      </c>
      <c r="C486" s="279">
        <v>250.0</v>
      </c>
      <c r="D486" s="146">
        <f t="shared" si="37"/>
        <v>550</v>
      </c>
      <c r="E486" s="1607"/>
      <c r="F486" s="281" t="s">
        <v>18</v>
      </c>
      <c r="G486" s="104"/>
      <c r="H486" s="920"/>
      <c r="I486" s="1"/>
      <c r="J486" s="1"/>
      <c r="K486" s="1"/>
      <c r="L486" s="1"/>
      <c r="M486" s="1"/>
    </row>
    <row r="487" ht="14.25" customHeight="1">
      <c r="A487" s="1"/>
      <c r="B487" s="68" t="s">
        <v>350</v>
      </c>
      <c r="C487" s="145">
        <v>6.0</v>
      </c>
      <c r="D487" s="155">
        <f t="shared" si="37"/>
        <v>13.2</v>
      </c>
      <c r="E487" s="899"/>
      <c r="F487" s="137" t="s">
        <v>14</v>
      </c>
      <c r="G487" s="194" t="s">
        <v>2704</v>
      </c>
      <c r="H487" s="920"/>
      <c r="I487" s="1"/>
      <c r="J487" s="1"/>
      <c r="K487" s="1"/>
      <c r="L487" s="1"/>
      <c r="M487" s="1"/>
    </row>
    <row r="488" ht="14.25" customHeight="1">
      <c r="A488" s="1"/>
      <c r="B488" s="93" t="s">
        <v>858</v>
      </c>
      <c r="C488" s="195">
        <v>20.0</v>
      </c>
      <c r="D488" s="78">
        <f t="shared" si="37"/>
        <v>44</v>
      </c>
      <c r="E488" s="900"/>
      <c r="F488" s="165" t="s">
        <v>9</v>
      </c>
      <c r="G488" s="63"/>
      <c r="H488" s="920"/>
      <c r="I488" s="1"/>
      <c r="J488" s="1"/>
      <c r="K488" s="1"/>
      <c r="L488" s="1"/>
      <c r="M488" s="1"/>
    </row>
    <row r="489" ht="14.25" customHeight="1">
      <c r="A489" s="1"/>
      <c r="B489" s="93" t="s">
        <v>1038</v>
      </c>
      <c r="C489" s="195">
        <v>250.0</v>
      </c>
      <c r="D489" s="78">
        <f t="shared" si="37"/>
        <v>550</v>
      </c>
      <c r="E489" s="900"/>
      <c r="F489" s="165" t="s">
        <v>18</v>
      </c>
      <c r="G489" s="63"/>
      <c r="H489" s="920"/>
      <c r="I489" s="1"/>
      <c r="J489" s="1"/>
      <c r="K489" s="1"/>
      <c r="L489" s="1"/>
      <c r="M489" s="1"/>
    </row>
    <row r="490" ht="14.25" customHeight="1">
      <c r="A490" s="1"/>
      <c r="B490" s="93" t="s">
        <v>2707</v>
      </c>
      <c r="C490" s="195">
        <v>50.0</v>
      </c>
      <c r="D490" s="78">
        <f t="shared" si="37"/>
        <v>110</v>
      </c>
      <c r="E490" s="900"/>
      <c r="F490" s="165" t="s">
        <v>18</v>
      </c>
      <c r="G490" s="63"/>
      <c r="H490" s="920"/>
      <c r="I490" s="1"/>
      <c r="J490" s="1"/>
      <c r="K490" s="1"/>
      <c r="L490" s="1"/>
      <c r="M490" s="1"/>
    </row>
    <row r="491" ht="14.25" customHeight="1">
      <c r="A491" s="1"/>
      <c r="B491" s="93" t="s">
        <v>1179</v>
      </c>
      <c r="C491" s="195">
        <v>25.0</v>
      </c>
      <c r="D491" s="78">
        <f t="shared" si="37"/>
        <v>55</v>
      </c>
      <c r="E491" s="900"/>
      <c r="F491" s="165" t="s">
        <v>18</v>
      </c>
      <c r="G491" s="63"/>
      <c r="H491" s="920"/>
      <c r="I491" s="1"/>
      <c r="J491" s="1"/>
      <c r="K491" s="1"/>
      <c r="L491" s="1"/>
      <c r="M491" s="1"/>
    </row>
    <row r="492" ht="15.0" customHeight="1">
      <c r="A492" s="1"/>
      <c r="B492" s="105" t="s">
        <v>96</v>
      </c>
      <c r="C492" s="200">
        <v>5.0</v>
      </c>
      <c r="D492" s="56">
        <f>(C492*D493)/C493</f>
        <v>11</v>
      </c>
      <c r="E492" s="1604"/>
      <c r="F492" s="172" t="s">
        <v>18</v>
      </c>
      <c r="G492" s="102"/>
      <c r="H492" s="920"/>
      <c r="I492" s="1"/>
      <c r="J492" s="1"/>
      <c r="K492" s="1"/>
      <c r="L492" s="1"/>
      <c r="M492" s="1"/>
    </row>
    <row r="493" ht="14.25" customHeight="1">
      <c r="A493" s="1"/>
      <c r="B493" s="119" t="s">
        <v>1049</v>
      </c>
      <c r="C493" s="238">
        <v>7.5</v>
      </c>
      <c r="D493" s="129">
        <f>(C493*D491)/C491</f>
        <v>16.5</v>
      </c>
      <c r="E493" s="1583"/>
      <c r="F493" s="176" t="s">
        <v>18</v>
      </c>
      <c r="G493" s="493"/>
      <c r="H493" s="920"/>
      <c r="I493" s="1"/>
      <c r="J493" s="1"/>
      <c r="K493" s="1"/>
      <c r="L493" s="1"/>
      <c r="M493" s="1"/>
    </row>
    <row r="494" ht="14.25" customHeight="1">
      <c r="A494" s="1"/>
      <c r="B494" s="258" t="s">
        <v>119</v>
      </c>
      <c r="C494" s="258" t="s">
        <v>47</v>
      </c>
      <c r="D494" s="184"/>
      <c r="E494" s="184"/>
      <c r="F494" s="108"/>
      <c r="G494" s="1"/>
      <c r="H494" s="920"/>
      <c r="I494" s="1"/>
      <c r="J494" s="1"/>
      <c r="K494" s="1"/>
      <c r="L494" s="1"/>
      <c r="M494" s="1"/>
    </row>
    <row r="495" ht="16.5" customHeight="1">
      <c r="A495" s="1"/>
      <c r="B495" s="1"/>
      <c r="C495" s="107"/>
      <c r="D495" s="184"/>
      <c r="E495" s="184"/>
      <c r="F495" s="108"/>
      <c r="G495" s="1"/>
      <c r="H495" s="920"/>
      <c r="I495" s="1"/>
      <c r="J495" s="1"/>
      <c r="K495" s="1"/>
      <c r="L495" s="1"/>
      <c r="M495" s="1"/>
    </row>
    <row r="496" ht="14.25" customHeight="1">
      <c r="A496" s="1"/>
      <c r="B496" s="1"/>
      <c r="C496" s="107"/>
      <c r="D496" s="184"/>
      <c r="E496" s="184"/>
      <c r="F496" s="108"/>
      <c r="G496" s="1"/>
      <c r="H496" s="920"/>
      <c r="I496" s="1"/>
      <c r="J496" s="1"/>
      <c r="K496" s="1"/>
      <c r="L496" s="1"/>
      <c r="M496" s="1"/>
    </row>
    <row r="497" ht="17.25" customHeight="1">
      <c r="A497" s="2401"/>
      <c r="B497" s="1"/>
      <c r="C497" s="107"/>
      <c r="D497" s="184"/>
      <c r="E497" s="184"/>
      <c r="F497" s="108"/>
      <c r="G497" s="1"/>
      <c r="H497" s="920"/>
      <c r="I497" s="1"/>
      <c r="J497" s="1"/>
      <c r="K497" s="1"/>
      <c r="L497" s="1"/>
      <c r="M497" s="1"/>
    </row>
    <row r="498" ht="14.25" customHeight="1">
      <c r="A498" s="2401"/>
      <c r="B498" s="1"/>
      <c r="C498" s="107"/>
      <c r="D498" s="184"/>
      <c r="E498" s="184"/>
      <c r="F498" s="108"/>
      <c r="G498" s="1"/>
      <c r="H498" s="920"/>
      <c r="I498" s="1"/>
      <c r="J498" s="1"/>
      <c r="K498" s="1"/>
      <c r="L498" s="1"/>
      <c r="M498" s="1"/>
    </row>
    <row r="499" ht="14.25" customHeight="1">
      <c r="A499" s="2401"/>
      <c r="B499" s="90" t="s">
        <v>120</v>
      </c>
      <c r="C499" s="1188">
        <v>40862.0</v>
      </c>
      <c r="D499" s="184"/>
      <c r="E499" s="184"/>
      <c r="F499" s="108"/>
      <c r="G499" s="1"/>
      <c r="H499" s="920"/>
      <c r="I499" s="1"/>
      <c r="J499" s="1"/>
      <c r="K499" s="1"/>
      <c r="L499" s="1"/>
      <c r="M499" s="1"/>
    </row>
    <row r="500" ht="15.0" customHeight="1">
      <c r="A500" s="2401"/>
      <c r="B500" s="305" t="s">
        <v>50</v>
      </c>
      <c r="C500" s="1188">
        <v>41406.0</v>
      </c>
      <c r="D500" s="184"/>
      <c r="E500" s="184"/>
      <c r="F500" s="108"/>
      <c r="G500" s="1"/>
      <c r="H500" s="920"/>
      <c r="I500" s="1"/>
      <c r="J500" s="1"/>
      <c r="K500" s="1"/>
      <c r="L500" s="1"/>
      <c r="M500" s="1"/>
    </row>
    <row r="501" ht="14.25" customHeight="1">
      <c r="A501" s="2401"/>
      <c r="B501" s="1"/>
      <c r="C501" s="107"/>
      <c r="D501" s="184"/>
      <c r="E501" s="184"/>
      <c r="F501" s="108"/>
      <c r="G501" s="1"/>
      <c r="H501" s="920"/>
      <c r="I501" s="1"/>
      <c r="J501" s="1"/>
      <c r="K501" s="1"/>
      <c r="L501" s="1"/>
      <c r="M501" s="1"/>
    </row>
    <row r="502" ht="14.25" customHeight="1">
      <c r="A502" s="2401"/>
      <c r="B502" s="1"/>
      <c r="C502" s="107"/>
      <c r="D502" s="184"/>
      <c r="E502" s="184"/>
      <c r="F502" s="108"/>
      <c r="G502" s="921"/>
      <c r="H502" s="920"/>
      <c r="I502" s="1"/>
      <c r="J502" s="1"/>
      <c r="K502" s="1"/>
      <c r="L502" s="1"/>
      <c r="M502" s="1"/>
    </row>
    <row r="503" ht="15.0" customHeight="1">
      <c r="A503" s="2401"/>
      <c r="B503" s="1"/>
      <c r="C503" s="107"/>
      <c r="D503" s="184"/>
      <c r="E503" s="184"/>
      <c r="F503" s="108"/>
      <c r="G503" s="921"/>
      <c r="H503" s="920"/>
      <c r="I503" s="1"/>
      <c r="J503" s="1"/>
      <c r="K503" s="1"/>
      <c r="L503" s="1"/>
      <c r="M503" s="1"/>
    </row>
    <row r="504" ht="15.0" customHeight="1">
      <c r="A504" s="1"/>
      <c r="B504" s="1"/>
      <c r="C504" s="107"/>
      <c r="D504" s="184"/>
      <c r="E504" s="184"/>
      <c r="F504" s="108"/>
      <c r="G504" s="921"/>
      <c r="H504" s="920"/>
      <c r="I504" s="1"/>
      <c r="J504" s="1"/>
      <c r="K504" s="1"/>
      <c r="L504" s="1"/>
      <c r="M504" s="1"/>
    </row>
    <row r="505" ht="14.25" customHeight="1">
      <c r="A505" s="1"/>
      <c r="B505" s="1"/>
      <c r="C505" s="107"/>
      <c r="D505" s="184"/>
      <c r="E505" s="184"/>
      <c r="F505" s="108"/>
      <c r="G505" s="921"/>
      <c r="H505" s="920"/>
      <c r="I505" s="1"/>
      <c r="J505" s="1"/>
      <c r="K505" s="1"/>
      <c r="L505" s="1"/>
      <c r="M505" s="1"/>
    </row>
    <row r="506" ht="14.25" customHeight="1">
      <c r="A506" s="1"/>
      <c r="B506" s="1"/>
      <c r="C506" s="107"/>
      <c r="D506" s="184"/>
      <c r="E506" s="184"/>
      <c r="F506" s="108"/>
      <c r="G506" s="921"/>
      <c r="H506" s="920"/>
      <c r="I506" s="1"/>
      <c r="J506" s="1"/>
      <c r="K506" s="1"/>
      <c r="L506" s="1"/>
      <c r="M506" s="1"/>
    </row>
    <row r="507" ht="14.25" customHeight="1">
      <c r="A507" s="1"/>
      <c r="B507" s="1"/>
      <c r="C507" s="107"/>
      <c r="D507" s="184"/>
      <c r="E507" s="184"/>
      <c r="F507" s="108"/>
      <c r="G507" s="921"/>
      <c r="H507" s="920"/>
      <c r="I507" s="1"/>
      <c r="J507" s="1"/>
      <c r="K507" s="1"/>
      <c r="L507" s="1"/>
      <c r="M507" s="1"/>
    </row>
    <row r="508" ht="14.25" customHeight="1">
      <c r="A508" s="1"/>
      <c r="B508" s="206" t="s">
        <v>980</v>
      </c>
      <c r="C508" s="5"/>
      <c r="D508" s="5"/>
      <c r="E508" s="5"/>
      <c r="F508" s="6"/>
      <c r="G508" s="207"/>
      <c r="H508" s="920"/>
      <c r="I508" s="1"/>
      <c r="J508" s="1"/>
      <c r="K508" s="1"/>
      <c r="L508" s="1"/>
      <c r="M508" s="1"/>
    </row>
    <row r="509" ht="14.25" customHeight="1">
      <c r="A509" s="1"/>
      <c r="B509" s="553" t="s">
        <v>1</v>
      </c>
      <c r="C509" s="975">
        <v>100.0</v>
      </c>
      <c r="D509" s="1791">
        <v>8.0</v>
      </c>
      <c r="E509" s="1927"/>
      <c r="F509" s="137" t="s">
        <v>5</v>
      </c>
      <c r="G509" s="207"/>
      <c r="H509" s="920"/>
      <c r="I509" s="1"/>
      <c r="J509" s="1"/>
      <c r="K509" s="1"/>
      <c r="L509" s="1"/>
      <c r="M509" s="1"/>
    </row>
    <row r="510" ht="14.25" customHeight="1">
      <c r="A510" s="1"/>
      <c r="B510" s="93" t="s">
        <v>15</v>
      </c>
      <c r="C510" s="195">
        <v>300.0</v>
      </c>
      <c r="D510" s="78">
        <f t="shared" ref="D510:D514" si="38">(C510*D509)/C509</f>
        <v>24</v>
      </c>
      <c r="E510" s="900"/>
      <c r="F510" s="165" t="s">
        <v>5</v>
      </c>
      <c r="G510" s="1830" t="s">
        <v>2721</v>
      </c>
      <c r="H510" s="920"/>
      <c r="I510" s="1"/>
      <c r="J510" s="1"/>
      <c r="K510" s="1"/>
      <c r="L510" s="1"/>
      <c r="M510" s="1"/>
    </row>
    <row r="511" ht="14.25" customHeight="1">
      <c r="A511" s="1"/>
      <c r="B511" s="93" t="s">
        <v>17</v>
      </c>
      <c r="C511" s="195">
        <v>150.0</v>
      </c>
      <c r="D511" s="78">
        <f t="shared" si="38"/>
        <v>12</v>
      </c>
      <c r="E511" s="900"/>
      <c r="F511" s="165" t="s">
        <v>18</v>
      </c>
      <c r="G511" s="207"/>
      <c r="H511" s="920"/>
      <c r="I511" s="1"/>
      <c r="J511" s="1"/>
      <c r="K511" s="1"/>
      <c r="L511" s="1"/>
      <c r="M511" s="1"/>
    </row>
    <row r="512" ht="14.25" customHeight="1">
      <c r="A512" s="1"/>
      <c r="B512" s="93" t="s">
        <v>2723</v>
      </c>
      <c r="C512" s="40">
        <v>1000.0</v>
      </c>
      <c r="D512" s="78">
        <f t="shared" si="38"/>
        <v>80</v>
      </c>
      <c r="E512" s="900"/>
      <c r="F512" s="165" t="s">
        <v>18</v>
      </c>
      <c r="G512" s="207"/>
      <c r="H512" s="920"/>
      <c r="I512" s="1"/>
      <c r="J512" s="1"/>
      <c r="K512" s="1"/>
      <c r="L512" s="1"/>
      <c r="M512" s="1"/>
    </row>
    <row r="513" ht="14.25" customHeight="1">
      <c r="A513" s="1"/>
      <c r="B513" s="93" t="s">
        <v>2724</v>
      </c>
      <c r="C513" s="40">
        <v>500.0</v>
      </c>
      <c r="D513" s="78">
        <f t="shared" si="38"/>
        <v>40</v>
      </c>
      <c r="E513" s="900"/>
      <c r="F513" s="165" t="s">
        <v>18</v>
      </c>
      <c r="G513" s="207"/>
      <c r="H513" s="920"/>
      <c r="I513" s="1"/>
      <c r="J513" s="1"/>
      <c r="K513" s="1"/>
      <c r="L513" s="1"/>
      <c r="M513" s="1"/>
    </row>
    <row r="514" ht="14.25" customHeight="1">
      <c r="A514" s="1"/>
      <c r="B514" s="138" t="s">
        <v>13</v>
      </c>
      <c r="C514" s="279">
        <v>10.0</v>
      </c>
      <c r="D514" s="146">
        <f t="shared" si="38"/>
        <v>0.8</v>
      </c>
      <c r="E514" s="1607"/>
      <c r="F514" s="281" t="s">
        <v>14</v>
      </c>
      <c r="G514" s="207"/>
      <c r="H514" s="920"/>
      <c r="I514" s="1"/>
      <c r="J514" s="1"/>
      <c r="K514" s="1"/>
      <c r="L514" s="1"/>
      <c r="M514" s="1"/>
    </row>
    <row r="515" ht="14.25" customHeight="1">
      <c r="A515" s="1"/>
      <c r="B515" s="2403" t="s">
        <v>2725</v>
      </c>
      <c r="C515" s="2404">
        <v>40.0</v>
      </c>
      <c r="D515" s="2405"/>
      <c r="E515" s="2406"/>
      <c r="F515" s="2407" t="s">
        <v>82</v>
      </c>
      <c r="G515" s="1795"/>
      <c r="H515" s="920"/>
      <c r="I515" s="1"/>
      <c r="J515" s="1"/>
      <c r="K515" s="1"/>
      <c r="L515" s="1"/>
      <c r="M515" s="1"/>
    </row>
    <row r="516" ht="14.25" customHeight="1">
      <c r="A516" s="1"/>
      <c r="B516" s="2408" t="s">
        <v>2729</v>
      </c>
      <c r="C516" s="2409">
        <v>20.0</v>
      </c>
      <c r="D516" s="2410">
        <f>(C516*D514)/C514</f>
        <v>1.6</v>
      </c>
      <c r="E516" s="2411"/>
      <c r="F516" s="2412" t="s">
        <v>18</v>
      </c>
      <c r="G516" s="102"/>
      <c r="H516" s="920"/>
      <c r="I516" s="1"/>
      <c r="J516" s="1"/>
      <c r="K516" s="1"/>
      <c r="L516" s="1"/>
      <c r="M516" s="1"/>
    </row>
    <row r="517" ht="14.25" customHeight="1">
      <c r="A517" s="1"/>
      <c r="B517" s="258" t="s">
        <v>119</v>
      </c>
      <c r="C517" s="258" t="s">
        <v>47</v>
      </c>
      <c r="D517" s="184"/>
      <c r="E517" s="184"/>
      <c r="F517" s="108"/>
      <c r="G517" s="1"/>
      <c r="H517" s="920"/>
      <c r="I517" s="1"/>
      <c r="J517" s="1"/>
      <c r="K517" s="1"/>
      <c r="L517" s="1"/>
      <c r="M517" s="1"/>
    </row>
    <row r="518" ht="14.25" customHeight="1">
      <c r="A518" s="1"/>
      <c r="B518" s="1"/>
      <c r="C518" s="107"/>
      <c r="D518" s="184"/>
      <c r="E518" s="184"/>
      <c r="F518" s="108"/>
      <c r="G518" s="1"/>
      <c r="H518" s="920"/>
      <c r="I518" s="1"/>
      <c r="J518" s="1"/>
      <c r="K518" s="1"/>
      <c r="L518" s="1"/>
      <c r="M518" s="1"/>
    </row>
    <row r="519" ht="14.25" customHeight="1">
      <c r="A519" s="1"/>
      <c r="B519" s="1"/>
      <c r="C519" s="107"/>
      <c r="D519" s="184"/>
      <c r="E519" s="184"/>
      <c r="F519" s="108"/>
      <c r="G519" s="1"/>
      <c r="H519" s="920"/>
      <c r="I519" s="1"/>
      <c r="J519" s="1"/>
      <c r="K519" s="1"/>
      <c r="L519" s="1"/>
      <c r="M519" s="1"/>
    </row>
    <row r="520" ht="14.25" customHeight="1">
      <c r="A520" s="1"/>
      <c r="B520" s="1"/>
      <c r="C520" s="107"/>
      <c r="D520" s="184"/>
      <c r="E520" s="184"/>
      <c r="F520" s="108"/>
      <c r="G520" s="1"/>
      <c r="H520" s="920"/>
      <c r="I520" s="1"/>
      <c r="J520" s="1"/>
      <c r="K520" s="1"/>
      <c r="L520" s="1"/>
      <c r="M520" s="1"/>
    </row>
    <row r="521" ht="14.25" customHeight="1">
      <c r="A521" s="1"/>
      <c r="B521" s="1"/>
      <c r="C521" s="107"/>
      <c r="D521" s="184"/>
      <c r="E521" s="184"/>
      <c r="F521" s="108"/>
      <c r="G521" s="1"/>
      <c r="H521" s="920"/>
      <c r="I521" s="1"/>
      <c r="J521" s="1"/>
      <c r="K521" s="1"/>
      <c r="L521" s="1"/>
      <c r="M521" s="1"/>
    </row>
    <row r="522" ht="14.25" customHeight="1">
      <c r="A522" s="1"/>
      <c r="B522" s="90" t="s">
        <v>502</v>
      </c>
      <c r="C522" s="1188">
        <v>40817.0</v>
      </c>
      <c r="D522" s="184"/>
      <c r="E522" s="184"/>
      <c r="F522" s="108"/>
      <c r="G522" s="1"/>
      <c r="H522" s="920"/>
      <c r="I522" s="1"/>
      <c r="J522" s="1"/>
      <c r="K522" s="1"/>
      <c r="L522" s="1"/>
      <c r="M522" s="1"/>
    </row>
    <row r="523" ht="14.25" customHeight="1">
      <c r="A523" s="1"/>
      <c r="B523" s="305" t="s">
        <v>50</v>
      </c>
      <c r="C523" s="1188">
        <v>41819.0</v>
      </c>
      <c r="D523" s="1838"/>
      <c r="E523" s="1838"/>
      <c r="F523" s="1839"/>
      <c r="G523" s="1"/>
      <c r="H523" s="920"/>
      <c r="I523" s="1"/>
      <c r="J523" s="1"/>
      <c r="K523" s="1"/>
      <c r="L523" s="1"/>
      <c r="M523" s="1"/>
    </row>
    <row r="524" ht="14.25" customHeight="1">
      <c r="A524" s="1"/>
      <c r="B524" s="1"/>
      <c r="C524" s="107"/>
      <c r="D524" s="184"/>
      <c r="E524" s="184"/>
      <c r="F524" s="1839"/>
      <c r="G524" s="1"/>
      <c r="H524" s="920"/>
      <c r="I524" s="1"/>
      <c r="J524" s="1"/>
      <c r="K524" s="1"/>
      <c r="L524" s="1"/>
      <c r="M524" s="1"/>
    </row>
    <row r="525" ht="14.25" customHeight="1">
      <c r="A525" s="1"/>
      <c r="B525" s="1"/>
      <c r="C525" s="107"/>
      <c r="D525" s="184"/>
      <c r="E525" s="184"/>
      <c r="F525" s="1839"/>
      <c r="G525" s="207"/>
      <c r="H525" s="920"/>
      <c r="I525" s="1"/>
      <c r="J525" s="1"/>
      <c r="K525" s="1"/>
      <c r="L525" s="1"/>
      <c r="M525" s="1"/>
    </row>
    <row r="526" ht="14.25" customHeight="1">
      <c r="A526" s="1"/>
      <c r="B526" s="1"/>
      <c r="C526" s="107"/>
      <c r="D526" s="184"/>
      <c r="E526" s="184"/>
      <c r="F526" s="108"/>
      <c r="G526" s="1"/>
      <c r="H526" s="920"/>
      <c r="I526" s="1"/>
      <c r="J526" s="1"/>
      <c r="K526" s="1"/>
      <c r="L526" s="1"/>
      <c r="M526" s="1"/>
    </row>
    <row r="527" ht="14.25" customHeight="1">
      <c r="A527" s="1"/>
      <c r="B527" s="1"/>
      <c r="C527" s="107"/>
      <c r="D527" s="184"/>
      <c r="E527" s="184"/>
      <c r="F527" s="108"/>
      <c r="G527" s="1"/>
      <c r="H527" s="920"/>
      <c r="I527" s="1"/>
      <c r="J527" s="1"/>
      <c r="K527" s="1"/>
      <c r="L527" s="1"/>
      <c r="M527" s="1"/>
    </row>
    <row r="528" ht="14.25" customHeight="1">
      <c r="A528" s="1"/>
      <c r="B528" s="1"/>
      <c r="C528" s="107"/>
      <c r="D528" s="184"/>
      <c r="E528" s="184"/>
      <c r="F528" s="108"/>
      <c r="G528" s="921"/>
      <c r="H528" s="920"/>
      <c r="I528" s="1"/>
      <c r="J528" s="1"/>
      <c r="K528" s="1"/>
      <c r="L528" s="1"/>
      <c r="M528" s="1"/>
    </row>
    <row r="529" ht="14.25" customHeight="1">
      <c r="A529" s="1"/>
      <c r="B529" s="511" t="s">
        <v>686</v>
      </c>
      <c r="C529" s="18"/>
      <c r="D529" s="18"/>
      <c r="E529" s="18"/>
      <c r="F529" s="19"/>
      <c r="G529" s="921"/>
      <c r="H529" s="920"/>
      <c r="I529" s="1"/>
      <c r="J529" s="1"/>
      <c r="K529" s="1"/>
      <c r="L529" s="1"/>
      <c r="M529" s="1"/>
    </row>
    <row r="530" ht="14.25" customHeight="1">
      <c r="A530" s="1"/>
      <c r="B530" s="2124" t="s">
        <v>1</v>
      </c>
      <c r="C530" s="1209">
        <v>100.0</v>
      </c>
      <c r="D530" s="2413">
        <v>68.0</v>
      </c>
      <c r="E530" s="2414"/>
      <c r="F530" s="2415" t="s">
        <v>5</v>
      </c>
      <c r="G530" s="207"/>
      <c r="H530" s="920"/>
      <c r="I530" s="1"/>
      <c r="J530" s="1"/>
      <c r="K530" s="1"/>
      <c r="L530" s="1"/>
      <c r="M530" s="1"/>
    </row>
    <row r="531" ht="14.25" customHeight="1">
      <c r="A531" s="1"/>
      <c r="B531" s="2416" t="s">
        <v>15</v>
      </c>
      <c r="C531" s="1202">
        <f t="shared" ref="C531:D531" si="39">IF(C530&lt;50,C530,IF(C530&lt;100,(1-(C530-50)*0.002)*C530,0.9*C530))</f>
        <v>90</v>
      </c>
      <c r="D531" s="2417">
        <f t="shared" si="39"/>
        <v>65.552</v>
      </c>
      <c r="E531" s="2418"/>
      <c r="F531" s="628" t="s">
        <v>5</v>
      </c>
      <c r="G531" s="207"/>
      <c r="H531" s="920"/>
      <c r="I531" s="1"/>
      <c r="J531" s="1"/>
      <c r="K531" s="1"/>
      <c r="L531" s="1"/>
      <c r="M531" s="1"/>
    </row>
    <row r="532" ht="14.25" customHeight="1">
      <c r="A532" s="1"/>
      <c r="B532" s="2129" t="s">
        <v>140</v>
      </c>
      <c r="C532" s="1213">
        <v>4.5</v>
      </c>
      <c r="D532" s="2420">
        <f>(C532*D530)/C530</f>
        <v>3.06</v>
      </c>
      <c r="E532" s="2421"/>
      <c r="F532" s="2422" t="s">
        <v>14</v>
      </c>
      <c r="G532" s="207"/>
      <c r="H532" s="920"/>
      <c r="I532" s="1"/>
      <c r="J532" s="1"/>
      <c r="K532" s="1"/>
      <c r="L532" s="1"/>
      <c r="M532" s="1"/>
    </row>
    <row r="533" ht="14.25" customHeight="1">
      <c r="A533" s="1"/>
      <c r="B533" s="2129" t="s">
        <v>743</v>
      </c>
      <c r="C533" s="1213">
        <v>1.0</v>
      </c>
      <c r="D533" s="2420">
        <f t="shared" ref="D533:D539" si="40">(C533*D532)/C532</f>
        <v>0.68</v>
      </c>
      <c r="E533" s="2421"/>
      <c r="F533" s="2422" t="s">
        <v>5</v>
      </c>
      <c r="G533" s="312"/>
      <c r="H533" s="920"/>
      <c r="I533" s="1"/>
      <c r="J533" s="1"/>
      <c r="K533" s="1"/>
      <c r="L533" s="1"/>
      <c r="M533" s="1"/>
    </row>
    <row r="534" ht="14.25" customHeight="1">
      <c r="A534" s="1"/>
      <c r="B534" s="2423" t="s">
        <v>13</v>
      </c>
      <c r="C534" s="351">
        <v>21.25</v>
      </c>
      <c r="D534" s="2420">
        <f t="shared" si="40"/>
        <v>14.45</v>
      </c>
      <c r="E534" s="2424"/>
      <c r="F534" s="2425" t="s">
        <v>14</v>
      </c>
      <c r="G534" s="312"/>
      <c r="H534" s="920"/>
      <c r="I534" s="1"/>
      <c r="J534" s="1"/>
      <c r="K534" s="1"/>
      <c r="L534" s="1"/>
      <c r="M534" s="1"/>
    </row>
    <row r="535" ht="14.25" customHeight="1">
      <c r="A535" s="1"/>
      <c r="B535" s="617" t="s">
        <v>2752</v>
      </c>
      <c r="C535" s="145">
        <v>5.0</v>
      </c>
      <c r="D535" s="2116">
        <f t="shared" si="40"/>
        <v>3.4</v>
      </c>
      <c r="E535" s="2117"/>
      <c r="F535" s="628" t="s">
        <v>14</v>
      </c>
      <c r="G535" s="194" t="s">
        <v>2753</v>
      </c>
      <c r="H535" s="920"/>
      <c r="I535" s="1"/>
      <c r="J535" s="1"/>
      <c r="K535" s="1"/>
      <c r="L535" s="1"/>
      <c r="M535" s="1"/>
    </row>
    <row r="536" ht="14.25" customHeight="1">
      <c r="A536" s="1"/>
      <c r="B536" s="2129" t="s">
        <v>2754</v>
      </c>
      <c r="C536" s="195">
        <v>0.25</v>
      </c>
      <c r="D536" s="2131">
        <f t="shared" si="40"/>
        <v>0.17</v>
      </c>
      <c r="E536" s="2132"/>
      <c r="F536" s="2422" t="s">
        <v>5</v>
      </c>
      <c r="G536" s="63"/>
      <c r="H536" s="920"/>
      <c r="I536" s="1"/>
      <c r="J536" s="1"/>
      <c r="K536" s="1"/>
      <c r="L536" s="1"/>
      <c r="M536" s="1"/>
    </row>
    <row r="537" ht="14.25" customHeight="1">
      <c r="A537" s="1"/>
      <c r="B537" s="2129" t="s">
        <v>2757</v>
      </c>
      <c r="C537" s="195">
        <v>2.0</v>
      </c>
      <c r="D537" s="2131">
        <f t="shared" si="40"/>
        <v>1.36</v>
      </c>
      <c r="E537" s="2132"/>
      <c r="F537" s="2422" t="s">
        <v>5</v>
      </c>
      <c r="G537" s="63"/>
      <c r="H537" s="920"/>
      <c r="I537" s="1"/>
      <c r="J537" s="1"/>
      <c r="K537" s="1"/>
      <c r="L537" s="1"/>
      <c r="M537" s="1"/>
    </row>
    <row r="538" ht="15.75" customHeight="1">
      <c r="A538" s="1"/>
      <c r="B538" s="2423" t="s">
        <v>1079</v>
      </c>
      <c r="C538" s="279">
        <v>125.0</v>
      </c>
      <c r="D538" s="2428">
        <f t="shared" si="40"/>
        <v>85</v>
      </c>
      <c r="E538" s="2429"/>
      <c r="F538" s="2425" t="s">
        <v>82</v>
      </c>
      <c r="G538" s="63"/>
      <c r="H538" s="920"/>
      <c r="I538" s="1"/>
      <c r="J538" s="1"/>
      <c r="K538" s="1"/>
      <c r="L538" s="1"/>
      <c r="M538" s="1"/>
    </row>
    <row r="539" ht="15.0" customHeight="1">
      <c r="A539" s="1"/>
      <c r="B539" s="2119" t="s">
        <v>1080</v>
      </c>
      <c r="C539" s="200">
        <v>125.0</v>
      </c>
      <c r="D539" s="2121">
        <f t="shared" si="40"/>
        <v>85</v>
      </c>
      <c r="E539" s="2122"/>
      <c r="F539" s="2430" t="s">
        <v>82</v>
      </c>
      <c r="G539" s="102"/>
      <c r="H539" s="920"/>
      <c r="I539" s="1"/>
      <c r="J539" s="1"/>
      <c r="K539" s="1"/>
      <c r="L539" s="1"/>
      <c r="M539" s="1"/>
    </row>
    <row r="540" ht="14.25" customHeight="1">
      <c r="A540" s="1"/>
      <c r="B540" s="1"/>
      <c r="C540" s="107"/>
      <c r="D540" s="184"/>
      <c r="E540" s="184"/>
      <c r="F540" s="108"/>
      <c r="G540" s="1"/>
      <c r="H540" s="920"/>
      <c r="I540" s="1"/>
      <c r="J540" s="1"/>
      <c r="K540" s="1"/>
      <c r="L540" s="1"/>
      <c r="M540" s="1"/>
    </row>
    <row r="541" ht="14.25" customHeight="1">
      <c r="A541" s="1"/>
      <c r="B541" s="2377" t="s">
        <v>2760</v>
      </c>
      <c r="C541" s="5"/>
      <c r="D541" s="5"/>
      <c r="E541" s="5"/>
      <c r="F541" s="6"/>
      <c r="G541" s="1"/>
      <c r="H541" s="920"/>
      <c r="I541" s="1"/>
      <c r="J541" s="1"/>
      <c r="K541" s="1"/>
      <c r="L541" s="1"/>
      <c r="M541" s="1"/>
    </row>
    <row r="542" ht="14.25" customHeight="1">
      <c r="A542" s="1"/>
      <c r="B542" s="63"/>
      <c r="F542" s="66"/>
      <c r="G542" s="1"/>
      <c r="H542" s="920"/>
      <c r="I542" s="1"/>
      <c r="J542" s="1"/>
      <c r="K542" s="1"/>
      <c r="L542" s="1"/>
      <c r="M542" s="1"/>
    </row>
    <row r="543" ht="14.25" customHeight="1">
      <c r="A543" s="1"/>
      <c r="B543" s="63"/>
      <c r="F543" s="66"/>
      <c r="G543" s="1"/>
      <c r="H543" s="920"/>
      <c r="I543" s="1"/>
      <c r="J543" s="1"/>
      <c r="K543" s="1"/>
      <c r="L543" s="1"/>
      <c r="M543" s="1"/>
    </row>
    <row r="544" ht="14.25" customHeight="1">
      <c r="A544" s="1"/>
      <c r="B544" s="102"/>
      <c r="C544" s="104"/>
      <c r="D544" s="104"/>
      <c r="E544" s="104"/>
      <c r="F544" s="106"/>
      <c r="G544" s="1"/>
      <c r="H544" s="920"/>
      <c r="I544" s="1"/>
      <c r="J544" s="1"/>
      <c r="K544" s="1"/>
      <c r="L544" s="1"/>
      <c r="M544" s="1"/>
    </row>
    <row r="545" ht="14.25" customHeight="1">
      <c r="A545" s="1"/>
      <c r="B545" s="90" t="s">
        <v>120</v>
      </c>
      <c r="C545" s="1188">
        <v>40925.0</v>
      </c>
      <c r="D545" s="184"/>
      <c r="E545" s="184"/>
      <c r="F545" s="108"/>
      <c r="G545" s="1"/>
      <c r="H545" s="920"/>
      <c r="I545" s="1"/>
      <c r="J545" s="1"/>
      <c r="K545" s="1"/>
      <c r="L545" s="1"/>
      <c r="M545" s="1"/>
    </row>
    <row r="546" ht="14.25" customHeight="1">
      <c r="A546" s="1"/>
      <c r="B546" s="305" t="s">
        <v>50</v>
      </c>
      <c r="C546" s="1188">
        <v>42455.0</v>
      </c>
      <c r="D546" s="184"/>
      <c r="E546" s="184"/>
      <c r="F546" s="108"/>
      <c r="G546" s="1"/>
      <c r="H546" s="920"/>
      <c r="I546" s="1"/>
      <c r="J546" s="1"/>
      <c r="K546" s="1"/>
      <c r="L546" s="1"/>
      <c r="M546" s="1"/>
    </row>
    <row r="547" ht="14.25" customHeight="1">
      <c r="A547" s="1"/>
      <c r="B547" s="258" t="s">
        <v>119</v>
      </c>
      <c r="C547" s="258" t="s">
        <v>47</v>
      </c>
      <c r="D547" s="184"/>
      <c r="E547" s="184"/>
      <c r="F547" s="108"/>
      <c r="G547" s="207"/>
      <c r="H547" s="920"/>
      <c r="I547" s="1"/>
      <c r="J547" s="1"/>
      <c r="K547" s="1"/>
      <c r="L547" s="1"/>
      <c r="M547" s="1"/>
    </row>
    <row r="548" ht="14.25" customHeight="1">
      <c r="A548" s="1"/>
      <c r="B548" s="1"/>
      <c r="C548" s="107"/>
      <c r="D548" s="184"/>
      <c r="E548" s="184"/>
      <c r="F548" s="108"/>
      <c r="G548" s="921"/>
      <c r="H548" s="920"/>
      <c r="I548" s="1"/>
      <c r="J548" s="1"/>
      <c r="K548" s="1"/>
      <c r="L548" s="1"/>
      <c r="M548" s="1"/>
    </row>
    <row r="549" ht="14.25" customHeight="1">
      <c r="A549" s="1"/>
      <c r="B549" s="1"/>
      <c r="C549" s="107"/>
      <c r="D549" s="184"/>
      <c r="E549" s="184"/>
      <c r="F549" s="108"/>
      <c r="G549" s="921"/>
      <c r="H549" s="920"/>
      <c r="I549" s="1"/>
      <c r="J549" s="1"/>
      <c r="K549" s="1"/>
      <c r="L549" s="1"/>
      <c r="M549" s="1"/>
    </row>
    <row r="550" ht="14.25" customHeight="1">
      <c r="A550" s="1"/>
      <c r="B550" s="1"/>
      <c r="C550" s="107"/>
      <c r="D550" s="184"/>
      <c r="E550" s="184"/>
      <c r="F550" s="108"/>
      <c r="G550" s="921"/>
      <c r="H550" s="920"/>
      <c r="I550" s="1"/>
      <c r="J550" s="1"/>
      <c r="K550" s="1"/>
      <c r="L550" s="1"/>
      <c r="M550" s="1"/>
    </row>
    <row r="551" ht="14.25" customHeight="1">
      <c r="A551" s="1"/>
      <c r="B551" s="511" t="s">
        <v>996</v>
      </c>
      <c r="C551" s="18"/>
      <c r="D551" s="18"/>
      <c r="E551" s="18"/>
      <c r="F551" s="19"/>
      <c r="G551" s="921"/>
      <c r="H551" s="920"/>
      <c r="I551" s="1"/>
      <c r="J551" s="1"/>
      <c r="K551" s="1"/>
      <c r="L551" s="1"/>
      <c r="M551" s="1"/>
    </row>
    <row r="552" ht="14.25" customHeight="1">
      <c r="A552" s="1"/>
      <c r="B552" s="119" t="s">
        <v>1</v>
      </c>
      <c r="C552" s="1209">
        <v>100.0</v>
      </c>
      <c r="D552" s="2433">
        <v>268.0</v>
      </c>
      <c r="E552" s="1953"/>
      <c r="F552" s="176" t="s">
        <v>5</v>
      </c>
      <c r="G552" s="207"/>
      <c r="H552" s="920"/>
      <c r="I552" s="1"/>
      <c r="J552" s="1"/>
      <c r="K552" s="1"/>
      <c r="L552" s="1"/>
      <c r="M552" s="1"/>
    </row>
    <row r="553" ht="14.25" customHeight="1">
      <c r="A553" s="1"/>
      <c r="B553" s="1401" t="s">
        <v>15</v>
      </c>
      <c r="C553" s="1202">
        <f t="shared" ref="C553:D553" si="41">IF(C552&lt;50,C552,IF(C552&lt;100,(1-(C552-50)*0.002)*C552,0.9*C552))</f>
        <v>90</v>
      </c>
      <c r="D553" s="73">
        <f t="shared" si="41"/>
        <v>241.2</v>
      </c>
      <c r="E553" s="1620"/>
      <c r="F553" s="137" t="s">
        <v>5</v>
      </c>
      <c r="G553" s="207"/>
      <c r="H553" s="920"/>
      <c r="I553" s="1"/>
      <c r="J553" s="1"/>
      <c r="K553" s="1"/>
      <c r="L553" s="1"/>
      <c r="M553" s="1"/>
    </row>
    <row r="554" ht="14.25" customHeight="1">
      <c r="A554" s="1"/>
      <c r="B554" s="93" t="s">
        <v>140</v>
      </c>
      <c r="C554" s="1213">
        <v>4.5</v>
      </c>
      <c r="D554" s="94">
        <f>(C554*D552)/C552</f>
        <v>12.06</v>
      </c>
      <c r="E554" s="1586"/>
      <c r="F554" s="165" t="s">
        <v>14</v>
      </c>
      <c r="G554" s="207"/>
      <c r="H554" s="920"/>
      <c r="I554" s="1"/>
      <c r="J554" s="1"/>
      <c r="K554" s="1"/>
      <c r="L554" s="1"/>
      <c r="M554" s="1"/>
    </row>
    <row r="555" ht="14.25" customHeight="1">
      <c r="A555" s="1"/>
      <c r="B555" s="93" t="s">
        <v>743</v>
      </c>
      <c r="C555" s="1213">
        <v>1.0</v>
      </c>
      <c r="D555" s="94">
        <f t="shared" ref="D555:D559" si="42">(C555*D554)/C554</f>
        <v>2.68</v>
      </c>
      <c r="E555" s="1586"/>
      <c r="F555" s="165" t="s">
        <v>5</v>
      </c>
      <c r="G555" s="312"/>
      <c r="H555" s="920"/>
      <c r="I555" s="1"/>
      <c r="J555" s="1"/>
      <c r="K555" s="1"/>
      <c r="L555" s="1"/>
      <c r="M555" s="1"/>
    </row>
    <row r="556" ht="14.25" customHeight="1">
      <c r="A556" s="1"/>
      <c r="B556" s="138" t="s">
        <v>13</v>
      </c>
      <c r="C556" s="351">
        <v>17.0</v>
      </c>
      <c r="D556" s="94">
        <f t="shared" si="42"/>
        <v>45.56</v>
      </c>
      <c r="E556" s="1596"/>
      <c r="F556" s="281" t="s">
        <v>14</v>
      </c>
      <c r="G556" s="1"/>
      <c r="H556" s="920"/>
      <c r="I556" s="1"/>
      <c r="J556" s="1"/>
      <c r="K556" s="1"/>
      <c r="L556" s="1"/>
      <c r="M556" s="1"/>
    </row>
    <row r="557" ht="14.25" customHeight="1">
      <c r="A557" s="1"/>
      <c r="B557" s="68" t="s">
        <v>2769</v>
      </c>
      <c r="C557" s="1202">
        <v>3500.0</v>
      </c>
      <c r="D557" s="73">
        <f t="shared" si="42"/>
        <v>9380</v>
      </c>
      <c r="E557" s="1620"/>
      <c r="F557" s="137" t="s">
        <v>18</v>
      </c>
      <c r="G557" s="903" t="s">
        <v>2770</v>
      </c>
      <c r="H557" s="1"/>
      <c r="I557" s="1"/>
      <c r="J557" s="1"/>
      <c r="K557" s="1"/>
      <c r="L557" s="1"/>
      <c r="M557" s="1"/>
    </row>
    <row r="558" ht="14.25" customHeight="1">
      <c r="A558" s="1"/>
      <c r="B558" s="93" t="s">
        <v>2468</v>
      </c>
      <c r="C558" s="1213">
        <v>9.0</v>
      </c>
      <c r="D558" s="94">
        <f t="shared" si="42"/>
        <v>24.12</v>
      </c>
      <c r="E558" s="1586"/>
      <c r="F558" s="165" t="s">
        <v>82</v>
      </c>
      <c r="G558" s="47"/>
      <c r="H558" s="1"/>
      <c r="I558" s="1"/>
      <c r="J558" s="1"/>
      <c r="K558" s="1"/>
      <c r="L558" s="1"/>
      <c r="M558" s="1"/>
    </row>
    <row r="559" ht="14.25" customHeight="1">
      <c r="A559" s="1"/>
      <c r="B559" s="105" t="s">
        <v>2771</v>
      </c>
      <c r="C559" s="1216">
        <v>15.0</v>
      </c>
      <c r="D559" s="110">
        <f t="shared" si="42"/>
        <v>40.2</v>
      </c>
      <c r="E559" s="1959"/>
      <c r="F559" s="172" t="s">
        <v>18</v>
      </c>
      <c r="G559" s="76"/>
      <c r="H559" s="1"/>
      <c r="I559" s="1"/>
      <c r="J559" s="1"/>
      <c r="K559" s="1"/>
      <c r="L559" s="1"/>
      <c r="M559" s="1"/>
    </row>
    <row r="560" ht="14.25" customHeight="1">
      <c r="A560" s="1"/>
      <c r="B560" s="1"/>
      <c r="C560" s="107"/>
      <c r="D560" s="184"/>
      <c r="E560" s="184"/>
      <c r="F560" s="108"/>
      <c r="G560" s="1"/>
      <c r="H560" s="920"/>
      <c r="I560" s="1"/>
      <c r="J560" s="1"/>
      <c r="K560" s="1"/>
      <c r="L560" s="1"/>
      <c r="M560" s="1"/>
    </row>
    <row r="561" ht="14.25" customHeight="1">
      <c r="A561" s="1"/>
      <c r="B561" s="2377" t="s">
        <v>2772</v>
      </c>
      <c r="C561" s="5"/>
      <c r="D561" s="5"/>
      <c r="E561" s="5"/>
      <c r="F561" s="6"/>
      <c r="G561" s="1"/>
      <c r="H561" s="920"/>
      <c r="I561" s="1"/>
      <c r="J561" s="1"/>
      <c r="K561" s="1"/>
      <c r="L561" s="1"/>
      <c r="M561" s="1"/>
    </row>
    <row r="562" ht="14.25" customHeight="1">
      <c r="A562" s="1"/>
      <c r="B562" s="63"/>
      <c r="F562" s="66"/>
      <c r="G562" s="1"/>
      <c r="H562" s="920"/>
      <c r="I562" s="1"/>
      <c r="J562" s="1"/>
      <c r="K562" s="1"/>
      <c r="L562" s="1"/>
      <c r="M562" s="1"/>
    </row>
    <row r="563" ht="14.25" customHeight="1">
      <c r="A563" s="1"/>
      <c r="B563" s="63"/>
      <c r="F563" s="66"/>
      <c r="G563" s="1"/>
      <c r="H563" s="920"/>
      <c r="I563" s="1"/>
      <c r="J563" s="1"/>
      <c r="K563" s="1"/>
      <c r="L563" s="1"/>
      <c r="M563" s="1"/>
    </row>
    <row r="564" ht="14.25" customHeight="1">
      <c r="A564" s="1"/>
      <c r="B564" s="102"/>
      <c r="C564" s="104"/>
      <c r="D564" s="104"/>
      <c r="E564" s="104"/>
      <c r="F564" s="106"/>
      <c r="G564" s="1"/>
      <c r="H564" s="920"/>
      <c r="I564" s="1"/>
      <c r="J564" s="1"/>
      <c r="K564" s="1"/>
      <c r="L564" s="1"/>
      <c r="M564" s="1"/>
    </row>
    <row r="565" ht="14.25" customHeight="1">
      <c r="A565" s="1"/>
      <c r="B565" s="90" t="s">
        <v>120</v>
      </c>
      <c r="C565" s="1188">
        <v>40925.0</v>
      </c>
      <c r="D565" s="184"/>
      <c r="E565" s="184"/>
      <c r="F565" s="108"/>
      <c r="G565" s="1"/>
      <c r="H565" s="920"/>
      <c r="I565" s="1"/>
      <c r="J565" s="1"/>
      <c r="K565" s="1"/>
      <c r="L565" s="1"/>
      <c r="M565" s="1"/>
    </row>
    <row r="566" ht="14.25" customHeight="1">
      <c r="A566" s="1"/>
      <c r="B566" s="305" t="s">
        <v>50</v>
      </c>
      <c r="C566" s="1188">
        <v>42455.0</v>
      </c>
      <c r="D566" s="184"/>
      <c r="E566" s="184"/>
      <c r="F566" s="108"/>
      <c r="G566" s="1"/>
      <c r="H566" s="920"/>
      <c r="I566" s="1"/>
      <c r="J566" s="1"/>
      <c r="K566" s="1"/>
      <c r="L566" s="1"/>
      <c r="M566" s="1"/>
    </row>
    <row r="567" ht="14.25" customHeight="1">
      <c r="A567" s="1"/>
      <c r="B567" s="258" t="s">
        <v>119</v>
      </c>
      <c r="C567" s="258" t="s">
        <v>47</v>
      </c>
      <c r="D567" s="184"/>
      <c r="E567" s="184"/>
      <c r="F567" s="108"/>
      <c r="G567" s="1"/>
      <c r="H567" s="920"/>
      <c r="I567" s="1"/>
      <c r="J567" s="1"/>
      <c r="K567" s="1"/>
      <c r="L567" s="1"/>
      <c r="M567" s="1"/>
    </row>
    <row r="568" ht="14.25" customHeight="1">
      <c r="A568" s="1"/>
      <c r="B568" s="1"/>
      <c r="C568" s="107"/>
      <c r="D568" s="184"/>
      <c r="E568" s="184"/>
      <c r="F568" s="108"/>
      <c r="G568" s="921"/>
      <c r="H568" s="920"/>
      <c r="I568" s="1"/>
      <c r="J568" s="1"/>
      <c r="K568" s="1"/>
      <c r="L568" s="1"/>
      <c r="M568" s="1"/>
    </row>
    <row r="569" ht="14.25" customHeight="1">
      <c r="A569" s="1"/>
      <c r="B569" s="1"/>
      <c r="C569" s="107"/>
      <c r="D569" s="184"/>
      <c r="E569" s="184"/>
      <c r="F569" s="108"/>
      <c r="G569" s="921"/>
      <c r="H569" s="920"/>
      <c r="I569" s="1"/>
      <c r="J569" s="1"/>
      <c r="K569" s="1"/>
      <c r="L569" s="1"/>
      <c r="M569" s="1"/>
    </row>
    <row r="570" ht="14.25" customHeight="1">
      <c r="A570" s="1"/>
      <c r="B570" s="1"/>
      <c r="C570" s="107"/>
      <c r="D570" s="184"/>
      <c r="E570" s="184"/>
      <c r="F570" s="108"/>
      <c r="G570" s="921"/>
      <c r="H570" s="920"/>
      <c r="I570" s="1"/>
      <c r="J570" s="1"/>
      <c r="K570" s="1"/>
      <c r="L570" s="1"/>
      <c r="M570" s="1"/>
    </row>
    <row r="571" ht="14.25" customHeight="1">
      <c r="A571" s="1"/>
      <c r="B571" s="1"/>
      <c r="C571" s="107"/>
      <c r="D571" s="184"/>
      <c r="E571" s="184"/>
      <c r="F571" s="108"/>
      <c r="G571" s="921"/>
      <c r="H571" s="920"/>
      <c r="I571" s="1"/>
      <c r="J571" s="1"/>
      <c r="K571" s="1"/>
      <c r="L571" s="1"/>
      <c r="M571" s="1"/>
    </row>
    <row r="572" ht="14.25" customHeight="1">
      <c r="A572" s="1"/>
      <c r="B572" s="209" t="s">
        <v>2777</v>
      </c>
      <c r="C572" s="18"/>
      <c r="D572" s="18"/>
      <c r="E572" s="18"/>
      <c r="F572" s="19"/>
      <c r="G572" s="44" t="s">
        <v>2780</v>
      </c>
      <c r="H572" s="1"/>
      <c r="I572" s="1"/>
      <c r="J572" s="1"/>
      <c r="K572" s="1"/>
      <c r="L572" s="1"/>
      <c r="M572" s="1"/>
    </row>
    <row r="573" ht="14.25" customHeight="1">
      <c r="A573" s="193"/>
      <c r="B573" s="105" t="s">
        <v>1</v>
      </c>
      <c r="C573" s="200">
        <v>100.0</v>
      </c>
      <c r="D573" s="2439">
        <v>4.0</v>
      </c>
      <c r="E573" s="1607"/>
      <c r="F573" s="281" t="s">
        <v>5</v>
      </c>
      <c r="G573" s="47"/>
      <c r="H573" s="1"/>
      <c r="I573" s="1"/>
      <c r="J573" s="1"/>
      <c r="K573" s="1"/>
      <c r="L573" s="1"/>
      <c r="M573" s="1"/>
    </row>
    <row r="574" ht="14.25" customHeight="1">
      <c r="A574" s="193"/>
      <c r="B574" s="68" t="s">
        <v>15</v>
      </c>
      <c r="C574" s="145">
        <v>100.0</v>
      </c>
      <c r="D574" s="155">
        <f t="shared" ref="D574:D596" si="43">(C574*D573)/C573</f>
        <v>4</v>
      </c>
      <c r="E574" s="899"/>
      <c r="F574" s="137" t="s">
        <v>5</v>
      </c>
      <c r="G574" s="47"/>
      <c r="H574" s="1"/>
      <c r="I574" s="1"/>
      <c r="J574" s="1"/>
      <c r="K574" s="1"/>
      <c r="L574" s="1"/>
      <c r="M574" s="1"/>
    </row>
    <row r="575" ht="14.25" customHeight="1">
      <c r="A575" s="1"/>
      <c r="B575" s="93" t="s">
        <v>216</v>
      </c>
      <c r="C575" s="195">
        <v>1.0</v>
      </c>
      <c r="D575" s="78">
        <f t="shared" si="43"/>
        <v>0.04</v>
      </c>
      <c r="E575" s="900"/>
      <c r="F575" s="165" t="s">
        <v>14</v>
      </c>
      <c r="G575" s="47"/>
      <c r="H575" s="1"/>
      <c r="I575" s="1"/>
      <c r="J575" s="1"/>
      <c r="K575" s="1"/>
      <c r="L575" s="1"/>
      <c r="M575" s="1"/>
    </row>
    <row r="576" ht="14.25" customHeight="1">
      <c r="A576" s="1"/>
      <c r="C576" s="195">
        <v>7.0</v>
      </c>
      <c r="D576" s="78">
        <f t="shared" si="43"/>
        <v>0.28</v>
      </c>
      <c r="E576" s="900"/>
      <c r="F576" s="165" t="s">
        <v>14</v>
      </c>
      <c r="G576" s="47"/>
      <c r="H576" s="1"/>
      <c r="I576" s="1"/>
      <c r="J576" s="1"/>
      <c r="K576" s="1"/>
      <c r="L576" s="1"/>
      <c r="M576" s="1"/>
    </row>
    <row r="577" ht="14.25" customHeight="1">
      <c r="A577" s="1"/>
      <c r="B577" s="93" t="s">
        <v>743</v>
      </c>
      <c r="C577" s="195">
        <v>0.4</v>
      </c>
      <c r="D577" s="78">
        <f t="shared" si="43"/>
        <v>0.016</v>
      </c>
      <c r="E577" s="900"/>
      <c r="F577" s="165" t="s">
        <v>5</v>
      </c>
      <c r="G577" s="47"/>
      <c r="H577" s="1"/>
      <c r="I577" s="1"/>
      <c r="J577" s="1"/>
      <c r="K577" s="1"/>
      <c r="L577" s="1"/>
      <c r="M577" s="1"/>
    </row>
    <row r="578" ht="14.25" customHeight="1">
      <c r="A578" s="1"/>
      <c r="B578" s="93" t="s">
        <v>13</v>
      </c>
      <c r="C578" s="195">
        <v>18.0</v>
      </c>
      <c r="D578" s="78">
        <f t="shared" si="43"/>
        <v>0.72</v>
      </c>
      <c r="E578" s="900"/>
      <c r="F578" s="165" t="s">
        <v>14</v>
      </c>
      <c r="G578" s="47"/>
      <c r="H578" s="1"/>
      <c r="I578" s="1"/>
      <c r="J578" s="1"/>
      <c r="K578" s="1"/>
      <c r="L578" s="1"/>
      <c r="M578" s="1"/>
    </row>
    <row r="579" ht="14.25" customHeight="1">
      <c r="A579" s="1"/>
      <c r="B579" s="93" t="s">
        <v>2784</v>
      </c>
      <c r="C579" s="195">
        <v>1000.0</v>
      </c>
      <c r="D579" s="78">
        <f t="shared" si="43"/>
        <v>40</v>
      </c>
      <c r="E579" s="900"/>
      <c r="F579" s="165" t="s">
        <v>18</v>
      </c>
      <c r="G579" s="47"/>
      <c r="H579" s="1"/>
      <c r="I579" s="1"/>
      <c r="J579" s="1"/>
      <c r="K579" s="1"/>
      <c r="L579" s="1"/>
      <c r="M579" s="1"/>
    </row>
    <row r="580" ht="14.25" customHeight="1">
      <c r="A580" s="1"/>
      <c r="B580" s="93" t="s">
        <v>2785</v>
      </c>
      <c r="C580" s="195">
        <v>0.25</v>
      </c>
      <c r="D580" s="78">
        <f t="shared" si="43"/>
        <v>0.01</v>
      </c>
      <c r="E580" s="900"/>
      <c r="F580" s="165" t="s">
        <v>5</v>
      </c>
      <c r="G580" s="76"/>
      <c r="H580" s="1"/>
      <c r="I580" s="1"/>
      <c r="J580" s="1"/>
      <c r="K580" s="1"/>
      <c r="L580" s="1"/>
      <c r="M580" s="1"/>
    </row>
    <row r="581" ht="14.25" customHeight="1">
      <c r="A581" s="1"/>
      <c r="B581" s="983" t="s">
        <v>52</v>
      </c>
      <c r="C581" s="2443">
        <v>10.0</v>
      </c>
      <c r="D581" s="2445">
        <f t="shared" si="43"/>
        <v>0.4</v>
      </c>
      <c r="E581" s="2446"/>
      <c r="F581" s="2447" t="s">
        <v>18</v>
      </c>
      <c r="G581" s="2448" t="s">
        <v>2788</v>
      </c>
      <c r="I581" s="1"/>
      <c r="J581" s="1"/>
      <c r="K581" s="1"/>
      <c r="L581" s="1"/>
      <c r="M581" s="1"/>
    </row>
    <row r="582" ht="14.25" customHeight="1">
      <c r="A582" s="1"/>
      <c r="B582" s="2449" t="s">
        <v>17</v>
      </c>
      <c r="C582" s="2450">
        <v>100.0</v>
      </c>
      <c r="D582" s="2451">
        <f t="shared" si="43"/>
        <v>4</v>
      </c>
      <c r="E582" s="2452"/>
      <c r="F582" s="2453" t="s">
        <v>18</v>
      </c>
      <c r="G582" s="76"/>
      <c r="H582" s="1"/>
      <c r="I582" s="1"/>
      <c r="J582" s="1"/>
      <c r="K582" s="1"/>
      <c r="L582" s="1"/>
      <c r="M582" s="1"/>
    </row>
    <row r="583" ht="14.25" customHeight="1">
      <c r="A583" s="1"/>
      <c r="B583" s="1145" t="s">
        <v>2791</v>
      </c>
      <c r="C583" s="1149">
        <v>100.0</v>
      </c>
      <c r="D583" s="1168">
        <f t="shared" si="43"/>
        <v>4</v>
      </c>
      <c r="E583" s="2456"/>
      <c r="F583" s="1170" t="s">
        <v>82</v>
      </c>
      <c r="G583" s="1282" t="s">
        <v>2792</v>
      </c>
      <c r="H583" s="1"/>
      <c r="I583" s="1"/>
      <c r="J583" s="1"/>
      <c r="K583" s="1"/>
      <c r="L583" s="1"/>
      <c r="M583" s="1"/>
    </row>
    <row r="584" ht="14.25" customHeight="1">
      <c r="A584" s="1"/>
      <c r="B584" s="1539" t="s">
        <v>52</v>
      </c>
      <c r="C584" s="2458">
        <v>10.0</v>
      </c>
      <c r="D584" s="2460">
        <f t="shared" si="43"/>
        <v>0.4</v>
      </c>
      <c r="E584" s="2461"/>
      <c r="F584" s="2462" t="s">
        <v>18</v>
      </c>
      <c r="G584" s="76"/>
      <c r="H584" s="1"/>
      <c r="I584" s="1"/>
      <c r="J584" s="1"/>
      <c r="K584" s="1"/>
      <c r="L584" s="1"/>
      <c r="M584" s="1"/>
    </row>
    <row r="585" ht="14.25" customHeight="1">
      <c r="A585" s="1"/>
      <c r="B585" s="2463" t="s">
        <v>17</v>
      </c>
      <c r="C585" s="2464">
        <v>100.0</v>
      </c>
      <c r="D585" s="2465">
        <f t="shared" si="43"/>
        <v>4</v>
      </c>
      <c r="E585" s="2466"/>
      <c r="F585" s="2467" t="s">
        <v>18</v>
      </c>
      <c r="G585" s="2468" t="s">
        <v>2795</v>
      </c>
      <c r="H585" s="1"/>
      <c r="I585" s="1"/>
      <c r="J585" s="1"/>
      <c r="K585" s="1"/>
      <c r="L585" s="1"/>
      <c r="M585" s="1"/>
    </row>
    <row r="586" ht="14.25" customHeight="1">
      <c r="A586" s="1"/>
      <c r="B586" s="2463" t="s">
        <v>52</v>
      </c>
      <c r="C586" s="2464">
        <v>10.0</v>
      </c>
      <c r="D586" s="2465">
        <f t="shared" si="43"/>
        <v>0.4</v>
      </c>
      <c r="E586" s="2466"/>
      <c r="F586" s="2467" t="s">
        <v>18</v>
      </c>
      <c r="G586" s="47"/>
      <c r="H586" s="1"/>
      <c r="I586" s="1"/>
      <c r="J586" s="1"/>
      <c r="K586" s="1"/>
      <c r="L586" s="1"/>
      <c r="M586" s="1"/>
    </row>
    <row r="587" ht="14.25" customHeight="1">
      <c r="A587" s="1"/>
      <c r="B587" s="421" t="s">
        <v>1138</v>
      </c>
      <c r="C587" s="422">
        <v>750.0</v>
      </c>
      <c r="D587" s="1816">
        <f t="shared" si="43"/>
        <v>30</v>
      </c>
      <c r="E587" s="1818"/>
      <c r="F587" s="425" t="s">
        <v>18</v>
      </c>
      <c r="G587" s="47"/>
      <c r="H587" s="1"/>
      <c r="I587" s="1"/>
      <c r="J587" s="1"/>
      <c r="K587" s="1"/>
      <c r="L587" s="1"/>
      <c r="M587" s="1"/>
    </row>
    <row r="588" ht="14.25" customHeight="1">
      <c r="A588" s="1"/>
      <c r="B588" s="2470" t="s">
        <v>2389</v>
      </c>
      <c r="C588" s="2472">
        <v>50.0</v>
      </c>
      <c r="D588" s="2474">
        <f t="shared" si="43"/>
        <v>2</v>
      </c>
      <c r="E588" s="2476"/>
      <c r="F588" s="2477" t="s">
        <v>82</v>
      </c>
      <c r="G588" s="76"/>
      <c r="H588" s="1"/>
      <c r="I588" s="1"/>
      <c r="J588" s="1"/>
      <c r="K588" s="1"/>
      <c r="L588" s="1"/>
      <c r="M588" s="1"/>
    </row>
    <row r="589" ht="14.25" customHeight="1">
      <c r="A589" s="1"/>
      <c r="B589" s="2481" t="s">
        <v>2799</v>
      </c>
      <c r="C589" s="2482">
        <v>150.0</v>
      </c>
      <c r="D589" s="2483">
        <f t="shared" si="43"/>
        <v>6</v>
      </c>
      <c r="E589" s="2485"/>
      <c r="F589" s="2486" t="s">
        <v>18</v>
      </c>
      <c r="G589" s="2487" t="s">
        <v>2808</v>
      </c>
      <c r="H589" s="1"/>
      <c r="I589" s="1"/>
      <c r="J589" s="1"/>
      <c r="K589" s="1"/>
      <c r="L589" s="1"/>
      <c r="M589" s="1"/>
    </row>
    <row r="590" ht="14.25" customHeight="1">
      <c r="A590" s="1"/>
      <c r="B590" s="2488" t="s">
        <v>2810</v>
      </c>
      <c r="C590" s="2489">
        <v>10.0</v>
      </c>
      <c r="D590" s="2490">
        <f t="shared" si="43"/>
        <v>0.4</v>
      </c>
      <c r="E590" s="2491"/>
      <c r="F590" s="2493" t="s">
        <v>82</v>
      </c>
      <c r="G590" s="2494" t="s">
        <v>2812</v>
      </c>
      <c r="H590" s="1"/>
      <c r="I590" s="1"/>
      <c r="J590" s="1"/>
      <c r="K590" s="1"/>
      <c r="L590" s="1"/>
      <c r="M590" s="1"/>
    </row>
    <row r="591" ht="14.25" customHeight="1">
      <c r="A591" s="1"/>
      <c r="B591" s="2495" t="s">
        <v>1857</v>
      </c>
      <c r="C591" s="2496">
        <v>500.0</v>
      </c>
      <c r="D591" s="2497">
        <f t="shared" si="43"/>
        <v>20</v>
      </c>
      <c r="E591" s="2504"/>
      <c r="F591" s="2505" t="s">
        <v>82</v>
      </c>
      <c r="G591" s="76"/>
      <c r="H591" s="1"/>
      <c r="I591" s="1"/>
      <c r="J591" s="1"/>
      <c r="K591" s="1"/>
      <c r="L591" s="1"/>
      <c r="M591" s="1"/>
    </row>
    <row r="592" ht="14.25" customHeight="1">
      <c r="A592" s="1"/>
      <c r="B592" s="2200" t="s">
        <v>2473</v>
      </c>
      <c r="C592" s="2201">
        <v>5.0</v>
      </c>
      <c r="D592" s="2205">
        <f t="shared" si="43"/>
        <v>0.2</v>
      </c>
      <c r="E592" s="2206"/>
      <c r="F592" s="2208" t="s">
        <v>14</v>
      </c>
      <c r="G592" s="2507" t="s">
        <v>1080</v>
      </c>
      <c r="H592" s="1"/>
      <c r="I592" s="1"/>
      <c r="J592" s="1"/>
      <c r="K592" s="1"/>
      <c r="L592" s="1"/>
      <c r="M592" s="1"/>
    </row>
    <row r="593" ht="14.25" customHeight="1">
      <c r="A593" s="1"/>
      <c r="B593" s="2213" t="s">
        <v>2478</v>
      </c>
      <c r="C593" s="2217">
        <v>-4.0</v>
      </c>
      <c r="D593" s="2219">
        <f t="shared" si="43"/>
        <v>-0.16</v>
      </c>
      <c r="E593" s="2221"/>
      <c r="F593" s="2224" t="s">
        <v>14</v>
      </c>
      <c r="G593" s="47"/>
      <c r="H593" s="1"/>
      <c r="I593" s="1"/>
      <c r="J593" s="1"/>
      <c r="K593" s="1"/>
      <c r="L593" s="1"/>
      <c r="M593" s="1"/>
    </row>
    <row r="594" ht="14.25" customHeight="1">
      <c r="A594" s="1"/>
      <c r="B594" s="2213" t="s">
        <v>2482</v>
      </c>
      <c r="C594" s="2217">
        <v>250.0</v>
      </c>
      <c r="D594" s="2219">
        <f t="shared" si="43"/>
        <v>10</v>
      </c>
      <c r="E594" s="2221"/>
      <c r="F594" s="2224" t="s">
        <v>82</v>
      </c>
      <c r="G594" s="47"/>
      <c r="H594" s="1"/>
      <c r="I594" s="1"/>
      <c r="J594" s="1"/>
      <c r="K594" s="1"/>
      <c r="L594" s="1"/>
      <c r="M594" s="1"/>
    </row>
    <row r="595" ht="14.25" customHeight="1">
      <c r="A595" s="1"/>
      <c r="B595" s="2508" t="s">
        <v>2825</v>
      </c>
      <c r="C595" s="2509">
        <v>125.0</v>
      </c>
      <c r="D595" s="2510">
        <f t="shared" si="43"/>
        <v>5</v>
      </c>
      <c r="E595" s="2511"/>
      <c r="F595" s="2512" t="s">
        <v>82</v>
      </c>
      <c r="G595" s="47"/>
      <c r="H595" s="1"/>
      <c r="I595" s="1"/>
      <c r="J595" s="1"/>
      <c r="K595" s="1"/>
      <c r="L595" s="1"/>
      <c r="M595" s="1"/>
    </row>
    <row r="596" ht="14.25" customHeight="1">
      <c r="A596" s="1"/>
      <c r="B596" s="2230" t="s">
        <v>2485</v>
      </c>
      <c r="C596" s="2233">
        <v>125.0</v>
      </c>
      <c r="D596" s="2234">
        <f t="shared" si="43"/>
        <v>5</v>
      </c>
      <c r="E596" s="2236"/>
      <c r="F596" s="2238" t="s">
        <v>82</v>
      </c>
      <c r="G596" s="76"/>
      <c r="H596" s="1"/>
      <c r="I596" s="1"/>
      <c r="J596" s="1"/>
      <c r="K596" s="1"/>
      <c r="L596" s="1"/>
      <c r="M596" s="1"/>
    </row>
    <row r="597" ht="14.25" customHeight="1">
      <c r="A597" s="1"/>
      <c r="B597" s="258" t="s">
        <v>119</v>
      </c>
      <c r="C597" s="258" t="s">
        <v>47</v>
      </c>
      <c r="D597" s="184"/>
      <c r="E597" s="184"/>
      <c r="F597" s="2513"/>
      <c r="G597" s="1"/>
      <c r="H597" s="920"/>
      <c r="I597" s="1"/>
      <c r="J597" s="1"/>
      <c r="K597" s="1"/>
      <c r="L597" s="1"/>
      <c r="M597" s="1"/>
    </row>
    <row r="598" ht="14.25" customHeight="1">
      <c r="A598" s="1"/>
      <c r="B598" s="1"/>
      <c r="C598" s="107"/>
      <c r="D598" s="184"/>
      <c r="E598" s="184"/>
      <c r="F598" s="2372"/>
      <c r="G598" s="1"/>
      <c r="H598" s="920"/>
      <c r="I598" s="1"/>
      <c r="J598" s="1"/>
      <c r="K598" s="1"/>
      <c r="L598" s="1"/>
      <c r="M598" s="1"/>
    </row>
    <row r="599" ht="14.25" customHeight="1">
      <c r="A599" s="1"/>
      <c r="B599" s="1"/>
      <c r="C599" s="107"/>
      <c r="D599" s="184"/>
      <c r="E599" s="184"/>
      <c r="F599" s="2372"/>
      <c r="G599" s="1"/>
      <c r="H599" s="920"/>
      <c r="I599" s="1"/>
      <c r="J599" s="1"/>
      <c r="K599" s="1"/>
      <c r="L599" s="1"/>
      <c r="M599" s="1"/>
    </row>
    <row r="600" ht="14.25" customHeight="1">
      <c r="A600" s="1"/>
      <c r="B600" s="1"/>
      <c r="C600" s="107"/>
      <c r="D600" s="184"/>
      <c r="E600" s="184"/>
      <c r="F600" s="2372"/>
      <c r="G600" s="1"/>
      <c r="H600" s="920"/>
      <c r="I600" s="1"/>
      <c r="J600" s="1"/>
      <c r="K600" s="1"/>
      <c r="L600" s="1"/>
      <c r="M600" s="1"/>
    </row>
    <row r="601" ht="14.25" customHeight="1">
      <c r="A601" s="1"/>
      <c r="B601" s="1"/>
      <c r="C601" s="107"/>
      <c r="D601" s="184"/>
      <c r="E601" s="184"/>
      <c r="F601" s="2372"/>
      <c r="G601" s="1"/>
      <c r="H601" s="920"/>
      <c r="I601" s="1"/>
      <c r="J601" s="1"/>
      <c r="K601" s="1"/>
      <c r="L601" s="1"/>
      <c r="M601" s="1"/>
    </row>
    <row r="602" ht="14.25" customHeight="1">
      <c r="A602" s="1"/>
      <c r="B602" s="90" t="s">
        <v>49</v>
      </c>
      <c r="C602" s="260">
        <v>40739.0</v>
      </c>
      <c r="D602" s="184"/>
      <c r="E602" s="184"/>
      <c r="F602" s="2372"/>
      <c r="G602" s="1"/>
      <c r="H602" s="920"/>
      <c r="I602" s="1"/>
      <c r="J602" s="1"/>
      <c r="K602" s="1"/>
      <c r="L602" s="1"/>
      <c r="M602" s="1"/>
    </row>
    <row r="603" ht="14.25" customHeight="1">
      <c r="A603" s="1"/>
      <c r="B603" s="90" t="s">
        <v>50</v>
      </c>
      <c r="C603" s="260">
        <v>41809.0</v>
      </c>
      <c r="D603" s="184"/>
      <c r="E603" s="184"/>
      <c r="F603" s="2372"/>
      <c r="G603" s="1"/>
      <c r="H603" s="920"/>
      <c r="I603" s="1"/>
      <c r="J603" s="1"/>
      <c r="K603" s="1"/>
      <c r="L603" s="1"/>
      <c r="M603" s="1"/>
    </row>
    <row r="604" ht="14.25" customHeight="1">
      <c r="A604" s="1"/>
      <c r="B604" s="1"/>
      <c r="C604" s="107"/>
      <c r="D604" s="184"/>
      <c r="E604" s="184"/>
      <c r="F604" s="108"/>
      <c r="G604" s="921"/>
      <c r="H604" s="920"/>
      <c r="I604" s="1"/>
      <c r="J604" s="1"/>
      <c r="K604" s="1"/>
      <c r="L604" s="1"/>
      <c r="M604" s="1"/>
    </row>
    <row r="605" ht="14.25" customHeight="1">
      <c r="A605" s="1"/>
      <c r="B605" s="1"/>
      <c r="C605" s="107"/>
      <c r="D605" s="184"/>
      <c r="E605" s="184"/>
      <c r="F605" s="108"/>
      <c r="G605" s="207"/>
      <c r="H605" s="920"/>
      <c r="I605" s="1"/>
      <c r="J605" s="1"/>
      <c r="K605" s="1"/>
      <c r="L605" s="1"/>
      <c r="M605" s="1"/>
    </row>
    <row r="606" ht="14.25" customHeight="1">
      <c r="A606" s="1"/>
      <c r="B606" s="1"/>
      <c r="C606" s="107"/>
      <c r="D606" s="184"/>
      <c r="E606" s="184"/>
      <c r="F606" s="108"/>
      <c r="G606" s="207"/>
      <c r="H606" s="920"/>
      <c r="I606" s="1"/>
      <c r="J606" s="1"/>
      <c r="K606" s="1"/>
      <c r="L606" s="1"/>
      <c r="M606" s="1"/>
    </row>
    <row r="607" ht="14.25" customHeight="1">
      <c r="A607" s="1"/>
      <c r="B607" s="1"/>
      <c r="C607" s="107"/>
      <c r="D607" s="184"/>
      <c r="E607" s="184"/>
      <c r="F607" s="108"/>
      <c r="G607" s="1"/>
      <c r="H607" s="920"/>
      <c r="I607" s="1"/>
      <c r="J607" s="1"/>
      <c r="K607" s="1"/>
      <c r="L607" s="1"/>
      <c r="M607" s="1"/>
    </row>
    <row r="608" ht="14.25" customHeight="1">
      <c r="A608" s="1"/>
      <c r="B608" s="1"/>
      <c r="C608" s="107"/>
      <c r="D608" s="184"/>
      <c r="E608" s="184"/>
      <c r="F608" s="108"/>
      <c r="G608" s="1"/>
      <c r="H608" s="920"/>
      <c r="I608" s="1"/>
      <c r="J608" s="1"/>
      <c r="K608" s="1"/>
      <c r="L608" s="1"/>
      <c r="M608" s="1"/>
    </row>
    <row r="609" ht="14.25" customHeight="1">
      <c r="A609" s="1"/>
      <c r="B609" s="1"/>
      <c r="C609" s="107"/>
      <c r="D609" s="184"/>
      <c r="E609" s="184"/>
      <c r="F609" s="108"/>
      <c r="G609" s="1"/>
      <c r="H609" s="920"/>
      <c r="I609" s="1"/>
      <c r="J609" s="1"/>
      <c r="K609" s="1"/>
      <c r="L609" s="1"/>
      <c r="M609" s="1"/>
    </row>
    <row r="610" ht="14.25" customHeight="1">
      <c r="A610" s="1"/>
      <c r="B610" s="1"/>
      <c r="C610" s="107"/>
      <c r="D610" s="184"/>
      <c r="E610" s="184"/>
      <c r="F610" s="108"/>
      <c r="G610" s="921"/>
      <c r="H610" s="920"/>
      <c r="I610" s="1"/>
      <c r="J610" s="1"/>
      <c r="K610" s="1"/>
      <c r="L610" s="1"/>
      <c r="M610" s="1"/>
    </row>
    <row r="611" ht="14.25" customHeight="1">
      <c r="A611" s="1"/>
      <c r="B611" s="209" t="s">
        <v>2839</v>
      </c>
      <c r="C611" s="18"/>
      <c r="D611" s="18"/>
      <c r="E611" s="18"/>
      <c r="F611" s="19"/>
      <c r="G611" s="207"/>
      <c r="H611" s="920"/>
      <c r="I611" s="1"/>
      <c r="J611" s="1"/>
      <c r="K611" s="1"/>
      <c r="L611" s="1"/>
      <c r="M611" s="1"/>
    </row>
    <row r="612" ht="14.25" customHeight="1">
      <c r="A612" s="1"/>
      <c r="B612" s="105" t="s">
        <v>1</v>
      </c>
      <c r="C612" s="200">
        <v>10.0</v>
      </c>
      <c r="D612" s="56">
        <v>12.0</v>
      </c>
      <c r="E612" s="1607"/>
      <c r="F612" s="281" t="s">
        <v>5</v>
      </c>
      <c r="G612" s="921"/>
      <c r="H612" s="920"/>
      <c r="I612" s="1"/>
      <c r="J612" s="1"/>
      <c r="K612" s="1"/>
      <c r="L612" s="1"/>
      <c r="M612" s="1"/>
    </row>
    <row r="613" ht="14.25" customHeight="1">
      <c r="A613" s="1"/>
      <c r="B613" s="68" t="s">
        <v>15</v>
      </c>
      <c r="C613" s="145">
        <v>12.5</v>
      </c>
      <c r="D613" s="155">
        <f t="shared" ref="D613:D622" si="44">(C613*D612)/C612</f>
        <v>15</v>
      </c>
      <c r="E613" s="899"/>
      <c r="F613" s="137" t="s">
        <v>5</v>
      </c>
      <c r="G613" s="207"/>
      <c r="H613" s="920"/>
      <c r="I613" s="1"/>
      <c r="J613" s="1"/>
      <c r="K613" s="1"/>
      <c r="L613" s="1"/>
      <c r="M613" s="1"/>
    </row>
    <row r="614" ht="14.25" customHeight="1">
      <c r="A614" s="1"/>
      <c r="B614" s="119" t="s">
        <v>401</v>
      </c>
      <c r="C614" s="238">
        <v>10.0</v>
      </c>
      <c r="D614" s="129">
        <f t="shared" si="44"/>
        <v>12</v>
      </c>
      <c r="E614" s="1583"/>
      <c r="F614" s="176" t="s">
        <v>5</v>
      </c>
      <c r="G614" s="207"/>
      <c r="H614" s="920"/>
      <c r="I614" s="1"/>
      <c r="J614" s="1"/>
      <c r="K614" s="1"/>
      <c r="L614" s="1"/>
      <c r="M614" s="1"/>
    </row>
    <row r="615" ht="14.25" customHeight="1">
      <c r="A615" s="1"/>
      <c r="B615" s="93" t="s">
        <v>2614</v>
      </c>
      <c r="C615" s="195">
        <v>0.7</v>
      </c>
      <c r="D615" s="78">
        <f t="shared" si="44"/>
        <v>0.84</v>
      </c>
      <c r="E615" s="900"/>
      <c r="F615" s="165" t="s">
        <v>14</v>
      </c>
      <c r="G615" s="207"/>
      <c r="H615" s="920"/>
      <c r="I615" s="1"/>
      <c r="J615" s="1"/>
      <c r="K615" s="1"/>
      <c r="L615" s="1"/>
      <c r="M615" s="1"/>
    </row>
    <row r="616" ht="15.0" customHeight="1">
      <c r="A616" s="1"/>
      <c r="B616" s="93" t="s">
        <v>743</v>
      </c>
      <c r="C616" s="195">
        <v>0.07</v>
      </c>
      <c r="D616" s="78">
        <f t="shared" si="44"/>
        <v>0.084</v>
      </c>
      <c r="E616" s="900"/>
      <c r="F616" s="165" t="s">
        <v>5</v>
      </c>
      <c r="G616" s="207"/>
      <c r="H616" s="920"/>
      <c r="I616" s="1"/>
      <c r="J616" s="1"/>
      <c r="K616" s="1"/>
      <c r="L616" s="1"/>
      <c r="M616" s="1"/>
    </row>
    <row r="617" ht="14.25" customHeight="1">
      <c r="A617" s="1"/>
      <c r="B617" s="93" t="s">
        <v>13</v>
      </c>
      <c r="C617" s="195">
        <v>1.8</v>
      </c>
      <c r="D617" s="78">
        <f t="shared" si="44"/>
        <v>2.16</v>
      </c>
      <c r="E617" s="900"/>
      <c r="F617" s="165" t="s">
        <v>14</v>
      </c>
      <c r="G617" s="207"/>
      <c r="H617" s="920"/>
      <c r="I617" s="1"/>
      <c r="J617" s="1"/>
      <c r="K617" s="1"/>
      <c r="L617" s="1"/>
      <c r="M617" s="1"/>
    </row>
    <row r="618" ht="14.25" customHeight="1">
      <c r="A618" s="1"/>
      <c r="B618" s="93" t="s">
        <v>2385</v>
      </c>
      <c r="C618" s="195">
        <v>150.0</v>
      </c>
      <c r="D618" s="78">
        <f t="shared" si="44"/>
        <v>180</v>
      </c>
      <c r="E618" s="900"/>
      <c r="F618" s="165" t="s">
        <v>18</v>
      </c>
      <c r="G618" s="207"/>
      <c r="H618" s="920"/>
      <c r="I618" s="1"/>
      <c r="J618" s="1"/>
      <c r="K618" s="1"/>
      <c r="L618" s="1"/>
      <c r="M618" s="1"/>
    </row>
    <row r="619" ht="14.25" customHeight="1">
      <c r="A619" s="1"/>
      <c r="B619" s="93" t="s">
        <v>2844</v>
      </c>
      <c r="C619" s="195">
        <v>0.025</v>
      </c>
      <c r="D619" s="78">
        <f t="shared" si="44"/>
        <v>0.03</v>
      </c>
      <c r="E619" s="900"/>
      <c r="F619" s="165" t="s">
        <v>5</v>
      </c>
      <c r="G619" s="207"/>
      <c r="H619" s="920"/>
      <c r="I619" s="1"/>
      <c r="J619" s="1"/>
      <c r="K619" s="1"/>
      <c r="L619" s="1"/>
      <c r="M619" s="1"/>
    </row>
    <row r="620" ht="14.25" customHeight="1">
      <c r="A620" s="1"/>
      <c r="B620" s="2520" t="s">
        <v>17</v>
      </c>
      <c r="C620" s="2521">
        <v>12.5</v>
      </c>
      <c r="D620" s="2522">
        <f t="shared" si="44"/>
        <v>15</v>
      </c>
      <c r="E620" s="2523"/>
      <c r="F620" s="2524" t="s">
        <v>18</v>
      </c>
      <c r="G620" s="2525" t="s">
        <v>2848</v>
      </c>
      <c r="H620" s="920"/>
      <c r="I620" s="1"/>
      <c r="J620" s="1"/>
      <c r="K620" s="1"/>
      <c r="L620" s="1"/>
      <c r="M620" s="1"/>
    </row>
    <row r="621" ht="14.25" customHeight="1">
      <c r="A621" s="1"/>
      <c r="B621" s="2526" t="s">
        <v>2849</v>
      </c>
      <c r="C621" s="2527">
        <v>10.0</v>
      </c>
      <c r="D621" s="2528">
        <f t="shared" si="44"/>
        <v>12</v>
      </c>
      <c r="E621" s="2529"/>
      <c r="F621" s="2530" t="s">
        <v>82</v>
      </c>
      <c r="G621" s="2531" t="s">
        <v>2850</v>
      </c>
      <c r="H621" s="920"/>
      <c r="I621" s="1"/>
      <c r="J621" s="1"/>
      <c r="K621" s="1"/>
      <c r="L621" s="1"/>
      <c r="M621" s="1"/>
    </row>
    <row r="622" ht="14.25" customHeight="1">
      <c r="A622" s="1"/>
      <c r="B622" s="2533" t="s">
        <v>17</v>
      </c>
      <c r="C622" s="2534">
        <v>10.0</v>
      </c>
      <c r="D622" s="2536">
        <f t="shared" si="44"/>
        <v>12</v>
      </c>
      <c r="E622" s="2537"/>
      <c r="F622" s="2538" t="s">
        <v>18</v>
      </c>
      <c r="G622" s="2539" t="s">
        <v>2855</v>
      </c>
      <c r="H622" s="920"/>
      <c r="I622" s="1"/>
      <c r="J622" s="1"/>
      <c r="K622" s="1"/>
      <c r="L622" s="1"/>
      <c r="M622" s="1"/>
    </row>
    <row r="623" ht="14.25" customHeight="1">
      <c r="A623" s="1"/>
      <c r="B623" s="421" t="s">
        <v>1138</v>
      </c>
      <c r="C623" s="422">
        <v>75.0</v>
      </c>
      <c r="D623" s="1816">
        <f t="shared" ref="D623:D624" si="45">(C623*D621)/C621</f>
        <v>90</v>
      </c>
      <c r="E623" s="1818"/>
      <c r="F623" s="425" t="s">
        <v>18</v>
      </c>
      <c r="G623" s="2227"/>
      <c r="H623" s="920"/>
      <c r="I623" s="1"/>
      <c r="J623" s="1"/>
      <c r="K623" s="1"/>
      <c r="L623" s="1"/>
      <c r="M623" s="1"/>
    </row>
    <row r="624" ht="14.25" customHeight="1">
      <c r="A624" s="1"/>
      <c r="B624" s="2470" t="s">
        <v>2859</v>
      </c>
      <c r="C624" s="2472">
        <v>5.0</v>
      </c>
      <c r="D624" s="2474">
        <f t="shared" si="45"/>
        <v>6</v>
      </c>
      <c r="E624" s="2476"/>
      <c r="F624" s="2477" t="s">
        <v>82</v>
      </c>
      <c r="G624" s="2239"/>
      <c r="H624" s="920"/>
      <c r="I624" s="1"/>
      <c r="J624" s="1"/>
      <c r="K624" s="1"/>
      <c r="L624" s="1"/>
      <c r="M624" s="1"/>
    </row>
    <row r="625" ht="14.25" customHeight="1">
      <c r="A625" s="1"/>
      <c r="B625" s="2481" t="s">
        <v>2799</v>
      </c>
      <c r="C625" s="2482">
        <v>15.0</v>
      </c>
      <c r="D625" s="2483">
        <f>(C625*D624)/C624</f>
        <v>18</v>
      </c>
      <c r="E625" s="2485"/>
      <c r="F625" s="2486" t="s">
        <v>18</v>
      </c>
      <c r="G625" s="2545" t="s">
        <v>2808</v>
      </c>
      <c r="H625" s="920"/>
      <c r="I625" s="1"/>
      <c r="J625" s="1"/>
      <c r="K625" s="1"/>
      <c r="L625" s="1"/>
      <c r="M625" s="1"/>
    </row>
    <row r="626" ht="14.25" customHeight="1">
      <c r="A626" s="1"/>
      <c r="B626" s="2488" t="s">
        <v>2810</v>
      </c>
      <c r="C626" s="2489"/>
      <c r="D626" s="2490"/>
      <c r="E626" s="2491"/>
      <c r="F626" s="2493"/>
      <c r="G626" s="2547"/>
      <c r="H626" s="920"/>
      <c r="I626" s="1"/>
      <c r="J626" s="1"/>
      <c r="K626" s="1"/>
      <c r="L626" s="1"/>
      <c r="M626" s="1"/>
    </row>
    <row r="627" ht="14.25" customHeight="1">
      <c r="A627" s="1"/>
      <c r="B627" s="2495" t="s">
        <v>2870</v>
      </c>
      <c r="C627" s="2496">
        <v>50.0</v>
      </c>
      <c r="D627" s="2497">
        <f>(C627*D624)/C624</f>
        <v>60</v>
      </c>
      <c r="E627" s="2504"/>
      <c r="F627" s="2505" t="s">
        <v>82</v>
      </c>
      <c r="G627" s="2550"/>
      <c r="H627" s="920"/>
      <c r="I627" s="1"/>
      <c r="J627" s="1"/>
      <c r="K627" s="1"/>
      <c r="L627" s="1"/>
      <c r="M627" s="1"/>
    </row>
    <row r="628" ht="14.25" customHeight="1">
      <c r="A628" s="1"/>
      <c r="B628" s="2200" t="s">
        <v>2473</v>
      </c>
      <c r="C628" s="2201">
        <v>1.0</v>
      </c>
      <c r="D628" s="2205">
        <f t="shared" ref="D628:D632" si="46">(C628*D627)/C627</f>
        <v>1.2</v>
      </c>
      <c r="E628" s="2206"/>
      <c r="F628" s="2208" t="s">
        <v>14</v>
      </c>
      <c r="G628" s="2211" t="s">
        <v>1080</v>
      </c>
      <c r="H628" s="920"/>
      <c r="I628" s="1"/>
      <c r="J628" s="1"/>
      <c r="K628" s="1"/>
      <c r="L628" s="1"/>
      <c r="M628" s="1"/>
    </row>
    <row r="629" ht="14.25" customHeight="1">
      <c r="A629" s="1"/>
      <c r="B629" s="2213" t="s">
        <v>2478</v>
      </c>
      <c r="C629" s="2217">
        <v>-0.75</v>
      </c>
      <c r="D629" s="2219">
        <f t="shared" si="46"/>
        <v>-0.9</v>
      </c>
      <c r="E629" s="2221"/>
      <c r="F629" s="2224" t="s">
        <v>14</v>
      </c>
      <c r="G629" s="2227"/>
      <c r="H629" s="920"/>
      <c r="I629" s="1"/>
      <c r="J629" s="1"/>
      <c r="K629" s="1"/>
      <c r="L629" s="1"/>
      <c r="M629" s="1"/>
    </row>
    <row r="630" ht="14.25" customHeight="1">
      <c r="A630" s="1"/>
      <c r="B630" s="2213" t="s">
        <v>2482</v>
      </c>
      <c r="C630" s="2217">
        <v>25.0</v>
      </c>
      <c r="D630" s="2219">
        <f t="shared" si="46"/>
        <v>30</v>
      </c>
      <c r="E630" s="2221"/>
      <c r="F630" s="2224" t="s">
        <v>82</v>
      </c>
      <c r="G630" s="2227"/>
      <c r="H630" s="920"/>
      <c r="I630" s="1"/>
      <c r="J630" s="1"/>
      <c r="K630" s="1"/>
      <c r="L630" s="1"/>
      <c r="M630" s="1"/>
    </row>
    <row r="631" ht="14.25" customHeight="1">
      <c r="A631" s="1"/>
      <c r="B631" s="2508" t="s">
        <v>2825</v>
      </c>
      <c r="C631" s="2509">
        <v>12.5</v>
      </c>
      <c r="D631" s="2510">
        <f t="shared" si="46"/>
        <v>15</v>
      </c>
      <c r="E631" s="2511"/>
      <c r="F631" s="2512" t="s">
        <v>82</v>
      </c>
      <c r="G631" s="2227"/>
      <c r="H631" s="920"/>
      <c r="I631" s="1"/>
      <c r="J631" s="1"/>
      <c r="K631" s="1"/>
      <c r="L631" s="1"/>
      <c r="M631" s="1"/>
    </row>
    <row r="632" ht="14.25" customHeight="1">
      <c r="A632" s="1"/>
      <c r="B632" s="2230" t="s">
        <v>2485</v>
      </c>
      <c r="C632" s="2233">
        <v>12.5</v>
      </c>
      <c r="D632" s="2234">
        <f t="shared" si="46"/>
        <v>15</v>
      </c>
      <c r="E632" s="2236"/>
      <c r="F632" s="2238" t="s">
        <v>82</v>
      </c>
      <c r="G632" s="2239"/>
      <c r="H632" s="920"/>
      <c r="I632" s="1"/>
      <c r="J632" s="1"/>
      <c r="K632" s="1"/>
      <c r="L632" s="1"/>
      <c r="M632" s="1"/>
    </row>
    <row r="633" ht="14.25" customHeight="1">
      <c r="A633" s="1"/>
      <c r="B633" s="258" t="s">
        <v>119</v>
      </c>
      <c r="C633" s="258" t="s">
        <v>47</v>
      </c>
      <c r="D633" s="184"/>
      <c r="E633" s="184"/>
      <c r="F633" s="2513"/>
      <c r="G633" s="1"/>
      <c r="H633" s="920"/>
      <c r="I633" s="1"/>
      <c r="J633" s="1"/>
      <c r="K633" s="1"/>
      <c r="L633" s="1"/>
      <c r="M633" s="1"/>
    </row>
    <row r="634" ht="14.25" customHeight="1">
      <c r="A634" s="1"/>
      <c r="B634" s="1"/>
      <c r="C634" s="107"/>
      <c r="D634" s="184"/>
      <c r="E634" s="184"/>
      <c r="F634" s="2372"/>
      <c r="G634" s="1"/>
      <c r="H634" s="920"/>
      <c r="I634" s="1"/>
      <c r="J634" s="1"/>
      <c r="K634" s="1"/>
      <c r="L634" s="1"/>
      <c r="M634" s="1"/>
    </row>
    <row r="635" ht="14.25" customHeight="1">
      <c r="A635" s="1"/>
      <c r="B635" s="1"/>
      <c r="C635" s="107"/>
      <c r="D635" s="184"/>
      <c r="E635" s="184"/>
      <c r="F635" s="2372"/>
      <c r="G635" s="1"/>
      <c r="H635" s="920"/>
      <c r="I635" s="1"/>
      <c r="J635" s="1"/>
      <c r="K635" s="1"/>
      <c r="L635" s="1"/>
      <c r="M635" s="1"/>
    </row>
    <row r="636" ht="14.25" customHeight="1">
      <c r="A636" s="1"/>
      <c r="B636" s="1"/>
      <c r="C636" s="107"/>
      <c r="D636" s="184"/>
      <c r="E636" s="184"/>
      <c r="F636" s="2372"/>
      <c r="G636" s="1"/>
      <c r="H636" s="920"/>
      <c r="I636" s="1"/>
      <c r="J636" s="1"/>
      <c r="K636" s="1"/>
      <c r="L636" s="1"/>
      <c r="M636" s="1"/>
    </row>
    <row r="637" ht="14.25" customHeight="1">
      <c r="A637" s="1"/>
      <c r="B637" s="1"/>
      <c r="C637" s="107"/>
      <c r="D637" s="184"/>
      <c r="E637" s="184"/>
      <c r="F637" s="2372"/>
      <c r="G637" s="1"/>
      <c r="H637" s="920"/>
      <c r="I637" s="1"/>
      <c r="J637" s="1"/>
      <c r="K637" s="1"/>
      <c r="L637" s="1"/>
      <c r="M637" s="1"/>
    </row>
    <row r="638" ht="15.0" customHeight="1">
      <c r="A638" s="1"/>
      <c r="B638" s="185" t="s">
        <v>49</v>
      </c>
      <c r="C638" s="1309">
        <v>41180.0</v>
      </c>
      <c r="D638" s="184"/>
      <c r="E638" s="184"/>
      <c r="F638" s="2372"/>
      <c r="G638" s="1"/>
      <c r="H638" s="920"/>
      <c r="I638" s="1"/>
      <c r="J638" s="1"/>
      <c r="K638" s="1"/>
      <c r="L638" s="1"/>
      <c r="M638" s="1"/>
    </row>
    <row r="639" ht="14.25" customHeight="1">
      <c r="A639" s="1"/>
      <c r="B639" s="203" t="s">
        <v>50</v>
      </c>
      <c r="C639" s="1309">
        <v>41594.0</v>
      </c>
      <c r="D639" s="184"/>
      <c r="E639" s="184"/>
      <c r="F639" s="2372"/>
      <c r="G639" s="1"/>
      <c r="H639" s="920"/>
      <c r="I639" s="1"/>
      <c r="J639" s="1"/>
      <c r="K639" s="1"/>
      <c r="L639" s="1"/>
      <c r="M639" s="1"/>
    </row>
    <row r="640" ht="14.25" customHeight="1">
      <c r="A640" s="1"/>
      <c r="B640" s="1"/>
      <c r="C640" s="107"/>
      <c r="D640" s="184"/>
      <c r="E640" s="184"/>
      <c r="F640" s="108"/>
      <c r="G640" s="1"/>
      <c r="H640" s="920"/>
      <c r="I640" s="1"/>
      <c r="J640" s="1"/>
      <c r="K640" s="1"/>
      <c r="L640" s="1"/>
      <c r="M640" s="1"/>
    </row>
    <row r="641" ht="14.25" customHeight="1">
      <c r="A641" s="1"/>
      <c r="B641" s="1"/>
      <c r="C641" s="107"/>
      <c r="D641" s="184"/>
      <c r="E641" s="184"/>
      <c r="F641" s="108"/>
      <c r="G641" s="921"/>
      <c r="H641" s="920"/>
      <c r="I641" s="1"/>
      <c r="J641" s="1"/>
      <c r="K641" s="1"/>
      <c r="L641" s="1"/>
      <c r="M641" s="1"/>
    </row>
    <row r="642" ht="14.25" customHeight="1">
      <c r="A642" s="1"/>
      <c r="B642" s="1"/>
      <c r="C642" s="107"/>
      <c r="D642" s="184"/>
      <c r="E642" s="184"/>
      <c r="F642" s="108"/>
      <c r="G642" s="1"/>
      <c r="H642" s="920"/>
      <c r="I642" s="1"/>
      <c r="J642" s="1"/>
      <c r="K642" s="1"/>
      <c r="L642" s="1"/>
      <c r="M642" s="1"/>
    </row>
    <row r="643" ht="14.25" customHeight="1">
      <c r="A643" s="1"/>
      <c r="B643" s="1"/>
      <c r="C643" s="107"/>
      <c r="D643" s="184"/>
      <c r="E643" s="184"/>
      <c r="F643" s="108"/>
      <c r="G643" s="1"/>
      <c r="H643" s="920"/>
      <c r="I643" s="1"/>
      <c r="J643" s="1"/>
      <c r="K643" s="1"/>
      <c r="L643" s="1"/>
      <c r="M643" s="1"/>
    </row>
    <row r="644" ht="15.0" customHeight="1">
      <c r="A644" s="1"/>
      <c r="B644" s="1"/>
      <c r="C644" s="107"/>
      <c r="D644" s="184"/>
      <c r="E644" s="184"/>
      <c r="F644" s="108"/>
      <c r="G644" s="1"/>
      <c r="H644" s="920"/>
      <c r="I644" s="1"/>
      <c r="J644" s="1"/>
      <c r="K644" s="1"/>
      <c r="L644" s="1"/>
      <c r="M644" s="1"/>
    </row>
    <row r="645" ht="15.0" customHeight="1">
      <c r="A645" s="1"/>
      <c r="B645" s="1"/>
      <c r="C645" s="107"/>
      <c r="D645" s="184"/>
      <c r="E645" s="184"/>
      <c r="F645" s="108"/>
      <c r="G645" s="921"/>
      <c r="H645" s="920"/>
      <c r="I645" s="1"/>
      <c r="J645" s="1"/>
      <c r="K645" s="1"/>
      <c r="L645" s="1"/>
      <c r="M645" s="1"/>
    </row>
    <row r="646" ht="14.25" customHeight="1">
      <c r="A646" s="1"/>
      <c r="B646" s="209" t="s">
        <v>1013</v>
      </c>
      <c r="C646" s="18"/>
      <c r="D646" s="18"/>
      <c r="E646" s="18"/>
      <c r="F646" s="19"/>
      <c r="G646" s="207"/>
      <c r="H646" s="920"/>
      <c r="I646" s="1"/>
      <c r="J646" s="1"/>
      <c r="K646" s="1"/>
      <c r="L646" s="1"/>
      <c r="M646" s="1"/>
    </row>
    <row r="647" ht="14.25" customHeight="1">
      <c r="A647" s="1"/>
      <c r="B647" s="68" t="s">
        <v>1</v>
      </c>
      <c r="C647" s="145">
        <v>100.0</v>
      </c>
      <c r="D647" s="155">
        <v>25.0</v>
      </c>
      <c r="E647" s="899"/>
      <c r="F647" s="137" t="s">
        <v>5</v>
      </c>
      <c r="G647" s="921"/>
      <c r="H647" s="920"/>
      <c r="I647" s="1"/>
      <c r="J647" s="1"/>
      <c r="K647" s="1"/>
      <c r="L647" s="1"/>
      <c r="M647" s="1"/>
    </row>
    <row r="648" ht="14.25" customHeight="1">
      <c r="A648" s="1"/>
      <c r="B648" s="105" t="s">
        <v>314</v>
      </c>
      <c r="C648" s="200">
        <v>20.0</v>
      </c>
      <c r="D648" s="517">
        <f t="shared" ref="D648:D659" si="47">(C648*D647)/C647</f>
        <v>5</v>
      </c>
      <c r="E648" s="1656"/>
      <c r="F648" s="172" t="s">
        <v>14</v>
      </c>
      <c r="G648" s="921"/>
      <c r="H648" s="920"/>
      <c r="I648" s="1"/>
      <c r="J648" s="1"/>
      <c r="K648" s="1"/>
      <c r="L648" s="1"/>
      <c r="M648" s="1"/>
    </row>
    <row r="649" ht="14.25" customHeight="1">
      <c r="A649" s="1"/>
      <c r="B649" s="68" t="s">
        <v>2903</v>
      </c>
      <c r="C649" s="145">
        <v>12.0</v>
      </c>
      <c r="D649" s="516">
        <f t="shared" si="47"/>
        <v>3</v>
      </c>
      <c r="E649" s="1652"/>
      <c r="F649" s="137" t="s">
        <v>14</v>
      </c>
      <c r="G649" s="922" t="s">
        <v>2904</v>
      </c>
      <c r="H649" s="920"/>
      <c r="I649" s="1"/>
      <c r="J649" s="1"/>
      <c r="K649" s="1"/>
      <c r="L649" s="1"/>
      <c r="M649" s="1"/>
    </row>
    <row r="650" ht="14.25" customHeight="1">
      <c r="A650" s="1"/>
      <c r="B650" s="93" t="s">
        <v>805</v>
      </c>
      <c r="C650" s="195">
        <v>8.0</v>
      </c>
      <c r="D650" s="521">
        <f t="shared" si="47"/>
        <v>2</v>
      </c>
      <c r="E650" s="1653"/>
      <c r="F650" s="165" t="s">
        <v>14</v>
      </c>
      <c r="G650" s="63"/>
      <c r="H650" s="920"/>
      <c r="I650" s="1"/>
      <c r="J650" s="1"/>
      <c r="K650" s="1"/>
      <c r="L650" s="1"/>
      <c r="M650" s="1"/>
    </row>
    <row r="651" ht="14.25" customHeight="1">
      <c r="A651" s="1"/>
      <c r="B651" s="93" t="s">
        <v>2907</v>
      </c>
      <c r="C651" s="195">
        <v>1.0</v>
      </c>
      <c r="D651" s="521">
        <f t="shared" si="47"/>
        <v>0.25</v>
      </c>
      <c r="E651" s="1653"/>
      <c r="F651" s="165" t="s">
        <v>5</v>
      </c>
      <c r="G651" s="63"/>
      <c r="H651" s="920"/>
      <c r="I651" s="1"/>
      <c r="J651" s="1"/>
      <c r="K651" s="1"/>
      <c r="L651" s="1"/>
      <c r="M651" s="1"/>
    </row>
    <row r="652" ht="14.25" customHeight="1">
      <c r="A652" s="1"/>
      <c r="B652" s="93" t="s">
        <v>59</v>
      </c>
      <c r="C652" s="195">
        <v>64.0</v>
      </c>
      <c r="D652" s="521">
        <f t="shared" si="47"/>
        <v>16</v>
      </c>
      <c r="E652" s="1653"/>
      <c r="F652" s="165" t="s">
        <v>5</v>
      </c>
      <c r="G652" s="63"/>
      <c r="H652" s="920"/>
      <c r="I652" s="1"/>
      <c r="J652" s="1"/>
      <c r="K652" s="1"/>
      <c r="L652" s="1"/>
      <c r="M652" s="1"/>
    </row>
    <row r="653" ht="15.0" customHeight="1">
      <c r="A653" s="1"/>
      <c r="B653" s="105" t="s">
        <v>31</v>
      </c>
      <c r="C653" s="200">
        <v>300.0</v>
      </c>
      <c r="D653" s="517">
        <f t="shared" si="47"/>
        <v>75</v>
      </c>
      <c r="E653" s="1656"/>
      <c r="F653" s="172" t="s">
        <v>18</v>
      </c>
      <c r="G653" s="102"/>
      <c r="H653" s="920"/>
      <c r="I653" s="1"/>
      <c r="J653" s="1"/>
      <c r="K653" s="1"/>
      <c r="L653" s="1"/>
      <c r="M653" s="1"/>
    </row>
    <row r="654" ht="14.25" customHeight="1">
      <c r="A654" s="1"/>
      <c r="B654" s="68" t="s">
        <v>80</v>
      </c>
      <c r="C654" s="145">
        <v>32.0</v>
      </c>
      <c r="D654" s="516">
        <f t="shared" si="47"/>
        <v>8</v>
      </c>
      <c r="E654" s="1652"/>
      <c r="F654" s="137" t="s">
        <v>14</v>
      </c>
      <c r="G654" s="922" t="s">
        <v>1042</v>
      </c>
      <c r="H654" s="920"/>
      <c r="I654" s="1"/>
      <c r="J654" s="1"/>
      <c r="K654" s="1"/>
      <c r="L654" s="1"/>
      <c r="M654" s="1"/>
    </row>
    <row r="655" ht="14.25" customHeight="1">
      <c r="A655" s="1"/>
      <c r="B655" s="105" t="s">
        <v>59</v>
      </c>
      <c r="C655" s="200">
        <v>4.0</v>
      </c>
      <c r="D655" s="517">
        <f t="shared" si="47"/>
        <v>1</v>
      </c>
      <c r="E655" s="1656"/>
      <c r="F655" s="172" t="s">
        <v>5</v>
      </c>
      <c r="G655" s="102"/>
      <c r="H655" s="920"/>
      <c r="I655" s="1"/>
      <c r="J655" s="1"/>
      <c r="K655" s="1"/>
      <c r="L655" s="1"/>
      <c r="M655" s="1"/>
    </row>
    <row r="656" ht="14.25" customHeight="1">
      <c r="A656" s="1"/>
      <c r="B656" s="68" t="s">
        <v>1044</v>
      </c>
      <c r="C656" s="145">
        <v>2.0</v>
      </c>
      <c r="D656" s="516">
        <f t="shared" si="47"/>
        <v>0.5</v>
      </c>
      <c r="E656" s="1652"/>
      <c r="F656" s="137" t="s">
        <v>5</v>
      </c>
      <c r="G656" s="194" t="s">
        <v>2908</v>
      </c>
      <c r="H656" s="920"/>
      <c r="I656" s="1"/>
      <c r="J656" s="1"/>
      <c r="K656" s="1"/>
      <c r="L656" s="1"/>
      <c r="M656" s="1"/>
    </row>
    <row r="657" ht="15.0" customHeight="1">
      <c r="A657" s="1"/>
      <c r="B657" s="93" t="s">
        <v>2909</v>
      </c>
      <c r="C657" s="195">
        <v>150.0</v>
      </c>
      <c r="D657" s="521">
        <f t="shared" si="47"/>
        <v>37.5</v>
      </c>
      <c r="E657" s="1653"/>
      <c r="F657" s="165" t="s">
        <v>18</v>
      </c>
      <c r="G657" s="63"/>
      <c r="H657" s="920"/>
      <c r="I657" s="1"/>
      <c r="J657" s="1"/>
      <c r="K657" s="1"/>
      <c r="L657" s="1"/>
      <c r="M657" s="1"/>
    </row>
    <row r="658" ht="15.0" customHeight="1">
      <c r="A658" s="1"/>
      <c r="B658" s="93" t="s">
        <v>746</v>
      </c>
      <c r="C658" s="195">
        <v>1500.0</v>
      </c>
      <c r="D658" s="521">
        <f t="shared" si="47"/>
        <v>375</v>
      </c>
      <c r="E658" s="1653"/>
      <c r="F658" s="165" t="s">
        <v>18</v>
      </c>
      <c r="G658" s="63"/>
      <c r="H658" s="920"/>
      <c r="I658" s="1"/>
      <c r="J658" s="1"/>
      <c r="K658" s="1"/>
      <c r="L658" s="1"/>
      <c r="M658" s="1"/>
    </row>
    <row r="659" ht="14.25" customHeight="1">
      <c r="A659" s="1"/>
      <c r="B659" s="93" t="s">
        <v>1046</v>
      </c>
      <c r="C659" s="195">
        <v>500.0</v>
      </c>
      <c r="D659" s="521">
        <f t="shared" si="47"/>
        <v>125</v>
      </c>
      <c r="E659" s="1653"/>
      <c r="F659" s="165" t="s">
        <v>18</v>
      </c>
      <c r="G659" s="63"/>
      <c r="H659" s="920"/>
      <c r="I659" s="1"/>
      <c r="J659" s="1"/>
      <c r="K659" s="1"/>
      <c r="L659" s="1"/>
      <c r="M659" s="1"/>
    </row>
    <row r="660" ht="14.25" customHeight="1">
      <c r="A660" s="1"/>
      <c r="B660" s="105" t="s">
        <v>2912</v>
      </c>
      <c r="C660" s="200">
        <v>2.5</v>
      </c>
      <c r="D660" s="517">
        <f>(C660*D654)/C654</f>
        <v>0.625</v>
      </c>
      <c r="E660" s="1656"/>
      <c r="F660" s="172" t="s">
        <v>14</v>
      </c>
      <c r="G660" s="102"/>
      <c r="H660" s="920"/>
      <c r="I660" s="1"/>
      <c r="J660" s="1"/>
      <c r="K660" s="1"/>
      <c r="L660" s="1"/>
      <c r="M660" s="1"/>
    </row>
    <row r="661" ht="14.25" customHeight="1">
      <c r="A661" s="1"/>
      <c r="B661" s="68" t="s">
        <v>102</v>
      </c>
      <c r="C661" s="145">
        <v>150.00000000000003</v>
      </c>
      <c r="D661" s="516">
        <f>(C661*D659)/C659</f>
        <v>37.5</v>
      </c>
      <c r="E661" s="1652"/>
      <c r="F661" s="137" t="s">
        <v>18</v>
      </c>
      <c r="G661" s="194" t="s">
        <v>2915</v>
      </c>
      <c r="H661" s="920"/>
      <c r="I661" s="1"/>
      <c r="J661" s="1"/>
      <c r="K661" s="1"/>
      <c r="L661" s="1"/>
      <c r="M661" s="1"/>
    </row>
    <row r="662" ht="14.25" customHeight="1">
      <c r="A662" s="1"/>
      <c r="B662" s="93" t="s">
        <v>1195</v>
      </c>
      <c r="C662" s="195">
        <v>20.000000000000004</v>
      </c>
      <c r="D662" s="521">
        <f t="shared" ref="D662:D666" si="48">(C662*D661)/C661</f>
        <v>5</v>
      </c>
      <c r="E662" s="1653"/>
      <c r="F662" s="165" t="s">
        <v>18</v>
      </c>
      <c r="G662" s="63"/>
      <c r="H662" s="920"/>
      <c r="I662" s="1"/>
      <c r="J662" s="1"/>
      <c r="K662" s="1"/>
      <c r="L662" s="1"/>
      <c r="M662" s="1"/>
    </row>
    <row r="663" ht="14.25" customHeight="1">
      <c r="A663" s="1"/>
      <c r="B663" s="93" t="s">
        <v>1179</v>
      </c>
      <c r="C663" s="195">
        <v>30.000000000000007</v>
      </c>
      <c r="D663" s="521">
        <f t="shared" si="48"/>
        <v>7.5</v>
      </c>
      <c r="E663" s="1653"/>
      <c r="F663" s="165" t="s">
        <v>18</v>
      </c>
      <c r="G663" s="63"/>
      <c r="H663" s="920"/>
      <c r="I663" s="1"/>
      <c r="J663" s="1"/>
      <c r="K663" s="1"/>
      <c r="L663" s="1"/>
      <c r="M663" s="1"/>
    </row>
    <row r="664" ht="14.25" customHeight="1">
      <c r="A664" s="1"/>
      <c r="B664" s="93" t="s">
        <v>96</v>
      </c>
      <c r="C664" s="195">
        <v>10.000000000000002</v>
      </c>
      <c r="D664" s="521">
        <f t="shared" si="48"/>
        <v>2.5</v>
      </c>
      <c r="E664" s="1653"/>
      <c r="F664" s="165" t="s">
        <v>18</v>
      </c>
      <c r="G664" s="102"/>
      <c r="H664" s="920"/>
      <c r="I664" s="1"/>
      <c r="J664" s="1"/>
      <c r="K664" s="1"/>
      <c r="L664" s="1"/>
      <c r="M664" s="1"/>
    </row>
    <row r="665" ht="15.75" customHeight="1">
      <c r="A665" s="1"/>
      <c r="B665" s="173" t="s">
        <v>2917</v>
      </c>
      <c r="C665" s="275">
        <v>8.0</v>
      </c>
      <c r="D665" s="546">
        <f t="shared" si="48"/>
        <v>2</v>
      </c>
      <c r="E665" s="1808"/>
      <c r="F665" s="278" t="s">
        <v>18</v>
      </c>
      <c r="G665" s="925"/>
      <c r="H665" s="920"/>
      <c r="I665" s="1"/>
      <c r="J665" s="1"/>
      <c r="K665" s="1"/>
      <c r="L665" s="1"/>
      <c r="M665" s="1"/>
    </row>
    <row r="666" ht="14.25" customHeight="1">
      <c r="A666" s="1"/>
      <c r="B666" s="149" t="s">
        <v>743</v>
      </c>
      <c r="C666" s="152">
        <v>7.0</v>
      </c>
      <c r="D666" s="556">
        <f t="shared" si="48"/>
        <v>1.75</v>
      </c>
      <c r="E666" s="2360"/>
      <c r="F666" s="2558" t="s">
        <v>5</v>
      </c>
      <c r="G666" s="2143" t="s">
        <v>2920</v>
      </c>
      <c r="H666" s="920"/>
      <c r="I666" s="1"/>
      <c r="J666" s="1"/>
      <c r="K666" s="1"/>
      <c r="L666" s="1"/>
      <c r="M666" s="1"/>
    </row>
    <row r="667" ht="14.25" customHeight="1">
      <c r="A667" s="1"/>
      <c r="B667" s="1"/>
      <c r="C667" s="107"/>
      <c r="D667" s="184"/>
      <c r="E667" s="184"/>
      <c r="F667" s="108"/>
      <c r="G667" s="1"/>
      <c r="H667" s="920"/>
      <c r="I667" s="1"/>
      <c r="J667" s="1"/>
      <c r="K667" s="1"/>
      <c r="L667" s="1"/>
      <c r="M667" s="1"/>
    </row>
    <row r="668" ht="14.25" customHeight="1">
      <c r="A668" s="1"/>
      <c r="B668" s="1"/>
      <c r="C668" s="107"/>
      <c r="D668" s="184"/>
      <c r="E668" s="184"/>
      <c r="F668" s="108"/>
      <c r="G668" s="1"/>
      <c r="H668" s="920"/>
      <c r="I668" s="1"/>
      <c r="J668" s="1"/>
      <c r="K668" s="1"/>
      <c r="L668" s="1"/>
      <c r="M668" s="1"/>
    </row>
    <row r="669" ht="14.25" customHeight="1">
      <c r="A669" s="1"/>
      <c r="B669" s="1"/>
      <c r="C669" s="107"/>
      <c r="D669" s="184"/>
      <c r="E669" s="184"/>
      <c r="F669" s="108"/>
      <c r="G669" s="1"/>
      <c r="H669" s="920"/>
      <c r="I669" s="1"/>
      <c r="J669" s="1"/>
      <c r="K669" s="1"/>
      <c r="L669" s="1"/>
      <c r="M669" s="1"/>
    </row>
    <row r="670" ht="14.25" customHeight="1">
      <c r="A670" s="1"/>
      <c r="B670" s="1"/>
      <c r="C670" s="107"/>
      <c r="D670" s="184"/>
      <c r="E670" s="184"/>
      <c r="F670" s="108"/>
      <c r="G670" s="1"/>
      <c r="H670" s="920"/>
      <c r="I670" s="1"/>
      <c r="J670" s="1"/>
      <c r="K670" s="1"/>
      <c r="L670" s="1"/>
      <c r="M670" s="1"/>
    </row>
    <row r="671" ht="14.25" customHeight="1">
      <c r="A671" s="1"/>
      <c r="B671" s="1270"/>
      <c r="C671" s="1494"/>
      <c r="D671" s="184"/>
      <c r="E671" s="184"/>
      <c r="F671" s="108"/>
      <c r="G671" s="1"/>
      <c r="H671" s="920"/>
      <c r="I671" s="1"/>
      <c r="J671" s="1"/>
      <c r="K671" s="1"/>
      <c r="L671" s="1"/>
      <c r="M671" s="1"/>
    </row>
    <row r="672" ht="14.25" customHeight="1">
      <c r="A672" s="1"/>
      <c r="B672" s="302" t="s">
        <v>49</v>
      </c>
      <c r="C672" s="260">
        <v>40877.0</v>
      </c>
      <c r="D672" s="184"/>
      <c r="E672" s="184"/>
      <c r="F672" s="108"/>
      <c r="G672" s="1"/>
      <c r="H672" s="920"/>
      <c r="I672" s="1"/>
      <c r="J672" s="1"/>
      <c r="K672" s="1"/>
      <c r="L672" s="1"/>
      <c r="M672" s="1"/>
    </row>
    <row r="673" ht="14.25" customHeight="1">
      <c r="A673" s="1"/>
      <c r="B673" s="811" t="s">
        <v>1052</v>
      </c>
      <c r="C673" s="260">
        <v>41793.0</v>
      </c>
      <c r="D673" s="184"/>
      <c r="E673" s="184"/>
      <c r="F673" s="108"/>
      <c r="G673" s="1"/>
      <c r="H673" s="920"/>
      <c r="I673" s="1"/>
      <c r="J673" s="1"/>
      <c r="K673" s="1"/>
      <c r="L673" s="1"/>
      <c r="M673" s="1"/>
    </row>
    <row r="674" ht="14.25" customHeight="1">
      <c r="A674" s="1"/>
      <c r="B674" s="1270"/>
      <c r="C674" s="1494"/>
      <c r="D674" s="184"/>
      <c r="E674" s="184"/>
      <c r="F674" s="108"/>
      <c r="G674" s="921"/>
      <c r="H674" s="920"/>
      <c r="I674" s="1"/>
      <c r="J674" s="1"/>
      <c r="K674" s="1"/>
      <c r="L674" s="1"/>
      <c r="M674" s="1"/>
    </row>
    <row r="675" ht="14.25" customHeight="1">
      <c r="A675" s="1"/>
      <c r="B675" s="1"/>
      <c r="C675" s="107"/>
      <c r="D675" s="184"/>
      <c r="E675" s="184"/>
      <c r="F675" s="108"/>
      <c r="G675" s="921"/>
      <c r="H675" s="920"/>
      <c r="I675" s="1"/>
      <c r="J675" s="1"/>
      <c r="K675" s="1"/>
      <c r="L675" s="1"/>
      <c r="M675" s="1"/>
    </row>
    <row r="676" ht="14.25" customHeight="1">
      <c r="A676" s="1"/>
      <c r="B676" s="258" t="s">
        <v>119</v>
      </c>
      <c r="C676" s="258" t="s">
        <v>47</v>
      </c>
      <c r="D676" s="184"/>
      <c r="E676" s="184"/>
      <c r="F676" s="108"/>
      <c r="G676" s="921"/>
      <c r="H676" s="920"/>
      <c r="I676" s="1"/>
      <c r="J676" s="1"/>
      <c r="K676" s="1"/>
      <c r="L676" s="1"/>
      <c r="M676" s="1"/>
    </row>
    <row r="677" ht="14.25" customHeight="1">
      <c r="A677" s="1"/>
      <c r="B677" s="1"/>
      <c r="C677" s="107"/>
      <c r="D677" s="184"/>
      <c r="E677" s="184"/>
      <c r="F677" s="108"/>
      <c r="G677" s="921"/>
      <c r="H677" s="920"/>
      <c r="I677" s="1"/>
      <c r="J677" s="1"/>
      <c r="K677" s="1"/>
      <c r="L677" s="1"/>
      <c r="M677" s="1"/>
    </row>
    <row r="678" ht="14.25" customHeight="1">
      <c r="A678" s="1"/>
      <c r="B678" s="1"/>
      <c r="C678" s="107"/>
      <c r="D678" s="184"/>
      <c r="E678" s="184"/>
      <c r="F678" s="108"/>
      <c r="G678" s="921"/>
      <c r="H678" s="920"/>
      <c r="I678" s="1"/>
      <c r="J678" s="1"/>
      <c r="K678" s="1"/>
      <c r="L678" s="1"/>
      <c r="M678" s="1"/>
    </row>
    <row r="679" ht="14.25" customHeight="1">
      <c r="A679" s="1"/>
      <c r="B679" s="1"/>
      <c r="C679" s="107"/>
      <c r="D679" s="184"/>
      <c r="E679" s="184"/>
      <c r="F679" s="108"/>
      <c r="G679" s="1"/>
      <c r="H679" s="920"/>
      <c r="I679" s="1"/>
      <c r="J679" s="1"/>
      <c r="K679" s="1"/>
      <c r="L679" s="1"/>
      <c r="M679" s="1"/>
    </row>
    <row r="680" ht="14.25" customHeight="1">
      <c r="A680" s="1"/>
      <c r="B680" s="1"/>
      <c r="C680" s="107"/>
      <c r="D680" s="184"/>
      <c r="E680" s="184"/>
      <c r="F680" s="108"/>
      <c r="G680" s="921"/>
      <c r="H680" s="920"/>
      <c r="I680" s="1"/>
      <c r="J680" s="1"/>
      <c r="K680" s="1"/>
      <c r="L680" s="1"/>
      <c r="M680" s="1"/>
    </row>
    <row r="681" ht="14.25" customHeight="1">
      <c r="A681" s="1"/>
      <c r="B681" s="206" t="s">
        <v>1043</v>
      </c>
      <c r="C681" s="5"/>
      <c r="D681" s="5"/>
      <c r="E681" s="5"/>
      <c r="F681" s="6"/>
      <c r="G681" s="194" t="s">
        <v>2924</v>
      </c>
      <c r="H681" s="920"/>
      <c r="I681" s="1"/>
      <c r="J681" s="1"/>
      <c r="K681" s="1"/>
      <c r="L681" s="1"/>
      <c r="M681" s="1"/>
    </row>
    <row r="682" ht="14.25" customHeight="1">
      <c r="A682" s="1"/>
      <c r="B682" s="553" t="s">
        <v>1</v>
      </c>
      <c r="C682" s="145">
        <v>100.0</v>
      </c>
      <c r="D682" s="155">
        <v>60.0</v>
      </c>
      <c r="E682" s="899"/>
      <c r="F682" s="137" t="s">
        <v>190</v>
      </c>
      <c r="G682" s="63"/>
      <c r="H682" s="920"/>
      <c r="I682" s="1"/>
      <c r="J682" s="1"/>
      <c r="K682" s="1"/>
      <c r="L682" s="1"/>
      <c r="M682" s="1"/>
    </row>
    <row r="683" ht="14.25" customHeight="1">
      <c r="A683" s="1"/>
      <c r="B683" s="93" t="s">
        <v>2035</v>
      </c>
      <c r="C683" s="40">
        <v>60.0</v>
      </c>
      <c r="D683" s="78">
        <f t="shared" ref="D683:D686" si="49">(C683*D682)/C682</f>
        <v>36</v>
      </c>
      <c r="E683" s="900"/>
      <c r="F683" s="165" t="s">
        <v>14</v>
      </c>
      <c r="G683" s="63"/>
      <c r="H683" s="920"/>
      <c r="I683" s="1"/>
      <c r="J683" s="1"/>
      <c r="K683" s="1"/>
      <c r="L683" s="1"/>
      <c r="M683" s="1"/>
    </row>
    <row r="684" ht="14.25" customHeight="1">
      <c r="A684" s="1"/>
      <c r="B684" s="93" t="s">
        <v>1532</v>
      </c>
      <c r="C684" s="40">
        <v>60.0</v>
      </c>
      <c r="D684" s="78">
        <f t="shared" si="49"/>
        <v>36</v>
      </c>
      <c r="E684" s="900"/>
      <c r="F684" s="165" t="s">
        <v>14</v>
      </c>
      <c r="G684" s="63"/>
      <c r="H684" s="920"/>
      <c r="I684" s="1"/>
      <c r="J684" s="1"/>
      <c r="K684" s="1"/>
      <c r="L684" s="1"/>
      <c r="M684" s="1"/>
    </row>
    <row r="685" ht="16.5" customHeight="1">
      <c r="A685" s="1"/>
      <c r="B685" s="93" t="s">
        <v>17</v>
      </c>
      <c r="C685" s="195">
        <v>200.0</v>
      </c>
      <c r="D685" s="78">
        <f t="shared" si="49"/>
        <v>120</v>
      </c>
      <c r="E685" s="900"/>
      <c r="F685" s="165" t="s">
        <v>18</v>
      </c>
      <c r="G685" s="63"/>
      <c r="H685" s="920"/>
      <c r="I685" s="1"/>
      <c r="J685" s="1"/>
      <c r="K685" s="1"/>
      <c r="L685" s="1"/>
      <c r="M685" s="1"/>
    </row>
    <row r="686" ht="15.0" customHeight="1">
      <c r="A686" s="1"/>
      <c r="B686" s="93" t="s">
        <v>21</v>
      </c>
      <c r="C686" s="195">
        <v>50.0</v>
      </c>
      <c r="D686" s="78">
        <f t="shared" si="49"/>
        <v>30</v>
      </c>
      <c r="E686" s="900"/>
      <c r="F686" s="165" t="s">
        <v>18</v>
      </c>
      <c r="G686" s="63"/>
      <c r="H686" s="920"/>
      <c r="I686" s="1"/>
      <c r="J686" s="1"/>
      <c r="K686" s="1"/>
      <c r="L686" s="1"/>
      <c r="M686" s="1"/>
    </row>
    <row r="687" ht="15.0" customHeight="1">
      <c r="A687" s="1"/>
      <c r="B687" s="2567" t="s">
        <v>1383</v>
      </c>
      <c r="C687" s="2568">
        <v>2.5</v>
      </c>
      <c r="D687" s="2570">
        <f t="shared" ref="D687:D688" si="50">(C687*D685)/C685</f>
        <v>1.5</v>
      </c>
      <c r="E687" s="2571"/>
      <c r="F687" s="2572" t="s">
        <v>18</v>
      </c>
      <c r="G687" s="63"/>
      <c r="H687" s="920"/>
      <c r="I687" s="1"/>
      <c r="J687" s="1"/>
      <c r="K687" s="1"/>
      <c r="L687" s="1"/>
      <c r="M687" s="1"/>
    </row>
    <row r="688" ht="14.25" customHeight="1">
      <c r="A688" s="1"/>
      <c r="B688" s="2573" t="s">
        <v>2058</v>
      </c>
      <c r="C688" s="2575">
        <v>15.0</v>
      </c>
      <c r="D688" s="2577">
        <f t="shared" si="50"/>
        <v>9</v>
      </c>
      <c r="E688" s="2580"/>
      <c r="F688" s="2581" t="s">
        <v>18</v>
      </c>
      <c r="G688" s="102"/>
      <c r="H688" s="920"/>
      <c r="I688" s="1"/>
      <c r="J688" s="1"/>
      <c r="K688" s="1"/>
      <c r="L688" s="1"/>
      <c r="M688" s="1"/>
    </row>
    <row r="689" ht="14.25" customHeight="1">
      <c r="A689" s="1"/>
      <c r="B689" s="68" t="s">
        <v>2383</v>
      </c>
      <c r="C689" s="145">
        <v>0.5</v>
      </c>
      <c r="D689" s="155">
        <f t="shared" ref="D689:D692" si="51">(C689*D688)/C688</f>
        <v>0.3</v>
      </c>
      <c r="E689" s="899"/>
      <c r="F689" s="137" t="s">
        <v>190</v>
      </c>
      <c r="G689" s="1795" t="s">
        <v>1501</v>
      </c>
      <c r="H689" s="920"/>
      <c r="I689" s="1"/>
      <c r="J689" s="1"/>
      <c r="K689" s="1"/>
      <c r="L689" s="1"/>
      <c r="M689" s="1"/>
    </row>
    <row r="690" ht="14.25" customHeight="1">
      <c r="A690" s="1"/>
      <c r="B690" s="93" t="s">
        <v>2936</v>
      </c>
      <c r="C690" s="195">
        <v>900.0</v>
      </c>
      <c r="D690" s="78">
        <f t="shared" si="51"/>
        <v>540</v>
      </c>
      <c r="E690" s="900"/>
      <c r="F690" s="165" t="s">
        <v>18</v>
      </c>
      <c r="G690" s="63"/>
      <c r="H690" s="920"/>
      <c r="I690" s="1"/>
      <c r="J690" s="1"/>
      <c r="K690" s="1"/>
      <c r="L690" s="1"/>
      <c r="M690" s="1"/>
    </row>
    <row r="691" ht="14.25" customHeight="1">
      <c r="A691" s="1"/>
      <c r="B691" s="93" t="s">
        <v>1138</v>
      </c>
      <c r="C691" s="195">
        <v>1200.0</v>
      </c>
      <c r="D691" s="78">
        <f t="shared" si="51"/>
        <v>720</v>
      </c>
      <c r="E691" s="900"/>
      <c r="F691" s="165" t="s">
        <v>18</v>
      </c>
      <c r="G691" s="63"/>
      <c r="H691" s="920"/>
      <c r="I691" s="1"/>
      <c r="J691" s="1"/>
      <c r="K691" s="1"/>
      <c r="L691" s="1"/>
      <c r="M691" s="1"/>
    </row>
    <row r="692" ht="14.25" customHeight="1">
      <c r="A692" s="1"/>
      <c r="B692" s="105" t="s">
        <v>2939</v>
      </c>
      <c r="C692" s="200">
        <v>900.0</v>
      </c>
      <c r="D692" s="56">
        <f t="shared" si="51"/>
        <v>540</v>
      </c>
      <c r="E692" s="1604"/>
      <c r="F692" s="172" t="s">
        <v>18</v>
      </c>
      <c r="G692" s="102"/>
      <c r="H692" s="920"/>
      <c r="I692" s="1"/>
      <c r="J692" s="1"/>
      <c r="K692" s="1"/>
      <c r="L692" s="1"/>
      <c r="M692" s="1"/>
    </row>
    <row r="693" ht="14.25" customHeight="1">
      <c r="A693" s="1"/>
      <c r="B693" s="1"/>
      <c r="C693" s="107"/>
      <c r="D693" s="184"/>
      <c r="E693" s="184"/>
      <c r="F693" s="1546"/>
      <c r="G693" s="1"/>
      <c r="H693" s="920"/>
      <c r="I693" s="1"/>
      <c r="J693" s="1"/>
      <c r="K693" s="1"/>
      <c r="L693" s="1"/>
      <c r="M693" s="1"/>
    </row>
    <row r="694" ht="14.25" customHeight="1">
      <c r="A694" s="1"/>
      <c r="B694" s="1"/>
      <c r="C694" s="107"/>
      <c r="D694" s="184"/>
      <c r="E694" s="184"/>
      <c r="F694" s="1546"/>
      <c r="G694" s="1"/>
      <c r="H694" s="920"/>
      <c r="I694" s="1"/>
      <c r="J694" s="1"/>
      <c r="K694" s="1"/>
      <c r="L694" s="1"/>
      <c r="M694" s="1"/>
    </row>
    <row r="695" ht="14.25" customHeight="1">
      <c r="A695" s="1"/>
      <c r="B695" s="1"/>
      <c r="C695" s="107"/>
      <c r="D695" s="184"/>
      <c r="E695" s="184"/>
      <c r="F695" s="1546"/>
      <c r="G695" s="1"/>
      <c r="H695" s="920"/>
      <c r="I695" s="1"/>
      <c r="J695" s="1"/>
      <c r="K695" s="1"/>
      <c r="L695" s="1"/>
      <c r="M695" s="1"/>
    </row>
    <row r="696" ht="14.25" customHeight="1">
      <c r="A696" s="1"/>
      <c r="B696" s="258" t="s">
        <v>119</v>
      </c>
      <c r="C696" s="258" t="s">
        <v>47</v>
      </c>
      <c r="D696" s="184"/>
      <c r="E696" s="184"/>
      <c r="F696" s="1546"/>
      <c r="G696" s="1"/>
      <c r="H696" s="920"/>
      <c r="I696" s="1"/>
      <c r="J696" s="1"/>
      <c r="K696" s="1"/>
      <c r="L696" s="1"/>
      <c r="M696" s="1"/>
    </row>
    <row r="697" ht="14.25" customHeight="1">
      <c r="A697" s="1"/>
      <c r="B697" s="1"/>
      <c r="C697" s="1494"/>
      <c r="D697" s="184"/>
      <c r="E697" s="184"/>
      <c r="F697" s="108"/>
      <c r="G697" s="1"/>
      <c r="H697" s="920"/>
      <c r="I697" s="1"/>
      <c r="J697" s="1"/>
      <c r="K697" s="1"/>
      <c r="L697" s="1"/>
      <c r="M697" s="1"/>
    </row>
    <row r="698" ht="14.25" customHeight="1">
      <c r="A698" s="1"/>
      <c r="B698" s="90" t="s">
        <v>120</v>
      </c>
      <c r="C698" s="1188">
        <v>40995.0</v>
      </c>
      <c r="D698" s="184"/>
      <c r="E698" s="184"/>
      <c r="F698" s="108"/>
      <c r="G698" s="1"/>
      <c r="H698" s="920"/>
      <c r="I698" s="1"/>
      <c r="J698" s="1"/>
      <c r="K698" s="1"/>
      <c r="L698" s="1"/>
      <c r="M698" s="1"/>
    </row>
    <row r="699" ht="14.25" customHeight="1">
      <c r="A699" s="1"/>
      <c r="B699" s="305" t="s">
        <v>50</v>
      </c>
      <c r="C699" s="1188">
        <v>41551.0</v>
      </c>
      <c r="D699" s="184"/>
      <c r="E699" s="184"/>
      <c r="F699" s="108"/>
      <c r="G699" s="1"/>
      <c r="H699" s="920"/>
      <c r="I699" s="1"/>
      <c r="J699" s="1"/>
      <c r="K699" s="1"/>
      <c r="L699" s="1"/>
      <c r="M699" s="1"/>
    </row>
    <row r="700" ht="14.25" customHeight="1">
      <c r="A700" s="1"/>
      <c r="B700" s="1"/>
      <c r="C700" s="1494"/>
      <c r="D700" s="184"/>
      <c r="E700" s="184"/>
      <c r="F700" s="108"/>
      <c r="G700" s="1"/>
      <c r="H700" s="920"/>
      <c r="I700" s="1"/>
      <c r="J700" s="1"/>
      <c r="K700" s="1"/>
      <c r="L700" s="1"/>
      <c r="M700" s="1"/>
    </row>
    <row r="701" ht="14.25" customHeight="1">
      <c r="A701" s="1"/>
      <c r="B701" s="1"/>
      <c r="C701" s="107"/>
      <c r="D701" s="184"/>
      <c r="E701" s="184"/>
      <c r="F701" s="108"/>
      <c r="G701" s="921"/>
      <c r="H701" s="920"/>
      <c r="I701" s="1"/>
      <c r="J701" s="1"/>
      <c r="K701" s="1"/>
      <c r="L701" s="1"/>
      <c r="M701" s="1"/>
    </row>
    <row r="702" ht="14.25" customHeight="1">
      <c r="A702" s="1"/>
      <c r="B702" s="1"/>
      <c r="C702" s="107"/>
      <c r="D702" s="184"/>
      <c r="E702" s="184"/>
      <c r="F702" s="108"/>
      <c r="G702" s="921"/>
      <c r="H702" s="920"/>
      <c r="I702" s="1"/>
      <c r="J702" s="1"/>
      <c r="K702" s="1"/>
      <c r="L702" s="1"/>
      <c r="M702" s="1"/>
    </row>
    <row r="703" ht="14.25" customHeight="1">
      <c r="A703" s="1"/>
      <c r="B703" s="1"/>
      <c r="C703" s="107"/>
      <c r="D703" s="184"/>
      <c r="E703" s="184"/>
      <c r="F703" s="108"/>
      <c r="G703" s="921"/>
      <c r="H703" s="920"/>
      <c r="I703" s="1"/>
      <c r="J703" s="1"/>
      <c r="K703" s="1"/>
      <c r="L703" s="1"/>
      <c r="M703" s="1"/>
    </row>
    <row r="704" ht="14.25" customHeight="1">
      <c r="A704" s="1"/>
      <c r="B704" s="1"/>
      <c r="C704" s="107"/>
      <c r="D704" s="184"/>
      <c r="E704" s="184"/>
      <c r="F704" s="108"/>
      <c r="G704" s="921"/>
      <c r="H704" s="920"/>
      <c r="I704" s="1"/>
      <c r="J704" s="1"/>
      <c r="K704" s="1"/>
      <c r="L704" s="1"/>
      <c r="M704" s="1"/>
    </row>
    <row r="705" ht="14.25" customHeight="1">
      <c r="A705" s="1"/>
      <c r="B705" s="1"/>
      <c r="C705" s="107"/>
      <c r="D705" s="184"/>
      <c r="E705" s="184"/>
      <c r="F705" s="108"/>
      <c r="G705" s="921"/>
      <c r="H705" s="920"/>
      <c r="I705" s="1"/>
      <c r="J705" s="1"/>
      <c r="K705" s="1"/>
      <c r="L705" s="1"/>
      <c r="M705" s="1"/>
    </row>
    <row r="706" ht="19.5" customHeight="1">
      <c r="A706" s="1"/>
      <c r="B706" s="206" t="s">
        <v>1051</v>
      </c>
      <c r="C706" s="5"/>
      <c r="D706" s="5"/>
      <c r="E706" s="5"/>
      <c r="F706" s="6"/>
      <c r="G706" s="194" t="s">
        <v>2948</v>
      </c>
      <c r="H706" s="920"/>
      <c r="I706" s="1"/>
      <c r="J706" s="1"/>
      <c r="K706" s="1"/>
      <c r="L706" s="1"/>
      <c r="M706" s="1"/>
    </row>
    <row r="707" ht="14.25" customHeight="1">
      <c r="A707" s="1"/>
      <c r="B707" s="553" t="s">
        <v>1</v>
      </c>
      <c r="C707" s="145">
        <v>100.0</v>
      </c>
      <c r="D707" s="155">
        <v>60.0</v>
      </c>
      <c r="E707" s="899"/>
      <c r="F707" s="137" t="s">
        <v>190</v>
      </c>
      <c r="G707" s="63"/>
      <c r="H707" s="920"/>
      <c r="I707" s="1"/>
      <c r="J707" s="1"/>
      <c r="K707" s="1"/>
      <c r="L707" s="1"/>
      <c r="M707" s="1"/>
    </row>
    <row r="708" ht="14.25" customHeight="1">
      <c r="A708" s="1"/>
      <c r="B708" s="93" t="s">
        <v>2035</v>
      </c>
      <c r="C708" s="195">
        <v>50.0</v>
      </c>
      <c r="D708" s="78">
        <f t="shared" ref="D708:D712" si="52">(C708*D707)/C707</f>
        <v>30</v>
      </c>
      <c r="E708" s="900"/>
      <c r="F708" s="165" t="s">
        <v>14</v>
      </c>
      <c r="G708" s="63"/>
      <c r="H708" s="920"/>
      <c r="I708" s="1"/>
      <c r="J708" s="1"/>
      <c r="K708" s="1"/>
      <c r="L708" s="1"/>
      <c r="M708" s="1"/>
    </row>
    <row r="709" ht="14.25" customHeight="1">
      <c r="A709" s="1"/>
      <c r="B709" s="93" t="s">
        <v>1532</v>
      </c>
      <c r="C709" s="195">
        <v>50.0</v>
      </c>
      <c r="D709" s="78">
        <f t="shared" si="52"/>
        <v>30</v>
      </c>
      <c r="E709" s="900"/>
      <c r="F709" s="165" t="s">
        <v>14</v>
      </c>
      <c r="G709" s="63"/>
      <c r="H709" s="920"/>
      <c r="I709" s="1"/>
      <c r="J709" s="1"/>
      <c r="K709" s="1"/>
      <c r="L709" s="1"/>
      <c r="M709" s="1"/>
    </row>
    <row r="710" ht="14.25" customHeight="1">
      <c r="A710" s="1"/>
      <c r="B710" s="93" t="s">
        <v>2950</v>
      </c>
      <c r="C710" s="195">
        <v>12.5</v>
      </c>
      <c r="D710" s="78">
        <f t="shared" si="52"/>
        <v>7.5</v>
      </c>
      <c r="E710" s="900"/>
      <c r="F710" s="165" t="s">
        <v>14</v>
      </c>
      <c r="G710" s="63"/>
      <c r="H710" s="920"/>
      <c r="I710" s="1"/>
      <c r="J710" s="1"/>
      <c r="K710" s="1"/>
      <c r="L710" s="1"/>
      <c r="M710" s="1"/>
    </row>
    <row r="711" ht="14.25" customHeight="1">
      <c r="A711" s="1"/>
      <c r="B711" s="93" t="s">
        <v>2951</v>
      </c>
      <c r="C711" s="195">
        <v>2.5</v>
      </c>
      <c r="D711" s="78">
        <f t="shared" si="52"/>
        <v>1.5</v>
      </c>
      <c r="E711" s="900"/>
      <c r="F711" s="165" t="s">
        <v>14</v>
      </c>
      <c r="G711" s="63"/>
      <c r="H711" s="920"/>
      <c r="I711" s="1"/>
      <c r="J711" s="1"/>
      <c r="K711" s="1"/>
      <c r="L711" s="1"/>
      <c r="M711" s="1"/>
    </row>
    <row r="712" ht="14.25" customHeight="1">
      <c r="A712" s="1"/>
      <c r="B712" s="93" t="s">
        <v>2952</v>
      </c>
      <c r="C712" s="195">
        <v>100.0</v>
      </c>
      <c r="D712" s="78">
        <f t="shared" si="52"/>
        <v>60</v>
      </c>
      <c r="E712" s="900"/>
      <c r="F712" s="165" t="s">
        <v>82</v>
      </c>
      <c r="G712" s="63"/>
      <c r="H712" s="920"/>
      <c r="I712" s="1"/>
      <c r="J712" s="1"/>
      <c r="K712" s="1"/>
      <c r="L712" s="1"/>
      <c r="M712" s="1"/>
    </row>
    <row r="713" ht="14.25" customHeight="1">
      <c r="A713" s="1"/>
      <c r="B713" s="105" t="s">
        <v>2953</v>
      </c>
      <c r="C713" s="200">
        <v>25.0</v>
      </c>
      <c r="D713" s="56">
        <f>(C713*D710)/C710</f>
        <v>15</v>
      </c>
      <c r="E713" s="1604"/>
      <c r="F713" s="172" t="s">
        <v>82</v>
      </c>
      <c r="G713" s="102"/>
      <c r="H713" s="920"/>
      <c r="I713" s="1"/>
      <c r="J713" s="1"/>
      <c r="K713" s="1"/>
      <c r="L713" s="1"/>
      <c r="M713" s="1"/>
    </row>
    <row r="714" ht="14.25" customHeight="1">
      <c r="A714" s="1"/>
      <c r="B714" s="1"/>
      <c r="C714" s="107"/>
      <c r="D714" s="184"/>
      <c r="E714" s="184"/>
      <c r="F714" s="108"/>
      <c r="G714" s="1"/>
      <c r="H714" s="920"/>
      <c r="I714" s="1"/>
      <c r="J714" s="1"/>
      <c r="K714" s="1"/>
      <c r="L714" s="1"/>
      <c r="M714" s="1"/>
    </row>
    <row r="715" ht="14.25" customHeight="1">
      <c r="A715" s="1"/>
      <c r="B715" s="1"/>
      <c r="C715" s="107"/>
      <c r="D715" s="184"/>
      <c r="E715" s="184"/>
      <c r="F715" s="108"/>
      <c r="G715" s="1"/>
      <c r="H715" s="920"/>
      <c r="I715" s="1"/>
      <c r="J715" s="1"/>
      <c r="K715" s="1"/>
      <c r="L715" s="1"/>
      <c r="M715" s="1"/>
    </row>
    <row r="716" ht="14.25" customHeight="1">
      <c r="A716" s="1"/>
      <c r="B716" s="1"/>
      <c r="C716" s="107"/>
      <c r="D716" s="184"/>
      <c r="E716" s="184"/>
      <c r="F716" s="108"/>
      <c r="G716" s="1"/>
      <c r="H716" s="920"/>
      <c r="I716" s="1"/>
      <c r="J716" s="1"/>
      <c r="K716" s="1"/>
      <c r="L716" s="1"/>
      <c r="M716" s="1"/>
    </row>
    <row r="717" ht="14.25" customHeight="1">
      <c r="A717" s="1"/>
      <c r="B717" s="258" t="s">
        <v>119</v>
      </c>
      <c r="C717" s="258" t="s">
        <v>47</v>
      </c>
      <c r="D717" s="184"/>
      <c r="E717" s="184"/>
      <c r="F717" s="108"/>
      <c r="G717" s="1"/>
      <c r="H717" s="920"/>
      <c r="I717" s="1"/>
      <c r="J717" s="1"/>
      <c r="K717" s="1"/>
      <c r="L717" s="1"/>
      <c r="M717" s="1"/>
    </row>
    <row r="718" ht="14.25" customHeight="1">
      <c r="A718" s="1"/>
      <c r="B718" s="1"/>
      <c r="C718" s="107"/>
      <c r="D718" s="184"/>
      <c r="E718" s="184"/>
      <c r="F718" s="108"/>
      <c r="G718" s="1"/>
      <c r="H718" s="920"/>
      <c r="I718" s="1"/>
      <c r="J718" s="1"/>
      <c r="K718" s="1"/>
      <c r="L718" s="1"/>
      <c r="M718" s="1"/>
    </row>
    <row r="719" ht="14.25" customHeight="1">
      <c r="A719" s="1"/>
      <c r="B719" s="90" t="s">
        <v>120</v>
      </c>
      <c r="C719" s="1188">
        <v>40995.0</v>
      </c>
      <c r="D719" s="184"/>
      <c r="E719" s="184"/>
      <c r="F719" s="108"/>
      <c r="G719" s="1"/>
      <c r="H719" s="920"/>
      <c r="I719" s="1"/>
      <c r="J719" s="1"/>
      <c r="K719" s="1"/>
      <c r="L719" s="1"/>
      <c r="M719" s="1"/>
    </row>
    <row r="720" ht="14.25" customHeight="1">
      <c r="A720" s="1"/>
      <c r="B720" s="305" t="s">
        <v>50</v>
      </c>
      <c r="C720" s="1188">
        <v>41279.0</v>
      </c>
      <c r="D720" s="184"/>
      <c r="E720" s="184"/>
      <c r="F720" s="108"/>
      <c r="G720" s="1"/>
      <c r="H720" s="920"/>
      <c r="I720" s="1"/>
      <c r="J720" s="1"/>
      <c r="K720" s="1"/>
      <c r="L720" s="1"/>
      <c r="M720" s="1"/>
    </row>
    <row r="721" ht="14.25" customHeight="1">
      <c r="A721" s="1"/>
      <c r="B721" s="1"/>
      <c r="C721" s="107"/>
      <c r="D721" s="184"/>
      <c r="E721" s="184"/>
      <c r="F721" s="108"/>
      <c r="G721" s="1"/>
      <c r="H721" s="920"/>
      <c r="I721" s="1"/>
      <c r="J721" s="1"/>
      <c r="K721" s="1"/>
      <c r="L721" s="1"/>
      <c r="M721" s="1"/>
    </row>
    <row r="722" ht="14.25" customHeight="1">
      <c r="A722" s="1"/>
      <c r="B722" s="1"/>
      <c r="C722" s="107"/>
      <c r="D722" s="184"/>
      <c r="E722" s="184"/>
      <c r="F722" s="108"/>
      <c r="G722" s="921"/>
      <c r="H722" s="920"/>
      <c r="I722" s="1"/>
      <c r="J722" s="1"/>
      <c r="K722" s="1"/>
      <c r="L722" s="1"/>
      <c r="M722" s="1"/>
    </row>
    <row r="723" ht="14.25" customHeight="1">
      <c r="A723" s="1"/>
      <c r="B723" s="1"/>
      <c r="C723" s="107"/>
      <c r="D723" s="184"/>
      <c r="E723" s="184"/>
      <c r="F723" s="108"/>
      <c r="G723" s="921"/>
      <c r="H723" s="920"/>
      <c r="I723" s="1"/>
      <c r="J723" s="1"/>
      <c r="K723" s="1"/>
      <c r="L723" s="1"/>
      <c r="M723" s="1"/>
    </row>
    <row r="724" ht="14.25" customHeight="1">
      <c r="A724" s="1"/>
      <c r="B724" s="1"/>
      <c r="C724" s="107"/>
      <c r="D724" s="184"/>
      <c r="E724" s="184"/>
      <c r="F724" s="108"/>
      <c r="G724" s="1"/>
      <c r="H724" s="920"/>
      <c r="I724" s="1"/>
      <c r="J724" s="1"/>
      <c r="K724" s="1"/>
      <c r="L724" s="1"/>
      <c r="M724" s="1"/>
    </row>
    <row r="725" ht="14.25" customHeight="1">
      <c r="A725" s="1"/>
      <c r="B725" s="1"/>
      <c r="C725" s="107"/>
      <c r="D725" s="184"/>
      <c r="E725" s="184"/>
      <c r="F725" s="108"/>
      <c r="G725" s="1"/>
      <c r="H725" s="920"/>
      <c r="I725" s="1"/>
      <c r="J725" s="1"/>
      <c r="K725" s="1"/>
      <c r="L725" s="1"/>
      <c r="M725" s="1"/>
    </row>
    <row r="726" ht="14.25" customHeight="1">
      <c r="A726" s="1"/>
      <c r="B726" s="209" t="s">
        <v>1066</v>
      </c>
      <c r="C726" s="18"/>
      <c r="D726" s="18"/>
      <c r="E726" s="18"/>
      <c r="F726" s="19"/>
      <c r="G726" s="1902"/>
      <c r="H726" s="209" t="s">
        <v>2963</v>
      </c>
      <c r="I726" s="18"/>
      <c r="J726" s="18"/>
      <c r="K726" s="19"/>
      <c r="L726" s="1"/>
      <c r="M726" s="1"/>
    </row>
    <row r="727" ht="14.25" customHeight="1">
      <c r="A727" s="1"/>
      <c r="B727" s="51" t="s">
        <v>1</v>
      </c>
      <c r="C727" s="190">
        <v>100.0</v>
      </c>
      <c r="D727" s="1274">
        <v>190.0</v>
      </c>
      <c r="E727" s="1571"/>
      <c r="F727" s="125" t="s">
        <v>5</v>
      </c>
      <c r="G727" s="141"/>
      <c r="H727" s="51" t="s">
        <v>1</v>
      </c>
      <c r="I727" s="190">
        <v>70.0</v>
      </c>
      <c r="J727" s="1274">
        <v>200.0</v>
      </c>
      <c r="K727" s="125" t="s">
        <v>5</v>
      </c>
      <c r="L727" s="1"/>
      <c r="M727" s="1"/>
    </row>
    <row r="728" ht="14.25" customHeight="1">
      <c r="A728" s="1"/>
      <c r="B728" s="68" t="s">
        <v>15</v>
      </c>
      <c r="C728" s="145">
        <v>100.0</v>
      </c>
      <c r="D728" s="516">
        <f t="shared" ref="D728:D735" si="53">(C728*D727)/C727</f>
        <v>190</v>
      </c>
      <c r="E728" s="1652"/>
      <c r="F728" s="137" t="s">
        <v>5</v>
      </c>
      <c r="G728" s="140" t="s">
        <v>2966</v>
      </c>
      <c r="H728" s="68" t="s">
        <v>15</v>
      </c>
      <c r="I728" s="145">
        <v>60.0</v>
      </c>
      <c r="J728" s="516">
        <f t="shared" ref="J728:J733" si="54">(I728*J727)/I727</f>
        <v>171.4285714</v>
      </c>
      <c r="K728" s="137" t="s">
        <v>5</v>
      </c>
      <c r="L728" s="1"/>
      <c r="M728" s="1"/>
    </row>
    <row r="729" ht="15.75" customHeight="1">
      <c r="A729" s="1"/>
      <c r="B729" s="350" t="s">
        <v>2967</v>
      </c>
      <c r="C729" s="23">
        <v>90.0</v>
      </c>
      <c r="D729" s="201">
        <f t="shared" si="53"/>
        <v>171</v>
      </c>
      <c r="E729" s="1735"/>
      <c r="F729" s="36" t="s">
        <v>190</v>
      </c>
      <c r="H729" s="350" t="s">
        <v>2967</v>
      </c>
      <c r="I729" s="23">
        <v>90.0</v>
      </c>
      <c r="J729" s="201">
        <f t="shared" si="54"/>
        <v>257.1428571</v>
      </c>
      <c r="K729" s="36" t="s">
        <v>190</v>
      </c>
      <c r="L729" s="1"/>
      <c r="M729" s="1"/>
    </row>
    <row r="730" ht="15.0" customHeight="1">
      <c r="A730" s="1"/>
      <c r="B730" s="105" t="s">
        <v>1952</v>
      </c>
      <c r="C730" s="200">
        <v>8.0</v>
      </c>
      <c r="D730" s="517">
        <f t="shared" si="53"/>
        <v>15.2</v>
      </c>
      <c r="E730" s="1656"/>
      <c r="F730" s="172" t="s">
        <v>14</v>
      </c>
      <c r="G730" s="104"/>
      <c r="H730" s="138" t="s">
        <v>2970</v>
      </c>
      <c r="I730" s="279">
        <v>4.3</v>
      </c>
      <c r="J730" s="842">
        <f t="shared" si="54"/>
        <v>12.28571429</v>
      </c>
      <c r="K730" s="281" t="s">
        <v>14</v>
      </c>
      <c r="L730" s="1"/>
      <c r="M730" s="1"/>
    </row>
    <row r="731" ht="14.25" customHeight="1">
      <c r="A731" s="1"/>
      <c r="B731" s="2607" t="s">
        <v>2971</v>
      </c>
      <c r="C731" s="2608">
        <v>0.75</v>
      </c>
      <c r="D731" s="2609">
        <f t="shared" si="53"/>
        <v>1.425</v>
      </c>
      <c r="E731" s="2610"/>
      <c r="F731" s="2611" t="s">
        <v>5</v>
      </c>
      <c r="G731" s="140" t="s">
        <v>2974</v>
      </c>
      <c r="H731" s="68" t="s">
        <v>2971</v>
      </c>
      <c r="I731" s="145">
        <v>0.75</v>
      </c>
      <c r="J731" s="516">
        <f t="shared" si="54"/>
        <v>2.142857143</v>
      </c>
      <c r="K731" s="137" t="s">
        <v>5</v>
      </c>
      <c r="L731" s="1"/>
      <c r="M731" s="1"/>
    </row>
    <row r="732" ht="14.25" customHeight="1">
      <c r="A732" s="1"/>
      <c r="B732" s="2612" t="s">
        <v>2339</v>
      </c>
      <c r="C732" s="2613">
        <v>1500.0</v>
      </c>
      <c r="D732" s="2614">
        <f t="shared" si="53"/>
        <v>2850</v>
      </c>
      <c r="E732" s="2615"/>
      <c r="F732" s="2616" t="s">
        <v>18</v>
      </c>
      <c r="H732" s="93" t="s">
        <v>2339</v>
      </c>
      <c r="I732" s="195">
        <v>0.4</v>
      </c>
      <c r="J732" s="521">
        <f t="shared" si="54"/>
        <v>1.142857143</v>
      </c>
      <c r="K732" s="165" t="s">
        <v>366</v>
      </c>
      <c r="L732" s="1"/>
      <c r="M732" s="1"/>
    </row>
    <row r="733" ht="14.25" customHeight="1">
      <c r="A733" s="1"/>
      <c r="B733" s="149" t="s">
        <v>13</v>
      </c>
      <c r="C733" s="152">
        <v>20.0</v>
      </c>
      <c r="D733" s="556">
        <f t="shared" si="53"/>
        <v>38</v>
      </c>
      <c r="E733" s="2360"/>
      <c r="F733" s="156" t="s">
        <v>14</v>
      </c>
      <c r="G733" s="2092" t="s">
        <v>2978</v>
      </c>
      <c r="H733" s="93" t="s">
        <v>2979</v>
      </c>
      <c r="I733" s="195">
        <v>150.0</v>
      </c>
      <c r="J733" s="521">
        <f t="shared" si="54"/>
        <v>428.5714286</v>
      </c>
      <c r="K733" s="165" t="s">
        <v>18</v>
      </c>
      <c r="L733" s="1"/>
      <c r="M733" s="1"/>
    </row>
    <row r="734" ht="14.25" customHeight="1">
      <c r="A734" s="1"/>
      <c r="B734" s="2619" t="s">
        <v>17</v>
      </c>
      <c r="C734" s="2621">
        <v>100.0</v>
      </c>
      <c r="D734" s="2623">
        <f t="shared" si="53"/>
        <v>190</v>
      </c>
      <c r="E734" s="2624"/>
      <c r="F734" s="2625" t="s">
        <v>18</v>
      </c>
      <c r="G734" s="2626" t="s">
        <v>2980</v>
      </c>
      <c r="H734" s="138" t="s">
        <v>2982</v>
      </c>
      <c r="I734" s="279">
        <v>12.0</v>
      </c>
      <c r="J734" s="842">
        <f>(I734*J732)/I732</f>
        <v>34.28571429</v>
      </c>
      <c r="K734" s="281" t="s">
        <v>14</v>
      </c>
      <c r="L734" s="1"/>
      <c r="M734" s="1"/>
    </row>
    <row r="735" ht="14.25" customHeight="1">
      <c r="A735" s="1"/>
      <c r="B735" s="901" t="s">
        <v>66</v>
      </c>
      <c r="C735" s="1850">
        <v>25.0</v>
      </c>
      <c r="D735" s="1852">
        <f t="shared" si="53"/>
        <v>47.5</v>
      </c>
      <c r="E735" s="1854"/>
      <c r="F735" s="1855" t="s">
        <v>18</v>
      </c>
      <c r="G735" s="109"/>
      <c r="H735" s="68" t="s">
        <v>2984</v>
      </c>
      <c r="I735" s="145">
        <v>40.0</v>
      </c>
      <c r="J735" s="155">
        <f t="shared" ref="J735:J736" si="55">(I735*J734)/I734</f>
        <v>114.2857143</v>
      </c>
      <c r="K735" s="137" t="s">
        <v>18</v>
      </c>
      <c r="L735" s="1"/>
      <c r="M735" s="1"/>
    </row>
    <row r="736" ht="14.25" customHeight="1">
      <c r="A736" s="1"/>
      <c r="B736" s="1"/>
      <c r="C736" s="107"/>
      <c r="D736" s="184"/>
      <c r="E736" s="184"/>
      <c r="F736" s="108"/>
      <c r="G736" s="1"/>
      <c r="H736" s="93" t="s">
        <v>96</v>
      </c>
      <c r="I736" s="195">
        <v>15.0</v>
      </c>
      <c r="J736" s="78">
        <f t="shared" si="55"/>
        <v>42.85714286</v>
      </c>
      <c r="K736" s="165" t="s">
        <v>1342</v>
      </c>
      <c r="L736" s="1"/>
      <c r="M736" s="1"/>
    </row>
    <row r="737" ht="14.25" customHeight="1">
      <c r="A737" s="1"/>
      <c r="B737" s="1"/>
      <c r="C737" s="107"/>
      <c r="D737" s="184"/>
      <c r="E737" s="184"/>
      <c r="F737" s="108"/>
      <c r="G737" s="1"/>
      <c r="H737" s="105" t="s">
        <v>66</v>
      </c>
      <c r="I737" s="200">
        <v>15.0</v>
      </c>
      <c r="J737" s="56">
        <f>(I737*J735)/I735</f>
        <v>42.85714286</v>
      </c>
      <c r="K737" s="172" t="s">
        <v>18</v>
      </c>
      <c r="L737" s="1"/>
      <c r="M737" s="1"/>
    </row>
    <row r="738" ht="14.25" customHeight="1">
      <c r="A738" s="1"/>
      <c r="B738" s="1"/>
      <c r="C738" s="107"/>
      <c r="D738" s="184"/>
      <c r="E738" s="184"/>
      <c r="F738" s="108"/>
      <c r="G738" s="1"/>
      <c r="H738" s="258" t="s">
        <v>119</v>
      </c>
      <c r="I738" s="258" t="s">
        <v>47</v>
      </c>
      <c r="J738" s="1"/>
      <c r="K738" s="1"/>
      <c r="L738" s="1"/>
      <c r="M738" s="1"/>
    </row>
    <row r="739" ht="14.25" customHeight="1">
      <c r="A739" s="1"/>
      <c r="B739" s="258" t="s">
        <v>119</v>
      </c>
      <c r="C739" s="258" t="s">
        <v>47</v>
      </c>
      <c r="D739" s="184"/>
      <c r="E739" s="184"/>
      <c r="F739" s="108"/>
      <c r="G739" s="1"/>
      <c r="H739" s="1"/>
      <c r="I739" s="107"/>
      <c r="J739" s="1"/>
      <c r="K739" s="1"/>
      <c r="L739" s="1"/>
      <c r="M739" s="1"/>
    </row>
    <row r="740" ht="14.25" customHeight="1">
      <c r="A740" s="1"/>
      <c r="B740" s="1"/>
      <c r="C740" s="107"/>
      <c r="D740" s="184"/>
      <c r="E740" s="184"/>
      <c r="F740" s="108"/>
      <c r="G740" s="1"/>
      <c r="H740" s="90" t="s">
        <v>120</v>
      </c>
      <c r="I740" s="1188">
        <v>40995.0</v>
      </c>
      <c r="J740" s="1"/>
      <c r="K740" s="1"/>
      <c r="L740" s="1"/>
      <c r="M740" s="1"/>
    </row>
    <row r="741" ht="14.25" customHeight="1">
      <c r="A741" s="1"/>
      <c r="B741" s="550" t="s">
        <v>49</v>
      </c>
      <c r="C741" s="1375">
        <v>40768.0</v>
      </c>
      <c r="D741" s="184"/>
      <c r="E741" s="184"/>
      <c r="F741" s="108"/>
      <c r="G741" s="1"/>
      <c r="H741" s="305" t="s">
        <v>50</v>
      </c>
      <c r="I741" s="1188">
        <v>41279.0</v>
      </c>
      <c r="J741" s="1"/>
      <c r="K741" s="1"/>
      <c r="L741" s="1"/>
      <c r="M741" s="1"/>
    </row>
    <row r="742" ht="14.25" customHeight="1">
      <c r="A742" s="1"/>
      <c r="B742" s="1024" t="s">
        <v>50</v>
      </c>
      <c r="C742" s="1375">
        <v>41795.0</v>
      </c>
      <c r="D742" s="184"/>
      <c r="E742" s="184"/>
      <c r="F742" s="108"/>
      <c r="G742" s="1"/>
      <c r="H742" s="920"/>
      <c r="I742" s="1"/>
      <c r="J742" s="1"/>
      <c r="K742" s="1"/>
      <c r="L742" s="1"/>
      <c r="M742" s="1"/>
    </row>
    <row r="743" ht="14.25" customHeight="1">
      <c r="A743" s="1"/>
      <c r="B743" s="1"/>
      <c r="C743" s="107"/>
      <c r="D743" s="2247"/>
      <c r="E743" s="2247"/>
      <c r="F743" s="2248"/>
      <c r="G743" s="2249"/>
      <c r="H743" s="920"/>
      <c r="I743" s="1"/>
      <c r="J743" s="1"/>
      <c r="K743" s="1"/>
      <c r="L743" s="1"/>
      <c r="M743" s="1"/>
    </row>
    <row r="744" ht="14.25" customHeight="1">
      <c r="A744" s="1"/>
      <c r="B744" s="1"/>
      <c r="C744" s="107"/>
      <c r="D744" s="184"/>
      <c r="E744" s="184"/>
      <c r="F744" s="108"/>
      <c r="G744" s="1"/>
      <c r="H744" s="920"/>
      <c r="I744" s="1"/>
      <c r="J744" s="1"/>
      <c r="K744" s="1"/>
      <c r="L744" s="1"/>
      <c r="M744" s="1"/>
    </row>
    <row r="745" ht="14.25" customHeight="1">
      <c r="A745" s="1"/>
      <c r="B745" s="1"/>
      <c r="C745" s="107"/>
      <c r="D745" s="184"/>
      <c r="E745" s="184"/>
      <c r="F745" s="108"/>
      <c r="G745" s="1"/>
      <c r="H745" s="920"/>
      <c r="I745" s="1"/>
      <c r="J745" s="1"/>
      <c r="K745" s="1"/>
      <c r="L745" s="1"/>
      <c r="M745" s="1"/>
    </row>
    <row r="746" ht="14.25" customHeight="1">
      <c r="A746" s="1"/>
      <c r="B746" s="1"/>
      <c r="C746" s="107"/>
      <c r="D746" s="184"/>
      <c r="E746" s="184"/>
      <c r="F746" s="108"/>
      <c r="G746" s="921"/>
      <c r="H746" s="920"/>
      <c r="I746" s="1"/>
      <c r="J746" s="1"/>
      <c r="K746" s="1"/>
      <c r="L746" s="1"/>
      <c r="M746" s="1"/>
    </row>
    <row r="747" ht="14.25" customHeight="1">
      <c r="A747" s="1"/>
      <c r="B747" s="927" t="s">
        <v>1083</v>
      </c>
      <c r="C747" s="5"/>
      <c r="D747" s="5"/>
      <c r="E747" s="5"/>
      <c r="F747" s="6"/>
      <c r="G747" s="207"/>
      <c r="H747" s="920"/>
      <c r="I747" s="1"/>
      <c r="J747" s="1"/>
      <c r="K747" s="1"/>
      <c r="L747" s="1"/>
      <c r="M747" s="1"/>
    </row>
    <row r="748" ht="14.25" customHeight="1">
      <c r="A748" s="1"/>
      <c r="B748" s="324" t="s">
        <v>1</v>
      </c>
      <c r="C748" s="821">
        <v>100.0</v>
      </c>
      <c r="D748" s="2651">
        <v>0.8</v>
      </c>
      <c r="E748" s="2652"/>
      <c r="F748" s="447" t="s">
        <v>190</v>
      </c>
      <c r="G748" s="921"/>
      <c r="H748" s="920"/>
      <c r="I748" s="1"/>
      <c r="J748" s="1"/>
      <c r="K748" s="1"/>
      <c r="L748" s="1"/>
      <c r="M748" s="1"/>
    </row>
    <row r="749" ht="14.25" customHeight="1">
      <c r="A749" s="1"/>
      <c r="B749" s="345" t="s">
        <v>15</v>
      </c>
      <c r="C749" s="10">
        <v>130.0</v>
      </c>
      <c r="D749" s="164">
        <f t="shared" ref="D749:D756" si="56">(C749*D748)/C748</f>
        <v>1.04</v>
      </c>
      <c r="E749" s="1731"/>
      <c r="F749" s="448" t="s">
        <v>190</v>
      </c>
      <c r="G749" s="194" t="s">
        <v>2997</v>
      </c>
      <c r="H749" s="920"/>
      <c r="I749" s="1"/>
      <c r="J749" s="1"/>
      <c r="K749" s="1"/>
      <c r="L749" s="1"/>
      <c r="M749" s="1"/>
    </row>
    <row r="750" ht="14.25" customHeight="1">
      <c r="A750" s="1"/>
      <c r="B750" s="591" t="s">
        <v>2967</v>
      </c>
      <c r="C750" s="1984">
        <v>95.0</v>
      </c>
      <c r="D750" s="201">
        <f t="shared" si="56"/>
        <v>0.76</v>
      </c>
      <c r="E750" s="1998"/>
      <c r="F750" s="593" t="s">
        <v>190</v>
      </c>
      <c r="G750" s="63"/>
      <c r="H750" s="920"/>
      <c r="I750" s="1"/>
      <c r="J750" s="1"/>
      <c r="K750" s="1"/>
      <c r="L750" s="1"/>
      <c r="M750" s="1"/>
    </row>
    <row r="751" ht="14.25" customHeight="1">
      <c r="A751" s="1"/>
      <c r="B751" s="350" t="s">
        <v>2998</v>
      </c>
      <c r="C751" s="23">
        <v>4.5</v>
      </c>
      <c r="D751" s="201">
        <f t="shared" si="56"/>
        <v>0.036</v>
      </c>
      <c r="E751" s="1735"/>
      <c r="F751" s="36" t="s">
        <v>2999</v>
      </c>
      <c r="G751" s="63"/>
      <c r="H751" s="920"/>
      <c r="I751" s="1"/>
      <c r="J751" s="1"/>
      <c r="K751" s="1"/>
      <c r="L751" s="1"/>
      <c r="M751" s="1"/>
    </row>
    <row r="752" ht="14.25" customHeight="1">
      <c r="A752" s="1"/>
      <c r="B752" s="354" t="s">
        <v>13</v>
      </c>
      <c r="C752" s="45">
        <v>18.0</v>
      </c>
      <c r="D752" s="265">
        <f t="shared" si="56"/>
        <v>0.144</v>
      </c>
      <c r="E752" s="2164"/>
      <c r="F752" s="60" t="s">
        <v>2999</v>
      </c>
      <c r="G752" s="63"/>
      <c r="H752" s="920"/>
      <c r="I752" s="1"/>
      <c r="J752" s="1"/>
      <c r="K752" s="1"/>
      <c r="L752" s="1"/>
      <c r="M752" s="1"/>
    </row>
    <row r="753" ht="14.25" customHeight="1">
      <c r="A753" s="1"/>
      <c r="B753" s="2657" t="s">
        <v>3000</v>
      </c>
      <c r="C753" s="2668">
        <v>1.0</v>
      </c>
      <c r="D753" s="2671">
        <f t="shared" si="56"/>
        <v>0.008</v>
      </c>
      <c r="E753" s="2673"/>
      <c r="F753" s="2674" t="s">
        <v>190</v>
      </c>
      <c r="G753" s="63"/>
      <c r="H753" s="920"/>
      <c r="I753" s="1"/>
      <c r="J753" s="1"/>
      <c r="K753" s="1"/>
      <c r="L753" s="1"/>
      <c r="M753" s="1"/>
    </row>
    <row r="754" ht="14.25" customHeight="1">
      <c r="A754" s="1"/>
      <c r="B754" s="2675" t="s">
        <v>2006</v>
      </c>
      <c r="C754" s="2676">
        <v>2000.0</v>
      </c>
      <c r="D754" s="2677">
        <f t="shared" si="56"/>
        <v>16</v>
      </c>
      <c r="E754" s="2678"/>
      <c r="F754" s="2679" t="s">
        <v>18</v>
      </c>
      <c r="G754" s="63"/>
      <c r="H754" s="920"/>
      <c r="I754" s="1"/>
      <c r="J754" s="1"/>
      <c r="K754" s="1"/>
      <c r="L754" s="1"/>
      <c r="M754" s="1"/>
    </row>
    <row r="755" ht="14.25" customHeight="1">
      <c r="A755" s="1"/>
      <c r="B755" s="2680" t="s">
        <v>17</v>
      </c>
      <c r="C755" s="2681">
        <v>150.0</v>
      </c>
      <c r="D755" s="2682">
        <f t="shared" si="56"/>
        <v>1.2</v>
      </c>
      <c r="E755" s="2683"/>
      <c r="F755" s="2684" t="s">
        <v>18</v>
      </c>
      <c r="G755" s="140" t="s">
        <v>3041</v>
      </c>
      <c r="H755" s="920"/>
      <c r="I755" s="1"/>
      <c r="J755" s="1"/>
      <c r="K755" s="1"/>
      <c r="L755" s="1"/>
      <c r="M755" s="1"/>
    </row>
    <row r="756" ht="14.25" customHeight="1">
      <c r="A756" s="1"/>
      <c r="B756" s="2685" t="s">
        <v>3043</v>
      </c>
      <c r="C756" s="2686">
        <v>20.0</v>
      </c>
      <c r="D756" s="2687">
        <f t="shared" si="56"/>
        <v>0.16</v>
      </c>
      <c r="E756" s="2688"/>
      <c r="F756" s="2689" t="s">
        <v>18</v>
      </c>
      <c r="H756" s="920"/>
      <c r="I756" s="1"/>
      <c r="J756" s="1"/>
      <c r="K756" s="1"/>
      <c r="L756" s="1"/>
      <c r="M756" s="1"/>
    </row>
    <row r="757" ht="14.25" customHeight="1">
      <c r="A757" s="1"/>
      <c r="B757" s="1"/>
      <c r="C757" s="107"/>
      <c r="D757" s="184"/>
      <c r="E757" s="184"/>
      <c r="F757" s="108"/>
      <c r="G757" s="1"/>
      <c r="H757" s="920"/>
      <c r="I757" s="1"/>
      <c r="J757" s="1"/>
      <c r="K757" s="1"/>
      <c r="L757" s="1"/>
      <c r="M757" s="1"/>
    </row>
    <row r="758" ht="14.25" customHeight="1">
      <c r="A758" s="1"/>
      <c r="B758" s="90" t="s">
        <v>120</v>
      </c>
      <c r="C758" s="1188">
        <v>41083.0</v>
      </c>
      <c r="D758" s="184"/>
      <c r="E758" s="184"/>
      <c r="F758" s="108"/>
      <c r="G758" s="1"/>
      <c r="H758" s="920"/>
      <c r="I758" s="1"/>
      <c r="J758" s="1"/>
      <c r="K758" s="1"/>
      <c r="L758" s="1"/>
      <c r="M758" s="1"/>
    </row>
    <row r="759" ht="14.25" customHeight="1">
      <c r="A759" s="1"/>
      <c r="B759" s="305" t="s">
        <v>50</v>
      </c>
      <c r="C759" s="1188">
        <v>43158.0</v>
      </c>
      <c r="D759" s="184"/>
      <c r="E759" s="184"/>
      <c r="F759" s="108"/>
      <c r="G759" s="1"/>
      <c r="H759" s="920"/>
      <c r="I759" s="1"/>
      <c r="J759" s="1"/>
      <c r="K759" s="1"/>
      <c r="L759" s="1"/>
      <c r="M759" s="1"/>
    </row>
    <row r="760" ht="14.25" customHeight="1">
      <c r="A760" s="1"/>
      <c r="B760" s="1"/>
      <c r="C760" s="107"/>
      <c r="D760" s="184"/>
      <c r="E760" s="184"/>
      <c r="F760" s="108"/>
      <c r="G760" s="1"/>
      <c r="H760" s="920"/>
      <c r="I760" s="1"/>
      <c r="J760" s="1"/>
      <c r="K760" s="1"/>
      <c r="L760" s="1"/>
      <c r="M760" s="1"/>
    </row>
    <row r="761" ht="14.25" customHeight="1">
      <c r="A761" s="1"/>
      <c r="B761" s="1"/>
      <c r="C761" s="107"/>
      <c r="D761" s="184"/>
      <c r="E761" s="184"/>
      <c r="F761" s="108"/>
      <c r="G761" s="1"/>
      <c r="H761" s="920"/>
      <c r="I761" s="1"/>
      <c r="J761" s="1"/>
      <c r="K761" s="1"/>
      <c r="L761" s="1"/>
      <c r="M761" s="1"/>
    </row>
    <row r="762" ht="14.25" customHeight="1">
      <c r="A762" s="1"/>
      <c r="B762" s="258" t="s">
        <v>119</v>
      </c>
      <c r="C762" s="258" t="s">
        <v>47</v>
      </c>
      <c r="D762" s="184"/>
      <c r="E762" s="184"/>
      <c r="F762" s="108"/>
      <c r="G762" s="1"/>
      <c r="H762" s="920"/>
      <c r="I762" s="1"/>
      <c r="J762" s="1"/>
      <c r="K762" s="1"/>
      <c r="L762" s="1"/>
      <c r="M762" s="1"/>
    </row>
    <row r="763" ht="14.25" customHeight="1">
      <c r="A763" s="1"/>
      <c r="B763" s="1"/>
      <c r="C763" s="107"/>
      <c r="D763" s="184"/>
      <c r="E763" s="184"/>
      <c r="F763" s="108"/>
      <c r="G763" s="1"/>
      <c r="H763" s="920"/>
      <c r="I763" s="1"/>
      <c r="J763" s="1"/>
      <c r="K763" s="1"/>
      <c r="L763" s="1"/>
      <c r="M763" s="1"/>
    </row>
    <row r="764" ht="15.0" customHeight="1">
      <c r="A764" s="1"/>
      <c r="B764" s="1"/>
      <c r="C764" s="107"/>
      <c r="D764" s="184"/>
      <c r="E764" s="184"/>
      <c r="F764" s="108"/>
      <c r="G764" s="1"/>
      <c r="H764" s="920"/>
      <c r="I764" s="1"/>
      <c r="J764" s="1"/>
      <c r="K764" s="1"/>
      <c r="L764" s="1"/>
      <c r="M764" s="1"/>
    </row>
    <row r="765" ht="14.25" customHeight="1">
      <c r="A765" s="1"/>
      <c r="B765" s="1"/>
      <c r="C765" s="107"/>
      <c r="D765" s="184"/>
      <c r="E765" s="184"/>
      <c r="F765" s="108"/>
      <c r="G765" s="921"/>
      <c r="H765" s="920"/>
      <c r="I765" s="1"/>
      <c r="J765" s="1"/>
      <c r="K765" s="1"/>
      <c r="L765" s="1"/>
      <c r="M765" s="1"/>
    </row>
    <row r="766" ht="14.25" customHeight="1">
      <c r="A766" s="1"/>
      <c r="B766" s="1"/>
      <c r="C766" s="107"/>
      <c r="D766" s="184"/>
      <c r="E766" s="184"/>
      <c r="F766" s="108"/>
      <c r="G766" s="921"/>
      <c r="H766" s="920"/>
      <c r="I766" s="1"/>
      <c r="J766" s="1"/>
      <c r="K766" s="1"/>
      <c r="L766" s="1"/>
      <c r="M766" s="1"/>
    </row>
    <row r="767" ht="14.25" customHeight="1">
      <c r="A767" s="1"/>
      <c r="B767" s="1"/>
      <c r="C767" s="107"/>
      <c r="D767" s="184"/>
      <c r="E767" s="184"/>
      <c r="F767" s="108"/>
      <c r="G767" s="921"/>
      <c r="H767" s="920"/>
      <c r="I767" s="1"/>
      <c r="J767" s="1"/>
      <c r="K767" s="1"/>
      <c r="L767" s="1"/>
      <c r="M767" s="1"/>
    </row>
    <row r="768" ht="14.25" customHeight="1">
      <c r="A768" s="1"/>
      <c r="B768" s="1"/>
      <c r="C768" s="107"/>
      <c r="D768" s="184"/>
      <c r="E768" s="184"/>
      <c r="F768" s="108"/>
      <c r="G768" s="921"/>
      <c r="H768" s="920"/>
      <c r="I768" s="1"/>
      <c r="J768" s="1"/>
      <c r="K768" s="1"/>
      <c r="L768" s="1"/>
      <c r="M768" s="1"/>
    </row>
    <row r="769" ht="14.25" customHeight="1">
      <c r="A769" s="1"/>
      <c r="B769" s="1"/>
      <c r="C769" s="107"/>
      <c r="D769" s="184"/>
      <c r="E769" s="184"/>
      <c r="F769" s="108"/>
      <c r="G769" s="1"/>
      <c r="H769" s="920"/>
      <c r="I769" s="1"/>
      <c r="J769" s="1"/>
      <c r="K769" s="1"/>
      <c r="L769" s="1"/>
      <c r="M769" s="1"/>
    </row>
    <row r="770" ht="14.25" customHeight="1">
      <c r="A770" s="1"/>
      <c r="B770" s="16" t="s">
        <v>879</v>
      </c>
      <c r="C770" s="18"/>
      <c r="D770" s="18"/>
      <c r="E770" s="18"/>
      <c r="F770" s="19"/>
      <c r="G770" s="2694" t="s">
        <v>3063</v>
      </c>
      <c r="H770" s="920"/>
      <c r="I770" s="1"/>
      <c r="J770" s="1"/>
      <c r="K770" s="1"/>
      <c r="L770" s="1"/>
      <c r="M770" s="1"/>
    </row>
    <row r="771" ht="14.25" customHeight="1">
      <c r="A771" s="1"/>
      <c r="B771" s="157" t="s">
        <v>140</v>
      </c>
      <c r="C771" s="244">
        <v>10.0</v>
      </c>
      <c r="D771" s="1335">
        <v>10.0</v>
      </c>
      <c r="E771" s="2695"/>
      <c r="F771" s="1055" t="s">
        <v>14</v>
      </c>
      <c r="G771" s="1"/>
      <c r="H771" s="920"/>
      <c r="I771" s="1"/>
      <c r="J771" s="1"/>
      <c r="K771" s="1"/>
      <c r="L771" s="1"/>
      <c r="M771" s="1"/>
    </row>
    <row r="772" ht="14.25" customHeight="1">
      <c r="A772" s="1"/>
      <c r="B772" s="928" t="s">
        <v>1054</v>
      </c>
      <c r="C772" s="2697">
        <f t="shared" ref="C772:D772" si="57">+IF(C771&lt;=10,(5+0.1*C771)*C771, 6*C771)</f>
        <v>60</v>
      </c>
      <c r="D772" s="2698">
        <f t="shared" si="57"/>
        <v>60</v>
      </c>
      <c r="E772" s="2699"/>
      <c r="F772" s="2700" t="s">
        <v>5</v>
      </c>
      <c r="G772" s="1"/>
      <c r="H772" s="920"/>
      <c r="I772" s="1"/>
      <c r="J772" s="1"/>
      <c r="K772" s="1"/>
      <c r="L772" s="1"/>
      <c r="M772" s="1"/>
    </row>
    <row r="773" ht="14.25" customHeight="1">
      <c r="A773" s="1"/>
      <c r="B773" s="177" t="s">
        <v>13</v>
      </c>
      <c r="C773" s="27">
        <v>17.5</v>
      </c>
      <c r="D773" s="1340">
        <f>(C773*D771)/C771</f>
        <v>17.5</v>
      </c>
      <c r="E773" s="2701"/>
      <c r="F773" s="774" t="s">
        <v>14</v>
      </c>
      <c r="G773" s="1"/>
      <c r="H773" s="920"/>
      <c r="I773" s="1"/>
      <c r="J773" s="1"/>
      <c r="K773" s="1"/>
      <c r="L773" s="1"/>
      <c r="M773" s="1"/>
    </row>
    <row r="774" ht="14.25" customHeight="1">
      <c r="A774" s="1"/>
      <c r="B774" s="177" t="s">
        <v>743</v>
      </c>
      <c r="C774" s="27">
        <v>5.0</v>
      </c>
      <c r="D774" s="1340">
        <f t="shared" ref="D774:D776" si="58">(C774*D773)/C773</f>
        <v>5</v>
      </c>
      <c r="E774" s="2701"/>
      <c r="F774" s="774" t="s">
        <v>5</v>
      </c>
      <c r="G774" s="1"/>
      <c r="H774" s="920"/>
      <c r="I774" s="1"/>
      <c r="J774" s="1"/>
      <c r="K774" s="1"/>
      <c r="L774" s="1"/>
      <c r="M774" s="1"/>
    </row>
    <row r="775" ht="14.25" customHeight="1">
      <c r="A775" s="1"/>
      <c r="B775" s="177" t="s">
        <v>746</v>
      </c>
      <c r="C775" s="27">
        <v>255.0</v>
      </c>
      <c r="D775" s="1340">
        <f t="shared" si="58"/>
        <v>255</v>
      </c>
      <c r="E775" s="2701"/>
      <c r="F775" s="774" t="s">
        <v>18</v>
      </c>
      <c r="G775" s="1"/>
      <c r="H775" s="920"/>
      <c r="I775" s="1"/>
      <c r="J775" s="1"/>
      <c r="K775" s="1"/>
      <c r="L775" s="1"/>
      <c r="M775" s="1"/>
    </row>
    <row r="776" ht="14.25" customHeight="1">
      <c r="A776" s="1"/>
      <c r="B776" s="177" t="s">
        <v>1046</v>
      </c>
      <c r="C776" s="27">
        <v>250.0</v>
      </c>
      <c r="D776" s="1340">
        <f t="shared" si="58"/>
        <v>250</v>
      </c>
      <c r="E776" s="2701"/>
      <c r="F776" s="774" t="s">
        <v>18</v>
      </c>
      <c r="G776" s="1"/>
      <c r="H776" s="920"/>
      <c r="I776" s="1"/>
      <c r="J776" s="1"/>
      <c r="K776" s="1"/>
      <c r="L776" s="1"/>
      <c r="M776" s="1"/>
    </row>
    <row r="777" ht="14.25" customHeight="1">
      <c r="A777" s="1"/>
      <c r="B777" s="262" t="s">
        <v>59</v>
      </c>
      <c r="C777" s="2703">
        <f t="shared" ref="C777:D777" si="59">+IF(C771&lt;10,4*C771,IF(C771&gt;=15,3.5*C771,(3.5+(15-C771)*0.1)*C771))</f>
        <v>40</v>
      </c>
      <c r="D777" s="1887">
        <f t="shared" si="59"/>
        <v>40</v>
      </c>
      <c r="E777" s="1889"/>
      <c r="F777" s="793" t="s">
        <v>5</v>
      </c>
      <c r="G777" s="1"/>
      <c r="H777" s="920"/>
      <c r="I777" s="1"/>
      <c r="J777" s="1"/>
      <c r="K777" s="1"/>
      <c r="L777" s="1"/>
      <c r="M777" s="1"/>
    </row>
    <row r="778" ht="14.25" customHeight="1">
      <c r="A778" s="1"/>
      <c r="B778" s="890" t="s">
        <v>17</v>
      </c>
      <c r="C778" s="2705">
        <v>60.0</v>
      </c>
      <c r="D778" s="2706">
        <f>(C778*D776)/C776</f>
        <v>60</v>
      </c>
      <c r="E778" s="2707"/>
      <c r="F778" s="2708" t="s">
        <v>18</v>
      </c>
      <c r="G778" s="934" t="s">
        <v>1061</v>
      </c>
      <c r="H778" s="920"/>
      <c r="I778" s="1"/>
      <c r="J778" s="1"/>
      <c r="K778" s="1"/>
      <c r="L778" s="1"/>
      <c r="M778" s="1"/>
    </row>
    <row r="779" ht="14.25" customHeight="1">
      <c r="A779" s="1"/>
      <c r="B779" s="936" t="s">
        <v>1062</v>
      </c>
      <c r="C779" s="2709">
        <f t="shared" ref="C779:D779" si="60">C772*1.25</f>
        <v>75</v>
      </c>
      <c r="D779" s="2710">
        <f t="shared" si="60"/>
        <v>75</v>
      </c>
      <c r="E779" s="2711"/>
      <c r="F779" s="2712" t="s">
        <v>82</v>
      </c>
      <c r="G779" s="681" t="s">
        <v>1064</v>
      </c>
      <c r="H779" s="920"/>
      <c r="I779" s="1"/>
      <c r="J779" s="1"/>
      <c r="K779" s="1"/>
      <c r="L779" s="1"/>
      <c r="M779" s="1"/>
    </row>
    <row r="780" ht="14.25" customHeight="1">
      <c r="A780" s="1"/>
      <c r="B780" s="943" t="s">
        <v>1067</v>
      </c>
      <c r="C780" s="2714">
        <v>5.0</v>
      </c>
      <c r="D780" s="2715">
        <f>D772*0.1</f>
        <v>6</v>
      </c>
      <c r="E780" s="2716"/>
      <c r="F780" s="2718" t="s">
        <v>82</v>
      </c>
      <c r="G780" s="102"/>
      <c r="H780" s="920"/>
      <c r="I780" s="1"/>
      <c r="J780" s="1"/>
      <c r="K780" s="1"/>
      <c r="L780" s="1"/>
      <c r="M780" s="1"/>
    </row>
    <row r="781" ht="14.25" customHeight="1">
      <c r="A781" s="1"/>
      <c r="B781" s="947" t="s">
        <v>1070</v>
      </c>
      <c r="C781" s="2719">
        <f t="shared" ref="C781:D781" si="61">C772*1.25</f>
        <v>75</v>
      </c>
      <c r="D781" s="2720">
        <f t="shared" si="61"/>
        <v>75</v>
      </c>
      <c r="E781" s="2721"/>
      <c r="F781" s="2722" t="s">
        <v>82</v>
      </c>
      <c r="G781" s="681" t="s">
        <v>1074</v>
      </c>
      <c r="H781" s="920"/>
      <c r="I781" s="1"/>
      <c r="J781" s="1"/>
      <c r="K781" s="1"/>
      <c r="L781" s="1"/>
      <c r="M781" s="1"/>
    </row>
    <row r="782" ht="14.25" customHeight="1">
      <c r="A782" s="1"/>
      <c r="B782" s="951" t="s">
        <v>1075</v>
      </c>
      <c r="C782" s="2723">
        <v>5.0</v>
      </c>
      <c r="D782" s="2724">
        <f>D772*0.1</f>
        <v>6</v>
      </c>
      <c r="E782" s="2725"/>
      <c r="F782" s="2726" t="s">
        <v>82</v>
      </c>
      <c r="G782" s="102"/>
      <c r="H782" s="920"/>
      <c r="I782" s="1"/>
      <c r="J782" s="1"/>
      <c r="K782" s="1"/>
      <c r="L782" s="1"/>
      <c r="M782" s="1"/>
    </row>
    <row r="783" ht="14.25" customHeight="1">
      <c r="A783" s="1"/>
      <c r="B783" s="955" t="s">
        <v>1079</v>
      </c>
      <c r="C783" s="2727">
        <v>100.0</v>
      </c>
      <c r="D783" s="2728">
        <f t="shared" ref="D783:D784" si="62">(C783*D782)/C782</f>
        <v>120</v>
      </c>
      <c r="E783" s="2729"/>
      <c r="F783" s="2730" t="s">
        <v>82</v>
      </c>
      <c r="G783" s="681" t="s">
        <v>1080</v>
      </c>
      <c r="H783" s="920"/>
      <c r="I783" s="1"/>
      <c r="J783" s="1"/>
      <c r="K783" s="1"/>
      <c r="L783" s="1"/>
      <c r="M783" s="1"/>
    </row>
    <row r="784" ht="14.25" customHeight="1">
      <c r="A784" s="1"/>
      <c r="B784" s="959" t="s">
        <v>1081</v>
      </c>
      <c r="C784" s="2732">
        <v>125.0</v>
      </c>
      <c r="D784" s="2734">
        <f t="shared" si="62"/>
        <v>150</v>
      </c>
      <c r="E784" s="2735"/>
      <c r="F784" s="2736" t="s">
        <v>82</v>
      </c>
      <c r="G784" s="63"/>
      <c r="H784" s="920"/>
      <c r="I784" s="1"/>
      <c r="J784" s="1"/>
      <c r="K784" s="1"/>
      <c r="L784" s="1"/>
      <c r="M784" s="1"/>
    </row>
    <row r="785" ht="14.25" customHeight="1">
      <c r="A785" s="1"/>
      <c r="B785" s="963" t="s">
        <v>80</v>
      </c>
      <c r="C785" s="2737">
        <v>18.0</v>
      </c>
      <c r="D785" s="2739">
        <f t="shared" ref="D785:D787" si="63">(C785*D777)/C777</f>
        <v>18</v>
      </c>
      <c r="E785" s="2741"/>
      <c r="F785" s="2744" t="s">
        <v>14</v>
      </c>
      <c r="G785" s="102"/>
      <c r="H785" s="920"/>
      <c r="I785" s="1"/>
      <c r="J785" s="1"/>
      <c r="K785" s="1"/>
      <c r="L785" s="1"/>
      <c r="M785" s="1"/>
    </row>
    <row r="786" ht="14.25" customHeight="1">
      <c r="A786" s="1"/>
      <c r="B786" s="2745" t="s">
        <v>572</v>
      </c>
      <c r="C786" s="2746">
        <v>75.0</v>
      </c>
      <c r="D786" s="2747">
        <f t="shared" si="63"/>
        <v>75</v>
      </c>
      <c r="E786" s="2748"/>
      <c r="F786" s="2749" t="s">
        <v>82</v>
      </c>
      <c r="G786" s="681" t="s">
        <v>572</v>
      </c>
      <c r="H786" s="920"/>
      <c r="I786" s="1"/>
      <c r="J786" s="1"/>
      <c r="K786" s="1"/>
      <c r="L786" s="1"/>
      <c r="M786" s="1"/>
    </row>
    <row r="787" ht="14.25" customHeight="1">
      <c r="A787" s="1"/>
      <c r="B787" s="2750" t="s">
        <v>3078</v>
      </c>
      <c r="C787" s="2751">
        <v>5.0</v>
      </c>
      <c r="D787" s="2752">
        <f t="shared" si="63"/>
        <v>5</v>
      </c>
      <c r="E787" s="2753"/>
      <c r="F787" s="2754" t="s">
        <v>82</v>
      </c>
      <c r="G787" s="102"/>
      <c r="H787" s="920"/>
      <c r="I787" s="1"/>
      <c r="J787" s="1"/>
      <c r="K787" s="1"/>
      <c r="L787" s="1"/>
      <c r="M787" s="1"/>
    </row>
    <row r="788" ht="14.25" customHeight="1">
      <c r="A788" s="1"/>
      <c r="B788" s="1"/>
      <c r="C788" s="107"/>
      <c r="D788" s="184"/>
      <c r="E788" s="184"/>
      <c r="F788" s="1546"/>
      <c r="G788" s="1"/>
      <c r="H788" s="920"/>
      <c r="I788" s="1"/>
      <c r="J788" s="1"/>
      <c r="K788" s="1"/>
      <c r="L788" s="1"/>
      <c r="M788" s="1"/>
    </row>
    <row r="789" ht="14.25" customHeight="1">
      <c r="A789" s="1"/>
      <c r="B789" s="1"/>
      <c r="C789" s="107"/>
      <c r="D789" s="184"/>
      <c r="E789" s="184"/>
      <c r="F789" s="1546"/>
      <c r="G789" s="1"/>
      <c r="H789" s="920"/>
      <c r="I789" s="1"/>
      <c r="J789" s="1"/>
      <c r="K789" s="1"/>
      <c r="L789" s="1"/>
      <c r="M789" s="1"/>
    </row>
    <row r="790" ht="14.25" customHeight="1">
      <c r="A790" s="1"/>
      <c r="B790" s="88" t="s">
        <v>49</v>
      </c>
      <c r="C790" s="2755">
        <v>40787.0</v>
      </c>
      <c r="D790" s="184"/>
      <c r="E790" s="184"/>
      <c r="F790" s="1546"/>
      <c r="G790" s="1"/>
      <c r="H790" s="920"/>
      <c r="I790" s="1"/>
      <c r="J790" s="1"/>
      <c r="K790" s="1"/>
      <c r="L790" s="1"/>
      <c r="M790" s="1"/>
    </row>
    <row r="791" ht="14.25" customHeight="1">
      <c r="A791" s="1"/>
      <c r="B791" s="305" t="s">
        <v>50</v>
      </c>
      <c r="C791" s="187">
        <v>41419.0</v>
      </c>
      <c r="D791" s="184"/>
      <c r="E791" s="184"/>
      <c r="F791" s="1546"/>
      <c r="G791" s="1"/>
      <c r="H791" s="920"/>
      <c r="I791" s="1"/>
      <c r="J791" s="1"/>
      <c r="K791" s="1"/>
      <c r="L791" s="1"/>
      <c r="M791" s="1"/>
    </row>
    <row r="792" ht="14.25" customHeight="1">
      <c r="A792" s="1"/>
      <c r="B792" s="1"/>
      <c r="C792" s="107"/>
      <c r="D792" s="184"/>
      <c r="E792" s="184"/>
      <c r="F792" s="1546"/>
      <c r="G792" s="1"/>
      <c r="H792" s="920"/>
      <c r="I792" s="1"/>
      <c r="J792" s="1"/>
      <c r="K792" s="1"/>
      <c r="L792" s="1"/>
      <c r="M792" s="1"/>
    </row>
    <row r="793" ht="14.25" customHeight="1">
      <c r="A793" s="1"/>
      <c r="B793" s="258" t="s">
        <v>119</v>
      </c>
      <c r="C793" s="258" t="s">
        <v>47</v>
      </c>
      <c r="D793" s="184"/>
      <c r="E793" s="184"/>
      <c r="F793" s="1546"/>
      <c r="G793" s="1"/>
      <c r="H793" s="920"/>
      <c r="I793" s="1"/>
      <c r="J793" s="1"/>
      <c r="K793" s="1"/>
      <c r="L793" s="1"/>
      <c r="M793" s="1"/>
    </row>
    <row r="794" ht="14.25" customHeight="1">
      <c r="A794" s="1"/>
      <c r="B794" s="1"/>
      <c r="C794" s="107"/>
      <c r="D794" s="184"/>
      <c r="E794" s="184"/>
      <c r="F794" s="108"/>
      <c r="G794" s="1"/>
      <c r="H794" s="920"/>
      <c r="I794" s="1"/>
      <c r="J794" s="1"/>
      <c r="K794" s="1"/>
      <c r="L794" s="1"/>
      <c r="M794" s="1"/>
    </row>
    <row r="795" ht="14.25" customHeight="1">
      <c r="A795" s="1"/>
      <c r="B795" s="1"/>
      <c r="C795" s="107"/>
      <c r="D795" s="184"/>
      <c r="E795" s="184"/>
      <c r="F795" s="108"/>
      <c r="G795" s="1"/>
      <c r="H795" s="920"/>
      <c r="I795" s="1"/>
      <c r="J795" s="1"/>
      <c r="K795" s="1"/>
      <c r="L795" s="1"/>
      <c r="M795" s="1"/>
    </row>
    <row r="796" ht="14.25" customHeight="1">
      <c r="A796" s="1"/>
      <c r="B796" s="1"/>
      <c r="C796" s="107"/>
      <c r="D796" s="184"/>
      <c r="E796" s="184"/>
      <c r="F796" s="108"/>
      <c r="G796" s="1"/>
      <c r="H796" s="920"/>
      <c r="I796" s="1"/>
      <c r="J796" s="1"/>
      <c r="K796" s="1"/>
      <c r="L796" s="1"/>
      <c r="M796" s="1"/>
    </row>
    <row r="797" ht="14.25" customHeight="1">
      <c r="A797" s="1"/>
      <c r="B797" s="1"/>
      <c r="C797" s="107"/>
      <c r="D797" s="184"/>
      <c r="E797" s="184"/>
      <c r="F797" s="108"/>
      <c r="G797" s="1"/>
      <c r="H797" s="920"/>
      <c r="I797" s="1"/>
      <c r="J797" s="1"/>
      <c r="K797" s="1"/>
      <c r="L797" s="1"/>
      <c r="M797" s="1"/>
    </row>
    <row r="798" ht="14.25" customHeight="1">
      <c r="A798" s="1"/>
      <c r="B798" s="1"/>
      <c r="C798" s="107"/>
      <c r="D798" s="184"/>
      <c r="E798" s="184"/>
      <c r="F798" s="108"/>
      <c r="G798" s="1"/>
      <c r="H798" s="920"/>
      <c r="I798" s="1"/>
      <c r="J798" s="1"/>
      <c r="K798" s="1"/>
      <c r="L798" s="1"/>
      <c r="M798" s="1"/>
    </row>
    <row r="799" ht="14.25" customHeight="1">
      <c r="A799" s="1"/>
      <c r="B799" s="1"/>
      <c r="C799" s="107"/>
      <c r="D799" s="184"/>
      <c r="E799" s="184"/>
      <c r="F799" s="108"/>
      <c r="G799" s="1"/>
      <c r="H799" s="920"/>
      <c r="I799" s="1"/>
      <c r="J799" s="1"/>
      <c r="K799" s="1"/>
      <c r="L799" s="1"/>
      <c r="M799" s="1"/>
    </row>
    <row r="800" ht="14.25" customHeight="1">
      <c r="A800" s="1"/>
      <c r="B800" s="1123" t="s">
        <v>983</v>
      </c>
      <c r="C800" s="5"/>
      <c r="D800" s="5"/>
      <c r="E800" s="5"/>
      <c r="F800" s="6"/>
      <c r="G800" s="2760"/>
      <c r="H800" s="920"/>
      <c r="I800" s="1"/>
      <c r="J800" s="1"/>
      <c r="K800" s="1"/>
      <c r="L800" s="1"/>
      <c r="M800" s="1"/>
    </row>
    <row r="801" ht="14.25" customHeight="1">
      <c r="A801" s="1"/>
      <c r="B801" s="1967" t="s">
        <v>1</v>
      </c>
      <c r="C801" s="218">
        <v>10.0</v>
      </c>
      <c r="D801" s="2444">
        <v>12.0</v>
      </c>
      <c r="E801" s="2761"/>
      <c r="F801" s="1241" t="s">
        <v>5</v>
      </c>
      <c r="G801" s="455"/>
      <c r="H801" s="920"/>
      <c r="I801" s="1"/>
      <c r="J801" s="1"/>
      <c r="K801" s="1"/>
      <c r="L801" s="1"/>
      <c r="M801" s="1"/>
    </row>
    <row r="802" ht="14.25" customHeight="1">
      <c r="A802" s="1"/>
      <c r="B802" s="732" t="s">
        <v>15</v>
      </c>
      <c r="C802" s="131">
        <v>20.0</v>
      </c>
      <c r="D802" s="164">
        <f t="shared" ref="D802:D804" si="64">(C802*D801)/C801</f>
        <v>24</v>
      </c>
      <c r="E802" s="1731"/>
      <c r="F802" s="733" t="s">
        <v>5</v>
      </c>
      <c r="G802" s="1256" t="s">
        <v>3082</v>
      </c>
      <c r="H802" s="920"/>
      <c r="I802" s="1"/>
      <c r="J802" s="1"/>
      <c r="K802" s="1"/>
      <c r="L802" s="1"/>
      <c r="M802" s="1"/>
    </row>
    <row r="803" ht="14.25" customHeight="1">
      <c r="A803" s="1"/>
      <c r="B803" s="1134" t="s">
        <v>140</v>
      </c>
      <c r="C803" s="160">
        <v>0.15</v>
      </c>
      <c r="D803" s="201">
        <f t="shared" si="64"/>
        <v>0.18</v>
      </c>
      <c r="E803" s="1735"/>
      <c r="F803" s="774" t="s">
        <v>14</v>
      </c>
      <c r="H803" s="920"/>
      <c r="I803" s="1"/>
      <c r="J803" s="1"/>
      <c r="K803" s="1"/>
      <c r="L803" s="1"/>
      <c r="M803" s="1"/>
    </row>
    <row r="804" ht="14.25" customHeight="1">
      <c r="A804" s="1"/>
      <c r="B804" s="1136" t="s">
        <v>402</v>
      </c>
      <c r="C804" s="167">
        <v>1.3</v>
      </c>
      <c r="D804" s="257">
        <f t="shared" si="64"/>
        <v>1.56</v>
      </c>
      <c r="E804" s="1738"/>
      <c r="F804" s="1052" t="s">
        <v>14</v>
      </c>
      <c r="H804" s="920"/>
      <c r="I804" s="1"/>
      <c r="J804" s="1"/>
      <c r="K804" s="1"/>
      <c r="L804" s="1"/>
      <c r="M804" s="1"/>
    </row>
    <row r="805" ht="14.25" customHeight="1">
      <c r="A805" s="1"/>
      <c r="B805" s="11" t="s">
        <v>3084</v>
      </c>
      <c r="C805" s="1167"/>
      <c r="D805" s="1127"/>
      <c r="E805" s="1127"/>
      <c r="F805" s="2763"/>
      <c r="G805" s="1"/>
      <c r="H805" s="920"/>
      <c r="I805" s="1"/>
      <c r="J805" s="1"/>
      <c r="K805" s="1"/>
      <c r="L805" s="1"/>
      <c r="M805" s="1"/>
    </row>
    <row r="806" ht="14.25" customHeight="1">
      <c r="A806" s="1"/>
      <c r="B806" s="11"/>
      <c r="C806" s="1167"/>
      <c r="D806" s="1127"/>
      <c r="E806" s="1127"/>
      <c r="F806" s="2763"/>
      <c r="G806" s="1"/>
      <c r="H806" s="920"/>
      <c r="I806" s="1"/>
      <c r="J806" s="1"/>
      <c r="K806" s="1"/>
      <c r="L806" s="1"/>
      <c r="M806" s="1"/>
    </row>
    <row r="807" ht="14.25" customHeight="1">
      <c r="A807" s="1"/>
      <c r="B807" s="90" t="s">
        <v>120</v>
      </c>
      <c r="C807" s="1188">
        <v>42570.0</v>
      </c>
      <c r="D807" s="1127"/>
      <c r="E807" s="1127"/>
      <c r="F807" s="2763"/>
      <c r="G807" s="1"/>
      <c r="H807" s="920"/>
      <c r="I807" s="1"/>
      <c r="J807" s="1"/>
      <c r="K807" s="1"/>
      <c r="L807" s="1"/>
      <c r="M807" s="1"/>
    </row>
    <row r="808" ht="14.25" customHeight="1">
      <c r="A808" s="1"/>
      <c r="B808" s="305" t="s">
        <v>50</v>
      </c>
      <c r="C808" s="1188"/>
      <c r="D808" s="1127"/>
      <c r="E808" s="1127"/>
      <c r="F808" s="2763"/>
      <c r="G808" s="1"/>
      <c r="H808" s="920"/>
      <c r="I808" s="1"/>
      <c r="J808" s="1"/>
      <c r="K808" s="1"/>
      <c r="L808" s="1"/>
      <c r="M808" s="1"/>
    </row>
    <row r="809" ht="14.25" customHeight="1">
      <c r="A809" s="1"/>
      <c r="B809" s="1"/>
      <c r="C809" s="107"/>
      <c r="D809" s="184"/>
      <c r="E809" s="184"/>
      <c r="F809" s="108"/>
      <c r="G809" s="1"/>
      <c r="H809" s="920"/>
      <c r="I809" s="1"/>
      <c r="J809" s="1"/>
      <c r="K809" s="1"/>
      <c r="L809" s="1"/>
      <c r="M809" s="1"/>
    </row>
    <row r="810" ht="14.25" customHeight="1">
      <c r="A810" s="1"/>
      <c r="B810" s="1"/>
      <c r="C810" s="107"/>
      <c r="D810" s="184"/>
      <c r="E810" s="184"/>
      <c r="F810" s="108"/>
      <c r="G810" s="1"/>
      <c r="H810" s="920"/>
      <c r="I810" s="1"/>
      <c r="J810" s="1"/>
      <c r="K810" s="1"/>
      <c r="L810" s="1"/>
      <c r="M810" s="1"/>
    </row>
    <row r="811" ht="14.25" customHeight="1">
      <c r="A811" s="1"/>
      <c r="B811" s="258" t="s">
        <v>119</v>
      </c>
      <c r="C811" s="258" t="s">
        <v>47</v>
      </c>
      <c r="D811" s="184"/>
      <c r="E811" s="184"/>
      <c r="F811" s="108"/>
      <c r="G811" s="1"/>
      <c r="H811" s="920"/>
      <c r="I811" s="1"/>
      <c r="J811" s="1"/>
      <c r="K811" s="1"/>
      <c r="L811" s="1"/>
      <c r="M811" s="1"/>
    </row>
    <row r="812" ht="14.25" customHeight="1">
      <c r="A812" s="1"/>
      <c r="B812" s="1"/>
      <c r="C812" s="107"/>
      <c r="D812" s="184"/>
      <c r="E812" s="184"/>
      <c r="F812" s="108"/>
      <c r="G812" s="1"/>
      <c r="H812" s="920"/>
      <c r="I812" s="1"/>
      <c r="J812" s="1"/>
      <c r="K812" s="1"/>
      <c r="L812" s="1"/>
      <c r="M812" s="1"/>
    </row>
    <row r="813" ht="14.25" customHeight="1">
      <c r="A813" s="1"/>
      <c r="B813" s="1"/>
      <c r="C813" s="107"/>
      <c r="D813" s="1127"/>
      <c r="E813" s="1127"/>
      <c r="F813" s="755"/>
      <c r="G813" s="11"/>
      <c r="H813" s="920"/>
      <c r="I813" s="1"/>
      <c r="J813" s="1"/>
      <c r="K813" s="1"/>
      <c r="L813" s="1"/>
      <c r="M813" s="1"/>
    </row>
    <row r="814" ht="14.25" customHeight="1">
      <c r="A814" s="1"/>
      <c r="B814" s="343" t="s">
        <v>664</v>
      </c>
      <c r="C814" s="18"/>
      <c r="D814" s="18"/>
      <c r="E814" s="18"/>
      <c r="F814" s="19"/>
      <c r="G814" s="2760"/>
      <c r="H814" s="920"/>
      <c r="I814" s="1"/>
      <c r="J814" s="1"/>
      <c r="K814" s="1"/>
      <c r="L814" s="1"/>
      <c r="M814" s="1"/>
    </row>
    <row r="815" ht="14.25" customHeight="1">
      <c r="A815" s="1"/>
      <c r="B815" s="25" t="s">
        <v>1</v>
      </c>
      <c r="C815" s="410">
        <v>10.0</v>
      </c>
      <c r="D815" s="526">
        <v>50.0</v>
      </c>
      <c r="E815" s="2144"/>
      <c r="F815" s="1241" t="s">
        <v>5</v>
      </c>
      <c r="G815" s="1877" t="s">
        <v>3090</v>
      </c>
      <c r="H815" s="920"/>
      <c r="I815" s="1"/>
      <c r="J815" s="1"/>
      <c r="K815" s="1"/>
      <c r="L815" s="1"/>
      <c r="M815" s="1"/>
    </row>
    <row r="816" ht="14.25" customHeight="1">
      <c r="A816" s="1"/>
      <c r="B816" s="2764" t="s">
        <v>3092</v>
      </c>
      <c r="C816" s="2765">
        <v>16.0</v>
      </c>
      <c r="D816" s="2766">
        <f t="shared" ref="D816:D821" si="65">(C816*D815)/C815</f>
        <v>80</v>
      </c>
      <c r="E816" s="2767"/>
      <c r="F816" s="2768" t="s">
        <v>5</v>
      </c>
      <c r="G816" s="63"/>
      <c r="H816" s="920"/>
      <c r="I816" s="1"/>
      <c r="J816" s="1"/>
      <c r="K816" s="1"/>
      <c r="L816" s="1"/>
      <c r="M816" s="1"/>
    </row>
    <row r="817" ht="14.25" customHeight="1">
      <c r="A817" s="1"/>
      <c r="B817" s="157" t="s">
        <v>3095</v>
      </c>
      <c r="C817" s="174">
        <v>0.12</v>
      </c>
      <c r="D817" s="158">
        <f t="shared" si="65"/>
        <v>0.6</v>
      </c>
      <c r="E817" s="1998"/>
      <c r="F817" s="1055" t="s">
        <v>14</v>
      </c>
      <c r="G817" s="63"/>
      <c r="H817" s="920"/>
      <c r="I817" s="1"/>
      <c r="J817" s="1"/>
      <c r="K817" s="1"/>
      <c r="L817" s="1"/>
      <c r="M817" s="1"/>
    </row>
    <row r="818" ht="14.25" customHeight="1">
      <c r="A818" s="1"/>
      <c r="B818" s="157" t="s">
        <v>3098</v>
      </c>
      <c r="C818" s="174">
        <v>8.0</v>
      </c>
      <c r="D818" s="158">
        <f t="shared" si="65"/>
        <v>40</v>
      </c>
      <c r="E818" s="1998"/>
      <c r="F818" s="1055" t="s">
        <v>5</v>
      </c>
      <c r="G818" s="63"/>
      <c r="H818" s="920"/>
      <c r="I818" s="1"/>
      <c r="J818" s="1"/>
      <c r="K818" s="1"/>
      <c r="L818" s="1"/>
      <c r="M818" s="1"/>
    </row>
    <row r="819" ht="14.25" customHeight="1">
      <c r="A819" s="1"/>
      <c r="B819" s="262" t="s">
        <v>13</v>
      </c>
      <c r="C819" s="1360">
        <v>1.3</v>
      </c>
      <c r="D819" s="253">
        <f t="shared" si="65"/>
        <v>6.5</v>
      </c>
      <c r="E819" s="1760"/>
      <c r="F819" s="793" t="s">
        <v>14</v>
      </c>
      <c r="G819" s="63"/>
      <c r="H819" s="920"/>
      <c r="I819" s="1"/>
      <c r="J819" s="1"/>
      <c r="K819" s="1"/>
      <c r="L819" s="1"/>
      <c r="M819" s="1"/>
    </row>
    <row r="820" ht="14.25" customHeight="1">
      <c r="A820" s="1"/>
      <c r="B820" s="2764" t="s">
        <v>3100</v>
      </c>
      <c r="C820" s="2769">
        <v>10.0</v>
      </c>
      <c r="D820" s="2770">
        <f t="shared" si="65"/>
        <v>50</v>
      </c>
      <c r="E820" s="2771"/>
      <c r="F820" s="2772" t="s">
        <v>5</v>
      </c>
      <c r="G820" s="63"/>
      <c r="H820" s="920"/>
      <c r="I820" s="1"/>
      <c r="J820" s="1"/>
      <c r="K820" s="1"/>
      <c r="L820" s="1"/>
      <c r="M820" s="1"/>
    </row>
    <row r="821" ht="14.25" customHeight="1">
      <c r="A821" s="1"/>
      <c r="B821" s="208" t="s">
        <v>3101</v>
      </c>
      <c r="C821" s="167">
        <v>2.0</v>
      </c>
      <c r="D821" s="1362">
        <f t="shared" si="65"/>
        <v>10</v>
      </c>
      <c r="E821" s="2186"/>
      <c r="F821" s="1052" t="s">
        <v>14</v>
      </c>
      <c r="G821" s="102"/>
      <c r="H821" s="920"/>
      <c r="I821" s="1"/>
      <c r="J821" s="1"/>
      <c r="K821" s="1"/>
      <c r="L821" s="1"/>
      <c r="M821" s="1"/>
    </row>
    <row r="822" ht="14.25" customHeight="1">
      <c r="A822" s="1"/>
      <c r="B822" s="1"/>
      <c r="C822" s="107"/>
      <c r="D822" s="184"/>
      <c r="E822" s="184"/>
      <c r="F822" s="108"/>
      <c r="G822" s="1"/>
      <c r="H822" s="920"/>
      <c r="I822" s="1"/>
      <c r="J822" s="1"/>
      <c r="K822" s="1"/>
      <c r="L822" s="1"/>
      <c r="M822" s="1"/>
    </row>
    <row r="823" ht="14.25" customHeight="1">
      <c r="A823" s="1"/>
      <c r="B823" s="1"/>
      <c r="C823" s="107"/>
      <c r="D823" s="184"/>
      <c r="E823" s="184"/>
      <c r="F823" s="108"/>
      <c r="G823" s="1"/>
      <c r="H823" s="920"/>
      <c r="I823" s="1"/>
      <c r="J823" s="1"/>
      <c r="K823" s="1"/>
      <c r="L823" s="1"/>
      <c r="M823" s="1"/>
    </row>
    <row r="824" ht="14.25" customHeight="1">
      <c r="A824" s="1"/>
      <c r="B824" s="1"/>
      <c r="C824" s="107"/>
      <c r="D824" s="184"/>
      <c r="E824" s="184"/>
      <c r="F824" s="108"/>
      <c r="G824" s="1"/>
      <c r="H824" s="920"/>
      <c r="I824" s="1"/>
      <c r="J824" s="1"/>
      <c r="K824" s="1"/>
      <c r="L824" s="1"/>
      <c r="M824" s="1"/>
    </row>
    <row r="825" ht="14.25" customHeight="1">
      <c r="A825" s="1"/>
      <c r="B825" s="258" t="s">
        <v>119</v>
      </c>
      <c r="C825" s="258" t="s">
        <v>47</v>
      </c>
      <c r="D825" s="184"/>
      <c r="E825" s="184"/>
      <c r="F825" s="108"/>
      <c r="G825" s="1"/>
      <c r="H825" s="920"/>
      <c r="I825" s="1"/>
      <c r="J825" s="1"/>
      <c r="K825" s="1"/>
      <c r="L825" s="1"/>
      <c r="M825" s="1"/>
    </row>
    <row r="826" ht="15.0" customHeight="1">
      <c r="A826" s="1"/>
      <c r="B826" s="1"/>
      <c r="C826" s="107"/>
      <c r="D826" s="184"/>
      <c r="E826" s="184"/>
      <c r="F826" s="108"/>
      <c r="G826" s="1"/>
      <c r="H826" s="920"/>
      <c r="I826" s="1"/>
      <c r="J826" s="1"/>
      <c r="K826" s="1"/>
      <c r="L826" s="1"/>
      <c r="M826" s="1"/>
    </row>
    <row r="827" ht="14.25" customHeight="1">
      <c r="A827" s="1"/>
      <c r="B827" s="90" t="s">
        <v>120</v>
      </c>
      <c r="C827" s="1188">
        <v>42570.0</v>
      </c>
      <c r="D827" s="184"/>
      <c r="E827" s="184"/>
      <c r="F827" s="108"/>
      <c r="G827" s="1"/>
      <c r="H827" s="920"/>
      <c r="I827" s="1"/>
      <c r="J827" s="1"/>
      <c r="K827" s="1"/>
      <c r="L827" s="1"/>
      <c r="M827" s="1"/>
    </row>
    <row r="828" ht="14.25" customHeight="1">
      <c r="A828" s="1"/>
      <c r="B828" s="305" t="s">
        <v>50</v>
      </c>
      <c r="C828" s="1188"/>
      <c r="D828" s="184"/>
      <c r="E828" s="184"/>
      <c r="F828" s="108"/>
      <c r="G828" s="1"/>
      <c r="H828" s="920"/>
      <c r="I828" s="1"/>
      <c r="J828" s="1"/>
      <c r="K828" s="1"/>
      <c r="L828" s="1"/>
      <c r="M828" s="1"/>
    </row>
    <row r="829" ht="14.25" customHeight="1">
      <c r="A829" s="1"/>
      <c r="B829" s="1"/>
      <c r="C829" s="107"/>
      <c r="D829" s="184"/>
      <c r="E829" s="184"/>
      <c r="F829" s="108"/>
      <c r="G829" s="1"/>
      <c r="H829" s="920"/>
      <c r="I829" s="1"/>
      <c r="J829" s="1"/>
      <c r="K829" s="1"/>
      <c r="L829" s="1"/>
      <c r="M829" s="1"/>
    </row>
    <row r="830" ht="14.25" customHeight="1">
      <c r="A830" s="1"/>
      <c r="B830" s="1"/>
      <c r="C830" s="107"/>
      <c r="D830" s="184"/>
      <c r="E830" s="184"/>
      <c r="F830" s="108"/>
      <c r="G830" s="1"/>
      <c r="H830" s="920"/>
      <c r="I830" s="1"/>
      <c r="J830" s="1"/>
      <c r="K830" s="1"/>
      <c r="L830" s="1"/>
      <c r="M830" s="1"/>
    </row>
    <row r="831" ht="14.25" customHeight="1">
      <c r="A831" s="1"/>
      <c r="B831" s="1"/>
      <c r="C831" s="107"/>
      <c r="D831" s="184"/>
      <c r="E831" s="184"/>
      <c r="F831" s="108"/>
      <c r="G831" s="1"/>
      <c r="H831" s="920"/>
      <c r="I831" s="1"/>
      <c r="J831" s="1"/>
      <c r="K831" s="1"/>
      <c r="L831" s="1"/>
      <c r="M831" s="1"/>
    </row>
    <row r="832" ht="14.25" customHeight="1">
      <c r="A832" s="1"/>
      <c r="B832" s="343" t="s">
        <v>3105</v>
      </c>
      <c r="C832" s="18"/>
      <c r="D832" s="18"/>
      <c r="E832" s="18"/>
      <c r="F832" s="19"/>
      <c r="G832" s="2760"/>
      <c r="H832" s="920"/>
      <c r="I832" s="1"/>
      <c r="J832" s="1"/>
      <c r="K832" s="1"/>
      <c r="L832" s="1"/>
      <c r="M832" s="1"/>
    </row>
    <row r="833" ht="14.25" customHeight="1">
      <c r="A833" s="1"/>
      <c r="B833" s="163" t="s">
        <v>1</v>
      </c>
      <c r="C833" s="131">
        <v>15.0</v>
      </c>
      <c r="D833" s="164">
        <v>15.0</v>
      </c>
      <c r="E833" s="1731"/>
      <c r="F833" s="733" t="s">
        <v>5</v>
      </c>
      <c r="G833" s="2774" t="s">
        <v>3107</v>
      </c>
      <c r="H833" s="920"/>
      <c r="I833" s="1"/>
      <c r="J833" s="1"/>
      <c r="K833" s="1"/>
      <c r="L833" s="1"/>
      <c r="M833" s="1"/>
    </row>
    <row r="834" ht="14.25" customHeight="1">
      <c r="A834" s="1"/>
      <c r="B834" s="2775" t="s">
        <v>3110</v>
      </c>
      <c r="C834" s="2776">
        <v>27.0</v>
      </c>
      <c r="D834" s="2777">
        <f t="shared" ref="D834:D839" si="66">(C834*D833)/C833</f>
        <v>27</v>
      </c>
      <c r="E834" s="2778"/>
      <c r="F834" s="2779" t="s">
        <v>14</v>
      </c>
      <c r="H834" s="920"/>
      <c r="I834" s="1"/>
      <c r="J834" s="1"/>
      <c r="K834" s="1"/>
      <c r="L834" s="1"/>
      <c r="M834" s="1"/>
    </row>
    <row r="835" ht="14.25" customHeight="1">
      <c r="A835" s="1"/>
      <c r="B835" s="2775" t="s">
        <v>3112</v>
      </c>
      <c r="C835" s="2776">
        <v>54.0</v>
      </c>
      <c r="D835" s="2777">
        <f t="shared" si="66"/>
        <v>54</v>
      </c>
      <c r="E835" s="2778"/>
      <c r="F835" s="774" t="s">
        <v>14</v>
      </c>
      <c r="H835" s="920"/>
      <c r="I835" s="1"/>
      <c r="J835" s="1"/>
      <c r="K835" s="1"/>
      <c r="L835" s="1"/>
      <c r="M835" s="1"/>
    </row>
    <row r="836" ht="14.25" customHeight="1">
      <c r="A836" s="1"/>
      <c r="B836" s="177" t="s">
        <v>13</v>
      </c>
      <c r="C836" s="160">
        <v>5.4</v>
      </c>
      <c r="D836" s="2777">
        <f t="shared" si="66"/>
        <v>5.4</v>
      </c>
      <c r="E836" s="2778"/>
      <c r="F836" s="774" t="s">
        <v>14</v>
      </c>
      <c r="H836" s="920"/>
      <c r="I836" s="1"/>
      <c r="J836" s="1"/>
      <c r="K836" s="1"/>
      <c r="L836" s="1"/>
      <c r="M836" s="1"/>
    </row>
    <row r="837" ht="14.25" customHeight="1">
      <c r="A837" s="1"/>
      <c r="B837" s="177" t="s">
        <v>2104</v>
      </c>
      <c r="C837" s="160">
        <v>2.0</v>
      </c>
      <c r="D837" s="2777">
        <f t="shared" si="66"/>
        <v>2</v>
      </c>
      <c r="E837" s="2778"/>
      <c r="F837" s="774" t="s">
        <v>14</v>
      </c>
      <c r="H837" s="920"/>
      <c r="I837" s="1"/>
      <c r="J837" s="1"/>
      <c r="K837" s="1"/>
      <c r="L837" s="1"/>
      <c r="M837" s="1"/>
    </row>
    <row r="838" ht="14.25" customHeight="1">
      <c r="A838" s="1"/>
      <c r="B838" s="177" t="s">
        <v>1718</v>
      </c>
      <c r="C838" s="160">
        <v>45.0</v>
      </c>
      <c r="D838" s="2777">
        <f t="shared" si="66"/>
        <v>45</v>
      </c>
      <c r="E838" s="2778"/>
      <c r="F838" s="774" t="s">
        <v>18</v>
      </c>
      <c r="H838" s="920"/>
      <c r="I838" s="1"/>
      <c r="J838" s="1"/>
      <c r="K838" s="1"/>
      <c r="L838" s="1"/>
      <c r="M838" s="1"/>
    </row>
    <row r="839" ht="14.25" customHeight="1">
      <c r="A839" s="1"/>
      <c r="B839" s="208" t="s">
        <v>971</v>
      </c>
      <c r="C839" s="167">
        <v>300.0</v>
      </c>
      <c r="D839" s="2780">
        <f t="shared" si="66"/>
        <v>300</v>
      </c>
      <c r="E839" s="2781"/>
      <c r="F839" s="1052" t="s">
        <v>18</v>
      </c>
      <c r="G839" s="104"/>
      <c r="H839" s="920"/>
      <c r="I839" s="1"/>
      <c r="J839" s="1"/>
      <c r="K839" s="1"/>
      <c r="L839" s="1"/>
      <c r="M839" s="1"/>
    </row>
    <row r="840" ht="14.25" customHeight="1">
      <c r="A840" s="1"/>
      <c r="B840" s="1"/>
      <c r="C840" s="107"/>
      <c r="D840" s="184"/>
      <c r="E840" s="184"/>
      <c r="F840" s="108"/>
      <c r="G840" s="1"/>
      <c r="H840" s="920"/>
      <c r="I840" s="1"/>
      <c r="J840" s="1"/>
      <c r="K840" s="1"/>
      <c r="L840" s="1"/>
      <c r="M840" s="1"/>
    </row>
    <row r="841" ht="14.25" customHeight="1">
      <c r="A841" s="1"/>
      <c r="B841" s="2782" t="s">
        <v>3114</v>
      </c>
      <c r="C841" s="5"/>
      <c r="D841" s="5"/>
      <c r="E841" s="5"/>
      <c r="F841" s="5"/>
      <c r="G841" s="1"/>
      <c r="H841" s="920"/>
      <c r="I841" s="1"/>
      <c r="J841" s="1"/>
      <c r="K841" s="1"/>
      <c r="L841" s="1"/>
      <c r="M841" s="1"/>
    </row>
    <row r="842" ht="14.25" customHeight="1">
      <c r="A842" s="1"/>
      <c r="B842" s="63"/>
      <c r="G842" s="1"/>
      <c r="H842" s="920"/>
      <c r="I842" s="1"/>
      <c r="J842" s="1"/>
      <c r="K842" s="1"/>
      <c r="L842" s="1"/>
      <c r="M842" s="1"/>
    </row>
    <row r="843" ht="14.25" customHeight="1">
      <c r="A843" s="1"/>
      <c r="B843" s="102"/>
      <c r="C843" s="104"/>
      <c r="D843" s="104"/>
      <c r="E843" s="104"/>
      <c r="F843" s="104"/>
      <c r="G843" s="1"/>
      <c r="H843" s="920"/>
      <c r="I843" s="1"/>
      <c r="J843" s="1"/>
      <c r="K843" s="1"/>
      <c r="L843" s="1"/>
      <c r="M843" s="1"/>
    </row>
    <row r="844" ht="14.25" customHeight="1">
      <c r="A844" s="1"/>
      <c r="B844" s="1"/>
      <c r="C844" s="107"/>
      <c r="D844" s="184"/>
      <c r="E844" s="184"/>
      <c r="F844" s="108"/>
      <c r="G844" s="1"/>
      <c r="H844" s="920"/>
      <c r="I844" s="1"/>
      <c r="J844" s="1"/>
      <c r="K844" s="1"/>
      <c r="L844" s="1"/>
      <c r="M844" s="1"/>
    </row>
    <row r="845" ht="14.25" customHeight="1">
      <c r="A845" s="1"/>
      <c r="B845" s="90" t="s">
        <v>120</v>
      </c>
      <c r="C845" s="1188">
        <v>42581.0</v>
      </c>
      <c r="D845" s="184"/>
      <c r="E845" s="184"/>
      <c r="F845" s="108"/>
      <c r="G845" s="1"/>
      <c r="H845" s="920"/>
      <c r="I845" s="1"/>
      <c r="J845" s="1"/>
      <c r="K845" s="1"/>
      <c r="L845" s="1"/>
      <c r="M845" s="1"/>
    </row>
    <row r="846" ht="14.25" customHeight="1">
      <c r="A846" s="1"/>
      <c r="B846" s="305" t="s">
        <v>50</v>
      </c>
      <c r="C846" s="1188">
        <v>42759.0</v>
      </c>
      <c r="D846" s="184"/>
      <c r="E846" s="184"/>
      <c r="F846" s="108"/>
      <c r="G846" s="1"/>
      <c r="H846" s="920"/>
      <c r="I846" s="1"/>
      <c r="J846" s="1"/>
      <c r="K846" s="1"/>
      <c r="L846" s="1"/>
      <c r="M846" s="1"/>
    </row>
    <row r="847" ht="14.25" customHeight="1">
      <c r="A847" s="1"/>
      <c r="B847" s="1"/>
      <c r="C847" s="107"/>
      <c r="D847" s="184"/>
      <c r="E847" s="184"/>
      <c r="F847" s="108"/>
      <c r="G847" s="1"/>
      <c r="H847" s="920"/>
      <c r="I847" s="1"/>
      <c r="J847" s="1"/>
      <c r="K847" s="1"/>
      <c r="L847" s="1"/>
      <c r="M847" s="1"/>
    </row>
    <row r="848" ht="14.25" customHeight="1">
      <c r="A848" s="1"/>
      <c r="B848" s="258" t="s">
        <v>119</v>
      </c>
      <c r="C848" s="258" t="s">
        <v>47</v>
      </c>
      <c r="D848" s="184"/>
      <c r="E848" s="184"/>
      <c r="F848" s="108"/>
      <c r="G848" s="1"/>
      <c r="H848" s="920"/>
      <c r="I848" s="1"/>
      <c r="J848" s="1"/>
      <c r="K848" s="1"/>
      <c r="L848" s="1"/>
      <c r="M848" s="1"/>
    </row>
    <row r="849" ht="14.25" customHeight="1">
      <c r="A849" s="1"/>
      <c r="B849" s="1"/>
      <c r="C849" s="107"/>
      <c r="D849" s="184"/>
      <c r="E849" s="184"/>
      <c r="F849" s="108"/>
      <c r="G849" s="1"/>
      <c r="H849" s="920"/>
      <c r="I849" s="1"/>
      <c r="J849" s="1"/>
      <c r="K849" s="1"/>
      <c r="L849" s="1"/>
      <c r="M849" s="1"/>
    </row>
    <row r="850" ht="14.25" customHeight="1">
      <c r="A850" s="1"/>
      <c r="B850" s="1"/>
      <c r="C850" s="107"/>
      <c r="D850" s="184"/>
      <c r="E850" s="184"/>
      <c r="F850" s="108"/>
      <c r="G850" s="1"/>
      <c r="H850" s="920"/>
      <c r="I850" s="1"/>
      <c r="J850" s="1"/>
      <c r="K850" s="1"/>
      <c r="L850" s="1"/>
      <c r="M850" s="1"/>
    </row>
    <row r="851" ht="15.0" customHeight="1">
      <c r="A851" s="1"/>
      <c r="B851" s="107"/>
      <c r="C851" s="107"/>
      <c r="D851" s="184"/>
      <c r="E851" s="184"/>
      <c r="F851" s="108"/>
      <c r="G851" s="1"/>
      <c r="H851" s="920"/>
      <c r="I851" s="1"/>
      <c r="J851" s="1"/>
      <c r="K851" s="1"/>
      <c r="L851" s="1"/>
      <c r="M851" s="1"/>
    </row>
    <row r="852" ht="14.25" customHeight="1">
      <c r="A852" s="1"/>
      <c r="C852" s="107"/>
      <c r="D852" s="184"/>
      <c r="E852" s="184"/>
      <c r="F852" s="108"/>
      <c r="G852" s="1"/>
      <c r="H852" s="920"/>
      <c r="I852" s="1"/>
      <c r="J852" s="1"/>
      <c r="K852" s="1"/>
      <c r="L852" s="1"/>
      <c r="M852" s="1"/>
    </row>
    <row r="853" ht="14.25" customHeight="1">
      <c r="A853" s="1"/>
      <c r="B853" s="1"/>
      <c r="C853" s="107"/>
      <c r="D853" s="184"/>
      <c r="E853" s="184"/>
      <c r="F853" s="108"/>
      <c r="G853" s="1"/>
      <c r="H853" s="920"/>
      <c r="I853" s="1"/>
      <c r="J853" s="1"/>
      <c r="K853" s="1"/>
      <c r="L853" s="1"/>
      <c r="M853" s="1"/>
    </row>
    <row r="854" ht="14.25" customHeight="1">
      <c r="A854" s="1"/>
      <c r="B854" s="306" t="s">
        <v>900</v>
      </c>
      <c r="C854" s="5"/>
      <c r="D854" s="5"/>
      <c r="E854" s="5"/>
      <c r="F854" s="6"/>
      <c r="G854" s="2760"/>
      <c r="H854" s="920"/>
      <c r="I854" s="1"/>
      <c r="J854" s="1"/>
      <c r="K854" s="1"/>
      <c r="L854" s="1"/>
      <c r="M854" s="1"/>
    </row>
    <row r="855" ht="15.0" customHeight="1">
      <c r="A855" s="1"/>
      <c r="B855" s="2783" t="s">
        <v>1</v>
      </c>
      <c r="C855" s="2784">
        <v>220.0</v>
      </c>
      <c r="D855" s="2785">
        <v>250.0</v>
      </c>
      <c r="E855" s="2786"/>
      <c r="F855" s="2787" t="s">
        <v>1342</v>
      </c>
      <c r="G855" s="655" t="s">
        <v>3128</v>
      </c>
      <c r="H855" s="920"/>
      <c r="I855" s="1"/>
      <c r="J855" s="1"/>
      <c r="K855" s="1"/>
      <c r="L855" s="1"/>
      <c r="M855" s="1"/>
    </row>
    <row r="856" ht="14.25" customHeight="1">
      <c r="A856" s="1"/>
      <c r="B856" s="2788" t="s">
        <v>2104</v>
      </c>
      <c r="C856" s="2789">
        <v>1.5</v>
      </c>
      <c r="D856" s="2790">
        <f t="shared" ref="D856:D863" si="67">(C856*D855)/C855</f>
        <v>1.704545455</v>
      </c>
      <c r="E856" s="2792"/>
      <c r="F856" s="2794" t="s">
        <v>14</v>
      </c>
      <c r="G856" s="63"/>
      <c r="H856" s="920"/>
      <c r="I856" s="1"/>
      <c r="J856" s="1"/>
      <c r="K856" s="1"/>
      <c r="L856" s="1"/>
      <c r="M856" s="1"/>
    </row>
    <row r="857" ht="14.25" customHeight="1">
      <c r="A857" s="1"/>
      <c r="B857" s="177" t="s">
        <v>3135</v>
      </c>
      <c r="C857" s="160">
        <v>0.03</v>
      </c>
      <c r="D857" s="2796">
        <f t="shared" si="67"/>
        <v>0.03409090909</v>
      </c>
      <c r="E857" s="2797"/>
      <c r="F857" s="774" t="s">
        <v>14</v>
      </c>
      <c r="G857" s="63"/>
      <c r="H857" s="920"/>
      <c r="I857" s="1"/>
      <c r="J857" s="1"/>
      <c r="K857" s="1"/>
      <c r="L857" s="1"/>
      <c r="M857" s="1"/>
    </row>
    <row r="858" ht="14.25" customHeight="1">
      <c r="A858" s="1"/>
      <c r="B858" s="177" t="s">
        <v>1321</v>
      </c>
      <c r="C858" s="160">
        <v>3.0</v>
      </c>
      <c r="D858" s="2796">
        <f t="shared" si="67"/>
        <v>3.409090909</v>
      </c>
      <c r="E858" s="2797"/>
      <c r="F858" s="774" t="s">
        <v>18</v>
      </c>
      <c r="G858" s="63"/>
      <c r="H858" s="920"/>
      <c r="I858" s="1"/>
      <c r="J858" s="1"/>
      <c r="K858" s="1"/>
      <c r="L858" s="1"/>
      <c r="M858" s="1"/>
    </row>
    <row r="859" ht="14.25" customHeight="1">
      <c r="A859" s="1"/>
      <c r="B859" s="93" t="s">
        <v>17</v>
      </c>
      <c r="C859" s="160">
        <v>15.0</v>
      </c>
      <c r="D859" s="2796">
        <f t="shared" si="67"/>
        <v>17.04545455</v>
      </c>
      <c r="E859" s="2797"/>
      <c r="F859" s="774" t="s">
        <v>18</v>
      </c>
      <c r="G859" s="63"/>
      <c r="H859" s="920"/>
      <c r="I859" s="1"/>
      <c r="J859" s="1"/>
      <c r="K859" s="1"/>
      <c r="L859" s="1"/>
      <c r="M859" s="1"/>
    </row>
    <row r="860" ht="14.25" customHeight="1">
      <c r="A860" s="1"/>
      <c r="B860" s="93" t="s">
        <v>15</v>
      </c>
      <c r="C860" s="160">
        <v>0.2</v>
      </c>
      <c r="D860" s="2796">
        <f t="shared" si="67"/>
        <v>0.2272727273</v>
      </c>
      <c r="E860" s="2797"/>
      <c r="F860" s="774" t="s">
        <v>5</v>
      </c>
      <c r="G860" s="63"/>
      <c r="H860" s="920"/>
      <c r="I860" s="1"/>
      <c r="J860" s="1"/>
      <c r="K860" s="1"/>
      <c r="L860" s="1"/>
      <c r="M860" s="1"/>
    </row>
    <row r="861" ht="14.25" customHeight="1">
      <c r="A861" s="1"/>
      <c r="B861" s="93" t="s">
        <v>1210</v>
      </c>
      <c r="C861" s="195">
        <v>0.18</v>
      </c>
      <c r="D861" s="1797">
        <f t="shared" si="67"/>
        <v>0.2045454545</v>
      </c>
      <c r="E861" s="1798"/>
      <c r="F861" s="165" t="s">
        <v>14</v>
      </c>
      <c r="G861" s="63"/>
      <c r="H861" s="920"/>
      <c r="I861" s="1"/>
      <c r="J861" s="1"/>
      <c r="K861" s="1"/>
      <c r="L861" s="1"/>
      <c r="M861" s="1"/>
    </row>
    <row r="862" ht="14.25" customHeight="1">
      <c r="A862" s="1"/>
      <c r="B862" s="93" t="s">
        <v>3139</v>
      </c>
      <c r="C862" s="195">
        <v>0.5</v>
      </c>
      <c r="D862" s="1797">
        <f t="shared" si="67"/>
        <v>0.5681818182</v>
      </c>
      <c r="E862" s="1798"/>
      <c r="F862" s="165" t="s">
        <v>5</v>
      </c>
      <c r="G862" s="63"/>
      <c r="H862" s="920"/>
      <c r="I862" s="1"/>
      <c r="J862" s="1"/>
      <c r="K862" s="1"/>
      <c r="L862" s="1"/>
      <c r="M862" s="1"/>
    </row>
    <row r="863" ht="14.25" customHeight="1">
      <c r="A863" s="1"/>
      <c r="B863" s="105" t="s">
        <v>3140</v>
      </c>
      <c r="C863" s="200">
        <v>4.5</v>
      </c>
      <c r="D863" s="2799">
        <f t="shared" si="67"/>
        <v>5.113636364</v>
      </c>
      <c r="E863" s="2800"/>
      <c r="F863" s="172" t="s">
        <v>14</v>
      </c>
      <c r="G863" s="102"/>
      <c r="H863" s="920"/>
      <c r="I863" s="1"/>
      <c r="J863" s="1"/>
      <c r="K863" s="1"/>
      <c r="L863" s="1"/>
      <c r="M863" s="1"/>
    </row>
    <row r="864" ht="14.25" customHeight="1">
      <c r="A864" s="1"/>
      <c r="B864" s="1"/>
      <c r="C864" s="107"/>
      <c r="D864" s="184"/>
      <c r="E864" s="184"/>
      <c r="F864" s="108"/>
      <c r="G864" s="1"/>
      <c r="H864" s="920"/>
      <c r="I864" s="1"/>
      <c r="J864" s="1"/>
      <c r="K864" s="1"/>
      <c r="L864" s="1"/>
      <c r="M864" s="1"/>
    </row>
    <row r="865" ht="14.25" customHeight="1">
      <c r="A865" s="1"/>
      <c r="B865" s="2802" t="s">
        <v>3142</v>
      </c>
      <c r="C865" s="5"/>
      <c r="D865" s="5"/>
      <c r="E865" s="5"/>
      <c r="F865" s="5"/>
      <c r="G865" s="1"/>
      <c r="H865" s="920"/>
      <c r="I865" s="1"/>
      <c r="J865" s="1"/>
      <c r="K865" s="1"/>
      <c r="L865" s="1"/>
      <c r="M865" s="1"/>
    </row>
    <row r="866" ht="14.25" customHeight="1">
      <c r="A866" s="1"/>
      <c r="B866" s="102"/>
      <c r="C866" s="104"/>
      <c r="D866" s="104"/>
      <c r="E866" s="104"/>
      <c r="F866" s="104"/>
      <c r="G866" s="1"/>
      <c r="H866" s="920"/>
      <c r="I866" s="1"/>
      <c r="J866" s="1"/>
      <c r="K866" s="1"/>
      <c r="L866" s="1"/>
      <c r="M866" s="1"/>
    </row>
    <row r="867" ht="14.25" customHeight="1">
      <c r="A867" s="1"/>
      <c r="B867" s="90" t="s">
        <v>120</v>
      </c>
      <c r="C867" s="1188">
        <v>42581.0</v>
      </c>
      <c r="D867" s="2804"/>
      <c r="E867" s="2804"/>
      <c r="F867" s="108"/>
      <c r="G867" s="1"/>
      <c r="H867" s="920"/>
      <c r="I867" s="1"/>
      <c r="J867" s="1"/>
      <c r="K867" s="1"/>
      <c r="L867" s="1"/>
      <c r="M867" s="1"/>
    </row>
    <row r="868" ht="14.25" customHeight="1">
      <c r="A868" s="1"/>
      <c r="B868" s="305" t="s">
        <v>50</v>
      </c>
      <c r="C868" s="1188">
        <v>42761.0</v>
      </c>
      <c r="D868" s="1314"/>
      <c r="E868" s="1314"/>
      <c r="F868" s="1315"/>
      <c r="G868" s="1"/>
      <c r="H868" s="920"/>
      <c r="I868" s="1"/>
      <c r="J868" s="1"/>
      <c r="K868" s="1"/>
      <c r="L868" s="1"/>
      <c r="M868" s="1"/>
    </row>
    <row r="869" ht="14.25" customHeight="1">
      <c r="A869" s="1"/>
      <c r="B869" s="1"/>
      <c r="C869" s="107"/>
      <c r="D869" s="184"/>
      <c r="E869" s="184"/>
      <c r="F869" s="108"/>
      <c r="G869" s="1"/>
      <c r="H869" s="920"/>
      <c r="I869" s="1"/>
      <c r="J869" s="1"/>
      <c r="K869" s="1"/>
      <c r="L869" s="1"/>
      <c r="M869" s="1"/>
    </row>
    <row r="870" ht="14.25" customHeight="1">
      <c r="A870" s="1"/>
      <c r="B870" s="258" t="s">
        <v>119</v>
      </c>
      <c r="C870" s="258" t="s">
        <v>47</v>
      </c>
      <c r="D870" s="184"/>
      <c r="E870" s="184"/>
      <c r="F870" s="108"/>
      <c r="G870" s="1"/>
      <c r="H870" s="920"/>
      <c r="I870" s="1"/>
      <c r="J870" s="1"/>
      <c r="K870" s="1"/>
      <c r="L870" s="1"/>
      <c r="M870" s="1"/>
    </row>
    <row r="871" ht="14.25" customHeight="1">
      <c r="A871" s="1"/>
      <c r="B871" s="1"/>
      <c r="C871" s="107"/>
      <c r="D871" s="184"/>
      <c r="E871" s="184"/>
      <c r="F871" s="108"/>
      <c r="G871" s="1"/>
      <c r="H871" s="920"/>
      <c r="I871" s="1"/>
      <c r="J871" s="1"/>
      <c r="K871" s="1"/>
      <c r="L871" s="1"/>
      <c r="M871" s="1"/>
    </row>
    <row r="872" ht="14.25" customHeight="1">
      <c r="A872" s="1"/>
      <c r="B872" s="1"/>
      <c r="C872" s="107"/>
      <c r="D872" s="184"/>
      <c r="E872" s="184"/>
      <c r="F872" s="108"/>
      <c r="G872" s="1"/>
      <c r="H872" s="920"/>
      <c r="I872" s="1"/>
      <c r="J872" s="1"/>
      <c r="K872" s="1"/>
      <c r="L872" s="1"/>
      <c r="M872" s="1"/>
    </row>
    <row r="873" ht="14.25" customHeight="1">
      <c r="A873" s="1"/>
      <c r="B873" s="1"/>
      <c r="C873" s="107"/>
      <c r="D873" s="184"/>
      <c r="E873" s="184"/>
      <c r="F873" s="108"/>
      <c r="G873" s="1"/>
      <c r="H873" s="920"/>
      <c r="I873" s="1"/>
      <c r="J873" s="1"/>
      <c r="K873" s="1"/>
      <c r="L873" s="1"/>
      <c r="M873" s="1"/>
    </row>
    <row r="874" ht="14.25" customHeight="1">
      <c r="A874" s="1"/>
      <c r="B874" s="1"/>
      <c r="C874" s="107"/>
      <c r="D874" s="184"/>
      <c r="E874" s="184"/>
      <c r="F874" s="108"/>
      <c r="G874" s="1"/>
      <c r="H874" s="920"/>
      <c r="I874" s="1"/>
      <c r="J874" s="1"/>
      <c r="K874" s="1"/>
      <c r="L874" s="1"/>
      <c r="M874" s="1"/>
    </row>
    <row r="875" ht="14.25" customHeight="1">
      <c r="A875" s="1"/>
      <c r="B875" s="209" t="s">
        <v>1078</v>
      </c>
      <c r="C875" s="18"/>
      <c r="D875" s="18"/>
      <c r="E875" s="18"/>
      <c r="F875" s="19"/>
      <c r="G875" s="2807"/>
      <c r="H875" s="920"/>
      <c r="I875" s="1"/>
      <c r="J875" s="1"/>
      <c r="K875" s="1"/>
      <c r="L875" s="1"/>
      <c r="M875" s="1"/>
    </row>
    <row r="876" ht="14.25" customHeight="1">
      <c r="A876" s="1"/>
      <c r="B876" s="119" t="s">
        <v>1</v>
      </c>
      <c r="C876" s="238">
        <v>100.0</v>
      </c>
      <c r="D876" s="129">
        <v>230.0</v>
      </c>
      <c r="E876" s="1583"/>
      <c r="F876" s="176" t="s">
        <v>5</v>
      </c>
      <c r="G876" s="63"/>
      <c r="H876" s="920"/>
      <c r="I876" s="1"/>
      <c r="J876" s="1"/>
      <c r="K876" s="1"/>
      <c r="L876" s="1"/>
      <c r="M876" s="1"/>
    </row>
    <row r="877" ht="14.25" customHeight="1">
      <c r="A877" s="1"/>
      <c r="B877" s="93" t="s">
        <v>15</v>
      </c>
      <c r="C877" s="195">
        <v>100.0</v>
      </c>
      <c r="D877" s="521">
        <f t="shared" ref="D877:D883" si="68">(C877*D876)/C876</f>
        <v>230</v>
      </c>
      <c r="E877" s="1653"/>
      <c r="F877" s="165" t="s">
        <v>5</v>
      </c>
      <c r="G877" s="63"/>
      <c r="H877" s="920"/>
      <c r="I877" s="1"/>
      <c r="J877" s="1"/>
      <c r="K877" s="1"/>
      <c r="L877" s="1"/>
      <c r="M877" s="1"/>
    </row>
    <row r="878" ht="14.25" customHeight="1">
      <c r="A878" s="1"/>
      <c r="B878" s="93" t="s">
        <v>1952</v>
      </c>
      <c r="C878" s="195">
        <v>9.0</v>
      </c>
      <c r="D878" s="521">
        <f t="shared" si="68"/>
        <v>20.7</v>
      </c>
      <c r="E878" s="1653"/>
      <c r="F878" s="165" t="s">
        <v>14</v>
      </c>
      <c r="G878" s="63"/>
      <c r="H878" s="920"/>
      <c r="I878" s="1"/>
      <c r="J878" s="1"/>
      <c r="K878" s="1"/>
      <c r="L878" s="1"/>
      <c r="M878" s="1"/>
    </row>
    <row r="879" ht="14.25" customHeight="1">
      <c r="A879" s="1"/>
      <c r="B879" s="93" t="s">
        <v>2971</v>
      </c>
      <c r="C879" s="195">
        <v>0.75</v>
      </c>
      <c r="D879" s="521">
        <f t="shared" si="68"/>
        <v>1.725</v>
      </c>
      <c r="E879" s="1653"/>
      <c r="F879" s="165" t="s">
        <v>5</v>
      </c>
      <c r="G879" s="63"/>
      <c r="H879" s="920"/>
      <c r="I879" s="1"/>
      <c r="J879" s="1"/>
      <c r="K879" s="1"/>
      <c r="L879" s="1"/>
      <c r="M879" s="1"/>
    </row>
    <row r="880" ht="14.25" customHeight="1">
      <c r="A880" s="1"/>
      <c r="B880" s="93" t="s">
        <v>2006</v>
      </c>
      <c r="C880" s="195">
        <v>1500.0</v>
      </c>
      <c r="D880" s="521">
        <f t="shared" si="68"/>
        <v>3450</v>
      </c>
      <c r="E880" s="1653"/>
      <c r="F880" s="165" t="s">
        <v>18</v>
      </c>
      <c r="G880" s="63"/>
      <c r="H880" s="920"/>
      <c r="I880" s="1"/>
      <c r="J880" s="1"/>
      <c r="K880" s="1"/>
      <c r="L880" s="1"/>
      <c r="M880" s="1"/>
    </row>
    <row r="881" ht="14.25" customHeight="1">
      <c r="A881" s="1"/>
      <c r="B881" s="93" t="s">
        <v>13</v>
      </c>
      <c r="C881" s="195">
        <v>20.0</v>
      </c>
      <c r="D881" s="521">
        <f t="shared" si="68"/>
        <v>46</v>
      </c>
      <c r="E881" s="1653"/>
      <c r="F881" s="165" t="s">
        <v>14</v>
      </c>
      <c r="G881" s="63"/>
      <c r="H881" s="920"/>
      <c r="I881" s="1"/>
      <c r="J881" s="1"/>
      <c r="K881" s="1"/>
      <c r="L881" s="1"/>
      <c r="M881" s="1"/>
    </row>
    <row r="882" ht="14.25" customHeight="1">
      <c r="A882" s="1"/>
      <c r="B882" s="93" t="s">
        <v>17</v>
      </c>
      <c r="C882" s="195">
        <v>100.0</v>
      </c>
      <c r="D882" s="521">
        <f t="shared" si="68"/>
        <v>230</v>
      </c>
      <c r="E882" s="1653"/>
      <c r="F882" s="165" t="s">
        <v>18</v>
      </c>
      <c r="G882" s="63"/>
      <c r="H882" s="920"/>
      <c r="I882" s="1"/>
      <c r="J882" s="1"/>
      <c r="K882" s="1"/>
      <c r="L882" s="1"/>
      <c r="M882" s="1"/>
    </row>
    <row r="883" ht="14.25" customHeight="1">
      <c r="A883" s="1"/>
      <c r="B883" s="105" t="s">
        <v>66</v>
      </c>
      <c r="C883" s="200">
        <v>25.0</v>
      </c>
      <c r="D883" s="517">
        <f t="shared" si="68"/>
        <v>57.5</v>
      </c>
      <c r="E883" s="1656"/>
      <c r="F883" s="172" t="s">
        <v>18</v>
      </c>
      <c r="G883" s="102"/>
      <c r="H883" s="920"/>
      <c r="I883" s="1"/>
      <c r="J883" s="1"/>
      <c r="K883" s="1"/>
      <c r="L883" s="1"/>
      <c r="M883" s="1"/>
    </row>
    <row r="884" ht="14.25" customHeight="1">
      <c r="A884" s="1"/>
      <c r="B884" s="1"/>
      <c r="C884" s="107"/>
      <c r="D884" s="184"/>
      <c r="E884" s="184"/>
      <c r="F884" s="108"/>
      <c r="G884" s="1"/>
      <c r="H884" s="920"/>
      <c r="I884" s="1"/>
      <c r="J884" s="1"/>
      <c r="K884" s="1"/>
      <c r="L884" s="1"/>
      <c r="M884" s="1"/>
    </row>
    <row r="885" ht="14.25" customHeight="1">
      <c r="A885" s="1"/>
      <c r="B885" s="1"/>
      <c r="C885" s="107"/>
      <c r="D885" s="184"/>
      <c r="E885" s="184"/>
      <c r="F885" s="108"/>
      <c r="G885" s="1"/>
      <c r="H885" s="920"/>
      <c r="I885" s="1"/>
      <c r="J885" s="1"/>
      <c r="K885" s="1"/>
      <c r="L885" s="1"/>
      <c r="M885" s="1"/>
    </row>
    <row r="886" ht="14.25" customHeight="1">
      <c r="A886" s="1"/>
      <c r="B886" s="258" t="s">
        <v>119</v>
      </c>
      <c r="C886" s="258" t="s">
        <v>47</v>
      </c>
      <c r="D886" s="184"/>
      <c r="E886" s="184"/>
      <c r="F886" s="108"/>
      <c r="G886" s="1"/>
      <c r="H886" s="920"/>
      <c r="I886" s="1"/>
      <c r="J886" s="1"/>
      <c r="K886" s="1"/>
      <c r="L886" s="1"/>
      <c r="M886" s="1"/>
    </row>
    <row r="887" ht="14.25" customHeight="1">
      <c r="A887" s="1"/>
      <c r="B887" s="1"/>
      <c r="C887" s="107"/>
      <c r="D887" s="184"/>
      <c r="E887" s="184"/>
      <c r="F887" s="108"/>
      <c r="G887" s="1"/>
      <c r="H887" s="920"/>
      <c r="I887" s="1"/>
      <c r="J887" s="1"/>
      <c r="K887" s="1"/>
      <c r="L887" s="1"/>
      <c r="M887" s="1"/>
    </row>
    <row r="888" ht="14.25" customHeight="1">
      <c r="A888" s="1"/>
      <c r="B888" s="1"/>
      <c r="C888" s="107"/>
      <c r="D888" s="184"/>
      <c r="E888" s="184"/>
      <c r="F888" s="108"/>
      <c r="G888" s="1"/>
      <c r="H888" s="920"/>
      <c r="I888" s="1"/>
      <c r="J888" s="1"/>
      <c r="K888" s="1"/>
      <c r="L888" s="1"/>
      <c r="M888" s="1"/>
    </row>
    <row r="889" ht="14.25" customHeight="1">
      <c r="A889" s="1"/>
      <c r="B889" s="1"/>
      <c r="C889" s="107"/>
      <c r="D889" s="184"/>
      <c r="E889" s="184"/>
      <c r="F889" s="108"/>
      <c r="G889" s="1"/>
      <c r="H889" s="920"/>
      <c r="I889" s="1"/>
      <c r="J889" s="1"/>
      <c r="K889" s="1"/>
      <c r="L889" s="1"/>
      <c r="M889" s="1"/>
    </row>
    <row r="890" ht="14.25" customHeight="1">
      <c r="A890" s="1"/>
      <c r="B890" s="1"/>
      <c r="C890" s="107"/>
      <c r="D890" s="184"/>
      <c r="E890" s="184"/>
      <c r="F890" s="108"/>
      <c r="G890" s="1"/>
      <c r="H890" s="920"/>
      <c r="I890" s="1"/>
      <c r="J890" s="1"/>
      <c r="K890" s="1"/>
      <c r="L890" s="1"/>
      <c r="M890" s="1"/>
    </row>
    <row r="891" ht="14.25" customHeight="1">
      <c r="A891" s="1"/>
      <c r="B891" s="1"/>
      <c r="C891" s="107"/>
      <c r="D891" s="184"/>
      <c r="E891" s="184"/>
      <c r="F891" s="108"/>
      <c r="G891" s="1"/>
      <c r="H891" s="920"/>
      <c r="I891" s="1"/>
      <c r="J891" s="1"/>
      <c r="K891" s="1"/>
      <c r="L891" s="1"/>
      <c r="M891" s="1"/>
    </row>
    <row r="892" ht="14.25" customHeight="1">
      <c r="A892" s="1"/>
      <c r="B892" s="1"/>
      <c r="C892" s="107"/>
      <c r="D892" s="184"/>
      <c r="E892" s="184"/>
      <c r="F892" s="108"/>
      <c r="G892" s="1"/>
      <c r="H892" s="920"/>
      <c r="I892" s="1"/>
      <c r="J892" s="1"/>
      <c r="K892" s="1"/>
      <c r="L892" s="1"/>
      <c r="M892" s="1"/>
    </row>
    <row r="893" ht="14.25" customHeight="1">
      <c r="A893" s="1"/>
      <c r="B893" s="1"/>
      <c r="C893" s="107"/>
      <c r="D893" s="184"/>
      <c r="E893" s="184"/>
      <c r="F893" s="108"/>
      <c r="G893" s="1"/>
      <c r="H893" s="920"/>
      <c r="I893" s="1"/>
      <c r="J893" s="1"/>
      <c r="K893" s="1"/>
      <c r="L893" s="1"/>
      <c r="M893" s="1"/>
    </row>
    <row r="894" ht="14.25" customHeight="1">
      <c r="A894" s="1"/>
      <c r="B894" s="1"/>
      <c r="C894" s="107"/>
      <c r="D894" s="184"/>
      <c r="E894" s="184"/>
      <c r="F894" s="108"/>
      <c r="G894" s="1"/>
      <c r="H894" s="920"/>
      <c r="I894" s="1"/>
      <c r="J894" s="1"/>
      <c r="K894" s="1"/>
      <c r="L894" s="1"/>
      <c r="M894" s="1"/>
    </row>
    <row r="895" ht="14.25" customHeight="1">
      <c r="A895" s="1"/>
      <c r="B895" s="511" t="s">
        <v>1086</v>
      </c>
      <c r="C895" s="18"/>
      <c r="D895" s="18"/>
      <c r="E895" s="18"/>
      <c r="F895" s="19"/>
      <c r="G895" s="323"/>
      <c r="H895" s="920"/>
      <c r="I895" s="1"/>
      <c r="J895" s="1"/>
      <c r="K895" s="1"/>
      <c r="L895" s="1"/>
      <c r="M895" s="1"/>
    </row>
    <row r="896" ht="14.25" customHeight="1">
      <c r="A896" s="1"/>
      <c r="B896" s="2814" t="s">
        <v>1</v>
      </c>
      <c r="C896" s="1984">
        <v>100.0</v>
      </c>
      <c r="D896" s="2815">
        <v>5.0</v>
      </c>
      <c r="E896" s="2816"/>
      <c r="F896" s="593" t="s">
        <v>190</v>
      </c>
      <c r="G896" s="63"/>
      <c r="H896" s="920"/>
      <c r="I896" s="1"/>
      <c r="J896" s="1"/>
      <c r="K896" s="1"/>
      <c r="L896" s="1"/>
      <c r="M896" s="1"/>
    </row>
    <row r="897" ht="14.25" customHeight="1">
      <c r="A897" s="1"/>
      <c r="B897" s="350" t="s">
        <v>15</v>
      </c>
      <c r="C897" s="23">
        <v>130.0</v>
      </c>
      <c r="D897" s="201">
        <f t="shared" ref="D897:D903" si="69">(C897*D896)/C896</f>
        <v>6.5</v>
      </c>
      <c r="E897" s="1735"/>
      <c r="F897" s="36" t="s">
        <v>190</v>
      </c>
      <c r="G897" s="63"/>
      <c r="H897" s="920"/>
      <c r="I897" s="1"/>
      <c r="J897" s="1"/>
      <c r="K897" s="1"/>
      <c r="L897" s="1"/>
      <c r="M897" s="1"/>
    </row>
    <row r="898" ht="14.25" customHeight="1">
      <c r="A898" s="1"/>
      <c r="B898" s="350" t="s">
        <v>2967</v>
      </c>
      <c r="C898" s="23">
        <v>100.0</v>
      </c>
      <c r="D898" s="201">
        <f t="shared" si="69"/>
        <v>5</v>
      </c>
      <c r="E898" s="1735"/>
      <c r="F898" s="36" t="s">
        <v>190</v>
      </c>
      <c r="G898" s="63"/>
      <c r="H898" s="920"/>
      <c r="I898" s="1"/>
      <c r="J898" s="1"/>
      <c r="K898" s="1"/>
      <c r="L898" s="1"/>
      <c r="M898" s="1"/>
    </row>
    <row r="899" ht="14.25" customHeight="1">
      <c r="A899" s="1"/>
      <c r="B899" s="350" t="s">
        <v>2998</v>
      </c>
      <c r="C899" s="23">
        <v>9.0</v>
      </c>
      <c r="D899" s="201">
        <f t="shared" si="69"/>
        <v>0.45</v>
      </c>
      <c r="E899" s="1735"/>
      <c r="F899" s="36" t="s">
        <v>2999</v>
      </c>
      <c r="G899" s="63"/>
      <c r="H899" s="920"/>
      <c r="I899" s="1"/>
      <c r="J899" s="1"/>
      <c r="K899" s="1"/>
      <c r="L899" s="1"/>
      <c r="M899" s="1"/>
    </row>
    <row r="900" ht="14.25" customHeight="1">
      <c r="A900" s="1"/>
      <c r="B900" s="350" t="s">
        <v>13</v>
      </c>
      <c r="C900" s="23">
        <v>19.0</v>
      </c>
      <c r="D900" s="201">
        <f t="shared" si="69"/>
        <v>0.95</v>
      </c>
      <c r="E900" s="1735"/>
      <c r="F900" s="36" t="s">
        <v>2999</v>
      </c>
      <c r="G900" s="63"/>
      <c r="H900" s="920"/>
      <c r="I900" s="1"/>
      <c r="J900" s="1"/>
      <c r="K900" s="1"/>
      <c r="L900" s="1"/>
      <c r="M900" s="1"/>
    </row>
    <row r="901" ht="16.5" customHeight="1">
      <c r="A901" s="1"/>
      <c r="B901" s="350" t="s">
        <v>3000</v>
      </c>
      <c r="C901" s="23">
        <v>1.0</v>
      </c>
      <c r="D901" s="201">
        <f t="shared" si="69"/>
        <v>0.05</v>
      </c>
      <c r="E901" s="1735"/>
      <c r="F901" s="36" t="s">
        <v>190</v>
      </c>
      <c r="G901" s="63"/>
      <c r="H901" s="920"/>
      <c r="I901" s="1"/>
      <c r="J901" s="1"/>
      <c r="K901" s="1"/>
      <c r="L901" s="1"/>
      <c r="M901" s="1"/>
    </row>
    <row r="902" ht="14.25" customHeight="1">
      <c r="A902" s="1"/>
      <c r="B902" s="350" t="s">
        <v>1046</v>
      </c>
      <c r="C902" s="23">
        <v>1000.0</v>
      </c>
      <c r="D902" s="201">
        <f t="shared" si="69"/>
        <v>50</v>
      </c>
      <c r="E902" s="1735"/>
      <c r="F902" s="36" t="s">
        <v>18</v>
      </c>
      <c r="G902" s="63"/>
      <c r="H902" s="920"/>
      <c r="I902" s="1"/>
      <c r="J902" s="1"/>
      <c r="K902" s="1"/>
      <c r="L902" s="1"/>
      <c r="M902" s="1"/>
    </row>
    <row r="903" ht="15.75" customHeight="1">
      <c r="A903" s="1"/>
      <c r="B903" s="350" t="s">
        <v>430</v>
      </c>
      <c r="C903" s="23">
        <v>500.0</v>
      </c>
      <c r="D903" s="201">
        <f t="shared" si="69"/>
        <v>25</v>
      </c>
      <c r="E903" s="1735"/>
      <c r="F903" s="36" t="s">
        <v>18</v>
      </c>
      <c r="G903" s="63"/>
      <c r="H903" s="920"/>
      <c r="I903" s="1"/>
      <c r="J903" s="1"/>
      <c r="K903" s="1"/>
      <c r="L903" s="1"/>
      <c r="M903" s="1"/>
    </row>
    <row r="904" ht="14.25" customHeight="1">
      <c r="A904" s="1"/>
      <c r="B904" s="350" t="s">
        <v>2006</v>
      </c>
      <c r="C904" s="23">
        <v>1000.0</v>
      </c>
      <c r="D904" s="201">
        <f>(C904*D901)/C901</f>
        <v>50</v>
      </c>
      <c r="E904" s="1735"/>
      <c r="F904" s="36" t="s">
        <v>18</v>
      </c>
      <c r="G904" s="63"/>
      <c r="H904" s="920"/>
      <c r="I904" s="1"/>
      <c r="J904" s="1"/>
      <c r="K904" s="1"/>
      <c r="L904" s="1"/>
      <c r="M904" s="1"/>
    </row>
    <row r="905" ht="14.25" customHeight="1">
      <c r="A905" s="1"/>
      <c r="B905" s="350" t="s">
        <v>17</v>
      </c>
      <c r="C905" s="23">
        <v>150.0</v>
      </c>
      <c r="D905" s="201">
        <f t="shared" ref="D905:D907" si="70">(C905*D904)/C904</f>
        <v>7.5</v>
      </c>
      <c r="E905" s="1735"/>
      <c r="F905" s="36" t="s">
        <v>18</v>
      </c>
      <c r="G905" s="63"/>
      <c r="H905" s="920"/>
      <c r="I905" s="1"/>
      <c r="J905" s="1"/>
      <c r="K905" s="1"/>
      <c r="L905" s="1"/>
      <c r="M905" s="1"/>
    </row>
    <row r="906" ht="14.25" customHeight="1">
      <c r="A906" s="1"/>
      <c r="B906" s="93" t="s">
        <v>66</v>
      </c>
      <c r="C906" s="195">
        <v>25.0</v>
      </c>
      <c r="D906" s="521">
        <f t="shared" si="70"/>
        <v>1.25</v>
      </c>
      <c r="E906" s="1653"/>
      <c r="F906" s="165" t="s">
        <v>18</v>
      </c>
      <c r="G906" s="63"/>
      <c r="H906" s="920"/>
      <c r="I906" s="1"/>
      <c r="J906" s="1"/>
      <c r="K906" s="1"/>
      <c r="L906" s="1"/>
      <c r="M906" s="1"/>
    </row>
    <row r="907" ht="14.25" customHeight="1">
      <c r="A907" s="1"/>
      <c r="B907" s="606" t="s">
        <v>1383</v>
      </c>
      <c r="C907" s="709">
        <v>2.5</v>
      </c>
      <c r="D907" s="517">
        <f t="shared" si="70"/>
        <v>0.125</v>
      </c>
      <c r="E907" s="1656"/>
      <c r="F907" s="457" t="s">
        <v>18</v>
      </c>
      <c r="G907" s="102"/>
      <c r="H907" s="920"/>
      <c r="I907" s="1"/>
      <c r="J907" s="1"/>
      <c r="K907" s="1"/>
      <c r="L907" s="1"/>
      <c r="M907" s="1"/>
    </row>
    <row r="908" ht="14.25" customHeight="1">
      <c r="A908" s="1"/>
      <c r="B908" s="1"/>
      <c r="C908" s="107"/>
      <c r="D908" s="184"/>
      <c r="E908" s="184"/>
      <c r="F908" s="108"/>
      <c r="G908" s="1"/>
      <c r="H908" s="920"/>
      <c r="I908" s="1"/>
      <c r="J908" s="1"/>
      <c r="K908" s="1"/>
      <c r="L908" s="1"/>
      <c r="M908" s="1"/>
    </row>
    <row r="909" ht="14.25" customHeight="1">
      <c r="A909" s="1"/>
      <c r="B909" s="1"/>
      <c r="C909" s="107"/>
      <c r="D909" s="184"/>
      <c r="E909" s="184"/>
      <c r="F909" s="108"/>
      <c r="G909" s="1"/>
      <c r="H909" s="920"/>
      <c r="I909" s="1"/>
      <c r="J909" s="1"/>
      <c r="K909" s="1"/>
      <c r="L909" s="1"/>
      <c r="M909" s="1"/>
    </row>
    <row r="910" ht="14.25" customHeight="1">
      <c r="A910" s="1"/>
      <c r="B910" s="787"/>
      <c r="C910" s="787"/>
      <c r="D910" s="2817"/>
      <c r="E910" s="2817"/>
      <c r="F910" s="2818"/>
      <c r="G910" s="1"/>
      <c r="H910" s="920"/>
      <c r="I910" s="1"/>
      <c r="J910" s="1"/>
      <c r="K910" s="1"/>
      <c r="L910" s="1"/>
      <c r="M910" s="1"/>
    </row>
    <row r="911" ht="14.25" customHeight="1">
      <c r="A911" s="1"/>
      <c r="B911" s="90" t="s">
        <v>120</v>
      </c>
      <c r="C911" s="1188">
        <v>42740.0</v>
      </c>
      <c r="D911" s="184"/>
      <c r="E911" s="184"/>
      <c r="F911" s="2818"/>
      <c r="G911" s="1"/>
      <c r="H911" s="920"/>
      <c r="I911" s="1"/>
      <c r="J911" s="1"/>
      <c r="K911" s="1"/>
      <c r="L911" s="1"/>
      <c r="M911" s="1"/>
    </row>
    <row r="912" ht="14.25" customHeight="1">
      <c r="A912" s="1"/>
      <c r="B912" s="305" t="s">
        <v>50</v>
      </c>
      <c r="C912" s="1188"/>
      <c r="D912" s="184"/>
      <c r="E912" s="184"/>
      <c r="F912" s="2818"/>
      <c r="G912" s="1"/>
      <c r="H912" s="920"/>
      <c r="I912" s="1"/>
      <c r="J912" s="1"/>
      <c r="K912" s="1"/>
      <c r="L912" s="1"/>
      <c r="M912" s="1"/>
    </row>
    <row r="913" ht="14.25" customHeight="1">
      <c r="A913" s="1"/>
      <c r="B913" s="1"/>
      <c r="C913" s="107"/>
      <c r="D913" s="184"/>
      <c r="E913" s="184"/>
      <c r="F913" s="108"/>
      <c r="G913" s="1"/>
      <c r="H913" s="920"/>
      <c r="I913" s="1"/>
      <c r="J913" s="1"/>
      <c r="K913" s="1"/>
      <c r="L913" s="1"/>
      <c r="M913" s="1"/>
    </row>
    <row r="914" ht="14.25" customHeight="1">
      <c r="A914" s="1"/>
      <c r="B914" s="258" t="s">
        <v>119</v>
      </c>
      <c r="C914" s="258" t="s">
        <v>47</v>
      </c>
      <c r="D914" s="184"/>
      <c r="E914" s="184"/>
      <c r="F914" s="108"/>
      <c r="G914" s="1"/>
      <c r="H914" s="920"/>
      <c r="I914" s="1"/>
      <c r="J914" s="1"/>
      <c r="K914" s="1"/>
      <c r="L914" s="1"/>
      <c r="M914" s="1"/>
    </row>
    <row r="915" ht="14.25" customHeight="1">
      <c r="A915" s="1"/>
      <c r="B915" s="1"/>
      <c r="C915" s="107"/>
      <c r="D915" s="184"/>
      <c r="E915" s="184"/>
      <c r="F915" s="108"/>
      <c r="G915" s="1"/>
      <c r="H915" s="920"/>
      <c r="I915" s="1"/>
      <c r="J915" s="1"/>
      <c r="K915" s="1"/>
      <c r="L915" s="1"/>
      <c r="M915" s="1"/>
    </row>
    <row r="916" ht="15.0" customHeight="1">
      <c r="A916" s="1"/>
      <c r="B916" s="1"/>
      <c r="C916" s="107"/>
      <c r="D916" s="184"/>
      <c r="E916" s="184"/>
      <c r="F916" s="108"/>
      <c r="G916" s="1"/>
      <c r="H916" s="920"/>
      <c r="I916" s="1"/>
      <c r="J916" s="1"/>
      <c r="K916" s="1"/>
      <c r="L916" s="1"/>
      <c r="M916" s="1"/>
    </row>
    <row r="917" ht="14.25" customHeight="1">
      <c r="A917" s="1"/>
      <c r="B917" s="2819" t="s">
        <v>3156</v>
      </c>
      <c r="C917" s="18"/>
      <c r="D917" s="18"/>
      <c r="E917" s="18"/>
      <c r="F917" s="19"/>
      <c r="G917" s="2820" t="s">
        <v>3157</v>
      </c>
      <c r="H917" s="920"/>
      <c r="I917" s="1"/>
      <c r="J917" s="1"/>
      <c r="K917" s="1"/>
      <c r="L917" s="1"/>
      <c r="M917" s="1"/>
    </row>
    <row r="918" ht="14.25" customHeight="1">
      <c r="A918" s="1"/>
      <c r="B918" s="138" t="s">
        <v>3158</v>
      </c>
      <c r="C918" s="279">
        <v>660.0</v>
      </c>
      <c r="D918" s="2821">
        <v>700.0</v>
      </c>
      <c r="E918" s="2822"/>
      <c r="F918" s="281" t="s">
        <v>741</v>
      </c>
      <c r="G918" s="2824" t="s">
        <v>3159</v>
      </c>
      <c r="H918" s="920"/>
      <c r="I918" s="1"/>
      <c r="J918" s="1"/>
      <c r="K918" s="1"/>
      <c r="L918" s="1"/>
      <c r="M918" s="1"/>
    </row>
    <row r="919" ht="14.25" customHeight="1">
      <c r="A919" s="1"/>
      <c r="B919" s="51" t="s">
        <v>3160</v>
      </c>
      <c r="C919" s="190">
        <v>24.0</v>
      </c>
      <c r="D919" s="2825">
        <f t="shared" ref="D919:D931" si="71">(C919*D918)/C918</f>
        <v>25.45454545</v>
      </c>
      <c r="E919" s="2826"/>
      <c r="F919" s="125" t="s">
        <v>5</v>
      </c>
      <c r="G919" s="572"/>
      <c r="H919" s="920"/>
      <c r="I919" s="1"/>
      <c r="J919" s="1"/>
      <c r="K919" s="1"/>
      <c r="L919" s="1"/>
      <c r="M919" s="1"/>
    </row>
    <row r="920" ht="14.25" customHeight="1">
      <c r="A920" s="1"/>
      <c r="B920" s="68" t="s">
        <v>1170</v>
      </c>
      <c r="C920" s="145">
        <v>5.0</v>
      </c>
      <c r="D920" s="1204">
        <f t="shared" si="71"/>
        <v>5.303030303</v>
      </c>
      <c r="E920" s="2828"/>
      <c r="F920" s="137" t="s">
        <v>14</v>
      </c>
      <c r="G920" s="2829" t="s">
        <v>3164</v>
      </c>
      <c r="H920" s="920"/>
      <c r="I920" s="1"/>
      <c r="J920" s="1"/>
      <c r="K920" s="1"/>
      <c r="L920" s="1"/>
      <c r="M920" s="1"/>
    </row>
    <row r="921" ht="14.25" customHeight="1">
      <c r="A921" s="1"/>
      <c r="B921" s="93" t="s">
        <v>1210</v>
      </c>
      <c r="C921" s="195">
        <v>2.0</v>
      </c>
      <c r="D921" s="1214">
        <f t="shared" si="71"/>
        <v>2.121212121</v>
      </c>
      <c r="E921" s="2830"/>
      <c r="F921" s="165" t="s">
        <v>14</v>
      </c>
      <c r="G921" s="63"/>
      <c r="H921" s="920"/>
      <c r="I921" s="1"/>
      <c r="J921" s="1"/>
      <c r="K921" s="1"/>
      <c r="L921" s="1"/>
      <c r="M921" s="1"/>
    </row>
    <row r="922" ht="14.25" customHeight="1">
      <c r="A922" s="1"/>
      <c r="B922" s="93" t="s">
        <v>3167</v>
      </c>
      <c r="C922" s="195">
        <v>7.5</v>
      </c>
      <c r="D922" s="1214">
        <f t="shared" si="71"/>
        <v>7.954545455</v>
      </c>
      <c r="E922" s="2830"/>
      <c r="F922" s="165" t="s">
        <v>14</v>
      </c>
      <c r="G922" s="63"/>
      <c r="H922" s="920"/>
      <c r="I922" s="1"/>
      <c r="J922" s="1"/>
      <c r="K922" s="1"/>
      <c r="L922" s="1"/>
      <c r="M922" s="1"/>
    </row>
    <row r="923" ht="14.25" customHeight="1">
      <c r="A923" s="1"/>
      <c r="B923" s="93" t="s">
        <v>3168</v>
      </c>
      <c r="C923" s="195">
        <v>60.0</v>
      </c>
      <c r="D923" s="1214">
        <f t="shared" si="71"/>
        <v>63.63636364</v>
      </c>
      <c r="E923" s="2830"/>
      <c r="F923" s="165" t="s">
        <v>741</v>
      </c>
      <c r="G923" s="63"/>
      <c r="H923" s="920"/>
      <c r="I923" s="1"/>
      <c r="J923" s="1"/>
      <c r="K923" s="1"/>
      <c r="L923" s="1"/>
      <c r="M923" s="1"/>
    </row>
    <row r="924" ht="14.25" customHeight="1">
      <c r="A924" s="1"/>
      <c r="B924" s="93" t="s">
        <v>2577</v>
      </c>
      <c r="C924" s="195">
        <v>14.0</v>
      </c>
      <c r="D924" s="1214">
        <f t="shared" si="71"/>
        <v>14.84848485</v>
      </c>
      <c r="E924" s="2830"/>
      <c r="F924" s="165" t="s">
        <v>5</v>
      </c>
      <c r="G924" s="63"/>
      <c r="H924" s="920"/>
      <c r="I924" s="1"/>
      <c r="J924" s="1"/>
      <c r="K924" s="1"/>
      <c r="L924" s="1"/>
      <c r="M924" s="1"/>
    </row>
    <row r="925" ht="14.25" customHeight="1">
      <c r="A925" s="1"/>
      <c r="B925" s="93" t="s">
        <v>884</v>
      </c>
      <c r="C925" s="195">
        <v>150.0</v>
      </c>
      <c r="D925" s="1214">
        <f t="shared" si="71"/>
        <v>159.0909091</v>
      </c>
      <c r="E925" s="2830"/>
      <c r="F925" s="165" t="s">
        <v>18</v>
      </c>
      <c r="G925" s="63"/>
      <c r="H925" s="920"/>
      <c r="I925" s="1"/>
      <c r="J925" s="1"/>
      <c r="K925" s="1"/>
      <c r="L925" s="1"/>
      <c r="M925" s="1"/>
    </row>
    <row r="926" ht="14.25" customHeight="1">
      <c r="A926" s="1"/>
      <c r="B926" s="93" t="s">
        <v>1664</v>
      </c>
      <c r="C926" s="195">
        <v>200.0</v>
      </c>
      <c r="D926" s="1214">
        <f t="shared" si="71"/>
        <v>212.1212121</v>
      </c>
      <c r="E926" s="2830"/>
      <c r="F926" s="165" t="s">
        <v>18</v>
      </c>
      <c r="G926" s="63"/>
      <c r="H926" s="920"/>
      <c r="I926" s="1"/>
      <c r="J926" s="1"/>
      <c r="K926" s="1"/>
      <c r="L926" s="1"/>
      <c r="M926" s="1"/>
    </row>
    <row r="927" ht="14.25" customHeight="1">
      <c r="A927" s="1"/>
      <c r="B927" s="93" t="s">
        <v>3170</v>
      </c>
      <c r="C927" s="195">
        <v>30.0</v>
      </c>
      <c r="D927" s="1214">
        <f t="shared" si="71"/>
        <v>31.81818182</v>
      </c>
      <c r="E927" s="2830"/>
      <c r="F927" s="165" t="s">
        <v>82</v>
      </c>
      <c r="G927" s="63"/>
      <c r="H927" s="920"/>
      <c r="I927" s="1"/>
      <c r="J927" s="1"/>
      <c r="K927" s="1"/>
      <c r="L927" s="1"/>
      <c r="M927" s="1"/>
    </row>
    <row r="928" ht="14.25" customHeight="1">
      <c r="A928" s="1"/>
      <c r="B928" s="2834" t="s">
        <v>13</v>
      </c>
      <c r="C928" s="195">
        <v>12.0</v>
      </c>
      <c r="D928" s="1214">
        <f t="shared" si="71"/>
        <v>12.72727273</v>
      </c>
      <c r="E928" s="2830"/>
      <c r="F928" s="165" t="s">
        <v>14</v>
      </c>
      <c r="G928" s="63"/>
      <c r="H928" s="920"/>
      <c r="I928" s="1"/>
      <c r="J928" s="1"/>
      <c r="K928" s="1"/>
      <c r="L928" s="1"/>
      <c r="M928" s="1"/>
    </row>
    <row r="929" ht="14.25" customHeight="1">
      <c r="A929" s="1"/>
      <c r="B929" s="93" t="s">
        <v>59</v>
      </c>
      <c r="C929" s="195">
        <v>6.0</v>
      </c>
      <c r="D929" s="1214">
        <f t="shared" si="71"/>
        <v>6.363636364</v>
      </c>
      <c r="E929" s="2830"/>
      <c r="F929" s="165" t="s">
        <v>5</v>
      </c>
      <c r="G929" s="63"/>
      <c r="H929" s="920"/>
      <c r="I929" s="1"/>
      <c r="J929" s="1"/>
      <c r="K929" s="1"/>
      <c r="L929" s="1"/>
      <c r="M929" s="1"/>
    </row>
    <row r="930" ht="14.25" customHeight="1">
      <c r="A930" s="1"/>
      <c r="B930" s="105" t="s">
        <v>17</v>
      </c>
      <c r="C930" s="200">
        <v>150.0</v>
      </c>
      <c r="D930" s="1217">
        <f t="shared" si="71"/>
        <v>159.0909091</v>
      </c>
      <c r="E930" s="2836"/>
      <c r="F930" s="172" t="s">
        <v>18</v>
      </c>
      <c r="G930" s="102"/>
      <c r="H930" s="920"/>
      <c r="I930" s="1"/>
      <c r="J930" s="1"/>
      <c r="K930" s="1"/>
      <c r="L930" s="1"/>
      <c r="M930" s="1"/>
    </row>
    <row r="931" ht="14.25" customHeight="1">
      <c r="A931" s="1"/>
      <c r="B931" s="105" t="s">
        <v>3174</v>
      </c>
      <c r="C931" s="200">
        <v>8.0</v>
      </c>
      <c r="D931" s="1217">
        <f t="shared" si="71"/>
        <v>8.484848485</v>
      </c>
      <c r="E931" s="2836"/>
      <c r="F931" s="172" t="s">
        <v>5</v>
      </c>
      <c r="G931" s="2837"/>
      <c r="H931" s="920"/>
      <c r="I931" s="1"/>
      <c r="J931" s="1"/>
      <c r="K931" s="1"/>
      <c r="L931" s="1"/>
      <c r="M931" s="1"/>
    </row>
    <row r="932" ht="14.25" customHeight="1">
      <c r="A932" s="1"/>
      <c r="B932" s="1"/>
      <c r="C932" s="107"/>
      <c r="D932" s="184"/>
      <c r="E932" s="184"/>
      <c r="F932" s="108"/>
      <c r="G932" s="1"/>
      <c r="H932" s="920"/>
      <c r="I932" s="1"/>
      <c r="J932" s="1"/>
      <c r="K932" s="1"/>
      <c r="L932" s="1"/>
      <c r="M932" s="1"/>
    </row>
    <row r="933" ht="14.25" customHeight="1">
      <c r="A933" s="1"/>
      <c r="B933" s="2838" t="s">
        <v>3178</v>
      </c>
      <c r="C933" s="5"/>
      <c r="D933" s="5"/>
      <c r="E933" s="5"/>
      <c r="F933" s="5"/>
      <c r="G933" s="6"/>
      <c r="H933" s="920"/>
      <c r="I933" s="1"/>
      <c r="J933" s="1"/>
      <c r="K933" s="1"/>
      <c r="L933" s="1"/>
      <c r="M933" s="1"/>
    </row>
    <row r="934" ht="14.25" customHeight="1">
      <c r="A934" s="1"/>
      <c r="B934" s="63"/>
      <c r="G934" s="66"/>
      <c r="H934" s="920"/>
      <c r="I934" s="1"/>
      <c r="J934" s="1"/>
      <c r="K934" s="1"/>
      <c r="L934" s="1"/>
      <c r="M934" s="1"/>
    </row>
    <row r="935" ht="14.25" customHeight="1">
      <c r="A935" s="1"/>
      <c r="B935" s="102"/>
      <c r="C935" s="104"/>
      <c r="D935" s="104"/>
      <c r="E935" s="104"/>
      <c r="F935" s="104"/>
      <c r="G935" s="106"/>
      <c r="H935" s="920"/>
      <c r="I935" s="1"/>
      <c r="J935" s="1"/>
      <c r="K935" s="1"/>
      <c r="L935" s="1"/>
      <c r="M935" s="1"/>
    </row>
    <row r="936" ht="14.25" customHeight="1">
      <c r="A936" s="1"/>
      <c r="B936" s="1"/>
      <c r="C936" s="107"/>
      <c r="D936" s="184"/>
      <c r="E936" s="184"/>
      <c r="F936" s="1546"/>
      <c r="G936" s="1"/>
      <c r="H936" s="920"/>
      <c r="I936" s="1"/>
      <c r="J936" s="1"/>
      <c r="K936" s="1"/>
      <c r="L936" s="1"/>
      <c r="M936" s="1"/>
    </row>
    <row r="937" ht="14.25" customHeight="1">
      <c r="A937" s="1"/>
      <c r="B937" s="90" t="s">
        <v>120</v>
      </c>
      <c r="C937" s="1188">
        <v>42738.0</v>
      </c>
      <c r="D937" s="184"/>
      <c r="E937" s="184"/>
      <c r="F937" s="1546"/>
      <c r="G937" s="1"/>
      <c r="H937" s="920"/>
      <c r="I937" s="1"/>
      <c r="J937" s="1"/>
      <c r="K937" s="1"/>
      <c r="L937" s="1"/>
      <c r="M937" s="1"/>
    </row>
    <row r="938" ht="14.25" customHeight="1">
      <c r="A938" s="1"/>
      <c r="B938" s="305" t="s">
        <v>50</v>
      </c>
      <c r="C938" s="1188"/>
      <c r="D938" s="184"/>
      <c r="E938" s="184"/>
      <c r="F938" s="1546"/>
      <c r="G938" s="1"/>
      <c r="H938" s="920"/>
      <c r="I938" s="1"/>
      <c r="J938" s="1"/>
      <c r="K938" s="1"/>
      <c r="L938" s="1"/>
      <c r="M938" s="1"/>
    </row>
    <row r="939" ht="14.25" customHeight="1">
      <c r="A939" s="1"/>
      <c r="B939" s="1"/>
      <c r="C939" s="107"/>
      <c r="D939" s="184"/>
      <c r="E939" s="184"/>
      <c r="F939" s="108"/>
      <c r="G939" s="1"/>
      <c r="H939" s="920"/>
      <c r="I939" s="1"/>
      <c r="J939" s="1"/>
      <c r="K939" s="1"/>
      <c r="L939" s="1"/>
      <c r="M939" s="1"/>
    </row>
    <row r="940" ht="14.25" customHeight="1">
      <c r="A940" s="1"/>
      <c r="B940" s="258" t="s">
        <v>119</v>
      </c>
      <c r="C940" s="258" t="s">
        <v>47</v>
      </c>
      <c r="D940" s="184"/>
      <c r="E940" s="184"/>
      <c r="F940" s="108"/>
      <c r="G940" s="1"/>
      <c r="H940" s="920"/>
      <c r="I940" s="1"/>
      <c r="J940" s="1"/>
      <c r="K940" s="1"/>
      <c r="L940" s="1"/>
      <c r="M940" s="1"/>
    </row>
    <row r="941" ht="14.25" customHeight="1">
      <c r="A941" s="1"/>
      <c r="B941" s="1"/>
      <c r="C941" s="107"/>
      <c r="D941" s="184"/>
      <c r="E941" s="184"/>
      <c r="F941" s="108"/>
      <c r="G941" s="1"/>
      <c r="H941" s="920"/>
      <c r="I941" s="1"/>
      <c r="J941" s="1"/>
      <c r="K941" s="1"/>
      <c r="L941" s="1"/>
      <c r="M941" s="1"/>
    </row>
    <row r="942" ht="14.25" customHeight="1">
      <c r="A942" s="1"/>
      <c r="B942" s="1"/>
      <c r="C942" s="107"/>
      <c r="D942" s="184"/>
      <c r="E942" s="184"/>
      <c r="F942" s="108"/>
      <c r="G942" s="1"/>
      <c r="H942" s="920"/>
      <c r="I942" s="1"/>
      <c r="J942" s="1"/>
      <c r="K942" s="1"/>
      <c r="L942" s="1"/>
      <c r="M942" s="1"/>
    </row>
    <row r="943" ht="14.25" customHeight="1">
      <c r="A943" s="1"/>
      <c r="B943" s="1364" t="s">
        <v>412</v>
      </c>
      <c r="C943" s="18"/>
      <c r="D943" s="18"/>
      <c r="E943" s="18"/>
      <c r="F943" s="19"/>
      <c r="G943" s="2839" t="s">
        <v>398</v>
      </c>
      <c r="H943" s="920"/>
      <c r="I943" s="1"/>
      <c r="J943" s="1"/>
      <c r="K943" s="1"/>
      <c r="L943" s="1"/>
      <c r="M943" s="1"/>
    </row>
    <row r="944" ht="14.25" customHeight="1">
      <c r="A944" s="1"/>
      <c r="B944" s="119" t="s">
        <v>1</v>
      </c>
      <c r="C944" s="2840">
        <v>160.0</v>
      </c>
      <c r="D944" s="2841">
        <v>10.0</v>
      </c>
      <c r="E944" s="2842"/>
      <c r="F944" s="2843" t="s">
        <v>5</v>
      </c>
      <c r="G944" s="455"/>
      <c r="H944" s="920"/>
      <c r="I944" s="1"/>
      <c r="J944" s="1"/>
      <c r="K944" s="1"/>
      <c r="L944" s="1"/>
      <c r="M944" s="1"/>
    </row>
    <row r="945" ht="14.25" customHeight="1">
      <c r="A945" s="1"/>
      <c r="B945" s="93" t="s">
        <v>743</v>
      </c>
      <c r="C945" s="2844">
        <v>26.0</v>
      </c>
      <c r="D945" s="2845">
        <f t="shared" ref="D945:D951" si="72">(C945*D944)/C944</f>
        <v>1.625</v>
      </c>
      <c r="E945" s="2846"/>
      <c r="F945" s="165" t="s">
        <v>5</v>
      </c>
      <c r="G945" s="2847"/>
      <c r="H945" s="920"/>
      <c r="I945" s="1"/>
      <c r="J945" s="1"/>
      <c r="K945" s="1"/>
      <c r="L945" s="1"/>
      <c r="M945" s="1"/>
    </row>
    <row r="946" ht="14.25" customHeight="1">
      <c r="A946" s="1"/>
      <c r="B946" s="93" t="s">
        <v>3182</v>
      </c>
      <c r="C946" s="2844">
        <v>30.0</v>
      </c>
      <c r="D946" s="1214">
        <f t="shared" si="72"/>
        <v>1.875</v>
      </c>
      <c r="E946" s="2830"/>
      <c r="F946" s="165" t="s">
        <v>2999</v>
      </c>
      <c r="G946" s="2848"/>
      <c r="H946" s="920"/>
      <c r="I946" s="1"/>
      <c r="J946" s="1"/>
      <c r="K946" s="1"/>
      <c r="L946" s="1"/>
      <c r="M946" s="1"/>
    </row>
    <row r="947" ht="14.25" customHeight="1">
      <c r="A947" s="1"/>
      <c r="B947" s="93" t="s">
        <v>13</v>
      </c>
      <c r="C947" s="2844">
        <v>60.0</v>
      </c>
      <c r="D947" s="2845">
        <f t="shared" si="72"/>
        <v>3.75</v>
      </c>
      <c r="E947" s="2846"/>
      <c r="F947" s="165" t="s">
        <v>2999</v>
      </c>
      <c r="G947" s="2848"/>
      <c r="H947" s="920"/>
      <c r="I947" s="1"/>
      <c r="J947" s="1"/>
      <c r="K947" s="1"/>
      <c r="L947" s="1"/>
      <c r="M947" s="1"/>
    </row>
    <row r="948" ht="14.25" customHeight="1">
      <c r="A948" s="1"/>
      <c r="B948" s="93" t="s">
        <v>1664</v>
      </c>
      <c r="C948" s="2844">
        <v>400.0</v>
      </c>
      <c r="D948" s="1214">
        <f t="shared" si="72"/>
        <v>25</v>
      </c>
      <c r="E948" s="2830"/>
      <c r="F948" s="165" t="s">
        <v>18</v>
      </c>
      <c r="G948" s="2848"/>
      <c r="H948" s="920"/>
      <c r="I948" s="1"/>
      <c r="J948" s="1"/>
      <c r="K948" s="1"/>
      <c r="L948" s="1"/>
      <c r="M948" s="1"/>
    </row>
    <row r="949" ht="14.25" customHeight="1">
      <c r="A949" s="1"/>
      <c r="B949" s="93" t="s">
        <v>1132</v>
      </c>
      <c r="C949" s="2844">
        <v>1500.0</v>
      </c>
      <c r="D949" s="1214">
        <f t="shared" si="72"/>
        <v>93.75</v>
      </c>
      <c r="E949" s="2830"/>
      <c r="F949" s="165" t="s">
        <v>18</v>
      </c>
      <c r="G949" s="2848"/>
      <c r="H949" s="920"/>
      <c r="I949" s="1"/>
      <c r="J949" s="1"/>
      <c r="K949" s="1"/>
      <c r="L949" s="1"/>
      <c r="M949" s="1"/>
    </row>
    <row r="950" ht="14.25" customHeight="1">
      <c r="A950" s="1"/>
      <c r="B950" s="93" t="s">
        <v>430</v>
      </c>
      <c r="C950" s="2844">
        <v>1500.0</v>
      </c>
      <c r="D950" s="1214">
        <f t="shared" si="72"/>
        <v>93.75</v>
      </c>
      <c r="E950" s="2830"/>
      <c r="F950" s="165" t="s">
        <v>18</v>
      </c>
      <c r="G950" s="2848"/>
      <c r="H950" s="920"/>
      <c r="I950" s="1"/>
      <c r="J950" s="1"/>
      <c r="K950" s="1"/>
      <c r="L950" s="1"/>
      <c r="M950" s="1"/>
    </row>
    <row r="951" ht="14.25" customHeight="1">
      <c r="A951" s="1"/>
      <c r="B951" s="105" t="s">
        <v>3186</v>
      </c>
      <c r="C951" s="2849">
        <v>85.0</v>
      </c>
      <c r="D951" s="1217">
        <f t="shared" si="72"/>
        <v>5.3125</v>
      </c>
      <c r="E951" s="2836"/>
      <c r="F951" s="172" t="s">
        <v>5</v>
      </c>
      <c r="G951" s="2850"/>
      <c r="H951" s="920"/>
      <c r="I951" s="1"/>
      <c r="J951" s="1"/>
      <c r="K951" s="1"/>
      <c r="L951" s="1"/>
      <c r="M951" s="1"/>
    </row>
    <row r="952" ht="14.25" customHeight="1">
      <c r="A952" s="1"/>
      <c r="B952" s="1"/>
      <c r="C952" s="107"/>
      <c r="D952" s="184"/>
      <c r="E952" s="184"/>
      <c r="F952" s="108"/>
      <c r="G952" s="1"/>
      <c r="H952" s="920"/>
      <c r="I952" s="1"/>
      <c r="J952" s="1"/>
      <c r="K952" s="1"/>
      <c r="L952" s="1"/>
      <c r="M952" s="1"/>
    </row>
    <row r="953" ht="14.25" customHeight="1">
      <c r="A953" s="1"/>
      <c r="B953" s="1"/>
      <c r="C953" s="107"/>
      <c r="D953" s="184"/>
      <c r="E953" s="184"/>
      <c r="F953" s="108"/>
      <c r="G953" s="1"/>
      <c r="H953" s="920"/>
      <c r="I953" s="1"/>
      <c r="J953" s="1"/>
      <c r="K953" s="1"/>
      <c r="L953" s="1"/>
      <c r="M953" s="1"/>
    </row>
    <row r="954" ht="14.25" customHeight="1">
      <c r="A954" s="1"/>
      <c r="B954" s="90" t="s">
        <v>120</v>
      </c>
      <c r="C954" s="1188">
        <v>42766.0</v>
      </c>
      <c r="D954" s="184"/>
      <c r="E954" s="184"/>
      <c r="F954" s="108"/>
      <c r="G954" s="1"/>
      <c r="H954" s="920"/>
      <c r="I954" s="1"/>
      <c r="J954" s="1"/>
      <c r="K954" s="1"/>
      <c r="L954" s="1"/>
      <c r="M954" s="1"/>
    </row>
    <row r="955" ht="14.25" customHeight="1">
      <c r="A955" s="1"/>
      <c r="B955" s="305" t="s">
        <v>50</v>
      </c>
      <c r="C955" s="1188"/>
      <c r="D955" s="184"/>
      <c r="E955" s="184"/>
      <c r="F955" s="108"/>
      <c r="G955" s="1"/>
      <c r="H955" s="920"/>
      <c r="I955" s="1"/>
      <c r="J955" s="1"/>
      <c r="K955" s="1"/>
      <c r="L955" s="1"/>
      <c r="M955" s="1"/>
    </row>
    <row r="956" ht="14.25" customHeight="1">
      <c r="A956" s="1"/>
      <c r="B956" s="1"/>
      <c r="C956" s="107"/>
      <c r="D956" s="184"/>
      <c r="E956" s="184"/>
      <c r="F956" s="108"/>
      <c r="G956" s="1"/>
      <c r="H956" s="920"/>
      <c r="I956" s="1"/>
      <c r="J956" s="1"/>
      <c r="K956" s="1"/>
      <c r="L956" s="1"/>
      <c r="M956" s="1"/>
    </row>
    <row r="957" ht="14.25" customHeight="1">
      <c r="A957" s="1"/>
      <c r="B957" s="258" t="s">
        <v>119</v>
      </c>
      <c r="C957" s="258" t="s">
        <v>47</v>
      </c>
      <c r="D957" s="184"/>
      <c r="E957" s="184"/>
      <c r="F957" s="108"/>
      <c r="G957" s="1"/>
      <c r="H957" s="920"/>
      <c r="I957" s="1"/>
      <c r="J957" s="1"/>
      <c r="K957" s="1"/>
      <c r="L957" s="1"/>
      <c r="M957" s="1"/>
    </row>
    <row r="958" ht="14.25" customHeight="1">
      <c r="A958" s="1"/>
      <c r="B958" s="1"/>
      <c r="C958" s="107"/>
      <c r="D958" s="184"/>
      <c r="E958" s="184"/>
      <c r="F958" s="108"/>
      <c r="G958" s="1"/>
      <c r="H958" s="920"/>
      <c r="I958" s="1"/>
      <c r="J958" s="1"/>
      <c r="K958" s="1"/>
      <c r="L958" s="1"/>
      <c r="M958" s="1"/>
    </row>
    <row r="959" ht="14.25" customHeight="1">
      <c r="A959" s="1"/>
      <c r="B959" s="206" t="s">
        <v>964</v>
      </c>
      <c r="C959" s="5"/>
      <c r="D959" s="5"/>
      <c r="E959" s="5"/>
      <c r="F959" s="6"/>
      <c r="G959" s="922" t="s">
        <v>3190</v>
      </c>
      <c r="H959" s="920"/>
      <c r="I959" s="1"/>
      <c r="J959" s="1"/>
      <c r="K959" s="1"/>
      <c r="L959" s="1"/>
      <c r="M959" s="1"/>
    </row>
    <row r="960" ht="21.0" customHeight="1">
      <c r="A960" s="1"/>
      <c r="B960" s="512" t="s">
        <v>1</v>
      </c>
      <c r="C960" s="1553">
        <v>20.0</v>
      </c>
      <c r="D960" s="548">
        <v>30.0</v>
      </c>
      <c r="E960" s="1651"/>
      <c r="F960" s="125" t="s">
        <v>5</v>
      </c>
      <c r="G960" s="63"/>
      <c r="H960" s="920"/>
      <c r="I960" s="1"/>
      <c r="J960" s="1"/>
      <c r="K960" s="1"/>
      <c r="L960" s="1"/>
      <c r="M960" s="1"/>
    </row>
    <row r="961" ht="14.25" customHeight="1">
      <c r="A961" s="1"/>
      <c r="B961" s="68" t="s">
        <v>3192</v>
      </c>
      <c r="C961" s="975">
        <v>5.0</v>
      </c>
      <c r="D961" s="516">
        <f t="shared" ref="D961:D963" si="73">(C961*D960)/C960</f>
        <v>7.5</v>
      </c>
      <c r="E961" s="1652"/>
      <c r="F961" s="137" t="s">
        <v>14</v>
      </c>
      <c r="G961" s="63"/>
      <c r="H961" s="922" t="s">
        <v>3190</v>
      </c>
      <c r="I961" s="1"/>
      <c r="J961" s="1"/>
      <c r="K961" s="1"/>
      <c r="L961" s="1"/>
      <c r="M961" s="1"/>
    </row>
    <row r="962" ht="14.25" customHeight="1">
      <c r="A962" s="1"/>
      <c r="B962" s="105" t="s">
        <v>2383</v>
      </c>
      <c r="C962" s="980">
        <v>5.5</v>
      </c>
      <c r="D962" s="517">
        <f t="shared" si="73"/>
        <v>8.25</v>
      </c>
      <c r="E962" s="1656"/>
      <c r="F962" s="172" t="s">
        <v>5</v>
      </c>
      <c r="G962" s="63"/>
      <c r="H962" s="63"/>
      <c r="I962" s="1"/>
      <c r="J962" s="1"/>
      <c r="K962" s="1"/>
      <c r="L962" s="1"/>
      <c r="M962" s="1"/>
    </row>
    <row r="963" ht="14.25" customHeight="1">
      <c r="A963" s="1"/>
      <c r="B963" s="51" t="s">
        <v>2540</v>
      </c>
      <c r="C963" s="1553">
        <v>3.5</v>
      </c>
      <c r="D963" s="548">
        <f t="shared" si="73"/>
        <v>5.25</v>
      </c>
      <c r="E963" s="1651"/>
      <c r="F963" s="125" t="s">
        <v>14</v>
      </c>
      <c r="G963" s="63"/>
      <c r="H963" s="63"/>
      <c r="I963" s="1"/>
      <c r="J963" s="1"/>
      <c r="K963" s="1"/>
      <c r="L963" s="1"/>
      <c r="M963" s="1"/>
    </row>
    <row r="964" ht="14.25" customHeight="1">
      <c r="A964" s="1"/>
      <c r="B964" s="138" t="s">
        <v>59</v>
      </c>
      <c r="C964" s="1554">
        <v>7.0</v>
      </c>
      <c r="D964" s="842">
        <f>(C964*D965)/C965</f>
        <v>10.5</v>
      </c>
      <c r="E964" s="1655"/>
      <c r="F964" s="281" t="s">
        <v>5</v>
      </c>
      <c r="G964" s="63"/>
      <c r="H964" s="63"/>
      <c r="I964" s="1"/>
      <c r="J964" s="1"/>
      <c r="K964" s="1"/>
      <c r="L964" s="1"/>
      <c r="M964" s="1"/>
    </row>
    <row r="965" ht="14.25" customHeight="1">
      <c r="A965" s="1"/>
      <c r="B965" s="68" t="s">
        <v>13</v>
      </c>
      <c r="C965" s="975">
        <v>7.0</v>
      </c>
      <c r="D965" s="516">
        <f t="shared" ref="D965:D967" si="74">(C965*D963)/C963</f>
        <v>10.5</v>
      </c>
      <c r="E965" s="1652"/>
      <c r="F965" s="137" t="s">
        <v>14</v>
      </c>
      <c r="G965" s="140" t="s">
        <v>3195</v>
      </c>
      <c r="H965" s="63"/>
      <c r="I965" s="1"/>
      <c r="J965" s="1"/>
      <c r="K965" s="1"/>
      <c r="L965" s="1"/>
      <c r="M965" s="1"/>
    </row>
    <row r="966" ht="14.25" customHeight="1">
      <c r="A966" s="1"/>
      <c r="B966" s="93" t="s">
        <v>17</v>
      </c>
      <c r="C966" s="40">
        <v>60.0</v>
      </c>
      <c r="D966" s="521">
        <f t="shared" si="74"/>
        <v>90</v>
      </c>
      <c r="E966" s="1653"/>
      <c r="F966" s="165" t="s">
        <v>18</v>
      </c>
      <c r="H966" s="63"/>
      <c r="I966" s="1"/>
      <c r="J966" s="1"/>
      <c r="K966" s="1"/>
      <c r="L966" s="1"/>
      <c r="M966" s="1"/>
    </row>
    <row r="967" ht="14.25" customHeight="1">
      <c r="A967" s="1"/>
      <c r="B967" s="105" t="s">
        <v>430</v>
      </c>
      <c r="C967" s="980">
        <v>600.0</v>
      </c>
      <c r="D967" s="517">
        <f t="shared" si="74"/>
        <v>900</v>
      </c>
      <c r="E967" s="1656"/>
      <c r="F967" s="172" t="s">
        <v>18</v>
      </c>
      <c r="G967" s="104"/>
      <c r="H967" s="920"/>
      <c r="I967" s="1"/>
      <c r="J967" s="1"/>
      <c r="K967" s="1"/>
      <c r="L967" s="1"/>
      <c r="M967" s="1"/>
    </row>
    <row r="968" ht="15.0" customHeight="1">
      <c r="A968" s="1"/>
      <c r="B968" s="1"/>
      <c r="C968" s="107"/>
      <c r="D968" s="184"/>
      <c r="E968" s="184"/>
      <c r="F968" s="108"/>
      <c r="G968" s="1"/>
      <c r="H968" s="920"/>
      <c r="I968" s="1"/>
      <c r="J968" s="1"/>
      <c r="K968" s="1"/>
      <c r="L968" s="1"/>
      <c r="M968" s="1"/>
    </row>
    <row r="969" ht="14.25" customHeight="1">
      <c r="A969" s="1"/>
      <c r="B969" s="1"/>
      <c r="C969" s="1494"/>
      <c r="D969" s="1838"/>
      <c r="E969" s="1838"/>
      <c r="F969" s="108"/>
      <c r="G969" s="1"/>
      <c r="H969" s="920"/>
      <c r="I969" s="1"/>
      <c r="J969" s="1"/>
      <c r="K969" s="1"/>
      <c r="L969" s="1"/>
      <c r="M969" s="1"/>
    </row>
    <row r="970" ht="14.25" customHeight="1">
      <c r="A970" s="1"/>
      <c r="B970" s="2852" t="s">
        <v>3196</v>
      </c>
      <c r="C970" s="5"/>
      <c r="D970" s="6"/>
      <c r="E970" s="2853"/>
      <c r="F970" s="108"/>
      <c r="G970" s="1"/>
      <c r="H970" s="140" t="s">
        <v>3195</v>
      </c>
      <c r="I970" s="1"/>
      <c r="J970" s="1"/>
      <c r="K970" s="1"/>
      <c r="L970" s="1"/>
      <c r="M970" s="1"/>
    </row>
    <row r="971" ht="14.25" customHeight="1">
      <c r="A971" s="1"/>
      <c r="B971" s="102"/>
      <c r="C971" s="104"/>
      <c r="D971" s="106"/>
      <c r="E971" s="2853"/>
      <c r="F971" s="108"/>
      <c r="G971" s="1"/>
      <c r="I971" s="1"/>
      <c r="J971" s="1"/>
      <c r="K971" s="1"/>
      <c r="L971" s="1"/>
      <c r="M971" s="1"/>
    </row>
    <row r="972" ht="14.25" customHeight="1">
      <c r="A972" s="1"/>
      <c r="B972" s="1"/>
      <c r="C972" s="107"/>
      <c r="D972" s="184"/>
      <c r="E972" s="184"/>
      <c r="F972" s="108"/>
      <c r="G972" s="1"/>
      <c r="I972" s="1"/>
      <c r="J972" s="1"/>
      <c r="K972" s="1"/>
      <c r="L972" s="1"/>
      <c r="M972" s="1"/>
    </row>
    <row r="973" ht="14.25" customHeight="1">
      <c r="A973" s="1"/>
      <c r="B973" s="1"/>
      <c r="C973" s="107"/>
      <c r="D973" s="184"/>
      <c r="E973" s="184"/>
      <c r="F973" s="108"/>
      <c r="G973" s="1"/>
      <c r="I973" s="1"/>
      <c r="J973" s="1"/>
      <c r="K973" s="1"/>
      <c r="L973" s="1"/>
      <c r="M973" s="1"/>
    </row>
    <row r="974" ht="14.25" customHeight="1">
      <c r="A974" s="1"/>
      <c r="B974" s="90" t="s">
        <v>120</v>
      </c>
      <c r="C974" s="1188">
        <v>42763.0</v>
      </c>
      <c r="D974" s="184"/>
      <c r="E974" s="184"/>
      <c r="F974" s="108"/>
      <c r="G974" s="1"/>
      <c r="I974" s="1"/>
      <c r="J974" s="1"/>
      <c r="K974" s="1"/>
      <c r="L974" s="1"/>
      <c r="M974" s="1"/>
    </row>
    <row r="975" ht="14.25" customHeight="1">
      <c r="A975" s="1"/>
      <c r="B975" s="305" t="s">
        <v>50</v>
      </c>
      <c r="C975" s="1188"/>
      <c r="D975" s="184"/>
      <c r="E975" s="184"/>
      <c r="F975" s="108"/>
      <c r="G975" s="1"/>
      <c r="I975" s="1"/>
      <c r="J975" s="1"/>
      <c r="K975" s="1"/>
      <c r="L975" s="1"/>
      <c r="M975" s="1"/>
    </row>
    <row r="976" ht="14.25" customHeight="1">
      <c r="A976" s="1"/>
      <c r="B976" s="258" t="s">
        <v>119</v>
      </c>
      <c r="C976" s="258" t="s">
        <v>47</v>
      </c>
      <c r="D976" s="184"/>
      <c r="E976" s="184"/>
      <c r="F976" s="108"/>
      <c r="G976" s="1"/>
      <c r="I976" s="1"/>
      <c r="J976" s="1"/>
      <c r="K976" s="1"/>
      <c r="L976" s="1"/>
      <c r="M976" s="1"/>
    </row>
    <row r="977" ht="14.25" customHeight="1">
      <c r="A977" s="1"/>
      <c r="B977" s="1"/>
      <c r="C977" s="107"/>
      <c r="D977" s="184"/>
      <c r="E977" s="184"/>
      <c r="F977" s="108"/>
      <c r="G977" s="1"/>
      <c r="I977" s="1"/>
      <c r="J977" s="1"/>
      <c r="K977" s="1"/>
      <c r="L977" s="1"/>
      <c r="M977" s="1"/>
    </row>
    <row r="978" ht="14.25" customHeight="1">
      <c r="A978" s="1"/>
      <c r="B978" s="1"/>
      <c r="C978" s="107"/>
      <c r="D978" s="184"/>
      <c r="E978" s="184"/>
      <c r="F978" s="108"/>
      <c r="G978" s="1"/>
      <c r="I978" s="1"/>
      <c r="J978" s="1"/>
      <c r="K978" s="1"/>
      <c r="L978" s="1"/>
      <c r="M978" s="1"/>
    </row>
    <row r="979" ht="14.25" customHeight="1">
      <c r="A979" s="1"/>
      <c r="B979" s="766" t="s">
        <v>3199</v>
      </c>
      <c r="C979" s="18"/>
      <c r="D979" s="18"/>
      <c r="E979" s="18"/>
      <c r="F979" s="19"/>
      <c r="G979" s="1"/>
      <c r="I979" s="1"/>
      <c r="J979" s="1"/>
      <c r="K979" s="1"/>
      <c r="L979" s="1"/>
      <c r="M979" s="1"/>
    </row>
    <row r="980" ht="14.25" customHeight="1">
      <c r="A980" s="1"/>
      <c r="B980" s="417" t="s">
        <v>1</v>
      </c>
      <c r="C980" s="418">
        <v>120.0</v>
      </c>
      <c r="D980" s="542">
        <v>20.4</v>
      </c>
      <c r="E980" s="1614"/>
      <c r="F980" s="420" t="s">
        <v>190</v>
      </c>
      <c r="G980" s="1"/>
      <c r="H980" s="920"/>
      <c r="I980" s="1"/>
      <c r="J980" s="1"/>
      <c r="K980" s="1"/>
      <c r="L980" s="1"/>
      <c r="M980" s="1"/>
    </row>
    <row r="981" ht="14.25" customHeight="1">
      <c r="A981" s="1"/>
      <c r="B981" s="68" t="s">
        <v>15</v>
      </c>
      <c r="C981" s="1202">
        <v>52.0</v>
      </c>
      <c r="D981" s="1204">
        <f t="shared" ref="D981:D989" si="75">(C981*D980)/C980</f>
        <v>8.84</v>
      </c>
      <c r="E981" s="2828"/>
      <c r="F981" s="137" t="s">
        <v>5</v>
      </c>
      <c r="G981" s="1"/>
      <c r="H981" s="920"/>
      <c r="I981" s="1"/>
      <c r="J981" s="1"/>
      <c r="K981" s="1"/>
      <c r="L981" s="1"/>
      <c r="M981" s="1"/>
    </row>
    <row r="982" ht="14.25" customHeight="1">
      <c r="A982" s="1"/>
      <c r="B982" s="119" t="s">
        <v>1699</v>
      </c>
      <c r="C982" s="1209">
        <v>40.0</v>
      </c>
      <c r="D982" s="1211">
        <f t="shared" si="75"/>
        <v>6.8</v>
      </c>
      <c r="E982" s="2854"/>
      <c r="F982" s="176" t="s">
        <v>5</v>
      </c>
      <c r="G982" s="1"/>
      <c r="H982" s="920"/>
      <c r="I982" s="1"/>
      <c r="J982" s="1"/>
      <c r="K982" s="1"/>
      <c r="L982" s="1"/>
      <c r="M982" s="1"/>
    </row>
    <row r="983" ht="14.25" customHeight="1">
      <c r="A983" s="1"/>
      <c r="B983" s="93" t="s">
        <v>1136</v>
      </c>
      <c r="C983" s="1213">
        <v>3.2</v>
      </c>
      <c r="D983" s="1214">
        <f t="shared" si="75"/>
        <v>0.544</v>
      </c>
      <c r="E983" s="2830"/>
      <c r="F983" s="165" t="s">
        <v>366</v>
      </c>
      <c r="G983" s="1"/>
      <c r="H983" s="920"/>
      <c r="I983" s="1"/>
      <c r="J983" s="1"/>
      <c r="K983" s="1"/>
      <c r="L983" s="1"/>
      <c r="M983" s="1"/>
    </row>
    <row r="984" ht="14.25" customHeight="1">
      <c r="A984" s="1"/>
      <c r="B984" s="93" t="s">
        <v>1853</v>
      </c>
      <c r="C984" s="1213">
        <v>0.6400000000000001</v>
      </c>
      <c r="D984" s="1214">
        <f t="shared" si="75"/>
        <v>0.1088</v>
      </c>
      <c r="E984" s="2830"/>
      <c r="F984" s="165" t="s">
        <v>5</v>
      </c>
      <c r="G984" s="1"/>
      <c r="H984" s="920"/>
      <c r="I984" s="1"/>
      <c r="J984" s="1"/>
      <c r="K984" s="1"/>
      <c r="L984" s="1"/>
      <c r="M984" s="1"/>
    </row>
    <row r="985" ht="14.25" customHeight="1">
      <c r="A985" s="1"/>
      <c r="B985" s="138" t="s">
        <v>13</v>
      </c>
      <c r="C985" s="351">
        <v>16.000000000000004</v>
      </c>
      <c r="D985" s="1229">
        <f t="shared" si="75"/>
        <v>2.72</v>
      </c>
      <c r="E985" s="2822"/>
      <c r="F985" s="281" t="s">
        <v>366</v>
      </c>
      <c r="G985" s="1"/>
      <c r="H985" s="920"/>
      <c r="I985" s="1"/>
      <c r="J985" s="1"/>
      <c r="K985" s="1"/>
      <c r="L985" s="1"/>
      <c r="M985" s="1"/>
    </row>
    <row r="986" ht="14.25" customHeight="1">
      <c r="A986" s="1"/>
      <c r="B986" s="173" t="s">
        <v>11</v>
      </c>
      <c r="C986" s="1234">
        <v>15.0</v>
      </c>
      <c r="D986" s="1235">
        <f t="shared" si="75"/>
        <v>2.55</v>
      </c>
      <c r="E986" s="2855"/>
      <c r="F986" s="278" t="s">
        <v>5</v>
      </c>
      <c r="G986" s="1"/>
      <c r="H986" s="920"/>
      <c r="I986" s="1"/>
      <c r="J986" s="1"/>
      <c r="K986" s="1"/>
      <c r="L986" s="1"/>
      <c r="M986" s="1"/>
    </row>
    <row r="987" ht="14.25" customHeight="1">
      <c r="A987" s="1"/>
      <c r="B987" s="68" t="s">
        <v>1856</v>
      </c>
      <c r="C987" s="145">
        <v>20.0</v>
      </c>
      <c r="D987" s="155">
        <f t="shared" si="75"/>
        <v>3.4</v>
      </c>
      <c r="E987" s="899"/>
      <c r="F987" s="137" t="s">
        <v>366</v>
      </c>
      <c r="G987" s="1"/>
      <c r="H987" s="920"/>
      <c r="I987" s="1"/>
      <c r="J987" s="1"/>
      <c r="K987" s="1"/>
      <c r="L987" s="1"/>
      <c r="M987" s="1"/>
    </row>
    <row r="988" ht="14.25" customHeight="1">
      <c r="A988" s="1"/>
      <c r="B988" s="93" t="s">
        <v>3201</v>
      </c>
      <c r="C988" s="195">
        <v>12.0</v>
      </c>
      <c r="D988" s="78">
        <f t="shared" si="75"/>
        <v>2.04</v>
      </c>
      <c r="E988" s="900"/>
      <c r="F988" s="165" t="s">
        <v>14</v>
      </c>
      <c r="G988" s="1"/>
      <c r="H988" s="920"/>
      <c r="I988" s="1"/>
      <c r="J988" s="1"/>
      <c r="K988" s="1"/>
      <c r="L988" s="1"/>
      <c r="M988" s="1"/>
    </row>
    <row r="989" ht="14.25" customHeight="1">
      <c r="A989" s="1"/>
      <c r="B989" s="93" t="s">
        <v>3202</v>
      </c>
      <c r="C989" s="195">
        <v>12.0</v>
      </c>
      <c r="D989" s="78">
        <f t="shared" si="75"/>
        <v>2.04</v>
      </c>
      <c r="E989" s="900"/>
      <c r="F989" s="165" t="s">
        <v>14</v>
      </c>
      <c r="G989" s="1"/>
      <c r="H989" s="920"/>
      <c r="I989" s="1"/>
      <c r="J989" s="1"/>
      <c r="K989" s="1"/>
      <c r="L989" s="1"/>
      <c r="M989" s="1"/>
    </row>
    <row r="990" ht="14.25" customHeight="1">
      <c r="A990" s="1"/>
      <c r="B990" s="93" t="s">
        <v>1862</v>
      </c>
      <c r="C990" s="195">
        <v>12.0</v>
      </c>
      <c r="D990" s="78">
        <f>(C990*D991)/C991</f>
        <v>2.04</v>
      </c>
      <c r="E990" s="900"/>
      <c r="F990" s="165" t="s">
        <v>14</v>
      </c>
      <c r="G990" s="1"/>
      <c r="H990" s="920"/>
      <c r="I990" s="1"/>
      <c r="J990" s="1"/>
      <c r="K990" s="1"/>
      <c r="L990" s="1"/>
      <c r="M990" s="1"/>
    </row>
    <row r="991" ht="15.0" customHeight="1">
      <c r="A991" s="1"/>
      <c r="B991" s="105" t="s">
        <v>1861</v>
      </c>
      <c r="C991" s="200">
        <v>10.0</v>
      </c>
      <c r="D991" s="56">
        <f t="shared" ref="D991:D992" si="76">(C991*D989)/C989</f>
        <v>1.7</v>
      </c>
      <c r="E991" s="1604"/>
      <c r="F991" s="172" t="s">
        <v>366</v>
      </c>
      <c r="G991" s="1"/>
      <c r="H991" s="920"/>
      <c r="I991" s="1"/>
      <c r="J991" s="1"/>
      <c r="K991" s="1"/>
      <c r="L991" s="1"/>
      <c r="M991" s="1"/>
    </row>
    <row r="992" ht="14.25" customHeight="1">
      <c r="A992" s="1"/>
      <c r="B992" s="119" t="s">
        <v>743</v>
      </c>
      <c r="C992" s="238">
        <v>1.0</v>
      </c>
      <c r="D992" s="129">
        <f t="shared" si="76"/>
        <v>0.17</v>
      </c>
      <c r="E992" s="1583"/>
      <c r="F992" s="176" t="s">
        <v>190</v>
      </c>
      <c r="G992" s="1"/>
      <c r="H992" s="920"/>
      <c r="I992" s="1"/>
      <c r="J992" s="1"/>
      <c r="K992" s="1"/>
      <c r="L992" s="1"/>
      <c r="M992" s="1"/>
    </row>
    <row r="993" ht="14.25" customHeight="1">
      <c r="A993" s="1"/>
      <c r="B993" s="93" t="s">
        <v>1709</v>
      </c>
      <c r="C993" s="195">
        <v>400.0</v>
      </c>
      <c r="D993" s="78">
        <f t="shared" ref="D993:D996" si="77">(C993*D992)/C992</f>
        <v>68</v>
      </c>
      <c r="E993" s="900"/>
      <c r="F993" s="165" t="s">
        <v>18</v>
      </c>
      <c r="G993" s="1"/>
      <c r="H993" s="920"/>
      <c r="I993" s="1"/>
      <c r="J993" s="1"/>
      <c r="K993" s="1"/>
      <c r="L993" s="1"/>
      <c r="M993" s="1"/>
    </row>
    <row r="994" ht="14.25" customHeight="1">
      <c r="A994" s="1"/>
      <c r="B994" s="93" t="s">
        <v>1710</v>
      </c>
      <c r="C994" s="195">
        <v>2.0</v>
      </c>
      <c r="D994" s="78">
        <f t="shared" si="77"/>
        <v>0.34</v>
      </c>
      <c r="E994" s="900"/>
      <c r="F994" s="165" t="s">
        <v>5</v>
      </c>
      <c r="G994" s="1"/>
      <c r="H994" s="920"/>
      <c r="I994" s="1"/>
      <c r="J994" s="1"/>
      <c r="K994" s="1"/>
      <c r="L994" s="1"/>
      <c r="M994" s="1"/>
    </row>
    <row r="995" ht="14.25" customHeight="1">
      <c r="A995" s="1"/>
      <c r="B995" s="105" t="s">
        <v>1711</v>
      </c>
      <c r="C995" s="200">
        <v>2000.0</v>
      </c>
      <c r="D995" s="56">
        <f t="shared" si="77"/>
        <v>340</v>
      </c>
      <c r="E995" s="1604"/>
      <c r="F995" s="172" t="s">
        <v>18</v>
      </c>
      <c r="G995" s="1"/>
      <c r="H995" s="920"/>
      <c r="I995" s="1"/>
      <c r="J995" s="1"/>
      <c r="K995" s="1"/>
      <c r="L995" s="1"/>
      <c r="M995" s="1"/>
    </row>
    <row r="996" ht="14.25" customHeight="1">
      <c r="A996" s="1"/>
      <c r="B996" s="708" t="s">
        <v>16</v>
      </c>
      <c r="C996" s="709">
        <v>25.0</v>
      </c>
      <c r="D996" s="1639">
        <f t="shared" si="77"/>
        <v>4.25</v>
      </c>
      <c r="E996" s="2237"/>
      <c r="F996" s="457" t="s">
        <v>366</v>
      </c>
      <c r="G996" s="1"/>
      <c r="H996" s="920"/>
      <c r="I996" s="1"/>
      <c r="J996" s="1"/>
      <c r="K996" s="1"/>
      <c r="L996" s="1"/>
      <c r="M996" s="1"/>
    </row>
    <row r="997" ht="15.0" customHeight="1">
      <c r="A997" s="1"/>
      <c r="B997" s="1"/>
      <c r="C997" s="107"/>
      <c r="D997" s="184"/>
      <c r="E997" s="184"/>
      <c r="F997" s="108"/>
      <c r="G997" s="1"/>
      <c r="H997" s="920"/>
      <c r="I997" s="1"/>
      <c r="J997" s="1"/>
      <c r="K997" s="1"/>
      <c r="L997" s="1"/>
      <c r="M997" s="1"/>
    </row>
    <row r="998" ht="14.25" customHeight="1">
      <c r="A998" s="1"/>
      <c r="B998" s="258" t="s">
        <v>119</v>
      </c>
      <c r="C998" s="258" t="s">
        <v>47</v>
      </c>
      <c r="D998" s="184"/>
      <c r="E998" s="184"/>
      <c r="F998" s="108"/>
      <c r="G998" s="1"/>
      <c r="H998" s="920"/>
      <c r="I998" s="1"/>
      <c r="J998" s="1"/>
      <c r="K998" s="1"/>
      <c r="L998" s="1"/>
      <c r="M998" s="1"/>
    </row>
    <row r="999" ht="14.25" customHeight="1">
      <c r="A999" s="1"/>
      <c r="B999" s="1326" t="s">
        <v>3205</v>
      </c>
      <c r="C999" s="18"/>
      <c r="D999" s="18"/>
      <c r="E999" s="18"/>
      <c r="F999" s="19"/>
      <c r="G999" s="1"/>
      <c r="H999" s="920"/>
      <c r="I999" s="1"/>
      <c r="J999" s="1"/>
      <c r="K999" s="1"/>
      <c r="L999" s="1"/>
      <c r="M999" s="1"/>
    </row>
    <row r="1000" ht="14.25" customHeight="1">
      <c r="A1000" s="1"/>
      <c r="B1000" s="119" t="s">
        <v>1839</v>
      </c>
      <c r="C1000" s="523">
        <v>50.0</v>
      </c>
      <c r="D1000" s="523">
        <v>1500.0</v>
      </c>
      <c r="E1000" s="132"/>
      <c r="F1000" s="520" t="s">
        <v>2832</v>
      </c>
      <c r="G1000" s="1"/>
      <c r="H1000" s="920"/>
      <c r="I1000" s="1"/>
      <c r="J1000" s="1"/>
      <c r="K1000" s="1"/>
      <c r="L1000" s="1"/>
      <c r="M1000" s="1"/>
    </row>
    <row r="1001" ht="14.25" customHeight="1">
      <c r="A1001" s="1"/>
      <c r="B1001" s="93" t="s">
        <v>3207</v>
      </c>
      <c r="C1001" s="247">
        <v>1.0</v>
      </c>
      <c r="D1001" s="247">
        <f t="shared" ref="D1001:D1003" si="78">(C1001*D1000)/C1000</f>
        <v>30</v>
      </c>
      <c r="E1001" s="95"/>
      <c r="F1001" s="249" t="s">
        <v>366</v>
      </c>
      <c r="G1001" s="1"/>
      <c r="H1001" s="920"/>
      <c r="I1001" s="1"/>
      <c r="J1001" s="1"/>
      <c r="K1001" s="1"/>
      <c r="L1001" s="1"/>
      <c r="M1001" s="1"/>
    </row>
    <row r="1002" ht="14.25" customHeight="1">
      <c r="A1002" s="1"/>
      <c r="B1002" s="93" t="s">
        <v>2377</v>
      </c>
      <c r="C1002" s="247">
        <v>0.2</v>
      </c>
      <c r="D1002" s="247">
        <f t="shared" si="78"/>
        <v>6</v>
      </c>
      <c r="E1002" s="95"/>
      <c r="F1002" s="249" t="s">
        <v>366</v>
      </c>
      <c r="G1002" s="1"/>
      <c r="H1002" s="920"/>
      <c r="I1002" s="1"/>
      <c r="J1002" s="1"/>
      <c r="K1002" s="1"/>
      <c r="L1002" s="1"/>
      <c r="M1002" s="1"/>
    </row>
    <row r="1003" ht="14.25" customHeight="1">
      <c r="A1003" s="1"/>
      <c r="B1003" s="105" t="s">
        <v>3208</v>
      </c>
      <c r="C1003" s="522">
        <v>1.0</v>
      </c>
      <c r="D1003" s="522">
        <f t="shared" si="78"/>
        <v>30</v>
      </c>
      <c r="E1003" s="114"/>
      <c r="F1003" s="518" t="s">
        <v>1557</v>
      </c>
      <c r="G1003" s="1"/>
      <c r="H1003" s="920"/>
      <c r="I1003" s="1"/>
      <c r="J1003" s="1"/>
      <c r="K1003" s="1"/>
      <c r="L1003" s="1"/>
      <c r="M1003" s="1"/>
    </row>
    <row r="1004" ht="14.25" customHeight="1">
      <c r="A1004" s="1"/>
      <c r="B1004" s="1"/>
      <c r="C1004" s="107"/>
      <c r="D1004" s="184"/>
      <c r="E1004" s="184"/>
      <c r="F1004" s="108"/>
      <c r="G1004" s="1"/>
      <c r="H1004" s="920"/>
      <c r="I1004" s="1"/>
      <c r="J1004" s="1"/>
      <c r="K1004" s="1"/>
      <c r="L1004" s="1"/>
      <c r="M1004" s="1"/>
    </row>
    <row r="1005" ht="14.25" customHeight="1">
      <c r="A1005" s="1"/>
      <c r="B1005" s="90" t="s">
        <v>120</v>
      </c>
      <c r="C1005" s="1188">
        <v>42763.0</v>
      </c>
      <c r="D1005" s="184"/>
      <c r="E1005" s="184"/>
      <c r="F1005" s="108"/>
      <c r="G1005" s="1"/>
      <c r="H1005" s="920"/>
      <c r="I1005" s="1"/>
      <c r="J1005" s="1"/>
      <c r="K1005" s="1"/>
      <c r="L1005" s="1"/>
      <c r="M1005" s="1"/>
    </row>
    <row r="1006" ht="14.25" customHeight="1">
      <c r="A1006" s="1"/>
      <c r="B1006" s="305" t="s">
        <v>50</v>
      </c>
      <c r="C1006" s="1188"/>
      <c r="D1006" s="184"/>
      <c r="E1006" s="184"/>
      <c r="F1006" s="108"/>
      <c r="G1006" s="1"/>
      <c r="H1006" s="920"/>
      <c r="I1006" s="1"/>
      <c r="J1006" s="1"/>
      <c r="K1006" s="1"/>
      <c r="L1006" s="1"/>
      <c r="M1006" s="1"/>
    </row>
    <row r="1007" ht="14.25" customHeight="1">
      <c r="A1007" s="1"/>
      <c r="B1007" s="1"/>
      <c r="C1007" s="107"/>
      <c r="D1007" s="184"/>
      <c r="E1007" s="184"/>
      <c r="F1007" s="108"/>
      <c r="G1007" s="1"/>
      <c r="H1007" s="920"/>
      <c r="I1007" s="1"/>
      <c r="J1007" s="1"/>
      <c r="K1007" s="1"/>
      <c r="L1007" s="1"/>
      <c r="M1007" s="1"/>
    </row>
    <row r="1008" ht="14.25" customHeight="1">
      <c r="A1008" s="1"/>
      <c r="B1008" s="258" t="s">
        <v>119</v>
      </c>
      <c r="C1008" s="258" t="s">
        <v>47</v>
      </c>
      <c r="D1008" s="184"/>
      <c r="E1008" s="184"/>
      <c r="F1008" s="108"/>
      <c r="G1008" s="1"/>
      <c r="H1008" s="920"/>
      <c r="I1008" s="1"/>
      <c r="J1008" s="1"/>
      <c r="K1008" s="1"/>
      <c r="L1008" s="1"/>
      <c r="M1008" s="1"/>
    </row>
    <row r="1009" ht="14.25" customHeight="1">
      <c r="A1009" s="1"/>
      <c r="B1009" s="1"/>
      <c r="C1009" s="107"/>
      <c r="D1009" s="184"/>
      <c r="E1009" s="184"/>
      <c r="F1009" s="108"/>
      <c r="G1009" s="1"/>
      <c r="H1009" s="920"/>
      <c r="I1009" s="1"/>
      <c r="J1009" s="1"/>
      <c r="K1009" s="1"/>
      <c r="L1009" s="1"/>
      <c r="M1009" s="1"/>
    </row>
    <row r="1010" ht="14.25" customHeight="1">
      <c r="A1010" s="1"/>
      <c r="B1010" s="1"/>
      <c r="C1010" s="107"/>
      <c r="D1010" s="184"/>
      <c r="E1010" s="184"/>
      <c r="F1010" s="108"/>
      <c r="G1010" s="1"/>
      <c r="H1010" s="920"/>
      <c r="I1010" s="1"/>
      <c r="J1010" s="1"/>
      <c r="K1010" s="1"/>
      <c r="L1010" s="1"/>
      <c r="M1010" s="1"/>
    </row>
    <row r="1011" ht="14.25" customHeight="1">
      <c r="A1011" s="1"/>
      <c r="B1011" s="674" t="s">
        <v>3211</v>
      </c>
      <c r="C1011" s="18"/>
      <c r="D1011" s="18"/>
      <c r="E1011" s="18"/>
      <c r="F1011" s="19"/>
      <c r="G1011" s="605"/>
      <c r="H1011" s="920"/>
      <c r="I1011" s="1"/>
      <c r="J1011" s="1"/>
      <c r="K1011" s="1"/>
      <c r="L1011" s="1"/>
      <c r="M1011" s="1"/>
    </row>
    <row r="1012" ht="14.25" customHeight="1">
      <c r="A1012" s="1"/>
      <c r="B1012" s="173" t="s">
        <v>1388</v>
      </c>
      <c r="C1012" s="275">
        <v>5.0</v>
      </c>
      <c r="D1012" s="179">
        <v>36.0</v>
      </c>
      <c r="E1012" s="1689"/>
      <c r="F1012" s="278" t="s">
        <v>5</v>
      </c>
      <c r="G1012" s="605"/>
      <c r="H1012" s="920"/>
      <c r="I1012" s="1"/>
      <c r="J1012" s="1"/>
      <c r="K1012" s="1"/>
      <c r="L1012" s="1"/>
      <c r="M1012" s="1"/>
    </row>
    <row r="1013" ht="14.25" customHeight="1">
      <c r="A1013" s="1"/>
      <c r="B1013" s="68" t="s">
        <v>15</v>
      </c>
      <c r="C1013" s="145">
        <v>8.0</v>
      </c>
      <c r="D1013" s="210">
        <f t="shared" ref="D1013:D1014" si="79">(C1013*D1012)/C1012</f>
        <v>57.6</v>
      </c>
      <c r="E1013" s="81"/>
      <c r="F1013" s="137" t="s">
        <v>5</v>
      </c>
      <c r="G1013" s="339" t="s">
        <v>3216</v>
      </c>
      <c r="H1013" s="920"/>
      <c r="I1013" s="1"/>
      <c r="J1013" s="1"/>
      <c r="K1013" s="1"/>
      <c r="L1013" s="1"/>
      <c r="M1013" s="1"/>
    </row>
    <row r="1014" ht="14.25" customHeight="1">
      <c r="A1014" s="1"/>
      <c r="B1014" s="149" t="s">
        <v>3217</v>
      </c>
      <c r="C1014" s="152">
        <v>5.0</v>
      </c>
      <c r="D1014" s="522">
        <f t="shared" si="79"/>
        <v>36</v>
      </c>
      <c r="E1014" s="114"/>
      <c r="F1014" s="172" t="s">
        <v>5</v>
      </c>
      <c r="G1014" s="76"/>
      <c r="H1014" s="920"/>
      <c r="I1014" s="1"/>
      <c r="J1014" s="1"/>
      <c r="K1014" s="1"/>
      <c r="L1014" s="1"/>
      <c r="M1014" s="1"/>
    </row>
    <row r="1015" ht="14.25" customHeight="1">
      <c r="A1015" s="1"/>
      <c r="B1015" s="68" t="s">
        <v>15</v>
      </c>
      <c r="C1015" s="145">
        <v>7.0</v>
      </c>
      <c r="D1015" s="210">
        <f t="shared" ref="D1015:D1016" si="80">(C1015*D1012)/C1012</f>
        <v>50.4</v>
      </c>
      <c r="E1015" s="81"/>
      <c r="F1015" s="137" t="s">
        <v>5</v>
      </c>
      <c r="G1015" s="339" t="s">
        <v>3220</v>
      </c>
      <c r="H1015" s="920"/>
      <c r="I1015" s="1"/>
      <c r="J1015" s="1"/>
      <c r="K1015" s="1"/>
      <c r="L1015" s="1"/>
      <c r="M1015" s="1"/>
    </row>
    <row r="1016" ht="14.25" customHeight="1">
      <c r="A1016" s="1"/>
      <c r="B1016" s="105" t="s">
        <v>3222</v>
      </c>
      <c r="C1016" s="200">
        <v>1.12</v>
      </c>
      <c r="D1016" s="522">
        <f t="shared" si="80"/>
        <v>8.064</v>
      </c>
      <c r="E1016" s="114"/>
      <c r="F1016" s="172" t="s">
        <v>14</v>
      </c>
      <c r="G1016" s="76"/>
      <c r="H1016" s="920"/>
      <c r="I1016" s="1"/>
      <c r="J1016" s="1"/>
      <c r="K1016" s="1"/>
      <c r="L1016" s="1"/>
      <c r="M1016" s="1"/>
    </row>
    <row r="1017" ht="14.25" customHeight="1">
      <c r="A1017" s="1"/>
      <c r="B1017" s="68" t="s">
        <v>3223</v>
      </c>
      <c r="C1017" s="145">
        <v>57.0</v>
      </c>
      <c r="D1017" s="210">
        <f t="shared" ref="D1017:D1019" si="81">(C1017*D1016)/C1016</f>
        <v>410.4</v>
      </c>
      <c r="E1017" s="81"/>
      <c r="F1017" s="137" t="s">
        <v>18</v>
      </c>
      <c r="G1017" s="653" t="s">
        <v>3225</v>
      </c>
      <c r="H1017" s="920"/>
      <c r="I1017" s="1"/>
      <c r="J1017" s="1"/>
      <c r="K1017" s="1"/>
      <c r="L1017" s="1"/>
      <c r="M1017" s="1"/>
    </row>
    <row r="1018" ht="14.25" customHeight="1">
      <c r="A1018" s="1"/>
      <c r="B1018" s="93" t="s">
        <v>1132</v>
      </c>
      <c r="C1018" s="195">
        <v>57.0</v>
      </c>
      <c r="D1018" s="247">
        <f t="shared" si="81"/>
        <v>410.4</v>
      </c>
      <c r="E1018" s="95"/>
      <c r="F1018" s="165" t="s">
        <v>18</v>
      </c>
      <c r="G1018" s="47"/>
      <c r="H1018" s="920"/>
      <c r="I1018" s="1"/>
      <c r="J1018" s="1"/>
      <c r="K1018" s="1"/>
      <c r="L1018" s="1"/>
      <c r="M1018" s="1"/>
    </row>
    <row r="1019" ht="14.25" customHeight="1">
      <c r="A1019" s="1"/>
      <c r="B1019" s="93" t="s">
        <v>2057</v>
      </c>
      <c r="C1019" s="195">
        <v>62.5</v>
      </c>
      <c r="D1019" s="247">
        <f t="shared" si="81"/>
        <v>450</v>
      </c>
      <c r="E1019" s="95"/>
      <c r="F1019" s="165" t="s">
        <v>18</v>
      </c>
      <c r="G1019" s="47"/>
      <c r="H1019" s="920"/>
      <c r="I1019" s="1"/>
      <c r="J1019" s="1"/>
      <c r="K1019" s="1"/>
      <c r="L1019" s="1"/>
      <c r="M1019" s="1"/>
    </row>
    <row r="1020" ht="14.25" customHeight="1">
      <c r="A1020" s="1"/>
      <c r="B1020" s="105" t="s">
        <v>749</v>
      </c>
      <c r="C1020" s="200">
        <v>62.5</v>
      </c>
      <c r="D1020" s="522">
        <f t="shared" ref="D1020:D1023" si="82">(C1020*D1017)/C1017</f>
        <v>450</v>
      </c>
      <c r="E1020" s="114"/>
      <c r="F1020" s="172" t="s">
        <v>18</v>
      </c>
      <c r="G1020" s="76"/>
      <c r="H1020" s="920"/>
      <c r="I1020" s="1"/>
      <c r="J1020" s="1"/>
      <c r="K1020" s="1"/>
      <c r="L1020" s="1"/>
      <c r="M1020" s="1"/>
    </row>
    <row r="1021" ht="14.25" customHeight="1">
      <c r="A1021" s="1"/>
      <c r="B1021" s="2857" t="s">
        <v>743</v>
      </c>
      <c r="C1021" s="2858">
        <v>0.18</v>
      </c>
      <c r="D1021" s="2859">
        <f t="shared" si="82"/>
        <v>1.296</v>
      </c>
      <c r="E1021" s="2860"/>
      <c r="F1021" s="2861" t="s">
        <v>5</v>
      </c>
      <c r="G1021" s="2862" t="s">
        <v>3226</v>
      </c>
      <c r="H1021" s="920"/>
      <c r="I1021" s="1"/>
      <c r="J1021" s="1"/>
      <c r="K1021" s="1"/>
      <c r="L1021" s="1"/>
      <c r="M1021" s="1"/>
    </row>
    <row r="1022" ht="14.25" customHeight="1">
      <c r="A1022" s="1"/>
      <c r="B1022" s="2864" t="s">
        <v>13</v>
      </c>
      <c r="C1022" s="2865">
        <v>0.18</v>
      </c>
      <c r="D1022" s="2866">
        <f t="shared" si="82"/>
        <v>1.296</v>
      </c>
      <c r="E1022" s="2867"/>
      <c r="F1022" s="2868" t="s">
        <v>366</v>
      </c>
      <c r="G1022" s="76"/>
      <c r="H1022" s="920"/>
      <c r="I1022" s="1"/>
      <c r="J1022" s="1"/>
      <c r="K1022" s="1"/>
      <c r="L1022" s="1"/>
      <c r="M1022" s="1"/>
    </row>
    <row r="1023" ht="14.25" customHeight="1">
      <c r="A1023" s="1"/>
      <c r="B1023" s="2870" t="s">
        <v>13</v>
      </c>
      <c r="C1023" s="2872">
        <v>0.9</v>
      </c>
      <c r="D1023" s="2866">
        <f t="shared" si="82"/>
        <v>6.48</v>
      </c>
      <c r="E1023" s="2873"/>
      <c r="F1023" s="2874" t="s">
        <v>14</v>
      </c>
      <c r="G1023" s="2876" t="s">
        <v>3228</v>
      </c>
      <c r="H1023" s="920"/>
      <c r="I1023" s="1"/>
      <c r="J1023" s="1"/>
      <c r="K1023" s="1"/>
      <c r="L1023" s="1"/>
      <c r="M1023" s="1"/>
    </row>
    <row r="1024" ht="14.25" customHeight="1">
      <c r="A1024" s="1"/>
      <c r="B1024" s="2877" t="s">
        <v>636</v>
      </c>
      <c r="C1024" s="2879">
        <v>1.1</v>
      </c>
      <c r="D1024" s="2882">
        <f t="shared" ref="D1024:D1025" si="83">(C1024*D1020)/C1020</f>
        <v>7.92</v>
      </c>
      <c r="E1024" s="2883"/>
      <c r="F1024" s="2884" t="s">
        <v>14</v>
      </c>
      <c r="G1024" s="2886" t="s">
        <v>3228</v>
      </c>
      <c r="H1024" s="920"/>
      <c r="I1024" s="1"/>
      <c r="J1024" s="1"/>
      <c r="K1024" s="1"/>
      <c r="L1024" s="1"/>
      <c r="M1024" s="1"/>
    </row>
    <row r="1025" ht="14.25" customHeight="1">
      <c r="A1025" s="1"/>
      <c r="B1025" s="173" t="s">
        <v>17</v>
      </c>
      <c r="C1025" s="275">
        <v>5.0</v>
      </c>
      <c r="D1025" s="173">
        <f t="shared" si="83"/>
        <v>36</v>
      </c>
      <c r="E1025" s="2618"/>
      <c r="F1025" s="545" t="s">
        <v>18</v>
      </c>
      <c r="G1025" s="547"/>
      <c r="H1025" s="920"/>
      <c r="I1025" s="1"/>
      <c r="J1025" s="1"/>
      <c r="K1025" s="1"/>
      <c r="L1025" s="1"/>
      <c r="M1025" s="1"/>
    </row>
    <row r="1026" ht="14.25" customHeight="1">
      <c r="A1026" s="1"/>
      <c r="B1026" s="90" t="s">
        <v>120</v>
      </c>
      <c r="C1026" s="1188">
        <v>43550.0</v>
      </c>
      <c r="D1026" s="184"/>
      <c r="E1026" s="184"/>
      <c r="F1026" s="108"/>
      <c r="G1026" s="1"/>
      <c r="H1026" s="920"/>
      <c r="I1026" s="1"/>
      <c r="J1026" s="1"/>
      <c r="K1026" s="1"/>
      <c r="L1026" s="1"/>
      <c r="M1026" s="1"/>
    </row>
    <row r="1027" ht="14.25" customHeight="1">
      <c r="A1027" s="1"/>
      <c r="B1027" s="305" t="s">
        <v>50</v>
      </c>
      <c r="C1027" s="1188">
        <v>43557.0</v>
      </c>
      <c r="D1027" s="184"/>
      <c r="E1027" s="184"/>
      <c r="F1027" s="108"/>
      <c r="G1027" s="1"/>
      <c r="H1027" s="920"/>
      <c r="I1027" s="1"/>
      <c r="J1027" s="1"/>
      <c r="K1027" s="1"/>
      <c r="L1027" s="1"/>
      <c r="M1027" s="1"/>
    </row>
    <row r="1028" ht="15.0" customHeight="1">
      <c r="A1028" s="1"/>
      <c r="B1028" s="1"/>
      <c r="C1028" s="107"/>
      <c r="D1028" s="184"/>
      <c r="E1028" s="184"/>
      <c r="F1028" s="108"/>
      <c r="G1028" s="1"/>
      <c r="H1028" s="920"/>
      <c r="I1028" s="1"/>
      <c r="J1028" s="1"/>
      <c r="K1028" s="1"/>
      <c r="L1028" s="1"/>
      <c r="M1028" s="1"/>
    </row>
    <row r="1029" ht="15.0" customHeight="1">
      <c r="A1029" s="1"/>
      <c r="B1029" s="258" t="s">
        <v>119</v>
      </c>
      <c r="C1029" s="258" t="s">
        <v>47</v>
      </c>
      <c r="D1029" s="184"/>
      <c r="E1029" s="184"/>
      <c r="F1029" s="108"/>
      <c r="G1029" s="1"/>
      <c r="H1029" s="920"/>
      <c r="I1029" s="1"/>
      <c r="J1029" s="1"/>
      <c r="K1029" s="1"/>
      <c r="L1029" s="1"/>
      <c r="M1029" s="1"/>
    </row>
    <row r="1030" ht="14.25" customHeight="1">
      <c r="A1030" s="1"/>
      <c r="B1030" s="1"/>
      <c r="C1030" s="107"/>
      <c r="D1030" s="184"/>
      <c r="E1030" s="184"/>
      <c r="F1030" s="108"/>
      <c r="G1030" s="1"/>
      <c r="H1030" s="920"/>
      <c r="I1030" s="1"/>
      <c r="J1030" s="1"/>
      <c r="K1030" s="1"/>
      <c r="L1030" s="1"/>
      <c r="M1030" s="1"/>
    </row>
    <row r="1031" ht="14.25" customHeight="1">
      <c r="A1031" s="1"/>
      <c r="B1031" s="1"/>
      <c r="C1031" s="107"/>
      <c r="D1031" s="184"/>
      <c r="E1031" s="184"/>
      <c r="F1031" s="108"/>
      <c r="G1031" s="1"/>
      <c r="H1031" s="920"/>
      <c r="I1031" s="1"/>
      <c r="J1031" s="1"/>
      <c r="K1031" s="1"/>
      <c r="L1031" s="1"/>
      <c r="M1031" s="1"/>
    </row>
    <row r="1032" ht="14.25" customHeight="1">
      <c r="A1032" s="1"/>
      <c r="B1032" s="1"/>
      <c r="C1032" s="107"/>
      <c r="D1032" s="184"/>
      <c r="E1032" s="184"/>
      <c r="F1032" s="108"/>
      <c r="G1032" s="1"/>
      <c r="H1032" s="920"/>
      <c r="I1032" s="1"/>
      <c r="J1032" s="1"/>
      <c r="K1032" s="1"/>
      <c r="L1032" s="1"/>
      <c r="M1032" s="1"/>
    </row>
    <row r="1033" ht="14.25" customHeight="1">
      <c r="A1033" s="1"/>
      <c r="B1033" s="1"/>
      <c r="C1033" s="107"/>
      <c r="D1033" s="184"/>
      <c r="E1033" s="184"/>
      <c r="F1033" s="108"/>
      <c r="G1033" s="1"/>
      <c r="H1033" s="920"/>
      <c r="I1033" s="1"/>
      <c r="J1033" s="1"/>
      <c r="K1033" s="1"/>
      <c r="L1033" s="1"/>
      <c r="M1033" s="1"/>
    </row>
    <row r="1034" ht="15.0" customHeight="1">
      <c r="A1034" s="1"/>
      <c r="B1034" s="1"/>
      <c r="C1034" s="107"/>
      <c r="D1034" s="184"/>
      <c r="E1034" s="184"/>
      <c r="F1034" s="108"/>
      <c r="G1034" s="1"/>
      <c r="H1034" s="920"/>
      <c r="I1034" s="1"/>
      <c r="J1034" s="1"/>
      <c r="K1034" s="1"/>
      <c r="L1034" s="1"/>
      <c r="M1034" s="1"/>
    </row>
    <row r="1035" ht="14.25" customHeight="1">
      <c r="A1035" s="1"/>
      <c r="B1035" s="1"/>
      <c r="C1035" s="107"/>
      <c r="D1035" s="184"/>
      <c r="E1035" s="184"/>
      <c r="F1035" s="108"/>
      <c r="G1035" s="1"/>
      <c r="H1035" s="920"/>
      <c r="I1035" s="1"/>
      <c r="J1035" s="1"/>
      <c r="K1035" s="1"/>
      <c r="L1035" s="1"/>
      <c r="M1035" s="1"/>
    </row>
    <row r="1036" ht="14.25" customHeight="1">
      <c r="A1036" s="1"/>
      <c r="B1036" s="209" t="s">
        <v>3239</v>
      </c>
      <c r="C1036" s="18"/>
      <c r="D1036" s="18"/>
      <c r="E1036" s="18"/>
      <c r="F1036" s="19"/>
      <c r="G1036" s="971" t="s">
        <v>1077</v>
      </c>
      <c r="H1036" s="920"/>
      <c r="I1036" s="1"/>
      <c r="J1036" s="1"/>
      <c r="K1036" s="1"/>
      <c r="L1036" s="1"/>
      <c r="M1036" s="1"/>
    </row>
    <row r="1037" ht="14.25" customHeight="1">
      <c r="A1037" s="1"/>
      <c r="B1037" s="138" t="s">
        <v>2153</v>
      </c>
      <c r="C1037" s="279">
        <v>35.0</v>
      </c>
      <c r="D1037" s="2889">
        <v>15.0</v>
      </c>
      <c r="E1037" s="1607"/>
      <c r="F1037" s="281" t="s">
        <v>5</v>
      </c>
      <c r="G1037" s="1"/>
      <c r="H1037" s="920"/>
      <c r="I1037" s="1"/>
      <c r="J1037" s="1"/>
      <c r="K1037" s="1"/>
      <c r="L1037" s="1"/>
      <c r="M1037" s="1"/>
    </row>
    <row r="1038" ht="15.0" customHeight="1">
      <c r="A1038" s="1"/>
      <c r="B1038" s="68" t="s">
        <v>3242</v>
      </c>
      <c r="C1038" s="145">
        <v>0.77</v>
      </c>
      <c r="D1038" s="155">
        <f t="shared" ref="D1038:D1039" si="84">(C1038*D1037)/C1037</f>
        <v>0.33</v>
      </c>
      <c r="E1038" s="899"/>
      <c r="F1038" s="137" t="s">
        <v>366</v>
      </c>
      <c r="G1038" s="1491" t="s">
        <v>3243</v>
      </c>
      <c r="H1038" s="920"/>
      <c r="I1038" s="1"/>
      <c r="J1038" s="1"/>
      <c r="K1038" s="1"/>
      <c r="L1038" s="1"/>
      <c r="M1038" s="1"/>
    </row>
    <row r="1039" ht="14.25" customHeight="1">
      <c r="A1039" s="1"/>
      <c r="B1039" s="93" t="s">
        <v>3245</v>
      </c>
      <c r="C1039" s="195">
        <v>1.54</v>
      </c>
      <c r="D1039" s="78">
        <f t="shared" si="84"/>
        <v>0.66</v>
      </c>
      <c r="E1039" s="900"/>
      <c r="F1039" s="165" t="s">
        <v>366</v>
      </c>
      <c r="G1039" s="47"/>
      <c r="H1039" s="920"/>
      <c r="I1039" s="1"/>
      <c r="J1039" s="1"/>
      <c r="K1039" s="1"/>
      <c r="L1039" s="1"/>
      <c r="M1039" s="1"/>
    </row>
    <row r="1040" ht="14.25" customHeight="1">
      <c r="A1040" s="1"/>
      <c r="B1040" s="105" t="s">
        <v>15</v>
      </c>
      <c r="C1040" s="200">
        <v>40.0</v>
      </c>
      <c r="D1040" s="56">
        <f t="shared" ref="D1040:D1041" si="85">(C1040*D1037)/C1037</f>
        <v>17.14285714</v>
      </c>
      <c r="E1040" s="1604"/>
      <c r="F1040" s="172" t="s">
        <v>5</v>
      </c>
      <c r="G1040" s="76"/>
      <c r="H1040" s="920"/>
      <c r="I1040" s="1"/>
      <c r="J1040" s="1"/>
      <c r="K1040" s="1"/>
      <c r="L1040" s="1"/>
      <c r="M1040" s="1"/>
    </row>
    <row r="1041" ht="14.25" customHeight="1">
      <c r="A1041" s="1"/>
      <c r="B1041" s="119" t="s">
        <v>824</v>
      </c>
      <c r="C1041" s="238">
        <v>1.0</v>
      </c>
      <c r="D1041" s="129">
        <f t="shared" si="85"/>
        <v>0.4285714286</v>
      </c>
      <c r="E1041" s="1583"/>
      <c r="F1041" s="176" t="s">
        <v>5</v>
      </c>
      <c r="G1041" s="1"/>
      <c r="H1041" s="920"/>
      <c r="I1041" s="1"/>
      <c r="J1041" s="1"/>
      <c r="K1041" s="1"/>
      <c r="L1041" s="1"/>
      <c r="M1041" s="1"/>
    </row>
    <row r="1042" ht="14.25" customHeight="1">
      <c r="A1042" s="1"/>
      <c r="B1042" s="93" t="s">
        <v>746</v>
      </c>
      <c r="C1042" s="195">
        <v>560.0</v>
      </c>
      <c r="D1042" s="78">
        <f t="shared" ref="D1042:D1044" si="86">(C1042*D1041)/C1041</f>
        <v>240</v>
      </c>
      <c r="E1042" s="900"/>
      <c r="F1042" s="165" t="s">
        <v>18</v>
      </c>
      <c r="G1042" s="1"/>
      <c r="H1042" s="920"/>
      <c r="I1042" s="1"/>
      <c r="J1042" s="1"/>
      <c r="K1042" s="1"/>
      <c r="L1042" s="1"/>
      <c r="M1042" s="1"/>
    </row>
    <row r="1043" ht="15.0" customHeight="1">
      <c r="A1043" s="1"/>
      <c r="B1043" s="105" t="s">
        <v>3246</v>
      </c>
      <c r="C1043" s="200">
        <v>560.0</v>
      </c>
      <c r="D1043" s="56">
        <f t="shared" si="86"/>
        <v>240</v>
      </c>
      <c r="E1043" s="1604"/>
      <c r="F1043" s="172" t="s">
        <v>18</v>
      </c>
      <c r="G1043" s="1"/>
      <c r="H1043" s="920"/>
      <c r="I1043" s="1"/>
      <c r="J1043" s="1"/>
      <c r="K1043" s="1"/>
      <c r="L1043" s="1"/>
      <c r="M1043" s="1"/>
    </row>
    <row r="1044" ht="14.25" customHeight="1">
      <c r="A1044" s="1"/>
      <c r="B1044" s="68" t="s">
        <v>3248</v>
      </c>
      <c r="C1044" s="145">
        <v>35.0</v>
      </c>
      <c r="D1044" s="155">
        <f t="shared" si="86"/>
        <v>15</v>
      </c>
      <c r="E1044" s="899"/>
      <c r="F1044" s="137" t="s">
        <v>18</v>
      </c>
      <c r="G1044" s="924" t="s">
        <v>3249</v>
      </c>
      <c r="H1044" s="920"/>
      <c r="I1044" s="1"/>
      <c r="J1044" s="1"/>
      <c r="K1044" s="1"/>
      <c r="L1044" s="1"/>
      <c r="M1044" s="1"/>
    </row>
    <row r="1045" ht="14.25" customHeight="1">
      <c r="A1045" s="1"/>
      <c r="B1045" s="93" t="s">
        <v>3250</v>
      </c>
      <c r="C1045" s="195">
        <v>280.0</v>
      </c>
      <c r="D1045" s="78">
        <f t="shared" ref="D1045:D1048" si="87">(C1045*D1042)/C1042</f>
        <v>120</v>
      </c>
      <c r="E1045" s="900"/>
      <c r="F1045" s="165" t="s">
        <v>18</v>
      </c>
      <c r="G1045" s="610" t="s">
        <v>3251</v>
      </c>
      <c r="H1045" s="920"/>
      <c r="I1045" s="1"/>
      <c r="J1045" s="1"/>
      <c r="K1045" s="1"/>
      <c r="L1045" s="1"/>
      <c r="M1045" s="1"/>
    </row>
    <row r="1046" ht="14.25" customHeight="1">
      <c r="A1046" s="1"/>
      <c r="B1046" s="93" t="s">
        <v>3252</v>
      </c>
      <c r="C1046" s="195">
        <v>280.0</v>
      </c>
      <c r="D1046" s="78">
        <f t="shared" si="87"/>
        <v>120</v>
      </c>
      <c r="E1046" s="900"/>
      <c r="F1046" s="165" t="s">
        <v>18</v>
      </c>
      <c r="G1046" s="47"/>
      <c r="H1046" s="920"/>
      <c r="I1046" s="1"/>
      <c r="J1046" s="1"/>
      <c r="K1046" s="1"/>
      <c r="L1046" s="1"/>
      <c r="M1046" s="1"/>
    </row>
    <row r="1047" ht="14.25" customHeight="1">
      <c r="A1047" s="1"/>
      <c r="B1047" s="138" t="s">
        <v>3254</v>
      </c>
      <c r="C1047" s="279">
        <v>250.0</v>
      </c>
      <c r="D1047" s="146">
        <f t="shared" si="87"/>
        <v>107.1428571</v>
      </c>
      <c r="E1047" s="1607"/>
      <c r="F1047" s="281" t="s">
        <v>18</v>
      </c>
      <c r="G1047" s="76"/>
      <c r="H1047" s="920"/>
      <c r="I1047" s="1"/>
      <c r="J1047" s="1"/>
      <c r="K1047" s="1"/>
      <c r="L1047" s="1"/>
      <c r="M1047" s="1"/>
    </row>
    <row r="1048" ht="14.25" customHeight="1">
      <c r="A1048" s="1"/>
      <c r="B1048" s="2895" t="s">
        <v>3255</v>
      </c>
      <c r="C1048" s="2896">
        <v>0.7</v>
      </c>
      <c r="D1048" s="2897">
        <f t="shared" si="87"/>
        <v>0.3</v>
      </c>
      <c r="E1048" s="2898"/>
      <c r="F1048" s="2899" t="s">
        <v>366</v>
      </c>
      <c r="G1048" s="1491" t="s">
        <v>3256</v>
      </c>
      <c r="H1048" s="920"/>
      <c r="I1048" s="1"/>
      <c r="J1048" s="1"/>
      <c r="K1048" s="1"/>
      <c r="L1048" s="1"/>
      <c r="M1048" s="1"/>
    </row>
    <row r="1049" ht="14.25" customHeight="1">
      <c r="A1049" s="1"/>
      <c r="B1049" s="68" t="s">
        <v>3257</v>
      </c>
      <c r="C1049" s="145">
        <v>6.0</v>
      </c>
      <c r="D1049" s="155">
        <f>(C1049*D1045)/C1045</f>
        <v>2.571428571</v>
      </c>
      <c r="E1049" s="899"/>
      <c r="F1049" s="137" t="s">
        <v>366</v>
      </c>
      <c r="G1049" s="76"/>
      <c r="H1049" s="920"/>
      <c r="I1049" s="1"/>
      <c r="J1049" s="1"/>
      <c r="K1049" s="1"/>
      <c r="L1049" s="1"/>
      <c r="M1049" s="1"/>
    </row>
    <row r="1050" ht="14.25" customHeight="1">
      <c r="A1050" s="1"/>
      <c r="B1050" s="105" t="s">
        <v>3260</v>
      </c>
      <c r="C1050" s="200">
        <v>2.0</v>
      </c>
      <c r="D1050" s="56">
        <f>(C1050*D1047)/C1047</f>
        <v>0.8571428571</v>
      </c>
      <c r="E1050" s="1604"/>
      <c r="F1050" s="172" t="s">
        <v>5</v>
      </c>
      <c r="G1050" s="1"/>
      <c r="H1050" s="920"/>
      <c r="I1050" s="1"/>
      <c r="J1050" s="1"/>
      <c r="K1050" s="1"/>
      <c r="L1050" s="1"/>
      <c r="M1050" s="1"/>
    </row>
    <row r="1051" ht="14.25" customHeight="1">
      <c r="A1051" s="1"/>
      <c r="B1051" s="342" t="s">
        <v>49</v>
      </c>
      <c r="C1051" s="2345">
        <v>43539.0</v>
      </c>
      <c r="D1051" s="107"/>
      <c r="E1051" s="107"/>
      <c r="F1051" s="107"/>
      <c r="G1051" s="1"/>
      <c r="H1051" s="920"/>
      <c r="I1051" s="1"/>
      <c r="J1051" s="1"/>
      <c r="K1051" s="1"/>
      <c r="L1051" s="1"/>
      <c r="M1051" s="1"/>
    </row>
    <row r="1052" ht="14.25" customHeight="1">
      <c r="A1052" s="1"/>
      <c r="B1052" s="342" t="s">
        <v>50</v>
      </c>
      <c r="C1052" s="2419">
        <v>43550.0</v>
      </c>
      <c r="D1052" s="107"/>
      <c r="E1052" s="107"/>
      <c r="F1052" s="107"/>
      <c r="G1052" s="1"/>
      <c r="H1052" s="920"/>
      <c r="I1052" s="1"/>
      <c r="J1052" s="1"/>
      <c r="K1052" s="1"/>
      <c r="L1052" s="1"/>
      <c r="M1052" s="1"/>
    </row>
    <row r="1053" ht="14.25" customHeight="1">
      <c r="A1053" s="1"/>
      <c r="B1053" s="1"/>
      <c r="C1053" s="107"/>
      <c r="D1053" s="184"/>
      <c r="E1053" s="184"/>
      <c r="F1053" s="108"/>
      <c r="G1053" s="1"/>
      <c r="H1053" s="920"/>
      <c r="I1053" s="1"/>
      <c r="J1053" s="1"/>
      <c r="K1053" s="1"/>
      <c r="L1053" s="1"/>
      <c r="M1053" s="1"/>
    </row>
    <row r="1054" ht="14.25" customHeight="1">
      <c r="A1054" s="1"/>
      <c r="B1054" s="1"/>
      <c r="C1054" s="107"/>
      <c r="D1054" s="184"/>
      <c r="E1054" s="184"/>
      <c r="F1054" s="108"/>
      <c r="G1054" s="1"/>
      <c r="H1054" s="920"/>
      <c r="I1054" s="1"/>
      <c r="J1054" s="1"/>
      <c r="K1054" s="1"/>
      <c r="L1054" s="1"/>
      <c r="M1054" s="1"/>
    </row>
    <row r="1055" ht="14.25" customHeight="1">
      <c r="A1055" s="1"/>
      <c r="B1055" s="258" t="s">
        <v>119</v>
      </c>
      <c r="C1055" s="258" t="s">
        <v>47</v>
      </c>
      <c r="D1055" s="184"/>
      <c r="E1055" s="184"/>
      <c r="F1055" s="108"/>
      <c r="G1055" s="1"/>
      <c r="H1055" s="920"/>
      <c r="I1055" s="1"/>
      <c r="J1055" s="1"/>
      <c r="K1055" s="1"/>
      <c r="L1055" s="1"/>
      <c r="M1055" s="1"/>
    </row>
    <row r="1056" ht="14.25" customHeight="1">
      <c r="A1056" s="1"/>
      <c r="B1056" s="1"/>
      <c r="C1056" s="107"/>
      <c r="D1056" s="184"/>
      <c r="E1056" s="184"/>
      <c r="F1056" s="108"/>
      <c r="G1056" s="1"/>
      <c r="H1056" s="920"/>
      <c r="I1056" s="1"/>
      <c r="J1056" s="1"/>
      <c r="K1056" s="1"/>
      <c r="L1056" s="1"/>
      <c r="M1056" s="1"/>
    </row>
    <row r="1057" ht="15.0" customHeight="1">
      <c r="A1057" s="1"/>
      <c r="B1057" s="1"/>
      <c r="C1057" s="107"/>
      <c r="D1057" s="184"/>
      <c r="E1057" s="184"/>
      <c r="F1057" s="108"/>
      <c r="G1057" s="1"/>
      <c r="H1057" s="920"/>
      <c r="I1057" s="1"/>
      <c r="J1057" s="1"/>
      <c r="K1057" s="1"/>
      <c r="L1057" s="1"/>
      <c r="M1057" s="1"/>
    </row>
    <row r="1058" ht="14.25" customHeight="1">
      <c r="A1058" s="1"/>
      <c r="B1058" s="1"/>
      <c r="C1058" s="107"/>
      <c r="D1058" s="184"/>
      <c r="E1058" s="184"/>
      <c r="F1058" s="108"/>
      <c r="G1058" s="1"/>
      <c r="H1058" s="920"/>
      <c r="I1058" s="1"/>
      <c r="J1058" s="1"/>
      <c r="K1058" s="1"/>
      <c r="L1058" s="1"/>
      <c r="M1058" s="1"/>
    </row>
    <row r="1059" ht="14.25" customHeight="1">
      <c r="A1059" s="1"/>
      <c r="B1059" s="1"/>
      <c r="C1059" s="107"/>
      <c r="D1059" s="184"/>
      <c r="E1059" s="184"/>
      <c r="F1059" s="108"/>
      <c r="G1059" s="1"/>
      <c r="H1059" s="920"/>
      <c r="I1059" s="1"/>
      <c r="J1059" s="1"/>
      <c r="K1059" s="1"/>
      <c r="L1059" s="1"/>
      <c r="M1059" s="1"/>
    </row>
    <row r="1060" ht="14.25" customHeight="1">
      <c r="A1060" s="1"/>
      <c r="B1060" s="1"/>
      <c r="C1060" s="107"/>
      <c r="D1060" s="184"/>
      <c r="E1060" s="184"/>
      <c r="F1060" s="108"/>
      <c r="G1060" s="1"/>
      <c r="H1060" s="920"/>
      <c r="I1060" s="1"/>
      <c r="J1060" s="1"/>
      <c r="K1060" s="1"/>
      <c r="L1060" s="1"/>
      <c r="M1060" s="1"/>
    </row>
    <row r="1061" ht="14.25" customHeight="1">
      <c r="A1061" s="1"/>
      <c r="B1061" s="913" t="s">
        <v>908</v>
      </c>
      <c r="C1061" s="5"/>
      <c r="D1061" s="5"/>
      <c r="E1061" s="5"/>
      <c r="F1061" s="6"/>
      <c r="G1061" s="2904" t="s">
        <v>3266</v>
      </c>
      <c r="H1061" s="920"/>
      <c r="I1061" s="1"/>
      <c r="J1061" s="1"/>
      <c r="K1061" s="1"/>
      <c r="L1061" s="247" t="s">
        <v>3267</v>
      </c>
      <c r="M1061" s="1"/>
    </row>
    <row r="1062" ht="14.25" customHeight="1">
      <c r="A1062" s="1"/>
      <c r="B1062" s="68" t="s">
        <v>3268</v>
      </c>
      <c r="C1062" s="145">
        <v>40.0</v>
      </c>
      <c r="D1062" s="155">
        <v>900.0</v>
      </c>
      <c r="E1062" s="899"/>
      <c r="F1062" s="137" t="s">
        <v>1342</v>
      </c>
      <c r="G1062" s="523" t="s">
        <v>3269</v>
      </c>
      <c r="H1062" s="920"/>
      <c r="I1062" s="1"/>
      <c r="J1062" s="1"/>
      <c r="K1062" s="1"/>
      <c r="L1062" s="247" t="s">
        <v>3270</v>
      </c>
      <c r="M1062" s="1"/>
    </row>
    <row r="1063" ht="14.25" customHeight="1">
      <c r="A1063" s="1"/>
      <c r="B1063" s="93" t="s">
        <v>3271</v>
      </c>
      <c r="C1063" s="195">
        <v>50.0</v>
      </c>
      <c r="D1063" s="78">
        <f t="shared" ref="D1063:D1072" si="88">(D1062*C1063)/C1062</f>
        <v>1125</v>
      </c>
      <c r="E1063" s="900"/>
      <c r="F1063" s="165" t="s">
        <v>1342</v>
      </c>
      <c r="G1063" s="247" t="s">
        <v>3273</v>
      </c>
      <c r="H1063" s="1"/>
      <c r="I1063" s="1"/>
      <c r="J1063" s="1"/>
      <c r="K1063" s="247" t="s">
        <v>3274</v>
      </c>
      <c r="L1063" s="247" t="s">
        <v>3275</v>
      </c>
      <c r="M1063" s="1"/>
    </row>
    <row r="1064" ht="21.75" customHeight="1">
      <c r="A1064" s="1"/>
      <c r="B1064" s="105" t="s">
        <v>3276</v>
      </c>
      <c r="C1064" s="200">
        <v>60.0</v>
      </c>
      <c r="D1064" s="56">
        <f t="shared" si="88"/>
        <v>1350</v>
      </c>
      <c r="E1064" s="1604"/>
      <c r="F1064" s="172" t="s">
        <v>1342</v>
      </c>
      <c r="G1064" s="239" t="s">
        <v>3277</v>
      </c>
      <c r="H1064" s="247" t="s">
        <v>3278</v>
      </c>
      <c r="I1064" s="247" t="s">
        <v>3279</v>
      </c>
      <c r="J1064" s="95" t="s">
        <v>3280</v>
      </c>
      <c r="K1064" s="247" t="s">
        <v>3281</v>
      </c>
      <c r="L1064" s="247" t="s">
        <v>3282</v>
      </c>
      <c r="M1064" s="1"/>
    </row>
    <row r="1065" ht="14.25" customHeight="1">
      <c r="A1065" s="1"/>
      <c r="B1065" s="523" t="s">
        <v>3283</v>
      </c>
      <c r="C1065" s="238">
        <v>0.25</v>
      </c>
      <c r="D1065" s="129">
        <f t="shared" si="88"/>
        <v>5.625</v>
      </c>
      <c r="E1065" s="129"/>
      <c r="F1065" s="2906" t="s">
        <v>366</v>
      </c>
      <c r="G1065" s="2907" t="s">
        <v>3284</v>
      </c>
      <c r="H1065" s="247" t="s">
        <v>3278</v>
      </c>
      <c r="I1065" s="247" t="s">
        <v>3285</v>
      </c>
      <c r="J1065" s="95" t="s">
        <v>3280</v>
      </c>
      <c r="K1065" s="247" t="s">
        <v>3286</v>
      </c>
      <c r="L1065" s="1"/>
      <c r="M1065" s="1"/>
    </row>
    <row r="1066" ht="14.25" customHeight="1">
      <c r="A1066" s="1"/>
      <c r="B1066" s="247" t="s">
        <v>3287</v>
      </c>
      <c r="C1066" s="195">
        <v>0.015</v>
      </c>
      <c r="D1066" s="78">
        <f t="shared" si="88"/>
        <v>0.3375</v>
      </c>
      <c r="E1066" s="78"/>
      <c r="F1066" s="2908" t="s">
        <v>366</v>
      </c>
      <c r="G1066" s="47"/>
      <c r="H1066" s="239" t="s">
        <v>3278</v>
      </c>
      <c r="I1066" s="239" t="s">
        <v>3288</v>
      </c>
      <c r="J1066" s="95" t="s">
        <v>3280</v>
      </c>
      <c r="K1066" s="247" t="s">
        <v>3289</v>
      </c>
      <c r="L1066" s="1"/>
      <c r="M1066" s="1"/>
    </row>
    <row r="1067" ht="14.25" customHeight="1">
      <c r="A1067" s="1"/>
      <c r="B1067" s="247" t="s">
        <v>3290</v>
      </c>
      <c r="C1067" s="195">
        <v>0.3</v>
      </c>
      <c r="D1067" s="78">
        <f t="shared" si="88"/>
        <v>6.75</v>
      </c>
      <c r="E1067" s="78"/>
      <c r="F1067" s="2908" t="s">
        <v>5</v>
      </c>
      <c r="G1067" s="47"/>
      <c r="H1067" s="1449" t="s">
        <v>3292</v>
      </c>
      <c r="I1067" s="1264" t="s">
        <v>3293</v>
      </c>
      <c r="J1067" s="1"/>
      <c r="K1067" s="1"/>
      <c r="L1067" s="1"/>
      <c r="M1067" s="1"/>
    </row>
    <row r="1068" ht="14.25" customHeight="1">
      <c r="A1068" s="1"/>
      <c r="B1068" s="247" t="s">
        <v>3295</v>
      </c>
      <c r="C1068" s="195">
        <v>0.3</v>
      </c>
      <c r="D1068" s="78">
        <f t="shared" si="88"/>
        <v>6.75</v>
      </c>
      <c r="E1068" s="78"/>
      <c r="F1068" s="2908" t="s">
        <v>18</v>
      </c>
      <c r="G1068" s="47"/>
      <c r="H1068" s="47"/>
      <c r="I1068" s="841" t="s">
        <v>3296</v>
      </c>
      <c r="J1068" s="1"/>
      <c r="K1068" s="1"/>
      <c r="L1068" s="1"/>
      <c r="M1068" s="1"/>
    </row>
    <row r="1069" ht="14.25" customHeight="1">
      <c r="A1069" s="1"/>
      <c r="B1069" s="247" t="s">
        <v>3297</v>
      </c>
      <c r="C1069" s="195">
        <v>0.2</v>
      </c>
      <c r="D1069" s="78">
        <f t="shared" si="88"/>
        <v>4.5</v>
      </c>
      <c r="E1069" s="78"/>
      <c r="F1069" s="2908" t="s">
        <v>5</v>
      </c>
      <c r="G1069" s="47"/>
      <c r="H1069" s="47"/>
      <c r="I1069" s="841" t="s">
        <v>3299</v>
      </c>
      <c r="J1069" s="1"/>
      <c r="K1069" s="1"/>
      <c r="L1069" s="1"/>
      <c r="M1069" s="1"/>
    </row>
    <row r="1070" ht="14.25" customHeight="1">
      <c r="A1070" s="1"/>
      <c r="B1070" s="247" t="s">
        <v>13</v>
      </c>
      <c r="C1070" s="195">
        <v>0.2</v>
      </c>
      <c r="D1070" s="78">
        <f t="shared" si="88"/>
        <v>4.5</v>
      </c>
      <c r="E1070" s="78"/>
      <c r="F1070" s="2908" t="s">
        <v>14</v>
      </c>
      <c r="G1070" s="47"/>
      <c r="H1070" s="47"/>
      <c r="I1070" s="841" t="s">
        <v>3300</v>
      </c>
      <c r="J1070" s="1"/>
      <c r="K1070" s="1"/>
      <c r="L1070" s="1"/>
      <c r="M1070" s="1"/>
    </row>
    <row r="1071" ht="14.25" customHeight="1">
      <c r="A1071" s="1"/>
      <c r="B1071" s="247" t="s">
        <v>3301</v>
      </c>
      <c r="C1071" s="195">
        <v>0.2</v>
      </c>
      <c r="D1071" s="78">
        <f t="shared" si="88"/>
        <v>4.5</v>
      </c>
      <c r="E1071" s="78"/>
      <c r="F1071" s="2908" t="s">
        <v>5</v>
      </c>
      <c r="G1071" s="47"/>
      <c r="H1071" s="47"/>
      <c r="I1071" s="841" t="s">
        <v>3302</v>
      </c>
      <c r="J1071" s="1"/>
      <c r="K1071" s="1"/>
      <c r="L1071" s="1"/>
      <c r="M1071" s="1"/>
    </row>
    <row r="1072" ht="14.25" customHeight="1">
      <c r="A1072" s="1"/>
      <c r="B1072" s="247" t="s">
        <v>3303</v>
      </c>
      <c r="C1072" s="195">
        <v>0.1</v>
      </c>
      <c r="D1072" s="78">
        <f t="shared" si="88"/>
        <v>2.25</v>
      </c>
      <c r="E1072" s="78"/>
      <c r="F1072" s="2908" t="s">
        <v>18</v>
      </c>
      <c r="G1072" s="47"/>
      <c r="H1072" s="47"/>
      <c r="I1072" s="841" t="s">
        <v>3304</v>
      </c>
      <c r="J1072" s="1"/>
      <c r="K1072" s="1"/>
      <c r="L1072" s="1"/>
      <c r="M1072" s="1"/>
    </row>
    <row r="1073" ht="14.25" customHeight="1">
      <c r="A1073" s="1"/>
      <c r="B1073" s="149"/>
      <c r="C1073" s="200"/>
      <c r="D1073" s="179"/>
      <c r="E1073" s="1690"/>
      <c r="F1073" s="172"/>
      <c r="G1073" s="76"/>
      <c r="H1073" s="47"/>
      <c r="I1073" s="841" t="s">
        <v>3305</v>
      </c>
      <c r="J1073" s="1"/>
      <c r="K1073" s="1"/>
      <c r="L1073" s="1"/>
      <c r="M1073" s="1"/>
    </row>
    <row r="1074" ht="14.25" customHeight="1">
      <c r="A1074" s="1"/>
      <c r="B1074" s="203" t="s">
        <v>49</v>
      </c>
      <c r="C1074" s="2419">
        <v>43514.0</v>
      </c>
      <c r="D1074" s="1"/>
      <c r="E1074" s="1"/>
      <c r="F1074" s="1"/>
      <c r="G1074" s="1"/>
      <c r="H1074" s="47"/>
      <c r="I1074" s="841" t="s">
        <v>3306</v>
      </c>
      <c r="J1074" s="1"/>
      <c r="K1074" s="1"/>
      <c r="L1074" s="1"/>
      <c r="M1074" s="1"/>
    </row>
    <row r="1075" ht="14.25" customHeight="1">
      <c r="A1075" s="1"/>
      <c r="B1075" s="342" t="s">
        <v>50</v>
      </c>
      <c r="C1075" s="2419">
        <v>43514.0</v>
      </c>
      <c r="D1075" s="1"/>
      <c r="E1075" s="1"/>
      <c r="F1075" s="1"/>
      <c r="G1075" s="1"/>
      <c r="H1075" s="76"/>
      <c r="I1075" s="841" t="s">
        <v>3307</v>
      </c>
      <c r="J1075" s="1"/>
      <c r="K1075" s="1"/>
      <c r="L1075" s="1"/>
      <c r="M1075" s="1"/>
    </row>
    <row r="1076" ht="14.25" customHeight="1">
      <c r="A1076" s="1"/>
      <c r="B1076" s="1"/>
      <c r="C1076" s="107"/>
      <c r="D1076" s="184"/>
      <c r="E1076" s="184"/>
      <c r="F1076" s="108"/>
      <c r="G1076" s="1"/>
      <c r="H1076" s="1"/>
      <c r="I1076" s="1"/>
      <c r="J1076" s="1"/>
      <c r="K1076" s="1"/>
      <c r="L1076" s="1"/>
      <c r="M1076" s="1"/>
    </row>
    <row r="1077" ht="14.25" customHeight="1">
      <c r="A1077" s="1"/>
      <c r="B1077" s="1"/>
      <c r="C1077" s="107"/>
      <c r="D1077" s="184"/>
      <c r="E1077" s="184"/>
      <c r="F1077" s="108"/>
      <c r="G1077" s="1"/>
      <c r="H1077" s="1"/>
      <c r="I1077" s="1"/>
      <c r="J1077" s="1"/>
      <c r="K1077" s="1"/>
      <c r="L1077" s="1"/>
      <c r="M1077" s="1"/>
    </row>
    <row r="1078" ht="14.25" customHeight="1">
      <c r="A1078" s="1"/>
      <c r="B1078" s="258" t="s">
        <v>119</v>
      </c>
      <c r="C1078" s="258" t="s">
        <v>47</v>
      </c>
      <c r="D1078" s="184"/>
      <c r="E1078" s="184"/>
      <c r="F1078" s="108"/>
      <c r="G1078" s="1"/>
      <c r="H1078" s="920"/>
      <c r="I1078" s="1"/>
      <c r="J1078" s="1"/>
      <c r="K1078" s="1"/>
      <c r="L1078" s="1"/>
      <c r="M1078" s="1"/>
    </row>
    <row r="1079" ht="14.25" customHeight="1">
      <c r="A1079" s="1"/>
      <c r="B1079" s="1"/>
      <c r="C1079" s="107"/>
      <c r="D1079" s="184"/>
      <c r="E1079" s="184"/>
      <c r="F1079" s="108"/>
      <c r="G1079" s="1"/>
      <c r="H1079" s="920"/>
      <c r="I1079" s="1"/>
      <c r="J1079" s="1"/>
      <c r="K1079" s="1"/>
      <c r="L1079" s="1"/>
      <c r="M1079" s="1"/>
    </row>
    <row r="1080" ht="14.25" customHeight="1">
      <c r="A1080" s="1"/>
      <c r="B1080" s="1"/>
      <c r="C1080" s="107"/>
      <c r="D1080" s="184"/>
      <c r="E1080" s="184"/>
      <c r="F1080" s="108"/>
      <c r="G1080" s="1"/>
      <c r="H1080" s="920"/>
      <c r="I1080" s="1"/>
      <c r="J1080" s="1"/>
      <c r="K1080" s="1"/>
      <c r="L1080" s="1"/>
      <c r="M1080" s="1"/>
    </row>
    <row r="1081" ht="14.25" customHeight="1">
      <c r="A1081" s="1"/>
      <c r="B1081" s="1"/>
      <c r="C1081" s="107"/>
      <c r="D1081" s="184"/>
      <c r="E1081" s="184"/>
      <c r="F1081" s="108"/>
      <c r="G1081" s="1"/>
      <c r="H1081" s="920"/>
      <c r="I1081" s="1"/>
      <c r="J1081" s="1"/>
      <c r="K1081" s="1"/>
      <c r="L1081" s="1"/>
      <c r="M1081" s="1"/>
    </row>
    <row r="1082" ht="14.25" customHeight="1">
      <c r="A1082" s="1"/>
      <c r="B1082" s="1"/>
      <c r="C1082" s="107"/>
      <c r="D1082" s="184"/>
      <c r="E1082" s="184"/>
      <c r="F1082" s="108"/>
      <c r="G1082" s="1"/>
      <c r="H1082" s="920"/>
      <c r="I1082" s="1"/>
      <c r="J1082" s="1"/>
      <c r="K1082" s="1"/>
      <c r="L1082" s="1"/>
      <c r="M1082" s="1"/>
    </row>
    <row r="1083" ht="14.25" customHeight="1">
      <c r="A1083" s="1"/>
      <c r="B1083" s="209" t="s">
        <v>3308</v>
      </c>
      <c r="C1083" s="18"/>
      <c r="D1083" s="18"/>
      <c r="E1083" s="18"/>
      <c r="F1083" s="19"/>
      <c r="G1083" s="44" t="s">
        <v>2780</v>
      </c>
      <c r="H1083" s="920"/>
      <c r="I1083" s="1"/>
      <c r="J1083" s="1"/>
      <c r="K1083" s="1"/>
      <c r="L1083" s="1"/>
      <c r="M1083" s="1"/>
    </row>
    <row r="1084" ht="14.25" customHeight="1">
      <c r="A1084" s="1"/>
      <c r="B1084" s="105" t="s">
        <v>1</v>
      </c>
      <c r="C1084" s="200">
        <v>100.0</v>
      </c>
      <c r="D1084" s="56">
        <v>35.0</v>
      </c>
      <c r="E1084" s="1607"/>
      <c r="F1084" s="281" t="s">
        <v>5</v>
      </c>
      <c r="G1084" s="47"/>
      <c r="H1084" s="920"/>
      <c r="I1084" s="1"/>
      <c r="J1084" s="1"/>
      <c r="K1084" s="1"/>
      <c r="L1084" s="1"/>
      <c r="M1084" s="1"/>
    </row>
    <row r="1085" ht="14.25" customHeight="1">
      <c r="A1085" s="1"/>
      <c r="B1085" s="68" t="s">
        <v>15</v>
      </c>
      <c r="C1085" s="145">
        <v>100.0</v>
      </c>
      <c r="D1085" s="155">
        <f t="shared" ref="D1085:D1094" si="89">(C1085*D1084)/C1084</f>
        <v>35</v>
      </c>
      <c r="E1085" s="899"/>
      <c r="F1085" s="137" t="s">
        <v>5</v>
      </c>
      <c r="G1085" s="47"/>
      <c r="H1085" s="920"/>
      <c r="I1085" s="1"/>
      <c r="J1085" s="1"/>
      <c r="K1085" s="1"/>
      <c r="L1085" s="1"/>
      <c r="M1085" s="1"/>
    </row>
    <row r="1086" ht="15.0" customHeight="1">
      <c r="A1086" s="1"/>
      <c r="B1086" s="93" t="s">
        <v>216</v>
      </c>
      <c r="C1086" s="195">
        <v>0.8</v>
      </c>
      <c r="D1086" s="78">
        <f t="shared" si="89"/>
        <v>0.28</v>
      </c>
      <c r="E1086" s="900"/>
      <c r="F1086" s="165" t="s">
        <v>14</v>
      </c>
      <c r="G1086" s="47"/>
      <c r="H1086" s="920"/>
      <c r="I1086" s="1"/>
      <c r="J1086" s="1"/>
      <c r="K1086" s="1"/>
      <c r="L1086" s="1"/>
      <c r="M1086" s="1"/>
    </row>
    <row r="1087" ht="14.25" customHeight="1">
      <c r="A1087" s="1"/>
      <c r="B1087" s="93" t="s">
        <v>2614</v>
      </c>
      <c r="C1087" s="195">
        <v>10.0</v>
      </c>
      <c r="D1087" s="78">
        <f t="shared" si="89"/>
        <v>3.5</v>
      </c>
      <c r="E1087" s="900"/>
      <c r="F1087" s="165" t="s">
        <v>14</v>
      </c>
      <c r="G1087" s="47"/>
      <c r="H1087" s="920"/>
      <c r="I1087" s="1"/>
      <c r="J1087" s="1"/>
      <c r="K1087" s="1"/>
      <c r="L1087" s="1"/>
      <c r="M1087" s="1"/>
    </row>
    <row r="1088" ht="14.25" customHeight="1">
      <c r="A1088" s="1"/>
      <c r="B1088" s="93" t="s">
        <v>743</v>
      </c>
      <c r="C1088" s="195">
        <v>0.4</v>
      </c>
      <c r="D1088" s="78">
        <f t="shared" si="89"/>
        <v>0.14</v>
      </c>
      <c r="E1088" s="900"/>
      <c r="F1088" s="165" t="s">
        <v>5</v>
      </c>
      <c r="G1088" s="47"/>
      <c r="H1088" s="920"/>
      <c r="I1088" s="1"/>
      <c r="J1088" s="1"/>
      <c r="K1088" s="1"/>
      <c r="L1088" s="1"/>
      <c r="M1088" s="1"/>
    </row>
    <row r="1089" ht="14.25" customHeight="1">
      <c r="A1089" s="1"/>
      <c r="B1089" s="93" t="s">
        <v>13</v>
      </c>
      <c r="C1089" s="195">
        <v>18.0</v>
      </c>
      <c r="D1089" s="78">
        <f t="shared" si="89"/>
        <v>6.3</v>
      </c>
      <c r="E1089" s="900"/>
      <c r="F1089" s="165" t="s">
        <v>14</v>
      </c>
      <c r="G1089" s="47"/>
      <c r="H1089" s="920"/>
      <c r="I1089" s="1"/>
      <c r="J1089" s="1"/>
      <c r="K1089" s="1"/>
      <c r="L1089" s="1"/>
      <c r="M1089" s="1"/>
    </row>
    <row r="1090" ht="14.25" customHeight="1">
      <c r="A1090" s="1"/>
      <c r="B1090" s="93" t="s">
        <v>2784</v>
      </c>
      <c r="C1090" s="195">
        <v>1000.0</v>
      </c>
      <c r="D1090" s="78">
        <f t="shared" si="89"/>
        <v>350</v>
      </c>
      <c r="E1090" s="900"/>
      <c r="F1090" s="165" t="s">
        <v>18</v>
      </c>
      <c r="G1090" s="47"/>
      <c r="H1090" s="920"/>
      <c r="I1090" s="1"/>
      <c r="J1090" s="1"/>
      <c r="K1090" s="1"/>
      <c r="L1090" s="1"/>
      <c r="M1090" s="1"/>
    </row>
    <row r="1091" ht="14.25" customHeight="1">
      <c r="A1091" s="1"/>
      <c r="B1091" s="93" t="s">
        <v>2785</v>
      </c>
      <c r="C1091" s="195">
        <v>0.25</v>
      </c>
      <c r="D1091" s="78">
        <f t="shared" si="89"/>
        <v>0.0875</v>
      </c>
      <c r="E1091" s="900"/>
      <c r="F1091" s="165" t="s">
        <v>5</v>
      </c>
      <c r="G1091" s="76"/>
      <c r="H1091" s="920"/>
      <c r="I1091" s="1"/>
      <c r="J1091" s="1"/>
      <c r="K1091" s="1"/>
      <c r="L1091" s="1"/>
      <c r="M1091" s="1"/>
    </row>
    <row r="1092" ht="14.25" customHeight="1">
      <c r="A1092" s="1"/>
      <c r="B1092" s="68" t="s">
        <v>2769</v>
      </c>
      <c r="C1092" s="145">
        <v>2.5</v>
      </c>
      <c r="D1092" s="78">
        <f t="shared" si="89"/>
        <v>0.875</v>
      </c>
      <c r="E1092" s="1583"/>
      <c r="F1092" s="137" t="s">
        <v>366</v>
      </c>
      <c r="G1092" s="2916" t="s">
        <v>2808</v>
      </c>
      <c r="H1092" s="920"/>
      <c r="I1092" s="1"/>
      <c r="J1092" s="1"/>
      <c r="K1092" s="1"/>
      <c r="L1092" s="1"/>
      <c r="M1092" s="1"/>
    </row>
    <row r="1093" ht="14.25" customHeight="1">
      <c r="A1093" s="1"/>
      <c r="B1093" s="138" t="s">
        <v>2810</v>
      </c>
      <c r="C1093" s="279">
        <v>10.0</v>
      </c>
      <c r="D1093" s="78">
        <f t="shared" si="89"/>
        <v>3.5</v>
      </c>
      <c r="E1093" s="1607"/>
      <c r="F1093" s="281" t="s">
        <v>82</v>
      </c>
      <c r="G1093" s="2919" t="s">
        <v>2812</v>
      </c>
      <c r="H1093" s="920"/>
      <c r="I1093" s="1"/>
      <c r="J1093" s="1"/>
      <c r="K1093" s="1"/>
      <c r="L1093" s="1"/>
      <c r="M1093" s="1"/>
    </row>
    <row r="1094" ht="14.25" customHeight="1">
      <c r="A1094" s="1"/>
      <c r="B1094" s="105" t="s">
        <v>1857</v>
      </c>
      <c r="C1094" s="200">
        <v>250.0</v>
      </c>
      <c r="D1094" s="56">
        <f t="shared" si="89"/>
        <v>87.5</v>
      </c>
      <c r="E1094" s="1604"/>
      <c r="F1094" s="172" t="s">
        <v>82</v>
      </c>
      <c r="G1094" s="76"/>
      <c r="H1094" s="920"/>
      <c r="I1094" s="1"/>
      <c r="J1094" s="1"/>
      <c r="K1094" s="1"/>
      <c r="L1094" s="1"/>
      <c r="M1094" s="1"/>
    </row>
    <row r="1095" ht="14.25" customHeight="1">
      <c r="A1095" s="1"/>
      <c r="B1095" s="2920" t="s">
        <v>3312</v>
      </c>
      <c r="C1095" s="5"/>
      <c r="D1095" s="5"/>
      <c r="E1095" s="5"/>
      <c r="F1095" s="6"/>
      <c r="G1095" s="1"/>
      <c r="H1095" s="920"/>
      <c r="I1095" s="1"/>
      <c r="J1095" s="1"/>
      <c r="K1095" s="1"/>
      <c r="L1095" s="1"/>
      <c r="M1095" s="1"/>
    </row>
    <row r="1096" ht="14.25" customHeight="1">
      <c r="A1096" s="1"/>
      <c r="B1096" s="102"/>
      <c r="C1096" s="104"/>
      <c r="D1096" s="104"/>
      <c r="E1096" s="104"/>
      <c r="F1096" s="106"/>
      <c r="G1096" s="1"/>
      <c r="H1096" s="920"/>
      <c r="I1096" s="1"/>
      <c r="J1096" s="1"/>
      <c r="K1096" s="1"/>
      <c r="L1096" s="1"/>
      <c r="M1096" s="1"/>
    </row>
    <row r="1097" ht="14.25" customHeight="1">
      <c r="A1097" s="1"/>
      <c r="B1097" s="1"/>
      <c r="C1097" s="107"/>
      <c r="D1097" s="184"/>
      <c r="E1097" s="184"/>
      <c r="F1097" s="108"/>
      <c r="G1097" s="1"/>
      <c r="H1097" s="920"/>
      <c r="I1097" s="1"/>
      <c r="J1097" s="1"/>
      <c r="K1097" s="1"/>
      <c r="L1097" s="1"/>
      <c r="M1097" s="1"/>
    </row>
    <row r="1098" ht="14.25" customHeight="1">
      <c r="A1098" s="1"/>
      <c r="B1098" s="258" t="s">
        <v>119</v>
      </c>
      <c r="C1098" s="258" t="s">
        <v>47</v>
      </c>
      <c r="D1098" s="184"/>
      <c r="E1098" s="184"/>
      <c r="F1098" s="108"/>
      <c r="G1098" s="1"/>
      <c r="H1098" s="920"/>
      <c r="I1098" s="1"/>
      <c r="J1098" s="1"/>
      <c r="K1098" s="1"/>
      <c r="L1098" s="1"/>
      <c r="M1098" s="1"/>
    </row>
    <row r="1099" ht="14.25" customHeight="1">
      <c r="A1099" s="1"/>
      <c r="B1099" s="1"/>
      <c r="C1099" s="107"/>
      <c r="D1099" s="184"/>
      <c r="E1099" s="184"/>
      <c r="F1099" s="108"/>
      <c r="G1099" s="1"/>
      <c r="H1099" s="920"/>
      <c r="I1099" s="1"/>
      <c r="J1099" s="1"/>
      <c r="K1099" s="1"/>
      <c r="L1099" s="1"/>
      <c r="M1099" s="1"/>
    </row>
    <row r="1100" ht="14.25" customHeight="1">
      <c r="A1100" s="1"/>
      <c r="B1100" s="203" t="s">
        <v>49</v>
      </c>
      <c r="C1100" s="2419">
        <v>43514.0</v>
      </c>
      <c r="D1100" s="184"/>
      <c r="E1100" s="184"/>
      <c r="F1100" s="108"/>
      <c r="G1100" s="1"/>
      <c r="H1100" s="920"/>
      <c r="I1100" s="1"/>
      <c r="J1100" s="1"/>
      <c r="K1100" s="1"/>
      <c r="L1100" s="1"/>
      <c r="M1100" s="1"/>
    </row>
    <row r="1101" ht="14.25" customHeight="1">
      <c r="A1101" s="1"/>
      <c r="B1101" s="342" t="s">
        <v>50</v>
      </c>
      <c r="C1101" s="2419">
        <v>43514.0</v>
      </c>
      <c r="D1101" s="184"/>
      <c r="E1101" s="184"/>
      <c r="F1101" s="108"/>
      <c r="G1101" s="1"/>
      <c r="H1101" s="920"/>
      <c r="I1101" s="1"/>
      <c r="J1101" s="1"/>
      <c r="K1101" s="1"/>
      <c r="L1101" s="1"/>
      <c r="M1101" s="1"/>
    </row>
    <row r="1102" ht="14.25" customHeight="1">
      <c r="A1102" s="1"/>
      <c r="B1102" s="1"/>
      <c r="C1102" s="107"/>
      <c r="D1102" s="184"/>
      <c r="E1102" s="184"/>
      <c r="F1102" s="108"/>
      <c r="G1102" s="1"/>
      <c r="H1102" s="920"/>
      <c r="I1102" s="1"/>
      <c r="J1102" s="1"/>
      <c r="K1102" s="1"/>
      <c r="L1102" s="1"/>
      <c r="M1102" s="1"/>
    </row>
    <row r="1103" ht="14.25" customHeight="1">
      <c r="A1103" s="1"/>
      <c r="B1103" s="1"/>
      <c r="C1103" s="107"/>
      <c r="D1103" s="184"/>
      <c r="E1103" s="184"/>
      <c r="F1103" s="108"/>
      <c r="G1103" s="1"/>
      <c r="H1103" s="920"/>
      <c r="I1103" s="1"/>
      <c r="J1103" s="1"/>
      <c r="K1103" s="1"/>
      <c r="L1103" s="1"/>
      <c r="M1103" s="1"/>
    </row>
    <row r="1104" ht="14.25" customHeight="1">
      <c r="A1104" s="1"/>
      <c r="B1104" s="1"/>
      <c r="C1104" s="107"/>
      <c r="D1104" s="184"/>
      <c r="E1104" s="184"/>
      <c r="F1104" s="108"/>
      <c r="G1104" s="1"/>
      <c r="H1104" s="920"/>
      <c r="I1104" s="1"/>
      <c r="J1104" s="1"/>
      <c r="K1104" s="1"/>
      <c r="L1104" s="1"/>
      <c r="M1104" s="1"/>
    </row>
    <row r="1105" ht="14.25" customHeight="1">
      <c r="A1105" s="1"/>
      <c r="B1105" s="1"/>
      <c r="C1105" s="107"/>
      <c r="D1105" s="184"/>
      <c r="E1105" s="184"/>
      <c r="F1105" s="108"/>
      <c r="G1105" s="1"/>
      <c r="H1105" s="920"/>
      <c r="I1105" s="1"/>
      <c r="J1105" s="1"/>
      <c r="K1105" s="1"/>
      <c r="L1105" s="1"/>
      <c r="M1105" s="1"/>
    </row>
    <row r="1106" ht="14.25" customHeight="1">
      <c r="A1106" s="1"/>
      <c r="B1106" s="1"/>
      <c r="C1106" s="107"/>
      <c r="D1106" s="184"/>
      <c r="E1106" s="184"/>
      <c r="F1106" s="108"/>
      <c r="G1106" s="1"/>
      <c r="H1106" s="920"/>
      <c r="I1106" s="1"/>
      <c r="J1106" s="1"/>
      <c r="K1106" s="1"/>
      <c r="L1106" s="1"/>
      <c r="M1106" s="1"/>
    </row>
    <row r="1107" ht="14.25" customHeight="1">
      <c r="A1107" s="1"/>
      <c r="B1107" s="1269" t="s">
        <v>475</v>
      </c>
      <c r="C1107" s="18"/>
      <c r="D1107" s="18"/>
      <c r="E1107" s="18"/>
      <c r="F1107" s="19"/>
      <c r="G1107" s="2924" t="s">
        <v>3315</v>
      </c>
      <c r="H1107" s="920"/>
      <c r="I1107" s="1"/>
      <c r="J1107" s="1"/>
      <c r="K1107" s="1"/>
      <c r="L1107" s="1"/>
      <c r="M1107" s="1"/>
    </row>
    <row r="1108" ht="14.25" customHeight="1">
      <c r="A1108" s="1"/>
      <c r="B1108" s="1171" t="s">
        <v>1</v>
      </c>
      <c r="C1108" s="1155">
        <v>130.0</v>
      </c>
      <c r="D1108" s="2925">
        <v>28.0</v>
      </c>
      <c r="E1108" s="2925"/>
      <c r="F1108" s="547" t="s">
        <v>5</v>
      </c>
      <c r="G1108" s="1"/>
      <c r="H1108" s="920"/>
      <c r="I1108" s="1"/>
      <c r="J1108" s="1"/>
      <c r="K1108" s="1"/>
      <c r="L1108" s="1"/>
      <c r="M1108" s="1"/>
    </row>
    <row r="1109" ht="14.25" customHeight="1">
      <c r="A1109" s="1"/>
      <c r="B1109" s="68" t="s">
        <v>15</v>
      </c>
      <c r="C1109" s="975">
        <v>300.0</v>
      </c>
      <c r="D1109" s="2926">
        <f t="shared" ref="D1109:D1112" si="90">(C1109*D1108)/C1108</f>
        <v>64.61538462</v>
      </c>
      <c r="E1109" s="2926"/>
      <c r="F1109" s="216" t="s">
        <v>5</v>
      </c>
      <c r="G1109" s="770" t="s">
        <v>3316</v>
      </c>
      <c r="H1109" s="920" t="s">
        <v>3317</v>
      </c>
      <c r="I1109" s="1"/>
      <c r="J1109" s="1"/>
      <c r="K1109" s="1"/>
      <c r="L1109" s="1"/>
      <c r="M1109" s="1"/>
    </row>
    <row r="1110" ht="14.25" customHeight="1">
      <c r="A1110" s="1"/>
      <c r="B1110" s="105" t="s">
        <v>3318</v>
      </c>
      <c r="C1110" s="980">
        <v>26.0</v>
      </c>
      <c r="D1110" s="2930">
        <f t="shared" si="90"/>
        <v>5.6</v>
      </c>
      <c r="E1110" s="2930"/>
      <c r="F1110" s="518" t="s">
        <v>18</v>
      </c>
      <c r="G1110" s="76"/>
      <c r="H1110" s="920"/>
      <c r="I1110" s="1"/>
      <c r="J1110" s="1"/>
      <c r="K1110" s="1"/>
      <c r="L1110" s="1"/>
      <c r="M1110" s="1"/>
    </row>
    <row r="1111" ht="14.25" customHeight="1">
      <c r="A1111" s="1"/>
      <c r="B1111" s="68" t="s">
        <v>21</v>
      </c>
      <c r="C1111" s="975">
        <v>85.0</v>
      </c>
      <c r="D1111" s="2926">
        <f t="shared" si="90"/>
        <v>18.30769231</v>
      </c>
      <c r="E1111" s="2926"/>
      <c r="F1111" s="216" t="s">
        <v>18</v>
      </c>
      <c r="G1111" s="610" t="s">
        <v>3320</v>
      </c>
      <c r="H1111" s="920"/>
      <c r="I1111" s="1"/>
      <c r="J1111" s="1"/>
      <c r="K1111" s="1"/>
      <c r="L1111" s="1"/>
      <c r="M1111" s="1"/>
    </row>
    <row r="1112" ht="14.25" customHeight="1">
      <c r="A1112" s="1"/>
      <c r="B1112" s="105" t="s">
        <v>17</v>
      </c>
      <c r="C1112" s="980">
        <v>160.0</v>
      </c>
      <c r="D1112" s="2930">
        <f t="shared" si="90"/>
        <v>34.46153846</v>
      </c>
      <c r="E1112" s="2930"/>
      <c r="F1112" s="518" t="s">
        <v>18</v>
      </c>
      <c r="G1112" s="76"/>
      <c r="H1112" s="920"/>
      <c r="I1112" s="1"/>
      <c r="J1112" s="1"/>
      <c r="K1112" s="1"/>
      <c r="L1112" s="1"/>
      <c r="M1112" s="1"/>
    </row>
    <row r="1113" ht="14.25" customHeight="1">
      <c r="A1113" s="1"/>
      <c r="B1113" s="68" t="s">
        <v>2723</v>
      </c>
      <c r="C1113" s="975">
        <v>1.0</v>
      </c>
      <c r="D1113" s="2926">
        <f t="shared" ref="D1113:D1114" si="91">(C1113*D1110)/C1110</f>
        <v>0.2153846154</v>
      </c>
      <c r="E1113" s="2926"/>
      <c r="F1113" s="216" t="s">
        <v>366</v>
      </c>
      <c r="G1113" s="1299" t="s">
        <v>3321</v>
      </c>
      <c r="H1113" s="920"/>
      <c r="I1113" s="1"/>
      <c r="J1113" s="1"/>
      <c r="K1113" s="1"/>
      <c r="L1113" s="1"/>
      <c r="M1113" s="1"/>
    </row>
    <row r="1114" ht="14.25" customHeight="1">
      <c r="A1114" s="1"/>
      <c r="B1114" s="105" t="s">
        <v>2936</v>
      </c>
      <c r="C1114" s="980">
        <v>1.5</v>
      </c>
      <c r="D1114" s="2930">
        <f t="shared" si="91"/>
        <v>0.3230769231</v>
      </c>
      <c r="E1114" s="2930"/>
      <c r="F1114" s="518" t="s">
        <v>366</v>
      </c>
      <c r="G1114" s="47"/>
      <c r="H1114" s="920"/>
      <c r="I1114" s="1"/>
      <c r="J1114" s="1"/>
      <c r="K1114" s="1"/>
      <c r="L1114" s="1"/>
      <c r="M1114" s="1"/>
    </row>
    <row r="1115" ht="14.25" customHeight="1">
      <c r="A1115" s="1"/>
      <c r="B1115" s="173" t="s">
        <v>13</v>
      </c>
      <c r="C1115" s="1155">
        <v>17.0</v>
      </c>
      <c r="D1115" s="2925">
        <f t="shared" ref="D1115:D1116" si="92">(C1115*D1114)/C1114</f>
        <v>3.661538462</v>
      </c>
      <c r="E1115" s="2925"/>
      <c r="F1115" s="547" t="s">
        <v>366</v>
      </c>
      <c r="G1115" s="241" t="s">
        <v>3322</v>
      </c>
      <c r="H1115" s="920"/>
      <c r="I1115" s="1"/>
      <c r="J1115" s="1"/>
      <c r="K1115" s="1"/>
      <c r="L1115" s="1"/>
      <c r="M1115" s="1"/>
    </row>
    <row r="1116" ht="14.25" customHeight="1">
      <c r="A1116" s="1"/>
      <c r="B1116" s="173" t="s">
        <v>3323</v>
      </c>
      <c r="C1116" s="1155">
        <v>30.0</v>
      </c>
      <c r="D1116" s="2925">
        <f t="shared" si="92"/>
        <v>6.461538462</v>
      </c>
      <c r="E1116" s="2925"/>
      <c r="F1116" s="547" t="s">
        <v>18</v>
      </c>
      <c r="G1116" s="241" t="s">
        <v>3324</v>
      </c>
      <c r="H1116" s="920"/>
      <c r="I1116" s="1"/>
      <c r="J1116" s="1"/>
      <c r="K1116" s="1"/>
      <c r="L1116" s="1"/>
      <c r="M1116" s="1"/>
    </row>
    <row r="1117" ht="14.25" customHeight="1">
      <c r="A1117" s="1"/>
      <c r="B1117" s="203" t="s">
        <v>49</v>
      </c>
      <c r="C1117" s="2419"/>
      <c r="D1117" s="2419">
        <v>43361.0</v>
      </c>
      <c r="E1117" s="2346"/>
      <c r="F1117" s="107"/>
      <c r="G1117" s="1"/>
      <c r="H1117" s="920"/>
      <c r="I1117" s="1"/>
      <c r="J1117" s="1"/>
      <c r="K1117" s="1"/>
      <c r="L1117" s="1"/>
      <c r="M1117" s="1"/>
    </row>
    <row r="1118" ht="14.25" customHeight="1">
      <c r="A1118" s="1"/>
      <c r="B1118" s="342" t="s">
        <v>50</v>
      </c>
      <c r="C1118" s="2419"/>
      <c r="D1118" s="2419">
        <v>43361.0</v>
      </c>
      <c r="E1118" s="2346"/>
      <c r="F1118" s="107"/>
      <c r="G1118" s="1"/>
      <c r="H1118" s="920"/>
      <c r="I1118" s="1"/>
      <c r="J1118" s="1"/>
      <c r="K1118" s="1"/>
      <c r="L1118" s="1"/>
      <c r="M1118" s="1"/>
    </row>
    <row r="1119" ht="14.25" customHeight="1">
      <c r="A1119" s="1"/>
      <c r="B1119" s="1"/>
      <c r="C1119" s="107"/>
      <c r="D1119" s="184"/>
      <c r="E1119" s="184"/>
      <c r="F1119" s="108"/>
      <c r="G1119" s="1"/>
      <c r="H1119" s="920"/>
      <c r="I1119" s="1"/>
      <c r="J1119" s="1"/>
      <c r="K1119" s="1"/>
      <c r="L1119" s="1"/>
      <c r="M1119" s="1"/>
    </row>
    <row r="1120" ht="14.25" customHeight="1">
      <c r="A1120" s="1"/>
      <c r="B1120" s="258" t="s">
        <v>119</v>
      </c>
      <c r="C1120" s="258" t="s">
        <v>47</v>
      </c>
      <c r="D1120" s="184"/>
      <c r="E1120" s="184"/>
      <c r="F1120" s="108"/>
      <c r="G1120" s="1"/>
      <c r="H1120" s="920"/>
      <c r="I1120" s="1"/>
      <c r="J1120" s="1"/>
      <c r="K1120" s="1"/>
      <c r="L1120" s="1"/>
      <c r="M1120" s="1"/>
    </row>
    <row r="1121" ht="14.25" customHeight="1">
      <c r="A1121" s="1"/>
      <c r="B1121" s="1"/>
      <c r="C1121" s="107"/>
      <c r="D1121" s="184"/>
      <c r="E1121" s="184"/>
      <c r="F1121" s="108"/>
      <c r="G1121" s="1"/>
      <c r="H1121" s="920"/>
      <c r="I1121" s="1"/>
      <c r="J1121" s="1"/>
      <c r="K1121" s="1"/>
      <c r="L1121" s="1"/>
      <c r="M1121" s="1"/>
    </row>
    <row r="1122" ht="14.25" customHeight="1">
      <c r="A1122" s="1"/>
      <c r="B1122" s="1"/>
      <c r="C1122" s="107"/>
      <c r="D1122" s="184"/>
      <c r="E1122" s="184"/>
      <c r="F1122" s="108"/>
      <c r="G1122" s="1"/>
      <c r="H1122" s="920"/>
      <c r="I1122" s="1"/>
      <c r="J1122" s="1"/>
      <c r="K1122" s="1"/>
      <c r="L1122" s="1"/>
      <c r="M1122" s="1"/>
    </row>
    <row r="1123" ht="14.25" customHeight="1">
      <c r="A1123" s="1"/>
      <c r="B1123" s="1"/>
      <c r="C1123" s="107"/>
      <c r="D1123" s="184"/>
      <c r="E1123" s="184"/>
      <c r="F1123" s="108"/>
      <c r="G1123" s="1"/>
      <c r="H1123" s="920"/>
      <c r="I1123" s="1"/>
      <c r="J1123" s="1"/>
      <c r="K1123" s="1"/>
      <c r="L1123" s="1"/>
      <c r="M1123" s="1"/>
    </row>
    <row r="1124" ht="14.25" customHeight="1">
      <c r="A1124" s="1"/>
      <c r="B1124" s="1"/>
      <c r="C1124" s="107"/>
      <c r="D1124" s="184"/>
      <c r="E1124" s="184"/>
      <c r="F1124" s="108"/>
      <c r="G1124" s="1"/>
      <c r="H1124" s="920"/>
      <c r="I1124" s="1"/>
      <c r="J1124" s="1"/>
      <c r="K1124" s="1"/>
      <c r="L1124" s="1"/>
      <c r="M1124" s="1"/>
    </row>
    <row r="1125" ht="14.25" customHeight="1">
      <c r="A1125" s="1"/>
      <c r="B1125" s="1"/>
      <c r="C1125" s="107"/>
      <c r="D1125" s="184"/>
      <c r="E1125" s="184"/>
      <c r="F1125" s="108"/>
      <c r="G1125" s="1"/>
      <c r="H1125" s="920"/>
      <c r="I1125" s="1"/>
      <c r="J1125" s="1"/>
      <c r="K1125" s="1"/>
      <c r="L1125" s="1"/>
      <c r="M1125" s="1"/>
    </row>
    <row r="1126" ht="14.25" customHeight="1">
      <c r="A1126" s="1"/>
      <c r="B1126" s="209" t="s">
        <v>3325</v>
      </c>
      <c r="C1126" s="18"/>
      <c r="D1126" s="18"/>
      <c r="E1126" s="18"/>
      <c r="F1126" s="19"/>
      <c r="G1126" s="921"/>
      <c r="H1126" s="920"/>
      <c r="I1126" s="1"/>
      <c r="J1126" s="1"/>
      <c r="K1126" s="1"/>
      <c r="L1126" s="1"/>
      <c r="M1126" s="1"/>
    </row>
    <row r="1127" ht="14.25" customHeight="1">
      <c r="A1127" s="1"/>
      <c r="B1127" s="68" t="s">
        <v>1</v>
      </c>
      <c r="C1127" s="145">
        <v>100.0</v>
      </c>
      <c r="D1127" s="155">
        <v>5.0</v>
      </c>
      <c r="E1127" s="899"/>
      <c r="F1127" s="137" t="s">
        <v>5</v>
      </c>
      <c r="G1127" s="921"/>
      <c r="H1127" s="920"/>
      <c r="I1127" s="1"/>
      <c r="J1127" s="1"/>
      <c r="K1127" s="1"/>
      <c r="L1127" s="1"/>
      <c r="M1127" s="1"/>
    </row>
    <row r="1128" ht="14.25" customHeight="1">
      <c r="A1128" s="1"/>
      <c r="B1128" s="105" t="s">
        <v>314</v>
      </c>
      <c r="C1128" s="200">
        <v>20.0</v>
      </c>
      <c r="D1128" s="517">
        <f t="shared" ref="D1128:D1139" si="93">(C1128*D1127)/C1127</f>
        <v>1</v>
      </c>
      <c r="E1128" s="1656"/>
      <c r="F1128" s="172" t="s">
        <v>14</v>
      </c>
      <c r="G1128" s="92" t="s">
        <v>3326</v>
      </c>
      <c r="H1128" s="920"/>
      <c r="I1128" s="1"/>
      <c r="J1128" s="1"/>
      <c r="K1128" s="1"/>
      <c r="L1128" s="1"/>
      <c r="M1128" s="1"/>
    </row>
    <row r="1129" ht="14.25" customHeight="1">
      <c r="A1129" s="1"/>
      <c r="B1129" s="68" t="s">
        <v>3327</v>
      </c>
      <c r="C1129" s="145">
        <v>12.0</v>
      </c>
      <c r="D1129" s="516">
        <f t="shared" si="93"/>
        <v>0.6</v>
      </c>
      <c r="E1129" s="1652"/>
      <c r="F1129" s="1341" t="s">
        <v>14</v>
      </c>
      <c r="G1129" s="98"/>
      <c r="H1129" s="920"/>
      <c r="I1129" s="1"/>
      <c r="J1129" s="1"/>
      <c r="K1129" s="1"/>
      <c r="L1129" s="1"/>
      <c r="M1129" s="1"/>
    </row>
    <row r="1130" ht="14.25" customHeight="1">
      <c r="A1130" s="1"/>
      <c r="B1130" s="93" t="s">
        <v>805</v>
      </c>
      <c r="C1130" s="195">
        <v>8.0</v>
      </c>
      <c r="D1130" s="521">
        <f t="shared" si="93"/>
        <v>0.4</v>
      </c>
      <c r="E1130" s="1653"/>
      <c r="F1130" s="1342" t="s">
        <v>14</v>
      </c>
      <c r="G1130" s="98"/>
      <c r="H1130" s="920"/>
      <c r="I1130" s="1"/>
      <c r="J1130" s="1"/>
      <c r="K1130" s="1"/>
      <c r="L1130" s="1"/>
      <c r="M1130" s="1"/>
    </row>
    <row r="1131" ht="14.25" customHeight="1">
      <c r="A1131" s="1"/>
      <c r="B1131" s="898" t="s">
        <v>2907</v>
      </c>
      <c r="C1131" s="195">
        <v>1.0</v>
      </c>
      <c r="D1131" s="521">
        <f t="shared" si="93"/>
        <v>0.05</v>
      </c>
      <c r="E1131" s="1653"/>
      <c r="F1131" s="1342" t="s">
        <v>5</v>
      </c>
      <c r="G1131" s="98"/>
      <c r="H1131" s="920"/>
      <c r="I1131" s="1"/>
      <c r="J1131" s="1"/>
      <c r="K1131" s="1"/>
      <c r="L1131" s="1"/>
      <c r="M1131" s="1"/>
    </row>
    <row r="1132" ht="14.25" customHeight="1">
      <c r="A1132" s="1"/>
      <c r="B1132" s="93" t="s">
        <v>59</v>
      </c>
      <c r="C1132" s="195">
        <v>64.0</v>
      </c>
      <c r="D1132" s="521">
        <f t="shared" si="93"/>
        <v>3.2</v>
      </c>
      <c r="E1132" s="1653"/>
      <c r="F1132" s="1342" t="s">
        <v>5</v>
      </c>
      <c r="G1132" s="115"/>
      <c r="H1132" s="920"/>
      <c r="I1132" s="1"/>
      <c r="J1132" s="1"/>
      <c r="K1132" s="1"/>
      <c r="L1132" s="1"/>
      <c r="M1132" s="1"/>
    </row>
    <row r="1133" ht="14.25" customHeight="1">
      <c r="A1133" s="1"/>
      <c r="B1133" s="105" t="s">
        <v>31</v>
      </c>
      <c r="C1133" s="200">
        <v>300.0</v>
      </c>
      <c r="D1133" s="517">
        <f t="shared" si="93"/>
        <v>15</v>
      </c>
      <c r="E1133" s="1656"/>
      <c r="F1133" s="2934" t="s">
        <v>18</v>
      </c>
      <c r="G1133" s="92" t="s">
        <v>1042</v>
      </c>
      <c r="H1133" s="920"/>
      <c r="I1133" s="1"/>
      <c r="J1133" s="1"/>
      <c r="K1133" s="1"/>
      <c r="L1133" s="1"/>
      <c r="M1133" s="1"/>
    </row>
    <row r="1134" ht="14.25" customHeight="1">
      <c r="A1134" s="1"/>
      <c r="B1134" s="68" t="s">
        <v>80</v>
      </c>
      <c r="C1134" s="145">
        <v>32.0</v>
      </c>
      <c r="D1134" s="516">
        <f t="shared" si="93"/>
        <v>1.6</v>
      </c>
      <c r="E1134" s="1652"/>
      <c r="F1134" s="1341" t="s">
        <v>14</v>
      </c>
      <c r="G1134" s="115"/>
      <c r="H1134" s="920"/>
      <c r="I1134" s="1"/>
      <c r="J1134" s="1"/>
      <c r="K1134" s="1"/>
      <c r="L1134" s="1"/>
      <c r="M1134" s="1"/>
    </row>
    <row r="1135" ht="14.25" customHeight="1">
      <c r="A1135" s="1"/>
      <c r="B1135" s="105" t="s">
        <v>59</v>
      </c>
      <c r="C1135" s="200">
        <v>4.0</v>
      </c>
      <c r="D1135" s="517">
        <f t="shared" si="93"/>
        <v>0.2</v>
      </c>
      <c r="E1135" s="1656"/>
      <c r="F1135" s="2934" t="s">
        <v>5</v>
      </c>
      <c r="G1135" s="92" t="s">
        <v>2908</v>
      </c>
      <c r="H1135" s="920"/>
      <c r="I1135" s="1"/>
      <c r="J1135" s="1"/>
      <c r="K1135" s="1"/>
      <c r="L1135" s="1"/>
      <c r="M1135" s="1"/>
    </row>
    <row r="1136" ht="14.25" customHeight="1">
      <c r="A1136" s="1"/>
      <c r="B1136" s="68" t="s">
        <v>1044</v>
      </c>
      <c r="C1136" s="145">
        <v>2.0</v>
      </c>
      <c r="D1136" s="516">
        <f t="shared" si="93"/>
        <v>0.1</v>
      </c>
      <c r="E1136" s="1652"/>
      <c r="F1136" s="1341" t="s">
        <v>5</v>
      </c>
      <c r="G1136" s="98"/>
      <c r="H1136" s="920"/>
      <c r="I1136" s="1"/>
      <c r="J1136" s="1"/>
      <c r="K1136" s="1"/>
      <c r="L1136" s="1"/>
      <c r="M1136" s="1"/>
    </row>
    <row r="1137" ht="14.25" customHeight="1">
      <c r="A1137" s="1"/>
      <c r="B1137" s="93" t="s">
        <v>884</v>
      </c>
      <c r="C1137" s="195">
        <v>150.0</v>
      </c>
      <c r="D1137" s="521">
        <f t="shared" si="93"/>
        <v>7.5</v>
      </c>
      <c r="E1137" s="1653"/>
      <c r="F1137" s="1342" t="s">
        <v>18</v>
      </c>
      <c r="G1137" s="98"/>
      <c r="H1137" s="920"/>
      <c r="I1137" s="1"/>
      <c r="J1137" s="1"/>
      <c r="K1137" s="1"/>
      <c r="L1137" s="1"/>
      <c r="M1137" s="1"/>
    </row>
    <row r="1138" ht="14.25" customHeight="1">
      <c r="A1138" s="1"/>
      <c r="B1138" s="93" t="s">
        <v>746</v>
      </c>
      <c r="C1138" s="195">
        <v>1500.0</v>
      </c>
      <c r="D1138" s="521">
        <f t="shared" si="93"/>
        <v>75</v>
      </c>
      <c r="E1138" s="1653"/>
      <c r="F1138" s="1342" t="s">
        <v>18</v>
      </c>
      <c r="G1138" s="98"/>
      <c r="H1138" s="920"/>
      <c r="I1138" s="1"/>
      <c r="J1138" s="1"/>
      <c r="K1138" s="1"/>
      <c r="L1138" s="1"/>
      <c r="M1138" s="1"/>
    </row>
    <row r="1139" ht="14.25" customHeight="1">
      <c r="A1139" s="1"/>
      <c r="B1139" s="93" t="s">
        <v>1046</v>
      </c>
      <c r="C1139" s="195">
        <v>500.0</v>
      </c>
      <c r="D1139" s="521">
        <f t="shared" si="93"/>
        <v>25</v>
      </c>
      <c r="E1139" s="1653"/>
      <c r="F1139" s="1342" t="s">
        <v>18</v>
      </c>
      <c r="G1139" s="115"/>
      <c r="H1139" s="920"/>
      <c r="I1139" s="1"/>
      <c r="J1139" s="1"/>
      <c r="K1139" s="1"/>
      <c r="L1139" s="1"/>
      <c r="M1139" s="1"/>
    </row>
    <row r="1140" ht="14.25" customHeight="1">
      <c r="A1140" s="1"/>
      <c r="B1140" s="105" t="s">
        <v>2912</v>
      </c>
      <c r="C1140" s="200">
        <v>2.5</v>
      </c>
      <c r="D1140" s="517">
        <f>(C1140*D1134)/C1134</f>
        <v>0.125</v>
      </c>
      <c r="E1140" s="1656"/>
      <c r="F1140" s="2934" t="s">
        <v>14</v>
      </c>
      <c r="G1140" s="92" t="s">
        <v>2915</v>
      </c>
      <c r="H1140" s="920"/>
      <c r="I1140" s="1"/>
      <c r="J1140" s="1"/>
      <c r="K1140" s="1"/>
      <c r="L1140" s="1"/>
      <c r="M1140" s="1"/>
    </row>
    <row r="1141" ht="14.25" customHeight="1">
      <c r="A1141" s="1"/>
      <c r="B1141" s="68" t="s">
        <v>102</v>
      </c>
      <c r="C1141" s="145">
        <v>150.00000000000003</v>
      </c>
      <c r="D1141" s="516">
        <f>(C1141*D1139)/C1139</f>
        <v>7.5</v>
      </c>
      <c r="E1141" s="1652"/>
      <c r="F1141" s="1341" t="s">
        <v>18</v>
      </c>
      <c r="G1141" s="98"/>
      <c r="H1141" s="920"/>
      <c r="I1141" s="1"/>
      <c r="J1141" s="1"/>
      <c r="K1141" s="1"/>
      <c r="L1141" s="1"/>
      <c r="M1141" s="1"/>
    </row>
    <row r="1142" ht="14.25" customHeight="1">
      <c r="A1142" s="1"/>
      <c r="B1142" s="93" t="s">
        <v>1195</v>
      </c>
      <c r="C1142" s="195">
        <v>20.000000000000004</v>
      </c>
      <c r="D1142" s="521">
        <f t="shared" ref="D1142:D1146" si="94">(C1142*D1141)/C1141</f>
        <v>1</v>
      </c>
      <c r="E1142" s="1653"/>
      <c r="F1142" s="1342" t="s">
        <v>18</v>
      </c>
      <c r="G1142" s="98"/>
      <c r="H1142" s="920"/>
      <c r="I1142" s="1"/>
      <c r="J1142" s="1"/>
      <c r="K1142" s="1"/>
      <c r="L1142" s="1"/>
      <c r="M1142" s="1"/>
    </row>
    <row r="1143" ht="14.25" customHeight="1">
      <c r="A1143" s="1"/>
      <c r="B1143" s="93" t="s">
        <v>1179</v>
      </c>
      <c r="C1143" s="195">
        <v>30.000000000000007</v>
      </c>
      <c r="D1143" s="521">
        <f t="shared" si="94"/>
        <v>1.5</v>
      </c>
      <c r="E1143" s="1653"/>
      <c r="F1143" s="1342" t="s">
        <v>18</v>
      </c>
      <c r="G1143" s="115"/>
      <c r="H1143" s="920"/>
      <c r="I1143" s="1"/>
      <c r="J1143" s="1"/>
      <c r="K1143" s="1"/>
      <c r="L1143" s="1"/>
      <c r="M1143" s="1"/>
    </row>
    <row r="1144" ht="14.25" customHeight="1">
      <c r="A1144" s="1"/>
      <c r="B1144" s="93" t="s">
        <v>96</v>
      </c>
      <c r="C1144" s="195">
        <v>10.000000000000002</v>
      </c>
      <c r="D1144" s="521">
        <f t="shared" si="94"/>
        <v>0.5</v>
      </c>
      <c r="E1144" s="1653"/>
      <c r="F1144" s="1342" t="s">
        <v>18</v>
      </c>
      <c r="G1144" s="1506"/>
      <c r="H1144" s="920"/>
      <c r="I1144" s="1"/>
      <c r="J1144" s="1"/>
      <c r="K1144" s="1"/>
      <c r="L1144" s="1"/>
      <c r="M1144" s="1"/>
    </row>
    <row r="1145" ht="14.25" customHeight="1">
      <c r="A1145" s="1"/>
      <c r="B1145" s="173" t="s">
        <v>2917</v>
      </c>
      <c r="C1145" s="275">
        <v>8.0</v>
      </c>
      <c r="D1145" s="546">
        <f t="shared" si="94"/>
        <v>0.4</v>
      </c>
      <c r="E1145" s="1808"/>
      <c r="F1145" s="1351" t="s">
        <v>18</v>
      </c>
      <c r="G1145" s="1585" t="s">
        <v>2920</v>
      </c>
      <c r="H1145" s="920"/>
      <c r="I1145" s="1"/>
      <c r="J1145" s="1"/>
      <c r="K1145" s="1"/>
      <c r="L1145" s="1"/>
      <c r="M1145" s="1"/>
    </row>
    <row r="1146" ht="14.25" customHeight="1">
      <c r="A1146" s="1"/>
      <c r="B1146" s="149" t="s">
        <v>743</v>
      </c>
      <c r="C1146" s="152">
        <v>7.0</v>
      </c>
      <c r="D1146" s="556">
        <f t="shared" si="94"/>
        <v>0.35</v>
      </c>
      <c r="E1146" s="2360"/>
      <c r="F1146" s="2558" t="s">
        <v>5</v>
      </c>
      <c r="G1146" s="1"/>
      <c r="H1146" s="920"/>
      <c r="I1146" s="1"/>
      <c r="J1146" s="1"/>
      <c r="K1146" s="1"/>
      <c r="L1146" s="1"/>
      <c r="M1146" s="1"/>
    </row>
    <row r="1147" ht="14.25" customHeight="1">
      <c r="A1147" s="1"/>
      <c r="B1147" s="203" t="s">
        <v>49</v>
      </c>
      <c r="C1147" s="2419">
        <v>43361.0</v>
      </c>
      <c r="D1147" s="107"/>
      <c r="E1147" s="107"/>
      <c r="F1147" s="107"/>
      <c r="G1147" s="1"/>
      <c r="H1147" s="920"/>
      <c r="I1147" s="1"/>
      <c r="J1147" s="1"/>
      <c r="K1147" s="1"/>
      <c r="L1147" s="1"/>
      <c r="M1147" s="1"/>
    </row>
    <row r="1148" ht="14.25" customHeight="1">
      <c r="A1148" s="1"/>
      <c r="B1148" s="342" t="s">
        <v>50</v>
      </c>
      <c r="C1148" s="2419">
        <v>43367.0</v>
      </c>
      <c r="D1148" s="107"/>
      <c r="E1148" s="107"/>
      <c r="F1148" s="107"/>
      <c r="G1148" s="1"/>
      <c r="H1148" s="920"/>
      <c r="I1148" s="1"/>
      <c r="J1148" s="1"/>
      <c r="K1148" s="1"/>
      <c r="L1148" s="1"/>
      <c r="M1148" s="1"/>
    </row>
    <row r="1149" ht="14.25" customHeight="1">
      <c r="A1149" s="1"/>
      <c r="B1149" s="1"/>
      <c r="C1149" s="107"/>
      <c r="D1149" s="184"/>
      <c r="E1149" s="184"/>
      <c r="F1149" s="108"/>
      <c r="G1149" s="1"/>
      <c r="H1149" s="920"/>
      <c r="I1149" s="1"/>
      <c r="J1149" s="1"/>
      <c r="K1149" s="1"/>
      <c r="L1149" s="1"/>
      <c r="M1149" s="1"/>
    </row>
    <row r="1150" ht="14.25" customHeight="1">
      <c r="A1150" s="1"/>
      <c r="B1150" s="258" t="s">
        <v>119</v>
      </c>
      <c r="C1150" s="258" t="s">
        <v>47</v>
      </c>
      <c r="D1150" s="184"/>
      <c r="E1150" s="184"/>
      <c r="F1150" s="108"/>
      <c r="G1150" s="1"/>
      <c r="H1150" s="920"/>
      <c r="I1150" s="1"/>
      <c r="J1150" s="1"/>
      <c r="K1150" s="1"/>
      <c r="L1150" s="1"/>
      <c r="M1150" s="1"/>
    </row>
    <row r="1151" ht="14.25" customHeight="1">
      <c r="A1151" s="1"/>
      <c r="B1151" s="1"/>
      <c r="C1151" s="107"/>
      <c r="D1151" s="184"/>
      <c r="E1151" s="184"/>
      <c r="F1151" s="108"/>
      <c r="G1151" s="1"/>
      <c r="H1151" s="920"/>
      <c r="I1151" s="1"/>
      <c r="J1151" s="1"/>
      <c r="K1151" s="1"/>
      <c r="L1151" s="1"/>
      <c r="M1151" s="1"/>
    </row>
    <row r="1152" ht="14.25" customHeight="1">
      <c r="A1152" s="1"/>
      <c r="B1152" s="1"/>
      <c r="C1152" s="107"/>
      <c r="D1152" s="184"/>
      <c r="E1152" s="184"/>
      <c r="F1152" s="108"/>
      <c r="G1152" s="1"/>
      <c r="H1152" s="920"/>
      <c r="I1152" s="1"/>
      <c r="J1152" s="1"/>
      <c r="K1152" s="1"/>
      <c r="L1152" s="1"/>
      <c r="M1152" s="1"/>
    </row>
    <row r="1153" ht="14.25" customHeight="1">
      <c r="A1153" s="1"/>
      <c r="B1153" s="511" t="s">
        <v>3330</v>
      </c>
      <c r="C1153" s="18"/>
      <c r="D1153" s="18"/>
      <c r="E1153" s="18"/>
      <c r="F1153" s="19"/>
      <c r="G1153" s="1"/>
      <c r="H1153" s="920"/>
      <c r="I1153" s="1"/>
      <c r="J1153" s="1"/>
      <c r="K1153" s="1"/>
      <c r="L1153" s="1"/>
      <c r="M1153" s="1"/>
    </row>
    <row r="1154" ht="14.25" customHeight="1">
      <c r="A1154" s="1"/>
      <c r="B1154" s="119" t="s">
        <v>1</v>
      </c>
      <c r="C1154" s="238">
        <v>3.0</v>
      </c>
      <c r="D1154" s="2937">
        <v>10.0</v>
      </c>
      <c r="E1154" s="2938"/>
      <c r="F1154" s="1184" t="s">
        <v>5</v>
      </c>
      <c r="G1154" s="1"/>
      <c r="H1154" s="920"/>
      <c r="I1154" s="1"/>
      <c r="J1154" s="1"/>
      <c r="K1154" s="1"/>
      <c r="L1154" s="1"/>
      <c r="M1154" s="1"/>
    </row>
    <row r="1155" ht="14.25" customHeight="1">
      <c r="A1155" s="1"/>
      <c r="B1155" s="93" t="s">
        <v>3331</v>
      </c>
      <c r="C1155" s="195">
        <v>3.0</v>
      </c>
      <c r="D1155" s="1378">
        <f t="shared" ref="D1155:D1159" si="95">(D1154*C1155)/C1154</f>
        <v>10</v>
      </c>
      <c r="E1155" s="2939"/>
      <c r="F1155" s="1158" t="s">
        <v>14</v>
      </c>
      <c r="G1155" s="610" t="s">
        <v>3332</v>
      </c>
      <c r="H1155" s="920"/>
      <c r="I1155" s="1"/>
      <c r="J1155" s="1"/>
      <c r="K1155" s="1"/>
      <c r="L1155" s="1"/>
      <c r="M1155" s="1"/>
    </row>
    <row r="1156" ht="14.25" customHeight="1">
      <c r="A1156" s="1"/>
      <c r="B1156" s="93" t="s">
        <v>743</v>
      </c>
      <c r="C1156" s="195">
        <v>1.5</v>
      </c>
      <c r="D1156" s="1378">
        <f t="shared" si="95"/>
        <v>5</v>
      </c>
      <c r="E1156" s="2939"/>
      <c r="F1156" s="1158" t="s">
        <v>5</v>
      </c>
      <c r="G1156" s="47"/>
      <c r="H1156" s="920"/>
      <c r="I1156" s="1"/>
      <c r="J1156" s="1"/>
      <c r="K1156" s="1"/>
      <c r="L1156" s="1"/>
      <c r="M1156" s="1"/>
    </row>
    <row r="1157" ht="14.25" customHeight="1">
      <c r="A1157" s="1"/>
      <c r="B1157" s="93" t="s">
        <v>13</v>
      </c>
      <c r="C1157" s="2082">
        <v>1.5</v>
      </c>
      <c r="D1157" s="1378">
        <f t="shared" si="95"/>
        <v>5</v>
      </c>
      <c r="E1157" s="2939"/>
      <c r="F1157" s="1158" t="s">
        <v>14</v>
      </c>
      <c r="G1157" s="47"/>
      <c r="H1157" s="920"/>
      <c r="I1157" s="1"/>
      <c r="J1157" s="1"/>
      <c r="K1157" s="1"/>
      <c r="L1157" s="1"/>
      <c r="M1157" s="1"/>
    </row>
    <row r="1158" ht="14.25" customHeight="1">
      <c r="A1158" s="1"/>
      <c r="B1158" s="93" t="s">
        <v>15</v>
      </c>
      <c r="C1158" s="195">
        <v>1.0</v>
      </c>
      <c r="D1158" s="1378">
        <f t="shared" si="95"/>
        <v>3.333333333</v>
      </c>
      <c r="E1158" s="2939"/>
      <c r="F1158" s="1158" t="s">
        <v>5</v>
      </c>
      <c r="G1158" s="76"/>
      <c r="H1158" s="920"/>
      <c r="I1158" s="1"/>
      <c r="J1158" s="1"/>
      <c r="K1158" s="1"/>
      <c r="L1158" s="1"/>
      <c r="M1158" s="1"/>
    </row>
    <row r="1159" ht="14.25" customHeight="1">
      <c r="A1159" s="1"/>
      <c r="B1159" s="93" t="s">
        <v>3334</v>
      </c>
      <c r="C1159" s="195">
        <v>10.0</v>
      </c>
      <c r="D1159" s="1378">
        <f t="shared" si="95"/>
        <v>33.33333333</v>
      </c>
      <c r="E1159" s="2939"/>
      <c r="F1159" s="1158" t="s">
        <v>5</v>
      </c>
      <c r="G1159" s="1"/>
      <c r="H1159" s="920"/>
      <c r="I1159" s="1"/>
      <c r="J1159" s="1"/>
      <c r="K1159" s="1"/>
      <c r="L1159" s="1"/>
      <c r="M1159" s="1"/>
    </row>
    <row r="1160" ht="14.25" customHeight="1">
      <c r="A1160" s="1"/>
      <c r="B1160" s="203" t="s">
        <v>49</v>
      </c>
      <c r="C1160" s="2419"/>
      <c r="D1160" s="184"/>
      <c r="E1160" s="184"/>
      <c r="F1160" s="108"/>
      <c r="G1160" s="1"/>
      <c r="H1160" s="920"/>
      <c r="I1160" s="1"/>
      <c r="J1160" s="1"/>
      <c r="K1160" s="1"/>
      <c r="L1160" s="1"/>
      <c r="M1160" s="1"/>
    </row>
    <row r="1161" ht="14.25" customHeight="1">
      <c r="A1161" s="1"/>
      <c r="B1161" s="342" t="s">
        <v>50</v>
      </c>
      <c r="C1161" s="2419"/>
      <c r="D1161" s="184"/>
      <c r="E1161" s="184"/>
      <c r="F1161" s="108"/>
      <c r="G1161" s="1"/>
      <c r="H1161" s="920"/>
      <c r="I1161" s="1"/>
      <c r="J1161" s="1"/>
      <c r="K1161" s="1"/>
      <c r="L1161" s="1"/>
      <c r="M1161" s="1"/>
    </row>
    <row r="1162" ht="14.25" customHeight="1">
      <c r="A1162" s="1"/>
      <c r="B1162" s="1"/>
      <c r="C1162" s="107"/>
      <c r="D1162" s="184"/>
      <c r="E1162" s="184"/>
      <c r="F1162" s="108"/>
      <c r="G1162" s="1"/>
      <c r="H1162" s="920"/>
      <c r="I1162" s="1"/>
      <c r="J1162" s="1"/>
      <c r="K1162" s="1"/>
      <c r="L1162" s="1"/>
      <c r="M1162" s="1"/>
    </row>
    <row r="1163" ht="14.25" customHeight="1">
      <c r="A1163" s="1"/>
      <c r="B1163" s="258" t="s">
        <v>119</v>
      </c>
      <c r="C1163" s="258" t="s">
        <v>47</v>
      </c>
      <c r="D1163" s="184"/>
      <c r="E1163" s="184"/>
      <c r="F1163" s="108"/>
      <c r="G1163" s="1"/>
      <c r="H1163" s="920"/>
      <c r="I1163" s="1"/>
      <c r="J1163" s="1"/>
      <c r="K1163" s="1"/>
      <c r="L1163" s="1"/>
      <c r="M1163" s="1"/>
    </row>
    <row r="1164" ht="14.25" customHeight="1">
      <c r="A1164" s="1"/>
      <c r="B1164" s="1"/>
      <c r="C1164" s="107"/>
      <c r="D1164" s="184"/>
      <c r="E1164" s="184"/>
      <c r="F1164" s="108"/>
      <c r="G1164" s="1"/>
      <c r="H1164" s="920"/>
      <c r="I1164" s="1"/>
      <c r="J1164" s="1"/>
      <c r="K1164" s="1"/>
      <c r="L1164" s="1"/>
      <c r="M1164" s="1"/>
    </row>
    <row r="1165" ht="14.25" customHeight="1">
      <c r="A1165" s="1"/>
      <c r="B1165" s="1"/>
      <c r="C1165" s="107"/>
      <c r="D1165" s="184"/>
      <c r="E1165" s="184"/>
      <c r="F1165" s="108"/>
      <c r="G1165" s="1"/>
      <c r="H1165" s="920"/>
      <c r="I1165" s="1"/>
      <c r="J1165" s="1"/>
      <c r="K1165" s="1"/>
      <c r="L1165" s="1"/>
      <c r="M1165" s="1"/>
    </row>
    <row r="1166" ht="14.25" customHeight="1">
      <c r="A1166" s="1"/>
      <c r="B1166" s="1"/>
      <c r="C1166" s="107"/>
      <c r="D1166" s="184"/>
      <c r="E1166" s="184"/>
      <c r="F1166" s="108"/>
      <c r="G1166" s="1"/>
      <c r="H1166" s="920"/>
      <c r="I1166" s="1"/>
      <c r="J1166" s="1"/>
      <c r="K1166" s="1"/>
      <c r="L1166" s="1"/>
      <c r="M1166" s="1"/>
    </row>
    <row r="1167" ht="14.25" customHeight="1">
      <c r="A1167" s="1"/>
      <c r="B1167" s="1269" t="s">
        <v>3336</v>
      </c>
      <c r="C1167" s="18"/>
      <c r="D1167" s="18"/>
      <c r="E1167" s="18"/>
      <c r="F1167" s="19"/>
      <c r="G1167" s="1"/>
      <c r="H1167" s="920"/>
      <c r="I1167" s="1"/>
      <c r="J1167" s="1"/>
      <c r="K1167" s="1"/>
      <c r="L1167" s="1"/>
      <c r="M1167" s="1"/>
    </row>
    <row r="1168" ht="14.25" customHeight="1">
      <c r="A1168" s="1"/>
      <c r="B1168" s="173" t="s">
        <v>1</v>
      </c>
      <c r="C1168" s="275">
        <v>10.0</v>
      </c>
      <c r="D1168" s="275">
        <v>15.0</v>
      </c>
      <c r="E1168" s="433"/>
      <c r="F1168" s="1610" t="s">
        <v>5</v>
      </c>
      <c r="G1168" s="1"/>
      <c r="H1168" s="920"/>
      <c r="I1168" s="1"/>
      <c r="J1168" s="1"/>
      <c r="K1168" s="1"/>
      <c r="L1168" s="1"/>
      <c r="M1168" s="1"/>
    </row>
    <row r="1169" ht="14.25" customHeight="1">
      <c r="A1169" s="1"/>
      <c r="B1169" s="417" t="s">
        <v>743</v>
      </c>
      <c r="C1169" s="418">
        <v>0.6</v>
      </c>
      <c r="D1169" s="418">
        <f>(C1169*D1174)/C1174</f>
        <v>0.9</v>
      </c>
      <c r="E1169" s="419"/>
      <c r="F1169" s="2337" t="s">
        <v>5</v>
      </c>
      <c r="G1169" s="1"/>
      <c r="H1169" s="920"/>
      <c r="I1169" s="1"/>
      <c r="J1169" s="1"/>
      <c r="K1169" s="1"/>
      <c r="L1169" s="1"/>
      <c r="M1169" s="1"/>
    </row>
    <row r="1170" ht="14.25" customHeight="1">
      <c r="A1170" s="1"/>
      <c r="B1170" s="369" t="s">
        <v>3338</v>
      </c>
      <c r="C1170" s="190">
        <v>10.0</v>
      </c>
      <c r="D1170" s="190">
        <f t="shared" ref="D1170:D1172" si="96">(C1170*D1168)/C1168</f>
        <v>15</v>
      </c>
      <c r="E1170" s="192"/>
      <c r="F1170" s="1593" t="s">
        <v>14</v>
      </c>
      <c r="G1170" s="1"/>
      <c r="H1170" s="920"/>
      <c r="I1170" s="1"/>
      <c r="J1170" s="1"/>
      <c r="K1170" s="1"/>
      <c r="L1170" s="1"/>
      <c r="M1170" s="1"/>
    </row>
    <row r="1171" ht="14.25" customHeight="1">
      <c r="A1171" s="1"/>
      <c r="B1171" s="173" t="s">
        <v>2102</v>
      </c>
      <c r="C1171" s="275">
        <v>12.5</v>
      </c>
      <c r="D1171" s="71">
        <f t="shared" si="96"/>
        <v>18.75</v>
      </c>
      <c r="E1171" s="75"/>
      <c r="F1171" s="1610" t="s">
        <v>14</v>
      </c>
      <c r="G1171" s="1"/>
      <c r="H1171" s="920"/>
      <c r="I1171" s="1"/>
      <c r="J1171" s="1"/>
      <c r="K1171" s="1"/>
      <c r="L1171" s="1"/>
      <c r="M1171" s="1"/>
    </row>
    <row r="1172" ht="14.25" customHeight="1">
      <c r="A1172" s="1"/>
      <c r="B1172" s="119" t="s">
        <v>15</v>
      </c>
      <c r="C1172" s="238">
        <v>6.0</v>
      </c>
      <c r="D1172" s="238">
        <f t="shared" si="96"/>
        <v>9</v>
      </c>
      <c r="E1172" s="282"/>
      <c r="F1172" s="1184" t="s">
        <v>5</v>
      </c>
      <c r="G1172" s="1"/>
      <c r="H1172" s="920"/>
      <c r="I1172" s="1"/>
      <c r="J1172" s="1"/>
      <c r="K1172" s="1"/>
      <c r="L1172" s="1"/>
      <c r="M1172" s="1"/>
    </row>
    <row r="1173" ht="14.25" customHeight="1">
      <c r="A1173" s="1"/>
      <c r="B1173" s="417" t="s">
        <v>13</v>
      </c>
      <c r="C1173" s="418">
        <v>4.0</v>
      </c>
      <c r="D1173" s="418">
        <f t="shared" ref="D1173:D1174" si="97">(C1173*D1172)/C1172</f>
        <v>6</v>
      </c>
      <c r="E1173" s="419"/>
      <c r="F1173" s="2337" t="s">
        <v>14</v>
      </c>
      <c r="G1173" s="1"/>
      <c r="H1173" s="920"/>
      <c r="I1173" s="1"/>
      <c r="J1173" s="1"/>
      <c r="K1173" s="1"/>
      <c r="L1173" s="1"/>
      <c r="M1173" s="1"/>
    </row>
    <row r="1174" ht="14.25" customHeight="1">
      <c r="A1174" s="1"/>
      <c r="B1174" s="173" t="s">
        <v>743</v>
      </c>
      <c r="C1174" s="275">
        <v>0.3</v>
      </c>
      <c r="D1174" s="275">
        <f t="shared" si="97"/>
        <v>0.45</v>
      </c>
      <c r="E1174" s="433"/>
      <c r="F1174" s="1610" t="s">
        <v>5</v>
      </c>
      <c r="G1174" s="1"/>
      <c r="H1174" s="920"/>
      <c r="I1174" s="1"/>
      <c r="J1174" s="1"/>
      <c r="K1174" s="1"/>
      <c r="L1174" s="1"/>
      <c r="M1174" s="1"/>
    </row>
    <row r="1175" ht="14.25" customHeight="1">
      <c r="A1175" s="1"/>
      <c r="B1175" s="173" t="s">
        <v>746</v>
      </c>
      <c r="C1175" s="275">
        <v>1500.0</v>
      </c>
      <c r="D1175" s="275">
        <f>(C1175*D1169)/C1169</f>
        <v>2250</v>
      </c>
      <c r="E1175" s="433"/>
      <c r="F1175" s="1610" t="s">
        <v>18</v>
      </c>
      <c r="G1175" s="1"/>
      <c r="H1175" s="920"/>
      <c r="I1175" s="1"/>
      <c r="J1175" s="1"/>
      <c r="K1175" s="1"/>
      <c r="L1175" s="1"/>
      <c r="M1175" s="1"/>
    </row>
    <row r="1176" ht="14.25" customHeight="1">
      <c r="A1176" s="1"/>
      <c r="B1176" s="203" t="s">
        <v>49</v>
      </c>
      <c r="C1176" s="2419"/>
      <c r="D1176" s="184"/>
      <c r="E1176" s="184"/>
      <c r="F1176" s="108"/>
      <c r="G1176" s="1"/>
      <c r="H1176" s="920"/>
      <c r="I1176" s="1"/>
      <c r="J1176" s="1"/>
      <c r="K1176" s="1"/>
      <c r="L1176" s="1"/>
      <c r="M1176" s="1"/>
    </row>
    <row r="1177" ht="22.5" customHeight="1">
      <c r="A1177" s="1"/>
      <c r="B1177" s="342" t="s">
        <v>50</v>
      </c>
      <c r="C1177" s="2419"/>
      <c r="D1177" s="184"/>
      <c r="E1177" s="184"/>
      <c r="F1177" s="108"/>
      <c r="G1177" s="1"/>
      <c r="H1177" s="920"/>
      <c r="I1177" s="1"/>
      <c r="J1177" s="1"/>
      <c r="K1177" s="1"/>
      <c r="L1177" s="1"/>
      <c r="M1177" s="1"/>
    </row>
    <row r="1178" ht="14.25" customHeight="1">
      <c r="A1178" s="1"/>
      <c r="B1178" s="1"/>
      <c r="C1178" s="107"/>
      <c r="D1178" s="184"/>
      <c r="E1178" s="184"/>
      <c r="F1178" s="108"/>
      <c r="G1178" s="1"/>
      <c r="H1178" s="920"/>
      <c r="I1178" s="1"/>
      <c r="J1178" s="1"/>
      <c r="K1178" s="1"/>
      <c r="L1178" s="1"/>
      <c r="M1178" s="1"/>
    </row>
    <row r="1179" ht="14.25" customHeight="1">
      <c r="A1179" s="1"/>
      <c r="B1179" s="258" t="s">
        <v>119</v>
      </c>
      <c r="C1179" s="258" t="s">
        <v>47</v>
      </c>
      <c r="D1179" s="184"/>
      <c r="E1179" s="184"/>
      <c r="F1179" s="108"/>
      <c r="G1179" s="1"/>
      <c r="H1179" s="920"/>
      <c r="I1179" s="1"/>
      <c r="J1179" s="1"/>
      <c r="K1179" s="1"/>
      <c r="L1179" s="1"/>
      <c r="M1179" s="1"/>
    </row>
    <row r="1180" ht="14.25" customHeight="1">
      <c r="A1180" s="1"/>
      <c r="B1180" s="1"/>
      <c r="C1180" s="107"/>
      <c r="D1180" s="184"/>
      <c r="E1180" s="184"/>
      <c r="F1180" s="108"/>
      <c r="G1180" s="1"/>
      <c r="H1180" s="920"/>
      <c r="I1180" s="1"/>
      <c r="J1180" s="1"/>
      <c r="K1180" s="1"/>
      <c r="L1180" s="1"/>
      <c r="M1180" s="1"/>
    </row>
    <row r="1181" ht="14.25" customHeight="1">
      <c r="A1181" s="1"/>
      <c r="B1181" s="1"/>
      <c r="C1181" s="107"/>
      <c r="D1181" s="184"/>
      <c r="E1181" s="184"/>
      <c r="F1181" s="108"/>
      <c r="G1181" s="1"/>
      <c r="H1181" s="920"/>
      <c r="I1181" s="1"/>
      <c r="J1181" s="1"/>
      <c r="K1181" s="1"/>
      <c r="L1181" s="1"/>
      <c r="M1181" s="1"/>
    </row>
    <row r="1182" ht="14.25" customHeight="1">
      <c r="A1182" s="1"/>
      <c r="B1182" s="1"/>
      <c r="C1182" s="107"/>
      <c r="D1182" s="184"/>
      <c r="E1182" s="184"/>
      <c r="F1182" s="108"/>
      <c r="G1182" s="1"/>
      <c r="H1182" s="920"/>
      <c r="I1182" s="1"/>
      <c r="J1182" s="1"/>
      <c r="K1182" s="1"/>
      <c r="L1182" s="1"/>
      <c r="M1182" s="1"/>
    </row>
    <row r="1183" ht="14.25" customHeight="1">
      <c r="A1183" s="1"/>
      <c r="B1183" s="1"/>
      <c r="C1183" s="107"/>
      <c r="D1183" s="184"/>
      <c r="E1183" s="184"/>
      <c r="F1183" s="108"/>
      <c r="G1183" s="1"/>
      <c r="H1183" s="920"/>
      <c r="I1183" s="1"/>
      <c r="J1183" s="1"/>
      <c r="K1183" s="1"/>
      <c r="L1183" s="1"/>
      <c r="M1183" s="1"/>
    </row>
    <row r="1184" ht="14.25" customHeight="1">
      <c r="A1184" s="1"/>
      <c r="B1184" s="766" t="s">
        <v>3343</v>
      </c>
      <c r="C1184" s="18"/>
      <c r="D1184" s="18"/>
      <c r="E1184" s="18"/>
      <c r="F1184" s="19"/>
      <c r="G1184" s="1"/>
      <c r="H1184" s="920"/>
      <c r="I1184" s="1"/>
      <c r="J1184" s="1"/>
      <c r="K1184" s="1"/>
      <c r="L1184" s="1"/>
      <c r="M1184" s="1"/>
    </row>
    <row r="1185" ht="14.25" customHeight="1">
      <c r="A1185" s="1"/>
      <c r="B1185" s="51" t="s">
        <v>1</v>
      </c>
      <c r="C1185" s="190">
        <v>110.0</v>
      </c>
      <c r="D1185" s="2941">
        <v>300.0</v>
      </c>
      <c r="E1185" s="2942"/>
      <c r="F1185" s="1593" t="s">
        <v>5</v>
      </c>
      <c r="G1185" s="1"/>
      <c r="H1185" s="920"/>
      <c r="I1185" s="1"/>
      <c r="J1185" s="1"/>
      <c r="K1185" s="1"/>
      <c r="L1185" s="1"/>
      <c r="M1185" s="1"/>
    </row>
    <row r="1186" ht="14.25" customHeight="1">
      <c r="A1186" s="1"/>
      <c r="B1186" s="93" t="s">
        <v>15</v>
      </c>
      <c r="C1186" s="195">
        <v>90.0</v>
      </c>
      <c r="D1186" s="1878">
        <f t="shared" ref="D1186:D1198" si="98">(C1186*D1185)/C1185</f>
        <v>245.4545455</v>
      </c>
      <c r="E1186" s="2943"/>
      <c r="F1186" s="1158" t="s">
        <v>5</v>
      </c>
      <c r="G1186" s="207"/>
      <c r="H1186" s="920"/>
      <c r="I1186" s="1"/>
      <c r="J1186" s="1"/>
      <c r="K1186" s="1"/>
      <c r="L1186" s="1"/>
      <c r="M1186" s="1"/>
    </row>
    <row r="1187" ht="14.25" customHeight="1">
      <c r="A1187" s="1"/>
      <c r="B1187" s="93" t="s">
        <v>59</v>
      </c>
      <c r="C1187" s="195">
        <v>3.5</v>
      </c>
      <c r="D1187" s="40">
        <f t="shared" si="98"/>
        <v>9.545454545</v>
      </c>
      <c r="E1187" s="2434"/>
      <c r="F1187" s="1158" t="s">
        <v>5</v>
      </c>
      <c r="G1187" s="207"/>
      <c r="H1187" s="920"/>
      <c r="I1187" s="1"/>
      <c r="J1187" s="1"/>
      <c r="K1187" s="1"/>
      <c r="L1187" s="1"/>
      <c r="M1187" s="1"/>
    </row>
    <row r="1188" ht="15.0" customHeight="1">
      <c r="A1188" s="1"/>
      <c r="B1188" s="93" t="s">
        <v>3345</v>
      </c>
      <c r="C1188" s="195">
        <v>3.4</v>
      </c>
      <c r="D1188" s="40">
        <f t="shared" si="98"/>
        <v>9.272727273</v>
      </c>
      <c r="E1188" s="2434"/>
      <c r="F1188" s="1158" t="s">
        <v>366</v>
      </c>
      <c r="G1188" s="264" t="s">
        <v>3346</v>
      </c>
      <c r="H1188" s="920"/>
      <c r="I1188" s="1"/>
      <c r="J1188" s="1"/>
      <c r="K1188" s="1"/>
      <c r="L1188" s="1"/>
      <c r="M1188" s="1"/>
    </row>
    <row r="1189" ht="14.25" customHeight="1">
      <c r="A1189" s="1"/>
      <c r="B1189" s="105" t="s">
        <v>13</v>
      </c>
      <c r="C1189" s="200">
        <v>25.0</v>
      </c>
      <c r="D1189" s="1879">
        <f t="shared" si="98"/>
        <v>68.18181818</v>
      </c>
      <c r="E1189" s="2945"/>
      <c r="F1189" s="1182" t="s">
        <v>366</v>
      </c>
      <c r="G1189" s="66"/>
      <c r="H1189" s="920"/>
      <c r="I1189" s="1"/>
      <c r="J1189" s="1"/>
      <c r="K1189" s="1"/>
      <c r="L1189" s="1"/>
      <c r="M1189" s="1"/>
    </row>
    <row r="1190" ht="14.25" customHeight="1">
      <c r="A1190" s="1"/>
      <c r="B1190" s="68" t="s">
        <v>743</v>
      </c>
      <c r="C1190" s="145">
        <v>1000.0</v>
      </c>
      <c r="D1190" s="1192">
        <f t="shared" si="98"/>
        <v>2727.272727</v>
      </c>
      <c r="E1190" s="2946"/>
      <c r="F1190" s="1157" t="s">
        <v>82</v>
      </c>
      <c r="G1190" s="66"/>
      <c r="H1190" s="920"/>
      <c r="I1190" s="1"/>
      <c r="J1190" s="1"/>
      <c r="K1190" s="1"/>
      <c r="L1190" s="1"/>
      <c r="M1190" s="1"/>
    </row>
    <row r="1191" ht="14.25" customHeight="1">
      <c r="A1191" s="1"/>
      <c r="B1191" s="93" t="s">
        <v>1046</v>
      </c>
      <c r="C1191" s="195">
        <v>1.0</v>
      </c>
      <c r="D1191" s="1878">
        <f t="shared" si="98"/>
        <v>2.727272727</v>
      </c>
      <c r="E1191" s="2943"/>
      <c r="F1191" s="1158" t="s">
        <v>366</v>
      </c>
      <c r="G1191" s="66"/>
      <c r="H1191" s="920"/>
      <c r="I1191" s="1"/>
      <c r="J1191" s="1"/>
      <c r="K1191" s="1"/>
      <c r="L1191" s="1"/>
      <c r="M1191" s="1"/>
    </row>
    <row r="1192" ht="15.0" customHeight="1">
      <c r="A1192" s="1"/>
      <c r="B1192" s="93" t="s">
        <v>2339</v>
      </c>
      <c r="C1192" s="195">
        <v>2.0</v>
      </c>
      <c r="D1192" s="1878">
        <f t="shared" si="98"/>
        <v>5.454545455</v>
      </c>
      <c r="E1192" s="2943"/>
      <c r="F1192" s="1158" t="s">
        <v>366</v>
      </c>
      <c r="G1192" s="66"/>
      <c r="H1192" s="920"/>
      <c r="I1192" s="1"/>
      <c r="J1192" s="1"/>
      <c r="K1192" s="1"/>
      <c r="L1192" s="1"/>
      <c r="M1192" s="1"/>
    </row>
    <row r="1193" ht="14.25" customHeight="1">
      <c r="A1193" s="1"/>
      <c r="B1193" s="105" t="s">
        <v>3347</v>
      </c>
      <c r="C1193" s="200">
        <v>2.5</v>
      </c>
      <c r="D1193" s="1879">
        <f t="shared" si="98"/>
        <v>6.818181818</v>
      </c>
      <c r="E1193" s="2945"/>
      <c r="F1193" s="1182" t="s">
        <v>366</v>
      </c>
      <c r="G1193" s="106"/>
      <c r="H1193" s="920"/>
      <c r="I1193" s="1"/>
      <c r="J1193" s="1"/>
      <c r="K1193" s="1"/>
      <c r="L1193" s="1"/>
      <c r="M1193" s="1"/>
    </row>
    <row r="1194" ht="14.25" customHeight="1">
      <c r="A1194" s="1"/>
      <c r="B1194" s="119" t="s">
        <v>1856</v>
      </c>
      <c r="C1194" s="238">
        <v>15.0</v>
      </c>
      <c r="D1194" s="657">
        <f t="shared" si="98"/>
        <v>40.90909091</v>
      </c>
      <c r="E1194" s="2950"/>
      <c r="F1194" s="1184" t="s">
        <v>366</v>
      </c>
      <c r="G1194" s="144" t="s">
        <v>3348</v>
      </c>
      <c r="H1194" s="920"/>
      <c r="I1194" s="1"/>
      <c r="J1194" s="1"/>
      <c r="K1194" s="1"/>
      <c r="L1194" s="1"/>
      <c r="M1194" s="1"/>
    </row>
    <row r="1195" ht="14.25" customHeight="1">
      <c r="A1195" s="1"/>
      <c r="B1195" s="93" t="s">
        <v>3201</v>
      </c>
      <c r="C1195" s="195">
        <v>12.0</v>
      </c>
      <c r="D1195" s="1878">
        <f t="shared" si="98"/>
        <v>32.72727273</v>
      </c>
      <c r="E1195" s="2943"/>
      <c r="F1195" s="1158" t="s">
        <v>14</v>
      </c>
      <c r="G1195" s="106"/>
      <c r="H1195" s="920"/>
      <c r="I1195" s="1"/>
      <c r="J1195" s="1"/>
      <c r="K1195" s="1"/>
      <c r="L1195" s="1"/>
      <c r="M1195" s="1"/>
    </row>
    <row r="1196" ht="14.25" customHeight="1">
      <c r="A1196" s="1"/>
      <c r="B1196" s="93" t="s">
        <v>3202</v>
      </c>
      <c r="C1196" s="195">
        <v>12.0</v>
      </c>
      <c r="D1196" s="1878">
        <f t="shared" si="98"/>
        <v>32.72727273</v>
      </c>
      <c r="E1196" s="2943"/>
      <c r="F1196" s="1158" t="s">
        <v>14</v>
      </c>
      <c r="G1196" s="495"/>
      <c r="H1196" s="920"/>
      <c r="I1196" s="1"/>
      <c r="J1196" s="1"/>
      <c r="K1196" s="1"/>
      <c r="L1196" s="1"/>
      <c r="M1196" s="1"/>
    </row>
    <row r="1197" ht="14.25" customHeight="1">
      <c r="A1197" s="1"/>
      <c r="B1197" s="93" t="s">
        <v>1862</v>
      </c>
      <c r="C1197" s="195">
        <v>12.0</v>
      </c>
      <c r="D1197" s="1878">
        <f t="shared" si="98"/>
        <v>32.72727273</v>
      </c>
      <c r="E1197" s="2943"/>
      <c r="F1197" s="1158" t="s">
        <v>14</v>
      </c>
      <c r="G1197" s="495"/>
      <c r="H1197" s="920"/>
      <c r="I1197" s="1"/>
      <c r="J1197" s="1"/>
      <c r="K1197" s="1"/>
      <c r="L1197" s="1"/>
      <c r="M1197" s="1"/>
    </row>
    <row r="1198" ht="14.25" customHeight="1">
      <c r="A1198" s="1"/>
      <c r="B1198" s="105" t="s">
        <v>1861</v>
      </c>
      <c r="C1198" s="200">
        <v>10.0</v>
      </c>
      <c r="D1198" s="1879">
        <f t="shared" si="98"/>
        <v>27.27272727</v>
      </c>
      <c r="E1198" s="2945"/>
      <c r="F1198" s="1182" t="s">
        <v>366</v>
      </c>
      <c r="G1198" s="1"/>
      <c r="H1198" s="920"/>
      <c r="I1198" s="1"/>
      <c r="J1198" s="1"/>
      <c r="K1198" s="1"/>
      <c r="L1198" s="1"/>
      <c r="M1198" s="1"/>
    </row>
    <row r="1199" ht="14.25" customHeight="1">
      <c r="A1199" s="1"/>
      <c r="B1199" s="1"/>
      <c r="C1199" s="107"/>
      <c r="D1199" s="107"/>
      <c r="E1199" s="107"/>
      <c r="F1199" s="107"/>
      <c r="G1199" s="1"/>
      <c r="H1199" s="920"/>
      <c r="I1199" s="1"/>
      <c r="J1199" s="1"/>
      <c r="K1199" s="1"/>
      <c r="L1199" s="1"/>
      <c r="M1199" s="1"/>
    </row>
    <row r="1200" ht="14.25" customHeight="1">
      <c r="A1200" s="1"/>
      <c r="B1200" s="258" t="s">
        <v>119</v>
      </c>
      <c r="C1200" s="258" t="s">
        <v>47</v>
      </c>
      <c r="D1200" s="107"/>
      <c r="E1200" s="107"/>
      <c r="F1200" s="107"/>
      <c r="G1200" s="1"/>
      <c r="H1200" s="920"/>
      <c r="I1200" s="1"/>
      <c r="J1200" s="1"/>
      <c r="K1200" s="1"/>
      <c r="L1200" s="1"/>
      <c r="M1200" s="1"/>
    </row>
    <row r="1201" ht="14.25" customHeight="1">
      <c r="A1201" s="1"/>
      <c r="B1201" s="88" t="s">
        <v>49</v>
      </c>
      <c r="C1201" s="2755"/>
      <c r="D1201" s="107"/>
      <c r="E1201" s="107"/>
      <c r="F1201" s="107"/>
      <c r="G1201" s="1"/>
      <c r="H1201" s="920"/>
      <c r="I1201" s="1"/>
      <c r="J1201" s="1"/>
      <c r="K1201" s="1"/>
      <c r="L1201" s="1"/>
      <c r="M1201" s="1"/>
    </row>
    <row r="1202" ht="14.25" customHeight="1">
      <c r="A1202" s="1"/>
      <c r="B1202" s="305" t="s">
        <v>50</v>
      </c>
      <c r="C1202" s="187"/>
      <c r="D1202" s="107"/>
      <c r="E1202" s="107"/>
      <c r="F1202" s="107"/>
      <c r="G1202" s="1"/>
      <c r="H1202" s="920"/>
      <c r="I1202" s="1"/>
      <c r="J1202" s="1"/>
      <c r="K1202" s="1"/>
      <c r="L1202" s="1"/>
      <c r="M1202" s="1"/>
    </row>
    <row r="1203" ht="14.25" customHeight="1">
      <c r="A1203" s="1"/>
      <c r="B1203" s="1"/>
      <c r="C1203" s="107"/>
      <c r="D1203" s="107"/>
      <c r="E1203" s="107"/>
      <c r="F1203" s="107"/>
      <c r="G1203" s="1"/>
      <c r="H1203" s="920"/>
      <c r="I1203" s="1"/>
      <c r="J1203" s="1"/>
      <c r="K1203" s="1"/>
      <c r="L1203" s="1"/>
      <c r="M1203" s="1"/>
    </row>
    <row r="1204" ht="14.25" customHeight="1">
      <c r="A1204" s="1"/>
      <c r="B1204" s="1"/>
      <c r="C1204" s="107"/>
      <c r="D1204" s="184"/>
      <c r="E1204" s="184"/>
      <c r="F1204" s="108"/>
      <c r="G1204" s="1"/>
      <c r="H1204" s="920"/>
      <c r="I1204" s="1"/>
      <c r="J1204" s="1"/>
      <c r="K1204" s="1"/>
      <c r="L1204" s="1"/>
      <c r="M1204" s="1"/>
    </row>
    <row r="1205" ht="14.25" customHeight="1">
      <c r="A1205" s="1"/>
      <c r="B1205" s="1"/>
      <c r="C1205" s="107"/>
      <c r="D1205" s="184"/>
      <c r="E1205" s="184"/>
      <c r="F1205" s="108"/>
      <c r="G1205" s="1"/>
      <c r="H1205" s="920"/>
      <c r="I1205" s="1"/>
      <c r="J1205" s="1"/>
      <c r="K1205" s="1"/>
      <c r="L1205" s="1"/>
      <c r="M1205" s="1"/>
    </row>
    <row r="1206" ht="14.25" customHeight="1">
      <c r="A1206" s="1"/>
      <c r="B1206" s="1"/>
      <c r="C1206" s="107"/>
      <c r="D1206" s="184"/>
      <c r="E1206" s="184"/>
      <c r="F1206" s="108"/>
      <c r="G1206" s="1"/>
      <c r="H1206" s="920"/>
      <c r="I1206" s="1"/>
      <c r="J1206" s="1"/>
      <c r="K1206" s="1"/>
      <c r="L1206" s="1"/>
      <c r="M1206" s="1"/>
    </row>
    <row r="1207" ht="14.25" customHeight="1">
      <c r="A1207" s="1"/>
      <c r="B1207" s="1"/>
      <c r="C1207" s="107"/>
      <c r="D1207" s="184"/>
      <c r="E1207" s="184"/>
      <c r="F1207" s="108"/>
      <c r="G1207" s="1"/>
      <c r="H1207" s="920"/>
      <c r="I1207" s="1"/>
      <c r="J1207" s="1"/>
      <c r="K1207" s="1"/>
      <c r="L1207" s="2957" t="s">
        <v>3351</v>
      </c>
      <c r="M1207" s="1"/>
    </row>
    <row r="1208" ht="14.25" customHeight="1">
      <c r="A1208" s="1"/>
      <c r="B1208" s="1"/>
      <c r="C1208" s="107"/>
      <c r="D1208" s="184"/>
      <c r="E1208" s="184"/>
      <c r="F1208" s="108"/>
      <c r="G1208" s="1"/>
      <c r="H1208" s="920"/>
      <c r="I1208" s="1"/>
      <c r="J1208" s="1"/>
      <c r="K1208" s="1"/>
      <c r="L1208" s="1"/>
      <c r="M1208" s="1"/>
    </row>
    <row r="1209" ht="14.25" customHeight="1">
      <c r="A1209" s="1"/>
      <c r="B1209" s="511" t="s">
        <v>3354</v>
      </c>
      <c r="C1209" s="18"/>
      <c r="D1209" s="18"/>
      <c r="E1209" s="18"/>
      <c r="F1209" s="19"/>
      <c r="G1209" s="1"/>
      <c r="H1209" s="511" t="s">
        <v>3355</v>
      </c>
      <c r="I1209" s="18"/>
      <c r="J1209" s="18"/>
      <c r="K1209" s="19"/>
      <c r="L1209" s="1"/>
      <c r="M1209" s="1"/>
    </row>
    <row r="1210" ht="14.25" customHeight="1">
      <c r="A1210" s="1"/>
      <c r="B1210" s="51" t="s">
        <v>1</v>
      </c>
      <c r="C1210" s="190">
        <v>110.0</v>
      </c>
      <c r="D1210" s="2941">
        <v>72.0</v>
      </c>
      <c r="E1210" s="2942"/>
      <c r="F1210" s="1593" t="s">
        <v>5</v>
      </c>
      <c r="G1210" s="1"/>
      <c r="H1210" s="51" t="s">
        <v>1</v>
      </c>
      <c r="I1210" s="190">
        <v>100.0</v>
      </c>
      <c r="J1210" s="2941">
        <v>300.0</v>
      </c>
      <c r="K1210" s="1593" t="s">
        <v>5</v>
      </c>
      <c r="L1210" s="1"/>
      <c r="M1210" s="1"/>
    </row>
    <row r="1211" ht="14.25" customHeight="1">
      <c r="A1211" s="1"/>
      <c r="B1211" s="68" t="s">
        <v>15</v>
      </c>
      <c r="C1211" s="145">
        <v>100.0</v>
      </c>
      <c r="D1211" s="1192">
        <f t="shared" ref="D1211:D1219" si="99">(C1211*D1210)/C1210</f>
        <v>65.45454545</v>
      </c>
      <c r="E1211" s="2946"/>
      <c r="F1211" s="1157" t="s">
        <v>5</v>
      </c>
      <c r="G1211" s="1"/>
      <c r="H1211" s="68" t="s">
        <v>15</v>
      </c>
      <c r="I1211" s="145">
        <v>70.0</v>
      </c>
      <c r="J1211" s="1192">
        <f t="shared" ref="J1211:J1216" si="100">(I1211*J1210)/I1210</f>
        <v>210</v>
      </c>
      <c r="K1211" s="1157" t="s">
        <v>5</v>
      </c>
      <c r="L1211" s="1"/>
      <c r="M1211" s="1"/>
    </row>
    <row r="1212" ht="14.25" customHeight="1">
      <c r="A1212" s="1"/>
      <c r="B1212" s="119" t="s">
        <v>59</v>
      </c>
      <c r="C1212" s="238">
        <v>4.0</v>
      </c>
      <c r="D1212" s="1878">
        <f t="shared" si="99"/>
        <v>2.618181818</v>
      </c>
      <c r="E1212" s="2950"/>
      <c r="F1212" s="1184" t="s">
        <v>5</v>
      </c>
      <c r="G1212" s="1"/>
      <c r="H1212" s="119" t="s">
        <v>59</v>
      </c>
      <c r="I1212" s="238">
        <v>4.0</v>
      </c>
      <c r="J1212" s="1878">
        <f t="shared" si="100"/>
        <v>12</v>
      </c>
      <c r="K1212" s="1184" t="s">
        <v>5</v>
      </c>
      <c r="L1212" s="1"/>
      <c r="M1212" s="1"/>
    </row>
    <row r="1213" ht="14.25" customHeight="1">
      <c r="A1213" s="1"/>
      <c r="B1213" s="93" t="s">
        <v>3345</v>
      </c>
      <c r="C1213" s="195">
        <v>3.2</v>
      </c>
      <c r="D1213" s="1878">
        <f t="shared" si="99"/>
        <v>2.094545455</v>
      </c>
      <c r="E1213" s="2943"/>
      <c r="F1213" s="1158" t="s">
        <v>366</v>
      </c>
      <c r="G1213" s="1"/>
      <c r="H1213" s="93" t="s">
        <v>3345</v>
      </c>
      <c r="I1213" s="195">
        <v>1.0</v>
      </c>
      <c r="J1213" s="1878">
        <f t="shared" si="100"/>
        <v>3</v>
      </c>
      <c r="K1213" s="1158" t="s">
        <v>366</v>
      </c>
      <c r="L1213" s="2962" t="s">
        <v>3358</v>
      </c>
      <c r="M1213" s="1"/>
    </row>
    <row r="1214" ht="14.25" customHeight="1">
      <c r="A1214" s="1"/>
      <c r="B1214" s="105" t="s">
        <v>13</v>
      </c>
      <c r="C1214" s="200">
        <v>25.0</v>
      </c>
      <c r="D1214" s="1879">
        <f t="shared" si="99"/>
        <v>16.36363636</v>
      </c>
      <c r="E1214" s="2945"/>
      <c r="F1214" s="1182" t="s">
        <v>366</v>
      </c>
      <c r="G1214" s="1"/>
      <c r="H1214" s="138" t="s">
        <v>13</v>
      </c>
      <c r="I1214" s="279">
        <v>25.0</v>
      </c>
      <c r="J1214" s="2703">
        <f t="shared" si="100"/>
        <v>75</v>
      </c>
      <c r="K1214" s="1219" t="s">
        <v>366</v>
      </c>
      <c r="L1214" s="2963"/>
      <c r="M1214" s="1"/>
    </row>
    <row r="1215" ht="14.25" customHeight="1">
      <c r="A1215" s="1"/>
      <c r="B1215" s="68" t="s">
        <v>743</v>
      </c>
      <c r="C1215" s="145">
        <v>1000.0</v>
      </c>
      <c r="D1215" s="1192">
        <f t="shared" si="99"/>
        <v>654.5454545</v>
      </c>
      <c r="E1215" s="2946"/>
      <c r="F1215" s="1157" t="s">
        <v>82</v>
      </c>
      <c r="G1215" s="1"/>
      <c r="H1215" s="68" t="s">
        <v>3360</v>
      </c>
      <c r="I1215" s="145">
        <v>15.0</v>
      </c>
      <c r="J1215" s="1192">
        <f t="shared" si="100"/>
        <v>45</v>
      </c>
      <c r="K1215" s="1157" t="s">
        <v>5</v>
      </c>
      <c r="L1215" s="250" t="s">
        <v>1501</v>
      </c>
      <c r="M1215" s="1"/>
    </row>
    <row r="1216" ht="14.25" customHeight="1">
      <c r="A1216" s="1"/>
      <c r="B1216" s="93" t="s">
        <v>3361</v>
      </c>
      <c r="C1216" s="195">
        <v>1.0</v>
      </c>
      <c r="D1216" s="1878">
        <f t="shared" si="99"/>
        <v>0.6545454545</v>
      </c>
      <c r="E1216" s="2943"/>
      <c r="F1216" s="1158" t="s">
        <v>366</v>
      </c>
      <c r="G1216" s="1"/>
      <c r="H1216" s="105" t="s">
        <v>3363</v>
      </c>
      <c r="I1216" s="200">
        <v>15.0</v>
      </c>
      <c r="J1216" s="1879">
        <f t="shared" si="100"/>
        <v>45</v>
      </c>
      <c r="K1216" s="1182" t="s">
        <v>5</v>
      </c>
      <c r="L1216" s="47"/>
      <c r="M1216" s="1"/>
    </row>
    <row r="1217" ht="14.25" customHeight="1">
      <c r="A1217" s="1"/>
      <c r="B1217" s="93" t="s">
        <v>1046</v>
      </c>
      <c r="C1217" s="195">
        <v>1.0</v>
      </c>
      <c r="D1217" s="1878">
        <f t="shared" si="99"/>
        <v>0.6545454545</v>
      </c>
      <c r="E1217" s="2943"/>
      <c r="F1217" s="1158" t="s">
        <v>366</v>
      </c>
      <c r="G1217" s="1"/>
      <c r="H1217" s="119" t="s">
        <v>743</v>
      </c>
      <c r="I1217" s="238">
        <v>1.0</v>
      </c>
      <c r="J1217" s="657">
        <f>(I1217*J1214)/I1214</f>
        <v>3</v>
      </c>
      <c r="K1217" s="1184" t="s">
        <v>82</v>
      </c>
      <c r="L1217" s="47"/>
      <c r="M1217" s="1"/>
    </row>
    <row r="1218" ht="14.25" customHeight="1">
      <c r="A1218" s="1"/>
      <c r="B1218" s="105" t="s">
        <v>2339</v>
      </c>
      <c r="C1218" s="200">
        <v>2.0</v>
      </c>
      <c r="D1218" s="1879">
        <f t="shared" si="99"/>
        <v>1.309090909</v>
      </c>
      <c r="E1218" s="2945"/>
      <c r="F1218" s="1182" t="s">
        <v>366</v>
      </c>
      <c r="G1218" s="1"/>
      <c r="H1218" s="93" t="s">
        <v>3361</v>
      </c>
      <c r="I1218" s="195">
        <v>1.0</v>
      </c>
      <c r="J1218" s="1878">
        <f t="shared" ref="J1218:J1220" si="101">(I1218*J1217)/I1217</f>
        <v>3</v>
      </c>
      <c r="K1218" s="1158" t="s">
        <v>366</v>
      </c>
      <c r="L1218" s="76"/>
      <c r="M1218" s="1"/>
    </row>
    <row r="1219" ht="14.25" customHeight="1">
      <c r="A1219" s="1"/>
      <c r="B1219" s="173" t="s">
        <v>3347</v>
      </c>
      <c r="C1219" s="275">
        <v>5.0</v>
      </c>
      <c r="D1219" s="1549">
        <f t="shared" si="99"/>
        <v>3.272727273</v>
      </c>
      <c r="E1219" s="2339"/>
      <c r="F1219" s="1610" t="s">
        <v>366</v>
      </c>
      <c r="G1219" s="1"/>
      <c r="H1219" s="93" t="s">
        <v>1046</v>
      </c>
      <c r="I1219" s="195">
        <v>1.0</v>
      </c>
      <c r="J1219" s="1878">
        <f t="shared" si="101"/>
        <v>3</v>
      </c>
      <c r="K1219" s="1158" t="s">
        <v>366</v>
      </c>
      <c r="L1219" s="1"/>
      <c r="M1219" s="1"/>
    </row>
    <row r="1220" ht="14.25" customHeight="1">
      <c r="A1220" s="1"/>
      <c r="B1220" s="258" t="s">
        <v>119</v>
      </c>
      <c r="C1220" s="258" t="s">
        <v>47</v>
      </c>
      <c r="D1220" s="107"/>
      <c r="E1220" s="107"/>
      <c r="F1220" s="107"/>
      <c r="G1220" s="1"/>
      <c r="H1220" s="105" t="s">
        <v>2339</v>
      </c>
      <c r="I1220" s="200">
        <v>1.0</v>
      </c>
      <c r="J1220" s="1879">
        <f t="shared" si="101"/>
        <v>3</v>
      </c>
      <c r="K1220" s="1182" t="s">
        <v>366</v>
      </c>
      <c r="L1220" s="1"/>
      <c r="M1220" s="1"/>
    </row>
    <row r="1221" ht="14.25" customHeight="1">
      <c r="A1221" s="1"/>
      <c r="B1221" s="88" t="s">
        <v>49</v>
      </c>
      <c r="C1221" s="2755">
        <v>42885.0</v>
      </c>
      <c r="D1221" s="107"/>
      <c r="E1221" s="107"/>
      <c r="F1221" s="107"/>
      <c r="G1221" s="1"/>
      <c r="H1221" s="258" t="s">
        <v>119</v>
      </c>
      <c r="I1221" s="258" t="s">
        <v>47</v>
      </c>
      <c r="J1221" s="1"/>
      <c r="K1221" s="1"/>
      <c r="L1221" s="1"/>
      <c r="M1221" s="1"/>
    </row>
    <row r="1222" ht="14.25" customHeight="1">
      <c r="A1222" s="1"/>
      <c r="B1222" s="305" t="s">
        <v>50</v>
      </c>
      <c r="C1222" s="187">
        <v>42977.0</v>
      </c>
      <c r="D1222" s="107"/>
      <c r="E1222" s="107"/>
      <c r="F1222" s="107"/>
      <c r="G1222" s="1"/>
      <c r="H1222" s="88" t="s">
        <v>49</v>
      </c>
      <c r="I1222" s="2755">
        <v>43619.0</v>
      </c>
      <c r="J1222" s="1"/>
      <c r="K1222" s="1"/>
      <c r="L1222" s="1"/>
      <c r="M1222" s="1"/>
    </row>
    <row r="1223" ht="14.25" customHeight="1">
      <c r="A1223" s="1"/>
      <c r="B1223" s="1"/>
      <c r="C1223" s="107"/>
      <c r="D1223" s="107"/>
      <c r="E1223" s="107"/>
      <c r="F1223" s="107"/>
      <c r="G1223" s="1"/>
      <c r="H1223" s="305" t="s">
        <v>50</v>
      </c>
      <c r="I1223" s="187">
        <v>43619.0</v>
      </c>
      <c r="J1223" s="1"/>
      <c r="K1223" s="1"/>
      <c r="L1223" s="1"/>
      <c r="M1223" s="1"/>
    </row>
    <row r="1224" ht="14.25" customHeight="1">
      <c r="A1224" s="1"/>
      <c r="B1224" s="1"/>
      <c r="C1224" s="107"/>
      <c r="D1224" s="184"/>
      <c r="E1224" s="184"/>
      <c r="F1224" s="108"/>
      <c r="G1224" s="1"/>
      <c r="H1224" s="920"/>
      <c r="I1224" s="1"/>
      <c r="J1224" s="1"/>
      <c r="K1224" s="1"/>
      <c r="L1224" s="1"/>
      <c r="M1224" s="1"/>
    </row>
    <row r="1225" ht="14.25" customHeight="1">
      <c r="A1225" s="1"/>
      <c r="B1225" s="1"/>
      <c r="C1225" s="107"/>
      <c r="D1225" s="184"/>
      <c r="E1225" s="184"/>
      <c r="F1225" s="108"/>
      <c r="G1225" s="1"/>
      <c r="H1225" s="920"/>
      <c r="I1225" s="1"/>
      <c r="J1225" s="1"/>
      <c r="K1225" s="1"/>
      <c r="L1225" s="1"/>
      <c r="M1225" s="1"/>
    </row>
    <row r="1226" ht="14.25" customHeight="1">
      <c r="A1226" s="1"/>
      <c r="B1226" s="1"/>
      <c r="C1226" s="107"/>
      <c r="D1226" s="184"/>
      <c r="E1226" s="184"/>
      <c r="F1226" s="108"/>
      <c r="G1226" s="1"/>
      <c r="H1226" s="920"/>
      <c r="I1226" s="1"/>
      <c r="J1226" s="1"/>
      <c r="K1226" s="1"/>
      <c r="L1226" s="1"/>
      <c r="M1226" s="1"/>
    </row>
    <row r="1227" ht="14.25" customHeight="1">
      <c r="A1227" s="1"/>
      <c r="B1227" s="680" t="s">
        <v>3371</v>
      </c>
      <c r="C1227" s="18"/>
      <c r="D1227" s="18"/>
      <c r="E1227" s="18"/>
      <c r="F1227" s="19"/>
      <c r="G1227" s="207"/>
      <c r="H1227" s="920"/>
      <c r="I1227" s="1"/>
      <c r="J1227" s="1"/>
      <c r="K1227" s="1"/>
      <c r="L1227" s="1"/>
      <c r="M1227" s="1"/>
    </row>
    <row r="1228" ht="14.25" customHeight="1">
      <c r="A1228" s="1"/>
      <c r="B1228" s="820" t="s">
        <v>1</v>
      </c>
      <c r="C1228" s="821">
        <v>100.0</v>
      </c>
      <c r="D1228" s="444">
        <v>10.0</v>
      </c>
      <c r="E1228" s="2970"/>
      <c r="F1228" s="2971" t="s">
        <v>5</v>
      </c>
      <c r="G1228" s="207"/>
      <c r="H1228" s="920"/>
      <c r="I1228" s="1"/>
      <c r="J1228" s="1"/>
      <c r="K1228" s="1"/>
      <c r="L1228" s="1"/>
      <c r="M1228" s="1"/>
    </row>
    <row r="1229" ht="14.25" customHeight="1">
      <c r="A1229" s="1"/>
      <c r="B1229" s="707" t="s">
        <v>3372</v>
      </c>
      <c r="C1229" s="10">
        <v>31.0</v>
      </c>
      <c r="D1229" s="221">
        <f t="shared" ref="D1229:D1235" si="102">(C1229*D1228)/C1228</f>
        <v>3.1</v>
      </c>
      <c r="E1229" s="222"/>
      <c r="F1229" s="2972" t="s">
        <v>366</v>
      </c>
      <c r="G1229" s="44" t="s">
        <v>3373</v>
      </c>
      <c r="H1229" s="920"/>
      <c r="I1229" s="1"/>
      <c r="J1229" s="1"/>
      <c r="K1229" s="1"/>
      <c r="L1229" s="1"/>
      <c r="M1229" s="1"/>
    </row>
    <row r="1230" ht="14.25" customHeight="1">
      <c r="A1230" s="1"/>
      <c r="B1230" s="22" t="s">
        <v>3374</v>
      </c>
      <c r="C1230" s="23">
        <v>34.0</v>
      </c>
      <c r="D1230" s="27">
        <f t="shared" si="102"/>
        <v>3.4</v>
      </c>
      <c r="E1230" s="29"/>
      <c r="F1230" s="2974" t="s">
        <v>5</v>
      </c>
      <c r="G1230" s="47"/>
      <c r="H1230" s="920"/>
      <c r="I1230" s="1"/>
      <c r="J1230" s="1"/>
      <c r="K1230" s="1"/>
      <c r="L1230" s="1"/>
      <c r="M1230" s="1"/>
    </row>
    <row r="1231" ht="14.25" customHeight="1">
      <c r="A1231" s="1"/>
      <c r="B1231" s="43" t="s">
        <v>3375</v>
      </c>
      <c r="C1231" s="1821">
        <v>125.0</v>
      </c>
      <c r="D1231" s="50">
        <f t="shared" si="102"/>
        <v>12.5</v>
      </c>
      <c r="E1231" s="54"/>
      <c r="F1231" s="1845" t="s">
        <v>366</v>
      </c>
      <c r="G1231" s="76"/>
      <c r="H1231" s="1873" t="s">
        <v>119</v>
      </c>
      <c r="I1231" s="258" t="s">
        <v>47</v>
      </c>
      <c r="J1231" s="1"/>
      <c r="K1231" s="1"/>
      <c r="L1231" s="1"/>
      <c r="M1231" s="1"/>
    </row>
    <row r="1232" ht="14.25" customHeight="1">
      <c r="A1232" s="1"/>
      <c r="B1232" s="707" t="s">
        <v>15</v>
      </c>
      <c r="C1232" s="10">
        <v>165.0</v>
      </c>
      <c r="D1232" s="221">
        <f t="shared" si="102"/>
        <v>16.5</v>
      </c>
      <c r="E1232" s="222"/>
      <c r="F1232" s="2975" t="s">
        <v>5</v>
      </c>
      <c r="G1232" s="44" t="s">
        <v>3376</v>
      </c>
      <c r="H1232" s="1172" t="s">
        <v>800</v>
      </c>
      <c r="I1232" s="1174" t="s">
        <v>802</v>
      </c>
      <c r="J1232" s="1"/>
      <c r="K1232" s="1"/>
      <c r="L1232" s="1"/>
      <c r="M1232" s="1"/>
    </row>
    <row r="1233" ht="14.25" customHeight="1">
      <c r="A1233" s="1"/>
      <c r="B1233" s="22" t="s">
        <v>2967</v>
      </c>
      <c r="C1233" s="23">
        <v>66.0</v>
      </c>
      <c r="D1233" s="27">
        <f t="shared" si="102"/>
        <v>6.6</v>
      </c>
      <c r="E1233" s="29"/>
      <c r="F1233" s="2976" t="s">
        <v>5</v>
      </c>
      <c r="G1233" s="47"/>
      <c r="H1233" s="68">
        <v>150.0</v>
      </c>
      <c r="I1233" s="1579">
        <f t="shared" ref="I1233:I1239" si="103">D1229*H1233</f>
        <v>465</v>
      </c>
      <c r="J1233" s="1"/>
      <c r="K1233" s="1"/>
      <c r="L1233" s="1"/>
      <c r="M1233" s="1"/>
    </row>
    <row r="1234" ht="14.25" customHeight="1">
      <c r="A1234" s="1"/>
      <c r="B1234" s="708" t="s">
        <v>13</v>
      </c>
      <c r="C1234" s="709">
        <v>12.0</v>
      </c>
      <c r="D1234" s="236">
        <f t="shared" si="102"/>
        <v>1.2</v>
      </c>
      <c r="E1234" s="237"/>
      <c r="F1234" s="1403" t="s">
        <v>366</v>
      </c>
      <c r="G1234" s="76"/>
      <c r="H1234" s="93">
        <v>0.0</v>
      </c>
      <c r="I1234" s="1588">
        <f t="shared" si="103"/>
        <v>0</v>
      </c>
      <c r="J1234" s="1"/>
      <c r="K1234" s="1"/>
      <c r="L1234" s="1"/>
      <c r="M1234" s="1"/>
    </row>
    <row r="1235" ht="14.25" customHeight="1">
      <c r="A1235" s="1"/>
      <c r="B1235" s="2977" t="s">
        <v>17</v>
      </c>
      <c r="C1235" s="461">
        <v>100.0</v>
      </c>
      <c r="D1235" s="370">
        <f t="shared" si="102"/>
        <v>10</v>
      </c>
      <c r="E1235" s="371"/>
      <c r="F1235" s="1857" t="s">
        <v>18</v>
      </c>
      <c r="G1235" s="44" t="s">
        <v>3378</v>
      </c>
      <c r="H1235" s="93">
        <v>0.0</v>
      </c>
      <c r="I1235" s="1588">
        <f t="shared" si="103"/>
        <v>0</v>
      </c>
      <c r="J1235" s="1"/>
      <c r="K1235" s="1"/>
      <c r="L1235" s="1"/>
      <c r="M1235" s="1"/>
    </row>
    <row r="1236" ht="14.25" customHeight="1">
      <c r="A1236" s="1"/>
      <c r="B1236" s="1"/>
      <c r="C1236" s="107"/>
      <c r="D1236" s="107"/>
      <c r="E1236" s="107"/>
      <c r="F1236" s="107"/>
      <c r="G1236" s="590" t="s">
        <v>842</v>
      </c>
      <c r="H1236" s="93">
        <v>36.0</v>
      </c>
      <c r="I1236" s="1588">
        <f t="shared" si="103"/>
        <v>594</v>
      </c>
      <c r="J1236" s="1"/>
      <c r="K1236" s="1"/>
      <c r="L1236" s="1"/>
      <c r="M1236" s="1"/>
    </row>
    <row r="1237" ht="14.25" customHeight="1">
      <c r="A1237" s="1"/>
      <c r="B1237" s="258" t="s">
        <v>119</v>
      </c>
      <c r="C1237" s="258" t="s">
        <v>47</v>
      </c>
      <c r="D1237" s="107"/>
      <c r="E1237" s="107"/>
      <c r="F1237" s="107"/>
      <c r="G1237" s="2978" t="s">
        <v>1343</v>
      </c>
      <c r="H1237" s="93">
        <v>0.0</v>
      </c>
      <c r="I1237" s="1588">
        <f t="shared" si="103"/>
        <v>0</v>
      </c>
      <c r="J1237" s="1"/>
      <c r="K1237" s="1"/>
      <c r="L1237" s="1"/>
      <c r="M1237" s="1"/>
    </row>
    <row r="1238" ht="14.25" customHeight="1">
      <c r="A1238" s="1"/>
      <c r="B1238" s="88" t="s">
        <v>49</v>
      </c>
      <c r="C1238" s="2755">
        <v>42973.0</v>
      </c>
      <c r="D1238" s="107"/>
      <c r="E1238" s="107"/>
      <c r="F1238" s="107"/>
      <c r="G1238" s="2979" t="s">
        <v>852</v>
      </c>
      <c r="H1238" s="93">
        <v>40.0</v>
      </c>
      <c r="I1238" s="1588">
        <f t="shared" si="103"/>
        <v>48</v>
      </c>
      <c r="J1238" s="1"/>
      <c r="K1238" s="1"/>
      <c r="L1238" s="1"/>
      <c r="M1238" s="1"/>
    </row>
    <row r="1239" ht="14.25" customHeight="1">
      <c r="A1239" s="1"/>
      <c r="B1239" s="305" t="s">
        <v>50</v>
      </c>
      <c r="C1239" s="187">
        <v>42977.0</v>
      </c>
      <c r="D1239" s="107"/>
      <c r="E1239" s="107"/>
      <c r="F1239" s="107"/>
      <c r="G1239" s="1194" t="s">
        <v>3384</v>
      </c>
      <c r="H1239" s="105">
        <v>1.5</v>
      </c>
      <c r="I1239" s="1605">
        <f t="shared" si="103"/>
        <v>15</v>
      </c>
      <c r="J1239" s="1"/>
      <c r="K1239" s="1"/>
      <c r="L1239" s="1"/>
      <c r="M1239" s="1"/>
    </row>
    <row r="1240" ht="14.25" customHeight="1">
      <c r="A1240" s="1"/>
      <c r="B1240" s="1"/>
      <c r="C1240" s="107"/>
      <c r="D1240" s="107"/>
      <c r="E1240" s="107"/>
      <c r="F1240" s="107"/>
      <c r="G1240" s="1196" t="s">
        <v>3386</v>
      </c>
      <c r="H1240" s="849"/>
      <c r="I1240" s="850">
        <f>SUM(I1233:I1239)</f>
        <v>1122</v>
      </c>
      <c r="J1240" s="1"/>
      <c r="K1240" s="1"/>
      <c r="L1240" s="1"/>
      <c r="M1240" s="1"/>
    </row>
    <row r="1241" ht="14.25" customHeight="1">
      <c r="A1241" s="1"/>
      <c r="B1241" s="1"/>
      <c r="C1241" s="107"/>
      <c r="D1241" s="107"/>
      <c r="E1241" s="107"/>
      <c r="F1241" s="107"/>
      <c r="G1241" s="1199" t="s">
        <v>880</v>
      </c>
      <c r="H1241" s="2980">
        <v>40.0</v>
      </c>
      <c r="I1241" s="855">
        <f>H1241/100*I1240</f>
        <v>448.8</v>
      </c>
      <c r="J1241" s="1"/>
      <c r="K1241" s="1"/>
      <c r="L1241" s="1"/>
      <c r="M1241" s="1"/>
    </row>
    <row r="1242" ht="14.25" customHeight="1">
      <c r="A1242" s="1"/>
      <c r="B1242" s="1"/>
      <c r="C1242" s="107"/>
      <c r="D1242" s="107"/>
      <c r="E1242" s="107"/>
      <c r="F1242" s="107"/>
      <c r="G1242" s="1203" t="s">
        <v>1356</v>
      </c>
      <c r="H1242" s="858"/>
      <c r="I1242" s="859">
        <f>SUM(I1240:I1241)</f>
        <v>1570.8</v>
      </c>
      <c r="J1242" s="1"/>
      <c r="K1242" s="1"/>
      <c r="L1242" s="1"/>
      <c r="M1242" s="1"/>
    </row>
    <row r="1243" ht="14.25" customHeight="1">
      <c r="A1243" s="1"/>
      <c r="B1243" s="1"/>
      <c r="C1243" s="107"/>
      <c r="D1243" s="184"/>
      <c r="E1243" s="184"/>
      <c r="F1243" s="108"/>
      <c r="G1243" s="1"/>
      <c r="H1243" s="863"/>
      <c r="I1243" s="864">
        <f>I1242/D1228</f>
        <v>157.08</v>
      </c>
      <c r="J1243" s="1"/>
      <c r="K1243" s="1"/>
      <c r="L1243" s="1"/>
      <c r="M1243" s="1"/>
    </row>
    <row r="1244" ht="14.25" customHeight="1">
      <c r="A1244" s="1"/>
      <c r="B1244" s="1"/>
      <c r="C1244" s="107"/>
      <c r="D1244" s="184"/>
      <c r="E1244" s="184"/>
      <c r="F1244" s="108"/>
      <c r="G1244" s="1"/>
      <c r="H1244" s="868"/>
      <c r="I1244" s="871">
        <v>0.1</v>
      </c>
      <c r="J1244" s="1"/>
      <c r="K1244" s="1"/>
      <c r="L1244" s="1"/>
      <c r="M1244" s="1"/>
    </row>
    <row r="1245" ht="14.25" customHeight="1">
      <c r="A1245" s="1"/>
      <c r="B1245" s="1"/>
      <c r="C1245" s="107"/>
      <c r="D1245" s="184"/>
      <c r="E1245" s="184"/>
      <c r="F1245" s="108"/>
      <c r="G1245" s="1"/>
      <c r="H1245" s="875"/>
      <c r="I1245" s="876">
        <f>I1243*I1244</f>
        <v>15.708</v>
      </c>
      <c r="J1245" s="1"/>
      <c r="K1245" s="1"/>
      <c r="L1245" s="1"/>
      <c r="M1245" s="1"/>
    </row>
    <row r="1246" ht="14.25" customHeight="1">
      <c r="A1246" s="1"/>
      <c r="B1246" s="1"/>
      <c r="C1246" s="107"/>
      <c r="D1246" s="184"/>
      <c r="E1246" s="184"/>
      <c r="F1246" s="108"/>
      <c r="G1246" s="1"/>
      <c r="H1246" s="879"/>
      <c r="I1246" s="1205">
        <f>D1228/I1244</f>
        <v>100</v>
      </c>
      <c r="J1246" s="1"/>
      <c r="K1246" s="1"/>
      <c r="L1246" s="1"/>
      <c r="M1246" s="1"/>
    </row>
    <row r="1247" ht="14.25" customHeight="1">
      <c r="A1247" s="1"/>
      <c r="B1247" s="1"/>
      <c r="C1247" s="107"/>
      <c r="D1247" s="184"/>
      <c r="E1247" s="184"/>
      <c r="F1247" s="108"/>
      <c r="G1247" s="1"/>
      <c r="H1247" s="920"/>
      <c r="I1247" s="1"/>
      <c r="J1247" s="1"/>
      <c r="K1247" s="1"/>
      <c r="L1247" s="1"/>
      <c r="M1247" s="1"/>
    </row>
    <row r="1248" ht="14.25" customHeight="1">
      <c r="A1248" s="1"/>
      <c r="B1248" s="1"/>
      <c r="C1248" s="107"/>
      <c r="D1248" s="184"/>
      <c r="E1248" s="184"/>
      <c r="F1248" s="108"/>
      <c r="G1248" s="1"/>
      <c r="H1248" s="920"/>
      <c r="I1248" s="1"/>
      <c r="J1248" s="1"/>
      <c r="K1248" s="1"/>
      <c r="L1248" s="1"/>
      <c r="M1248" s="1"/>
    </row>
    <row r="1249" ht="14.25" customHeight="1">
      <c r="A1249" s="1"/>
      <c r="B1249" s="209" t="s">
        <v>2963</v>
      </c>
      <c r="C1249" s="18"/>
      <c r="D1249" s="18"/>
      <c r="E1249" s="18"/>
      <c r="F1249" s="19"/>
      <c r="G1249" s="1"/>
      <c r="H1249" s="920"/>
      <c r="I1249" s="1"/>
      <c r="J1249" s="1"/>
      <c r="K1249" s="1"/>
      <c r="L1249" s="1"/>
      <c r="M1249" s="1"/>
    </row>
    <row r="1250" ht="14.25" customHeight="1">
      <c r="A1250" s="1"/>
      <c r="B1250" s="51" t="s">
        <v>1</v>
      </c>
      <c r="C1250" s="190">
        <v>70.0</v>
      </c>
      <c r="D1250" s="513">
        <v>60.0</v>
      </c>
      <c r="E1250" s="1576"/>
      <c r="F1250" s="125" t="s">
        <v>5</v>
      </c>
      <c r="G1250" s="1"/>
      <c r="H1250" s="920"/>
      <c r="I1250" s="1"/>
      <c r="J1250" s="1"/>
      <c r="K1250" s="1"/>
      <c r="L1250" s="1"/>
      <c r="M1250" s="1"/>
    </row>
    <row r="1251" ht="14.25" customHeight="1">
      <c r="A1251" s="1"/>
      <c r="B1251" s="68" t="s">
        <v>15</v>
      </c>
      <c r="C1251" s="145">
        <v>70.0</v>
      </c>
      <c r="D1251" s="516">
        <f t="shared" ref="D1251:D1256" si="104">(C1251*D1250)/C1250</f>
        <v>60</v>
      </c>
      <c r="E1251" s="1652"/>
      <c r="F1251" s="137" t="s">
        <v>5</v>
      </c>
      <c r="G1251" s="1"/>
      <c r="H1251" s="920"/>
      <c r="I1251" s="1"/>
      <c r="J1251" s="1"/>
      <c r="K1251" s="1"/>
      <c r="L1251" s="1"/>
      <c r="M1251" s="1"/>
    </row>
    <row r="1252" ht="14.25" customHeight="1">
      <c r="A1252" s="1"/>
      <c r="B1252" s="350" t="s">
        <v>2967</v>
      </c>
      <c r="C1252" s="23">
        <v>63.0</v>
      </c>
      <c r="D1252" s="201">
        <f t="shared" si="104"/>
        <v>54</v>
      </c>
      <c r="E1252" s="1735"/>
      <c r="F1252" s="36" t="s">
        <v>190</v>
      </c>
      <c r="G1252" s="1"/>
      <c r="H1252" s="920"/>
      <c r="I1252" s="1"/>
      <c r="J1252" s="1"/>
      <c r="K1252" s="1"/>
      <c r="L1252" s="1"/>
      <c r="M1252" s="1"/>
    </row>
    <row r="1253" ht="14.25" customHeight="1">
      <c r="A1253" s="1"/>
      <c r="B1253" s="138" t="s">
        <v>2970</v>
      </c>
      <c r="C1253" s="279">
        <v>4.3</v>
      </c>
      <c r="D1253" s="842">
        <f t="shared" si="104"/>
        <v>3.685714286</v>
      </c>
      <c r="E1253" s="1655"/>
      <c r="F1253" s="281" t="s">
        <v>14</v>
      </c>
      <c r="G1253" s="1"/>
      <c r="H1253" s="920"/>
      <c r="I1253" s="1"/>
      <c r="J1253" s="1"/>
      <c r="K1253" s="1"/>
      <c r="L1253" s="1"/>
      <c r="M1253" s="1"/>
    </row>
    <row r="1254" ht="14.25" customHeight="1">
      <c r="A1254" s="1"/>
      <c r="B1254" s="68" t="s">
        <v>2971</v>
      </c>
      <c r="C1254" s="145">
        <v>0.75</v>
      </c>
      <c r="D1254" s="516">
        <f t="shared" si="104"/>
        <v>0.6428571429</v>
      </c>
      <c r="E1254" s="1652"/>
      <c r="F1254" s="137" t="s">
        <v>5</v>
      </c>
      <c r="G1254" s="1"/>
      <c r="H1254" s="920"/>
      <c r="I1254" s="1"/>
      <c r="J1254" s="1"/>
      <c r="K1254" s="1"/>
      <c r="L1254" s="1"/>
      <c r="M1254" s="1"/>
    </row>
    <row r="1255" ht="14.25" customHeight="1">
      <c r="A1255" s="1"/>
      <c r="B1255" s="93" t="s">
        <v>2339</v>
      </c>
      <c r="C1255" s="195">
        <v>0.4</v>
      </c>
      <c r="D1255" s="521">
        <f t="shared" si="104"/>
        <v>0.3428571429</v>
      </c>
      <c r="E1255" s="1653"/>
      <c r="F1255" s="165" t="s">
        <v>366</v>
      </c>
      <c r="G1255" s="1"/>
      <c r="H1255" s="920"/>
      <c r="I1255" s="1"/>
      <c r="J1255" s="1"/>
      <c r="K1255" s="1"/>
      <c r="L1255" s="1"/>
      <c r="M1255" s="1"/>
    </row>
    <row r="1256" ht="14.25" customHeight="1">
      <c r="A1256" s="1"/>
      <c r="B1256" s="93" t="s">
        <v>2979</v>
      </c>
      <c r="C1256" s="195">
        <v>150.0</v>
      </c>
      <c r="D1256" s="521">
        <f t="shared" si="104"/>
        <v>128.5714286</v>
      </c>
      <c r="E1256" s="1653"/>
      <c r="F1256" s="165" t="s">
        <v>18</v>
      </c>
      <c r="G1256" s="1"/>
      <c r="H1256" s="920"/>
      <c r="I1256" s="1"/>
      <c r="J1256" s="1"/>
      <c r="K1256" s="1"/>
      <c r="L1256" s="1"/>
      <c r="M1256" s="1"/>
    </row>
    <row r="1257" ht="14.25" customHeight="1">
      <c r="A1257" s="1"/>
      <c r="B1257" s="138" t="s">
        <v>2982</v>
      </c>
      <c r="C1257" s="279">
        <v>12.0</v>
      </c>
      <c r="D1257" s="842">
        <f>(C1257*D1255)/C1255</f>
        <v>10.28571429</v>
      </c>
      <c r="E1257" s="1655"/>
      <c r="F1257" s="281" t="s">
        <v>14</v>
      </c>
      <c r="G1257" s="1"/>
      <c r="H1257" s="920"/>
      <c r="I1257" s="1"/>
      <c r="J1257" s="1"/>
      <c r="K1257" s="1"/>
      <c r="L1257" s="1"/>
      <c r="M1257" s="1"/>
    </row>
    <row r="1258" ht="14.25" customHeight="1">
      <c r="A1258" s="1"/>
      <c r="B1258" s="68" t="s">
        <v>2984</v>
      </c>
      <c r="C1258" s="145">
        <v>42.0</v>
      </c>
      <c r="D1258" s="155">
        <f t="shared" ref="D1258:D1259" si="105">(C1258*D1257)/C1257</f>
        <v>36</v>
      </c>
      <c r="E1258" s="899"/>
      <c r="F1258" s="137" t="s">
        <v>18</v>
      </c>
      <c r="G1258" s="1"/>
      <c r="H1258" s="920"/>
      <c r="I1258" s="1"/>
      <c r="J1258" s="1"/>
      <c r="K1258" s="1"/>
      <c r="L1258" s="1"/>
      <c r="M1258" s="1"/>
    </row>
    <row r="1259" ht="14.25" customHeight="1">
      <c r="A1259" s="1"/>
      <c r="B1259" s="93" t="s">
        <v>96</v>
      </c>
      <c r="C1259" s="195">
        <v>14.0</v>
      </c>
      <c r="D1259" s="78">
        <f t="shared" si="105"/>
        <v>12</v>
      </c>
      <c r="E1259" s="900"/>
      <c r="F1259" s="165" t="s">
        <v>1342</v>
      </c>
      <c r="G1259" s="1"/>
      <c r="H1259" s="920"/>
      <c r="I1259" s="1"/>
      <c r="J1259" s="1"/>
      <c r="K1259" s="1"/>
      <c r="L1259" s="1"/>
      <c r="M1259" s="1"/>
    </row>
    <row r="1260" ht="14.25" customHeight="1">
      <c r="A1260" s="1"/>
      <c r="B1260" s="105" t="s">
        <v>66</v>
      </c>
      <c r="C1260" s="200">
        <v>14.0</v>
      </c>
      <c r="D1260" s="56">
        <f>(C1260*D1258)/C1258</f>
        <v>12</v>
      </c>
      <c r="E1260" s="1604"/>
      <c r="F1260" s="172" t="s">
        <v>18</v>
      </c>
      <c r="G1260" s="1"/>
      <c r="H1260" s="920"/>
      <c r="I1260" s="1"/>
      <c r="J1260" s="1"/>
      <c r="K1260" s="1"/>
      <c r="L1260" s="1"/>
      <c r="M1260" s="1"/>
    </row>
    <row r="1261" ht="14.25" customHeight="1">
      <c r="A1261" s="1"/>
      <c r="B1261" s="258" t="s">
        <v>119</v>
      </c>
      <c r="C1261" s="258" t="s">
        <v>47</v>
      </c>
      <c r="D1261" s="1"/>
      <c r="E1261" s="1"/>
      <c r="F1261" s="1"/>
      <c r="G1261" s="1"/>
      <c r="H1261" s="920"/>
      <c r="I1261" s="1"/>
      <c r="J1261" s="1"/>
      <c r="K1261" s="1"/>
      <c r="L1261" s="1"/>
      <c r="M1261" s="1"/>
    </row>
    <row r="1262" ht="14.25" customHeight="1">
      <c r="A1262" s="1"/>
      <c r="B1262" s="1"/>
      <c r="C1262" s="107"/>
      <c r="D1262" s="1"/>
      <c r="E1262" s="1"/>
      <c r="F1262" s="1"/>
      <c r="G1262" s="1"/>
      <c r="H1262" s="920"/>
      <c r="I1262" s="1"/>
      <c r="J1262" s="1"/>
      <c r="K1262" s="1"/>
      <c r="L1262" s="1"/>
      <c r="M1262" s="1"/>
    </row>
    <row r="1263" ht="14.25" customHeight="1">
      <c r="A1263" s="1"/>
      <c r="B1263" s="90" t="s">
        <v>120</v>
      </c>
      <c r="C1263" s="1188">
        <v>40995.0</v>
      </c>
      <c r="D1263" s="1"/>
      <c r="E1263" s="1"/>
      <c r="F1263" s="1"/>
      <c r="G1263" s="1"/>
      <c r="H1263" s="920"/>
      <c r="I1263" s="1"/>
      <c r="J1263" s="1"/>
      <c r="K1263" s="1"/>
      <c r="L1263" s="1"/>
      <c r="M1263" s="1"/>
    </row>
    <row r="1264" ht="14.25" customHeight="1">
      <c r="A1264" s="1"/>
      <c r="B1264" s="305" t="s">
        <v>50</v>
      </c>
      <c r="C1264" s="1188">
        <v>41279.0</v>
      </c>
      <c r="D1264" s="1"/>
      <c r="E1264" s="1"/>
      <c r="F1264" s="1"/>
      <c r="G1264" s="1"/>
      <c r="H1264" s="920"/>
      <c r="I1264" s="1"/>
      <c r="J1264" s="1"/>
      <c r="K1264" s="1"/>
      <c r="L1264" s="1"/>
      <c r="M1264" s="1"/>
    </row>
    <row r="1265" ht="14.25" customHeight="1">
      <c r="A1265" s="1"/>
      <c r="B1265" s="1"/>
      <c r="C1265" s="107"/>
      <c r="D1265" s="184"/>
      <c r="E1265" s="184"/>
      <c r="F1265" s="108"/>
      <c r="G1265" s="1"/>
      <c r="H1265" s="920"/>
      <c r="I1265" s="1"/>
      <c r="J1265" s="1"/>
      <c r="K1265" s="1"/>
      <c r="L1265" s="1"/>
      <c r="M1265" s="1"/>
    </row>
    <row r="1266" ht="14.25" customHeight="1">
      <c r="A1266" s="1"/>
      <c r="B1266" s="1"/>
      <c r="C1266" s="107"/>
      <c r="D1266" s="184"/>
      <c r="E1266" s="184"/>
      <c r="F1266" s="108"/>
      <c r="G1266" s="1"/>
      <c r="H1266" s="920"/>
      <c r="I1266" s="1"/>
      <c r="J1266" s="1"/>
      <c r="K1266" s="1"/>
      <c r="L1266" s="1"/>
      <c r="M1266" s="1"/>
    </row>
    <row r="1267" ht="14.25" customHeight="1">
      <c r="A1267" s="1"/>
      <c r="B1267" s="209" t="s">
        <v>3393</v>
      </c>
      <c r="C1267" s="18"/>
      <c r="D1267" s="18"/>
      <c r="E1267" s="18"/>
      <c r="F1267" s="19"/>
      <c r="G1267" s="1"/>
      <c r="H1267" s="920"/>
      <c r="I1267" s="1"/>
      <c r="J1267" s="1"/>
      <c r="K1267" s="1"/>
      <c r="L1267" s="1"/>
      <c r="M1267" s="1"/>
    </row>
    <row r="1268" ht="14.25" customHeight="1">
      <c r="A1268" s="1"/>
      <c r="B1268" s="68" t="s">
        <v>1</v>
      </c>
      <c r="C1268" s="210">
        <v>100.0</v>
      </c>
      <c r="D1268" s="145">
        <v>10.0</v>
      </c>
      <c r="E1268" s="147"/>
      <c r="F1268" s="1157" t="s">
        <v>5</v>
      </c>
      <c r="G1268" s="1"/>
      <c r="H1268" s="920"/>
      <c r="I1268" s="1"/>
      <c r="J1268" s="1"/>
      <c r="K1268" s="1"/>
      <c r="L1268" s="1"/>
      <c r="M1268" s="1"/>
    </row>
    <row r="1269" ht="14.25" customHeight="1">
      <c r="A1269" s="1"/>
      <c r="B1269" s="138" t="s">
        <v>15</v>
      </c>
      <c r="C1269" s="239">
        <v>100.0</v>
      </c>
      <c r="D1269" s="279">
        <f t="shared" ref="D1269:D1276" si="106">(C1269*D1268)/C1268</f>
        <v>10</v>
      </c>
      <c r="E1269" s="280"/>
      <c r="F1269" s="1219" t="s">
        <v>5</v>
      </c>
      <c r="G1269" s="1"/>
      <c r="H1269" s="920"/>
      <c r="I1269" s="1"/>
      <c r="J1269" s="1"/>
      <c r="K1269" s="1"/>
      <c r="L1269" s="1"/>
      <c r="M1269" s="1"/>
    </row>
    <row r="1270" ht="14.25" customHeight="1">
      <c r="A1270" s="1"/>
      <c r="B1270" s="68" t="s">
        <v>3395</v>
      </c>
      <c r="C1270" s="210">
        <v>6000.0</v>
      </c>
      <c r="D1270" s="145">
        <f t="shared" si="106"/>
        <v>600</v>
      </c>
      <c r="E1270" s="147"/>
      <c r="F1270" s="1157" t="s">
        <v>82</v>
      </c>
      <c r="G1270" s="1"/>
      <c r="H1270" s="920"/>
      <c r="I1270" s="1"/>
      <c r="J1270" s="1"/>
      <c r="K1270" s="1"/>
      <c r="L1270" s="1"/>
      <c r="M1270" s="1"/>
    </row>
    <row r="1271" ht="14.25" customHeight="1">
      <c r="A1271" s="1"/>
      <c r="B1271" s="93" t="s">
        <v>3396</v>
      </c>
      <c r="C1271" s="247">
        <v>30.0</v>
      </c>
      <c r="D1271" s="195">
        <f t="shared" si="106"/>
        <v>3</v>
      </c>
      <c r="E1271" s="196"/>
      <c r="F1271" s="1158" t="s">
        <v>366</v>
      </c>
      <c r="G1271" s="1"/>
      <c r="H1271" s="920"/>
      <c r="I1271" s="1"/>
      <c r="J1271" s="1"/>
      <c r="K1271" s="1"/>
      <c r="L1271" s="1"/>
      <c r="M1271" s="1"/>
    </row>
    <row r="1272" ht="14.25" customHeight="1">
      <c r="A1272" s="1"/>
      <c r="B1272" s="105" t="s">
        <v>3398</v>
      </c>
      <c r="C1272" s="522">
        <v>45.0</v>
      </c>
      <c r="D1272" s="200">
        <f t="shared" si="106"/>
        <v>4.5</v>
      </c>
      <c r="E1272" s="202"/>
      <c r="F1272" s="1182" t="s">
        <v>366</v>
      </c>
      <c r="G1272" s="1"/>
      <c r="H1272" s="920"/>
      <c r="I1272" s="1"/>
      <c r="J1272" s="1"/>
      <c r="K1272" s="1"/>
      <c r="L1272" s="1"/>
      <c r="M1272" s="1"/>
    </row>
    <row r="1273" ht="14.25" customHeight="1">
      <c r="A1273" s="1"/>
      <c r="B1273" s="149" t="s">
        <v>13</v>
      </c>
      <c r="C1273" s="272">
        <v>15.0</v>
      </c>
      <c r="D1273" s="152">
        <f t="shared" si="106"/>
        <v>1.5</v>
      </c>
      <c r="E1273" s="154"/>
      <c r="F1273" s="1225" t="s">
        <v>366</v>
      </c>
      <c r="G1273" s="1"/>
      <c r="H1273" s="920"/>
      <c r="I1273" s="1"/>
      <c r="J1273" s="1"/>
      <c r="K1273" s="1"/>
      <c r="L1273" s="1"/>
      <c r="M1273" s="1"/>
    </row>
    <row r="1274" ht="14.25" customHeight="1">
      <c r="A1274" s="1"/>
      <c r="B1274" s="93" t="s">
        <v>2006</v>
      </c>
      <c r="C1274" s="247">
        <v>1500.0</v>
      </c>
      <c r="D1274" s="195">
        <f t="shared" si="106"/>
        <v>150</v>
      </c>
      <c r="E1274" s="196"/>
      <c r="F1274" s="1158" t="s">
        <v>18</v>
      </c>
      <c r="G1274" s="1"/>
      <c r="H1274" s="920"/>
      <c r="I1274" s="1"/>
      <c r="J1274" s="1"/>
      <c r="K1274" s="1"/>
      <c r="L1274" s="1"/>
      <c r="M1274" s="1"/>
    </row>
    <row r="1275" ht="14.25" customHeight="1">
      <c r="A1275" s="1"/>
      <c r="B1275" s="138" t="s">
        <v>3400</v>
      </c>
      <c r="C1275" s="239">
        <v>1500.0</v>
      </c>
      <c r="D1275" s="279">
        <f t="shared" si="106"/>
        <v>150</v>
      </c>
      <c r="E1275" s="280"/>
      <c r="F1275" s="1219" t="s">
        <v>18</v>
      </c>
      <c r="G1275" s="1"/>
      <c r="H1275" s="920"/>
      <c r="I1275" s="1"/>
      <c r="J1275" s="1"/>
      <c r="K1275" s="1"/>
      <c r="L1275" s="1"/>
      <c r="M1275" s="1"/>
    </row>
    <row r="1276" ht="14.25" customHeight="1">
      <c r="A1276" s="1"/>
      <c r="B1276" s="173" t="s">
        <v>17</v>
      </c>
      <c r="C1276" s="545">
        <v>125.0</v>
      </c>
      <c r="D1276" s="275">
        <f t="shared" si="106"/>
        <v>12.5</v>
      </c>
      <c r="E1276" s="433"/>
      <c r="F1276" s="1610" t="s">
        <v>18</v>
      </c>
      <c r="G1276" s="1"/>
      <c r="H1276" s="920"/>
      <c r="I1276" s="1"/>
      <c r="J1276" s="1"/>
      <c r="K1276" s="1"/>
      <c r="L1276" s="1"/>
      <c r="M1276" s="1"/>
    </row>
    <row r="1277" ht="14.25" customHeight="1">
      <c r="A1277" s="1"/>
      <c r="B1277" s="258" t="s">
        <v>119</v>
      </c>
      <c r="C1277" s="107"/>
      <c r="D1277" s="184"/>
      <c r="E1277" s="184"/>
      <c r="F1277" s="108"/>
      <c r="G1277" s="1"/>
      <c r="H1277" s="920"/>
      <c r="I1277" s="1"/>
      <c r="J1277" s="1"/>
      <c r="K1277" s="1"/>
      <c r="L1277" s="1"/>
      <c r="M1277" s="1"/>
    </row>
    <row r="1278" ht="14.25" customHeight="1">
      <c r="A1278" s="1"/>
      <c r="B1278" s="1"/>
      <c r="C1278" s="107"/>
      <c r="D1278" s="184"/>
      <c r="E1278" s="184"/>
      <c r="F1278" s="108"/>
      <c r="G1278" s="1"/>
      <c r="H1278" s="920"/>
      <c r="I1278" s="1"/>
      <c r="J1278" s="1"/>
      <c r="K1278" s="1"/>
      <c r="L1278" s="1"/>
      <c r="M1278" s="1"/>
    </row>
    <row r="1279" ht="14.25" customHeight="1">
      <c r="A1279" s="1"/>
      <c r="B1279" s="90" t="s">
        <v>120</v>
      </c>
      <c r="C1279" s="107"/>
      <c r="D1279" s="184"/>
      <c r="E1279" s="184"/>
      <c r="F1279" s="108"/>
      <c r="G1279" s="1"/>
      <c r="H1279" s="920"/>
      <c r="I1279" s="1"/>
      <c r="J1279" s="1"/>
      <c r="K1279" s="1"/>
      <c r="L1279" s="1"/>
      <c r="M1279" s="1"/>
    </row>
    <row r="1280" ht="14.25" customHeight="1">
      <c r="A1280" s="1"/>
      <c r="B1280" s="305" t="s">
        <v>50</v>
      </c>
      <c r="C1280" s="107"/>
      <c r="D1280" s="184"/>
      <c r="E1280" s="184"/>
      <c r="F1280" s="108"/>
      <c r="G1280" s="1"/>
      <c r="H1280" s="920"/>
      <c r="I1280" s="1"/>
      <c r="J1280" s="1"/>
      <c r="K1280" s="1"/>
      <c r="L1280" s="1"/>
      <c r="M1280" s="1"/>
    </row>
    <row r="1281" ht="14.25" customHeight="1">
      <c r="A1281" s="1"/>
      <c r="B1281" s="1"/>
      <c r="C1281" s="107"/>
      <c r="D1281" s="184"/>
      <c r="E1281" s="184"/>
      <c r="F1281" s="108"/>
      <c r="G1281" s="1"/>
      <c r="H1281" s="920"/>
      <c r="I1281" s="1"/>
      <c r="J1281" s="1"/>
      <c r="K1281" s="1"/>
      <c r="L1281" s="1"/>
      <c r="M1281" s="1"/>
    </row>
    <row r="1282" ht="14.25" customHeight="1">
      <c r="A1282" s="1"/>
      <c r="B1282" s="1"/>
      <c r="C1282" s="107"/>
      <c r="D1282" s="184"/>
      <c r="E1282" s="184"/>
      <c r="F1282" s="108"/>
      <c r="G1282" s="1"/>
      <c r="H1282" s="920"/>
      <c r="I1282" s="1"/>
      <c r="J1282" s="1"/>
      <c r="K1282" s="1"/>
      <c r="L1282" s="1"/>
      <c r="M1282" s="1"/>
    </row>
    <row r="1283" ht="14.25" customHeight="1">
      <c r="A1283" s="1"/>
      <c r="B1283" s="209" t="s">
        <v>3401</v>
      </c>
      <c r="C1283" s="18"/>
      <c r="D1283" s="18"/>
      <c r="E1283" s="18"/>
      <c r="F1283" s="19"/>
      <c r="G1283" s="1"/>
      <c r="H1283" s="209" t="s">
        <v>614</v>
      </c>
      <c r="I1283" s="18"/>
      <c r="J1283" s="18"/>
      <c r="K1283" s="19"/>
      <c r="L1283" s="1"/>
      <c r="M1283" s="1"/>
    </row>
    <row r="1284" ht="14.25" customHeight="1">
      <c r="A1284" s="1"/>
      <c r="B1284" s="68" t="s">
        <v>1</v>
      </c>
      <c r="C1284" s="145">
        <v>100.0</v>
      </c>
      <c r="D1284" s="1791">
        <v>15.0</v>
      </c>
      <c r="E1284" s="899"/>
      <c r="F1284" s="216" t="s">
        <v>5</v>
      </c>
      <c r="G1284" s="1"/>
      <c r="H1284" s="68" t="s">
        <v>1</v>
      </c>
      <c r="I1284" s="145">
        <v>100.0</v>
      </c>
      <c r="J1284" s="155">
        <v>8.0</v>
      </c>
      <c r="K1284" s="137" t="s">
        <v>5</v>
      </c>
      <c r="L1284" s="1"/>
      <c r="M1284" s="1"/>
    </row>
    <row r="1285" ht="14.25" customHeight="1">
      <c r="A1285" s="1"/>
      <c r="B1285" s="93" t="s">
        <v>2158</v>
      </c>
      <c r="C1285" s="195">
        <v>16.0</v>
      </c>
      <c r="D1285" s="78">
        <f t="shared" ref="D1285:D1286" si="107">(C1285*D1284)/C1284</f>
        <v>2.4</v>
      </c>
      <c r="E1285" s="900"/>
      <c r="F1285" s="249" t="s">
        <v>366</v>
      </c>
      <c r="G1285" s="1"/>
      <c r="H1285" s="93" t="s">
        <v>2158</v>
      </c>
      <c r="I1285" s="195">
        <v>16.0</v>
      </c>
      <c r="J1285" s="78">
        <f t="shared" ref="J1285:J1286" si="108">(I1285*J1284)/I1284</f>
        <v>1.28</v>
      </c>
      <c r="K1285" s="165" t="s">
        <v>366</v>
      </c>
      <c r="L1285" s="1"/>
      <c r="M1285" s="1"/>
    </row>
    <row r="1286" ht="14.25" customHeight="1">
      <c r="A1286" s="1"/>
      <c r="B1286" s="93" t="s">
        <v>1739</v>
      </c>
      <c r="C1286" s="195">
        <v>13.5</v>
      </c>
      <c r="D1286" s="78">
        <f t="shared" si="107"/>
        <v>2.025</v>
      </c>
      <c r="E1286" s="900"/>
      <c r="F1286" s="249" t="s">
        <v>366</v>
      </c>
      <c r="G1286" s="1"/>
      <c r="H1286" s="93" t="s">
        <v>1739</v>
      </c>
      <c r="I1286" s="195">
        <v>13.5</v>
      </c>
      <c r="J1286" s="78">
        <f t="shared" si="108"/>
        <v>1.08</v>
      </c>
      <c r="K1286" s="165" t="s">
        <v>366</v>
      </c>
      <c r="L1286" s="1"/>
      <c r="M1286" s="1"/>
    </row>
    <row r="1287" ht="14.25" customHeight="1">
      <c r="A1287" s="1"/>
      <c r="B1287" s="93" t="s">
        <v>13</v>
      </c>
      <c r="C1287" s="195">
        <v>28.5</v>
      </c>
      <c r="D1287" s="78">
        <f>(C1287*D1285)/C1285</f>
        <v>4.275</v>
      </c>
      <c r="E1287" s="900"/>
      <c r="F1287" s="249" t="s">
        <v>366</v>
      </c>
      <c r="G1287" s="1"/>
      <c r="H1287" s="93" t="s">
        <v>13</v>
      </c>
      <c r="I1287" s="195">
        <v>28.5</v>
      </c>
      <c r="J1287" s="78">
        <f>(I1287*J1285)/I1285</f>
        <v>2.28</v>
      </c>
      <c r="K1287" s="165" t="s">
        <v>366</v>
      </c>
      <c r="L1287" s="1"/>
      <c r="M1287" s="1"/>
    </row>
    <row r="1288" ht="14.25" customHeight="1">
      <c r="A1288" s="1"/>
      <c r="B1288" s="262" t="s">
        <v>59</v>
      </c>
      <c r="C1288" s="791">
        <f t="shared" ref="C1288:D1288" si="109">IF(C1285&lt;=10, (5-0.1*C1285)*C1285, 4*C1285)</f>
        <v>64</v>
      </c>
      <c r="D1288" s="1348">
        <f t="shared" si="109"/>
        <v>11.424</v>
      </c>
      <c r="E1288" s="1915"/>
      <c r="F1288" s="267" t="s">
        <v>5</v>
      </c>
      <c r="G1288" s="1"/>
      <c r="H1288" s="262" t="s">
        <v>59</v>
      </c>
      <c r="I1288" s="791">
        <f t="shared" ref="I1288:J1288" si="110">IF(I1285&lt;=10, (5-0.1*I1285)*I1285, 4*I1285)</f>
        <v>64</v>
      </c>
      <c r="J1288" s="1348">
        <f t="shared" si="110"/>
        <v>6.23616</v>
      </c>
      <c r="K1288" s="793" t="s">
        <v>5</v>
      </c>
      <c r="L1288" s="1"/>
      <c r="M1288" s="1"/>
    </row>
    <row r="1289" ht="14.25" customHeight="1">
      <c r="A1289" s="1"/>
      <c r="B1289" s="93" t="s">
        <v>2195</v>
      </c>
      <c r="C1289" s="195">
        <v>1.0</v>
      </c>
      <c r="D1289" s="78">
        <f>(C1289*D1287)/C1287</f>
        <v>0.15</v>
      </c>
      <c r="E1289" s="900"/>
      <c r="F1289" s="249" t="s">
        <v>366</v>
      </c>
      <c r="G1289" s="1"/>
      <c r="H1289" s="93" t="s">
        <v>2195</v>
      </c>
      <c r="I1289" s="195">
        <v>1500.0000000000002</v>
      </c>
      <c r="J1289" s="78">
        <f>(I1289*J1287)/I1287</f>
        <v>120</v>
      </c>
      <c r="K1289" s="165" t="s">
        <v>18</v>
      </c>
      <c r="L1289" s="1"/>
      <c r="M1289" s="1"/>
    </row>
    <row r="1290" ht="14.25" customHeight="1">
      <c r="A1290" s="1"/>
      <c r="B1290" s="93" t="s">
        <v>3405</v>
      </c>
      <c r="C1290" s="195">
        <v>5.3</v>
      </c>
      <c r="D1290" s="78">
        <f t="shared" ref="D1290:D1291" si="111">(C1290*D1289)/C1289</f>
        <v>0.795</v>
      </c>
      <c r="E1290" s="900"/>
      <c r="F1290" s="249" t="s">
        <v>366</v>
      </c>
      <c r="G1290" s="1"/>
      <c r="H1290" s="93" t="s">
        <v>1046</v>
      </c>
      <c r="I1290" s="195">
        <v>1500.0000000000002</v>
      </c>
      <c r="J1290" s="78">
        <f t="shared" ref="J1290:J1291" si="112">(I1290*J1289)/I1289</f>
        <v>120</v>
      </c>
      <c r="K1290" s="165" t="s">
        <v>18</v>
      </c>
      <c r="L1290" s="1"/>
      <c r="M1290" s="1"/>
    </row>
    <row r="1291" ht="14.25" customHeight="1">
      <c r="A1291" s="1"/>
      <c r="B1291" s="105" t="s">
        <v>17</v>
      </c>
      <c r="C1291" s="200">
        <v>150.00000000000003</v>
      </c>
      <c r="D1291" s="56">
        <f t="shared" si="111"/>
        <v>22.5</v>
      </c>
      <c r="E1291" s="1604"/>
      <c r="F1291" s="518" t="s">
        <v>18</v>
      </c>
      <c r="G1291" s="1"/>
      <c r="H1291" s="105" t="s">
        <v>17</v>
      </c>
      <c r="I1291" s="200">
        <v>150.00000000000003</v>
      </c>
      <c r="J1291" s="56">
        <f t="shared" si="112"/>
        <v>12</v>
      </c>
      <c r="K1291" s="172" t="s">
        <v>18</v>
      </c>
      <c r="L1291" s="1"/>
      <c r="M1291" s="1"/>
    </row>
    <row r="1292" ht="14.25" customHeight="1">
      <c r="A1292" s="1"/>
      <c r="B1292" s="173" t="s">
        <v>17</v>
      </c>
      <c r="C1292" s="107"/>
      <c r="D1292" s="184"/>
      <c r="E1292" s="184"/>
      <c r="F1292" s="108"/>
      <c r="G1292" s="1"/>
      <c r="H1292" s="920"/>
      <c r="I1292" s="1"/>
      <c r="J1292" s="1"/>
      <c r="K1292" s="1"/>
      <c r="L1292" s="1"/>
      <c r="M1292" s="1"/>
    </row>
    <row r="1293" ht="14.25" customHeight="1">
      <c r="A1293" s="1"/>
      <c r="B1293" s="258" t="s">
        <v>119</v>
      </c>
      <c r="C1293" s="107"/>
      <c r="D1293" s="184"/>
      <c r="E1293" s="184"/>
      <c r="F1293" s="108"/>
      <c r="G1293" s="1"/>
      <c r="H1293" s="920"/>
      <c r="I1293" s="1"/>
      <c r="J1293" s="1"/>
      <c r="K1293" s="1"/>
      <c r="L1293" s="1"/>
      <c r="M1293" s="1"/>
    </row>
    <row r="1294" ht="14.25" customHeight="1">
      <c r="A1294" s="1"/>
      <c r="B1294" s="1"/>
      <c r="C1294" s="107"/>
      <c r="D1294" s="184"/>
      <c r="E1294" s="184"/>
      <c r="F1294" s="108"/>
      <c r="G1294" s="1"/>
      <c r="H1294" s="920"/>
      <c r="I1294" s="1"/>
      <c r="J1294" s="1"/>
      <c r="K1294" s="1"/>
      <c r="L1294" s="1"/>
      <c r="M1294" s="1"/>
    </row>
    <row r="1295" ht="14.25" customHeight="1">
      <c r="A1295" s="1"/>
      <c r="B1295" s="90" t="s">
        <v>120</v>
      </c>
      <c r="C1295" s="107"/>
      <c r="D1295" s="184"/>
      <c r="E1295" s="184"/>
      <c r="F1295" s="108"/>
      <c r="G1295" s="1"/>
      <c r="H1295" s="920"/>
      <c r="I1295" s="1"/>
      <c r="J1295" s="1"/>
      <c r="K1295" s="1"/>
      <c r="L1295" s="1"/>
      <c r="M1295" s="1"/>
    </row>
    <row r="1296" ht="14.25" customHeight="1">
      <c r="A1296" s="1"/>
      <c r="B1296" s="305" t="s">
        <v>50</v>
      </c>
      <c r="C1296" s="107"/>
      <c r="D1296" s="184"/>
      <c r="E1296" s="184"/>
      <c r="F1296" s="108"/>
      <c r="G1296" s="1"/>
      <c r="H1296" s="920"/>
      <c r="I1296" s="1"/>
      <c r="J1296" s="1"/>
      <c r="K1296" s="1"/>
      <c r="L1296" s="1"/>
      <c r="M1296" s="1"/>
    </row>
    <row r="1297" ht="14.25" customHeight="1">
      <c r="A1297" s="1"/>
      <c r="B1297" s="1"/>
      <c r="C1297" s="107"/>
      <c r="D1297" s="184"/>
      <c r="E1297" s="184"/>
      <c r="F1297" s="108"/>
      <c r="G1297" s="1"/>
      <c r="H1297" s="920"/>
      <c r="I1297" s="1"/>
      <c r="J1297" s="1"/>
      <c r="K1297" s="1"/>
      <c r="L1297" s="1"/>
      <c r="M1297" s="1"/>
    </row>
    <row r="1298" ht="14.25" customHeight="1">
      <c r="A1298" s="1"/>
      <c r="B1298" s="1"/>
      <c r="C1298" s="107"/>
      <c r="D1298" s="184"/>
      <c r="E1298" s="184"/>
      <c r="F1298" s="108"/>
      <c r="G1298" s="1"/>
      <c r="H1298" s="920"/>
      <c r="I1298" s="1"/>
      <c r="J1298" s="1"/>
      <c r="K1298" s="1"/>
      <c r="L1298" s="1"/>
      <c r="M1298" s="1"/>
    </row>
    <row r="1299" ht="14.25" customHeight="1">
      <c r="A1299" s="1"/>
      <c r="B1299" s="1"/>
      <c r="C1299" s="107"/>
      <c r="D1299" s="184"/>
      <c r="E1299" s="184"/>
      <c r="F1299" s="108"/>
      <c r="G1299" s="1"/>
      <c r="H1299" s="920"/>
      <c r="I1299" s="1"/>
      <c r="J1299" s="1"/>
      <c r="K1299" s="1"/>
      <c r="L1299" s="1"/>
      <c r="M1299" s="1"/>
    </row>
    <row r="1300" ht="15.75" customHeight="1">
      <c r="A1300" s="1"/>
      <c r="B1300" s="1"/>
      <c r="C1300" s="107"/>
      <c r="D1300" s="184"/>
      <c r="E1300" s="184"/>
      <c r="F1300" s="108"/>
      <c r="G1300" s="1"/>
      <c r="H1300" s="920"/>
      <c r="I1300" s="1"/>
      <c r="J1300" s="1"/>
      <c r="K1300" s="1"/>
      <c r="L1300" s="1"/>
      <c r="M1300" s="1"/>
    </row>
    <row r="1301" ht="15.75" customHeight="1">
      <c r="A1301" s="1"/>
      <c r="B1301" s="1"/>
      <c r="C1301" s="107"/>
      <c r="D1301" s="184"/>
      <c r="E1301" s="184"/>
      <c r="F1301" s="108"/>
      <c r="G1301" s="1"/>
      <c r="H1301" s="920"/>
      <c r="I1301" s="1"/>
      <c r="J1301" s="1"/>
      <c r="K1301" s="1"/>
      <c r="L1301" s="1"/>
      <c r="M1301" s="1"/>
    </row>
    <row r="1302" ht="14.25" customHeight="1">
      <c r="A1302" s="1"/>
      <c r="B1302" s="1"/>
      <c r="C1302" s="107"/>
      <c r="D1302" s="184"/>
      <c r="E1302" s="184"/>
      <c r="F1302" s="108"/>
      <c r="G1302" s="1"/>
      <c r="H1302" s="920"/>
      <c r="I1302" s="1"/>
      <c r="J1302" s="1"/>
      <c r="K1302" s="1"/>
      <c r="L1302" s="1"/>
      <c r="M1302" s="1"/>
    </row>
    <row r="1303" ht="14.25" customHeight="1">
      <c r="A1303" s="1"/>
      <c r="B1303" s="1"/>
      <c r="C1303" s="107"/>
      <c r="D1303" s="184"/>
      <c r="E1303" s="184"/>
      <c r="F1303" s="108"/>
      <c r="G1303" s="1"/>
      <c r="H1303" s="920"/>
      <c r="I1303" s="1"/>
      <c r="J1303" s="1"/>
      <c r="K1303" s="1"/>
      <c r="L1303" s="1"/>
      <c r="M1303" s="1"/>
    </row>
    <row r="1304" ht="14.25" customHeight="1">
      <c r="A1304" s="1"/>
      <c r="B1304" s="1"/>
      <c r="C1304" s="107"/>
      <c r="D1304" s="184"/>
      <c r="E1304" s="184"/>
      <c r="F1304" s="108"/>
      <c r="G1304" s="1"/>
      <c r="H1304" s="920"/>
      <c r="I1304" s="1"/>
      <c r="J1304" s="1"/>
      <c r="K1304" s="1"/>
      <c r="L1304" s="1"/>
      <c r="M1304" s="1"/>
    </row>
    <row r="1305" ht="14.25" customHeight="1">
      <c r="A1305" s="1"/>
      <c r="B1305" s="1"/>
      <c r="C1305" s="107"/>
      <c r="D1305" s="184"/>
      <c r="E1305" s="184"/>
      <c r="F1305" s="108"/>
      <c r="G1305" s="1"/>
      <c r="H1305" s="920"/>
      <c r="I1305" s="1"/>
      <c r="J1305" s="1"/>
      <c r="K1305" s="1"/>
      <c r="L1305" s="1"/>
      <c r="M1305" s="1"/>
    </row>
    <row r="1306" ht="14.25" customHeight="1">
      <c r="A1306" s="1"/>
      <c r="B1306" s="1"/>
      <c r="C1306" s="107"/>
      <c r="D1306" s="184"/>
      <c r="E1306" s="184"/>
      <c r="F1306" s="108"/>
      <c r="G1306" s="1"/>
      <c r="H1306" s="920"/>
      <c r="I1306" s="1"/>
      <c r="J1306" s="1"/>
      <c r="K1306" s="1"/>
      <c r="L1306" s="1"/>
      <c r="M1306" s="1"/>
    </row>
    <row r="1307" ht="14.25" customHeight="1">
      <c r="A1307" s="1"/>
      <c r="B1307" s="1"/>
      <c r="C1307" s="107"/>
      <c r="D1307" s="184"/>
      <c r="E1307" s="184"/>
      <c r="F1307" s="108"/>
      <c r="G1307" s="1"/>
      <c r="H1307" s="920"/>
      <c r="I1307" s="1"/>
      <c r="J1307" s="1"/>
      <c r="K1307" s="1"/>
      <c r="L1307" s="1"/>
      <c r="M1307" s="1"/>
    </row>
    <row r="1308" ht="14.25" customHeight="1">
      <c r="A1308" s="1"/>
      <c r="B1308" s="1"/>
      <c r="C1308" s="107"/>
      <c r="D1308" s="184"/>
      <c r="E1308" s="184"/>
      <c r="F1308" s="108"/>
      <c r="G1308" s="1"/>
      <c r="H1308" s="920"/>
      <c r="I1308" s="1"/>
      <c r="J1308" s="1"/>
      <c r="K1308" s="1"/>
      <c r="L1308" s="1"/>
      <c r="M1308" s="1"/>
    </row>
    <row r="1309" ht="14.25" customHeight="1">
      <c r="A1309" s="1"/>
      <c r="B1309" s="1"/>
      <c r="C1309" s="107"/>
      <c r="D1309" s="184"/>
      <c r="E1309" s="184"/>
      <c r="F1309" s="108"/>
      <c r="G1309" s="1"/>
      <c r="H1309" s="920"/>
      <c r="I1309" s="1"/>
      <c r="J1309" s="1"/>
      <c r="K1309" s="1"/>
      <c r="L1309" s="1"/>
      <c r="M1309" s="1"/>
    </row>
    <row r="1310" ht="14.25" customHeight="1">
      <c r="A1310" s="1"/>
      <c r="B1310" s="1"/>
      <c r="C1310" s="107"/>
      <c r="D1310" s="184"/>
      <c r="E1310" s="184"/>
      <c r="F1310" s="108"/>
      <c r="G1310" s="1"/>
      <c r="H1310" s="920"/>
      <c r="I1310" s="1"/>
      <c r="J1310" s="1"/>
      <c r="K1310" s="1"/>
      <c r="L1310" s="1"/>
      <c r="M1310" s="1"/>
    </row>
    <row r="1311" ht="14.25" customHeight="1">
      <c r="A1311" s="1"/>
      <c r="B1311" s="1"/>
      <c r="C1311" s="107"/>
      <c r="D1311" s="184"/>
      <c r="E1311" s="184"/>
      <c r="F1311" s="108"/>
      <c r="G1311" s="1"/>
      <c r="H1311" s="920"/>
      <c r="I1311" s="1"/>
      <c r="J1311" s="1"/>
      <c r="K1311" s="1"/>
      <c r="L1311" s="1"/>
      <c r="M1311" s="1"/>
    </row>
    <row r="1312" ht="14.25" customHeight="1">
      <c r="A1312" s="1"/>
      <c r="B1312" s="1"/>
      <c r="C1312" s="107"/>
      <c r="D1312" s="184"/>
      <c r="E1312" s="184"/>
      <c r="F1312" s="108"/>
      <c r="G1312" s="1"/>
      <c r="H1312" s="920"/>
      <c r="I1312" s="1"/>
      <c r="J1312" s="1"/>
      <c r="K1312" s="1"/>
      <c r="L1312" s="1"/>
      <c r="M1312" s="1"/>
    </row>
    <row r="1313" ht="14.25" customHeight="1">
      <c r="A1313" s="1"/>
      <c r="B1313" s="1"/>
      <c r="C1313" s="107"/>
      <c r="D1313" s="184"/>
      <c r="E1313" s="184"/>
      <c r="F1313" s="108"/>
      <c r="G1313" s="1"/>
      <c r="H1313" s="920"/>
      <c r="I1313" s="1"/>
      <c r="J1313" s="1"/>
      <c r="K1313" s="1"/>
      <c r="L1313" s="1"/>
      <c r="M1313" s="1"/>
    </row>
    <row r="1314" ht="14.25" customHeight="1">
      <c r="A1314" s="1"/>
      <c r="B1314" s="1"/>
      <c r="C1314" s="107"/>
      <c r="D1314" s="184"/>
      <c r="E1314" s="184"/>
      <c r="F1314" s="108"/>
      <c r="G1314" s="1"/>
      <c r="H1314" s="920"/>
      <c r="I1314" s="1"/>
      <c r="J1314" s="1"/>
      <c r="K1314" s="1"/>
      <c r="L1314" s="1"/>
      <c r="M1314" s="1"/>
    </row>
    <row r="1315" ht="14.25" customHeight="1">
      <c r="A1315" s="1"/>
      <c r="B1315" s="1"/>
      <c r="C1315" s="107"/>
      <c r="D1315" s="184"/>
      <c r="E1315" s="184"/>
      <c r="F1315" s="108"/>
      <c r="G1315" s="1"/>
      <c r="H1315" s="920"/>
      <c r="I1315" s="1"/>
      <c r="J1315" s="1"/>
      <c r="K1315" s="1"/>
      <c r="L1315" s="1"/>
      <c r="M1315" s="1"/>
    </row>
    <row r="1316" ht="17.25" customHeight="1">
      <c r="A1316" s="1"/>
      <c r="B1316" s="1"/>
      <c r="C1316" s="107"/>
      <c r="D1316" s="184"/>
      <c r="E1316" s="184"/>
      <c r="F1316" s="108"/>
      <c r="G1316" s="1"/>
      <c r="H1316" s="920"/>
      <c r="I1316" s="1"/>
      <c r="J1316" s="1"/>
      <c r="K1316" s="1"/>
      <c r="L1316" s="1"/>
      <c r="M1316" s="1"/>
    </row>
    <row r="1317" ht="14.25" customHeight="1">
      <c r="A1317" s="1"/>
      <c r="B1317" s="1"/>
      <c r="C1317" s="107"/>
      <c r="D1317" s="184"/>
      <c r="E1317" s="184"/>
      <c r="F1317" s="108"/>
      <c r="G1317" s="1"/>
      <c r="H1317" s="920"/>
      <c r="I1317" s="1"/>
      <c r="J1317" s="1"/>
      <c r="K1317" s="1"/>
      <c r="L1317" s="1"/>
      <c r="M1317" s="1"/>
    </row>
    <row r="1318" ht="14.25" customHeight="1">
      <c r="A1318" s="1"/>
      <c r="B1318" s="1"/>
      <c r="C1318" s="107"/>
      <c r="D1318" s="184"/>
      <c r="E1318" s="184"/>
      <c r="F1318" s="108"/>
      <c r="G1318" s="1"/>
      <c r="H1318" s="920"/>
      <c r="I1318" s="1"/>
      <c r="J1318" s="1"/>
      <c r="K1318" s="1"/>
      <c r="L1318" s="1"/>
      <c r="M1318" s="1"/>
    </row>
    <row r="1319" ht="14.25" customHeight="1">
      <c r="A1319" s="1"/>
      <c r="B1319" s="1"/>
      <c r="C1319" s="107"/>
      <c r="D1319" s="184"/>
      <c r="E1319" s="184"/>
      <c r="F1319" s="108"/>
      <c r="G1319" s="1"/>
      <c r="H1319" s="920"/>
      <c r="I1319" s="1"/>
      <c r="J1319" s="1"/>
      <c r="K1319" s="1"/>
      <c r="L1319" s="1"/>
      <c r="M1319" s="1"/>
    </row>
    <row r="1320" ht="14.25" customHeight="1">
      <c r="A1320" s="1"/>
      <c r="B1320" s="1"/>
      <c r="C1320" s="107"/>
      <c r="D1320" s="184"/>
      <c r="E1320" s="184"/>
      <c r="F1320" s="108"/>
      <c r="G1320" s="1"/>
      <c r="H1320" s="920"/>
      <c r="I1320" s="1"/>
      <c r="J1320" s="1"/>
      <c r="K1320" s="1"/>
      <c r="L1320" s="1"/>
      <c r="M1320" s="1"/>
    </row>
    <row r="1321" ht="14.25" customHeight="1">
      <c r="A1321" s="1"/>
      <c r="B1321" s="1"/>
      <c r="C1321" s="107"/>
      <c r="D1321" s="184"/>
      <c r="E1321" s="184"/>
      <c r="F1321" s="108"/>
      <c r="G1321" s="1"/>
      <c r="H1321" s="920"/>
      <c r="I1321" s="1"/>
      <c r="J1321" s="1"/>
      <c r="K1321" s="1"/>
      <c r="L1321" s="1"/>
      <c r="M1321" s="1"/>
    </row>
    <row r="1322" ht="14.25" customHeight="1">
      <c r="A1322" s="1"/>
      <c r="B1322" s="1"/>
      <c r="C1322" s="107"/>
      <c r="D1322" s="184"/>
      <c r="E1322" s="184"/>
      <c r="F1322" s="108"/>
      <c r="G1322" s="1"/>
      <c r="H1322" s="920"/>
      <c r="I1322" s="1"/>
      <c r="J1322" s="1"/>
      <c r="K1322" s="1"/>
      <c r="L1322" s="1"/>
      <c r="M1322" s="1"/>
    </row>
    <row r="1323" ht="14.25" customHeight="1">
      <c r="A1323" s="1"/>
      <c r="B1323" s="1"/>
      <c r="C1323" s="107"/>
      <c r="D1323" s="184"/>
      <c r="E1323" s="184"/>
      <c r="F1323" s="108"/>
      <c r="G1323" s="1"/>
      <c r="H1323" s="920"/>
      <c r="I1323" s="1"/>
      <c r="J1323" s="1"/>
      <c r="K1323" s="1"/>
      <c r="L1323" s="1"/>
      <c r="M1323" s="1"/>
    </row>
    <row r="1324" ht="14.25" customHeight="1">
      <c r="A1324" s="1"/>
      <c r="B1324" s="1"/>
      <c r="C1324" s="107"/>
      <c r="D1324" s="184"/>
      <c r="E1324" s="184"/>
      <c r="F1324" s="108"/>
      <c r="G1324" s="1"/>
      <c r="H1324" s="920"/>
      <c r="I1324" s="1"/>
      <c r="J1324" s="1"/>
      <c r="K1324" s="1"/>
      <c r="L1324" s="1"/>
      <c r="M1324" s="1"/>
    </row>
    <row r="1325" ht="14.25" customHeight="1">
      <c r="A1325" s="1"/>
      <c r="B1325" s="1"/>
      <c r="C1325" s="107"/>
      <c r="D1325" s="184"/>
      <c r="E1325" s="184"/>
      <c r="F1325" s="108"/>
      <c r="G1325" s="1"/>
      <c r="H1325" s="920"/>
      <c r="I1325" s="1"/>
      <c r="J1325" s="1"/>
      <c r="K1325" s="1"/>
      <c r="L1325" s="1"/>
      <c r="M1325" s="1"/>
    </row>
    <row r="1326" ht="14.25" customHeight="1">
      <c r="A1326" s="1"/>
      <c r="B1326" s="1"/>
      <c r="C1326" s="107"/>
      <c r="D1326" s="184"/>
      <c r="E1326" s="184"/>
      <c r="F1326" s="108"/>
      <c r="G1326" s="1"/>
      <c r="H1326" s="920"/>
      <c r="I1326" s="1"/>
      <c r="J1326" s="1"/>
      <c r="K1326" s="1"/>
      <c r="L1326" s="1"/>
      <c r="M1326" s="1"/>
    </row>
    <row r="1327" ht="14.25" customHeight="1">
      <c r="A1327" s="1"/>
      <c r="B1327" s="1"/>
      <c r="C1327" s="107"/>
      <c r="D1327" s="184"/>
      <c r="E1327" s="184"/>
      <c r="F1327" s="108"/>
      <c r="G1327" s="1"/>
      <c r="H1327" s="920"/>
      <c r="I1327" s="1"/>
      <c r="J1327" s="1"/>
      <c r="K1327" s="1"/>
      <c r="L1327" s="1"/>
      <c r="M1327" s="1"/>
    </row>
    <row r="1328" ht="14.25" customHeight="1">
      <c r="A1328" s="1"/>
      <c r="B1328" s="1"/>
      <c r="C1328" s="107"/>
      <c r="D1328" s="184"/>
      <c r="E1328" s="184"/>
      <c r="F1328" s="108"/>
      <c r="G1328" s="1"/>
      <c r="H1328" s="920"/>
      <c r="I1328" s="1"/>
      <c r="J1328" s="1"/>
      <c r="K1328" s="1"/>
      <c r="L1328" s="1"/>
      <c r="M1328" s="1"/>
    </row>
    <row r="1329" ht="14.25" customHeight="1">
      <c r="A1329" s="1"/>
      <c r="B1329" s="1"/>
      <c r="C1329" s="107"/>
      <c r="D1329" s="184"/>
      <c r="E1329" s="184"/>
      <c r="F1329" s="108"/>
      <c r="G1329" s="1"/>
      <c r="H1329" s="920"/>
      <c r="I1329" s="1"/>
      <c r="J1329" s="1"/>
      <c r="K1329" s="1"/>
      <c r="L1329" s="1"/>
      <c r="M1329" s="1"/>
    </row>
    <row r="1330" ht="14.25" customHeight="1">
      <c r="A1330" s="1"/>
      <c r="B1330" s="1"/>
      <c r="C1330" s="107"/>
      <c r="D1330" s="184"/>
      <c r="E1330" s="184"/>
      <c r="F1330" s="108"/>
      <c r="G1330" s="1"/>
      <c r="H1330" s="920"/>
      <c r="I1330" s="1"/>
      <c r="J1330" s="1"/>
      <c r="K1330" s="1"/>
      <c r="L1330" s="1"/>
      <c r="M1330" s="1"/>
    </row>
    <row r="1331" ht="14.25" customHeight="1">
      <c r="A1331" s="1"/>
      <c r="B1331" s="1"/>
      <c r="C1331" s="107"/>
      <c r="D1331" s="184"/>
      <c r="E1331" s="184"/>
      <c r="F1331" s="108"/>
      <c r="G1331" s="1"/>
      <c r="H1331" s="920"/>
      <c r="I1331" s="1"/>
      <c r="J1331" s="1"/>
      <c r="K1331" s="1"/>
      <c r="L1331" s="1"/>
      <c r="M1331" s="1"/>
    </row>
    <row r="1332" ht="14.25" customHeight="1">
      <c r="A1332" s="1"/>
      <c r="B1332" s="1"/>
      <c r="C1332" s="107"/>
      <c r="D1332" s="184"/>
      <c r="E1332" s="184"/>
      <c r="F1332" s="108"/>
      <c r="G1332" s="1"/>
      <c r="H1332" s="920"/>
      <c r="I1332" s="1"/>
      <c r="J1332" s="1"/>
      <c r="K1332" s="1"/>
      <c r="L1332" s="1"/>
      <c r="M1332" s="1"/>
    </row>
    <row r="1333" ht="14.25" customHeight="1">
      <c r="A1333" s="1"/>
      <c r="B1333" s="1"/>
      <c r="C1333" s="107"/>
      <c r="D1333" s="184"/>
      <c r="E1333" s="184"/>
      <c r="F1333" s="108"/>
      <c r="G1333" s="1"/>
      <c r="H1333" s="920"/>
      <c r="I1333" s="1"/>
      <c r="J1333" s="1"/>
      <c r="K1333" s="1"/>
      <c r="L1333" s="1"/>
      <c r="M1333" s="1"/>
    </row>
    <row r="1334" ht="14.25" customHeight="1">
      <c r="A1334" s="1"/>
      <c r="B1334" s="1"/>
      <c r="C1334" s="107"/>
      <c r="D1334" s="184"/>
      <c r="E1334" s="184"/>
      <c r="F1334" s="108"/>
      <c r="G1334" s="1"/>
      <c r="H1334" s="920"/>
      <c r="I1334" s="1"/>
      <c r="J1334" s="1"/>
      <c r="K1334" s="1"/>
      <c r="L1334" s="1"/>
      <c r="M1334" s="1"/>
    </row>
    <row r="1335" ht="14.25" customHeight="1">
      <c r="A1335" s="1"/>
      <c r="B1335" s="1"/>
      <c r="C1335" s="107"/>
      <c r="D1335" s="184"/>
      <c r="E1335" s="184"/>
      <c r="F1335" s="108"/>
      <c r="G1335" s="1"/>
      <c r="H1335" s="920"/>
      <c r="I1335" s="1"/>
      <c r="J1335" s="1"/>
      <c r="K1335" s="1"/>
      <c r="L1335" s="1"/>
      <c r="M1335" s="1"/>
    </row>
    <row r="1336" ht="14.25" customHeight="1">
      <c r="A1336" s="1"/>
      <c r="B1336" s="1"/>
      <c r="C1336" s="107"/>
      <c r="D1336" s="184"/>
      <c r="E1336" s="184"/>
      <c r="F1336" s="108"/>
      <c r="G1336" s="1"/>
      <c r="H1336" s="920"/>
      <c r="I1336" s="1"/>
      <c r="J1336" s="1"/>
      <c r="K1336" s="1"/>
      <c r="L1336" s="1"/>
      <c r="M1336" s="1"/>
    </row>
    <row r="1337" ht="14.25" customHeight="1">
      <c r="A1337" s="1"/>
      <c r="B1337" s="1"/>
      <c r="C1337" s="107"/>
      <c r="D1337" s="184"/>
      <c r="E1337" s="184"/>
      <c r="F1337" s="108"/>
      <c r="G1337" s="1"/>
      <c r="H1337" s="920"/>
      <c r="I1337" s="1"/>
      <c r="J1337" s="1"/>
      <c r="K1337" s="1"/>
      <c r="L1337" s="1"/>
      <c r="M1337" s="1"/>
    </row>
    <row r="1338" ht="14.25" customHeight="1">
      <c r="A1338" s="1"/>
      <c r="B1338" s="1"/>
      <c r="C1338" s="107"/>
      <c r="D1338" s="184"/>
      <c r="E1338" s="184"/>
      <c r="F1338" s="108"/>
      <c r="G1338" s="1"/>
      <c r="H1338" s="920"/>
      <c r="I1338" s="1"/>
      <c r="J1338" s="1"/>
      <c r="K1338" s="1"/>
      <c r="L1338" s="1"/>
      <c r="M1338" s="1"/>
    </row>
    <row r="1339" ht="14.25" customHeight="1">
      <c r="A1339" s="1"/>
      <c r="B1339" s="1"/>
      <c r="C1339" s="107"/>
      <c r="D1339" s="184"/>
      <c r="E1339" s="184"/>
      <c r="F1339" s="108"/>
      <c r="G1339" s="1"/>
      <c r="H1339" s="920"/>
      <c r="I1339" s="1"/>
      <c r="J1339" s="1"/>
      <c r="K1339" s="1"/>
      <c r="L1339" s="1"/>
      <c r="M1339" s="1"/>
    </row>
    <row r="1340" ht="14.25" customHeight="1">
      <c r="A1340" s="1"/>
      <c r="B1340" s="1"/>
      <c r="C1340" s="107"/>
      <c r="D1340" s="184"/>
      <c r="E1340" s="184"/>
      <c r="F1340" s="108"/>
      <c r="G1340" s="1"/>
      <c r="H1340" s="920"/>
      <c r="I1340" s="1"/>
      <c r="J1340" s="1"/>
      <c r="K1340" s="1"/>
      <c r="L1340" s="1"/>
      <c r="M1340" s="1"/>
    </row>
    <row r="1341" ht="14.25" customHeight="1">
      <c r="A1341" s="1"/>
      <c r="B1341" s="1"/>
      <c r="C1341" s="107"/>
      <c r="D1341" s="184"/>
      <c r="E1341" s="184"/>
      <c r="F1341" s="108"/>
      <c r="G1341" s="1"/>
      <c r="H1341" s="920"/>
      <c r="I1341" s="1"/>
      <c r="J1341" s="1"/>
      <c r="K1341" s="1"/>
      <c r="L1341" s="1"/>
      <c r="M1341" s="1"/>
    </row>
    <row r="1342" ht="14.25" customHeight="1">
      <c r="A1342" s="1"/>
      <c r="B1342" s="1"/>
      <c r="C1342" s="107"/>
      <c r="D1342" s="184"/>
      <c r="E1342" s="184"/>
      <c r="F1342" s="108"/>
      <c r="G1342" s="1"/>
      <c r="H1342" s="920"/>
      <c r="I1342" s="1"/>
      <c r="J1342" s="1"/>
      <c r="K1342" s="1"/>
      <c r="L1342" s="1"/>
      <c r="M1342" s="1"/>
    </row>
    <row r="1343" ht="14.25" customHeight="1">
      <c r="A1343" s="1"/>
      <c r="B1343" s="1"/>
      <c r="C1343" s="107"/>
      <c r="D1343" s="184"/>
      <c r="E1343" s="184"/>
      <c r="F1343" s="108"/>
      <c r="G1343" s="1"/>
      <c r="H1343" s="920"/>
      <c r="I1343" s="1"/>
      <c r="J1343" s="1"/>
      <c r="K1343" s="1"/>
      <c r="L1343" s="1"/>
      <c r="M1343" s="1"/>
    </row>
    <row r="1344" ht="14.25" customHeight="1">
      <c r="A1344" s="1"/>
      <c r="B1344" s="1"/>
      <c r="C1344" s="107"/>
      <c r="D1344" s="184"/>
      <c r="E1344" s="184"/>
      <c r="F1344" s="108"/>
      <c r="G1344" s="1"/>
      <c r="H1344" s="920"/>
      <c r="I1344" s="1"/>
      <c r="J1344" s="1"/>
      <c r="K1344" s="1"/>
      <c r="L1344" s="1"/>
      <c r="M1344" s="1"/>
    </row>
    <row r="1345" ht="14.25" customHeight="1">
      <c r="A1345" s="1"/>
      <c r="B1345" s="1"/>
      <c r="C1345" s="107"/>
      <c r="D1345" s="184"/>
      <c r="E1345" s="184"/>
      <c r="F1345" s="108"/>
      <c r="G1345" s="1"/>
      <c r="H1345" s="920"/>
      <c r="I1345" s="1"/>
      <c r="J1345" s="1"/>
      <c r="K1345" s="1"/>
      <c r="L1345" s="1"/>
      <c r="M1345" s="1"/>
    </row>
    <row r="1346" ht="14.25" customHeight="1">
      <c r="A1346" s="1"/>
      <c r="B1346" s="1"/>
      <c r="C1346" s="107"/>
      <c r="D1346" s="184"/>
      <c r="E1346" s="184"/>
      <c r="F1346" s="108"/>
      <c r="G1346" s="1"/>
      <c r="H1346" s="920"/>
      <c r="I1346" s="1"/>
      <c r="J1346" s="1"/>
      <c r="K1346" s="1"/>
      <c r="L1346" s="1"/>
      <c r="M1346" s="1"/>
    </row>
    <row r="1347" ht="14.25" customHeight="1">
      <c r="A1347" s="1"/>
      <c r="B1347" s="1"/>
      <c r="C1347" s="107"/>
      <c r="D1347" s="184"/>
      <c r="E1347" s="184"/>
      <c r="F1347" s="108"/>
      <c r="G1347" s="1"/>
      <c r="H1347" s="920"/>
      <c r="I1347" s="1"/>
      <c r="J1347" s="1"/>
      <c r="K1347" s="1"/>
      <c r="L1347" s="1"/>
      <c r="M1347" s="1"/>
    </row>
    <row r="1348" ht="14.25" customHeight="1">
      <c r="A1348" s="1"/>
      <c r="B1348" s="1"/>
      <c r="C1348" s="107"/>
      <c r="D1348" s="184"/>
      <c r="E1348" s="184"/>
      <c r="F1348" s="108"/>
      <c r="G1348" s="1"/>
      <c r="H1348" s="920"/>
      <c r="I1348" s="1"/>
      <c r="J1348" s="1"/>
      <c r="K1348" s="1"/>
      <c r="L1348" s="1"/>
      <c r="M1348" s="1"/>
    </row>
    <row r="1349" ht="14.25" customHeight="1">
      <c r="A1349" s="1"/>
      <c r="B1349" s="1"/>
      <c r="C1349" s="107"/>
      <c r="D1349" s="184"/>
      <c r="E1349" s="184"/>
      <c r="F1349" s="108"/>
      <c r="G1349" s="1"/>
      <c r="H1349" s="920"/>
      <c r="I1349" s="1"/>
      <c r="J1349" s="1"/>
      <c r="K1349" s="1"/>
      <c r="L1349" s="1"/>
      <c r="M1349" s="1"/>
    </row>
    <row r="1350" ht="14.25" customHeight="1">
      <c r="A1350" s="1"/>
      <c r="B1350" s="1"/>
      <c r="C1350" s="107"/>
      <c r="D1350" s="184"/>
      <c r="E1350" s="184"/>
      <c r="F1350" s="108"/>
      <c r="G1350" s="1"/>
      <c r="H1350" s="920"/>
      <c r="I1350" s="1"/>
      <c r="J1350" s="1"/>
      <c r="K1350" s="1"/>
      <c r="L1350" s="1"/>
      <c r="M1350" s="1"/>
    </row>
    <row r="1351" ht="14.25" customHeight="1">
      <c r="A1351" s="1"/>
      <c r="B1351" s="1"/>
      <c r="C1351" s="107"/>
      <c r="D1351" s="184"/>
      <c r="E1351" s="184"/>
      <c r="F1351" s="108"/>
      <c r="G1351" s="1"/>
      <c r="H1351" s="920"/>
      <c r="I1351" s="1"/>
      <c r="J1351" s="1"/>
      <c r="K1351" s="1"/>
      <c r="L1351" s="1"/>
      <c r="M1351" s="1"/>
    </row>
    <row r="1352" ht="14.25" customHeight="1">
      <c r="A1352" s="1"/>
      <c r="B1352" s="1"/>
      <c r="C1352" s="107"/>
      <c r="D1352" s="184"/>
      <c r="E1352" s="184"/>
      <c r="F1352" s="108"/>
      <c r="G1352" s="1"/>
      <c r="H1352" s="920"/>
      <c r="I1352" s="1"/>
      <c r="J1352" s="1"/>
      <c r="K1352" s="1"/>
      <c r="L1352" s="1"/>
      <c r="M1352" s="1"/>
    </row>
    <row r="1353" ht="14.25" customHeight="1">
      <c r="A1353" s="1"/>
      <c r="B1353" s="1"/>
      <c r="C1353" s="107"/>
      <c r="D1353" s="184"/>
      <c r="E1353" s="184"/>
      <c r="F1353" s="108"/>
      <c r="G1353" s="1"/>
      <c r="H1353" s="920"/>
      <c r="I1353" s="1"/>
      <c r="J1353" s="1"/>
      <c r="K1353" s="1"/>
      <c r="L1353" s="1"/>
      <c r="M1353" s="1"/>
    </row>
    <row r="1354" ht="14.25" customHeight="1">
      <c r="A1354" s="1"/>
      <c r="B1354" s="1"/>
      <c r="C1354" s="107"/>
      <c r="D1354" s="184"/>
      <c r="E1354" s="184"/>
      <c r="F1354" s="108"/>
      <c r="G1354" s="1"/>
      <c r="H1354" s="920"/>
      <c r="I1354" s="1"/>
      <c r="J1354" s="1"/>
      <c r="K1354" s="1"/>
      <c r="L1354" s="1"/>
      <c r="M1354" s="1"/>
    </row>
    <row r="1355" ht="14.25" customHeight="1">
      <c r="A1355" s="1"/>
      <c r="B1355" s="1"/>
      <c r="C1355" s="107"/>
      <c r="D1355" s="184"/>
      <c r="E1355" s="184"/>
      <c r="F1355" s="108"/>
      <c r="G1355" s="1"/>
      <c r="H1355" s="920"/>
      <c r="I1355" s="1"/>
      <c r="J1355" s="1"/>
      <c r="K1355" s="1"/>
      <c r="L1355" s="1"/>
      <c r="M1355" s="1"/>
    </row>
    <row r="1356" ht="14.25" customHeight="1">
      <c r="A1356" s="1"/>
      <c r="B1356" s="1"/>
      <c r="C1356" s="107"/>
      <c r="D1356" s="184"/>
      <c r="E1356" s="184"/>
      <c r="F1356" s="108"/>
      <c r="G1356" s="1"/>
      <c r="H1356" s="920"/>
      <c r="I1356" s="1"/>
      <c r="J1356" s="1"/>
      <c r="K1356" s="1"/>
      <c r="L1356" s="1"/>
      <c r="M1356" s="1"/>
    </row>
    <row r="1357" ht="14.25" customHeight="1">
      <c r="A1357" s="1"/>
      <c r="B1357" s="1"/>
      <c r="C1357" s="107"/>
      <c r="D1357" s="184"/>
      <c r="E1357" s="184"/>
      <c r="F1357" s="108"/>
      <c r="G1357" s="1"/>
      <c r="H1357" s="920"/>
      <c r="I1357" s="1"/>
      <c r="J1357" s="1"/>
      <c r="K1357" s="1"/>
      <c r="L1357" s="1"/>
      <c r="M1357" s="1"/>
    </row>
    <row r="1358" ht="14.25" customHeight="1">
      <c r="A1358" s="1"/>
      <c r="B1358" s="1"/>
      <c r="C1358" s="107"/>
      <c r="D1358" s="184"/>
      <c r="E1358" s="184"/>
      <c r="F1358" s="108"/>
      <c r="G1358" s="1"/>
      <c r="H1358" s="920"/>
      <c r="I1358" s="1"/>
      <c r="J1358" s="1"/>
      <c r="K1358" s="1"/>
      <c r="L1358" s="1"/>
      <c r="M1358" s="1"/>
    </row>
    <row r="1359" ht="14.25" customHeight="1">
      <c r="A1359" s="1"/>
      <c r="B1359" s="1"/>
      <c r="C1359" s="107"/>
      <c r="D1359" s="184"/>
      <c r="E1359" s="184"/>
      <c r="F1359" s="108"/>
      <c r="G1359" s="1"/>
      <c r="H1359" s="920"/>
      <c r="I1359" s="1"/>
      <c r="J1359" s="1"/>
      <c r="K1359" s="1"/>
      <c r="L1359" s="1"/>
      <c r="M1359" s="1"/>
    </row>
    <row r="1360" ht="14.25" customHeight="1">
      <c r="A1360" s="1"/>
      <c r="B1360" s="1"/>
      <c r="C1360" s="107"/>
      <c r="D1360" s="184"/>
      <c r="E1360" s="184"/>
      <c r="F1360" s="108"/>
      <c r="G1360" s="1"/>
      <c r="H1360" s="920"/>
      <c r="I1360" s="1"/>
      <c r="J1360" s="1"/>
      <c r="K1360" s="1"/>
      <c r="L1360" s="1"/>
      <c r="M1360" s="1"/>
    </row>
    <row r="1361" ht="14.25" customHeight="1">
      <c r="A1361" s="1"/>
      <c r="B1361" s="1"/>
      <c r="C1361" s="107"/>
      <c r="D1361" s="184"/>
      <c r="E1361" s="184"/>
      <c r="F1361" s="108"/>
      <c r="G1361" s="1"/>
      <c r="H1361" s="920"/>
      <c r="I1361" s="1"/>
      <c r="J1361" s="1"/>
      <c r="K1361" s="1"/>
      <c r="L1361" s="1"/>
      <c r="M1361" s="1"/>
    </row>
    <row r="1362" ht="14.25" customHeight="1">
      <c r="A1362" s="1"/>
      <c r="B1362" s="1"/>
      <c r="C1362" s="107"/>
      <c r="D1362" s="184"/>
      <c r="E1362" s="184"/>
      <c r="F1362" s="108"/>
      <c r="G1362" s="1"/>
      <c r="H1362" s="920"/>
      <c r="I1362" s="1"/>
      <c r="J1362" s="1"/>
      <c r="K1362" s="1"/>
      <c r="L1362" s="1"/>
      <c r="M1362" s="1"/>
    </row>
    <row r="1363" ht="14.25" customHeight="1">
      <c r="A1363" s="1"/>
      <c r="B1363" s="1"/>
      <c r="C1363" s="107"/>
      <c r="D1363" s="184"/>
      <c r="E1363" s="184"/>
      <c r="F1363" s="108"/>
      <c r="G1363" s="1"/>
      <c r="H1363" s="920"/>
      <c r="I1363" s="1"/>
      <c r="J1363" s="1"/>
      <c r="K1363" s="1"/>
      <c r="L1363" s="1"/>
      <c r="M1363" s="1"/>
    </row>
    <row r="1364" ht="14.25" customHeight="1">
      <c r="A1364" s="1"/>
      <c r="B1364" s="1"/>
      <c r="C1364" s="107"/>
      <c r="D1364" s="184"/>
      <c r="E1364" s="184"/>
      <c r="F1364" s="108"/>
      <c r="G1364" s="1"/>
      <c r="H1364" s="920"/>
      <c r="I1364" s="1"/>
      <c r="J1364" s="1"/>
      <c r="K1364" s="1"/>
      <c r="L1364" s="1"/>
      <c r="M1364" s="1"/>
    </row>
    <row r="1365" ht="14.25" customHeight="1">
      <c r="A1365" s="1"/>
      <c r="B1365" s="1"/>
      <c r="C1365" s="107"/>
      <c r="D1365" s="184"/>
      <c r="E1365" s="184"/>
      <c r="F1365" s="108"/>
      <c r="G1365" s="1"/>
      <c r="H1365" s="920"/>
      <c r="I1365" s="1"/>
      <c r="J1365" s="1"/>
      <c r="K1365" s="1"/>
      <c r="L1365" s="1"/>
      <c r="M1365" s="1"/>
    </row>
    <row r="1366" ht="14.25" customHeight="1">
      <c r="A1366" s="1"/>
      <c r="B1366" s="1"/>
      <c r="C1366" s="107"/>
      <c r="D1366" s="184"/>
      <c r="E1366" s="184"/>
      <c r="F1366" s="108"/>
      <c r="G1366" s="1"/>
      <c r="H1366" s="920"/>
      <c r="I1366" s="1"/>
      <c r="J1366" s="1"/>
      <c r="K1366" s="1"/>
      <c r="L1366" s="1"/>
      <c r="M1366" s="1"/>
    </row>
    <row r="1367" ht="14.25" customHeight="1">
      <c r="A1367" s="1"/>
      <c r="B1367" s="1"/>
      <c r="C1367" s="107"/>
      <c r="D1367" s="184"/>
      <c r="E1367" s="184"/>
      <c r="F1367" s="108"/>
      <c r="G1367" s="1"/>
      <c r="H1367" s="920"/>
      <c r="I1367" s="1"/>
      <c r="J1367" s="1"/>
      <c r="K1367" s="1"/>
      <c r="L1367" s="1"/>
      <c r="M1367" s="1"/>
    </row>
    <row r="1368" ht="14.25" customHeight="1">
      <c r="A1368" s="1"/>
      <c r="B1368" s="1"/>
      <c r="C1368" s="107"/>
      <c r="D1368" s="184"/>
      <c r="E1368" s="184"/>
      <c r="F1368" s="108"/>
      <c r="G1368" s="1"/>
      <c r="H1368" s="920"/>
      <c r="I1368" s="1"/>
      <c r="J1368" s="1"/>
      <c r="K1368" s="1"/>
      <c r="L1368" s="1"/>
      <c r="M1368" s="1"/>
    </row>
    <row r="1369" ht="14.25" customHeight="1">
      <c r="A1369" s="1"/>
      <c r="B1369" s="1"/>
      <c r="C1369" s="107"/>
      <c r="D1369" s="184"/>
      <c r="E1369" s="184"/>
      <c r="F1369" s="108"/>
      <c r="G1369" s="1"/>
      <c r="H1369" s="920"/>
      <c r="I1369" s="1"/>
      <c r="J1369" s="1"/>
      <c r="K1369" s="1"/>
      <c r="L1369" s="1"/>
      <c r="M1369" s="1"/>
    </row>
    <row r="1370" ht="14.25" customHeight="1">
      <c r="A1370" s="1"/>
      <c r="B1370" s="1"/>
      <c r="C1370" s="107"/>
      <c r="D1370" s="184"/>
      <c r="E1370" s="184"/>
      <c r="F1370" s="108"/>
      <c r="G1370" s="1"/>
      <c r="H1370" s="920"/>
      <c r="I1370" s="1"/>
      <c r="J1370" s="1"/>
      <c r="K1370" s="1"/>
      <c r="L1370" s="1"/>
      <c r="M1370" s="1"/>
    </row>
    <row r="1371" ht="14.25" customHeight="1">
      <c r="A1371" s="1"/>
      <c r="B1371" s="1"/>
      <c r="C1371" s="107"/>
      <c r="D1371" s="184"/>
      <c r="E1371" s="184"/>
      <c r="F1371" s="108"/>
      <c r="G1371" s="1"/>
      <c r="H1371" s="920"/>
      <c r="I1371" s="1"/>
      <c r="J1371" s="1"/>
      <c r="K1371" s="1"/>
      <c r="L1371" s="1"/>
      <c r="M1371" s="1"/>
    </row>
    <row r="1372" ht="14.25" customHeight="1">
      <c r="A1372" s="1"/>
      <c r="B1372" s="1"/>
      <c r="C1372" s="107"/>
      <c r="D1372" s="184"/>
      <c r="E1372" s="184"/>
      <c r="F1372" s="108"/>
      <c r="G1372" s="1"/>
      <c r="H1372" s="920"/>
      <c r="I1372" s="1"/>
      <c r="J1372" s="1"/>
      <c r="K1372" s="1"/>
      <c r="L1372" s="1"/>
      <c r="M1372" s="1"/>
    </row>
    <row r="1373" ht="14.25" customHeight="1">
      <c r="A1373" s="1"/>
      <c r="B1373" s="1"/>
      <c r="C1373" s="107"/>
      <c r="D1373" s="184"/>
      <c r="E1373" s="184"/>
      <c r="F1373" s="108"/>
      <c r="G1373" s="1"/>
      <c r="H1373" s="920"/>
      <c r="I1373" s="1"/>
      <c r="J1373" s="1"/>
      <c r="K1373" s="1"/>
      <c r="L1373" s="1"/>
      <c r="M1373" s="1"/>
    </row>
    <row r="1374" ht="14.25" customHeight="1">
      <c r="A1374" s="1"/>
      <c r="B1374" s="1"/>
      <c r="C1374" s="107"/>
      <c r="D1374" s="184"/>
      <c r="E1374" s="184"/>
      <c r="F1374" s="108"/>
      <c r="G1374" s="1"/>
      <c r="H1374" s="920"/>
      <c r="I1374" s="1"/>
      <c r="J1374" s="1"/>
      <c r="K1374" s="1"/>
      <c r="L1374" s="1"/>
      <c r="M1374" s="1"/>
    </row>
    <row r="1375" ht="14.25" customHeight="1">
      <c r="A1375" s="1"/>
      <c r="B1375" s="1"/>
      <c r="C1375" s="107"/>
      <c r="D1375" s="184"/>
      <c r="E1375" s="184"/>
      <c r="F1375" s="108"/>
      <c r="G1375" s="1"/>
      <c r="H1375" s="920"/>
      <c r="I1375" s="1"/>
      <c r="J1375" s="1"/>
      <c r="K1375" s="1"/>
      <c r="L1375" s="1"/>
      <c r="M1375" s="1"/>
    </row>
    <row r="1376" ht="14.25" customHeight="1">
      <c r="A1376" s="1"/>
      <c r="B1376" s="1"/>
      <c r="C1376" s="107"/>
      <c r="D1376" s="184"/>
      <c r="E1376" s="184"/>
      <c r="F1376" s="108"/>
      <c r="G1376" s="1"/>
      <c r="H1376" s="920"/>
      <c r="I1376" s="1"/>
      <c r="J1376" s="1"/>
      <c r="K1376" s="1"/>
      <c r="L1376" s="1"/>
      <c r="M1376" s="1"/>
    </row>
    <row r="1377" ht="14.25" customHeight="1">
      <c r="A1377" s="1"/>
      <c r="B1377" s="1"/>
      <c r="C1377" s="107"/>
      <c r="D1377" s="184"/>
      <c r="E1377" s="184"/>
      <c r="F1377" s="108"/>
      <c r="G1377" s="1"/>
      <c r="H1377" s="920"/>
      <c r="I1377" s="1"/>
      <c r="J1377" s="1"/>
      <c r="K1377" s="1"/>
      <c r="L1377" s="1"/>
      <c r="M1377" s="1"/>
    </row>
    <row r="1378" ht="14.25" customHeight="1">
      <c r="A1378" s="1"/>
      <c r="B1378" s="1"/>
      <c r="C1378" s="107"/>
      <c r="D1378" s="184"/>
      <c r="E1378" s="184"/>
      <c r="F1378" s="108"/>
      <c r="G1378" s="1"/>
      <c r="H1378" s="920"/>
      <c r="I1378" s="1"/>
      <c r="J1378" s="1"/>
      <c r="K1378" s="1"/>
      <c r="L1378" s="1"/>
      <c r="M1378" s="1"/>
    </row>
    <row r="1379" ht="14.25" customHeight="1">
      <c r="A1379" s="1"/>
      <c r="B1379" s="1"/>
      <c r="C1379" s="107"/>
      <c r="D1379" s="184"/>
      <c r="E1379" s="184"/>
      <c r="F1379" s="108"/>
      <c r="G1379" s="1"/>
      <c r="H1379" s="920"/>
      <c r="I1379" s="1"/>
      <c r="J1379" s="1"/>
      <c r="K1379" s="1"/>
      <c r="L1379" s="1"/>
      <c r="M1379" s="1"/>
    </row>
    <row r="1380" ht="14.25" customHeight="1">
      <c r="A1380" s="1"/>
      <c r="B1380" s="1"/>
      <c r="C1380" s="107"/>
      <c r="D1380" s="184"/>
      <c r="E1380" s="184"/>
      <c r="F1380" s="108"/>
      <c r="G1380" s="1"/>
      <c r="H1380" s="920"/>
      <c r="I1380" s="1"/>
      <c r="J1380" s="1"/>
      <c r="K1380" s="1"/>
      <c r="L1380" s="1"/>
      <c r="M1380" s="1"/>
    </row>
    <row r="1381" ht="14.25" customHeight="1">
      <c r="A1381" s="1"/>
      <c r="B1381" s="1"/>
      <c r="C1381" s="107"/>
      <c r="D1381" s="184"/>
      <c r="E1381" s="184"/>
      <c r="F1381" s="108"/>
      <c r="G1381" s="1"/>
      <c r="H1381" s="920"/>
      <c r="I1381" s="1"/>
      <c r="J1381" s="1"/>
      <c r="K1381" s="1"/>
      <c r="L1381" s="1"/>
      <c r="M1381" s="1"/>
    </row>
    <row r="1382" ht="14.25" customHeight="1">
      <c r="A1382" s="1"/>
      <c r="B1382" s="1"/>
      <c r="C1382" s="107"/>
      <c r="D1382" s="184"/>
      <c r="E1382" s="184"/>
      <c r="F1382" s="108"/>
      <c r="G1382" s="1"/>
      <c r="H1382" s="920"/>
      <c r="I1382" s="1"/>
      <c r="J1382" s="1"/>
      <c r="K1382" s="1"/>
      <c r="L1382" s="1"/>
      <c r="M1382" s="1"/>
    </row>
    <row r="1383" ht="14.25" customHeight="1">
      <c r="A1383" s="1"/>
      <c r="B1383" s="1"/>
      <c r="C1383" s="107"/>
      <c r="D1383" s="184"/>
      <c r="E1383" s="184"/>
      <c r="F1383" s="108"/>
      <c r="G1383" s="1"/>
      <c r="H1383" s="920"/>
      <c r="I1383" s="1"/>
      <c r="J1383" s="1"/>
      <c r="K1383" s="1"/>
      <c r="L1383" s="1"/>
      <c r="M1383" s="1"/>
    </row>
    <row r="1384" ht="14.25" customHeight="1">
      <c r="A1384" s="1"/>
      <c r="B1384" s="1"/>
      <c r="C1384" s="107"/>
      <c r="D1384" s="184"/>
      <c r="E1384" s="184"/>
      <c r="F1384" s="108"/>
      <c r="G1384" s="1"/>
      <c r="H1384" s="920"/>
      <c r="I1384" s="1"/>
      <c r="J1384" s="1"/>
      <c r="K1384" s="1"/>
      <c r="L1384" s="1"/>
      <c r="M1384" s="1"/>
    </row>
    <row r="1385" ht="14.25" customHeight="1">
      <c r="A1385" s="1"/>
      <c r="B1385" s="1"/>
      <c r="C1385" s="107"/>
      <c r="D1385" s="184"/>
      <c r="E1385" s="184"/>
      <c r="F1385" s="108"/>
      <c r="G1385" s="1"/>
      <c r="H1385" s="920"/>
      <c r="I1385" s="1"/>
      <c r="J1385" s="1"/>
      <c r="K1385" s="1"/>
      <c r="L1385" s="1"/>
      <c r="M1385" s="1"/>
    </row>
    <row r="1386" ht="14.25" customHeight="1">
      <c r="A1386" s="1"/>
      <c r="B1386" s="1"/>
      <c r="C1386" s="107"/>
      <c r="D1386" s="184"/>
      <c r="E1386" s="184"/>
      <c r="F1386" s="108"/>
      <c r="G1386" s="1"/>
      <c r="H1386" s="920"/>
      <c r="I1386" s="1"/>
      <c r="J1386" s="1"/>
      <c r="K1386" s="1"/>
      <c r="L1386" s="1"/>
      <c r="M1386" s="1"/>
    </row>
    <row r="1387" ht="14.25" customHeight="1">
      <c r="A1387" s="1"/>
      <c r="B1387" s="1"/>
      <c r="C1387" s="107"/>
      <c r="D1387" s="184"/>
      <c r="E1387" s="184"/>
      <c r="F1387" s="108"/>
      <c r="G1387" s="1"/>
      <c r="H1387" s="920"/>
      <c r="I1387" s="1"/>
      <c r="J1387" s="1"/>
      <c r="K1387" s="1"/>
      <c r="L1387" s="1"/>
      <c r="M1387" s="1"/>
    </row>
    <row r="1388" ht="14.25" customHeight="1">
      <c r="A1388" s="1"/>
      <c r="B1388" s="1"/>
      <c r="C1388" s="107"/>
      <c r="D1388" s="184"/>
      <c r="E1388" s="184"/>
      <c r="F1388" s="108"/>
      <c r="G1388" s="1"/>
      <c r="H1388" s="920"/>
      <c r="I1388" s="1"/>
      <c r="J1388" s="1"/>
      <c r="K1388" s="1"/>
      <c r="L1388" s="1"/>
      <c r="M1388" s="1"/>
    </row>
    <row r="1389" ht="14.25" customHeight="1">
      <c r="A1389" s="1"/>
      <c r="B1389" s="1"/>
      <c r="C1389" s="107"/>
      <c r="D1389" s="184"/>
      <c r="E1389" s="184"/>
      <c r="F1389" s="108"/>
      <c r="G1389" s="1"/>
      <c r="H1389" s="920"/>
      <c r="I1389" s="1"/>
      <c r="J1389" s="1"/>
      <c r="K1389" s="1"/>
      <c r="L1389" s="1"/>
      <c r="M1389" s="1"/>
    </row>
    <row r="1390" ht="14.25" customHeight="1">
      <c r="A1390" s="1"/>
      <c r="B1390" s="1"/>
      <c r="C1390" s="107"/>
      <c r="D1390" s="184"/>
      <c r="E1390" s="184"/>
      <c r="F1390" s="108"/>
      <c r="G1390" s="1"/>
      <c r="H1390" s="920"/>
      <c r="I1390" s="1"/>
      <c r="J1390" s="1"/>
      <c r="K1390" s="1"/>
      <c r="L1390" s="1"/>
      <c r="M1390" s="1"/>
    </row>
    <row r="1391" ht="14.25" customHeight="1">
      <c r="A1391" s="1"/>
      <c r="B1391" s="1"/>
      <c r="C1391" s="107"/>
      <c r="D1391" s="184"/>
      <c r="E1391" s="184"/>
      <c r="F1391" s="108"/>
      <c r="G1391" s="1"/>
      <c r="H1391" s="920"/>
      <c r="I1391" s="1"/>
      <c r="J1391" s="1"/>
      <c r="K1391" s="1"/>
      <c r="L1391" s="1"/>
      <c r="M1391" s="1"/>
    </row>
    <row r="1392" ht="14.25" customHeight="1">
      <c r="A1392" s="1"/>
      <c r="B1392" s="1"/>
      <c r="C1392" s="107"/>
      <c r="D1392" s="184"/>
      <c r="E1392" s="184"/>
      <c r="F1392" s="108"/>
      <c r="G1392" s="1"/>
      <c r="H1392" s="920"/>
      <c r="I1392" s="1"/>
      <c r="J1392" s="1"/>
      <c r="K1392" s="1"/>
      <c r="L1392" s="1"/>
      <c r="M1392" s="1"/>
    </row>
    <row r="1393" ht="14.25" customHeight="1">
      <c r="A1393" s="1"/>
      <c r="B1393" s="1"/>
      <c r="C1393" s="107"/>
      <c r="D1393" s="184"/>
      <c r="E1393" s="184"/>
      <c r="F1393" s="108"/>
      <c r="G1393" s="1"/>
      <c r="H1393" s="920"/>
      <c r="I1393" s="1"/>
      <c r="J1393" s="1"/>
      <c r="K1393" s="1"/>
      <c r="L1393" s="1"/>
      <c r="M1393" s="1"/>
    </row>
    <row r="1394" ht="14.25" customHeight="1">
      <c r="A1394" s="1"/>
      <c r="B1394" s="1"/>
      <c r="C1394" s="107"/>
      <c r="D1394" s="184"/>
      <c r="E1394" s="184"/>
      <c r="F1394" s="108"/>
      <c r="G1394" s="1"/>
      <c r="H1394" s="920"/>
      <c r="I1394" s="1"/>
      <c r="J1394" s="1"/>
      <c r="K1394" s="1"/>
      <c r="L1394" s="1"/>
      <c r="M1394" s="1"/>
    </row>
    <row r="1395" ht="14.25" customHeight="1">
      <c r="A1395" s="1"/>
      <c r="B1395" s="1"/>
      <c r="C1395" s="107"/>
      <c r="D1395" s="184"/>
      <c r="E1395" s="184"/>
      <c r="F1395" s="108"/>
      <c r="G1395" s="1"/>
      <c r="H1395" s="920"/>
      <c r="I1395" s="1"/>
      <c r="J1395" s="1"/>
      <c r="K1395" s="1"/>
      <c r="L1395" s="1"/>
      <c r="M1395" s="1"/>
    </row>
    <row r="1396" ht="14.25" customHeight="1">
      <c r="A1396" s="1"/>
      <c r="B1396" s="1"/>
      <c r="C1396" s="107"/>
      <c r="D1396" s="184"/>
      <c r="E1396" s="184"/>
      <c r="F1396" s="108"/>
      <c r="G1396" s="1"/>
      <c r="H1396" s="920"/>
      <c r="I1396" s="1"/>
      <c r="J1396" s="1"/>
      <c r="K1396" s="1"/>
      <c r="L1396" s="1"/>
      <c r="M1396" s="1"/>
    </row>
    <row r="1397" ht="14.25" customHeight="1">
      <c r="A1397" s="1"/>
      <c r="B1397" s="1"/>
      <c r="C1397" s="107"/>
      <c r="D1397" s="184"/>
      <c r="E1397" s="184"/>
      <c r="F1397" s="108"/>
      <c r="G1397" s="1"/>
      <c r="H1397" s="920"/>
      <c r="I1397" s="1"/>
      <c r="J1397" s="1"/>
      <c r="K1397" s="1"/>
      <c r="L1397" s="1"/>
      <c r="M1397" s="1"/>
    </row>
    <row r="1398" ht="14.25" customHeight="1">
      <c r="A1398" s="1"/>
      <c r="B1398" s="1"/>
      <c r="C1398" s="107"/>
      <c r="D1398" s="184"/>
      <c r="E1398" s="184"/>
      <c r="F1398" s="108"/>
      <c r="G1398" s="1"/>
      <c r="H1398" s="920"/>
      <c r="I1398" s="1"/>
      <c r="J1398" s="1"/>
      <c r="K1398" s="1"/>
      <c r="L1398" s="1"/>
      <c r="M1398" s="1"/>
    </row>
    <row r="1399" ht="14.25" customHeight="1">
      <c r="A1399" s="1"/>
      <c r="B1399" s="1"/>
      <c r="C1399" s="107"/>
      <c r="D1399" s="184"/>
      <c r="E1399" s="184"/>
      <c r="F1399" s="108"/>
      <c r="G1399" s="1"/>
      <c r="H1399" s="920"/>
      <c r="I1399" s="1"/>
      <c r="J1399" s="1"/>
      <c r="K1399" s="1"/>
      <c r="L1399" s="1"/>
      <c r="M1399" s="1"/>
    </row>
    <row r="1400" ht="14.25" customHeight="1">
      <c r="A1400" s="1"/>
      <c r="B1400" s="1"/>
      <c r="C1400" s="107"/>
      <c r="D1400" s="184"/>
      <c r="E1400" s="184"/>
      <c r="F1400" s="108"/>
      <c r="G1400" s="1"/>
      <c r="H1400" s="920"/>
      <c r="I1400" s="1"/>
      <c r="J1400" s="1"/>
      <c r="K1400" s="1"/>
      <c r="L1400" s="1"/>
      <c r="M1400" s="1"/>
    </row>
    <row r="1401" ht="14.25" customHeight="1">
      <c r="A1401" s="1"/>
      <c r="B1401" s="1"/>
      <c r="C1401" s="107"/>
      <c r="D1401" s="184"/>
      <c r="E1401" s="184"/>
      <c r="F1401" s="108"/>
      <c r="G1401" s="1"/>
      <c r="H1401" s="920"/>
      <c r="I1401" s="1"/>
      <c r="J1401" s="1"/>
      <c r="K1401" s="1"/>
      <c r="L1401" s="1"/>
      <c r="M1401" s="1"/>
    </row>
    <row r="1402" ht="14.25" customHeight="1">
      <c r="A1402" s="1"/>
      <c r="B1402" s="1"/>
      <c r="C1402" s="107"/>
      <c r="D1402" s="184"/>
      <c r="E1402" s="184"/>
      <c r="F1402" s="108"/>
      <c r="G1402" s="1"/>
      <c r="H1402" s="920"/>
      <c r="I1402" s="1"/>
      <c r="J1402" s="1"/>
      <c r="K1402" s="1"/>
      <c r="L1402" s="1"/>
      <c r="M1402" s="1"/>
    </row>
    <row r="1403" ht="14.25" customHeight="1">
      <c r="A1403" s="1"/>
      <c r="B1403" s="1"/>
      <c r="C1403" s="107"/>
      <c r="D1403" s="184"/>
      <c r="E1403" s="184"/>
      <c r="F1403" s="108"/>
      <c r="G1403" s="1"/>
      <c r="H1403" s="920"/>
      <c r="I1403" s="1"/>
      <c r="J1403" s="1"/>
      <c r="K1403" s="1"/>
      <c r="L1403" s="1"/>
      <c r="M1403" s="1"/>
    </row>
    <row r="1404" ht="14.25" customHeight="1">
      <c r="A1404" s="1"/>
      <c r="B1404" s="1"/>
      <c r="C1404" s="107"/>
      <c r="D1404" s="184"/>
      <c r="E1404" s="184"/>
      <c r="F1404" s="108"/>
      <c r="G1404" s="1"/>
      <c r="H1404" s="920"/>
      <c r="I1404" s="1"/>
      <c r="J1404" s="1"/>
      <c r="K1404" s="1"/>
      <c r="L1404" s="1"/>
      <c r="M1404" s="1"/>
    </row>
    <row r="1405" ht="14.25" customHeight="1">
      <c r="A1405" s="1"/>
      <c r="B1405" s="1"/>
      <c r="C1405" s="107"/>
      <c r="D1405" s="184"/>
      <c r="E1405" s="184"/>
      <c r="F1405" s="108"/>
      <c r="G1405" s="1"/>
      <c r="H1405" s="920"/>
      <c r="I1405" s="1"/>
      <c r="J1405" s="1"/>
      <c r="K1405" s="1"/>
      <c r="L1405" s="1"/>
      <c r="M1405" s="1"/>
    </row>
    <row r="1406" ht="14.25" customHeight="1">
      <c r="A1406" s="1"/>
      <c r="B1406" s="1"/>
      <c r="C1406" s="107"/>
      <c r="D1406" s="184"/>
      <c r="E1406" s="184"/>
      <c r="F1406" s="108"/>
      <c r="G1406" s="1"/>
      <c r="H1406" s="920"/>
      <c r="I1406" s="1"/>
      <c r="J1406" s="1"/>
      <c r="K1406" s="1"/>
      <c r="L1406" s="1"/>
      <c r="M1406" s="1"/>
    </row>
    <row r="1407" ht="14.25" customHeight="1">
      <c r="A1407" s="1"/>
      <c r="B1407" s="1"/>
      <c r="C1407" s="107"/>
      <c r="D1407" s="184"/>
      <c r="E1407" s="184"/>
      <c r="F1407" s="108"/>
      <c r="G1407" s="1"/>
      <c r="H1407" s="920"/>
      <c r="I1407" s="1"/>
      <c r="J1407" s="1"/>
      <c r="K1407" s="1"/>
      <c r="L1407" s="1"/>
      <c r="M1407" s="1"/>
    </row>
    <row r="1408" ht="14.25" customHeight="1">
      <c r="A1408" s="1"/>
      <c r="B1408" s="1"/>
      <c r="C1408" s="107"/>
      <c r="D1408" s="184"/>
      <c r="E1408" s="184"/>
      <c r="F1408" s="108"/>
      <c r="G1408" s="1"/>
      <c r="H1408" s="920"/>
      <c r="I1408" s="1"/>
      <c r="J1408" s="1"/>
      <c r="K1408" s="1"/>
      <c r="L1408" s="1"/>
      <c r="M1408" s="1"/>
    </row>
    <row r="1409" ht="14.25" customHeight="1">
      <c r="A1409" s="1"/>
      <c r="B1409" s="1"/>
      <c r="C1409" s="107"/>
      <c r="D1409" s="184"/>
      <c r="E1409" s="184"/>
      <c r="F1409" s="108"/>
      <c r="G1409" s="1"/>
      <c r="H1409" s="920"/>
      <c r="I1409" s="1"/>
      <c r="J1409" s="1"/>
      <c r="K1409" s="1"/>
      <c r="L1409" s="1"/>
      <c r="M1409" s="1"/>
    </row>
    <row r="1410" ht="14.25" customHeight="1">
      <c r="A1410" s="1"/>
      <c r="B1410" s="1"/>
      <c r="C1410" s="107"/>
      <c r="D1410" s="184"/>
      <c r="E1410" s="184"/>
      <c r="F1410" s="108"/>
      <c r="G1410" s="1"/>
      <c r="H1410" s="920"/>
      <c r="I1410" s="1"/>
      <c r="J1410" s="1"/>
      <c r="K1410" s="1"/>
      <c r="L1410" s="1"/>
      <c r="M1410" s="1"/>
    </row>
    <row r="1411" ht="14.25" customHeight="1">
      <c r="A1411" s="1"/>
      <c r="B1411" s="1"/>
      <c r="C1411" s="107"/>
      <c r="D1411" s="184"/>
      <c r="E1411" s="184"/>
      <c r="F1411" s="108"/>
      <c r="G1411" s="1"/>
      <c r="H1411" s="920"/>
      <c r="I1411" s="1"/>
      <c r="J1411" s="1"/>
      <c r="K1411" s="1"/>
      <c r="L1411" s="1"/>
      <c r="M1411" s="1"/>
    </row>
    <row r="1412" ht="14.25" customHeight="1">
      <c r="A1412" s="1"/>
      <c r="B1412" s="1"/>
      <c r="C1412" s="107"/>
      <c r="D1412" s="184"/>
      <c r="E1412" s="184"/>
      <c r="F1412" s="108"/>
      <c r="G1412" s="1"/>
      <c r="H1412" s="920"/>
      <c r="I1412" s="1"/>
      <c r="J1412" s="1"/>
      <c r="K1412" s="1"/>
      <c r="L1412" s="1"/>
      <c r="M1412" s="1"/>
    </row>
    <row r="1413" ht="14.25" customHeight="1">
      <c r="A1413" s="1"/>
      <c r="B1413" s="1"/>
      <c r="C1413" s="107"/>
      <c r="D1413" s="184"/>
      <c r="E1413" s="184"/>
      <c r="F1413" s="108"/>
      <c r="G1413" s="1"/>
      <c r="H1413" s="920"/>
      <c r="I1413" s="1"/>
      <c r="J1413" s="1"/>
      <c r="K1413" s="1"/>
      <c r="L1413" s="1"/>
      <c r="M1413" s="1"/>
    </row>
    <row r="1414" ht="14.25" customHeight="1">
      <c r="A1414" s="1"/>
      <c r="B1414" s="1"/>
      <c r="C1414" s="107"/>
      <c r="D1414" s="184"/>
      <c r="E1414" s="184"/>
      <c r="F1414" s="108"/>
      <c r="G1414" s="1"/>
      <c r="H1414" s="920"/>
      <c r="I1414" s="1"/>
      <c r="J1414" s="1"/>
      <c r="K1414" s="1"/>
      <c r="L1414" s="1"/>
      <c r="M1414" s="1"/>
    </row>
    <row r="1415" ht="14.25" customHeight="1">
      <c r="A1415" s="1"/>
      <c r="B1415" s="1"/>
      <c r="C1415" s="107"/>
      <c r="D1415" s="184"/>
      <c r="E1415" s="184"/>
      <c r="F1415" s="108"/>
      <c r="G1415" s="1"/>
      <c r="H1415" s="920"/>
      <c r="I1415" s="1"/>
      <c r="J1415" s="1"/>
      <c r="K1415" s="1"/>
      <c r="L1415" s="1"/>
      <c r="M1415" s="1"/>
    </row>
    <row r="1416" ht="14.25" customHeight="1">
      <c r="A1416" s="1"/>
      <c r="B1416" s="1"/>
      <c r="C1416" s="107"/>
      <c r="D1416" s="184"/>
      <c r="E1416" s="184"/>
      <c r="F1416" s="108"/>
      <c r="G1416" s="1"/>
      <c r="H1416" s="920"/>
      <c r="I1416" s="1"/>
      <c r="J1416" s="1"/>
      <c r="K1416" s="1"/>
      <c r="L1416" s="1"/>
      <c r="M1416" s="1"/>
    </row>
    <row r="1417" ht="14.25" customHeight="1">
      <c r="A1417" s="1"/>
      <c r="B1417" s="1"/>
      <c r="C1417" s="107"/>
      <c r="D1417" s="184"/>
      <c r="E1417" s="184"/>
      <c r="F1417" s="108"/>
      <c r="G1417" s="1"/>
      <c r="H1417" s="920"/>
      <c r="I1417" s="1"/>
      <c r="J1417" s="1"/>
      <c r="K1417" s="1"/>
      <c r="L1417" s="1"/>
      <c r="M1417" s="1"/>
    </row>
    <row r="1418" ht="14.25" customHeight="1">
      <c r="A1418" s="1"/>
      <c r="B1418" s="1"/>
      <c r="C1418" s="107"/>
      <c r="D1418" s="184"/>
      <c r="E1418" s="184"/>
      <c r="F1418" s="108"/>
      <c r="G1418" s="1"/>
      <c r="H1418" s="920"/>
      <c r="I1418" s="1"/>
      <c r="J1418" s="1"/>
      <c r="K1418" s="1"/>
      <c r="L1418" s="1"/>
      <c r="M1418" s="1"/>
    </row>
    <row r="1419" ht="14.25" customHeight="1">
      <c r="A1419" s="1"/>
      <c r="B1419" s="1"/>
      <c r="C1419" s="107"/>
      <c r="D1419" s="184"/>
      <c r="E1419" s="184"/>
      <c r="F1419" s="108"/>
      <c r="G1419" s="1"/>
      <c r="H1419" s="920"/>
      <c r="I1419" s="1"/>
      <c r="J1419" s="1"/>
      <c r="K1419" s="1"/>
      <c r="L1419" s="1"/>
      <c r="M1419" s="1"/>
    </row>
    <row r="1420" ht="14.25" customHeight="1">
      <c r="A1420" s="1"/>
      <c r="B1420" s="1"/>
      <c r="C1420" s="107"/>
      <c r="D1420" s="184"/>
      <c r="E1420" s="184"/>
      <c r="F1420" s="108"/>
      <c r="G1420" s="1"/>
      <c r="H1420" s="920"/>
      <c r="I1420" s="1"/>
      <c r="J1420" s="1"/>
      <c r="K1420" s="1"/>
      <c r="L1420" s="1"/>
      <c r="M1420" s="1"/>
    </row>
    <row r="1421" ht="14.25" customHeight="1">
      <c r="A1421" s="1"/>
      <c r="B1421" s="1"/>
      <c r="C1421" s="107"/>
      <c r="D1421" s="184"/>
      <c r="E1421" s="184"/>
      <c r="F1421" s="108"/>
      <c r="G1421" s="1"/>
      <c r="H1421" s="920"/>
      <c r="I1421" s="1"/>
      <c r="J1421" s="1"/>
      <c r="K1421" s="1"/>
      <c r="L1421" s="1"/>
      <c r="M1421" s="1"/>
    </row>
    <row r="1422" ht="16.5" customHeight="1">
      <c r="A1422" s="1"/>
      <c r="B1422" s="1"/>
      <c r="C1422" s="107"/>
      <c r="D1422" s="184"/>
      <c r="E1422" s="184"/>
      <c r="F1422" s="108"/>
      <c r="G1422" s="1"/>
      <c r="H1422" s="920"/>
      <c r="I1422" s="1"/>
      <c r="J1422" s="1"/>
      <c r="K1422" s="1"/>
      <c r="L1422" s="1"/>
      <c r="M1422" s="1"/>
    </row>
    <row r="1423" ht="22.5" customHeight="1">
      <c r="A1423" s="1"/>
      <c r="B1423" s="1"/>
      <c r="C1423" s="107"/>
      <c r="D1423" s="184"/>
      <c r="E1423" s="184"/>
      <c r="F1423" s="108"/>
      <c r="G1423" s="1"/>
      <c r="H1423" s="920"/>
      <c r="I1423" s="1"/>
      <c r="J1423" s="1"/>
      <c r="K1423" s="1"/>
      <c r="L1423" s="1"/>
      <c r="M1423" s="1"/>
    </row>
    <row r="1424" ht="22.5" customHeight="1">
      <c r="A1424" s="1"/>
      <c r="B1424" s="1"/>
      <c r="C1424" s="107"/>
      <c r="D1424" s="184"/>
      <c r="E1424" s="184"/>
      <c r="F1424" s="108"/>
      <c r="G1424" s="1"/>
      <c r="H1424" s="920"/>
      <c r="I1424" s="1"/>
      <c r="J1424" s="1"/>
      <c r="K1424" s="1"/>
      <c r="L1424" s="1"/>
      <c r="M1424" s="1"/>
    </row>
    <row r="1425" ht="22.5" customHeight="1">
      <c r="A1425" s="1"/>
      <c r="B1425" s="1"/>
      <c r="C1425" s="107"/>
      <c r="D1425" s="184"/>
      <c r="E1425" s="184"/>
      <c r="F1425" s="108"/>
      <c r="G1425" s="1"/>
      <c r="H1425" s="920"/>
      <c r="I1425" s="1"/>
      <c r="J1425" s="1"/>
      <c r="K1425" s="1"/>
      <c r="L1425" s="1"/>
      <c r="M1425" s="1"/>
    </row>
    <row r="1426" ht="22.5" customHeight="1">
      <c r="A1426" s="1"/>
      <c r="B1426" s="1"/>
      <c r="C1426" s="107"/>
      <c r="D1426" s="184"/>
      <c r="E1426" s="184"/>
      <c r="F1426" s="108"/>
      <c r="G1426" s="1"/>
      <c r="H1426" s="920"/>
      <c r="I1426" s="1"/>
      <c r="J1426" s="1"/>
      <c r="K1426" s="1"/>
      <c r="L1426" s="1"/>
      <c r="M1426" s="1"/>
    </row>
    <row r="1427" ht="22.5" customHeight="1">
      <c r="A1427" s="1"/>
      <c r="B1427" s="1"/>
      <c r="C1427" s="107"/>
      <c r="D1427" s="184"/>
      <c r="E1427" s="184"/>
      <c r="F1427" s="108"/>
      <c r="G1427" s="1"/>
      <c r="H1427" s="920"/>
      <c r="I1427" s="1"/>
      <c r="J1427" s="1"/>
      <c r="K1427" s="1"/>
      <c r="L1427" s="1"/>
      <c r="M1427" s="1"/>
    </row>
    <row r="1428" ht="22.5" customHeight="1">
      <c r="A1428" s="1"/>
      <c r="B1428" s="1"/>
      <c r="C1428" s="107"/>
      <c r="D1428" s="184"/>
      <c r="E1428" s="184"/>
      <c r="F1428" s="108"/>
      <c r="G1428" s="1"/>
      <c r="H1428" s="920"/>
      <c r="I1428" s="1"/>
      <c r="J1428" s="1"/>
      <c r="K1428" s="1"/>
      <c r="L1428" s="1"/>
      <c r="M1428" s="1"/>
    </row>
    <row r="1429" ht="14.25" customHeight="1">
      <c r="A1429" s="1"/>
      <c r="B1429" s="1"/>
      <c r="C1429" s="107"/>
      <c r="D1429" s="184"/>
      <c r="E1429" s="184"/>
      <c r="F1429" s="108"/>
      <c r="G1429" s="1"/>
      <c r="H1429" s="920"/>
      <c r="I1429" s="1"/>
      <c r="J1429" s="1"/>
      <c r="K1429" s="1"/>
      <c r="L1429" s="1"/>
      <c r="M1429" s="1"/>
    </row>
    <row r="1430" ht="14.25" customHeight="1">
      <c r="A1430" s="1"/>
      <c r="B1430" s="1"/>
      <c r="C1430" s="107"/>
      <c r="D1430" s="184"/>
      <c r="E1430" s="184"/>
      <c r="F1430" s="108"/>
      <c r="G1430" s="1"/>
      <c r="H1430" s="920"/>
      <c r="I1430" s="1"/>
      <c r="J1430" s="1"/>
      <c r="K1430" s="1"/>
      <c r="L1430" s="1"/>
      <c r="M1430" s="1"/>
    </row>
    <row r="1431" ht="14.25" customHeight="1">
      <c r="A1431" s="1"/>
      <c r="B1431" s="1"/>
      <c r="C1431" s="107"/>
      <c r="D1431" s="184"/>
      <c r="E1431" s="184"/>
      <c r="F1431" s="108"/>
      <c r="G1431" s="1"/>
      <c r="H1431" s="920"/>
      <c r="I1431" s="1"/>
      <c r="J1431" s="1"/>
      <c r="K1431" s="1"/>
      <c r="L1431" s="1"/>
      <c r="M1431" s="1"/>
    </row>
    <row r="1432" ht="14.25" customHeight="1">
      <c r="A1432" s="1"/>
      <c r="B1432" s="1"/>
      <c r="C1432" s="107"/>
      <c r="D1432" s="184"/>
      <c r="E1432" s="184"/>
      <c r="F1432" s="108"/>
      <c r="G1432" s="1"/>
      <c r="H1432" s="920"/>
      <c r="I1432" s="1"/>
      <c r="J1432" s="1"/>
      <c r="K1432" s="1"/>
      <c r="L1432" s="1"/>
      <c r="M1432" s="1"/>
    </row>
    <row r="1433" ht="14.25" customHeight="1">
      <c r="A1433" s="1"/>
      <c r="B1433" s="1"/>
      <c r="C1433" s="107"/>
      <c r="D1433" s="184"/>
      <c r="E1433" s="184"/>
      <c r="F1433" s="108"/>
      <c r="G1433" s="1"/>
      <c r="H1433" s="920"/>
      <c r="I1433" s="1"/>
      <c r="J1433" s="1"/>
      <c r="K1433" s="1"/>
      <c r="L1433" s="1"/>
      <c r="M1433" s="1"/>
    </row>
    <row r="1434" ht="15.0" customHeight="1">
      <c r="A1434" s="1"/>
      <c r="B1434" s="1"/>
      <c r="C1434" s="107"/>
      <c r="D1434" s="184"/>
      <c r="E1434" s="184"/>
      <c r="F1434" s="108"/>
      <c r="G1434" s="1"/>
      <c r="H1434" s="920"/>
      <c r="I1434" s="1"/>
      <c r="J1434" s="1"/>
      <c r="K1434" s="1"/>
      <c r="L1434" s="1"/>
      <c r="M1434" s="1"/>
    </row>
    <row r="1435" ht="14.25" customHeight="1">
      <c r="A1435" s="1"/>
      <c r="B1435" s="1"/>
      <c r="C1435" s="107"/>
      <c r="D1435" s="184"/>
      <c r="E1435" s="184"/>
      <c r="F1435" s="108"/>
      <c r="G1435" s="1"/>
      <c r="H1435" s="920"/>
      <c r="I1435" s="1"/>
      <c r="J1435" s="1"/>
      <c r="K1435" s="1"/>
      <c r="L1435" s="1"/>
      <c r="M1435" s="1"/>
    </row>
    <row r="1436" ht="14.25" customHeight="1">
      <c r="A1436" s="1"/>
      <c r="B1436" s="1"/>
      <c r="C1436" s="107"/>
      <c r="D1436" s="184"/>
      <c r="E1436" s="184"/>
      <c r="F1436" s="108"/>
      <c r="G1436" s="1"/>
      <c r="H1436" s="920"/>
      <c r="I1436" s="1"/>
      <c r="J1436" s="1"/>
      <c r="K1436" s="1"/>
      <c r="L1436" s="1"/>
      <c r="M1436" s="1"/>
    </row>
    <row r="1437" ht="14.25" customHeight="1">
      <c r="A1437" s="1"/>
      <c r="B1437" s="1"/>
      <c r="C1437" s="107"/>
      <c r="D1437" s="184"/>
      <c r="E1437" s="184"/>
      <c r="F1437" s="108"/>
      <c r="G1437" s="1"/>
      <c r="H1437" s="920"/>
      <c r="I1437" s="1"/>
      <c r="J1437" s="1"/>
      <c r="K1437" s="1"/>
      <c r="L1437" s="1"/>
      <c r="M1437" s="1"/>
    </row>
    <row r="1438" ht="14.25" customHeight="1">
      <c r="A1438" s="1"/>
      <c r="B1438" s="1"/>
      <c r="C1438" s="107"/>
      <c r="D1438" s="184"/>
      <c r="E1438" s="184"/>
      <c r="F1438" s="108"/>
      <c r="G1438" s="1"/>
      <c r="H1438" s="920"/>
      <c r="I1438" s="1"/>
      <c r="J1438" s="1"/>
      <c r="K1438" s="1"/>
      <c r="L1438" s="1"/>
      <c r="M1438" s="1"/>
    </row>
    <row r="1439" ht="14.25" customHeight="1">
      <c r="A1439" s="1"/>
      <c r="B1439" s="1"/>
      <c r="C1439" s="107"/>
      <c r="D1439" s="184"/>
      <c r="E1439" s="184"/>
      <c r="F1439" s="108"/>
      <c r="G1439" s="1"/>
      <c r="H1439" s="920"/>
      <c r="I1439" s="1"/>
      <c r="J1439" s="1"/>
      <c r="K1439" s="1"/>
      <c r="L1439" s="1"/>
      <c r="M1439" s="1"/>
    </row>
    <row r="1440" ht="14.25" customHeight="1">
      <c r="A1440" s="1"/>
      <c r="B1440" s="1"/>
      <c r="C1440" s="107"/>
      <c r="D1440" s="184"/>
      <c r="E1440" s="184"/>
      <c r="F1440" s="108"/>
      <c r="G1440" s="1"/>
      <c r="H1440" s="920"/>
      <c r="I1440" s="1"/>
      <c r="J1440" s="1"/>
      <c r="K1440" s="1"/>
      <c r="L1440" s="1"/>
      <c r="M1440" s="1"/>
    </row>
    <row r="1441" ht="14.25" customHeight="1">
      <c r="A1441" s="1"/>
      <c r="B1441" s="1"/>
      <c r="C1441" s="107"/>
      <c r="D1441" s="184"/>
      <c r="E1441" s="184"/>
      <c r="F1441" s="108"/>
      <c r="G1441" s="1"/>
      <c r="H1441" s="920"/>
      <c r="I1441" s="1"/>
      <c r="J1441" s="1"/>
      <c r="K1441" s="1"/>
      <c r="L1441" s="1"/>
      <c r="M1441" s="1"/>
    </row>
    <row r="1442" ht="15.75" customHeight="1">
      <c r="A1442" s="1"/>
      <c r="B1442" s="1"/>
      <c r="C1442" s="107"/>
      <c r="D1442" s="184"/>
      <c r="E1442" s="184"/>
      <c r="F1442" s="108"/>
      <c r="G1442" s="1"/>
      <c r="H1442" s="920"/>
      <c r="I1442" s="1"/>
      <c r="J1442" s="1"/>
      <c r="K1442" s="1"/>
      <c r="L1442" s="1"/>
      <c r="M1442" s="1"/>
    </row>
    <row r="1443" ht="14.25" customHeight="1">
      <c r="A1443" s="1"/>
      <c r="B1443" s="1"/>
      <c r="C1443" s="107"/>
      <c r="D1443" s="184"/>
      <c r="E1443" s="184"/>
      <c r="F1443" s="108"/>
      <c r="G1443" s="1"/>
      <c r="H1443" s="920"/>
      <c r="I1443" s="1"/>
      <c r="J1443" s="1"/>
      <c r="K1443" s="1"/>
      <c r="L1443" s="1"/>
      <c r="M1443" s="1"/>
    </row>
    <row r="1444" ht="14.25" customHeight="1">
      <c r="A1444" s="1"/>
      <c r="B1444" s="1"/>
      <c r="C1444" s="107"/>
      <c r="D1444" s="184"/>
      <c r="E1444" s="184"/>
      <c r="F1444" s="108"/>
      <c r="G1444" s="1"/>
      <c r="H1444" s="920"/>
      <c r="I1444" s="1"/>
      <c r="J1444" s="1"/>
      <c r="K1444" s="1"/>
      <c r="L1444" s="1"/>
      <c r="M1444" s="1"/>
    </row>
    <row r="1445" ht="14.25" customHeight="1">
      <c r="A1445" s="1"/>
      <c r="B1445" s="1"/>
      <c r="C1445" s="107"/>
      <c r="D1445" s="184"/>
      <c r="E1445" s="184"/>
      <c r="F1445" s="108"/>
      <c r="G1445" s="1"/>
      <c r="H1445" s="920"/>
      <c r="I1445" s="1"/>
      <c r="J1445" s="1"/>
      <c r="K1445" s="1"/>
      <c r="L1445" s="1"/>
      <c r="M1445" s="1"/>
    </row>
    <row r="1446" ht="14.25" customHeight="1">
      <c r="A1446" s="1"/>
      <c r="B1446" s="1"/>
      <c r="C1446" s="107"/>
      <c r="D1446" s="184"/>
      <c r="E1446" s="184"/>
      <c r="F1446" s="108"/>
      <c r="G1446" s="1"/>
      <c r="H1446" s="920"/>
      <c r="I1446" s="1"/>
      <c r="J1446" s="1"/>
      <c r="K1446" s="1"/>
      <c r="L1446" s="1"/>
      <c r="M1446" s="1"/>
    </row>
    <row r="1447" ht="14.25" customHeight="1">
      <c r="A1447" s="1"/>
      <c r="B1447" s="1"/>
      <c r="C1447" s="107"/>
      <c r="D1447" s="184"/>
      <c r="E1447" s="184"/>
      <c r="F1447" s="108"/>
      <c r="G1447" s="1"/>
      <c r="H1447" s="920"/>
      <c r="I1447" s="1"/>
      <c r="J1447" s="1"/>
      <c r="K1447" s="1"/>
      <c r="L1447" s="1"/>
      <c r="M1447" s="1"/>
    </row>
    <row r="1448" ht="14.25" customHeight="1">
      <c r="A1448" s="1"/>
      <c r="B1448" s="1"/>
      <c r="C1448" s="107"/>
      <c r="D1448" s="184"/>
      <c r="E1448" s="184"/>
      <c r="F1448" s="108"/>
      <c r="G1448" s="1"/>
      <c r="H1448" s="920"/>
      <c r="I1448" s="1"/>
      <c r="J1448" s="1"/>
      <c r="K1448" s="1"/>
      <c r="L1448" s="1"/>
      <c r="M1448" s="1"/>
    </row>
    <row r="1449" ht="14.25" customHeight="1">
      <c r="A1449" s="1"/>
      <c r="B1449" s="1"/>
      <c r="C1449" s="107"/>
      <c r="D1449" s="184"/>
      <c r="E1449" s="184"/>
      <c r="F1449" s="108"/>
      <c r="G1449" s="1"/>
      <c r="H1449" s="920"/>
      <c r="I1449" s="1"/>
      <c r="J1449" s="1"/>
      <c r="K1449" s="1"/>
      <c r="L1449" s="1"/>
      <c r="M1449" s="1"/>
    </row>
    <row r="1450" ht="14.25" customHeight="1">
      <c r="A1450" s="1"/>
      <c r="B1450" s="1"/>
      <c r="C1450" s="107"/>
      <c r="D1450" s="184"/>
      <c r="E1450" s="184"/>
      <c r="F1450" s="108"/>
      <c r="G1450" s="1"/>
      <c r="H1450" s="920"/>
      <c r="I1450" s="1"/>
      <c r="J1450" s="1"/>
      <c r="K1450" s="1"/>
      <c r="L1450" s="1"/>
      <c r="M1450" s="1"/>
    </row>
    <row r="1451" ht="14.25" customHeight="1">
      <c r="A1451" s="1"/>
      <c r="B1451" s="1"/>
      <c r="C1451" s="107"/>
      <c r="D1451" s="184"/>
      <c r="E1451" s="184"/>
      <c r="F1451" s="108"/>
      <c r="G1451" s="1"/>
      <c r="H1451" s="920"/>
      <c r="I1451" s="1"/>
      <c r="J1451" s="1"/>
      <c r="K1451" s="1"/>
      <c r="L1451" s="1"/>
      <c r="M1451" s="1"/>
    </row>
    <row r="1452" ht="14.25" customHeight="1">
      <c r="A1452" s="1"/>
      <c r="B1452" s="1"/>
      <c r="C1452" s="107"/>
      <c r="D1452" s="184"/>
      <c r="E1452" s="184"/>
      <c r="F1452" s="108"/>
      <c r="G1452" s="1"/>
      <c r="H1452" s="920"/>
      <c r="I1452" s="1"/>
      <c r="J1452" s="1"/>
      <c r="K1452" s="1"/>
      <c r="L1452" s="1"/>
      <c r="M1452" s="1"/>
    </row>
    <row r="1453" ht="14.25" customHeight="1">
      <c r="A1453" s="1"/>
      <c r="B1453" s="1"/>
      <c r="C1453" s="107"/>
      <c r="D1453" s="184"/>
      <c r="E1453" s="184"/>
      <c r="F1453" s="108"/>
      <c r="G1453" s="1"/>
      <c r="H1453" s="920"/>
      <c r="I1453" s="1"/>
      <c r="J1453" s="1"/>
      <c r="K1453" s="1"/>
      <c r="L1453" s="1"/>
      <c r="M1453" s="1"/>
    </row>
    <row r="1454" ht="14.25" customHeight="1">
      <c r="A1454" s="1"/>
      <c r="B1454" s="1"/>
      <c r="C1454" s="107"/>
      <c r="D1454" s="184"/>
      <c r="E1454" s="184"/>
      <c r="F1454" s="108"/>
      <c r="G1454" s="1"/>
      <c r="H1454" s="920"/>
      <c r="I1454" s="1"/>
      <c r="J1454" s="1"/>
      <c r="K1454" s="1"/>
      <c r="L1454" s="1"/>
      <c r="M1454" s="1"/>
    </row>
    <row r="1455" ht="15.0" customHeight="1">
      <c r="A1455" s="1"/>
      <c r="B1455" s="1"/>
      <c r="C1455" s="107"/>
      <c r="D1455" s="184"/>
      <c r="E1455" s="184"/>
      <c r="F1455" s="108"/>
      <c r="G1455" s="1"/>
      <c r="H1455" s="920"/>
      <c r="I1455" s="1"/>
      <c r="J1455" s="1"/>
      <c r="K1455" s="1"/>
      <c r="L1455" s="1"/>
      <c r="M1455" s="1"/>
    </row>
    <row r="1456" ht="14.25" customHeight="1">
      <c r="A1456" s="1"/>
      <c r="B1456" s="1"/>
      <c r="C1456" s="107"/>
      <c r="D1456" s="184"/>
      <c r="E1456" s="184"/>
      <c r="F1456" s="108"/>
      <c r="G1456" s="1"/>
      <c r="H1456" s="920"/>
      <c r="I1456" s="1"/>
      <c r="J1456" s="1"/>
      <c r="K1456" s="1"/>
      <c r="L1456" s="1"/>
      <c r="M1456" s="1"/>
    </row>
    <row r="1457" ht="14.25" customHeight="1">
      <c r="A1457" s="1"/>
      <c r="B1457" s="1"/>
      <c r="C1457" s="107"/>
      <c r="D1457" s="184"/>
      <c r="E1457" s="184"/>
      <c r="F1457" s="108"/>
      <c r="G1457" s="1"/>
      <c r="H1457" s="920"/>
      <c r="I1457" s="1"/>
      <c r="J1457" s="1"/>
      <c r="K1457" s="1"/>
      <c r="L1457" s="1"/>
      <c r="M1457" s="1"/>
    </row>
    <row r="1458" ht="14.25" customHeight="1">
      <c r="A1458" s="1"/>
      <c r="B1458" s="1"/>
      <c r="C1458" s="107"/>
      <c r="D1458" s="184"/>
      <c r="E1458" s="184"/>
      <c r="F1458" s="108"/>
      <c r="G1458" s="1"/>
      <c r="H1458" s="920"/>
      <c r="I1458" s="1"/>
      <c r="J1458" s="1"/>
      <c r="K1458" s="1"/>
      <c r="L1458" s="1"/>
      <c r="M1458" s="1"/>
    </row>
    <row r="1459" ht="15.0" customHeight="1">
      <c r="A1459" s="1"/>
      <c r="B1459" s="1"/>
      <c r="C1459" s="107"/>
      <c r="D1459" s="184"/>
      <c r="E1459" s="184"/>
      <c r="F1459" s="108"/>
      <c r="G1459" s="1"/>
      <c r="H1459" s="920"/>
      <c r="I1459" s="1"/>
      <c r="J1459" s="1"/>
      <c r="K1459" s="1"/>
      <c r="L1459" s="1"/>
      <c r="M1459" s="1"/>
    </row>
    <row r="1460" ht="14.25" customHeight="1">
      <c r="A1460" s="1"/>
      <c r="B1460" s="1"/>
      <c r="C1460" s="107"/>
      <c r="D1460" s="184"/>
      <c r="E1460" s="184"/>
      <c r="F1460" s="108"/>
      <c r="G1460" s="1"/>
      <c r="H1460" s="920"/>
      <c r="I1460" s="1"/>
      <c r="J1460" s="1"/>
      <c r="K1460" s="1"/>
      <c r="L1460" s="1"/>
      <c r="M1460" s="1"/>
    </row>
    <row r="1461" ht="14.25" customHeight="1">
      <c r="A1461" s="1"/>
      <c r="B1461" s="1"/>
      <c r="C1461" s="107"/>
      <c r="D1461" s="184"/>
      <c r="E1461" s="184"/>
      <c r="F1461" s="108"/>
      <c r="G1461" s="1"/>
      <c r="H1461" s="920"/>
      <c r="I1461" s="1"/>
      <c r="J1461" s="1"/>
      <c r="K1461" s="1"/>
      <c r="L1461" s="1"/>
      <c r="M1461" s="1"/>
    </row>
    <row r="1462" ht="14.25" customHeight="1">
      <c r="A1462" s="1"/>
      <c r="B1462" s="1"/>
      <c r="C1462" s="107"/>
      <c r="D1462" s="184"/>
      <c r="E1462" s="184"/>
      <c r="F1462" s="108"/>
      <c r="G1462" s="1"/>
      <c r="H1462" s="920"/>
      <c r="I1462" s="1"/>
      <c r="J1462" s="1"/>
      <c r="K1462" s="1"/>
      <c r="L1462" s="1"/>
      <c r="M1462" s="1"/>
    </row>
    <row r="1463" ht="14.25" customHeight="1">
      <c r="A1463" s="1"/>
      <c r="B1463" s="1"/>
      <c r="C1463" s="107"/>
      <c r="D1463" s="184"/>
      <c r="E1463" s="184"/>
      <c r="F1463" s="108"/>
      <c r="G1463" s="1"/>
      <c r="H1463" s="920"/>
      <c r="I1463" s="1"/>
      <c r="J1463" s="1"/>
      <c r="K1463" s="1"/>
      <c r="L1463" s="1"/>
      <c r="M1463" s="1"/>
    </row>
    <row r="1464" ht="14.25" customHeight="1">
      <c r="A1464" s="1"/>
      <c r="B1464" s="1"/>
      <c r="C1464" s="107"/>
      <c r="D1464" s="184"/>
      <c r="E1464" s="184"/>
      <c r="F1464" s="108"/>
      <c r="G1464" s="1"/>
      <c r="H1464" s="920"/>
      <c r="I1464" s="1"/>
      <c r="J1464" s="1"/>
      <c r="K1464" s="1"/>
      <c r="L1464" s="1"/>
      <c r="M1464" s="1"/>
    </row>
    <row r="1465" ht="14.25" customHeight="1">
      <c r="A1465" s="1"/>
      <c r="B1465" s="1"/>
      <c r="C1465" s="107"/>
      <c r="D1465" s="184"/>
      <c r="E1465" s="184"/>
      <c r="F1465" s="108"/>
      <c r="G1465" s="1"/>
      <c r="H1465" s="920"/>
      <c r="I1465" s="1"/>
      <c r="J1465" s="1"/>
      <c r="K1465" s="1"/>
      <c r="L1465" s="1"/>
      <c r="M1465" s="1"/>
    </row>
    <row r="1466" ht="14.25" customHeight="1">
      <c r="A1466" s="1"/>
      <c r="B1466" s="1"/>
      <c r="C1466" s="107"/>
      <c r="D1466" s="184"/>
      <c r="E1466" s="184"/>
      <c r="F1466" s="108"/>
      <c r="G1466" s="1"/>
      <c r="H1466" s="920"/>
      <c r="I1466" s="1"/>
      <c r="J1466" s="1"/>
      <c r="K1466" s="1"/>
      <c r="L1466" s="1"/>
      <c r="M1466" s="1"/>
    </row>
    <row r="1467" ht="14.25" customHeight="1">
      <c r="A1467" s="1"/>
      <c r="B1467" s="1"/>
      <c r="C1467" s="107"/>
      <c r="D1467" s="184"/>
      <c r="E1467" s="184"/>
      <c r="F1467" s="108"/>
      <c r="G1467" s="1"/>
      <c r="H1467" s="920"/>
      <c r="I1467" s="1"/>
      <c r="J1467" s="1"/>
      <c r="K1467" s="1"/>
      <c r="L1467" s="1"/>
      <c r="M1467" s="1"/>
    </row>
    <row r="1468" ht="14.25" customHeight="1">
      <c r="A1468" s="1"/>
      <c r="B1468" s="1"/>
      <c r="C1468" s="107"/>
      <c r="D1468" s="184"/>
      <c r="E1468" s="184"/>
      <c r="F1468" s="108"/>
      <c r="G1468" s="1"/>
      <c r="H1468" s="920"/>
      <c r="I1468" s="1"/>
      <c r="J1468" s="1"/>
      <c r="K1468" s="1"/>
      <c r="L1468" s="1"/>
      <c r="M1468" s="1"/>
    </row>
    <row r="1469" ht="14.25" customHeight="1">
      <c r="A1469" s="1"/>
      <c r="B1469" s="1"/>
      <c r="C1469" s="107"/>
      <c r="D1469" s="184"/>
      <c r="E1469" s="184"/>
      <c r="F1469" s="108"/>
      <c r="G1469" s="1"/>
      <c r="H1469" s="920"/>
      <c r="I1469" s="1"/>
      <c r="J1469" s="1"/>
      <c r="K1469" s="1"/>
      <c r="L1469" s="1"/>
      <c r="M1469" s="1"/>
    </row>
    <row r="1470" ht="14.25" customHeight="1">
      <c r="A1470" s="1"/>
      <c r="B1470" s="1"/>
      <c r="C1470" s="107"/>
      <c r="D1470" s="184"/>
      <c r="E1470" s="184"/>
      <c r="F1470" s="108"/>
      <c r="G1470" s="1"/>
      <c r="H1470" s="920"/>
      <c r="I1470" s="1"/>
      <c r="J1470" s="1"/>
      <c r="K1470" s="1"/>
      <c r="L1470" s="1"/>
      <c r="M1470" s="1"/>
    </row>
    <row r="1471" ht="14.25" customHeight="1">
      <c r="A1471" s="1"/>
      <c r="B1471" s="1"/>
      <c r="C1471" s="107"/>
      <c r="D1471" s="184"/>
      <c r="E1471" s="184"/>
      <c r="F1471" s="108"/>
      <c r="G1471" s="1"/>
      <c r="H1471" s="920"/>
      <c r="I1471" s="1"/>
      <c r="J1471" s="1"/>
      <c r="K1471" s="1"/>
      <c r="L1471" s="1"/>
      <c r="M1471" s="1"/>
    </row>
    <row r="1472" ht="14.25" customHeight="1">
      <c r="A1472" s="1"/>
      <c r="B1472" s="1"/>
      <c r="C1472" s="107"/>
      <c r="D1472" s="184"/>
      <c r="E1472" s="184"/>
      <c r="F1472" s="108"/>
      <c r="G1472" s="1"/>
      <c r="H1472" s="920"/>
      <c r="I1472" s="1"/>
      <c r="J1472" s="1"/>
      <c r="K1472" s="1"/>
      <c r="L1472" s="1"/>
      <c r="M1472" s="1"/>
    </row>
    <row r="1473" ht="14.25" customHeight="1">
      <c r="A1473" s="1"/>
      <c r="B1473" s="1"/>
      <c r="C1473" s="107"/>
      <c r="D1473" s="184"/>
      <c r="E1473" s="184"/>
      <c r="F1473" s="108"/>
      <c r="G1473" s="1"/>
      <c r="H1473" s="920"/>
      <c r="I1473" s="1"/>
      <c r="J1473" s="1"/>
      <c r="K1473" s="1"/>
      <c r="L1473" s="1"/>
      <c r="M1473" s="1"/>
    </row>
    <row r="1474" ht="14.25" customHeight="1">
      <c r="A1474" s="1"/>
      <c r="B1474" s="1"/>
      <c r="C1474" s="107"/>
      <c r="D1474" s="184"/>
      <c r="E1474" s="184"/>
      <c r="F1474" s="108"/>
      <c r="G1474" s="1"/>
      <c r="H1474" s="920"/>
      <c r="I1474" s="1"/>
      <c r="J1474" s="1"/>
      <c r="K1474" s="1"/>
      <c r="L1474" s="1"/>
      <c r="M1474" s="1"/>
    </row>
    <row r="1475" ht="14.25" customHeight="1">
      <c r="A1475" s="1"/>
      <c r="B1475" s="1"/>
      <c r="C1475" s="107"/>
      <c r="D1475" s="184"/>
      <c r="E1475" s="184"/>
      <c r="F1475" s="108"/>
      <c r="G1475" s="1"/>
      <c r="H1475" s="920"/>
      <c r="I1475" s="1"/>
      <c r="J1475" s="1"/>
      <c r="K1475" s="1"/>
      <c r="L1475" s="1"/>
      <c r="M1475" s="1"/>
    </row>
    <row r="1476" ht="14.25" customHeight="1">
      <c r="A1476" s="1"/>
      <c r="B1476" s="1"/>
      <c r="C1476" s="107"/>
      <c r="D1476" s="184"/>
      <c r="E1476" s="184"/>
      <c r="F1476" s="108"/>
      <c r="G1476" s="1"/>
      <c r="H1476" s="920"/>
      <c r="I1476" s="1"/>
      <c r="J1476" s="1"/>
      <c r="K1476" s="1"/>
      <c r="L1476" s="1"/>
      <c r="M1476" s="1"/>
    </row>
    <row r="1477" ht="14.25" customHeight="1">
      <c r="A1477" s="1"/>
      <c r="B1477" s="1"/>
      <c r="C1477" s="107"/>
      <c r="D1477" s="184"/>
      <c r="E1477" s="184"/>
      <c r="F1477" s="108"/>
      <c r="G1477" s="1"/>
      <c r="H1477" s="920"/>
      <c r="I1477" s="1"/>
      <c r="J1477" s="1"/>
      <c r="K1477" s="1"/>
      <c r="L1477" s="1"/>
      <c r="M1477" s="1"/>
    </row>
    <row r="1478" ht="14.25" customHeight="1">
      <c r="A1478" s="1"/>
      <c r="B1478" s="1"/>
      <c r="C1478" s="107"/>
      <c r="D1478" s="184"/>
      <c r="E1478" s="184"/>
      <c r="F1478" s="108"/>
      <c r="G1478" s="1"/>
      <c r="H1478" s="920"/>
      <c r="I1478" s="1"/>
      <c r="J1478" s="1"/>
      <c r="K1478" s="1"/>
      <c r="L1478" s="1"/>
      <c r="M1478" s="1"/>
    </row>
    <row r="1479" ht="14.25" customHeight="1">
      <c r="A1479" s="1"/>
      <c r="B1479" s="1"/>
      <c r="C1479" s="107"/>
      <c r="D1479" s="184"/>
      <c r="E1479" s="184"/>
      <c r="F1479" s="108"/>
      <c r="G1479" s="1"/>
      <c r="H1479" s="920"/>
      <c r="I1479" s="1"/>
      <c r="J1479" s="1"/>
      <c r="K1479" s="1"/>
      <c r="L1479" s="1"/>
      <c r="M1479" s="1"/>
    </row>
    <row r="1480" ht="14.25" customHeight="1">
      <c r="A1480" s="1"/>
      <c r="B1480" s="1"/>
      <c r="C1480" s="107"/>
      <c r="D1480" s="184"/>
      <c r="E1480" s="184"/>
      <c r="F1480" s="108"/>
      <c r="G1480" s="1"/>
      <c r="H1480" s="920"/>
      <c r="I1480" s="1"/>
      <c r="J1480" s="1"/>
      <c r="K1480" s="1"/>
      <c r="L1480" s="1"/>
      <c r="M1480" s="1"/>
    </row>
    <row r="1481" ht="14.25" customHeight="1">
      <c r="A1481" s="1"/>
      <c r="B1481" s="1"/>
      <c r="C1481" s="107"/>
      <c r="D1481" s="184"/>
      <c r="E1481" s="184"/>
      <c r="F1481" s="108"/>
      <c r="G1481" s="1"/>
      <c r="H1481" s="920"/>
      <c r="I1481" s="1"/>
      <c r="J1481" s="1"/>
      <c r="K1481" s="1"/>
      <c r="L1481" s="1"/>
      <c r="M1481" s="1"/>
    </row>
    <row r="1482" ht="14.25" customHeight="1">
      <c r="A1482" s="1"/>
      <c r="B1482" s="1"/>
      <c r="C1482" s="107"/>
      <c r="D1482" s="184"/>
      <c r="E1482" s="184"/>
      <c r="F1482" s="108"/>
      <c r="G1482" s="1"/>
      <c r="H1482" s="920"/>
      <c r="I1482" s="1"/>
      <c r="J1482" s="1"/>
      <c r="K1482" s="1"/>
      <c r="L1482" s="1"/>
      <c r="M1482" s="1"/>
    </row>
    <row r="1483" ht="14.25" customHeight="1">
      <c r="A1483" s="1"/>
      <c r="B1483" s="1"/>
      <c r="C1483" s="107"/>
      <c r="D1483" s="184"/>
      <c r="E1483" s="184"/>
      <c r="F1483" s="108"/>
      <c r="G1483" s="1"/>
      <c r="H1483" s="920"/>
      <c r="I1483" s="1"/>
      <c r="J1483" s="1"/>
      <c r="K1483" s="1"/>
      <c r="L1483" s="1"/>
      <c r="M1483" s="1"/>
    </row>
    <row r="1484" ht="14.25" customHeight="1">
      <c r="A1484" s="1"/>
      <c r="B1484" s="1"/>
      <c r="C1484" s="107"/>
      <c r="D1484" s="184"/>
      <c r="E1484" s="184"/>
      <c r="F1484" s="108"/>
      <c r="G1484" s="1"/>
      <c r="H1484" s="920"/>
      <c r="I1484" s="1"/>
      <c r="J1484" s="1"/>
      <c r="K1484" s="1"/>
      <c r="L1484" s="1"/>
      <c r="M1484" s="1"/>
    </row>
    <row r="1485" ht="14.25" customHeight="1">
      <c r="A1485" s="1"/>
      <c r="B1485" s="1"/>
      <c r="C1485" s="107"/>
      <c r="D1485" s="184"/>
      <c r="E1485" s="184"/>
      <c r="F1485" s="108"/>
      <c r="G1485" s="1"/>
      <c r="H1485" s="920"/>
      <c r="I1485" s="1"/>
      <c r="J1485" s="1"/>
      <c r="K1485" s="1"/>
      <c r="L1485" s="1"/>
      <c r="M1485" s="1"/>
    </row>
    <row r="1486" ht="14.25" customHeight="1">
      <c r="A1486" s="1"/>
      <c r="B1486" s="1"/>
      <c r="C1486" s="107"/>
      <c r="D1486" s="184"/>
      <c r="E1486" s="184"/>
      <c r="F1486" s="108"/>
      <c r="G1486" s="1"/>
      <c r="H1486" s="920"/>
      <c r="I1486" s="1"/>
      <c r="J1486" s="1"/>
      <c r="K1486" s="1"/>
      <c r="L1486" s="1"/>
      <c r="M1486" s="1"/>
    </row>
    <row r="1487" ht="14.25" customHeight="1">
      <c r="A1487" s="1"/>
      <c r="B1487" s="1"/>
      <c r="C1487" s="107"/>
      <c r="D1487" s="184"/>
      <c r="E1487" s="184"/>
      <c r="F1487" s="108"/>
      <c r="G1487" s="1"/>
      <c r="H1487" s="920"/>
      <c r="I1487" s="1"/>
      <c r="J1487" s="1"/>
      <c r="K1487" s="1"/>
      <c r="L1487" s="1"/>
      <c r="M1487" s="1"/>
    </row>
    <row r="1488" ht="14.25" customHeight="1">
      <c r="A1488" s="1"/>
      <c r="B1488" s="1"/>
      <c r="C1488" s="107"/>
      <c r="D1488" s="184"/>
      <c r="E1488" s="184"/>
      <c r="F1488" s="108"/>
      <c r="G1488" s="1"/>
      <c r="H1488" s="920"/>
      <c r="I1488" s="1"/>
      <c r="J1488" s="1"/>
      <c r="K1488" s="1"/>
      <c r="L1488" s="1"/>
      <c r="M1488" s="1"/>
    </row>
    <row r="1489" ht="14.25" customHeight="1">
      <c r="A1489" s="1"/>
      <c r="B1489" s="1"/>
      <c r="C1489" s="107"/>
      <c r="D1489" s="184"/>
      <c r="E1489" s="184"/>
      <c r="F1489" s="108"/>
      <c r="G1489" s="1"/>
      <c r="H1489" s="920"/>
      <c r="I1489" s="1"/>
      <c r="J1489" s="1"/>
      <c r="K1489" s="1"/>
      <c r="L1489" s="1"/>
      <c r="M1489" s="1"/>
    </row>
    <row r="1490" ht="14.25" customHeight="1">
      <c r="A1490" s="1"/>
      <c r="B1490" s="1"/>
      <c r="C1490" s="107"/>
      <c r="D1490" s="184"/>
      <c r="E1490" s="184"/>
      <c r="F1490" s="108"/>
      <c r="G1490" s="1"/>
      <c r="H1490" s="920"/>
      <c r="I1490" s="1"/>
      <c r="J1490" s="1"/>
      <c r="K1490" s="1"/>
      <c r="L1490" s="1"/>
      <c r="M1490" s="1"/>
    </row>
    <row r="1491" ht="14.25" customHeight="1">
      <c r="A1491" s="1"/>
      <c r="B1491" s="1"/>
      <c r="C1491" s="107"/>
      <c r="D1491" s="184"/>
      <c r="E1491" s="184"/>
      <c r="F1491" s="108"/>
      <c r="G1491" s="1"/>
      <c r="H1491" s="920"/>
      <c r="I1491" s="1"/>
      <c r="J1491" s="1"/>
      <c r="K1491" s="1"/>
      <c r="L1491" s="1"/>
      <c r="M1491" s="1"/>
    </row>
    <row r="1492" ht="14.25" customHeight="1">
      <c r="A1492" s="1"/>
      <c r="B1492" s="1"/>
      <c r="C1492" s="107"/>
      <c r="D1492" s="184"/>
      <c r="E1492" s="184"/>
      <c r="F1492" s="108"/>
      <c r="G1492" s="1"/>
      <c r="H1492" s="920"/>
      <c r="I1492" s="1"/>
      <c r="J1492" s="1"/>
      <c r="K1492" s="1"/>
      <c r="L1492" s="1"/>
      <c r="M1492" s="1"/>
    </row>
    <row r="1493" ht="14.25" customHeight="1">
      <c r="A1493" s="1"/>
      <c r="B1493" s="1"/>
      <c r="C1493" s="107"/>
      <c r="D1493" s="184"/>
      <c r="E1493" s="184"/>
      <c r="F1493" s="108"/>
      <c r="G1493" s="1"/>
      <c r="H1493" s="920"/>
      <c r="I1493" s="1"/>
      <c r="J1493" s="1"/>
      <c r="K1493" s="1"/>
      <c r="L1493" s="1"/>
      <c r="M1493" s="1"/>
    </row>
    <row r="1494" ht="14.25" customHeight="1">
      <c r="A1494" s="1"/>
      <c r="B1494" s="1"/>
      <c r="C1494" s="107"/>
      <c r="D1494" s="184"/>
      <c r="E1494" s="184"/>
      <c r="F1494" s="108"/>
      <c r="G1494" s="1"/>
      <c r="H1494" s="920"/>
      <c r="I1494" s="1"/>
      <c r="J1494" s="1"/>
      <c r="K1494" s="1"/>
      <c r="L1494" s="1"/>
      <c r="M1494" s="1"/>
    </row>
    <row r="1495" ht="14.25" customHeight="1">
      <c r="A1495" s="1"/>
      <c r="B1495" s="1"/>
      <c r="C1495" s="107"/>
      <c r="D1495" s="184"/>
      <c r="E1495" s="184"/>
      <c r="F1495" s="108"/>
      <c r="G1495" s="1"/>
      <c r="H1495" s="920"/>
      <c r="I1495" s="1"/>
      <c r="J1495" s="1"/>
      <c r="K1495" s="1"/>
      <c r="L1495" s="1"/>
      <c r="M1495" s="1"/>
    </row>
    <row r="1496" ht="14.25" customHeight="1">
      <c r="A1496" s="1"/>
      <c r="B1496" s="1"/>
      <c r="C1496" s="107"/>
      <c r="D1496" s="184"/>
      <c r="E1496" s="184"/>
      <c r="F1496" s="108"/>
      <c r="G1496" s="1"/>
      <c r="H1496" s="920"/>
      <c r="I1496" s="1"/>
      <c r="J1496" s="1"/>
      <c r="K1496" s="1"/>
      <c r="L1496" s="1"/>
      <c r="M1496" s="1"/>
    </row>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sheetData>
  <mergeCells count="203">
    <mergeCell ref="A34:A36"/>
    <mergeCell ref="A37:A39"/>
    <mergeCell ref="B1:F1"/>
    <mergeCell ref="G1:G11"/>
    <mergeCell ref="B15:F15"/>
    <mergeCell ref="G17:G21"/>
    <mergeCell ref="G23:G26"/>
    <mergeCell ref="B31:F31"/>
    <mergeCell ref="G33:G39"/>
    <mergeCell ref="G42:G45"/>
    <mergeCell ref="B47:D47"/>
    <mergeCell ref="B51:F51"/>
    <mergeCell ref="G52:G58"/>
    <mergeCell ref="B60:D61"/>
    <mergeCell ref="B65:F65"/>
    <mergeCell ref="G65:G69"/>
    <mergeCell ref="G70:G71"/>
    <mergeCell ref="G72:G73"/>
    <mergeCell ref="B79:F79"/>
    <mergeCell ref="G81:G84"/>
    <mergeCell ref="G85:G86"/>
    <mergeCell ref="G87:G90"/>
    <mergeCell ref="G91:G93"/>
    <mergeCell ref="B95:D96"/>
    <mergeCell ref="B99:F99"/>
    <mergeCell ref="B100:F100"/>
    <mergeCell ref="G102:G103"/>
    <mergeCell ref="B113:F113"/>
    <mergeCell ref="G115:G116"/>
    <mergeCell ref="B129:F129"/>
    <mergeCell ref="G121:G124"/>
    <mergeCell ref="G131:G133"/>
    <mergeCell ref="G134:G135"/>
    <mergeCell ref="G137:G141"/>
    <mergeCell ref="G148:G149"/>
    <mergeCell ref="G150:G151"/>
    <mergeCell ref="G152:G156"/>
    <mergeCell ref="B146:F146"/>
    <mergeCell ref="B163:F163"/>
    <mergeCell ref="B184:F184"/>
    <mergeCell ref="B204:F204"/>
    <mergeCell ref="B227:F227"/>
    <mergeCell ref="B260:F260"/>
    <mergeCell ref="B286:F286"/>
    <mergeCell ref="G585:G588"/>
    <mergeCell ref="G590:G591"/>
    <mergeCell ref="G592:G596"/>
    <mergeCell ref="G622:G624"/>
    <mergeCell ref="G628:G632"/>
    <mergeCell ref="G649:G653"/>
    <mergeCell ref="G654:G655"/>
    <mergeCell ref="G656:G660"/>
    <mergeCell ref="G661:G664"/>
    <mergeCell ref="G681:G688"/>
    <mergeCell ref="G689:G692"/>
    <mergeCell ref="G706:G713"/>
    <mergeCell ref="G728:G730"/>
    <mergeCell ref="G731:G732"/>
    <mergeCell ref="G802:G804"/>
    <mergeCell ref="G815:G821"/>
    <mergeCell ref="G833:G839"/>
    <mergeCell ref="G855:G863"/>
    <mergeCell ref="G875:G883"/>
    <mergeCell ref="G895:G907"/>
    <mergeCell ref="G918:G919"/>
    <mergeCell ref="G920:G930"/>
    <mergeCell ref="G959:G964"/>
    <mergeCell ref="G965:G967"/>
    <mergeCell ref="G1065:G1073"/>
    <mergeCell ref="G1083:G1091"/>
    <mergeCell ref="G1093:G1094"/>
    <mergeCell ref="G1109:G1110"/>
    <mergeCell ref="G1188:G1193"/>
    <mergeCell ref="G1194:G1195"/>
    <mergeCell ref="G1229:G1231"/>
    <mergeCell ref="G1232:G1234"/>
    <mergeCell ref="G1111:G1112"/>
    <mergeCell ref="G1113:G1114"/>
    <mergeCell ref="G1128:G1132"/>
    <mergeCell ref="G1133:G1134"/>
    <mergeCell ref="G1135:G1139"/>
    <mergeCell ref="G1140:G1143"/>
    <mergeCell ref="G1155:G1158"/>
    <mergeCell ref="G157:G158"/>
    <mergeCell ref="G165:G170"/>
    <mergeCell ref="G178:G179"/>
    <mergeCell ref="G185:G186"/>
    <mergeCell ref="G187:G196"/>
    <mergeCell ref="G205:G206"/>
    <mergeCell ref="G208:G219"/>
    <mergeCell ref="G220:G222"/>
    <mergeCell ref="G228:G231"/>
    <mergeCell ref="G235:G237"/>
    <mergeCell ref="G242:G245"/>
    <mergeCell ref="G261:G266"/>
    <mergeCell ref="G267:G268"/>
    <mergeCell ref="G269:G271"/>
    <mergeCell ref="G287:G291"/>
    <mergeCell ref="G321:G326"/>
    <mergeCell ref="G328:G330"/>
    <mergeCell ref="G345:G347"/>
    <mergeCell ref="G348:G351"/>
    <mergeCell ref="G369:G376"/>
    <mergeCell ref="G379:G380"/>
    <mergeCell ref="G387:G393"/>
    <mergeCell ref="G394:G396"/>
    <mergeCell ref="G397:G399"/>
    <mergeCell ref="G415:G420"/>
    <mergeCell ref="G421:G424"/>
    <mergeCell ref="G425:G427"/>
    <mergeCell ref="G428:G429"/>
    <mergeCell ref="G430:G434"/>
    <mergeCell ref="G455:G456"/>
    <mergeCell ref="G457:G458"/>
    <mergeCell ref="G475:G478"/>
    <mergeCell ref="G479:G480"/>
    <mergeCell ref="G481:G484"/>
    <mergeCell ref="G485:G486"/>
    <mergeCell ref="G487:G492"/>
    <mergeCell ref="G515:G516"/>
    <mergeCell ref="G535:G539"/>
    <mergeCell ref="G557:G559"/>
    <mergeCell ref="G572:G580"/>
    <mergeCell ref="G581:G582"/>
    <mergeCell ref="G583:G584"/>
    <mergeCell ref="G734:G735"/>
    <mergeCell ref="G749:G754"/>
    <mergeCell ref="G755:G756"/>
    <mergeCell ref="G779:G780"/>
    <mergeCell ref="G781:G782"/>
    <mergeCell ref="G783:G785"/>
    <mergeCell ref="G786:G787"/>
    <mergeCell ref="B970:D971"/>
    <mergeCell ref="B979:F979"/>
    <mergeCell ref="B999:F999"/>
    <mergeCell ref="B1011:F1011"/>
    <mergeCell ref="G1013:G1014"/>
    <mergeCell ref="G1015:G1016"/>
    <mergeCell ref="G1017:G1020"/>
    <mergeCell ref="G1021:G1022"/>
    <mergeCell ref="B1036:F1036"/>
    <mergeCell ref="G1038:G1040"/>
    <mergeCell ref="G1045:G1047"/>
    <mergeCell ref="G1048:G1049"/>
    <mergeCell ref="B1061:F1061"/>
    <mergeCell ref="H1067:H1075"/>
    <mergeCell ref="B304:F307"/>
    <mergeCell ref="B319:F319"/>
    <mergeCell ref="B344:F344"/>
    <mergeCell ref="B360:G360"/>
    <mergeCell ref="B362:G362"/>
    <mergeCell ref="B364:G364"/>
    <mergeCell ref="B367:F367"/>
    <mergeCell ref="B385:F385"/>
    <mergeCell ref="B414:F414"/>
    <mergeCell ref="B437:D439"/>
    <mergeCell ref="B450:F450"/>
    <mergeCell ref="B460:F464"/>
    <mergeCell ref="B473:F473"/>
    <mergeCell ref="B508:F508"/>
    <mergeCell ref="B529:F529"/>
    <mergeCell ref="B541:F544"/>
    <mergeCell ref="B551:F551"/>
    <mergeCell ref="B561:F564"/>
    <mergeCell ref="B572:F572"/>
    <mergeCell ref="B611:F611"/>
    <mergeCell ref="B646:F646"/>
    <mergeCell ref="B681:F681"/>
    <mergeCell ref="B706:F706"/>
    <mergeCell ref="B726:F726"/>
    <mergeCell ref="H726:K726"/>
    <mergeCell ref="B747:F747"/>
    <mergeCell ref="B770:F770"/>
    <mergeCell ref="B800:F800"/>
    <mergeCell ref="B814:F814"/>
    <mergeCell ref="B832:F832"/>
    <mergeCell ref="B841:F843"/>
    <mergeCell ref="B851:B852"/>
    <mergeCell ref="B854:F854"/>
    <mergeCell ref="B865:F866"/>
    <mergeCell ref="B875:F875"/>
    <mergeCell ref="B895:F895"/>
    <mergeCell ref="B917:F917"/>
    <mergeCell ref="B933:G935"/>
    <mergeCell ref="B943:F943"/>
    <mergeCell ref="B959:F959"/>
    <mergeCell ref="H961:H966"/>
    <mergeCell ref="H970:H979"/>
    <mergeCell ref="B1209:F1209"/>
    <mergeCell ref="H1209:K1209"/>
    <mergeCell ref="L1215:L1218"/>
    <mergeCell ref="B1227:F1227"/>
    <mergeCell ref="B1249:F1249"/>
    <mergeCell ref="B1267:F1267"/>
    <mergeCell ref="B1283:F1283"/>
    <mergeCell ref="H1283:K1283"/>
    <mergeCell ref="B1083:F1083"/>
    <mergeCell ref="B1095:F1096"/>
    <mergeCell ref="B1107:F1107"/>
    <mergeCell ref="B1126:F1126"/>
    <mergeCell ref="B1153:F1153"/>
    <mergeCell ref="B1167:F1167"/>
    <mergeCell ref="B1184:F1184"/>
  </mergeCells>
  <hyperlinks>
    <hyperlink display="BACK" location="'Recipe Index'!AH43" ref="B12"/>
    <hyperlink display="HOME" location="'Recipe Index'!A2" ref="C12"/>
    <hyperlink display="BACK" location="'Recipe Index'!AH43" ref="B27"/>
    <hyperlink display="HOME" location="'Recipe Index'!A2" ref="C27"/>
    <hyperlink display="BACK" location="'Recipe Index'!AH43" ref="B46"/>
    <hyperlink display="HOME" location="'Recipe Index'!A2" ref="C46"/>
    <hyperlink display="BACK" location="'Recipe Index'!AH43" ref="B59"/>
    <hyperlink display="HOME" location="'Recipe Index'!A2" ref="C59"/>
    <hyperlink display="BACK" location="'Recipe Index'!AH43" ref="B76"/>
    <hyperlink display="HOME" location="'Recipe Index'!A2" ref="C76"/>
    <hyperlink display="BACK" location="'Recipe Index'!AP95" ref="B94"/>
    <hyperlink display="HOME" location="'Recipe Index'!B5" ref="C94"/>
    <hyperlink display="BACK" location="'Recipe Index'!AP60" ref="B109"/>
    <hyperlink display="HOME" location="'Recipe Index'!B5" ref="C109"/>
    <hyperlink display="BACK" location="'Recipe Index'!AH43" ref="B125"/>
    <hyperlink display="HOME" location="'Recipe Index'!A2" ref="C125"/>
    <hyperlink display="BACK" location="'Recipe Index'!AH43" ref="B142"/>
    <hyperlink display="HOME" location="'Recipe Index'!A2" ref="C142"/>
    <hyperlink display="BACK" location="'Recipe Index'!AH43" ref="B159"/>
    <hyperlink display="HOME" location="'Recipe Index'!A2" ref="C159"/>
    <hyperlink display="BACK" location="'Recipe Index'!AH43" ref="B180"/>
    <hyperlink display="HOME" location="'Recipe Index'!A2" ref="C180"/>
    <hyperlink display="BACK" location="'Recipe Index'!AH43" ref="B200"/>
    <hyperlink display="HOME" location="'Recipe Index'!A2" ref="C200"/>
    <hyperlink display="BACK" location="'Recipe Index'!AH43" ref="B223"/>
    <hyperlink display="HOME" location="'Recipe Index'!A2" ref="C223"/>
    <hyperlink display="BACK" location="'Recipe Index'!AH43" ref="B246"/>
    <hyperlink display="HOME" location="'Recipe Index'!A2" ref="C246"/>
    <hyperlink display="BACK" location="'Recipe Index'!AH43" ref="B272"/>
    <hyperlink display="HOME" location="'Recipe Index'!A2" ref="C272"/>
    <hyperlink display="BACK" location="'Recipe Index'!AH43" ref="B303"/>
    <hyperlink display="HOME" location="'Recipe Index'!A2" ref="C303"/>
    <hyperlink display="BACK" location="'Recipe Index'!AH43" ref="B331"/>
    <hyperlink display="HOME" location="'Recipe Index'!A2" ref="C331"/>
    <hyperlink display="BACK" location="'Recipe Index'!AH43" ref="B358"/>
    <hyperlink display="HOME" location="'Recipe Index'!A2" ref="C358"/>
    <hyperlink display="BACK" location="'Recipe Index'!AH43" ref="B381"/>
    <hyperlink display="HOME" location="'Recipe Index'!A2" ref="C381"/>
    <hyperlink display="BACK" location="'Recipe Index'!AH43" ref="B400"/>
    <hyperlink display="HOME" location="'Recipe Index'!A2" ref="C400"/>
    <hyperlink display="BACK" location="'Recipe Index'!AH43" ref="B436"/>
    <hyperlink display="HOME" location="'Recipe Index'!A2" ref="C436"/>
    <hyperlink display="BACK" location="'Recipe Index'!AH43" ref="B467"/>
    <hyperlink display="HOME" location="'Recipe Index'!A2" ref="C467"/>
    <hyperlink display="BACK" location="'Recipe Index'!AH43" ref="B494"/>
    <hyperlink display="HOME" location="'Recipe Index'!A2" ref="C494"/>
    <hyperlink display="BACK" location="'Recipe Index'!AH43" ref="B517"/>
    <hyperlink display="HOME" location="'Recipe Index'!A2" ref="C517"/>
    <hyperlink display="BACK" location="'Recipe Index'!AH43" ref="B547"/>
    <hyperlink display="HOME" location="'Recipe Index'!A2" ref="C547"/>
    <hyperlink display="BACK" location="'Recipe Index'!AH43" ref="B567"/>
    <hyperlink display="HOME" location="'Recipe Index'!A2" ref="C567"/>
    <hyperlink display="BACK" location="'Recipe Index'!AH43" ref="B597"/>
    <hyperlink display="HOME" location="'Recipe Index'!A2" ref="C597"/>
    <hyperlink display="BACK" location="'Recipe Index'!AH43" ref="B633"/>
    <hyperlink display="HOME" location="'Recipe Index'!A2" ref="C633"/>
    <hyperlink display="BACK" location="'Recipe Index'!AH43" ref="B676"/>
    <hyperlink display="HOME" location="'Recipe Index'!A2" ref="C676"/>
    <hyperlink display="BACK" location="'Recipe Index'!AH43" ref="B696"/>
    <hyperlink display="HOME" location="'Recipe Index'!A2" ref="C696"/>
    <hyperlink display="BACK" location="'Recipe Index'!AH43" ref="B717"/>
    <hyperlink display="HOME" location="'Recipe Index'!A2" ref="C717"/>
    <hyperlink display="BACK" location="'Recipe Index'!AH43" ref="H738"/>
    <hyperlink display="HOME" location="'Recipe Index'!A2" ref="I738"/>
    <hyperlink display="BACK" location="'Recipe Index'!AH43" ref="B739"/>
    <hyperlink display="HOME" location="'Recipe Index'!A2" ref="C739"/>
    <hyperlink display="BACK" location="'Recipe Index'!AH43" ref="B762"/>
    <hyperlink display="HOME" location="'Recipe Index'!A2" ref="C762"/>
    <hyperlink display="BACK" location="'Recipe Index'!AH43" ref="B793"/>
    <hyperlink display="HOME" location="'Recipe Index'!A2" ref="C793"/>
    <hyperlink display="BACK" location="'Recipe Index'!AH43" ref="B811"/>
    <hyperlink display="HOME" location="'Recipe Index'!A2" ref="C811"/>
    <hyperlink display="BACK" location="'Recipe Index'!AH43" ref="B825"/>
    <hyperlink display="HOME" location="'Recipe Index'!A2" ref="C825"/>
    <hyperlink display="BACK" location="'Recipe Index'!AH43" ref="B848"/>
    <hyperlink display="HOME" location="'Recipe Index'!A2" ref="C848"/>
    <hyperlink display="BACK" location="'Recipe Index'!AH43" ref="B870"/>
    <hyperlink display="HOME" location="'Recipe Index'!A2" ref="C870"/>
    <hyperlink display="BACK" location="'Recipe Index'!AH43" ref="B886"/>
    <hyperlink display="HOME" location="'Recipe Index'!A2" ref="C886"/>
    <hyperlink display="BACK" location="'Recipe Index'!AH43" ref="B914"/>
    <hyperlink display="HOME" location="'Recipe Index'!A2" ref="C914"/>
    <hyperlink display="BACK" location="'Recipe Index'!AH43" ref="B940"/>
    <hyperlink display="HOME" location="'Recipe Index'!A2" ref="C940"/>
    <hyperlink display="BACK" location="'Recipe Index'!AH43" ref="B957"/>
    <hyperlink display="HOME" location="'Recipe Index'!A2" ref="C957"/>
    <hyperlink display="BACK" location="'Recipe Index'!AH43" ref="B976"/>
    <hyperlink display="HOME" location="'Recipe Index'!A2" ref="C976"/>
    <hyperlink display="BACK" location="'Recipe Index'!AH43" ref="B998"/>
    <hyperlink display="HOME" location="'Recipe Index'!A2" ref="C998"/>
    <hyperlink display="BACK" location="'Recipe Index'!AH43" ref="B1008"/>
    <hyperlink display="HOME" location="'Recipe Index'!A2" ref="C1008"/>
    <hyperlink display="BACK" location="'Recipe Index'!AH43" ref="B1029"/>
    <hyperlink display="HOME" location="'Recipe Index'!A2" ref="C1029"/>
    <hyperlink display="BACK" location="'Recipe Index'!AH43" ref="B1055"/>
    <hyperlink display="HOME" location="'Recipe Index'!A2" ref="C1055"/>
    <hyperlink display="BACK" location="'Recipe Index'!AH43" ref="B1078"/>
    <hyperlink display="HOME" location="'Recipe Index'!A2" ref="C1078"/>
    <hyperlink display="BACK" location="'Recipe Index'!AH43" ref="B1098"/>
    <hyperlink display="HOME" location="'Recipe Index'!A2" ref="C1098"/>
    <hyperlink display="BACK" location="'Recipe Index'!AH43" ref="B1120"/>
    <hyperlink display="HOME" location="'Recipe Index'!A2" ref="C1120"/>
    <hyperlink display="BACK" location="'Recipe Index'!AH43" ref="B1150"/>
    <hyperlink display="HOME" location="'Recipe Index'!A2" ref="C1150"/>
    <hyperlink display="BACK" location="'Recipe Index'!AH43" ref="B1163"/>
    <hyperlink display="HOME" location="'Recipe Index'!A2" ref="C1163"/>
    <hyperlink display="BACK" location="'Recipe Index'!AH43" ref="B1179"/>
    <hyperlink display="HOME" location="'Recipe Index'!A2" ref="C1179"/>
    <hyperlink display="BACK" location="'Recipe Index'!AH43" ref="B1200"/>
    <hyperlink display="HOME" location="'Recipe Index'!A2" ref="C1200"/>
    <hyperlink display="BACK" location="'Recipe Index'!AH43" ref="B1220"/>
    <hyperlink display="HOME" location="'Recipe Index'!A2" ref="C1220"/>
    <hyperlink display="BACK" location="'Recipe Index'!AH43" ref="H1221"/>
    <hyperlink display="HOME" location="'Recipe Index'!A2" ref="I1221"/>
    <hyperlink display="BACK" location="'Recipe Index'!AP60" ref="H1231"/>
    <hyperlink display="HOME" location="'Recipe Index'!B5" ref="I1231"/>
    <hyperlink display="BACK" location="'Recipe Index'!AH43" ref="B1237"/>
    <hyperlink display="HOME" location="'Recipe Index'!A2" ref="C1237"/>
    <hyperlink display="BACK" location="'Recipe Index'!AH43" ref="B1261"/>
    <hyperlink display="HOME" location="'Recipe Index'!A2" ref="C1261"/>
    <hyperlink display="BACK" location="'Recipe Index'!AH43" ref="B1277"/>
    <hyperlink display="BACK" location="'Recipe Index'!AH43" ref="B1293"/>
  </hyperlinks>
  <printOptions/>
  <pageMargins bottom="0.75" footer="0.0" header="0.0" left="0.0" right="0.0" top="0.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6.75"/>
    <col customWidth="1" min="2" max="2" width="10.25"/>
    <col customWidth="1" min="3" max="3" width="12.0"/>
    <col customWidth="1" min="4" max="4" width="4.75"/>
    <col customWidth="1" min="5" max="5" width="39.25"/>
    <col customWidth="1" min="6" max="6" width="10.63"/>
    <col customWidth="1" min="7" max="7" width="9.38"/>
    <col customWidth="1" min="8" max="8" width="32.25"/>
    <col customWidth="1" min="9" max="9" width="9.75"/>
    <col customWidth="1" min="10" max="10" width="10.38"/>
    <col customWidth="1" min="11" max="11" width="8.25"/>
    <col customWidth="1" min="12" max="12" width="27.75"/>
    <col customWidth="1" min="13" max="16" width="9.25"/>
    <col customWidth="1" min="17" max="26" width="14.38"/>
  </cols>
  <sheetData>
    <row r="1" ht="14.25" customHeight="1">
      <c r="A1" s="1"/>
      <c r="B1" s="1"/>
      <c r="C1" s="615"/>
      <c r="D1" s="1"/>
      <c r="E1" s="921"/>
      <c r="F1" s="1"/>
      <c r="G1" s="1"/>
      <c r="H1" s="1"/>
      <c r="I1" s="1"/>
      <c r="J1" s="1"/>
      <c r="K1" s="1"/>
      <c r="L1" s="1"/>
      <c r="M1" s="1"/>
      <c r="N1" s="1"/>
      <c r="O1" s="1"/>
      <c r="P1" s="1"/>
    </row>
    <row r="2" ht="14.25" customHeight="1">
      <c r="A2" s="511" t="s">
        <v>275</v>
      </c>
      <c r="B2" s="18"/>
      <c r="C2" s="18"/>
      <c r="D2" s="19"/>
      <c r="E2" s="44" t="s">
        <v>2096</v>
      </c>
      <c r="F2" s="1"/>
      <c r="G2" s="1"/>
      <c r="H2" s="1"/>
      <c r="I2" s="1"/>
      <c r="J2" s="1"/>
      <c r="K2" s="1"/>
      <c r="L2" s="1"/>
      <c r="M2" s="1"/>
      <c r="N2" s="1"/>
      <c r="O2" s="1"/>
      <c r="P2" s="1"/>
    </row>
    <row r="3" ht="14.25" customHeight="1">
      <c r="A3" s="119" t="s">
        <v>1274</v>
      </c>
      <c r="B3" s="523">
        <v>10.0</v>
      </c>
      <c r="C3" s="985">
        <v>2.0</v>
      </c>
      <c r="D3" s="520" t="s">
        <v>14</v>
      </c>
      <c r="E3" s="47"/>
      <c r="F3" s="1"/>
      <c r="G3" s="1"/>
      <c r="H3" s="1"/>
      <c r="I3" s="1"/>
      <c r="J3" s="1"/>
      <c r="K3" s="1"/>
      <c r="L3" s="1"/>
      <c r="M3" s="1"/>
      <c r="N3" s="1"/>
      <c r="O3" s="1"/>
      <c r="P3" s="1"/>
    </row>
    <row r="4" ht="14.25" customHeight="1">
      <c r="A4" s="93" t="s">
        <v>743</v>
      </c>
      <c r="B4" s="247">
        <v>5.0</v>
      </c>
      <c r="C4" s="992">
        <f t="shared" ref="C4:C9" si="1">(B4*C3)/B3</f>
        <v>1</v>
      </c>
      <c r="D4" s="249" t="s">
        <v>5</v>
      </c>
      <c r="E4" s="47"/>
      <c r="F4" s="1"/>
      <c r="G4" s="1"/>
      <c r="H4" s="1"/>
      <c r="I4" s="1"/>
      <c r="J4" s="1"/>
      <c r="K4" s="1"/>
      <c r="L4" s="1"/>
      <c r="M4" s="1"/>
      <c r="N4" s="1"/>
      <c r="O4" s="1"/>
      <c r="P4" s="1"/>
    </row>
    <row r="5" ht="14.25" customHeight="1">
      <c r="A5" s="68" t="s">
        <v>59</v>
      </c>
      <c r="B5" s="210">
        <v>6.0</v>
      </c>
      <c r="C5" s="976">
        <f t="shared" si="1"/>
        <v>1.2</v>
      </c>
      <c r="D5" s="216" t="s">
        <v>190</v>
      </c>
      <c r="E5" s="47"/>
      <c r="F5" s="1"/>
      <c r="G5" s="1"/>
      <c r="H5" s="1"/>
      <c r="I5" s="1"/>
      <c r="J5" s="1"/>
      <c r="K5" s="1"/>
      <c r="L5" s="1"/>
      <c r="M5" s="1"/>
      <c r="N5" s="1"/>
      <c r="O5" s="1"/>
      <c r="P5" s="1"/>
    </row>
    <row r="6" ht="14.25" customHeight="1">
      <c r="A6" s="93" t="s">
        <v>402</v>
      </c>
      <c r="B6" s="247">
        <v>16.0</v>
      </c>
      <c r="C6" s="992">
        <f t="shared" si="1"/>
        <v>3.2</v>
      </c>
      <c r="D6" s="249" t="s">
        <v>14</v>
      </c>
      <c r="E6" s="47"/>
      <c r="F6" s="1"/>
      <c r="G6" s="1"/>
      <c r="H6" s="1"/>
      <c r="I6" s="1"/>
      <c r="J6" s="1"/>
      <c r="K6" s="1"/>
      <c r="L6" s="1"/>
      <c r="M6" s="1"/>
      <c r="N6" s="1"/>
      <c r="O6" s="1"/>
      <c r="P6" s="1"/>
    </row>
    <row r="7" ht="14.25" customHeight="1">
      <c r="A7" s="105" t="s">
        <v>17</v>
      </c>
      <c r="B7" s="522">
        <v>150.0</v>
      </c>
      <c r="C7" s="981">
        <f t="shared" si="1"/>
        <v>30</v>
      </c>
      <c r="D7" s="518" t="s">
        <v>18</v>
      </c>
      <c r="E7" s="76"/>
      <c r="F7" s="1"/>
      <c r="G7" s="1"/>
      <c r="H7" s="1"/>
      <c r="I7" s="1"/>
      <c r="J7" s="1"/>
      <c r="K7" s="1"/>
      <c r="L7" s="1"/>
      <c r="M7" s="1"/>
      <c r="N7" s="1"/>
      <c r="O7" s="1"/>
      <c r="P7" s="1"/>
    </row>
    <row r="8" ht="14.25" customHeight="1">
      <c r="A8" s="68" t="s">
        <v>2103</v>
      </c>
      <c r="B8" s="73">
        <v>36.0</v>
      </c>
      <c r="C8" s="976">
        <f t="shared" si="1"/>
        <v>7.2</v>
      </c>
      <c r="D8" s="216" t="s">
        <v>14</v>
      </c>
      <c r="E8" s="1"/>
      <c r="F8" s="1"/>
      <c r="G8" s="1"/>
      <c r="H8" s="1"/>
      <c r="I8" s="1"/>
      <c r="J8" s="1"/>
      <c r="K8" s="1"/>
      <c r="L8" s="1"/>
      <c r="M8" s="1"/>
      <c r="N8" s="1"/>
      <c r="O8" s="1"/>
      <c r="P8" s="1"/>
    </row>
    <row r="9" ht="14.25" customHeight="1">
      <c r="A9" s="105" t="s">
        <v>2105</v>
      </c>
      <c r="B9" s="110">
        <v>720.0</v>
      </c>
      <c r="C9" s="981">
        <f t="shared" si="1"/>
        <v>144</v>
      </c>
      <c r="D9" s="518" t="s">
        <v>741</v>
      </c>
      <c r="E9" s="1"/>
      <c r="F9" s="1"/>
      <c r="G9" s="1"/>
      <c r="H9" s="1"/>
      <c r="I9" s="1"/>
      <c r="J9" s="1"/>
      <c r="K9" s="1"/>
      <c r="L9" s="1"/>
      <c r="M9" s="1"/>
      <c r="N9" s="1"/>
      <c r="O9" s="1"/>
      <c r="P9" s="1"/>
    </row>
    <row r="10" ht="14.25" customHeight="1">
      <c r="A10" s="1187" t="s">
        <v>119</v>
      </c>
      <c r="B10" s="560" t="s">
        <v>47</v>
      </c>
      <c r="C10" s="615"/>
      <c r="D10" s="1"/>
      <c r="E10" s="1"/>
      <c r="F10" s="1"/>
      <c r="G10" s="1"/>
      <c r="H10" s="1"/>
      <c r="I10" s="1"/>
      <c r="J10" s="1"/>
      <c r="K10" s="1"/>
      <c r="L10" s="1"/>
      <c r="M10" s="1"/>
      <c r="N10" s="1"/>
      <c r="O10" s="1"/>
      <c r="P10" s="1"/>
    </row>
    <row r="11" ht="14.25" customHeight="1">
      <c r="A11" s="203" t="s">
        <v>49</v>
      </c>
      <c r="B11" s="1876">
        <v>41978.0</v>
      </c>
      <c r="C11" s="615"/>
      <c r="D11" s="1"/>
      <c r="E11" s="1"/>
      <c r="F11" s="1"/>
      <c r="G11" s="1"/>
      <c r="H11" s="1"/>
      <c r="I11" s="1"/>
      <c r="J11" s="1"/>
      <c r="K11" s="1"/>
      <c r="L11" s="1"/>
      <c r="M11" s="1"/>
      <c r="N11" s="1"/>
      <c r="O11" s="1"/>
      <c r="P11" s="1"/>
    </row>
    <row r="12" ht="14.25" customHeight="1">
      <c r="A12" s="342" t="s">
        <v>50</v>
      </c>
      <c r="B12" s="1880">
        <v>42052.0</v>
      </c>
      <c r="C12" s="1"/>
      <c r="D12" s="1"/>
      <c r="E12" s="1"/>
      <c r="F12" s="1"/>
      <c r="G12" s="1"/>
      <c r="H12" s="1"/>
      <c r="I12" s="1"/>
      <c r="J12" s="1"/>
      <c r="K12" s="1"/>
      <c r="L12" s="1"/>
      <c r="M12" s="1"/>
      <c r="N12" s="1"/>
      <c r="O12" s="1"/>
      <c r="P12" s="1"/>
    </row>
    <row r="13" ht="14.25" customHeight="1">
      <c r="A13" s="1"/>
      <c r="B13" s="1"/>
      <c r="C13" s="615"/>
      <c r="D13" s="1"/>
      <c r="E13" s="921"/>
      <c r="F13" s="1"/>
      <c r="G13" s="1"/>
      <c r="H13" s="1"/>
      <c r="I13" s="1"/>
      <c r="J13" s="1"/>
      <c r="K13" s="1"/>
      <c r="L13" s="1"/>
      <c r="M13" s="1"/>
      <c r="N13" s="1"/>
      <c r="O13" s="1"/>
      <c r="P13" s="1"/>
    </row>
    <row r="14" ht="14.25" customHeight="1">
      <c r="A14" s="206" t="s">
        <v>2117</v>
      </c>
      <c r="B14" s="5"/>
      <c r="C14" s="5"/>
      <c r="D14" s="6"/>
      <c r="E14" s="921"/>
      <c r="F14" s="1"/>
      <c r="G14" s="1"/>
      <c r="H14" s="1"/>
      <c r="I14" s="1"/>
      <c r="J14" s="1"/>
      <c r="K14" s="1"/>
      <c r="L14" s="1"/>
      <c r="M14" s="1"/>
      <c r="N14" s="1"/>
      <c r="O14" s="1"/>
      <c r="P14" s="1"/>
    </row>
    <row r="15" ht="14.25" customHeight="1">
      <c r="A15" s="68" t="s">
        <v>1521</v>
      </c>
      <c r="B15" s="73">
        <v>90.0</v>
      </c>
      <c r="C15" s="976">
        <v>60.0</v>
      </c>
      <c r="D15" s="216" t="s">
        <v>5</v>
      </c>
      <c r="E15" s="921"/>
      <c r="F15" s="1"/>
      <c r="G15" s="1"/>
      <c r="H15" s="1"/>
      <c r="I15" s="1"/>
      <c r="J15" s="1"/>
      <c r="K15" s="1"/>
      <c r="L15" s="1"/>
      <c r="M15" s="1"/>
      <c r="N15" s="1"/>
      <c r="O15" s="1"/>
      <c r="P15" s="1"/>
    </row>
    <row r="16" ht="14.25" customHeight="1">
      <c r="A16" s="93" t="s">
        <v>1387</v>
      </c>
      <c r="B16" s="94">
        <v>60.0</v>
      </c>
      <c r="C16" s="992">
        <f t="shared" ref="C16:C25" si="2">(B16*C15)/B15</f>
        <v>40</v>
      </c>
      <c r="D16" s="249" t="s">
        <v>14</v>
      </c>
      <c r="E16" s="921"/>
      <c r="F16" s="1"/>
      <c r="G16" s="1"/>
      <c r="H16" s="1"/>
      <c r="I16" s="1"/>
      <c r="J16" s="1"/>
      <c r="K16" s="1"/>
      <c r="L16" s="1"/>
      <c r="M16" s="1"/>
      <c r="N16" s="1"/>
      <c r="O16" s="1"/>
      <c r="P16" s="1"/>
    </row>
    <row r="17" ht="14.25" customHeight="1">
      <c r="A17" s="93" t="s">
        <v>1274</v>
      </c>
      <c r="B17" s="94">
        <v>10.0</v>
      </c>
      <c r="C17" s="992">
        <f t="shared" si="2"/>
        <v>6.666666667</v>
      </c>
      <c r="D17" s="249" t="s">
        <v>14</v>
      </c>
      <c r="E17" s="921"/>
      <c r="F17" s="1"/>
      <c r="G17" s="1"/>
      <c r="H17" s="1"/>
      <c r="I17" s="1"/>
      <c r="J17" s="1"/>
      <c r="K17" s="1"/>
      <c r="L17" s="1"/>
      <c r="M17" s="1"/>
      <c r="N17" s="1"/>
      <c r="O17" s="1"/>
      <c r="P17" s="1"/>
    </row>
    <row r="18" ht="14.25" customHeight="1">
      <c r="A18" s="93" t="s">
        <v>2121</v>
      </c>
      <c r="B18" s="94">
        <v>1.0</v>
      </c>
      <c r="C18" s="992">
        <f t="shared" si="2"/>
        <v>0.6666666667</v>
      </c>
      <c r="D18" s="249" t="s">
        <v>14</v>
      </c>
      <c r="E18" s="921"/>
      <c r="F18" s="1"/>
      <c r="G18" s="1"/>
      <c r="H18" s="1"/>
      <c r="I18" s="1"/>
      <c r="J18" s="1"/>
      <c r="K18" s="1"/>
      <c r="L18" s="1"/>
      <c r="M18" s="1"/>
      <c r="N18" s="1"/>
      <c r="O18" s="1"/>
      <c r="P18" s="1"/>
    </row>
    <row r="19" ht="14.25" customHeight="1">
      <c r="A19" s="93" t="s">
        <v>1278</v>
      </c>
      <c r="B19" s="94">
        <v>11.0</v>
      </c>
      <c r="C19" s="992">
        <f t="shared" si="2"/>
        <v>7.333333333</v>
      </c>
      <c r="D19" s="249" t="s">
        <v>5</v>
      </c>
      <c r="E19" s="921"/>
      <c r="F19" s="1"/>
      <c r="G19" s="1"/>
      <c r="H19" s="1"/>
      <c r="I19" s="1"/>
      <c r="J19" s="1"/>
      <c r="K19" s="1"/>
      <c r="L19" s="1"/>
      <c r="M19" s="1"/>
      <c r="N19" s="1"/>
      <c r="O19" s="1"/>
      <c r="P19" s="1"/>
    </row>
    <row r="20" ht="14.25" customHeight="1">
      <c r="A20" s="93" t="s">
        <v>13</v>
      </c>
      <c r="B20" s="94">
        <v>22.0</v>
      </c>
      <c r="C20" s="992">
        <f t="shared" si="2"/>
        <v>14.66666667</v>
      </c>
      <c r="D20" s="249" t="s">
        <v>14</v>
      </c>
      <c r="E20" s="921"/>
      <c r="F20" s="1"/>
      <c r="G20" s="1"/>
      <c r="H20" s="1"/>
      <c r="I20" s="1"/>
      <c r="J20" s="1"/>
      <c r="K20" s="1"/>
      <c r="L20" s="1"/>
      <c r="M20" s="1"/>
      <c r="N20" s="1"/>
      <c r="O20" s="1"/>
      <c r="P20" s="1"/>
    </row>
    <row r="21" ht="14.25" customHeight="1">
      <c r="A21" s="93" t="s">
        <v>749</v>
      </c>
      <c r="B21" s="94">
        <v>1.0</v>
      </c>
      <c r="C21" s="992">
        <f t="shared" si="2"/>
        <v>0.6666666667</v>
      </c>
      <c r="D21" s="249" t="s">
        <v>14</v>
      </c>
      <c r="E21" s="921"/>
      <c r="F21" s="1"/>
      <c r="G21" s="1"/>
      <c r="H21" s="1"/>
      <c r="I21" s="1"/>
      <c r="J21" s="1"/>
      <c r="K21" s="1"/>
      <c r="L21" s="1"/>
      <c r="M21" s="1"/>
      <c r="N21" s="1"/>
      <c r="O21" s="1"/>
      <c r="P21" s="1"/>
    </row>
    <row r="22" ht="14.25" customHeight="1">
      <c r="A22" s="93" t="s">
        <v>17</v>
      </c>
      <c r="B22" s="94">
        <v>150.0</v>
      </c>
      <c r="C22" s="992">
        <f t="shared" si="2"/>
        <v>100</v>
      </c>
      <c r="D22" s="249" t="s">
        <v>18</v>
      </c>
      <c r="E22" s="921"/>
      <c r="F22" s="1"/>
      <c r="G22" s="1"/>
      <c r="H22" s="1"/>
      <c r="I22" s="1"/>
      <c r="J22" s="1"/>
      <c r="K22" s="1"/>
      <c r="L22" s="1"/>
      <c r="M22" s="1"/>
      <c r="N22" s="1"/>
      <c r="O22" s="1"/>
      <c r="P22" s="1"/>
    </row>
    <row r="23" ht="14.25" customHeight="1">
      <c r="A23" s="93" t="s">
        <v>2123</v>
      </c>
      <c r="B23" s="94">
        <v>50.0</v>
      </c>
      <c r="C23" s="992">
        <f t="shared" si="2"/>
        <v>33.33333333</v>
      </c>
      <c r="D23" s="249" t="s">
        <v>18</v>
      </c>
      <c r="E23" s="921"/>
      <c r="F23" s="1"/>
      <c r="G23" s="1"/>
      <c r="H23" s="1"/>
      <c r="I23" s="1"/>
      <c r="J23" s="1"/>
      <c r="K23" s="1"/>
      <c r="L23" s="1"/>
      <c r="M23" s="1"/>
      <c r="N23" s="1"/>
      <c r="O23" s="1"/>
      <c r="P23" s="1"/>
    </row>
    <row r="24" ht="14.25" customHeight="1">
      <c r="A24" s="93" t="s">
        <v>2126</v>
      </c>
      <c r="B24" s="94">
        <v>150.0</v>
      </c>
      <c r="C24" s="992">
        <f t="shared" si="2"/>
        <v>100</v>
      </c>
      <c r="D24" s="249" t="s">
        <v>18</v>
      </c>
      <c r="E24" s="921"/>
      <c r="F24" s="1"/>
      <c r="G24" s="1"/>
      <c r="H24" s="1"/>
      <c r="I24" s="1"/>
      <c r="J24" s="1"/>
      <c r="K24" s="1"/>
      <c r="L24" s="1"/>
      <c r="M24" s="1"/>
      <c r="N24" s="1"/>
      <c r="O24" s="1"/>
      <c r="P24" s="1"/>
    </row>
    <row r="25" ht="14.25" customHeight="1">
      <c r="A25" s="93" t="s">
        <v>2128</v>
      </c>
      <c r="B25" s="94">
        <v>0.0</v>
      </c>
      <c r="C25" s="992">
        <f t="shared" si="2"/>
        <v>0</v>
      </c>
      <c r="D25" s="249"/>
      <c r="E25" s="921"/>
      <c r="F25" s="1"/>
      <c r="G25" s="1"/>
      <c r="H25" s="1"/>
      <c r="I25" s="1"/>
      <c r="J25" s="1"/>
      <c r="K25" s="1"/>
      <c r="L25" s="1"/>
      <c r="M25" s="1"/>
      <c r="N25" s="1"/>
      <c r="O25" s="1"/>
      <c r="P25" s="1"/>
    </row>
    <row r="26" ht="14.25" customHeight="1">
      <c r="A26" s="93" t="s">
        <v>2129</v>
      </c>
      <c r="B26" s="94"/>
      <c r="C26" s="992"/>
      <c r="D26" s="249"/>
      <c r="E26" s="921"/>
      <c r="F26" s="1"/>
      <c r="G26" s="1"/>
      <c r="H26" s="1"/>
      <c r="I26" s="1"/>
      <c r="J26" s="1"/>
      <c r="K26" s="1"/>
      <c r="L26" s="1"/>
      <c r="M26" s="1"/>
      <c r="N26" s="1"/>
      <c r="O26" s="1"/>
      <c r="P26" s="1"/>
    </row>
    <row r="27" ht="14.25" customHeight="1">
      <c r="A27" s="105" t="s">
        <v>569</v>
      </c>
      <c r="B27" s="522"/>
      <c r="C27" s="981"/>
      <c r="D27" s="518"/>
      <c r="E27" s="1"/>
      <c r="F27" s="1"/>
      <c r="G27" s="1"/>
      <c r="H27" s="1"/>
      <c r="I27" s="1"/>
      <c r="J27" s="1"/>
      <c r="K27" s="1"/>
      <c r="L27" s="1"/>
      <c r="M27" s="1"/>
      <c r="N27" s="1"/>
      <c r="O27" s="1"/>
      <c r="P27" s="1"/>
    </row>
    <row r="28" ht="14.25" customHeight="1">
      <c r="A28" s="1187" t="s">
        <v>119</v>
      </c>
      <c r="B28" s="560" t="s">
        <v>47</v>
      </c>
      <c r="C28" s="615"/>
      <c r="D28" s="1"/>
      <c r="E28" s="1"/>
      <c r="F28" s="1"/>
      <c r="G28" s="1"/>
      <c r="H28" s="1"/>
      <c r="I28" s="1"/>
      <c r="J28" s="1"/>
      <c r="K28" s="1"/>
      <c r="L28" s="1"/>
      <c r="M28" s="1"/>
      <c r="N28" s="1"/>
      <c r="O28" s="1"/>
      <c r="P28" s="1"/>
    </row>
    <row r="29" ht="14.25" customHeight="1">
      <c r="A29" s="302" t="s">
        <v>49</v>
      </c>
      <c r="B29" s="303">
        <v>41036.0</v>
      </c>
      <c r="C29" s="615"/>
      <c r="D29" s="1"/>
      <c r="E29" s="1"/>
      <c r="F29" s="1"/>
      <c r="G29" s="1"/>
      <c r="H29" s="1"/>
      <c r="I29" s="1"/>
      <c r="J29" s="1"/>
      <c r="K29" s="1"/>
      <c r="L29" s="1"/>
      <c r="M29" s="1"/>
      <c r="N29" s="1"/>
      <c r="O29" s="1"/>
      <c r="P29" s="1"/>
    </row>
    <row r="30" ht="14.25" customHeight="1">
      <c r="A30" s="811" t="s">
        <v>1052</v>
      </c>
      <c r="B30" s="303">
        <v>41203.0</v>
      </c>
      <c r="C30" s="615"/>
      <c r="D30" s="1"/>
      <c r="E30" s="1"/>
      <c r="F30" s="1"/>
      <c r="G30" s="1"/>
      <c r="H30" s="1"/>
      <c r="I30" s="1"/>
      <c r="J30" s="1"/>
      <c r="K30" s="1"/>
      <c r="L30" s="1"/>
      <c r="M30" s="1"/>
      <c r="N30" s="1"/>
      <c r="O30" s="1"/>
      <c r="P30" s="1"/>
    </row>
    <row r="31" ht="14.25" customHeight="1">
      <c r="A31" s="1888" t="s">
        <v>2138</v>
      </c>
      <c r="B31" s="1890"/>
      <c r="C31" s="1891"/>
      <c r="D31" s="1"/>
      <c r="E31" s="921"/>
      <c r="F31" s="1"/>
      <c r="G31" s="1"/>
      <c r="H31" s="1"/>
      <c r="I31" s="1"/>
      <c r="J31" s="1"/>
      <c r="K31" s="1"/>
      <c r="L31" s="1"/>
      <c r="M31" s="1"/>
      <c r="N31" s="1"/>
      <c r="O31" s="1"/>
      <c r="P31" s="1"/>
    </row>
    <row r="32" ht="14.25" customHeight="1">
      <c r="A32" s="1"/>
      <c r="B32" s="1"/>
      <c r="C32" s="615"/>
      <c r="D32" s="1"/>
      <c r="E32" s="921"/>
      <c r="F32" s="1"/>
      <c r="G32" s="1"/>
      <c r="H32" s="1"/>
      <c r="I32" s="1"/>
      <c r="J32" s="1"/>
      <c r="K32" s="1"/>
      <c r="L32" s="1"/>
      <c r="M32" s="1"/>
      <c r="N32" s="1"/>
      <c r="O32" s="1"/>
      <c r="P32" s="1"/>
    </row>
    <row r="33" ht="14.25" customHeight="1">
      <c r="A33" s="913" t="s">
        <v>476</v>
      </c>
      <c r="B33" s="5"/>
      <c r="C33" s="5"/>
      <c r="D33" s="6"/>
      <c r="E33" s="1893" t="s">
        <v>2142</v>
      </c>
      <c r="F33" s="1"/>
      <c r="G33" s="1"/>
      <c r="H33" s="1895" t="s">
        <v>2143</v>
      </c>
      <c r="I33" s="1478"/>
      <c r="J33" s="1479"/>
      <c r="K33" s="1"/>
      <c r="L33" s="209" t="s">
        <v>2145</v>
      </c>
      <c r="M33" s="18"/>
      <c r="N33" s="18"/>
      <c r="O33" s="19"/>
      <c r="P33" s="1"/>
    </row>
    <row r="34" ht="14.25" customHeight="1">
      <c r="A34" s="1896" t="s">
        <v>2146</v>
      </c>
      <c r="B34" s="1071">
        <v>50.0</v>
      </c>
      <c r="C34" s="1900">
        <v>60.0</v>
      </c>
      <c r="D34" s="1778" t="s">
        <v>9</v>
      </c>
      <c r="E34" s="47"/>
      <c r="F34" s="1"/>
      <c r="G34" s="1"/>
      <c r="H34" s="247" t="s">
        <v>2151</v>
      </c>
      <c r="I34" s="195">
        <v>1.0</v>
      </c>
      <c r="J34" s="247" t="s">
        <v>366</v>
      </c>
      <c r="K34" s="1"/>
      <c r="L34" s="105" t="s">
        <v>2153</v>
      </c>
      <c r="M34" s="200">
        <v>60.0</v>
      </c>
      <c r="N34" s="56">
        <v>30.0</v>
      </c>
      <c r="O34" s="281" t="s">
        <v>5</v>
      </c>
      <c r="P34" s="1"/>
    </row>
    <row r="35" ht="14.25" customHeight="1">
      <c r="A35" s="1896" t="s">
        <v>2155</v>
      </c>
      <c r="B35" s="1087">
        <v>65.0</v>
      </c>
      <c r="C35" s="1903">
        <f t="shared" ref="C35:C41" si="3">(B35*C34)/B34</f>
        <v>78</v>
      </c>
      <c r="D35" s="1905" t="s">
        <v>9</v>
      </c>
      <c r="E35" s="47"/>
      <c r="F35" s="1"/>
      <c r="G35" s="1"/>
      <c r="H35" s="247" t="s">
        <v>1210</v>
      </c>
      <c r="I35" s="195">
        <v>200.0</v>
      </c>
      <c r="J35" s="247" t="s">
        <v>18</v>
      </c>
      <c r="K35" s="1"/>
      <c r="L35" s="68" t="s">
        <v>2164</v>
      </c>
      <c r="M35" s="145">
        <v>1.0</v>
      </c>
      <c r="N35" s="155">
        <f t="shared" ref="N35:N41" si="4">(M35*N34)/M34</f>
        <v>0.5</v>
      </c>
      <c r="O35" s="137" t="s">
        <v>366</v>
      </c>
      <c r="P35" s="1"/>
    </row>
    <row r="36" ht="14.25" customHeight="1">
      <c r="A36" s="1896" t="s">
        <v>2172</v>
      </c>
      <c r="B36" s="1087">
        <v>80.0</v>
      </c>
      <c r="C36" s="1903">
        <f t="shared" si="3"/>
        <v>96</v>
      </c>
      <c r="D36" s="1905" t="s">
        <v>9</v>
      </c>
      <c r="E36" s="47"/>
      <c r="F36" s="1"/>
      <c r="G36" s="1"/>
      <c r="H36" s="247" t="s">
        <v>2173</v>
      </c>
      <c r="I36" s="195">
        <v>2.25</v>
      </c>
      <c r="J36" s="247" t="s">
        <v>366</v>
      </c>
      <c r="K36" s="1"/>
      <c r="L36" s="105" t="s">
        <v>1210</v>
      </c>
      <c r="M36" s="200">
        <v>100.0</v>
      </c>
      <c r="N36" s="56">
        <f t="shared" si="4"/>
        <v>50</v>
      </c>
      <c r="O36" s="172" t="s">
        <v>14</v>
      </c>
      <c r="P36" s="1"/>
    </row>
    <row r="37" ht="14.25" customHeight="1">
      <c r="A37" s="1144" t="s">
        <v>2104</v>
      </c>
      <c r="B37" s="1906">
        <v>1.0</v>
      </c>
      <c r="C37" s="1907">
        <f t="shared" si="3"/>
        <v>1.2</v>
      </c>
      <c r="D37" s="1714" t="s">
        <v>14</v>
      </c>
      <c r="E37" s="47"/>
      <c r="F37" s="1"/>
      <c r="G37" s="1"/>
      <c r="H37" s="247" t="s">
        <v>164</v>
      </c>
      <c r="I37" s="195">
        <v>2.0</v>
      </c>
      <c r="J37" s="247" t="s">
        <v>82</v>
      </c>
      <c r="K37" s="1"/>
      <c r="L37" s="68" t="s">
        <v>13</v>
      </c>
      <c r="M37" s="145">
        <v>2.0</v>
      </c>
      <c r="N37" s="155">
        <f t="shared" si="4"/>
        <v>1</v>
      </c>
      <c r="O37" s="137" t="s">
        <v>14</v>
      </c>
      <c r="P37" s="1"/>
    </row>
    <row r="38" ht="14.25" customHeight="1">
      <c r="A38" s="898" t="s">
        <v>2177</v>
      </c>
      <c r="B38" s="1910">
        <v>0.15</v>
      </c>
      <c r="C38" s="1717">
        <f t="shared" si="3"/>
        <v>0.18</v>
      </c>
      <c r="D38" s="1302" t="s">
        <v>14</v>
      </c>
      <c r="E38" s="47"/>
      <c r="F38" s="1"/>
      <c r="G38" s="1"/>
      <c r="H38" s="247" t="s">
        <v>2178</v>
      </c>
      <c r="I38" s="195">
        <v>1.0</v>
      </c>
      <c r="J38" s="247" t="s">
        <v>2180</v>
      </c>
      <c r="K38" s="1"/>
      <c r="L38" s="93" t="s">
        <v>59</v>
      </c>
      <c r="M38" s="195">
        <v>0.6</v>
      </c>
      <c r="N38" s="78">
        <f t="shared" si="4"/>
        <v>0.3</v>
      </c>
      <c r="O38" s="165" t="s">
        <v>5</v>
      </c>
      <c r="P38" s="610" t="s">
        <v>2181</v>
      </c>
    </row>
    <row r="39" ht="14.25" customHeight="1">
      <c r="A39" s="898" t="s">
        <v>2183</v>
      </c>
      <c r="B39" s="1910">
        <v>0.15</v>
      </c>
      <c r="C39" s="1717">
        <f t="shared" si="3"/>
        <v>0.18</v>
      </c>
      <c r="D39" s="1302" t="s">
        <v>5</v>
      </c>
      <c r="E39" s="47"/>
      <c r="F39" s="1"/>
      <c r="G39" s="1"/>
      <c r="H39" s="247" t="s">
        <v>102</v>
      </c>
      <c r="I39" s="195">
        <v>1.5</v>
      </c>
      <c r="J39" s="247" t="s">
        <v>2180</v>
      </c>
      <c r="K39" s="1"/>
      <c r="L39" s="93" t="s">
        <v>2185</v>
      </c>
      <c r="M39" s="195">
        <v>50.0</v>
      </c>
      <c r="N39" s="78">
        <f t="shared" si="4"/>
        <v>25</v>
      </c>
      <c r="O39" s="165" t="s">
        <v>18</v>
      </c>
      <c r="P39" s="76"/>
    </row>
    <row r="40" ht="15.0" customHeight="1">
      <c r="A40" s="898" t="s">
        <v>17</v>
      </c>
      <c r="B40" s="1910">
        <v>12.5</v>
      </c>
      <c r="C40" s="1717">
        <f t="shared" si="3"/>
        <v>15</v>
      </c>
      <c r="D40" s="1302" t="s">
        <v>18</v>
      </c>
      <c r="E40" s="47"/>
      <c r="F40" s="1"/>
      <c r="G40" s="1"/>
      <c r="H40" s="247" t="s">
        <v>2186</v>
      </c>
      <c r="I40" s="195">
        <v>1.5</v>
      </c>
      <c r="J40" s="247" t="s">
        <v>2180</v>
      </c>
      <c r="K40" s="1"/>
      <c r="L40" s="93" t="s">
        <v>1195</v>
      </c>
      <c r="M40" s="195">
        <v>1.0</v>
      </c>
      <c r="N40" s="78">
        <f t="shared" si="4"/>
        <v>0.5</v>
      </c>
      <c r="O40" s="165" t="s">
        <v>2187</v>
      </c>
      <c r="P40" s="1"/>
    </row>
    <row r="41" ht="15.0" customHeight="1">
      <c r="A41" s="1151" t="s">
        <v>2188</v>
      </c>
      <c r="B41" s="1912">
        <v>2.5</v>
      </c>
      <c r="C41" s="1720">
        <f t="shared" si="3"/>
        <v>3</v>
      </c>
      <c r="D41" s="1722" t="s">
        <v>18</v>
      </c>
      <c r="E41" s="47"/>
      <c r="F41" s="1"/>
      <c r="G41" s="1"/>
      <c r="H41" s="247" t="s">
        <v>2190</v>
      </c>
      <c r="I41" s="195">
        <v>1.0</v>
      </c>
      <c r="J41" s="247" t="s">
        <v>5</v>
      </c>
      <c r="K41" s="1"/>
      <c r="L41" s="105" t="s">
        <v>2191</v>
      </c>
      <c r="M41" s="200">
        <v>0.2</v>
      </c>
      <c r="N41" s="56">
        <f t="shared" si="4"/>
        <v>0.1</v>
      </c>
      <c r="O41" s="172" t="s">
        <v>18</v>
      </c>
      <c r="P41" s="1"/>
    </row>
    <row r="42" ht="14.25" customHeight="1">
      <c r="A42" s="1163" t="s">
        <v>2192</v>
      </c>
      <c r="B42" s="1914">
        <v>0.25</v>
      </c>
      <c r="C42" s="1121">
        <f>(B42*C46)/B46</f>
        <v>0.3</v>
      </c>
      <c r="D42" s="1755" t="s">
        <v>5</v>
      </c>
      <c r="E42" s="76"/>
      <c r="F42" s="1"/>
      <c r="G42" s="1"/>
      <c r="H42" s="247" t="s">
        <v>2193</v>
      </c>
      <c r="I42" s="195">
        <v>120.0</v>
      </c>
      <c r="J42" s="247" t="s">
        <v>18</v>
      </c>
      <c r="K42" s="1"/>
      <c r="L42" s="1"/>
      <c r="M42" s="1"/>
      <c r="N42" s="1"/>
      <c r="O42" s="1"/>
      <c r="P42" s="1"/>
    </row>
    <row r="43" ht="14.25" customHeight="1">
      <c r="A43" s="1144" t="s">
        <v>13</v>
      </c>
      <c r="B43" s="1906">
        <v>3.0</v>
      </c>
      <c r="C43" s="976">
        <f>(B43*C39)/B39</f>
        <v>3.6</v>
      </c>
      <c r="D43" s="1714" t="s">
        <v>14</v>
      </c>
      <c r="E43" s="194" t="s">
        <v>2194</v>
      </c>
      <c r="F43" s="1"/>
      <c r="G43" s="1"/>
      <c r="H43" s="1"/>
      <c r="I43" s="107"/>
      <c r="J43" s="1"/>
      <c r="K43" s="1"/>
      <c r="L43" s="1"/>
      <c r="M43" s="1"/>
      <c r="N43" s="1"/>
      <c r="O43" s="1"/>
      <c r="P43" s="1"/>
    </row>
    <row r="44" ht="14.25" customHeight="1">
      <c r="A44" s="898" t="s">
        <v>59</v>
      </c>
      <c r="B44" s="1910">
        <v>1.8</v>
      </c>
      <c r="C44" s="992">
        <f t="shared" ref="C44:C46" si="5">(B44*C43)/B43</f>
        <v>2.16</v>
      </c>
      <c r="D44" s="1302" t="s">
        <v>5</v>
      </c>
      <c r="E44" s="63"/>
      <c r="F44" s="1"/>
      <c r="G44" s="1"/>
      <c r="H44" s="1916" t="s">
        <v>2196</v>
      </c>
      <c r="I44" s="1917"/>
      <c r="J44" s="1917"/>
      <c r="K44" s="1919"/>
      <c r="L44" s="1"/>
      <c r="M44" s="1"/>
      <c r="N44" s="1"/>
      <c r="O44" s="1"/>
      <c r="P44" s="1"/>
    </row>
    <row r="45" ht="14.25" customHeight="1">
      <c r="A45" s="898" t="s">
        <v>2199</v>
      </c>
      <c r="B45" s="1910">
        <v>150.0</v>
      </c>
      <c r="C45" s="992">
        <f t="shared" si="5"/>
        <v>180</v>
      </c>
      <c r="D45" s="1302" t="s">
        <v>82</v>
      </c>
      <c r="E45" s="63"/>
      <c r="F45" s="1"/>
      <c r="G45" s="1"/>
      <c r="H45" s="1921"/>
      <c r="K45" s="1922"/>
      <c r="L45" s="1"/>
      <c r="M45" s="1"/>
      <c r="N45" s="1"/>
      <c r="O45" s="1"/>
      <c r="P45" s="1"/>
    </row>
    <row r="46" ht="14.25" customHeight="1">
      <c r="A46" s="1151" t="s">
        <v>2202</v>
      </c>
      <c r="B46" s="1912">
        <v>0.3</v>
      </c>
      <c r="C46" s="981">
        <f t="shared" si="5"/>
        <v>0.36</v>
      </c>
      <c r="D46" s="1722" t="s">
        <v>82</v>
      </c>
      <c r="E46" s="63"/>
      <c r="F46" s="1"/>
      <c r="G46" s="1"/>
      <c r="H46" s="1923"/>
      <c r="I46" s="1924"/>
      <c r="J46" s="1924"/>
      <c r="K46" s="1925"/>
      <c r="L46" s="1"/>
      <c r="M46" s="1"/>
      <c r="N46" s="1"/>
      <c r="O46" s="1"/>
      <c r="P46" s="1"/>
    </row>
    <row r="47" ht="14.25" customHeight="1">
      <c r="A47" s="560" t="s">
        <v>119</v>
      </c>
      <c r="B47" s="560" t="s">
        <v>47</v>
      </c>
      <c r="C47" s="615"/>
      <c r="D47" s="1926"/>
      <c r="E47" s="1"/>
      <c r="F47" s="1"/>
      <c r="G47" s="1"/>
      <c r="H47" s="1"/>
      <c r="I47" s="1"/>
      <c r="J47" s="1"/>
      <c r="K47" s="1"/>
      <c r="L47" s="1"/>
      <c r="M47" s="1"/>
      <c r="N47" s="1"/>
      <c r="O47" s="1"/>
      <c r="P47" s="1"/>
    </row>
    <row r="48" ht="15.0" customHeight="1">
      <c r="A48" s="185" t="s">
        <v>49</v>
      </c>
      <c r="B48" s="1930">
        <v>41396.0</v>
      </c>
      <c r="C48" s="615"/>
      <c r="D48" s="1"/>
      <c r="E48" s="1"/>
      <c r="F48" s="1"/>
      <c r="G48" s="1"/>
      <c r="H48" s="1"/>
      <c r="I48" s="1"/>
      <c r="J48" s="1"/>
      <c r="K48" s="1"/>
      <c r="L48" s="1"/>
      <c r="M48" s="1"/>
      <c r="N48" s="1"/>
      <c r="O48" s="1"/>
      <c r="P48" s="1"/>
    </row>
    <row r="49" ht="14.25" customHeight="1">
      <c r="A49" s="203" t="s">
        <v>50</v>
      </c>
      <c r="B49" s="1932">
        <v>41508.0</v>
      </c>
      <c r="C49" s="615"/>
      <c r="D49" s="1"/>
      <c r="E49" s="1"/>
      <c r="F49" s="1"/>
      <c r="G49" s="1"/>
      <c r="H49" s="1"/>
      <c r="I49" s="1"/>
      <c r="J49" s="1"/>
      <c r="K49" s="1"/>
      <c r="L49" s="1"/>
      <c r="M49" s="1"/>
      <c r="N49" s="1"/>
      <c r="O49" s="1"/>
      <c r="P49" s="1"/>
    </row>
    <row r="50" ht="14.25" customHeight="1">
      <c r="A50" s="1"/>
      <c r="B50" s="1"/>
      <c r="C50" s="615"/>
      <c r="D50" s="1"/>
      <c r="E50" s="921"/>
      <c r="F50" s="1"/>
      <c r="G50" s="1"/>
      <c r="H50" s="1"/>
      <c r="I50" s="1"/>
      <c r="J50" s="1"/>
      <c r="K50" s="1"/>
      <c r="L50" s="1"/>
      <c r="M50" s="1"/>
      <c r="N50" s="1"/>
      <c r="O50" s="1"/>
      <c r="P50" s="1"/>
    </row>
    <row r="51" ht="14.25" customHeight="1">
      <c r="A51" s="206" t="s">
        <v>2207</v>
      </c>
      <c r="B51" s="5"/>
      <c r="C51" s="5"/>
      <c r="D51" s="6"/>
      <c r="E51" s="578"/>
      <c r="F51" s="1"/>
      <c r="G51" s="1"/>
      <c r="H51" s="1"/>
      <c r="I51" s="1"/>
      <c r="J51" s="1"/>
      <c r="K51" s="1"/>
      <c r="L51" s="1"/>
      <c r="M51" s="1"/>
      <c r="N51" s="1"/>
      <c r="O51" s="1"/>
      <c r="P51" s="1"/>
    </row>
    <row r="52" ht="14.25" customHeight="1">
      <c r="A52" s="68" t="s">
        <v>2209</v>
      </c>
      <c r="B52" s="210">
        <v>10.0</v>
      </c>
      <c r="C52" s="976">
        <v>60.0</v>
      </c>
      <c r="D52" s="216" t="s">
        <v>5</v>
      </c>
      <c r="E52" s="1937"/>
      <c r="F52" s="1"/>
      <c r="G52" s="1"/>
      <c r="H52" s="1"/>
      <c r="I52" s="1"/>
      <c r="J52" s="1"/>
      <c r="K52" s="1"/>
      <c r="L52" s="1"/>
      <c r="M52" s="1"/>
      <c r="N52" s="1"/>
      <c r="O52" s="1"/>
      <c r="P52" s="1"/>
    </row>
    <row r="53" ht="14.25" customHeight="1">
      <c r="A53" s="68" t="s">
        <v>60</v>
      </c>
      <c r="B53" s="210">
        <v>3.5</v>
      </c>
      <c r="C53" s="976">
        <f t="shared" ref="C53:C54" si="6">B53*C52/B52</f>
        <v>21</v>
      </c>
      <c r="D53" s="216" t="s">
        <v>14</v>
      </c>
      <c r="E53" s="44" t="s">
        <v>1219</v>
      </c>
      <c r="F53" s="1"/>
      <c r="G53" s="1"/>
      <c r="H53" s="1"/>
      <c r="I53" s="1"/>
      <c r="J53" s="1"/>
      <c r="K53" s="1"/>
      <c r="L53" s="1"/>
      <c r="M53" s="1"/>
      <c r="N53" s="1"/>
      <c r="O53" s="1"/>
      <c r="P53" s="1"/>
    </row>
    <row r="54" ht="14.25" customHeight="1">
      <c r="A54" s="105" t="s">
        <v>2210</v>
      </c>
      <c r="B54" s="522">
        <v>5.0</v>
      </c>
      <c r="C54" s="981">
        <f t="shared" si="6"/>
        <v>30</v>
      </c>
      <c r="D54" s="518" t="s">
        <v>14</v>
      </c>
      <c r="E54" s="76"/>
      <c r="F54" s="1"/>
      <c r="G54" s="1"/>
      <c r="H54" s="1"/>
      <c r="I54" s="1"/>
      <c r="J54" s="1"/>
      <c r="K54" s="1"/>
      <c r="L54" s="1"/>
      <c r="M54" s="1"/>
      <c r="N54" s="1"/>
      <c r="O54" s="1"/>
      <c r="P54" s="1"/>
    </row>
    <row r="55" ht="14.25" customHeight="1">
      <c r="A55" s="560" t="s">
        <v>119</v>
      </c>
      <c r="B55" s="560" t="s">
        <v>47</v>
      </c>
      <c r="C55" s="615"/>
      <c r="D55" s="1"/>
      <c r="E55" s="1"/>
      <c r="F55" s="1"/>
      <c r="G55" s="1"/>
      <c r="H55" s="1"/>
      <c r="I55" s="1"/>
      <c r="J55" s="1"/>
      <c r="K55" s="1"/>
      <c r="L55" s="1"/>
      <c r="M55" s="1"/>
      <c r="N55" s="1"/>
      <c r="O55" s="1"/>
      <c r="P55" s="1"/>
    </row>
    <row r="56" ht="14.25" customHeight="1">
      <c r="A56" s="203" t="s">
        <v>49</v>
      </c>
      <c r="B56" s="1876">
        <v>42016.0</v>
      </c>
      <c r="C56" s="615"/>
      <c r="D56" s="1"/>
      <c r="E56" s="1"/>
      <c r="F56" s="1"/>
      <c r="G56" s="1"/>
      <c r="H56" s="1"/>
      <c r="I56" s="1"/>
      <c r="J56" s="1"/>
      <c r="K56" s="1"/>
      <c r="L56" s="1"/>
      <c r="M56" s="1"/>
      <c r="N56" s="1"/>
      <c r="O56" s="1"/>
      <c r="P56" s="1"/>
    </row>
    <row r="57" ht="14.25" customHeight="1">
      <c r="A57" s="342" t="s">
        <v>50</v>
      </c>
      <c r="B57" s="1880"/>
      <c r="C57" s="615"/>
      <c r="D57" s="1"/>
      <c r="E57" s="1"/>
      <c r="F57" s="1"/>
      <c r="G57" s="1"/>
      <c r="H57" s="1"/>
      <c r="I57" s="1"/>
      <c r="J57" s="1"/>
      <c r="K57" s="1"/>
      <c r="L57" s="1"/>
      <c r="M57" s="1"/>
      <c r="N57" s="1"/>
      <c r="O57" s="1"/>
      <c r="P57" s="1"/>
    </row>
    <row r="58" ht="14.25" customHeight="1">
      <c r="A58" s="1"/>
      <c r="B58" s="1"/>
      <c r="C58" s="615"/>
      <c r="D58" s="1"/>
      <c r="E58" s="1"/>
      <c r="F58" s="1"/>
      <c r="G58" s="1"/>
      <c r="H58" s="1"/>
      <c r="I58" s="1"/>
      <c r="J58" s="1"/>
      <c r="K58" s="1"/>
      <c r="L58" s="1"/>
      <c r="M58" s="1"/>
      <c r="N58" s="1"/>
      <c r="O58" s="1"/>
      <c r="P58" s="1"/>
    </row>
    <row r="59" ht="14.25" customHeight="1">
      <c r="A59" s="1169" t="s">
        <v>539</v>
      </c>
      <c r="B59" s="5"/>
      <c r="C59" s="5"/>
      <c r="D59" s="6"/>
      <c r="E59" s="921"/>
      <c r="F59" s="1"/>
      <c r="G59" s="1"/>
      <c r="H59" s="1"/>
      <c r="I59" s="1"/>
      <c r="J59" s="1"/>
      <c r="K59" s="1"/>
      <c r="L59" s="1"/>
      <c r="M59" s="1"/>
      <c r="N59" s="1"/>
      <c r="O59" s="1"/>
      <c r="P59" s="1"/>
    </row>
    <row r="60" ht="14.25" customHeight="1">
      <c r="A60" s="68" t="s">
        <v>171</v>
      </c>
      <c r="B60" s="1940">
        <v>500.0</v>
      </c>
      <c r="C60" s="1941">
        <v>1000.0</v>
      </c>
      <c r="D60" s="216" t="s">
        <v>117</v>
      </c>
      <c r="E60" s="921"/>
      <c r="F60" s="1"/>
      <c r="G60" s="1"/>
      <c r="H60" s="1"/>
      <c r="I60" s="1"/>
      <c r="J60" s="1"/>
      <c r="K60" s="1"/>
      <c r="L60" s="1"/>
      <c r="M60" s="1"/>
      <c r="N60" s="1"/>
      <c r="O60" s="1"/>
      <c r="P60" s="1"/>
    </row>
    <row r="61" ht="14.25" customHeight="1">
      <c r="A61" s="1942" t="s">
        <v>2215</v>
      </c>
      <c r="B61" s="1943">
        <v>2.0</v>
      </c>
      <c r="C61" s="1949">
        <f t="shared" ref="C61:C67" si="7">(B61*C60)/B60</f>
        <v>4</v>
      </c>
      <c r="D61" s="1950" t="s">
        <v>14</v>
      </c>
      <c r="E61" s="921"/>
      <c r="F61" s="1"/>
      <c r="G61" s="1"/>
      <c r="H61" s="1"/>
      <c r="I61" s="1"/>
      <c r="J61" s="1"/>
      <c r="K61" s="1"/>
      <c r="L61" s="1"/>
      <c r="M61" s="1"/>
      <c r="N61" s="1"/>
      <c r="O61" s="1"/>
      <c r="P61" s="1"/>
    </row>
    <row r="62" ht="14.25" customHeight="1">
      <c r="A62" s="68" t="s">
        <v>1210</v>
      </c>
      <c r="B62" s="73">
        <v>10.0</v>
      </c>
      <c r="C62" s="992">
        <f t="shared" si="7"/>
        <v>20</v>
      </c>
      <c r="D62" s="216" t="s">
        <v>14</v>
      </c>
      <c r="E62" s="1951" t="s">
        <v>2222</v>
      </c>
      <c r="F62" s="1"/>
      <c r="G62" s="1"/>
      <c r="H62" s="1"/>
      <c r="I62" s="1"/>
      <c r="J62" s="1"/>
      <c r="K62" s="1"/>
      <c r="L62" s="1"/>
      <c r="M62" s="1"/>
      <c r="N62" s="1"/>
      <c r="O62" s="1"/>
      <c r="P62" s="1"/>
    </row>
    <row r="63" ht="14.25" customHeight="1">
      <c r="A63" s="93" t="s">
        <v>743</v>
      </c>
      <c r="B63" s="94">
        <v>0.5</v>
      </c>
      <c r="C63" s="992">
        <f t="shared" si="7"/>
        <v>1</v>
      </c>
      <c r="D63" s="249" t="s">
        <v>5</v>
      </c>
      <c r="F63" s="1"/>
      <c r="G63" s="1"/>
      <c r="H63" s="1"/>
      <c r="I63" s="1"/>
      <c r="J63" s="1"/>
      <c r="K63" s="1"/>
      <c r="L63" s="1"/>
      <c r="M63" s="1"/>
      <c r="N63" s="1"/>
      <c r="O63" s="1"/>
      <c r="P63" s="1"/>
    </row>
    <row r="64" ht="14.25" customHeight="1">
      <c r="A64" s="138" t="s">
        <v>2223</v>
      </c>
      <c r="B64" s="143">
        <v>2.0</v>
      </c>
      <c r="C64" s="1777">
        <f t="shared" si="7"/>
        <v>4</v>
      </c>
      <c r="D64" s="242" t="s">
        <v>5</v>
      </c>
      <c r="E64" s="1924"/>
      <c r="F64" s="1"/>
      <c r="G64" s="1"/>
      <c r="H64" s="1"/>
      <c r="I64" s="1"/>
      <c r="J64" s="1"/>
      <c r="K64" s="1"/>
      <c r="L64" s="1"/>
      <c r="M64" s="1"/>
      <c r="N64" s="1"/>
      <c r="O64" s="1"/>
      <c r="P64" s="1"/>
    </row>
    <row r="65" ht="14.25" customHeight="1">
      <c r="A65" s="68" t="s">
        <v>2225</v>
      </c>
      <c r="B65" s="73">
        <v>0.4</v>
      </c>
      <c r="C65" s="976">
        <f t="shared" si="7"/>
        <v>0.8</v>
      </c>
      <c r="D65" s="216" t="s">
        <v>5</v>
      </c>
      <c r="E65" s="264" t="s">
        <v>2227</v>
      </c>
      <c r="F65" s="1"/>
      <c r="G65" s="1"/>
      <c r="H65" s="1"/>
      <c r="I65" s="1"/>
      <c r="J65" s="1"/>
      <c r="K65" s="1"/>
      <c r="L65" s="1"/>
      <c r="M65" s="1"/>
      <c r="N65" s="1"/>
      <c r="O65" s="1"/>
      <c r="P65" s="1"/>
    </row>
    <row r="66" ht="14.25" customHeight="1">
      <c r="A66" s="105" t="s">
        <v>1210</v>
      </c>
      <c r="B66" s="110">
        <v>0.2</v>
      </c>
      <c r="C66" s="981">
        <f t="shared" si="7"/>
        <v>0.4</v>
      </c>
      <c r="D66" s="518" t="s">
        <v>14</v>
      </c>
      <c r="E66" s="106"/>
      <c r="F66" s="1"/>
      <c r="G66" s="1"/>
      <c r="H66" s="1"/>
      <c r="I66" s="1"/>
      <c r="J66" s="1"/>
      <c r="K66" s="1"/>
      <c r="L66" s="1"/>
      <c r="M66" s="1"/>
      <c r="N66" s="1"/>
      <c r="O66" s="1"/>
      <c r="P66" s="1"/>
    </row>
    <row r="67" ht="14.25" customHeight="1">
      <c r="A67" s="149" t="s">
        <v>2229</v>
      </c>
      <c r="B67" s="1957">
        <v>5.0</v>
      </c>
      <c r="C67" s="981">
        <f t="shared" si="7"/>
        <v>10</v>
      </c>
      <c r="D67" s="288" t="s">
        <v>5</v>
      </c>
      <c r="E67" s="921"/>
      <c r="F67" s="1"/>
      <c r="G67" s="1"/>
      <c r="H67" s="1"/>
      <c r="I67" s="1"/>
      <c r="J67" s="1"/>
      <c r="K67" s="1"/>
      <c r="L67" s="1"/>
      <c r="M67" s="1"/>
      <c r="N67" s="1"/>
      <c r="O67" s="1"/>
      <c r="P67" s="1"/>
    </row>
    <row r="68" ht="14.25" customHeight="1">
      <c r="A68" s="577" t="s">
        <v>2232</v>
      </c>
      <c r="B68" s="18"/>
      <c r="C68" s="18"/>
      <c r="D68" s="19"/>
      <c r="E68" s="921"/>
      <c r="F68" s="1"/>
      <c r="G68" s="1"/>
      <c r="H68" s="1"/>
      <c r="I68" s="1"/>
      <c r="J68" s="1"/>
      <c r="K68" s="1"/>
      <c r="L68" s="1"/>
      <c r="M68" s="1"/>
      <c r="N68" s="1"/>
      <c r="O68" s="1"/>
      <c r="P68" s="1"/>
    </row>
    <row r="69" ht="14.25" customHeight="1">
      <c r="A69" s="68" t="s">
        <v>402</v>
      </c>
      <c r="B69" s="73">
        <v>4.0</v>
      </c>
      <c r="C69" s="976">
        <f>(B69*C60)/B60</f>
        <v>8</v>
      </c>
      <c r="D69" s="216" t="s">
        <v>14</v>
      </c>
      <c r="E69" s="1958" t="s">
        <v>2235</v>
      </c>
      <c r="F69" s="1"/>
      <c r="G69" s="1"/>
      <c r="H69" s="1"/>
      <c r="I69" s="1"/>
      <c r="J69" s="1"/>
      <c r="K69" s="1"/>
      <c r="L69" s="1"/>
      <c r="M69" s="1"/>
      <c r="N69" s="1"/>
      <c r="O69" s="1"/>
      <c r="P69" s="1"/>
    </row>
    <row r="70" ht="14.25" customHeight="1">
      <c r="A70" s="93" t="s">
        <v>59</v>
      </c>
      <c r="B70" s="94">
        <v>2.0</v>
      </c>
      <c r="C70" s="992">
        <f t="shared" ref="C70:C71" si="8">(B70*C62)/B62</f>
        <v>4</v>
      </c>
      <c r="D70" s="249" t="s">
        <v>5</v>
      </c>
      <c r="E70" s="1924"/>
      <c r="F70" s="1"/>
      <c r="G70" s="1"/>
      <c r="H70" s="1"/>
      <c r="I70" s="1"/>
      <c r="J70" s="1"/>
      <c r="K70" s="1"/>
      <c r="L70" s="1"/>
      <c r="M70" s="1"/>
      <c r="N70" s="1"/>
      <c r="O70" s="1"/>
      <c r="P70" s="1"/>
    </row>
    <row r="71" ht="14.25" customHeight="1">
      <c r="A71" s="105" t="s">
        <v>1383</v>
      </c>
      <c r="B71" s="522">
        <v>10.0</v>
      </c>
      <c r="C71" s="981">
        <f t="shared" si="8"/>
        <v>20</v>
      </c>
      <c r="D71" s="518" t="s">
        <v>18</v>
      </c>
      <c r="E71" s="921"/>
      <c r="F71" s="1"/>
      <c r="G71" s="1"/>
      <c r="H71" s="1"/>
      <c r="I71" s="1"/>
      <c r="J71" s="1"/>
      <c r="K71" s="1"/>
      <c r="L71" s="1"/>
      <c r="M71" s="1"/>
      <c r="N71" s="1"/>
      <c r="O71" s="1"/>
      <c r="P71" s="1"/>
    </row>
    <row r="72" ht="14.25" customHeight="1">
      <c r="A72" s="560" t="s">
        <v>119</v>
      </c>
      <c r="B72" s="560" t="s">
        <v>47</v>
      </c>
      <c r="C72" s="615"/>
      <c r="D72" s="1"/>
      <c r="E72" s="1"/>
      <c r="F72" s="1"/>
      <c r="G72" s="1"/>
      <c r="H72" s="1"/>
      <c r="I72" s="1"/>
      <c r="J72" s="1"/>
      <c r="K72" s="1"/>
      <c r="L72" s="1"/>
      <c r="M72" s="1"/>
      <c r="N72" s="1"/>
      <c r="O72" s="1"/>
      <c r="P72" s="1"/>
    </row>
    <row r="73" ht="14.25" customHeight="1">
      <c r="A73" s="1349" t="s">
        <v>49</v>
      </c>
      <c r="B73" s="972">
        <v>42090.0</v>
      </c>
      <c r="C73" s="615"/>
      <c r="D73" s="1"/>
      <c r="E73" s="1"/>
      <c r="F73" s="1"/>
      <c r="G73" s="1"/>
      <c r="H73" s="1"/>
      <c r="I73" s="1"/>
      <c r="J73" s="1"/>
      <c r="K73" s="1"/>
      <c r="L73" s="1"/>
      <c r="M73" s="1"/>
      <c r="N73" s="1"/>
      <c r="O73" s="1"/>
      <c r="P73" s="1"/>
    </row>
    <row r="74" ht="14.25" customHeight="1">
      <c r="A74" s="1960" t="s">
        <v>1052</v>
      </c>
      <c r="B74" s="1961"/>
      <c r="C74" s="615"/>
      <c r="D74" s="1"/>
      <c r="E74" s="1"/>
      <c r="F74" s="1"/>
      <c r="G74" s="1"/>
      <c r="H74" s="1"/>
      <c r="I74" s="1"/>
      <c r="J74" s="1"/>
      <c r="K74" s="1"/>
      <c r="L74" s="1"/>
      <c r="M74" s="1"/>
      <c r="N74" s="1"/>
      <c r="O74" s="1"/>
      <c r="P74" s="1"/>
    </row>
    <row r="75" ht="14.25" customHeight="1">
      <c r="A75" s="1"/>
      <c r="B75" s="1"/>
      <c r="C75" s="615"/>
      <c r="D75" s="1"/>
      <c r="E75" s="1"/>
      <c r="F75" s="1"/>
      <c r="G75" s="1"/>
      <c r="H75" s="1"/>
      <c r="I75" s="1"/>
      <c r="J75" s="1"/>
      <c r="K75" s="1"/>
      <c r="L75" s="1"/>
      <c r="M75" s="1"/>
      <c r="N75" s="1"/>
      <c r="O75" s="1"/>
      <c r="P75" s="1"/>
    </row>
    <row r="76" ht="14.25" customHeight="1">
      <c r="A76" s="511" t="s">
        <v>2238</v>
      </c>
      <c r="B76" s="18"/>
      <c r="C76" s="18"/>
      <c r="D76" s="19"/>
      <c r="E76" s="44" t="s">
        <v>2239</v>
      </c>
      <c r="F76" s="1"/>
      <c r="G76" s="1"/>
      <c r="H76" s="511" t="s">
        <v>617</v>
      </c>
      <c r="I76" s="18"/>
      <c r="J76" s="18"/>
      <c r="K76" s="19"/>
      <c r="L76" s="44" t="s">
        <v>2239</v>
      </c>
      <c r="M76" s="1"/>
      <c r="N76" s="1"/>
      <c r="O76" s="1"/>
      <c r="P76" s="1"/>
    </row>
    <row r="77" ht="14.25" customHeight="1">
      <c r="A77" s="173" t="s">
        <v>2241</v>
      </c>
      <c r="B77" s="545">
        <v>90.0</v>
      </c>
      <c r="C77" s="1091">
        <v>90.0</v>
      </c>
      <c r="D77" s="547" t="s">
        <v>741</v>
      </c>
      <c r="E77" s="47"/>
      <c r="F77" s="1"/>
      <c r="G77" s="1"/>
      <c r="H77" s="173" t="s">
        <v>2242</v>
      </c>
      <c r="I77" s="545">
        <v>120.0</v>
      </c>
      <c r="J77" s="1091">
        <v>120.0</v>
      </c>
      <c r="K77" s="547" t="s">
        <v>741</v>
      </c>
      <c r="L77" s="47"/>
      <c r="M77" s="1"/>
      <c r="N77" s="1"/>
      <c r="O77" s="1"/>
      <c r="P77" s="1"/>
    </row>
    <row r="78" ht="14.25" customHeight="1">
      <c r="A78" s="119" t="s">
        <v>140</v>
      </c>
      <c r="B78" s="523">
        <v>1.0</v>
      </c>
      <c r="C78" s="992">
        <f t="shared" ref="C78:C85" si="9">(B78*C77)/B77</f>
        <v>1</v>
      </c>
      <c r="D78" s="520" t="s">
        <v>14</v>
      </c>
      <c r="E78" s="47"/>
      <c r="F78" s="1"/>
      <c r="G78" s="1"/>
      <c r="H78" s="119" t="s">
        <v>2244</v>
      </c>
      <c r="I78" s="523">
        <v>2.0</v>
      </c>
      <c r="J78" s="992">
        <f t="shared" ref="J78:J83" si="10">(I78*J77)/I77</f>
        <v>2</v>
      </c>
      <c r="K78" s="520" t="s">
        <v>14</v>
      </c>
      <c r="L78" s="47"/>
      <c r="M78" s="1"/>
      <c r="N78" s="1"/>
      <c r="O78" s="1"/>
      <c r="P78" s="1"/>
    </row>
    <row r="79" ht="14.25" customHeight="1">
      <c r="A79" s="93" t="s">
        <v>142</v>
      </c>
      <c r="B79" s="247">
        <v>2.0</v>
      </c>
      <c r="C79" s="992">
        <f t="shared" si="9"/>
        <v>2</v>
      </c>
      <c r="D79" s="249" t="s">
        <v>741</v>
      </c>
      <c r="E79" s="47"/>
      <c r="F79" s="1"/>
      <c r="G79" s="1"/>
      <c r="H79" s="93" t="s">
        <v>1770</v>
      </c>
      <c r="I79" s="247">
        <v>0.3</v>
      </c>
      <c r="J79" s="992">
        <f t="shared" si="10"/>
        <v>0.3</v>
      </c>
      <c r="K79" s="249" t="s">
        <v>741</v>
      </c>
      <c r="L79" s="47"/>
      <c r="M79" s="1"/>
      <c r="N79" s="1"/>
      <c r="O79" s="1"/>
      <c r="P79" s="1"/>
    </row>
    <row r="80" ht="14.25" customHeight="1">
      <c r="A80" s="93" t="s">
        <v>1532</v>
      </c>
      <c r="B80" s="247">
        <v>1.25</v>
      </c>
      <c r="C80" s="992">
        <f t="shared" si="9"/>
        <v>1.25</v>
      </c>
      <c r="D80" s="249" t="s">
        <v>14</v>
      </c>
      <c r="E80" s="47"/>
      <c r="F80" s="1"/>
      <c r="G80" s="1"/>
      <c r="H80" s="93" t="s">
        <v>1532</v>
      </c>
      <c r="I80" s="247">
        <v>1.5</v>
      </c>
      <c r="J80" s="992">
        <f t="shared" si="10"/>
        <v>1.5</v>
      </c>
      <c r="K80" s="249" t="s">
        <v>14</v>
      </c>
      <c r="L80" s="47"/>
      <c r="M80" s="1"/>
      <c r="N80" s="1"/>
      <c r="O80" s="1"/>
      <c r="P80" s="1"/>
    </row>
    <row r="81" ht="14.25" customHeight="1">
      <c r="A81" s="93" t="s">
        <v>743</v>
      </c>
      <c r="B81" s="247">
        <v>0.2</v>
      </c>
      <c r="C81" s="992">
        <f t="shared" si="9"/>
        <v>0.2</v>
      </c>
      <c r="D81" s="249" t="s">
        <v>190</v>
      </c>
      <c r="E81" s="47"/>
      <c r="F81" s="1"/>
      <c r="G81" s="1"/>
      <c r="H81" s="93" t="s">
        <v>2246</v>
      </c>
      <c r="I81" s="247">
        <v>0.2</v>
      </c>
      <c r="J81" s="992">
        <f t="shared" si="10"/>
        <v>0.2</v>
      </c>
      <c r="K81" s="249" t="s">
        <v>190</v>
      </c>
      <c r="L81" s="47"/>
      <c r="M81" s="1"/>
      <c r="N81" s="1"/>
      <c r="O81" s="1"/>
      <c r="P81" s="1"/>
    </row>
    <row r="82" ht="14.25" customHeight="1">
      <c r="A82" s="93" t="s">
        <v>17</v>
      </c>
      <c r="B82" s="247">
        <v>6.0</v>
      </c>
      <c r="C82" s="992">
        <f t="shared" si="9"/>
        <v>6</v>
      </c>
      <c r="D82" s="249" t="s">
        <v>18</v>
      </c>
      <c r="E82" s="47"/>
      <c r="F82" s="1"/>
      <c r="G82" s="1"/>
      <c r="H82" s="93" t="s">
        <v>17</v>
      </c>
      <c r="I82" s="247">
        <v>6.0</v>
      </c>
      <c r="J82" s="992">
        <f t="shared" si="10"/>
        <v>6</v>
      </c>
      <c r="K82" s="249" t="s">
        <v>18</v>
      </c>
      <c r="L82" s="47"/>
      <c r="M82" s="1"/>
      <c r="N82" s="1"/>
      <c r="O82" s="1"/>
      <c r="P82" s="1"/>
    </row>
    <row r="83" ht="14.25" customHeight="1">
      <c r="A83" s="93" t="s">
        <v>746</v>
      </c>
      <c r="B83" s="247">
        <v>100.0</v>
      </c>
      <c r="C83" s="992">
        <f t="shared" si="9"/>
        <v>100</v>
      </c>
      <c r="D83" s="249" t="s">
        <v>18</v>
      </c>
      <c r="E83" s="47"/>
      <c r="F83" s="1"/>
      <c r="G83" s="1"/>
      <c r="H83" s="93" t="s">
        <v>2247</v>
      </c>
      <c r="I83" s="247">
        <v>200.0</v>
      </c>
      <c r="J83" s="992">
        <f t="shared" si="10"/>
        <v>200</v>
      </c>
      <c r="K83" s="249" t="s">
        <v>18</v>
      </c>
      <c r="L83" s="47"/>
      <c r="M83" s="1"/>
      <c r="N83" s="1"/>
      <c r="O83" s="1"/>
      <c r="P83" s="1"/>
    </row>
    <row r="84" ht="14.25" customHeight="1">
      <c r="A84" s="138" t="s">
        <v>15</v>
      </c>
      <c r="B84" s="239">
        <v>0.4</v>
      </c>
      <c r="C84" s="1777">
        <f t="shared" si="9"/>
        <v>0.4</v>
      </c>
      <c r="D84" s="242" t="s">
        <v>190</v>
      </c>
      <c r="E84" s="47"/>
      <c r="F84" s="1"/>
      <c r="G84" s="1"/>
      <c r="H84" s="93" t="s">
        <v>746</v>
      </c>
      <c r="I84" s="247">
        <v>200.0</v>
      </c>
      <c r="J84" s="992">
        <f>(I84*J82)/I82</f>
        <v>200</v>
      </c>
      <c r="K84" s="249" t="s">
        <v>18</v>
      </c>
      <c r="L84" s="47"/>
      <c r="M84" s="1"/>
      <c r="N84" s="1"/>
      <c r="O84" s="1"/>
      <c r="P84" s="1"/>
    </row>
    <row r="85" ht="14.25" customHeight="1">
      <c r="A85" s="173" t="s">
        <v>1387</v>
      </c>
      <c r="B85" s="545">
        <v>3.3</v>
      </c>
      <c r="C85" s="1091">
        <f t="shared" si="9"/>
        <v>3.3</v>
      </c>
      <c r="D85" s="547" t="s">
        <v>14</v>
      </c>
      <c r="E85" s="76"/>
      <c r="F85" s="1"/>
      <c r="G85" s="1"/>
      <c r="H85" s="138" t="s">
        <v>2248</v>
      </c>
      <c r="I85" s="239">
        <v>0.4</v>
      </c>
      <c r="J85" s="1777">
        <f t="shared" ref="J85:J86" si="11">(I85*J84)/I84</f>
        <v>0.4</v>
      </c>
      <c r="K85" s="242" t="s">
        <v>190</v>
      </c>
      <c r="L85" s="76"/>
      <c r="M85" s="1"/>
      <c r="N85" s="1"/>
      <c r="O85" s="1"/>
      <c r="P85" s="1"/>
    </row>
    <row r="86" ht="14.25" customHeight="1">
      <c r="A86" s="560" t="s">
        <v>119</v>
      </c>
      <c r="B86" s="560" t="s">
        <v>47</v>
      </c>
      <c r="C86" s="615"/>
      <c r="D86" s="1"/>
      <c r="E86" s="1"/>
      <c r="F86" s="1"/>
      <c r="G86" s="1"/>
      <c r="H86" s="173" t="s">
        <v>1387</v>
      </c>
      <c r="I86" s="545">
        <v>4.2</v>
      </c>
      <c r="J86" s="1091">
        <f t="shared" si="11"/>
        <v>4.2</v>
      </c>
      <c r="K86" s="547" t="s">
        <v>14</v>
      </c>
      <c r="L86" s="1"/>
      <c r="M86" s="1"/>
      <c r="N86" s="1"/>
      <c r="O86" s="1"/>
      <c r="P86" s="1"/>
    </row>
    <row r="87" ht="14.25" customHeight="1">
      <c r="A87" s="203" t="s">
        <v>49</v>
      </c>
      <c r="B87" s="1876">
        <v>41855.0</v>
      </c>
      <c r="C87" s="615"/>
      <c r="D87" s="1"/>
      <c r="E87" s="1"/>
      <c r="F87" s="1"/>
      <c r="G87" s="1"/>
      <c r="H87" s="560" t="s">
        <v>119</v>
      </c>
      <c r="I87" s="560" t="s">
        <v>47</v>
      </c>
      <c r="J87" s="615"/>
      <c r="K87" s="1"/>
      <c r="L87" s="1"/>
      <c r="M87" s="1"/>
      <c r="N87" s="1"/>
      <c r="O87" s="1"/>
      <c r="P87" s="1"/>
    </row>
    <row r="88" ht="14.25" customHeight="1">
      <c r="A88" s="342" t="s">
        <v>50</v>
      </c>
      <c r="B88" s="1880"/>
      <c r="C88" s="615"/>
      <c r="D88" s="1"/>
      <c r="E88" s="1"/>
      <c r="F88" s="1"/>
      <c r="G88" s="1"/>
      <c r="H88" s="203" t="s">
        <v>49</v>
      </c>
      <c r="I88" s="1876" t="s">
        <v>2249</v>
      </c>
      <c r="J88" s="615"/>
      <c r="K88" s="1"/>
      <c r="L88" s="1"/>
      <c r="M88" s="1"/>
      <c r="N88" s="1"/>
      <c r="O88" s="1"/>
      <c r="P88" s="1"/>
    </row>
    <row r="89" ht="14.25" customHeight="1">
      <c r="A89" s="1"/>
      <c r="B89" s="1"/>
      <c r="C89" s="615"/>
      <c r="D89" s="1"/>
      <c r="E89" s="921"/>
      <c r="F89" s="1"/>
      <c r="G89" s="1"/>
      <c r="H89" s="342" t="s">
        <v>50</v>
      </c>
      <c r="I89" s="1876" t="s">
        <v>2249</v>
      </c>
      <c r="J89" s="615"/>
      <c r="K89" s="1"/>
      <c r="L89" s="1"/>
      <c r="M89" s="1"/>
      <c r="N89" s="1"/>
      <c r="O89" s="1"/>
      <c r="P89" s="1"/>
    </row>
    <row r="90" ht="18.75" customHeight="1">
      <c r="A90" s="1123" t="s">
        <v>2250</v>
      </c>
      <c r="B90" s="5"/>
      <c r="C90" s="5"/>
      <c r="D90" s="6"/>
      <c r="E90" s="1125"/>
      <c r="F90" s="49"/>
      <c r="G90" s="1"/>
      <c r="H90" s="1"/>
      <c r="I90" s="1"/>
      <c r="J90" s="1"/>
      <c r="K90" s="1"/>
      <c r="L90" s="1963" t="s">
        <v>1077</v>
      </c>
      <c r="M90" s="1"/>
      <c r="N90" s="1"/>
      <c r="O90" s="1"/>
      <c r="P90" s="1"/>
    </row>
    <row r="91" ht="15.0" customHeight="1">
      <c r="A91" s="1967" t="s">
        <v>1</v>
      </c>
      <c r="B91" s="526">
        <v>23.0</v>
      </c>
      <c r="C91" s="314">
        <v>23.0</v>
      </c>
      <c r="D91" s="28" t="s">
        <v>5</v>
      </c>
      <c r="E91" s="455"/>
      <c r="F91" s="49"/>
      <c r="G91" s="1"/>
      <c r="H91" s="656" t="s">
        <v>2255</v>
      </c>
      <c r="I91" s="18"/>
      <c r="J91" s="18"/>
      <c r="K91" s="19"/>
      <c r="L91" s="1"/>
      <c r="M91" s="1"/>
      <c r="N91" s="1"/>
      <c r="O91" s="1"/>
      <c r="P91" s="1"/>
    </row>
    <row r="92" ht="15.0" customHeight="1">
      <c r="A92" s="732" t="s">
        <v>1210</v>
      </c>
      <c r="B92" s="316">
        <v>5.0</v>
      </c>
      <c r="C92" s="285">
        <f t="shared" ref="C92:C99" si="12">(B92*C91)/B91</f>
        <v>5</v>
      </c>
      <c r="D92" s="169" t="s">
        <v>14</v>
      </c>
      <c r="E92" s="1183" t="s">
        <v>76</v>
      </c>
      <c r="F92" s="49"/>
      <c r="G92" s="1"/>
      <c r="H92" s="1141" t="s">
        <v>1</v>
      </c>
      <c r="I92" s="608">
        <v>24.0</v>
      </c>
      <c r="J92" s="460">
        <v>24.0</v>
      </c>
      <c r="K92" s="463" t="s">
        <v>5</v>
      </c>
      <c r="L92" s="1"/>
      <c r="M92" s="1"/>
      <c r="N92" s="1"/>
      <c r="O92" s="1"/>
      <c r="P92" s="1"/>
    </row>
    <row r="93" ht="15.0" customHeight="1">
      <c r="A93" s="1134" t="s">
        <v>2258</v>
      </c>
      <c r="B93" s="321">
        <v>1.5</v>
      </c>
      <c r="C93" s="198">
        <f t="shared" si="12"/>
        <v>1.5</v>
      </c>
      <c r="D93" s="204" t="s">
        <v>14</v>
      </c>
      <c r="E93" s="47"/>
      <c r="F93" s="49"/>
      <c r="G93" s="1"/>
      <c r="H93" s="732" t="s">
        <v>1210</v>
      </c>
      <c r="I93" s="316">
        <v>4.0</v>
      </c>
      <c r="J93" s="285">
        <f t="shared" ref="J93:J104" si="13">(I93*J92)/I92</f>
        <v>4</v>
      </c>
      <c r="K93" s="169" t="s">
        <v>14</v>
      </c>
      <c r="L93" s="1"/>
      <c r="M93" s="1"/>
      <c r="N93" s="1"/>
      <c r="O93" s="1"/>
      <c r="P93" s="1"/>
    </row>
    <row r="94" ht="15.0" customHeight="1">
      <c r="A94" s="1134" t="s">
        <v>1532</v>
      </c>
      <c r="B94" s="321">
        <v>3.5</v>
      </c>
      <c r="C94" s="198">
        <f t="shared" si="12"/>
        <v>3.5</v>
      </c>
      <c r="D94" s="204" t="s">
        <v>14</v>
      </c>
      <c r="E94" s="47"/>
      <c r="F94" s="49"/>
      <c r="G94" s="1"/>
      <c r="H94" s="1136" t="s">
        <v>2258</v>
      </c>
      <c r="I94" s="318">
        <v>1.5</v>
      </c>
      <c r="J94" s="211">
        <f t="shared" si="13"/>
        <v>1.5</v>
      </c>
      <c r="K94" s="212" t="s">
        <v>14</v>
      </c>
      <c r="L94" s="1"/>
      <c r="M94" s="1"/>
      <c r="N94" s="1"/>
      <c r="O94" s="1"/>
      <c r="P94" s="1"/>
    </row>
    <row r="95" ht="15.0" customHeight="1">
      <c r="A95" s="1134" t="s">
        <v>17</v>
      </c>
      <c r="B95" s="321">
        <v>40.0</v>
      </c>
      <c r="C95" s="198">
        <f t="shared" si="12"/>
        <v>40</v>
      </c>
      <c r="D95" s="204" t="s">
        <v>18</v>
      </c>
      <c r="E95" s="47"/>
      <c r="F95" s="49"/>
      <c r="G95" s="1"/>
      <c r="H95" s="119" t="s">
        <v>31</v>
      </c>
      <c r="I95" s="523">
        <v>50.0</v>
      </c>
      <c r="J95" s="390">
        <f t="shared" si="13"/>
        <v>50</v>
      </c>
      <c r="K95" s="520" t="s">
        <v>18</v>
      </c>
      <c r="L95" s="1"/>
      <c r="M95" s="1"/>
      <c r="N95" s="1"/>
      <c r="O95" s="1"/>
      <c r="P95" s="1"/>
    </row>
    <row r="96" ht="15.0" customHeight="1">
      <c r="A96" s="1134" t="s">
        <v>2188</v>
      </c>
      <c r="B96" s="321">
        <v>20.0</v>
      </c>
      <c r="C96" s="198">
        <f t="shared" si="12"/>
        <v>20</v>
      </c>
      <c r="D96" s="204" t="s">
        <v>18</v>
      </c>
      <c r="E96" s="47"/>
      <c r="F96" s="49"/>
      <c r="G96" s="1"/>
      <c r="H96" s="93" t="s">
        <v>2265</v>
      </c>
      <c r="I96" s="247">
        <v>40.0</v>
      </c>
      <c r="J96" s="198">
        <f t="shared" si="13"/>
        <v>40</v>
      </c>
      <c r="K96" s="249" t="s">
        <v>18</v>
      </c>
      <c r="L96" s="1"/>
      <c r="M96" s="1"/>
      <c r="N96" s="1"/>
      <c r="O96" s="1"/>
      <c r="P96" s="1"/>
    </row>
    <row r="97" ht="15.0" customHeight="1">
      <c r="A97" s="1134" t="s">
        <v>59</v>
      </c>
      <c r="B97" s="321">
        <v>5.5</v>
      </c>
      <c r="C97" s="198">
        <f t="shared" si="12"/>
        <v>5.5</v>
      </c>
      <c r="D97" s="204" t="s">
        <v>5</v>
      </c>
      <c r="E97" s="47"/>
      <c r="F97" s="49"/>
      <c r="G97" s="1"/>
      <c r="H97" s="93" t="s">
        <v>113</v>
      </c>
      <c r="I97" s="247">
        <v>25.0</v>
      </c>
      <c r="J97" s="198">
        <f t="shared" si="13"/>
        <v>25</v>
      </c>
      <c r="K97" s="249" t="s">
        <v>18</v>
      </c>
      <c r="L97" s="1"/>
      <c r="M97" s="1"/>
      <c r="N97" s="1"/>
      <c r="O97" s="1"/>
      <c r="P97" s="1"/>
    </row>
    <row r="98" ht="15.0" customHeight="1">
      <c r="A98" s="1129" t="s">
        <v>743</v>
      </c>
      <c r="B98" s="355">
        <v>1.0</v>
      </c>
      <c r="C98" s="198">
        <f t="shared" si="12"/>
        <v>1</v>
      </c>
      <c r="D98" s="267" t="s">
        <v>5</v>
      </c>
      <c r="E98" s="997"/>
      <c r="F98" s="49"/>
      <c r="G98" s="1"/>
      <c r="H98" s="1134" t="s">
        <v>1532</v>
      </c>
      <c r="I98" s="321">
        <v>3.2</v>
      </c>
      <c r="J98" s="198">
        <f t="shared" si="13"/>
        <v>3.2</v>
      </c>
      <c r="K98" s="204" t="s">
        <v>14</v>
      </c>
      <c r="L98" s="1"/>
      <c r="M98" s="1"/>
      <c r="N98" s="1"/>
      <c r="O98" s="1"/>
      <c r="P98" s="1"/>
    </row>
    <row r="99" ht="15.0" customHeight="1">
      <c r="A99" s="1141" t="s">
        <v>1278</v>
      </c>
      <c r="B99" s="608">
        <v>5.0</v>
      </c>
      <c r="C99" s="198">
        <f t="shared" si="12"/>
        <v>5</v>
      </c>
      <c r="D99" s="463" t="s">
        <v>5</v>
      </c>
      <c r="E99" s="11"/>
      <c r="F99" s="49"/>
      <c r="G99" s="1"/>
      <c r="H99" s="1134" t="s">
        <v>17</v>
      </c>
      <c r="I99" s="321">
        <v>40.0</v>
      </c>
      <c r="J99" s="198">
        <f t="shared" si="13"/>
        <v>40</v>
      </c>
      <c r="K99" s="204" t="s">
        <v>18</v>
      </c>
      <c r="L99" s="1"/>
      <c r="M99" s="1"/>
      <c r="N99" s="1"/>
      <c r="O99" s="1"/>
      <c r="P99" s="1"/>
    </row>
    <row r="100" ht="15.0" customHeight="1">
      <c r="A100" s="893" t="s">
        <v>42</v>
      </c>
      <c r="B100" s="818" t="s">
        <v>47</v>
      </c>
      <c r="C100" s="11"/>
      <c r="D100" s="11"/>
      <c r="E100" s="1"/>
      <c r="F100" s="49"/>
      <c r="G100" s="1"/>
      <c r="H100" s="1134" t="s">
        <v>2188</v>
      </c>
      <c r="I100" s="321">
        <v>20.0</v>
      </c>
      <c r="J100" s="198">
        <f t="shared" si="13"/>
        <v>20</v>
      </c>
      <c r="K100" s="204" t="s">
        <v>18</v>
      </c>
      <c r="L100" s="1"/>
      <c r="M100" s="1"/>
      <c r="N100" s="1"/>
      <c r="O100" s="1"/>
      <c r="P100" s="1"/>
    </row>
    <row r="101" ht="15.0" customHeight="1">
      <c r="A101" s="90" t="s">
        <v>120</v>
      </c>
      <c r="B101" s="308">
        <v>41475.0</v>
      </c>
      <c r="C101" s="11"/>
      <c r="D101" s="11"/>
      <c r="E101" s="1"/>
      <c r="F101" s="49"/>
      <c r="G101" s="1"/>
      <c r="H101" s="1134" t="s">
        <v>1321</v>
      </c>
      <c r="I101" s="321">
        <v>4.0</v>
      </c>
      <c r="J101" s="198">
        <f t="shared" si="13"/>
        <v>4</v>
      </c>
      <c r="K101" s="204" t="s">
        <v>18</v>
      </c>
      <c r="L101" s="1"/>
      <c r="M101" s="1"/>
      <c r="N101" s="1"/>
      <c r="O101" s="1"/>
      <c r="P101" s="1"/>
    </row>
    <row r="102" ht="15.0" customHeight="1">
      <c r="A102" s="305" t="s">
        <v>50</v>
      </c>
      <c r="B102" s="308"/>
      <c r="C102" s="11"/>
      <c r="D102" s="11"/>
      <c r="E102" s="1"/>
      <c r="F102" s="49"/>
      <c r="G102" s="1"/>
      <c r="H102" s="1134" t="s">
        <v>59</v>
      </c>
      <c r="I102" s="321">
        <v>5.5</v>
      </c>
      <c r="J102" s="198">
        <f t="shared" si="13"/>
        <v>5.5</v>
      </c>
      <c r="K102" s="204" t="s">
        <v>5</v>
      </c>
      <c r="L102" s="1"/>
      <c r="M102" s="1"/>
      <c r="N102" s="1"/>
      <c r="O102" s="1"/>
      <c r="P102" s="1"/>
    </row>
    <row r="103" ht="14.25" customHeight="1">
      <c r="A103" s="1"/>
      <c r="B103" s="1"/>
      <c r="C103" s="615"/>
      <c r="D103" s="1"/>
      <c r="E103" s="921"/>
      <c r="F103" s="1"/>
      <c r="G103" s="1"/>
      <c r="H103" s="1134" t="s">
        <v>743</v>
      </c>
      <c r="I103" s="321">
        <v>1.0</v>
      </c>
      <c r="J103" s="198">
        <f t="shared" si="13"/>
        <v>1</v>
      </c>
      <c r="K103" s="204" t="s">
        <v>5</v>
      </c>
      <c r="L103" s="1"/>
      <c r="M103" s="1"/>
      <c r="N103" s="1"/>
      <c r="O103" s="1"/>
      <c r="P103" s="1"/>
    </row>
    <row r="104" ht="14.25" customHeight="1">
      <c r="A104" s="206" t="s">
        <v>665</v>
      </c>
      <c r="B104" s="5"/>
      <c r="C104" s="5"/>
      <c r="D104" s="6"/>
      <c r="E104" s="1992"/>
      <c r="F104" s="1"/>
      <c r="G104" s="1"/>
      <c r="H104" s="1136" t="s">
        <v>2274</v>
      </c>
      <c r="I104" s="257">
        <v>3.0</v>
      </c>
      <c r="J104" s="211">
        <f t="shared" si="13"/>
        <v>3</v>
      </c>
      <c r="K104" s="212" t="s">
        <v>5</v>
      </c>
      <c r="L104" s="1"/>
      <c r="M104" s="1"/>
      <c r="N104" s="1"/>
      <c r="O104" s="1"/>
      <c r="P104" s="1"/>
    </row>
    <row r="105" ht="14.25" customHeight="1">
      <c r="A105" s="173" t="s">
        <v>2277</v>
      </c>
      <c r="B105" s="545">
        <v>30.0</v>
      </c>
      <c r="C105" s="1091">
        <v>20.0</v>
      </c>
      <c r="D105" s="547" t="s">
        <v>9</v>
      </c>
      <c r="E105" s="1992"/>
      <c r="F105" s="1"/>
      <c r="G105" s="1"/>
      <c r="H105" s="203" t="s">
        <v>49</v>
      </c>
      <c r="I105" s="1876">
        <v>43285.0</v>
      </c>
      <c r="J105" s="1876">
        <v>43285.0</v>
      </c>
      <c r="K105" s="1"/>
      <c r="L105" s="1"/>
      <c r="M105" s="1"/>
      <c r="N105" s="1"/>
      <c r="O105" s="1"/>
      <c r="P105" s="1"/>
    </row>
    <row r="106" ht="14.25" customHeight="1">
      <c r="A106" s="68" t="s">
        <v>1210</v>
      </c>
      <c r="B106" s="210">
        <v>1.0</v>
      </c>
      <c r="C106" s="992">
        <f t="shared" ref="C106:C115" si="14">(B106*C105)/B105</f>
        <v>0.6666666667</v>
      </c>
      <c r="D106" s="216" t="s">
        <v>14</v>
      </c>
      <c r="E106" s="44" t="s">
        <v>2279</v>
      </c>
      <c r="F106" s="1"/>
      <c r="G106" s="1"/>
      <c r="H106" s="342" t="s">
        <v>50</v>
      </c>
      <c r="I106" s="1880"/>
      <c r="J106" s="1996">
        <v>43302.0</v>
      </c>
      <c r="K106" s="1"/>
      <c r="L106" s="1"/>
      <c r="M106" s="1"/>
      <c r="N106" s="1"/>
      <c r="O106" s="1"/>
      <c r="P106" s="1"/>
    </row>
    <row r="107" ht="14.25" customHeight="1">
      <c r="A107" s="119" t="s">
        <v>743</v>
      </c>
      <c r="B107" s="523">
        <v>0.2</v>
      </c>
      <c r="C107" s="992">
        <f t="shared" si="14"/>
        <v>0.1333333333</v>
      </c>
      <c r="D107" s="520" t="s">
        <v>5</v>
      </c>
      <c r="E107" s="47"/>
      <c r="F107" s="1"/>
      <c r="G107" s="1"/>
      <c r="H107" s="893" t="s">
        <v>42</v>
      </c>
      <c r="I107" s="818" t="s">
        <v>47</v>
      </c>
      <c r="J107" s="11"/>
      <c r="K107" s="1"/>
      <c r="L107" s="1"/>
      <c r="M107" s="1"/>
      <c r="N107" s="1"/>
      <c r="O107" s="1"/>
      <c r="P107" s="1"/>
    </row>
    <row r="108" ht="14.25" customHeight="1">
      <c r="A108" s="93" t="s">
        <v>142</v>
      </c>
      <c r="B108" s="247">
        <v>5.0</v>
      </c>
      <c r="C108" s="992">
        <f t="shared" si="14"/>
        <v>3.333333333</v>
      </c>
      <c r="D108" s="249" t="s">
        <v>9</v>
      </c>
      <c r="E108" s="47"/>
      <c r="F108" s="1"/>
      <c r="G108" s="1"/>
      <c r="H108" s="1"/>
      <c r="I108" s="1"/>
      <c r="J108" s="1"/>
      <c r="K108" s="1"/>
      <c r="L108" s="1"/>
      <c r="M108" s="1"/>
      <c r="N108" s="1"/>
      <c r="O108" s="1"/>
      <c r="P108" s="1"/>
    </row>
    <row r="109" ht="14.25" customHeight="1">
      <c r="A109" s="93" t="s">
        <v>2281</v>
      </c>
      <c r="B109" s="247">
        <v>1.25</v>
      </c>
      <c r="C109" s="992">
        <f t="shared" si="14"/>
        <v>0.8333333333</v>
      </c>
      <c r="D109" s="249" t="s">
        <v>14</v>
      </c>
      <c r="E109" s="47"/>
      <c r="F109" s="1"/>
      <c r="G109" s="1"/>
      <c r="H109" s="1"/>
      <c r="I109" s="1"/>
      <c r="J109" s="1"/>
      <c r="K109" s="1"/>
      <c r="L109" s="1"/>
      <c r="M109" s="1"/>
      <c r="N109" s="1"/>
      <c r="O109" s="1"/>
      <c r="P109" s="1"/>
    </row>
    <row r="110" ht="14.25" customHeight="1">
      <c r="A110" s="93" t="s">
        <v>746</v>
      </c>
      <c r="B110" s="247">
        <v>100.0</v>
      </c>
      <c r="C110" s="992">
        <f t="shared" si="14"/>
        <v>66.66666667</v>
      </c>
      <c r="D110" s="249" t="s">
        <v>18</v>
      </c>
      <c r="E110" s="47"/>
      <c r="F110" s="1"/>
      <c r="G110" s="1"/>
      <c r="H110" s="1"/>
      <c r="I110" s="1"/>
      <c r="J110" s="1"/>
      <c r="K110" s="1"/>
      <c r="L110" s="1"/>
      <c r="M110" s="1"/>
      <c r="N110" s="1"/>
      <c r="O110" s="1"/>
      <c r="P110" s="1"/>
    </row>
    <row r="111" ht="14.25" customHeight="1">
      <c r="A111" s="93" t="s">
        <v>1046</v>
      </c>
      <c r="B111" s="247">
        <v>100.0</v>
      </c>
      <c r="C111" s="992">
        <f t="shared" si="14"/>
        <v>66.66666667</v>
      </c>
      <c r="D111" s="249" t="s">
        <v>18</v>
      </c>
      <c r="E111" s="76"/>
      <c r="F111" s="1"/>
      <c r="G111" s="1"/>
      <c r="H111" s="1"/>
      <c r="I111" s="1"/>
      <c r="J111" s="1"/>
      <c r="K111" s="1"/>
      <c r="L111" s="1"/>
      <c r="M111" s="1"/>
      <c r="N111" s="1"/>
      <c r="O111" s="1"/>
      <c r="P111" s="1"/>
    </row>
    <row r="112" ht="14.25" customHeight="1">
      <c r="A112" s="417" t="s">
        <v>2283</v>
      </c>
      <c r="B112" s="541">
        <v>0.5</v>
      </c>
      <c r="C112" s="1113">
        <f t="shared" si="14"/>
        <v>0.3333333333</v>
      </c>
      <c r="D112" s="543" t="s">
        <v>5</v>
      </c>
      <c r="E112" s="161"/>
      <c r="F112" s="1"/>
      <c r="G112" s="1"/>
      <c r="H112" s="1"/>
      <c r="I112" s="1"/>
      <c r="J112" s="1"/>
      <c r="K112" s="1"/>
      <c r="L112" s="1"/>
      <c r="M112" s="1"/>
      <c r="N112" s="1"/>
      <c r="O112" s="1"/>
      <c r="P112" s="1"/>
    </row>
    <row r="113" ht="14.25" customHeight="1">
      <c r="A113" s="68" t="s">
        <v>13</v>
      </c>
      <c r="B113" s="210">
        <v>0.75</v>
      </c>
      <c r="C113" s="976">
        <f t="shared" si="14"/>
        <v>0.5</v>
      </c>
      <c r="D113" s="216" t="s">
        <v>14</v>
      </c>
      <c r="E113" s="44" t="s">
        <v>2285</v>
      </c>
      <c r="F113" s="1"/>
      <c r="G113" s="1"/>
      <c r="H113" s="1"/>
      <c r="I113" s="1"/>
      <c r="J113" s="1"/>
      <c r="K113" s="1"/>
      <c r="L113" s="1"/>
      <c r="M113" s="1"/>
      <c r="N113" s="1"/>
      <c r="O113" s="1"/>
      <c r="P113" s="1"/>
    </row>
    <row r="114" ht="14.25" customHeight="1">
      <c r="A114" s="105" t="s">
        <v>243</v>
      </c>
      <c r="B114" s="522">
        <v>50.0</v>
      </c>
      <c r="C114" s="981">
        <f t="shared" si="14"/>
        <v>33.33333333</v>
      </c>
      <c r="D114" s="518" t="s">
        <v>5</v>
      </c>
      <c r="E114" s="76"/>
      <c r="F114" s="1"/>
      <c r="G114" s="1"/>
      <c r="H114" s="1"/>
      <c r="I114" s="1"/>
      <c r="J114" s="1"/>
      <c r="K114" s="1"/>
      <c r="L114" s="1"/>
      <c r="M114" s="1"/>
      <c r="N114" s="1"/>
      <c r="O114" s="1"/>
      <c r="P114" s="1"/>
    </row>
    <row r="115" ht="14.25" customHeight="1">
      <c r="A115" s="105" t="s">
        <v>2287</v>
      </c>
      <c r="B115" s="522">
        <v>5.0</v>
      </c>
      <c r="C115" s="981">
        <f t="shared" si="14"/>
        <v>3.333333333</v>
      </c>
      <c r="D115" s="518" t="s">
        <v>14</v>
      </c>
      <c r="E115" s="2003"/>
      <c r="F115" s="1"/>
      <c r="G115" s="1"/>
      <c r="H115" s="1"/>
      <c r="I115" s="1"/>
      <c r="J115" s="1"/>
      <c r="K115" s="1"/>
      <c r="L115" s="1"/>
      <c r="M115" s="1"/>
      <c r="N115" s="1"/>
      <c r="O115" s="1"/>
      <c r="P115" s="1"/>
    </row>
    <row r="116" ht="14.25" customHeight="1">
      <c r="A116" s="560" t="s">
        <v>119</v>
      </c>
      <c r="B116" s="818" t="s">
        <v>47</v>
      </c>
      <c r="C116" s="615"/>
      <c r="D116" s="1"/>
      <c r="E116" s="1"/>
      <c r="F116" s="1"/>
      <c r="G116" s="1"/>
      <c r="H116" s="1"/>
      <c r="I116" s="1"/>
      <c r="J116" s="1"/>
      <c r="K116" s="1"/>
      <c r="L116" s="1"/>
      <c r="M116" s="1"/>
      <c r="N116" s="1"/>
      <c r="O116" s="1"/>
      <c r="P116" s="1"/>
    </row>
    <row r="117" ht="14.25" customHeight="1">
      <c r="A117" s="203" t="s">
        <v>49</v>
      </c>
      <c r="B117" s="1876">
        <v>42157.0</v>
      </c>
      <c r="C117" s="615"/>
      <c r="D117" s="1"/>
      <c r="E117" s="1"/>
      <c r="F117" s="1"/>
      <c r="G117" s="1"/>
      <c r="H117" s="1"/>
      <c r="I117" s="1"/>
      <c r="J117" s="1"/>
      <c r="K117" s="1"/>
      <c r="L117" s="1"/>
      <c r="M117" s="1"/>
      <c r="N117" s="1"/>
      <c r="O117" s="1"/>
      <c r="P117" s="1"/>
    </row>
    <row r="118" ht="14.25" customHeight="1">
      <c r="A118" s="342" t="s">
        <v>50</v>
      </c>
      <c r="B118" s="1880"/>
      <c r="C118" s="615"/>
      <c r="D118" s="1"/>
      <c r="E118" s="1112"/>
      <c r="F118" s="1"/>
      <c r="G118" s="1"/>
      <c r="H118" s="1"/>
      <c r="I118" s="1"/>
      <c r="J118" s="1"/>
      <c r="K118" s="1"/>
      <c r="L118" s="1"/>
      <c r="M118" s="1"/>
      <c r="N118" s="1"/>
      <c r="O118" s="1"/>
      <c r="P118" s="1"/>
    </row>
    <row r="119" ht="14.25" customHeight="1">
      <c r="A119" s="1"/>
      <c r="B119" s="1"/>
      <c r="C119" s="1"/>
      <c r="D119" s="1"/>
      <c r="E119" s="1"/>
      <c r="F119" s="1"/>
      <c r="G119" s="1"/>
      <c r="H119" s="1"/>
      <c r="I119" s="1"/>
      <c r="J119" s="1"/>
      <c r="K119" s="1"/>
      <c r="L119" s="1"/>
      <c r="M119" s="1"/>
      <c r="N119" s="1"/>
      <c r="O119" s="1"/>
      <c r="P119" s="1"/>
    </row>
    <row r="120" ht="14.25" customHeight="1">
      <c r="A120" s="1123" t="s">
        <v>688</v>
      </c>
      <c r="B120" s="5"/>
      <c r="C120" s="5"/>
      <c r="D120" s="6"/>
      <c r="E120" s="2007" t="s">
        <v>2289</v>
      </c>
      <c r="F120" s="1"/>
      <c r="G120" s="1"/>
      <c r="H120" s="1"/>
      <c r="I120" s="1"/>
      <c r="J120" s="1"/>
      <c r="K120" s="1"/>
      <c r="L120" s="1"/>
      <c r="M120" s="1"/>
      <c r="N120" s="1"/>
      <c r="O120" s="1"/>
      <c r="P120" s="1"/>
    </row>
    <row r="121" ht="14.25" customHeight="1">
      <c r="A121" s="1967" t="s">
        <v>1</v>
      </c>
      <c r="B121" s="526">
        <v>1200.0</v>
      </c>
      <c r="C121" s="314">
        <v>1200.0</v>
      </c>
      <c r="D121" s="28" t="s">
        <v>741</v>
      </c>
      <c r="E121" s="455"/>
      <c r="F121" s="1"/>
      <c r="G121" s="1"/>
      <c r="H121" s="1"/>
      <c r="I121" s="1"/>
      <c r="J121" s="1"/>
      <c r="K121" s="1"/>
      <c r="L121" s="1"/>
      <c r="M121" s="1"/>
      <c r="N121" s="1"/>
      <c r="O121" s="1"/>
      <c r="P121" s="1"/>
    </row>
    <row r="122" ht="14.25" customHeight="1">
      <c r="A122" s="732" t="s">
        <v>1240</v>
      </c>
      <c r="B122" s="316">
        <v>10.0</v>
      </c>
      <c r="C122" s="285">
        <f t="shared" ref="C122:C127" si="15">(B122*C121)/B121</f>
        <v>10</v>
      </c>
      <c r="D122" s="169" t="s">
        <v>14</v>
      </c>
      <c r="E122" s="1183" t="s">
        <v>2293</v>
      </c>
      <c r="F122" s="1"/>
      <c r="G122" s="1"/>
      <c r="H122" s="1"/>
      <c r="I122" s="1"/>
      <c r="J122" s="1"/>
      <c r="K122" s="1"/>
      <c r="L122" s="1"/>
      <c r="M122" s="1"/>
      <c r="N122" s="1"/>
      <c r="O122" s="1"/>
      <c r="P122" s="1"/>
    </row>
    <row r="123" ht="14.25" customHeight="1">
      <c r="A123" s="1134" t="s">
        <v>60</v>
      </c>
      <c r="B123" s="321">
        <v>10.0</v>
      </c>
      <c r="C123" s="198">
        <f t="shared" si="15"/>
        <v>10</v>
      </c>
      <c r="D123" s="204" t="s">
        <v>14</v>
      </c>
      <c r="E123" s="47"/>
      <c r="F123" s="1"/>
      <c r="G123" s="1"/>
      <c r="H123" s="1"/>
      <c r="I123" s="1"/>
      <c r="J123" s="1"/>
      <c r="K123" s="1"/>
      <c r="L123" s="1"/>
      <c r="M123" s="1"/>
      <c r="N123" s="1"/>
      <c r="O123" s="1"/>
      <c r="P123" s="1"/>
    </row>
    <row r="124" ht="14.25" customHeight="1">
      <c r="A124" s="1134" t="s">
        <v>2294</v>
      </c>
      <c r="B124" s="321">
        <v>7.0</v>
      </c>
      <c r="C124" s="198">
        <f t="shared" si="15"/>
        <v>7</v>
      </c>
      <c r="D124" s="204" t="s">
        <v>14</v>
      </c>
      <c r="E124" s="47"/>
      <c r="F124" s="1"/>
      <c r="G124" s="1"/>
      <c r="H124" s="1"/>
      <c r="I124" s="1"/>
      <c r="J124" s="1"/>
      <c r="K124" s="1"/>
      <c r="L124" s="1"/>
      <c r="M124" s="1"/>
      <c r="N124" s="1"/>
      <c r="O124" s="1"/>
      <c r="P124" s="1"/>
    </row>
    <row r="125" ht="14.25" customHeight="1">
      <c r="A125" s="1134" t="s">
        <v>80</v>
      </c>
      <c r="B125" s="321">
        <v>15.0</v>
      </c>
      <c r="C125" s="198">
        <f t="shared" si="15"/>
        <v>15</v>
      </c>
      <c r="D125" s="204" t="s">
        <v>14</v>
      </c>
      <c r="E125" s="47"/>
      <c r="F125" s="1"/>
      <c r="G125" s="1"/>
      <c r="H125" s="1"/>
      <c r="I125" s="1"/>
      <c r="J125" s="1"/>
      <c r="K125" s="1"/>
      <c r="L125" s="1"/>
      <c r="M125" s="1"/>
      <c r="N125" s="1"/>
      <c r="O125" s="1"/>
      <c r="P125" s="1"/>
    </row>
    <row r="126" ht="14.25" customHeight="1">
      <c r="A126" s="1136" t="s">
        <v>17</v>
      </c>
      <c r="B126" s="318">
        <v>100.0</v>
      </c>
      <c r="C126" s="211">
        <f t="shared" si="15"/>
        <v>100</v>
      </c>
      <c r="D126" s="212" t="s">
        <v>18</v>
      </c>
      <c r="E126" s="76"/>
      <c r="F126" s="1"/>
      <c r="G126" s="1"/>
      <c r="H126" s="1"/>
      <c r="I126" s="1"/>
      <c r="J126" s="1"/>
      <c r="K126" s="1"/>
      <c r="L126" s="1"/>
      <c r="M126" s="1"/>
      <c r="N126" s="1"/>
      <c r="O126" s="1"/>
      <c r="P126" s="1"/>
    </row>
    <row r="127" ht="14.25" customHeight="1">
      <c r="A127" s="2027" t="s">
        <v>743</v>
      </c>
      <c r="B127" s="328">
        <v>1.0</v>
      </c>
      <c r="C127" s="337">
        <f t="shared" si="15"/>
        <v>1</v>
      </c>
      <c r="D127" s="338" t="s">
        <v>5</v>
      </c>
      <c r="E127" s="2029"/>
      <c r="F127" s="1"/>
      <c r="G127" s="1"/>
      <c r="H127" s="1"/>
      <c r="I127" s="1"/>
      <c r="J127" s="1"/>
      <c r="K127" s="1"/>
      <c r="L127" s="1"/>
      <c r="M127" s="1"/>
      <c r="N127" s="1"/>
      <c r="O127" s="1"/>
      <c r="P127" s="1"/>
    </row>
    <row r="128" ht="14.25" customHeight="1">
      <c r="A128" s="560" t="s">
        <v>119</v>
      </c>
      <c r="B128" s="818" t="s">
        <v>47</v>
      </c>
      <c r="C128" s="11"/>
      <c r="D128" s="1"/>
      <c r="E128" s="1"/>
      <c r="F128" s="1"/>
      <c r="G128" s="1"/>
      <c r="H128" s="1"/>
      <c r="I128" s="1"/>
      <c r="J128" s="1"/>
      <c r="K128" s="1"/>
      <c r="L128" s="1"/>
      <c r="M128" s="1"/>
      <c r="N128" s="1"/>
      <c r="O128" s="1"/>
      <c r="P128" s="1"/>
    </row>
    <row r="129" ht="14.25" customHeight="1">
      <c r="A129" s="90" t="s">
        <v>120</v>
      </c>
      <c r="B129" s="308">
        <v>42748.0</v>
      </c>
      <c r="C129" s="11"/>
      <c r="D129" s="1"/>
      <c r="E129" s="1"/>
      <c r="F129" s="1"/>
      <c r="G129" s="1"/>
      <c r="H129" s="1"/>
      <c r="I129" s="1"/>
      <c r="J129" s="1"/>
      <c r="K129" s="1"/>
      <c r="L129" s="1"/>
      <c r="M129" s="1"/>
      <c r="N129" s="1"/>
      <c r="O129" s="1"/>
      <c r="P129" s="1"/>
    </row>
    <row r="130" ht="14.25" customHeight="1">
      <c r="A130" s="305" t="s">
        <v>50</v>
      </c>
      <c r="B130" s="308"/>
      <c r="C130" s="11"/>
      <c r="D130" s="1"/>
      <c r="E130" s="1"/>
      <c r="F130" s="1"/>
      <c r="G130" s="1"/>
      <c r="H130" s="1"/>
      <c r="I130" s="1"/>
      <c r="J130" s="1"/>
      <c r="K130" s="1"/>
      <c r="L130" s="1"/>
      <c r="M130" s="1"/>
      <c r="N130" s="1"/>
      <c r="O130" s="1"/>
      <c r="P130" s="1"/>
    </row>
    <row r="131" ht="14.25" customHeight="1">
      <c r="A131" s="11"/>
      <c r="B131" s="11"/>
      <c r="C131" s="11"/>
      <c r="D131" s="1"/>
      <c r="E131" s="1"/>
      <c r="F131" s="1"/>
      <c r="G131" s="1"/>
      <c r="H131" s="1"/>
      <c r="I131" s="1"/>
      <c r="J131" s="1"/>
      <c r="K131" s="1"/>
      <c r="L131" s="1"/>
      <c r="M131" s="1"/>
      <c r="N131" s="1"/>
      <c r="O131" s="1"/>
      <c r="P131" s="1"/>
    </row>
    <row r="132" ht="14.25" customHeight="1">
      <c r="A132" s="1"/>
      <c r="B132" s="1"/>
      <c r="C132" s="1"/>
      <c r="D132" s="1"/>
      <c r="E132" s="1"/>
      <c r="F132" s="1"/>
      <c r="G132" s="1"/>
      <c r="H132" s="1"/>
      <c r="I132" s="1"/>
      <c r="J132" s="1"/>
      <c r="K132" s="1"/>
      <c r="L132" s="1"/>
      <c r="M132" s="1"/>
      <c r="N132" s="1"/>
      <c r="O132" s="1"/>
      <c r="P132" s="1"/>
    </row>
    <row r="133" ht="14.25" customHeight="1">
      <c r="A133" s="1"/>
      <c r="B133" s="1"/>
      <c r="C133" s="1"/>
      <c r="D133" s="1"/>
      <c r="E133" s="1"/>
      <c r="F133" s="1"/>
      <c r="G133" s="1"/>
      <c r="H133" s="1"/>
      <c r="I133" s="1"/>
      <c r="J133" s="1"/>
      <c r="K133" s="1"/>
      <c r="L133" s="1"/>
      <c r="M133" s="1"/>
      <c r="N133" s="1"/>
      <c r="O133" s="1"/>
      <c r="P133" s="1"/>
    </row>
    <row r="134" ht="14.25" customHeight="1">
      <c r="A134" s="209" t="s">
        <v>2300</v>
      </c>
      <c r="B134" s="18"/>
      <c r="C134" s="18"/>
      <c r="D134" s="19"/>
      <c r="E134" s="1"/>
      <c r="F134" s="1"/>
      <c r="G134" s="1"/>
      <c r="H134" s="1"/>
      <c r="I134" s="1"/>
      <c r="J134" s="1"/>
      <c r="K134" s="1"/>
      <c r="L134" s="1"/>
      <c r="M134" s="1"/>
      <c r="N134" s="1"/>
      <c r="O134" s="1"/>
      <c r="P134" s="1"/>
    </row>
    <row r="135" ht="14.25" customHeight="1">
      <c r="A135" s="105" t="s">
        <v>2153</v>
      </c>
      <c r="B135" s="200">
        <v>5.0</v>
      </c>
      <c r="C135" s="56">
        <v>30.0</v>
      </c>
      <c r="D135" s="281" t="s">
        <v>5</v>
      </c>
      <c r="E135" s="1"/>
      <c r="F135" s="1"/>
      <c r="G135" s="1"/>
      <c r="H135" s="209" t="s">
        <v>2302</v>
      </c>
      <c r="I135" s="18"/>
      <c r="J135" s="18"/>
      <c r="K135" s="19"/>
      <c r="L135" s="1"/>
      <c r="M135" s="1"/>
      <c r="N135" s="1"/>
      <c r="O135" s="1"/>
      <c r="P135" s="1"/>
    </row>
    <row r="136" ht="14.25" customHeight="1">
      <c r="A136" s="68" t="s">
        <v>2303</v>
      </c>
      <c r="B136" s="145">
        <v>1.0</v>
      </c>
      <c r="C136" s="155">
        <f t="shared" ref="C136:C137" si="16">(B136*C135)/B135</f>
        <v>6</v>
      </c>
      <c r="D136" s="137" t="s">
        <v>366</v>
      </c>
      <c r="E136" s="2036" t="s">
        <v>2304</v>
      </c>
      <c r="F136" s="1"/>
      <c r="G136" s="1"/>
      <c r="H136" s="105" t="s">
        <v>2153</v>
      </c>
      <c r="I136" s="200">
        <v>5.0</v>
      </c>
      <c r="J136" s="56">
        <v>30.0</v>
      </c>
      <c r="K136" s="281" t="s">
        <v>5</v>
      </c>
      <c r="L136" s="1"/>
      <c r="M136" s="1"/>
      <c r="N136" s="1"/>
      <c r="O136" s="1"/>
      <c r="P136" s="1"/>
    </row>
    <row r="137" ht="14.25" customHeight="1">
      <c r="A137" s="417" t="s">
        <v>2305</v>
      </c>
      <c r="B137" s="418">
        <v>0.5</v>
      </c>
      <c r="C137" s="155">
        <f t="shared" si="16"/>
        <v>3</v>
      </c>
      <c r="D137" s="137" t="s">
        <v>18</v>
      </c>
      <c r="E137" s="47"/>
      <c r="F137" s="1"/>
      <c r="G137" s="1"/>
      <c r="H137" s="68" t="s">
        <v>2303</v>
      </c>
      <c r="I137" s="145">
        <v>1.0</v>
      </c>
      <c r="J137" s="155">
        <f t="shared" ref="J137:J138" si="17">(I137*J136)/I136</f>
        <v>6</v>
      </c>
      <c r="K137" s="137" t="s">
        <v>366</v>
      </c>
      <c r="L137" s="1"/>
      <c r="M137" s="1"/>
      <c r="N137" s="1"/>
      <c r="O137" s="1"/>
      <c r="P137" s="1"/>
    </row>
    <row r="138" ht="14.25" customHeight="1">
      <c r="A138" s="105" t="s">
        <v>2306</v>
      </c>
      <c r="B138" s="200">
        <v>2.0</v>
      </c>
      <c r="C138" s="56">
        <f t="shared" ref="C138:C139" si="18">(B138*C135)/B135</f>
        <v>12</v>
      </c>
      <c r="D138" s="172" t="s">
        <v>18</v>
      </c>
      <c r="E138" s="47"/>
      <c r="F138" s="1"/>
      <c r="G138" s="1"/>
      <c r="H138" s="417" t="s">
        <v>2305</v>
      </c>
      <c r="I138" s="418">
        <v>0.5</v>
      </c>
      <c r="J138" s="155">
        <f t="shared" si="17"/>
        <v>3</v>
      </c>
      <c r="K138" s="137" t="s">
        <v>18</v>
      </c>
      <c r="L138" s="2036" t="s">
        <v>2304</v>
      </c>
      <c r="M138" s="1"/>
      <c r="N138" s="1"/>
      <c r="O138" s="1"/>
      <c r="P138" s="1"/>
    </row>
    <row r="139" ht="14.25" customHeight="1">
      <c r="A139" s="105" t="s">
        <v>2310</v>
      </c>
      <c r="B139" s="200">
        <v>10.0</v>
      </c>
      <c r="C139" s="56">
        <f t="shared" si="18"/>
        <v>60</v>
      </c>
      <c r="D139" s="172" t="s">
        <v>5</v>
      </c>
      <c r="E139" s="76"/>
      <c r="F139" s="1"/>
      <c r="G139" s="1"/>
      <c r="H139" s="105" t="s">
        <v>2311</v>
      </c>
      <c r="I139" s="200">
        <v>2.0</v>
      </c>
      <c r="J139" s="56">
        <f t="shared" ref="J139:J140" si="19">(I139*J136)/I136</f>
        <v>12</v>
      </c>
      <c r="K139" s="172" t="s">
        <v>18</v>
      </c>
      <c r="L139" s="76"/>
      <c r="M139" s="1"/>
      <c r="N139" s="1"/>
      <c r="O139" s="1"/>
      <c r="P139" s="1"/>
    </row>
    <row r="140" ht="14.25" customHeight="1">
      <c r="A140" s="68" t="s">
        <v>13</v>
      </c>
      <c r="B140" s="145">
        <v>2.0</v>
      </c>
      <c r="C140" s="155">
        <f t="shared" ref="C140:C142" si="20">(B140*C139)/B139</f>
        <v>12</v>
      </c>
      <c r="D140" s="137" t="s">
        <v>14</v>
      </c>
      <c r="E140" s="1100" t="s">
        <v>2315</v>
      </c>
      <c r="F140" s="1"/>
      <c r="G140" s="1"/>
      <c r="H140" s="105" t="s">
        <v>2310</v>
      </c>
      <c r="I140" s="200">
        <v>10.0</v>
      </c>
      <c r="J140" s="56">
        <f t="shared" si="19"/>
        <v>60</v>
      </c>
      <c r="K140" s="172" t="s">
        <v>5</v>
      </c>
      <c r="L140" s="1100" t="s">
        <v>2316</v>
      </c>
      <c r="M140" s="1"/>
      <c r="N140" s="1"/>
      <c r="O140" s="1"/>
      <c r="P140" s="1"/>
    </row>
    <row r="141" ht="14.25" customHeight="1">
      <c r="A141" s="93" t="s">
        <v>59</v>
      </c>
      <c r="B141" s="195">
        <v>0.7</v>
      </c>
      <c r="C141" s="78">
        <f t="shared" si="20"/>
        <v>4.2</v>
      </c>
      <c r="D141" s="165" t="s">
        <v>5</v>
      </c>
      <c r="E141" s="47"/>
      <c r="F141" s="1"/>
      <c r="G141" s="1"/>
      <c r="H141" s="68" t="s">
        <v>13</v>
      </c>
      <c r="I141" s="145">
        <v>2.0</v>
      </c>
      <c r="J141" s="155">
        <f t="shared" ref="J141:J143" si="21">(I141*J140)/I140</f>
        <v>12</v>
      </c>
      <c r="K141" s="137" t="s">
        <v>14</v>
      </c>
      <c r="L141" s="47"/>
      <c r="M141" s="1"/>
      <c r="N141" s="1"/>
      <c r="O141" s="1"/>
      <c r="P141" s="1"/>
    </row>
    <row r="142" ht="14.25" customHeight="1">
      <c r="A142" s="93" t="s">
        <v>2185</v>
      </c>
      <c r="B142" s="195">
        <v>50.0</v>
      </c>
      <c r="C142" s="78">
        <f t="shared" si="20"/>
        <v>300</v>
      </c>
      <c r="D142" s="165" t="s">
        <v>18</v>
      </c>
      <c r="E142" s="76"/>
      <c r="F142" s="1"/>
      <c r="G142" s="1"/>
      <c r="H142" s="93" t="s">
        <v>59</v>
      </c>
      <c r="I142" s="195">
        <v>0.7</v>
      </c>
      <c r="J142" s="78">
        <f t="shared" si="21"/>
        <v>4.2</v>
      </c>
      <c r="K142" s="165" t="s">
        <v>5</v>
      </c>
      <c r="L142" s="76"/>
      <c r="M142" s="1"/>
      <c r="N142" s="1"/>
      <c r="O142" s="1"/>
      <c r="P142" s="1"/>
    </row>
    <row r="143" ht="14.25" customHeight="1">
      <c r="A143" s="93" t="s">
        <v>2321</v>
      </c>
      <c r="B143" s="195">
        <v>2.0</v>
      </c>
      <c r="C143" s="78">
        <f t="shared" ref="C143:C145" si="22">(B143*C140)/B140</f>
        <v>12</v>
      </c>
      <c r="D143" s="165" t="s">
        <v>18</v>
      </c>
      <c r="E143" s="1"/>
      <c r="F143" s="1"/>
      <c r="G143" s="1"/>
      <c r="H143" s="93" t="s">
        <v>2185</v>
      </c>
      <c r="I143" s="195">
        <v>50.0</v>
      </c>
      <c r="J143" s="78">
        <f t="shared" si="21"/>
        <v>300</v>
      </c>
      <c r="K143" s="165" t="s">
        <v>18</v>
      </c>
      <c r="L143" s="1"/>
      <c r="M143" s="1"/>
      <c r="N143" s="1"/>
      <c r="O143" s="1"/>
      <c r="P143" s="1"/>
    </row>
    <row r="144" ht="14.25" customHeight="1">
      <c r="A144" s="93" t="s">
        <v>2323</v>
      </c>
      <c r="B144" s="195">
        <v>150.0</v>
      </c>
      <c r="C144" s="78">
        <f t="shared" si="22"/>
        <v>900</v>
      </c>
      <c r="D144" s="165" t="s">
        <v>18</v>
      </c>
      <c r="E144" s="1"/>
      <c r="F144" s="1"/>
      <c r="G144" s="1"/>
      <c r="H144" s="93" t="s">
        <v>2321</v>
      </c>
      <c r="I144" s="195">
        <v>2.0</v>
      </c>
      <c r="J144" s="78">
        <f t="shared" ref="J144:J146" si="23">(I144*J141)/I141</f>
        <v>12</v>
      </c>
      <c r="K144" s="165" t="s">
        <v>18</v>
      </c>
      <c r="L144" s="1"/>
      <c r="M144" s="1"/>
      <c r="N144" s="1"/>
      <c r="O144" s="1"/>
      <c r="P144" s="1"/>
    </row>
    <row r="145" ht="14.25" customHeight="1">
      <c r="A145" s="93" t="s">
        <v>2325</v>
      </c>
      <c r="B145" s="195">
        <v>50.0</v>
      </c>
      <c r="C145" s="78">
        <f t="shared" si="22"/>
        <v>300</v>
      </c>
      <c r="D145" s="165" t="s">
        <v>18</v>
      </c>
      <c r="E145" s="1"/>
      <c r="F145" s="1"/>
      <c r="G145" s="1"/>
      <c r="H145" s="93" t="s">
        <v>2323</v>
      </c>
      <c r="I145" s="195">
        <v>150.0</v>
      </c>
      <c r="J145" s="78">
        <f t="shared" si="23"/>
        <v>900</v>
      </c>
      <c r="K145" s="165" t="s">
        <v>18</v>
      </c>
      <c r="L145" s="1"/>
      <c r="M145" s="1"/>
      <c r="N145" s="1"/>
      <c r="O145" s="1"/>
      <c r="P145" s="1"/>
    </row>
    <row r="146" ht="14.25" customHeight="1">
      <c r="A146" s="105" t="s">
        <v>2326</v>
      </c>
      <c r="B146" s="200">
        <v>150.0</v>
      </c>
      <c r="C146" s="56">
        <f>(B146*C145)/B145</f>
        <v>900</v>
      </c>
      <c r="D146" s="172" t="s">
        <v>18</v>
      </c>
      <c r="E146" s="1"/>
      <c r="F146" s="1"/>
      <c r="G146" s="1"/>
      <c r="H146" s="93" t="s">
        <v>2325</v>
      </c>
      <c r="I146" s="195">
        <v>50.0</v>
      </c>
      <c r="J146" s="78">
        <f t="shared" si="23"/>
        <v>300</v>
      </c>
      <c r="K146" s="165" t="s">
        <v>18</v>
      </c>
      <c r="L146" s="1"/>
      <c r="M146" s="1"/>
      <c r="N146" s="1"/>
      <c r="O146" s="1"/>
      <c r="P146" s="1"/>
    </row>
    <row r="147" ht="14.25" customHeight="1">
      <c r="A147" s="560" t="s">
        <v>119</v>
      </c>
      <c r="B147" s="818" t="s">
        <v>47</v>
      </c>
      <c r="C147" s="1"/>
      <c r="D147" s="1"/>
      <c r="E147" s="1"/>
      <c r="F147" s="1"/>
      <c r="G147" s="1"/>
      <c r="H147" s="105" t="s">
        <v>2326</v>
      </c>
      <c r="I147" s="200">
        <v>150.0</v>
      </c>
      <c r="J147" s="56">
        <f>(I147*J146)/I146</f>
        <v>900</v>
      </c>
      <c r="K147" s="172" t="s">
        <v>18</v>
      </c>
      <c r="L147" s="1"/>
      <c r="M147" s="1"/>
      <c r="N147" s="1"/>
      <c r="O147" s="1"/>
      <c r="P147" s="1"/>
    </row>
    <row r="148" ht="14.25" customHeight="1">
      <c r="A148" s="90" t="s">
        <v>120</v>
      </c>
      <c r="B148" s="308">
        <v>42748.0</v>
      </c>
      <c r="C148" s="1"/>
      <c r="D148" s="1"/>
      <c r="E148" s="1"/>
      <c r="F148" s="1"/>
      <c r="G148" s="1"/>
      <c r="H148" s="560" t="s">
        <v>119</v>
      </c>
      <c r="I148" s="818" t="s">
        <v>47</v>
      </c>
      <c r="J148" s="107"/>
      <c r="K148" s="107"/>
      <c r="L148" s="1"/>
      <c r="M148" s="1"/>
      <c r="N148" s="1"/>
      <c r="O148" s="1"/>
      <c r="P148" s="1"/>
    </row>
    <row r="149" ht="14.25" customHeight="1">
      <c r="A149" s="305" t="s">
        <v>50</v>
      </c>
      <c r="B149" s="308"/>
      <c r="C149" s="1"/>
      <c r="D149" s="1"/>
      <c r="E149" s="1"/>
      <c r="F149" s="1"/>
      <c r="G149" s="1"/>
      <c r="H149" s="90" t="s">
        <v>120</v>
      </c>
      <c r="I149" s="308">
        <v>42748.0</v>
      </c>
      <c r="J149" s="1"/>
      <c r="K149" s="1"/>
      <c r="L149" s="1"/>
      <c r="M149" s="1"/>
      <c r="N149" s="1"/>
      <c r="O149" s="1"/>
      <c r="P149" s="1"/>
    </row>
    <row r="150" ht="14.25" customHeight="1">
      <c r="A150" s="1"/>
      <c r="B150" s="1"/>
      <c r="C150" s="1"/>
      <c r="D150" s="1"/>
      <c r="E150" s="1"/>
      <c r="F150" s="1"/>
      <c r="G150" s="1"/>
      <c r="H150" s="305" t="s">
        <v>50</v>
      </c>
      <c r="I150" s="308"/>
      <c r="J150" s="1"/>
      <c r="K150" s="1"/>
      <c r="L150" s="1"/>
      <c r="M150" s="1"/>
      <c r="N150" s="1"/>
      <c r="O150" s="1"/>
      <c r="P150" s="1"/>
    </row>
    <row r="151" ht="14.25" customHeight="1">
      <c r="A151" s="1"/>
      <c r="B151" s="1"/>
      <c r="C151" s="1"/>
      <c r="D151" s="1"/>
      <c r="E151" s="1"/>
      <c r="F151" s="1"/>
      <c r="G151" s="1"/>
      <c r="H151" s="1"/>
      <c r="I151" s="1"/>
      <c r="J151" s="1"/>
      <c r="K151" s="1"/>
      <c r="L151" s="1"/>
      <c r="M151" s="1"/>
      <c r="N151" s="1"/>
      <c r="O151" s="1"/>
      <c r="P151" s="1"/>
    </row>
    <row r="152" ht="14.25" customHeight="1">
      <c r="A152" s="1"/>
      <c r="B152" s="1"/>
      <c r="C152" s="1"/>
      <c r="D152" s="1"/>
      <c r="E152" s="1"/>
      <c r="F152" s="1"/>
      <c r="G152" s="1"/>
      <c r="H152" s="1"/>
      <c r="I152" s="1"/>
      <c r="J152" s="1"/>
      <c r="K152" s="1"/>
      <c r="L152" s="1"/>
      <c r="M152" s="1"/>
      <c r="N152" s="1"/>
      <c r="O152" s="1"/>
      <c r="P152" s="1"/>
    </row>
    <row r="153" ht="14.25" customHeight="1">
      <c r="A153" s="1"/>
      <c r="B153" s="1"/>
      <c r="C153" s="1"/>
      <c r="D153" s="1"/>
      <c r="E153" s="1"/>
      <c r="F153" s="1"/>
      <c r="G153" s="1"/>
      <c r="H153" s="1"/>
      <c r="I153" s="1"/>
      <c r="J153" s="1"/>
      <c r="K153" s="1"/>
      <c r="L153" s="1"/>
      <c r="M153" s="1"/>
      <c r="N153" s="1"/>
      <c r="O153" s="1"/>
      <c r="P153" s="1"/>
    </row>
    <row r="154" ht="14.25" customHeight="1">
      <c r="A154" s="511" t="s">
        <v>2331</v>
      </c>
      <c r="B154" s="18"/>
      <c r="C154" s="18"/>
      <c r="D154" s="19"/>
      <c r="E154" s="1491" t="s">
        <v>2332</v>
      </c>
      <c r="F154" s="1"/>
      <c r="G154" s="1"/>
      <c r="H154" s="1"/>
      <c r="I154" s="1"/>
      <c r="J154" s="1"/>
      <c r="K154" s="1"/>
      <c r="L154" s="1"/>
      <c r="M154" s="1"/>
      <c r="N154" s="1"/>
      <c r="O154" s="1"/>
      <c r="P154" s="1"/>
    </row>
    <row r="155" ht="14.25" customHeight="1">
      <c r="A155" s="119" t="s">
        <v>1</v>
      </c>
      <c r="B155" s="238">
        <v>60.0</v>
      </c>
      <c r="C155" s="982">
        <v>140.0</v>
      </c>
      <c r="D155" s="1184" t="s">
        <v>1208</v>
      </c>
      <c r="E155" s="47"/>
      <c r="F155" s="1"/>
      <c r="G155" s="1"/>
      <c r="H155" s="1"/>
      <c r="I155" s="1"/>
      <c r="J155" s="1"/>
      <c r="K155" s="1"/>
      <c r="L155" s="1"/>
      <c r="M155" s="1"/>
      <c r="N155" s="1"/>
      <c r="O155" s="1"/>
      <c r="P155" s="1"/>
    </row>
    <row r="156" ht="14.25" customHeight="1">
      <c r="A156" s="93" t="s">
        <v>2335</v>
      </c>
      <c r="B156" s="195">
        <v>0.5</v>
      </c>
      <c r="C156" s="40">
        <f t="shared" ref="C156:C158" si="24">C155*B156/B155</f>
        <v>1.166666667</v>
      </c>
      <c r="D156" s="1158" t="s">
        <v>366</v>
      </c>
      <c r="E156" s="47"/>
      <c r="F156" s="1"/>
      <c r="G156" s="1"/>
      <c r="H156" s="1"/>
      <c r="I156" s="1"/>
      <c r="J156" s="1"/>
      <c r="K156" s="1"/>
      <c r="L156" s="1"/>
      <c r="M156" s="1"/>
      <c r="N156" s="1"/>
      <c r="O156" s="1"/>
      <c r="P156" s="1"/>
    </row>
    <row r="157" ht="14.25" customHeight="1">
      <c r="A157" s="93" t="s">
        <v>2337</v>
      </c>
      <c r="B157" s="195">
        <v>3.0</v>
      </c>
      <c r="C157" s="40">
        <f t="shared" si="24"/>
        <v>7</v>
      </c>
      <c r="D157" s="1158" t="s">
        <v>1208</v>
      </c>
      <c r="E157" s="47"/>
      <c r="F157" s="1"/>
      <c r="G157" s="1"/>
      <c r="H157" s="1"/>
      <c r="I157" s="1"/>
      <c r="J157" s="1"/>
      <c r="K157" s="1"/>
      <c r="L157" s="1"/>
      <c r="M157" s="1"/>
      <c r="N157" s="1"/>
      <c r="O157" s="1"/>
      <c r="P157" s="1"/>
    </row>
    <row r="158" ht="14.25" customHeight="1">
      <c r="A158" s="93" t="s">
        <v>2338</v>
      </c>
      <c r="B158" s="195">
        <v>60.0</v>
      </c>
      <c r="C158" s="40">
        <f t="shared" si="24"/>
        <v>140</v>
      </c>
      <c r="D158" s="1158" t="s">
        <v>82</v>
      </c>
      <c r="E158" s="47"/>
      <c r="F158" s="1"/>
      <c r="G158" s="1"/>
      <c r="H158" s="1"/>
      <c r="I158" s="1"/>
      <c r="J158" s="1"/>
      <c r="K158" s="1"/>
      <c r="L158" s="1"/>
      <c r="M158" s="1"/>
      <c r="N158" s="1"/>
      <c r="O158" s="1"/>
      <c r="P158" s="1"/>
    </row>
    <row r="159" ht="14.25" customHeight="1">
      <c r="A159" s="93" t="s">
        <v>2341</v>
      </c>
      <c r="B159" s="195">
        <v>0.6</v>
      </c>
      <c r="C159" s="40">
        <f>C157*B159/B157</f>
        <v>1.4</v>
      </c>
      <c r="D159" s="1158" t="s">
        <v>14</v>
      </c>
      <c r="E159" s="47"/>
      <c r="F159" s="1"/>
      <c r="G159" s="1"/>
      <c r="H159" s="1"/>
      <c r="I159" s="1"/>
      <c r="J159" s="1"/>
      <c r="K159" s="1"/>
      <c r="L159" s="1"/>
      <c r="M159" s="1"/>
      <c r="N159" s="1"/>
      <c r="O159" s="1"/>
      <c r="P159" s="1"/>
    </row>
    <row r="160" ht="14.25" customHeight="1">
      <c r="A160" s="105" t="s">
        <v>2343</v>
      </c>
      <c r="B160" s="200">
        <v>4.0</v>
      </c>
      <c r="C160" s="980">
        <f>C159*B160/B159</f>
        <v>9.333333333</v>
      </c>
      <c r="D160" s="1182" t="s">
        <v>18</v>
      </c>
      <c r="E160" s="76"/>
      <c r="F160" s="1"/>
      <c r="G160" s="1"/>
      <c r="H160" s="1"/>
      <c r="I160" s="1"/>
      <c r="J160" s="1"/>
      <c r="K160" s="1"/>
      <c r="L160" s="1"/>
      <c r="M160" s="1"/>
      <c r="N160" s="1"/>
      <c r="O160" s="1"/>
      <c r="P160" s="1"/>
    </row>
    <row r="161" ht="14.25" customHeight="1">
      <c r="A161" s="560" t="s">
        <v>119</v>
      </c>
      <c r="B161" s="818" t="s">
        <v>47</v>
      </c>
      <c r="C161" s="1"/>
      <c r="D161" s="1"/>
      <c r="E161" s="1"/>
      <c r="F161" s="1"/>
      <c r="G161" s="1"/>
      <c r="H161" s="1"/>
      <c r="I161" s="1"/>
      <c r="J161" s="1"/>
      <c r="K161" s="1"/>
      <c r="L161" s="1"/>
      <c r="M161" s="1"/>
      <c r="N161" s="1"/>
      <c r="O161" s="1"/>
      <c r="P161" s="1"/>
    </row>
    <row r="162" ht="14.25" customHeight="1">
      <c r="A162" s="90" t="s">
        <v>120</v>
      </c>
      <c r="B162" s="308">
        <v>42748.0</v>
      </c>
      <c r="C162" s="1"/>
      <c r="D162" s="1"/>
      <c r="E162" s="1"/>
      <c r="F162" s="1"/>
      <c r="G162" s="1"/>
      <c r="H162" s="1"/>
      <c r="I162" s="1"/>
      <c r="J162" s="1"/>
      <c r="K162" s="1"/>
      <c r="L162" s="1"/>
      <c r="M162" s="1"/>
      <c r="N162" s="1"/>
      <c r="O162" s="1"/>
      <c r="P162" s="1"/>
    </row>
    <row r="163" ht="14.25" customHeight="1">
      <c r="A163" s="305" t="s">
        <v>50</v>
      </c>
      <c r="B163" s="308"/>
      <c r="C163" s="1"/>
      <c r="D163" s="1"/>
      <c r="E163" s="1"/>
      <c r="F163" s="1"/>
      <c r="G163" s="1"/>
      <c r="H163" s="1"/>
      <c r="I163" s="1"/>
      <c r="J163" s="1"/>
      <c r="K163" s="1"/>
      <c r="L163" s="1"/>
      <c r="M163" s="1"/>
      <c r="N163" s="1"/>
      <c r="O163" s="1"/>
      <c r="P163" s="1"/>
    </row>
    <row r="164" ht="14.25" customHeight="1">
      <c r="A164" s="1"/>
      <c r="B164" s="1"/>
      <c r="C164" s="1"/>
      <c r="D164" s="1"/>
      <c r="E164" s="1"/>
      <c r="F164" s="1"/>
      <c r="G164" s="1"/>
      <c r="H164" s="1"/>
      <c r="I164" s="1"/>
      <c r="J164" s="1"/>
      <c r="K164" s="1"/>
      <c r="L164" s="1"/>
      <c r="M164" s="1"/>
      <c r="N164" s="1"/>
      <c r="O164" s="1"/>
      <c r="P164" s="1"/>
    </row>
    <row r="165" ht="14.25" customHeight="1">
      <c r="A165" s="1"/>
      <c r="B165" s="1"/>
      <c r="C165" s="1"/>
      <c r="D165" s="1"/>
      <c r="E165" s="1"/>
      <c r="F165" s="1"/>
      <c r="G165" s="1"/>
      <c r="H165" s="1"/>
      <c r="I165" s="1"/>
      <c r="J165" s="1"/>
      <c r="K165" s="1"/>
      <c r="L165" s="1"/>
      <c r="M165" s="1"/>
      <c r="N165" s="1"/>
      <c r="O165" s="1"/>
      <c r="P165" s="1"/>
    </row>
    <row r="166" ht="14.25" customHeight="1">
      <c r="A166" s="1"/>
      <c r="B166" s="1"/>
      <c r="C166" s="1"/>
      <c r="D166" s="1"/>
      <c r="E166" s="1"/>
      <c r="F166" s="1"/>
      <c r="G166" s="1"/>
      <c r="H166" s="1"/>
      <c r="I166" s="1"/>
      <c r="J166" s="1"/>
      <c r="K166" s="1"/>
      <c r="L166" s="1"/>
      <c r="M166" s="1"/>
      <c r="N166" s="1"/>
      <c r="O166" s="1"/>
      <c r="P166" s="1"/>
    </row>
    <row r="167" ht="14.25" customHeight="1">
      <c r="A167" s="511" t="s">
        <v>2348</v>
      </c>
      <c r="B167" s="18"/>
      <c r="C167" s="18"/>
      <c r="D167" s="19"/>
      <c r="E167" s="1"/>
      <c r="F167" s="1"/>
      <c r="G167" s="1"/>
      <c r="H167" s="1"/>
      <c r="I167" s="1"/>
      <c r="J167" s="1"/>
      <c r="K167" s="1"/>
      <c r="L167" s="1"/>
      <c r="M167" s="1"/>
      <c r="N167" s="1"/>
      <c r="O167" s="1"/>
      <c r="P167" s="1"/>
    </row>
    <row r="168" ht="14.25" customHeight="1">
      <c r="A168" s="119" t="s">
        <v>1</v>
      </c>
      <c r="B168" s="238">
        <v>60.0</v>
      </c>
      <c r="C168" s="982">
        <v>140.0</v>
      </c>
      <c r="D168" s="1184" t="s">
        <v>1208</v>
      </c>
      <c r="E168" s="1"/>
      <c r="F168" s="1"/>
      <c r="G168" s="1"/>
      <c r="H168" s="1"/>
      <c r="I168" s="1"/>
      <c r="J168" s="1"/>
      <c r="K168" s="1"/>
      <c r="L168" s="1"/>
      <c r="M168" s="1"/>
      <c r="N168" s="1"/>
      <c r="O168" s="1"/>
      <c r="P168" s="1"/>
    </row>
    <row r="169" ht="14.25" customHeight="1">
      <c r="A169" s="93" t="s">
        <v>2350</v>
      </c>
      <c r="B169" s="195">
        <v>1.0</v>
      </c>
      <c r="C169" s="40">
        <f t="shared" ref="C169:C174" si="25">C168*B169/B168</f>
        <v>2.333333333</v>
      </c>
      <c r="D169" s="1158" t="s">
        <v>366</v>
      </c>
      <c r="E169" s="1"/>
      <c r="F169" s="1"/>
      <c r="G169" s="1"/>
      <c r="H169" s="1"/>
      <c r="I169" s="1"/>
      <c r="J169" s="1"/>
      <c r="K169" s="1"/>
      <c r="L169" s="1"/>
      <c r="M169" s="1"/>
      <c r="N169" s="1"/>
      <c r="O169" s="1"/>
      <c r="P169" s="1"/>
    </row>
    <row r="170" ht="14.25" customHeight="1">
      <c r="A170" s="93" t="s">
        <v>15</v>
      </c>
      <c r="B170" s="195">
        <v>0.6</v>
      </c>
      <c r="C170" s="40">
        <f t="shared" si="25"/>
        <v>1.4</v>
      </c>
      <c r="D170" s="1158" t="s">
        <v>5</v>
      </c>
      <c r="E170" s="1"/>
      <c r="F170" s="1"/>
      <c r="G170" s="1"/>
      <c r="H170" s="1"/>
      <c r="I170" s="1"/>
      <c r="J170" s="1"/>
      <c r="K170" s="1"/>
      <c r="L170" s="1"/>
      <c r="M170" s="1"/>
      <c r="N170" s="1"/>
      <c r="O170" s="1"/>
      <c r="P170" s="1"/>
    </row>
    <row r="171" ht="14.25" customHeight="1">
      <c r="A171" s="93" t="s">
        <v>743</v>
      </c>
      <c r="B171" s="195">
        <v>0.15</v>
      </c>
      <c r="C171" s="40">
        <f t="shared" si="25"/>
        <v>0.35</v>
      </c>
      <c r="D171" s="1158" t="s">
        <v>5</v>
      </c>
      <c r="E171" s="1"/>
      <c r="F171" s="1"/>
      <c r="G171" s="1"/>
      <c r="H171" s="1"/>
      <c r="I171" s="1"/>
      <c r="J171" s="1"/>
      <c r="K171" s="1"/>
      <c r="L171" s="1"/>
      <c r="M171" s="1"/>
      <c r="N171" s="1"/>
      <c r="O171" s="1"/>
      <c r="P171" s="1"/>
    </row>
    <row r="172" ht="14.25" customHeight="1">
      <c r="A172" s="93" t="s">
        <v>2343</v>
      </c>
      <c r="B172" s="195">
        <v>4.0</v>
      </c>
      <c r="C172" s="40">
        <f t="shared" si="25"/>
        <v>9.333333333</v>
      </c>
      <c r="D172" s="1158" t="s">
        <v>18</v>
      </c>
      <c r="E172" s="1"/>
      <c r="F172" s="1"/>
      <c r="G172" s="1"/>
      <c r="H172" s="1"/>
      <c r="I172" s="1"/>
      <c r="J172" s="1"/>
      <c r="K172" s="1"/>
      <c r="L172" s="1"/>
      <c r="M172" s="1"/>
      <c r="N172" s="1"/>
      <c r="O172" s="1"/>
      <c r="P172" s="1"/>
    </row>
    <row r="173" ht="14.25" customHeight="1">
      <c r="A173" s="93" t="s">
        <v>13</v>
      </c>
      <c r="B173" s="195">
        <v>1.0</v>
      </c>
      <c r="C173" s="40">
        <f t="shared" si="25"/>
        <v>2.333333333</v>
      </c>
      <c r="D173" s="1158" t="s">
        <v>366</v>
      </c>
      <c r="E173" s="1"/>
      <c r="F173" s="1"/>
      <c r="G173" s="1"/>
      <c r="H173" s="1"/>
      <c r="I173" s="1"/>
      <c r="J173" s="1"/>
      <c r="K173" s="1"/>
      <c r="L173" s="1"/>
      <c r="M173" s="1"/>
      <c r="N173" s="1"/>
      <c r="O173" s="1"/>
      <c r="P173" s="1"/>
    </row>
    <row r="174" ht="14.25" customHeight="1">
      <c r="A174" s="105" t="s">
        <v>2353</v>
      </c>
      <c r="B174" s="200">
        <v>8.0</v>
      </c>
      <c r="C174" s="980">
        <f t="shared" si="25"/>
        <v>18.66666667</v>
      </c>
      <c r="D174" s="1182" t="s">
        <v>2354</v>
      </c>
      <c r="E174" s="1"/>
      <c r="F174" s="1"/>
      <c r="G174" s="1"/>
      <c r="H174" s="1"/>
      <c r="I174" s="1"/>
      <c r="J174" s="1"/>
      <c r="K174" s="1"/>
      <c r="L174" s="1"/>
      <c r="M174" s="1"/>
      <c r="N174" s="1"/>
      <c r="O174" s="1"/>
      <c r="P174" s="1"/>
    </row>
    <row r="175" ht="14.25" customHeight="1">
      <c r="A175" s="560" t="s">
        <v>119</v>
      </c>
      <c r="B175" s="818" t="s">
        <v>47</v>
      </c>
      <c r="C175" s="1"/>
      <c r="D175" s="1"/>
      <c r="E175" s="1"/>
      <c r="F175" s="1"/>
      <c r="G175" s="1"/>
      <c r="H175" s="1"/>
      <c r="I175" s="1"/>
      <c r="J175" s="1"/>
      <c r="K175" s="1"/>
      <c r="L175" s="1"/>
      <c r="M175" s="1"/>
      <c r="N175" s="1"/>
      <c r="O175" s="1"/>
      <c r="P175" s="1"/>
    </row>
    <row r="176" ht="14.25" customHeight="1">
      <c r="A176" s="90" t="s">
        <v>120</v>
      </c>
      <c r="B176" s="308">
        <v>42748.0</v>
      </c>
      <c r="C176" s="1"/>
      <c r="D176" s="1"/>
      <c r="E176" s="1"/>
      <c r="F176" s="1"/>
      <c r="G176" s="1"/>
      <c r="H176" s="1"/>
      <c r="I176" s="1"/>
      <c r="J176" s="1"/>
      <c r="K176" s="1"/>
      <c r="L176" s="1"/>
      <c r="M176" s="1"/>
      <c r="N176" s="1"/>
      <c r="O176" s="1"/>
      <c r="P176" s="1"/>
    </row>
    <row r="177" ht="14.25" customHeight="1">
      <c r="A177" s="305" t="s">
        <v>50</v>
      </c>
      <c r="B177" s="308"/>
      <c r="C177" s="1"/>
      <c r="D177" s="1"/>
      <c r="E177" s="1"/>
      <c r="F177" s="1"/>
      <c r="G177" s="1"/>
      <c r="H177" s="1"/>
      <c r="I177" s="1"/>
      <c r="J177" s="1"/>
      <c r="K177" s="1"/>
      <c r="L177" s="1"/>
      <c r="M177" s="1"/>
      <c r="N177" s="1"/>
      <c r="O177" s="1"/>
      <c r="P177" s="1"/>
    </row>
    <row r="178" ht="14.25" customHeight="1">
      <c r="A178" s="1"/>
      <c r="B178" s="1"/>
      <c r="C178" s="1"/>
      <c r="D178" s="1"/>
      <c r="E178" s="1"/>
      <c r="F178" s="1"/>
      <c r="G178" s="1"/>
      <c r="H178" s="1"/>
      <c r="I178" s="1"/>
      <c r="J178" s="1"/>
      <c r="K178" s="1"/>
      <c r="L178" s="1"/>
      <c r="M178" s="1"/>
      <c r="N178" s="1"/>
      <c r="O178" s="1"/>
      <c r="P178" s="1"/>
    </row>
    <row r="179" ht="14.25" customHeight="1">
      <c r="A179" s="1"/>
      <c r="B179" s="1"/>
      <c r="C179" s="1"/>
      <c r="D179" s="1"/>
      <c r="E179" s="1"/>
      <c r="F179" s="1"/>
      <c r="G179" s="1"/>
      <c r="H179" s="1"/>
      <c r="I179" s="1"/>
      <c r="J179" s="1"/>
      <c r="K179" s="1"/>
      <c r="L179" s="1"/>
      <c r="M179" s="1"/>
      <c r="N179" s="1"/>
      <c r="O179" s="1"/>
      <c r="P179" s="1"/>
    </row>
    <row r="180" ht="14.25" customHeight="1">
      <c r="A180" s="511" t="s">
        <v>2356</v>
      </c>
      <c r="B180" s="18"/>
      <c r="C180" s="18"/>
      <c r="D180" s="19"/>
      <c r="E180" s="1"/>
      <c r="F180" s="1"/>
      <c r="G180" s="1"/>
      <c r="H180" s="1"/>
      <c r="I180" s="1"/>
      <c r="J180" s="1"/>
      <c r="K180" s="1"/>
      <c r="L180" s="1"/>
      <c r="M180" s="1"/>
      <c r="N180" s="1"/>
      <c r="O180" s="1"/>
      <c r="P180" s="1"/>
    </row>
    <row r="181" ht="14.25" customHeight="1">
      <c r="A181" s="119" t="s">
        <v>2357</v>
      </c>
      <c r="B181" s="238">
        <v>140.0</v>
      </c>
      <c r="C181" s="982">
        <v>140.0</v>
      </c>
      <c r="D181" s="1184" t="s">
        <v>1197</v>
      </c>
      <c r="E181" s="1"/>
      <c r="F181" s="1"/>
      <c r="G181" s="1"/>
      <c r="H181" s="1"/>
      <c r="I181" s="1"/>
      <c r="J181" s="1"/>
      <c r="K181" s="1"/>
      <c r="L181" s="1"/>
      <c r="M181" s="1"/>
      <c r="N181" s="1"/>
      <c r="O181" s="1"/>
      <c r="P181" s="1"/>
    </row>
    <row r="182" ht="14.25" customHeight="1">
      <c r="A182" s="93" t="s">
        <v>2303</v>
      </c>
      <c r="B182" s="195">
        <v>1.0</v>
      </c>
      <c r="C182" s="40">
        <f t="shared" ref="C182:C187" si="26">C181*B182/B181</f>
        <v>1</v>
      </c>
      <c r="D182" s="1158" t="s">
        <v>2360</v>
      </c>
      <c r="E182" s="1"/>
      <c r="F182" s="1"/>
      <c r="G182" s="1"/>
      <c r="H182" s="1"/>
      <c r="I182" s="1"/>
      <c r="J182" s="1"/>
      <c r="K182" s="1"/>
      <c r="L182" s="1"/>
      <c r="M182" s="1"/>
      <c r="N182" s="1"/>
      <c r="O182" s="1"/>
      <c r="P182" s="1"/>
    </row>
    <row r="183" ht="14.25" customHeight="1">
      <c r="A183" s="93" t="s">
        <v>13</v>
      </c>
      <c r="B183" s="195">
        <v>2.0</v>
      </c>
      <c r="C183" s="40">
        <f t="shared" si="26"/>
        <v>2</v>
      </c>
      <c r="D183" s="1158" t="s">
        <v>2360</v>
      </c>
      <c r="E183" s="1"/>
      <c r="F183" s="1"/>
      <c r="G183" s="1"/>
      <c r="H183" s="1"/>
      <c r="I183" s="1"/>
      <c r="J183" s="1"/>
      <c r="K183" s="1"/>
      <c r="L183" s="1"/>
      <c r="M183" s="1"/>
      <c r="N183" s="1"/>
      <c r="O183" s="1"/>
      <c r="P183" s="1"/>
    </row>
    <row r="184" ht="14.25" customHeight="1">
      <c r="A184" s="93" t="s">
        <v>2350</v>
      </c>
      <c r="B184" s="2082">
        <v>2.0</v>
      </c>
      <c r="C184" s="40">
        <f t="shared" si="26"/>
        <v>2</v>
      </c>
      <c r="D184" s="1158" t="s">
        <v>2360</v>
      </c>
      <c r="E184" s="1"/>
      <c r="F184" s="1"/>
      <c r="G184" s="1"/>
      <c r="H184" s="1"/>
      <c r="I184" s="1"/>
      <c r="J184" s="1"/>
      <c r="K184" s="1"/>
      <c r="L184" s="1"/>
      <c r="M184" s="1"/>
      <c r="N184" s="1"/>
      <c r="O184" s="1"/>
      <c r="P184" s="1"/>
    </row>
    <row r="185" ht="14.25" customHeight="1">
      <c r="A185" s="93" t="s">
        <v>15</v>
      </c>
      <c r="B185" s="195">
        <v>1.0</v>
      </c>
      <c r="C185" s="40">
        <f t="shared" si="26"/>
        <v>1</v>
      </c>
      <c r="D185" s="1158" t="s">
        <v>2360</v>
      </c>
      <c r="E185" s="1"/>
      <c r="F185" s="1"/>
      <c r="G185" s="1"/>
      <c r="H185" s="1"/>
      <c r="I185" s="1"/>
      <c r="J185" s="1"/>
      <c r="K185" s="1"/>
      <c r="L185" s="1"/>
      <c r="M185" s="1"/>
      <c r="N185" s="1"/>
      <c r="O185" s="1"/>
      <c r="P185" s="1"/>
    </row>
    <row r="186" ht="14.25" customHeight="1">
      <c r="A186" s="93" t="s">
        <v>743</v>
      </c>
      <c r="B186" s="195">
        <v>1.0</v>
      </c>
      <c r="C186" s="40">
        <f t="shared" si="26"/>
        <v>1</v>
      </c>
      <c r="D186" s="1158" t="s">
        <v>2360</v>
      </c>
      <c r="E186" s="1"/>
      <c r="F186" s="1"/>
      <c r="G186" s="1"/>
      <c r="H186" s="1"/>
      <c r="I186" s="1"/>
      <c r="J186" s="1"/>
      <c r="K186" s="1"/>
      <c r="L186" s="1"/>
      <c r="M186" s="1"/>
      <c r="N186" s="1"/>
      <c r="O186" s="1"/>
      <c r="P186" s="1"/>
    </row>
    <row r="187" ht="14.25" customHeight="1">
      <c r="A187" s="105" t="s">
        <v>2368</v>
      </c>
      <c r="B187" s="200">
        <v>6.0</v>
      </c>
      <c r="C187" s="980">
        <f t="shared" si="26"/>
        <v>6</v>
      </c>
      <c r="D187" s="1182" t="s">
        <v>2369</v>
      </c>
      <c r="E187" s="1"/>
      <c r="F187" s="1"/>
      <c r="G187" s="1"/>
      <c r="H187" s="1"/>
      <c r="I187" s="1"/>
      <c r="J187" s="1"/>
      <c r="K187" s="1"/>
      <c r="L187" s="1"/>
      <c r="M187" s="1"/>
      <c r="N187" s="1"/>
      <c r="O187" s="1"/>
      <c r="P187" s="1"/>
    </row>
    <row r="188" ht="14.25" customHeight="1">
      <c r="A188" s="1"/>
      <c r="B188" s="107"/>
      <c r="C188" s="107"/>
      <c r="D188" s="107"/>
      <c r="E188" s="1"/>
      <c r="F188" s="1"/>
      <c r="G188" s="1"/>
      <c r="H188" s="1"/>
      <c r="I188" s="1"/>
      <c r="J188" s="1"/>
      <c r="K188" s="1"/>
      <c r="L188" s="1"/>
      <c r="M188" s="1"/>
      <c r="N188" s="1"/>
      <c r="O188" s="1"/>
      <c r="P188" s="1"/>
    </row>
    <row r="189" ht="14.25" customHeight="1">
      <c r="A189" s="2086" t="s">
        <v>2370</v>
      </c>
      <c r="B189" s="18"/>
      <c r="C189" s="18"/>
      <c r="D189" s="19"/>
      <c r="E189" s="1"/>
      <c r="F189" s="1"/>
      <c r="G189" s="1"/>
      <c r="H189" s="1"/>
      <c r="I189" s="1"/>
      <c r="J189" s="1"/>
      <c r="K189" s="1"/>
      <c r="L189" s="1"/>
      <c r="M189" s="1"/>
      <c r="N189" s="1"/>
      <c r="O189" s="1"/>
      <c r="P189" s="1"/>
    </row>
    <row r="190" ht="14.25" customHeight="1">
      <c r="A190" s="560" t="s">
        <v>119</v>
      </c>
      <c r="B190" s="818" t="s">
        <v>47</v>
      </c>
      <c r="C190" s="1"/>
      <c r="D190" s="1"/>
      <c r="E190" s="1"/>
      <c r="F190" s="1"/>
      <c r="G190" s="1"/>
      <c r="H190" s="1"/>
      <c r="I190" s="1"/>
      <c r="J190" s="1"/>
      <c r="K190" s="1"/>
      <c r="L190" s="1"/>
      <c r="M190" s="1"/>
      <c r="N190" s="1"/>
      <c r="O190" s="1"/>
      <c r="P190" s="1"/>
    </row>
    <row r="191" ht="14.25" customHeight="1">
      <c r="A191" s="90" t="s">
        <v>120</v>
      </c>
      <c r="B191" s="308">
        <v>42748.0</v>
      </c>
      <c r="C191" s="1"/>
      <c r="D191" s="1"/>
      <c r="E191" s="1"/>
      <c r="F191" s="1"/>
      <c r="G191" s="1"/>
      <c r="H191" s="1"/>
      <c r="I191" s="1"/>
      <c r="J191" s="1"/>
      <c r="K191" s="1"/>
      <c r="L191" s="1"/>
      <c r="M191" s="1"/>
      <c r="N191" s="1"/>
      <c r="O191" s="1"/>
      <c r="P191" s="1"/>
    </row>
    <row r="192" ht="14.25" customHeight="1">
      <c r="A192" s="305" t="s">
        <v>50</v>
      </c>
      <c r="B192" s="308"/>
      <c r="C192" s="1"/>
      <c r="D192" s="1"/>
      <c r="E192" s="1"/>
      <c r="F192" s="1"/>
      <c r="G192" s="1"/>
      <c r="H192" s="1"/>
      <c r="I192" s="1"/>
      <c r="J192" s="1"/>
      <c r="K192" s="1"/>
      <c r="L192" s="1"/>
      <c r="M192" s="1"/>
      <c r="N192" s="1"/>
      <c r="O192" s="1"/>
      <c r="P192" s="1"/>
    </row>
    <row r="193" ht="15.0" customHeight="1">
      <c r="A193" s="1"/>
      <c r="B193" s="1"/>
      <c r="C193" s="1"/>
      <c r="D193" s="1"/>
      <c r="E193" s="1"/>
      <c r="F193" s="1"/>
      <c r="G193" s="1"/>
      <c r="H193" s="1"/>
      <c r="I193" s="1"/>
      <c r="J193" s="1"/>
      <c r="K193" s="1"/>
      <c r="L193" s="1"/>
      <c r="M193" s="1"/>
      <c r="N193" s="1"/>
      <c r="O193" s="1"/>
      <c r="P193" s="1"/>
    </row>
    <row r="194" ht="14.25" customHeight="1">
      <c r="A194" s="1"/>
      <c r="B194" s="1"/>
      <c r="C194" s="1"/>
      <c r="D194" s="1"/>
      <c r="E194" s="1"/>
      <c r="F194" s="1"/>
      <c r="G194" s="1"/>
      <c r="H194" s="1"/>
      <c r="I194" s="1"/>
      <c r="J194" s="1"/>
      <c r="K194" s="1"/>
      <c r="L194" s="1"/>
      <c r="M194" s="1"/>
      <c r="N194" s="1"/>
      <c r="O194" s="1"/>
      <c r="P194" s="1"/>
    </row>
    <row r="195" ht="14.25" customHeight="1">
      <c r="A195" s="656" t="s">
        <v>2373</v>
      </c>
      <c r="B195" s="18"/>
      <c r="C195" s="18"/>
      <c r="D195" s="19"/>
      <c r="E195" s="1"/>
      <c r="F195" s="1"/>
      <c r="G195" s="1"/>
      <c r="H195" s="1"/>
      <c r="I195" s="1"/>
      <c r="J195" s="1"/>
      <c r="K195" s="1"/>
      <c r="L195" s="1"/>
      <c r="M195" s="1"/>
      <c r="N195" s="1"/>
      <c r="O195" s="1"/>
      <c r="P195" s="1"/>
    </row>
    <row r="196" ht="14.25" customHeight="1">
      <c r="A196" s="1967" t="s">
        <v>2374</v>
      </c>
      <c r="B196" s="218">
        <v>15.0</v>
      </c>
      <c r="C196" s="2087">
        <v>60.0</v>
      </c>
      <c r="D196" s="428" t="s">
        <v>741</v>
      </c>
      <c r="E196" s="1"/>
      <c r="F196" s="1"/>
      <c r="G196" s="1"/>
      <c r="H196" s="1"/>
      <c r="I196" s="1"/>
      <c r="J196" s="1"/>
      <c r="K196" s="1"/>
      <c r="L196" s="1"/>
      <c r="M196" s="1"/>
      <c r="N196" s="1"/>
      <c r="O196" s="1"/>
      <c r="P196" s="1"/>
    </row>
    <row r="197" ht="14.25" customHeight="1">
      <c r="A197" s="732" t="s">
        <v>2377</v>
      </c>
      <c r="B197" s="131">
        <v>0.25</v>
      </c>
      <c r="C197" s="2089">
        <f t="shared" ref="C197:C200" si="27">(B197/B196)*C196</f>
        <v>1</v>
      </c>
      <c r="D197" s="432" t="s">
        <v>14</v>
      </c>
      <c r="E197" s="1"/>
      <c r="F197" s="1"/>
      <c r="G197" s="1"/>
      <c r="H197" s="1"/>
      <c r="I197" s="1"/>
      <c r="J197" s="1"/>
      <c r="K197" s="1"/>
      <c r="L197" s="1"/>
      <c r="M197" s="1"/>
      <c r="N197" s="1"/>
      <c r="O197" s="1"/>
      <c r="P197" s="1"/>
    </row>
    <row r="198" ht="14.25" customHeight="1">
      <c r="A198" s="1134" t="s">
        <v>2380</v>
      </c>
      <c r="B198" s="160">
        <v>50.0</v>
      </c>
      <c r="C198" s="2090">
        <f t="shared" si="27"/>
        <v>200</v>
      </c>
      <c r="D198" s="441" t="s">
        <v>18</v>
      </c>
      <c r="E198" s="1"/>
      <c r="F198" s="1"/>
      <c r="G198" s="1"/>
      <c r="H198" s="1"/>
      <c r="I198" s="1"/>
      <c r="J198" s="1"/>
      <c r="K198" s="1"/>
      <c r="L198" s="1"/>
      <c r="M198" s="1"/>
      <c r="N198" s="1"/>
      <c r="O198" s="1"/>
      <c r="P198" s="1"/>
    </row>
    <row r="199" ht="14.25" customHeight="1">
      <c r="A199" s="1134" t="s">
        <v>2383</v>
      </c>
      <c r="B199" s="160">
        <v>70.0</v>
      </c>
      <c r="C199" s="2090">
        <f t="shared" si="27"/>
        <v>280</v>
      </c>
      <c r="D199" s="441" t="s">
        <v>82</v>
      </c>
      <c r="E199" s="1"/>
      <c r="F199" s="1"/>
      <c r="G199" s="1"/>
      <c r="H199" s="1"/>
      <c r="I199" s="1"/>
      <c r="J199" s="1"/>
      <c r="K199" s="1"/>
      <c r="L199" s="1"/>
      <c r="M199" s="1"/>
      <c r="N199" s="1"/>
      <c r="O199" s="1"/>
      <c r="P199" s="1"/>
    </row>
    <row r="200" ht="14.25" customHeight="1">
      <c r="A200" s="1136" t="s">
        <v>13</v>
      </c>
      <c r="B200" s="167">
        <v>80.0</v>
      </c>
      <c r="C200" s="2093">
        <f t="shared" si="27"/>
        <v>320</v>
      </c>
      <c r="D200" s="475" t="s">
        <v>18</v>
      </c>
      <c r="E200" s="1"/>
      <c r="F200" s="1"/>
      <c r="G200" s="1"/>
      <c r="H200" s="1"/>
      <c r="I200" s="1"/>
      <c r="J200" s="1"/>
      <c r="K200" s="1"/>
      <c r="L200" s="1"/>
      <c r="M200" s="1"/>
      <c r="N200" s="1"/>
      <c r="O200" s="1"/>
      <c r="P200" s="1"/>
    </row>
    <row r="201" ht="14.25" customHeight="1">
      <c r="A201" s="560" t="s">
        <v>119</v>
      </c>
      <c r="B201" s="818" t="s">
        <v>47</v>
      </c>
      <c r="C201" s="1"/>
      <c r="D201" s="1"/>
      <c r="E201" s="1"/>
      <c r="F201" s="1"/>
      <c r="G201" s="1"/>
      <c r="H201" s="1"/>
      <c r="I201" s="1"/>
      <c r="J201" s="1"/>
      <c r="K201" s="1"/>
      <c r="L201" s="1"/>
      <c r="M201" s="1"/>
      <c r="N201" s="1"/>
      <c r="O201" s="1"/>
      <c r="P201" s="1"/>
    </row>
    <row r="202" ht="14.25" customHeight="1">
      <c r="A202" s="90" t="s">
        <v>120</v>
      </c>
      <c r="B202" s="308">
        <v>42748.0</v>
      </c>
      <c r="C202" s="1"/>
      <c r="D202" s="1"/>
      <c r="E202" s="1"/>
      <c r="F202" s="1"/>
      <c r="G202" s="1"/>
      <c r="H202" s="1"/>
      <c r="I202" s="1"/>
      <c r="J202" s="1"/>
      <c r="K202" s="1"/>
      <c r="L202" s="1"/>
      <c r="M202" s="1"/>
      <c r="N202" s="1"/>
      <c r="O202" s="1"/>
      <c r="P202" s="1"/>
    </row>
    <row r="203" ht="14.25" customHeight="1">
      <c r="A203" s="305" t="s">
        <v>50</v>
      </c>
      <c r="B203" s="308"/>
      <c r="C203" s="1"/>
      <c r="D203" s="1"/>
      <c r="E203" s="1"/>
      <c r="F203" s="1"/>
      <c r="G203" s="1"/>
      <c r="H203" s="1"/>
      <c r="I203" s="1"/>
      <c r="J203" s="1"/>
      <c r="K203" s="1"/>
      <c r="L203" s="1"/>
      <c r="M203" s="1"/>
      <c r="N203" s="1"/>
      <c r="O203" s="1"/>
      <c r="P203" s="1"/>
    </row>
    <row r="204" ht="14.25" customHeight="1">
      <c r="A204" s="1"/>
      <c r="B204" s="1"/>
      <c r="C204" s="1"/>
      <c r="D204" s="1"/>
      <c r="E204" s="1"/>
      <c r="F204" s="1"/>
      <c r="G204" s="1"/>
      <c r="H204" s="1"/>
      <c r="I204" s="1"/>
      <c r="J204" s="1"/>
      <c r="K204" s="1"/>
      <c r="L204" s="1"/>
      <c r="M204" s="1"/>
      <c r="N204" s="1"/>
      <c r="O204" s="1"/>
      <c r="P204" s="1"/>
    </row>
    <row r="205" ht="14.25" customHeight="1">
      <c r="A205" s="1"/>
      <c r="B205" s="1"/>
      <c r="C205" s="1"/>
      <c r="D205" s="1"/>
      <c r="E205" s="1"/>
      <c r="F205" s="1"/>
      <c r="G205" s="1"/>
      <c r="H205" s="1"/>
      <c r="I205" s="1"/>
      <c r="J205" s="1"/>
      <c r="K205" s="1"/>
      <c r="L205" s="1"/>
      <c r="M205" s="1"/>
      <c r="N205" s="1"/>
      <c r="O205" s="1"/>
      <c r="P205" s="1"/>
    </row>
    <row r="206" ht="14.25" customHeight="1">
      <c r="A206" s="1"/>
      <c r="B206" s="1"/>
      <c r="C206" s="1"/>
      <c r="D206" s="1"/>
      <c r="E206" s="1"/>
      <c r="F206" s="1"/>
      <c r="G206" s="1"/>
      <c r="H206" s="1"/>
      <c r="I206" s="1"/>
      <c r="J206" s="1"/>
      <c r="K206" s="1"/>
      <c r="L206" s="1"/>
      <c r="M206" s="1"/>
      <c r="N206" s="1"/>
      <c r="O206" s="1"/>
      <c r="P206" s="1"/>
    </row>
    <row r="207" ht="14.25" customHeight="1">
      <c r="A207" s="1"/>
      <c r="B207" s="1"/>
      <c r="C207" s="1"/>
      <c r="D207" s="1"/>
      <c r="E207" s="1"/>
      <c r="F207" s="1"/>
      <c r="G207" s="1"/>
      <c r="H207" s="1"/>
      <c r="I207" s="1"/>
      <c r="J207" s="1"/>
      <c r="K207" s="1"/>
      <c r="L207" s="1"/>
      <c r="M207" s="1"/>
      <c r="N207" s="1"/>
      <c r="O207" s="1"/>
      <c r="P207" s="1"/>
    </row>
    <row r="208" ht="14.25" customHeight="1">
      <c r="A208" s="16" t="s">
        <v>2393</v>
      </c>
      <c r="B208" s="18"/>
      <c r="C208" s="18"/>
      <c r="D208" s="19"/>
      <c r="E208" s="1"/>
      <c r="F208" s="1"/>
      <c r="G208" s="1"/>
      <c r="H208" s="1"/>
      <c r="I208" s="1"/>
      <c r="J208" s="1"/>
      <c r="K208" s="1"/>
      <c r="L208" s="1"/>
      <c r="M208" s="1"/>
      <c r="N208" s="1"/>
      <c r="O208" s="1"/>
      <c r="P208" s="1"/>
    </row>
    <row r="209" ht="14.25" customHeight="1">
      <c r="A209" s="732" t="s">
        <v>2396</v>
      </c>
      <c r="B209" s="164">
        <v>20.0</v>
      </c>
      <c r="C209" s="221">
        <v>200.0</v>
      </c>
      <c r="D209" s="733" t="s">
        <v>1197</v>
      </c>
      <c r="E209" s="1"/>
      <c r="F209" s="1"/>
      <c r="G209" s="1"/>
      <c r="H209" s="1"/>
      <c r="I209" s="1"/>
      <c r="J209" s="1"/>
      <c r="K209" s="1"/>
      <c r="L209" s="1"/>
      <c r="M209" s="1"/>
      <c r="N209" s="1"/>
      <c r="O209" s="1"/>
      <c r="P209" s="1"/>
    </row>
    <row r="210" ht="14.25" customHeight="1">
      <c r="A210" s="177" t="s">
        <v>2399</v>
      </c>
      <c r="B210" s="500">
        <v>150.0</v>
      </c>
      <c r="C210" s="500">
        <f>(B210*C209)/B209</f>
        <v>1500</v>
      </c>
      <c r="D210" s="204" t="s">
        <v>18</v>
      </c>
      <c r="E210" s="1"/>
      <c r="F210" s="1"/>
      <c r="G210" s="1"/>
      <c r="H210" s="1"/>
      <c r="I210" s="1"/>
      <c r="J210" s="1"/>
      <c r="K210" s="1"/>
      <c r="L210" s="1"/>
      <c r="M210" s="1"/>
      <c r="N210" s="1"/>
      <c r="O210" s="1"/>
      <c r="P210" s="1"/>
    </row>
    <row r="211" ht="14.25" customHeight="1">
      <c r="A211" s="93" t="s">
        <v>2404</v>
      </c>
      <c r="B211" s="247">
        <v>85.0</v>
      </c>
      <c r="C211" s="195">
        <f>(B211*C209)/B209</f>
        <v>850</v>
      </c>
      <c r="D211" s="249" t="s">
        <v>82</v>
      </c>
      <c r="E211" s="1"/>
      <c r="F211" s="1"/>
      <c r="G211" s="1"/>
      <c r="H211" s="1"/>
      <c r="I211" s="1"/>
      <c r="J211" s="1"/>
      <c r="K211" s="1"/>
      <c r="L211" s="1"/>
      <c r="M211" s="1"/>
      <c r="N211" s="1"/>
      <c r="O211" s="1"/>
      <c r="P211" s="1"/>
    </row>
    <row r="212" ht="14.25" customHeight="1">
      <c r="A212" s="93" t="s">
        <v>2407</v>
      </c>
      <c r="B212" s="247">
        <v>100.0</v>
      </c>
      <c r="C212" s="195">
        <f t="shared" ref="C212:C213" si="28">(B212*C211)/B211</f>
        <v>1000</v>
      </c>
      <c r="D212" s="249" t="s">
        <v>5</v>
      </c>
      <c r="E212" s="1"/>
      <c r="F212" s="1"/>
      <c r="G212" s="1"/>
      <c r="H212" s="1"/>
      <c r="I212" s="1"/>
      <c r="J212" s="1"/>
      <c r="K212" s="1"/>
      <c r="L212" s="1"/>
      <c r="M212" s="1"/>
      <c r="N212" s="1"/>
      <c r="O212" s="1"/>
      <c r="P212" s="1"/>
    </row>
    <row r="213" ht="14.25" customHeight="1">
      <c r="A213" s="93" t="s">
        <v>2411</v>
      </c>
      <c r="B213" s="247">
        <v>5.0</v>
      </c>
      <c r="C213" s="195">
        <f t="shared" si="28"/>
        <v>50</v>
      </c>
      <c r="D213" s="249" t="s">
        <v>18</v>
      </c>
      <c r="E213" s="1"/>
      <c r="F213" s="1"/>
      <c r="G213" s="1"/>
      <c r="H213" s="1"/>
      <c r="I213" s="1"/>
      <c r="J213" s="1"/>
      <c r="K213" s="1"/>
      <c r="L213" s="1"/>
      <c r="M213" s="1"/>
      <c r="N213" s="1"/>
      <c r="O213" s="1"/>
      <c r="P213" s="1"/>
    </row>
    <row r="214" ht="14.25" customHeight="1">
      <c r="A214" s="93" t="s">
        <v>2413</v>
      </c>
      <c r="B214" s="247">
        <v>5.0</v>
      </c>
      <c r="C214" s="195">
        <f>(B214*C212)/B212</f>
        <v>50</v>
      </c>
      <c r="D214" s="249" t="s">
        <v>82</v>
      </c>
      <c r="E214" s="1"/>
      <c r="F214" s="1"/>
      <c r="G214" s="1"/>
      <c r="H214" s="1"/>
      <c r="I214" s="1"/>
      <c r="J214" s="1"/>
      <c r="K214" s="1"/>
      <c r="L214" s="1"/>
      <c r="M214" s="1"/>
      <c r="N214" s="1"/>
      <c r="O214" s="1"/>
      <c r="P214" s="1"/>
    </row>
    <row r="215" ht="14.25" customHeight="1">
      <c r="A215" s="325" t="s">
        <v>15</v>
      </c>
      <c r="B215" s="337">
        <v>30.0</v>
      </c>
      <c r="C215" s="2111">
        <f>(B215*C212)/B212</f>
        <v>300</v>
      </c>
      <c r="D215" s="338" t="s">
        <v>82</v>
      </c>
      <c r="E215" s="1"/>
      <c r="F215" s="1"/>
      <c r="G215" s="1"/>
      <c r="H215" s="1"/>
      <c r="I215" s="1"/>
      <c r="J215" s="1"/>
      <c r="K215" s="1"/>
      <c r="L215" s="1"/>
      <c r="M215" s="1"/>
      <c r="N215" s="1"/>
      <c r="O215" s="1"/>
      <c r="P215" s="1"/>
    </row>
    <row r="216" ht="14.25" customHeight="1">
      <c r="A216" s="560" t="s">
        <v>119</v>
      </c>
      <c r="B216" s="818" t="s">
        <v>47</v>
      </c>
      <c r="C216" s="1"/>
      <c r="D216" s="1"/>
      <c r="E216" s="1"/>
      <c r="F216" s="1"/>
      <c r="G216" s="1"/>
      <c r="H216" s="1"/>
      <c r="I216" s="1"/>
      <c r="J216" s="1"/>
      <c r="K216" s="1"/>
      <c r="L216" s="1"/>
      <c r="M216" s="1"/>
      <c r="N216" s="1"/>
      <c r="O216" s="1"/>
      <c r="P216" s="1"/>
    </row>
    <row r="217" ht="14.25" customHeight="1">
      <c r="A217" s="90" t="s">
        <v>120</v>
      </c>
      <c r="B217" s="308">
        <v>43478.0</v>
      </c>
      <c r="C217" s="1"/>
      <c r="D217" s="1"/>
      <c r="E217" s="1"/>
      <c r="F217" s="1"/>
      <c r="G217" s="1"/>
      <c r="H217" s="1"/>
      <c r="I217" s="1"/>
      <c r="J217" s="1"/>
      <c r="K217" s="1"/>
      <c r="L217" s="1"/>
      <c r="M217" s="1"/>
      <c r="N217" s="1"/>
      <c r="O217" s="1"/>
      <c r="P217" s="1"/>
    </row>
    <row r="218" ht="16.5" customHeight="1">
      <c r="A218" s="305" t="s">
        <v>50</v>
      </c>
      <c r="B218" s="308"/>
      <c r="C218" s="1"/>
      <c r="D218" s="1"/>
      <c r="E218" s="1"/>
      <c r="F218" s="1"/>
      <c r="G218" s="1"/>
      <c r="H218" s="1"/>
      <c r="I218" s="1"/>
      <c r="J218" s="1"/>
      <c r="K218" s="1"/>
      <c r="L218" s="1"/>
      <c r="M218" s="1"/>
      <c r="N218" s="1"/>
      <c r="O218" s="1"/>
      <c r="P218" s="1"/>
    </row>
    <row r="219" ht="15.75" customHeight="1">
      <c r="A219" s="1"/>
      <c r="B219" s="1"/>
      <c r="C219" s="1"/>
      <c r="D219" s="1"/>
      <c r="E219" s="1"/>
      <c r="F219" s="1"/>
      <c r="G219" s="1"/>
      <c r="H219" s="1"/>
      <c r="I219" s="1"/>
      <c r="J219" s="1"/>
      <c r="K219" s="1"/>
      <c r="L219" s="1"/>
      <c r="M219" s="1"/>
      <c r="N219" s="1"/>
      <c r="O219" s="1"/>
      <c r="P219" s="1"/>
    </row>
    <row r="220" ht="15.0" customHeight="1">
      <c r="A220" s="2086" t="s">
        <v>2420</v>
      </c>
      <c r="B220" s="18"/>
      <c r="C220" s="18"/>
      <c r="D220" s="19"/>
      <c r="E220" s="1"/>
      <c r="F220" s="1"/>
      <c r="G220" s="1"/>
      <c r="H220" s="1"/>
      <c r="I220" s="1"/>
      <c r="J220" s="1"/>
      <c r="K220" s="1"/>
      <c r="L220" s="1"/>
      <c r="M220" s="1"/>
      <c r="N220" s="1"/>
      <c r="O220" s="1"/>
      <c r="P220" s="1"/>
    </row>
    <row r="221" ht="14.25" customHeight="1">
      <c r="A221" s="1"/>
      <c r="B221" s="1"/>
      <c r="C221" s="1"/>
      <c r="D221" s="1"/>
      <c r="E221" s="1"/>
      <c r="F221" s="1"/>
      <c r="G221" s="1"/>
      <c r="H221" s="1"/>
      <c r="I221" s="1"/>
      <c r="J221" s="1"/>
      <c r="K221" s="1"/>
      <c r="L221" s="1"/>
      <c r="M221" s="1"/>
      <c r="N221" s="1"/>
      <c r="O221" s="1"/>
      <c r="P221" s="1"/>
    </row>
    <row r="222" ht="14.25" customHeight="1">
      <c r="A222" s="1"/>
      <c r="B222" s="1"/>
      <c r="C222" s="1"/>
      <c r="D222" s="1"/>
      <c r="E222" s="1"/>
      <c r="F222" s="1"/>
      <c r="G222" s="1"/>
      <c r="H222" s="1"/>
      <c r="I222" s="1"/>
      <c r="J222" s="1"/>
      <c r="K222" s="1"/>
      <c r="L222" s="1"/>
      <c r="M222" s="1"/>
      <c r="N222" s="1"/>
      <c r="O222" s="1"/>
      <c r="P222" s="1"/>
    </row>
    <row r="223" ht="14.25" customHeight="1">
      <c r="A223" s="1"/>
      <c r="B223" s="1"/>
      <c r="C223" s="1"/>
      <c r="D223" s="1"/>
      <c r="E223" s="1"/>
      <c r="F223" s="1"/>
      <c r="G223" s="1"/>
      <c r="H223" s="1"/>
      <c r="I223" s="1"/>
      <c r="J223" s="1"/>
      <c r="K223" s="1"/>
      <c r="L223" s="1"/>
      <c r="M223" s="1"/>
      <c r="N223" s="1"/>
      <c r="O223" s="1"/>
      <c r="P223" s="1"/>
    </row>
    <row r="224" ht="14.25" customHeight="1">
      <c r="A224" s="1"/>
      <c r="B224" s="1"/>
      <c r="C224" s="1"/>
      <c r="D224" s="1"/>
      <c r="E224" s="1"/>
      <c r="F224" s="1"/>
      <c r="G224" s="1"/>
      <c r="H224" s="1"/>
      <c r="I224" s="1"/>
      <c r="J224" s="1"/>
      <c r="K224" s="1"/>
      <c r="L224" s="1"/>
      <c r="M224" s="1"/>
      <c r="N224" s="1"/>
      <c r="O224" s="1"/>
      <c r="P224" s="1"/>
    </row>
    <row r="225" ht="14.25" customHeight="1">
      <c r="A225" s="1"/>
      <c r="B225" s="1"/>
      <c r="C225" s="1"/>
      <c r="D225" s="1"/>
      <c r="E225" s="1"/>
      <c r="F225" s="1"/>
      <c r="G225" s="1"/>
      <c r="H225" s="1"/>
      <c r="I225" s="1"/>
      <c r="J225" s="1"/>
      <c r="K225" s="1"/>
      <c r="L225" s="1"/>
      <c r="M225" s="1"/>
      <c r="N225" s="1"/>
      <c r="O225" s="1"/>
      <c r="P225" s="1"/>
    </row>
    <row r="226" ht="14.25" customHeight="1">
      <c r="A226" s="1"/>
      <c r="B226" s="1"/>
      <c r="C226" s="1"/>
      <c r="D226" s="1"/>
      <c r="E226" s="1"/>
      <c r="F226" s="1"/>
      <c r="G226" s="1"/>
      <c r="H226" s="1"/>
      <c r="I226" s="1"/>
      <c r="J226" s="1"/>
      <c r="K226" s="1"/>
      <c r="L226" s="1"/>
      <c r="M226" s="1"/>
      <c r="N226" s="1"/>
      <c r="O226" s="1"/>
      <c r="P226" s="1"/>
    </row>
    <row r="227" ht="14.25" customHeight="1">
      <c r="A227" s="1"/>
      <c r="B227" s="1"/>
      <c r="C227" s="1"/>
      <c r="D227" s="1"/>
      <c r="E227" s="1"/>
      <c r="F227" s="1"/>
      <c r="G227" s="1"/>
      <c r="H227" s="1"/>
      <c r="I227" s="1"/>
      <c r="J227" s="1"/>
      <c r="K227" s="1"/>
      <c r="L227" s="1"/>
      <c r="M227" s="1"/>
      <c r="N227" s="1"/>
      <c r="O227" s="1"/>
      <c r="P227" s="1"/>
    </row>
    <row r="228" ht="14.25" customHeight="1">
      <c r="A228" s="1"/>
      <c r="B228" s="1"/>
      <c r="C228" s="1"/>
      <c r="D228" s="1"/>
      <c r="E228" s="1"/>
      <c r="F228" s="1"/>
      <c r="G228" s="1"/>
      <c r="H228" s="1"/>
      <c r="I228" s="1"/>
      <c r="J228" s="1"/>
      <c r="K228" s="1"/>
      <c r="L228" s="1"/>
      <c r="M228" s="1"/>
      <c r="N228" s="1"/>
      <c r="O228" s="1"/>
      <c r="P228" s="1"/>
    </row>
    <row r="229" ht="14.25" customHeight="1">
      <c r="A229" s="1"/>
      <c r="B229" s="1"/>
      <c r="C229" s="1"/>
      <c r="D229" s="1"/>
      <c r="E229" s="1"/>
      <c r="F229" s="1"/>
      <c r="G229" s="1"/>
      <c r="H229" s="1"/>
      <c r="I229" s="1"/>
      <c r="J229" s="1"/>
      <c r="K229" s="1"/>
      <c r="L229" s="1"/>
      <c r="M229" s="1"/>
      <c r="N229" s="1"/>
      <c r="O229" s="1"/>
      <c r="P229" s="1"/>
    </row>
    <row r="230" ht="14.25" customHeight="1">
      <c r="A230" s="1"/>
      <c r="B230" s="1"/>
      <c r="C230" s="1"/>
      <c r="D230" s="1"/>
      <c r="E230" s="1"/>
      <c r="F230" s="1"/>
      <c r="G230" s="1"/>
      <c r="H230" s="1"/>
      <c r="I230" s="1"/>
      <c r="J230" s="1"/>
      <c r="K230" s="1"/>
      <c r="L230" s="1"/>
      <c r="M230" s="1"/>
      <c r="N230" s="1"/>
      <c r="O230" s="1"/>
      <c r="P230" s="1"/>
    </row>
    <row r="231" ht="14.25" customHeight="1">
      <c r="A231" s="1"/>
      <c r="B231" s="1"/>
      <c r="C231" s="1"/>
      <c r="D231" s="1"/>
      <c r="E231" s="1"/>
      <c r="F231" s="1"/>
      <c r="G231" s="1"/>
      <c r="H231" s="1"/>
      <c r="I231" s="1"/>
      <c r="J231" s="1"/>
      <c r="K231" s="1"/>
      <c r="L231" s="1"/>
      <c r="M231" s="1"/>
      <c r="N231" s="1"/>
      <c r="O231" s="1"/>
      <c r="P231" s="1"/>
    </row>
    <row r="232" ht="14.25" customHeight="1">
      <c r="A232" s="1"/>
      <c r="B232" s="1"/>
      <c r="C232" s="1"/>
      <c r="D232" s="1"/>
      <c r="E232" s="1"/>
      <c r="F232" s="1"/>
      <c r="G232" s="1"/>
      <c r="H232" s="1"/>
      <c r="I232" s="1"/>
      <c r="J232" s="1"/>
      <c r="K232" s="1"/>
      <c r="L232" s="1"/>
      <c r="M232" s="1"/>
      <c r="N232" s="1"/>
      <c r="O232" s="1"/>
      <c r="P232" s="1"/>
    </row>
    <row r="233" ht="14.25" customHeight="1">
      <c r="A233" s="1"/>
      <c r="B233" s="1"/>
      <c r="C233" s="1"/>
      <c r="D233" s="1"/>
      <c r="E233" s="1"/>
      <c r="F233" s="1"/>
      <c r="G233" s="1"/>
      <c r="H233" s="1"/>
      <c r="I233" s="1"/>
      <c r="J233" s="1"/>
      <c r="K233" s="1"/>
      <c r="L233" s="1"/>
      <c r="M233" s="1"/>
      <c r="N233" s="1"/>
      <c r="O233" s="1"/>
      <c r="P233" s="1"/>
    </row>
    <row r="234" ht="14.25" customHeight="1">
      <c r="A234" s="1"/>
      <c r="B234" s="1"/>
      <c r="C234" s="1"/>
      <c r="D234" s="1"/>
      <c r="E234" s="1"/>
      <c r="F234" s="1"/>
      <c r="G234" s="1"/>
      <c r="H234" s="1"/>
      <c r="I234" s="1"/>
      <c r="J234" s="1"/>
      <c r="K234" s="1"/>
      <c r="L234" s="1"/>
      <c r="M234" s="1"/>
      <c r="N234" s="1"/>
      <c r="O234" s="1"/>
      <c r="P234" s="1"/>
    </row>
    <row r="235" ht="14.25" customHeight="1">
      <c r="A235" s="1"/>
      <c r="B235" s="1"/>
      <c r="C235" s="1"/>
      <c r="D235" s="1"/>
      <c r="E235" s="1"/>
      <c r="F235" s="1"/>
      <c r="G235" s="1"/>
      <c r="H235" s="1"/>
      <c r="I235" s="1"/>
      <c r="J235" s="1"/>
      <c r="K235" s="1"/>
      <c r="L235" s="1"/>
      <c r="M235" s="1"/>
      <c r="N235" s="1"/>
      <c r="O235" s="1"/>
      <c r="P235" s="1"/>
    </row>
    <row r="236" ht="14.25" customHeight="1">
      <c r="A236" s="1"/>
      <c r="B236" s="1"/>
      <c r="C236" s="1"/>
      <c r="D236" s="1"/>
      <c r="E236" s="1"/>
      <c r="F236" s="1"/>
      <c r="G236" s="1"/>
      <c r="H236" s="1"/>
      <c r="I236" s="1"/>
      <c r="J236" s="1"/>
      <c r="K236" s="1"/>
      <c r="L236" s="1"/>
      <c r="M236" s="1"/>
      <c r="N236" s="1"/>
      <c r="O236" s="1"/>
      <c r="P236" s="1"/>
    </row>
    <row r="237" ht="14.25" customHeight="1">
      <c r="A237" s="1"/>
      <c r="B237" s="1"/>
      <c r="C237" s="1"/>
      <c r="D237" s="1"/>
      <c r="E237" s="1"/>
      <c r="F237" s="1"/>
      <c r="G237" s="1"/>
      <c r="H237" s="1"/>
      <c r="I237" s="1"/>
      <c r="J237" s="1"/>
      <c r="K237" s="1"/>
      <c r="L237" s="1"/>
      <c r="M237" s="1"/>
      <c r="N237" s="1"/>
      <c r="O237" s="1"/>
      <c r="P237" s="1"/>
    </row>
    <row r="238" ht="14.25" customHeight="1">
      <c r="A238" s="1"/>
      <c r="B238" s="1"/>
      <c r="C238" s="1"/>
      <c r="D238" s="1"/>
      <c r="E238" s="1"/>
      <c r="F238" s="1"/>
      <c r="G238" s="1"/>
      <c r="H238" s="1"/>
      <c r="I238" s="1"/>
      <c r="J238" s="1"/>
      <c r="K238" s="1"/>
      <c r="L238" s="1"/>
      <c r="M238" s="1"/>
      <c r="N238" s="1"/>
      <c r="O238" s="1"/>
      <c r="P238" s="1"/>
    </row>
    <row r="239" ht="14.25" customHeight="1">
      <c r="A239" s="1"/>
      <c r="B239" s="1"/>
      <c r="C239" s="1"/>
      <c r="D239" s="1"/>
      <c r="E239" s="1"/>
      <c r="F239" s="1"/>
      <c r="G239" s="1"/>
      <c r="H239" s="1"/>
      <c r="I239" s="1"/>
      <c r="J239" s="1"/>
      <c r="K239" s="1"/>
      <c r="L239" s="1"/>
      <c r="M239" s="1"/>
      <c r="N239" s="1"/>
      <c r="O239" s="1"/>
      <c r="P239" s="1"/>
    </row>
    <row r="240" ht="14.25" customHeight="1">
      <c r="A240" s="1"/>
      <c r="B240" s="1"/>
      <c r="C240" s="1"/>
      <c r="D240" s="1"/>
      <c r="E240" s="1"/>
      <c r="F240" s="1"/>
      <c r="G240" s="1"/>
      <c r="H240" s="1"/>
      <c r="I240" s="1"/>
      <c r="J240" s="1"/>
      <c r="K240" s="1"/>
      <c r="L240" s="1"/>
      <c r="M240" s="1"/>
      <c r="N240" s="1"/>
      <c r="O240" s="1"/>
      <c r="P240" s="1"/>
    </row>
    <row r="241" ht="14.25" customHeight="1">
      <c r="A241" s="1"/>
      <c r="B241" s="1"/>
      <c r="C241" s="1"/>
      <c r="D241" s="1"/>
      <c r="E241" s="1"/>
      <c r="F241" s="1"/>
      <c r="G241" s="1"/>
      <c r="H241" s="1"/>
      <c r="I241" s="1"/>
      <c r="J241" s="1"/>
      <c r="K241" s="1"/>
      <c r="L241" s="1"/>
      <c r="M241" s="1"/>
      <c r="N241" s="1"/>
      <c r="O241" s="1"/>
      <c r="P241" s="1"/>
    </row>
    <row r="242" ht="14.25" customHeight="1">
      <c r="A242" s="1"/>
      <c r="B242" s="1"/>
      <c r="C242" s="1"/>
      <c r="D242" s="1"/>
      <c r="E242" s="1"/>
      <c r="F242" s="1"/>
      <c r="G242" s="1"/>
      <c r="H242" s="1"/>
      <c r="I242" s="1"/>
      <c r="J242" s="1"/>
      <c r="K242" s="1"/>
      <c r="L242" s="1"/>
      <c r="M242" s="1"/>
      <c r="N242" s="1"/>
      <c r="O242" s="1"/>
      <c r="P242" s="1"/>
    </row>
    <row r="243" ht="14.25" customHeight="1">
      <c r="A243" s="1"/>
      <c r="B243" s="1"/>
      <c r="C243" s="1"/>
      <c r="D243" s="1"/>
      <c r="E243" s="1"/>
      <c r="F243" s="1"/>
      <c r="G243" s="1"/>
      <c r="H243" s="1"/>
      <c r="I243" s="1"/>
      <c r="J243" s="1"/>
      <c r="K243" s="1"/>
      <c r="L243" s="1"/>
      <c r="M243" s="1"/>
      <c r="N243" s="1"/>
      <c r="O243" s="1"/>
      <c r="P243" s="1"/>
    </row>
    <row r="244" ht="14.25" customHeight="1">
      <c r="A244" s="1"/>
      <c r="B244" s="1"/>
      <c r="C244" s="1"/>
      <c r="D244" s="1"/>
      <c r="E244" s="1"/>
      <c r="F244" s="1"/>
      <c r="G244" s="1"/>
      <c r="H244" s="1"/>
      <c r="I244" s="1"/>
      <c r="J244" s="1"/>
      <c r="K244" s="1"/>
      <c r="L244" s="1"/>
      <c r="M244" s="1"/>
      <c r="N244" s="1"/>
      <c r="O244" s="1"/>
      <c r="P244" s="1"/>
    </row>
    <row r="245" ht="14.25" customHeight="1">
      <c r="A245" s="1"/>
      <c r="B245" s="1"/>
      <c r="C245" s="1"/>
      <c r="D245" s="1"/>
      <c r="E245" s="1"/>
      <c r="F245" s="1"/>
      <c r="G245" s="1"/>
      <c r="H245" s="1"/>
      <c r="I245" s="1"/>
      <c r="J245" s="1"/>
      <c r="K245" s="1"/>
      <c r="L245" s="1"/>
      <c r="M245" s="1"/>
      <c r="N245" s="1"/>
      <c r="O245" s="1"/>
      <c r="P245" s="1"/>
    </row>
    <row r="246" ht="14.25" customHeight="1">
      <c r="A246" s="1"/>
      <c r="B246" s="1"/>
      <c r="C246" s="1"/>
      <c r="D246" s="1"/>
      <c r="E246" s="1"/>
      <c r="F246" s="1"/>
      <c r="G246" s="1"/>
      <c r="H246" s="1"/>
      <c r="I246" s="1"/>
      <c r="J246" s="1"/>
      <c r="K246" s="1"/>
      <c r="L246" s="1"/>
      <c r="M246" s="1"/>
      <c r="N246" s="1"/>
      <c r="O246" s="1"/>
      <c r="P246" s="1"/>
    </row>
    <row r="247" ht="14.25" customHeight="1">
      <c r="A247" s="1"/>
      <c r="B247" s="1"/>
      <c r="C247" s="1"/>
      <c r="D247" s="1"/>
      <c r="E247" s="1"/>
      <c r="F247" s="1"/>
      <c r="G247" s="1"/>
      <c r="H247" s="1"/>
      <c r="I247" s="1"/>
      <c r="J247" s="1"/>
      <c r="K247" s="1"/>
      <c r="L247" s="1"/>
      <c r="M247" s="1"/>
      <c r="N247" s="1"/>
      <c r="O247" s="1"/>
      <c r="P247" s="1"/>
    </row>
    <row r="248" ht="14.25" customHeight="1">
      <c r="A248" s="1"/>
      <c r="B248" s="1"/>
      <c r="C248" s="1"/>
      <c r="D248" s="1"/>
      <c r="E248" s="1"/>
      <c r="F248" s="1"/>
      <c r="G248" s="1"/>
      <c r="H248" s="1"/>
      <c r="I248" s="1"/>
      <c r="J248" s="1"/>
      <c r="K248" s="1"/>
      <c r="L248" s="1"/>
      <c r="M248" s="1"/>
      <c r="N248" s="1"/>
      <c r="O248" s="1"/>
      <c r="P248" s="1"/>
    </row>
    <row r="249" ht="14.25" customHeight="1">
      <c r="A249" s="1"/>
      <c r="B249" s="1"/>
      <c r="C249" s="1"/>
      <c r="D249" s="1"/>
      <c r="E249" s="1"/>
      <c r="F249" s="1"/>
      <c r="G249" s="1"/>
      <c r="H249" s="1"/>
      <c r="I249" s="1"/>
      <c r="J249" s="1"/>
      <c r="K249" s="1"/>
      <c r="L249" s="1"/>
      <c r="M249" s="1"/>
      <c r="N249" s="1"/>
      <c r="O249" s="1"/>
      <c r="P249" s="1"/>
    </row>
    <row r="250" ht="14.25" customHeight="1">
      <c r="A250" s="1"/>
      <c r="B250" s="1"/>
      <c r="C250" s="1"/>
      <c r="D250" s="1"/>
      <c r="E250" s="1"/>
      <c r="F250" s="1"/>
      <c r="G250" s="1"/>
      <c r="H250" s="1"/>
      <c r="I250" s="1"/>
      <c r="J250" s="1"/>
      <c r="K250" s="1"/>
      <c r="L250" s="1"/>
      <c r="M250" s="1"/>
      <c r="N250" s="1"/>
      <c r="O250" s="1"/>
      <c r="P250" s="1"/>
    </row>
    <row r="251" ht="14.25" customHeight="1">
      <c r="A251" s="1"/>
      <c r="B251" s="1"/>
      <c r="C251" s="1"/>
      <c r="D251" s="1"/>
      <c r="E251" s="1"/>
      <c r="F251" s="1"/>
      <c r="G251" s="1"/>
      <c r="H251" s="1"/>
      <c r="I251" s="1"/>
      <c r="J251" s="1"/>
      <c r="K251" s="1"/>
      <c r="L251" s="1"/>
      <c r="M251" s="1"/>
      <c r="N251" s="1"/>
      <c r="O251" s="1"/>
      <c r="P251" s="1"/>
    </row>
    <row r="252" ht="14.25" customHeight="1">
      <c r="A252" s="1"/>
      <c r="B252" s="1"/>
      <c r="C252" s="1"/>
      <c r="D252" s="1"/>
      <c r="E252" s="1"/>
      <c r="F252" s="1"/>
      <c r="G252" s="1"/>
      <c r="H252" s="1"/>
      <c r="I252" s="1"/>
      <c r="J252" s="1"/>
      <c r="K252" s="1"/>
      <c r="L252" s="1"/>
      <c r="M252" s="1"/>
      <c r="N252" s="1"/>
      <c r="O252" s="1"/>
      <c r="P252" s="1"/>
    </row>
    <row r="253" ht="14.25" customHeight="1">
      <c r="A253" s="1"/>
      <c r="B253" s="1"/>
      <c r="C253" s="1"/>
      <c r="D253" s="1"/>
      <c r="E253" s="1"/>
      <c r="F253" s="1"/>
      <c r="G253" s="1"/>
      <c r="H253" s="1"/>
      <c r="I253" s="1"/>
      <c r="J253" s="1"/>
      <c r="K253" s="1"/>
      <c r="L253" s="1"/>
      <c r="M253" s="1"/>
      <c r="N253" s="1"/>
      <c r="O253" s="1"/>
      <c r="P253" s="1"/>
    </row>
    <row r="254" ht="14.25" customHeight="1">
      <c r="A254" s="1"/>
      <c r="B254" s="1"/>
      <c r="C254" s="1"/>
      <c r="D254" s="1"/>
      <c r="E254" s="1"/>
      <c r="F254" s="1"/>
      <c r="G254" s="1"/>
      <c r="H254" s="1"/>
      <c r="I254" s="1"/>
      <c r="J254" s="1"/>
      <c r="K254" s="1"/>
      <c r="L254" s="1"/>
      <c r="M254" s="1"/>
      <c r="N254" s="1"/>
      <c r="O254" s="1"/>
      <c r="P254" s="1"/>
    </row>
    <row r="255" ht="14.25" customHeight="1">
      <c r="A255" s="1"/>
      <c r="B255" s="1"/>
      <c r="C255" s="1"/>
      <c r="D255" s="1"/>
      <c r="E255" s="1"/>
      <c r="F255" s="1"/>
      <c r="G255" s="1"/>
      <c r="H255" s="1"/>
      <c r="I255" s="1"/>
      <c r="J255" s="1"/>
      <c r="K255" s="1"/>
      <c r="L255" s="1"/>
      <c r="M255" s="1"/>
      <c r="N255" s="1"/>
      <c r="O255" s="1"/>
      <c r="P255" s="1"/>
    </row>
    <row r="256" ht="14.25" customHeight="1">
      <c r="A256" s="1"/>
      <c r="B256" s="1"/>
      <c r="C256" s="1"/>
      <c r="D256" s="1"/>
      <c r="E256" s="1"/>
      <c r="F256" s="1"/>
      <c r="G256" s="1"/>
      <c r="H256" s="1"/>
      <c r="I256" s="1"/>
      <c r="J256" s="1"/>
      <c r="K256" s="1"/>
      <c r="L256" s="1"/>
      <c r="M256" s="1"/>
      <c r="N256" s="1"/>
      <c r="O256" s="1"/>
      <c r="P256" s="1"/>
    </row>
    <row r="257" ht="14.25" customHeight="1">
      <c r="A257" s="1"/>
      <c r="B257" s="1"/>
      <c r="C257" s="1"/>
      <c r="D257" s="1"/>
      <c r="E257" s="1"/>
      <c r="F257" s="1"/>
      <c r="G257" s="1"/>
      <c r="H257" s="1"/>
      <c r="I257" s="1"/>
      <c r="J257" s="1"/>
      <c r="K257" s="1"/>
      <c r="L257" s="1"/>
      <c r="M257" s="1"/>
      <c r="N257" s="1"/>
      <c r="O257" s="1"/>
      <c r="P257" s="1"/>
    </row>
    <row r="258" ht="14.25" customHeight="1">
      <c r="A258" s="1"/>
      <c r="B258" s="1"/>
      <c r="C258" s="1"/>
      <c r="D258" s="1"/>
      <c r="E258" s="1"/>
      <c r="F258" s="1"/>
      <c r="G258" s="1"/>
      <c r="H258" s="1"/>
      <c r="I258" s="1"/>
      <c r="J258" s="1"/>
      <c r="K258" s="1"/>
      <c r="L258" s="1"/>
      <c r="M258" s="1"/>
      <c r="N258" s="1"/>
      <c r="O258" s="1"/>
      <c r="P258" s="1"/>
    </row>
    <row r="259" ht="14.25" customHeight="1">
      <c r="A259" s="1"/>
      <c r="B259" s="1"/>
      <c r="C259" s="1"/>
      <c r="D259" s="1"/>
      <c r="E259" s="1"/>
      <c r="F259" s="1"/>
      <c r="G259" s="1"/>
      <c r="H259" s="1"/>
      <c r="I259" s="1"/>
      <c r="J259" s="1"/>
      <c r="K259" s="1"/>
      <c r="L259" s="1"/>
      <c r="M259" s="1"/>
      <c r="N259" s="1"/>
      <c r="O259" s="1"/>
      <c r="P259" s="1"/>
    </row>
    <row r="260" ht="14.25" customHeight="1">
      <c r="A260" s="1"/>
      <c r="B260" s="1"/>
      <c r="C260" s="1"/>
      <c r="D260" s="1"/>
      <c r="E260" s="1"/>
      <c r="F260" s="1"/>
      <c r="G260" s="1"/>
      <c r="H260" s="1"/>
      <c r="I260" s="1"/>
      <c r="J260" s="1"/>
      <c r="K260" s="1"/>
      <c r="L260" s="1"/>
      <c r="M260" s="1"/>
      <c r="N260" s="1"/>
      <c r="O260" s="1"/>
      <c r="P260" s="1"/>
    </row>
    <row r="261" ht="14.25" customHeight="1">
      <c r="A261" s="1"/>
      <c r="B261" s="1"/>
      <c r="C261" s="1"/>
      <c r="D261" s="1"/>
      <c r="E261" s="1"/>
      <c r="F261" s="1"/>
      <c r="G261" s="1"/>
      <c r="H261" s="1"/>
      <c r="I261" s="1"/>
      <c r="J261" s="1"/>
      <c r="K261" s="1"/>
      <c r="L261" s="1"/>
      <c r="M261" s="1"/>
      <c r="N261" s="1"/>
      <c r="O261" s="1"/>
      <c r="P261" s="1"/>
    </row>
    <row r="262" ht="14.25" customHeight="1">
      <c r="A262" s="1"/>
      <c r="B262" s="1"/>
      <c r="C262" s="1"/>
      <c r="D262" s="1"/>
      <c r="E262" s="1"/>
      <c r="F262" s="1"/>
      <c r="G262" s="1"/>
      <c r="H262" s="1"/>
      <c r="I262" s="1"/>
      <c r="J262" s="1"/>
      <c r="K262" s="1"/>
      <c r="L262" s="1"/>
      <c r="M262" s="1"/>
      <c r="N262" s="1"/>
      <c r="O262" s="1"/>
      <c r="P262" s="1"/>
    </row>
    <row r="263" ht="14.25" customHeight="1">
      <c r="A263" s="1"/>
      <c r="B263" s="1"/>
      <c r="C263" s="1"/>
      <c r="D263" s="1"/>
      <c r="E263" s="1"/>
      <c r="F263" s="1"/>
      <c r="G263" s="1"/>
      <c r="H263" s="1"/>
      <c r="I263" s="1"/>
      <c r="J263" s="1"/>
      <c r="K263" s="1"/>
      <c r="L263" s="1"/>
      <c r="M263" s="1"/>
      <c r="N263" s="1"/>
      <c r="O263" s="1"/>
      <c r="P263" s="1"/>
    </row>
    <row r="264" ht="14.25" customHeight="1">
      <c r="A264" s="1"/>
      <c r="B264" s="1"/>
      <c r="C264" s="1"/>
      <c r="D264" s="1"/>
      <c r="E264" s="1"/>
      <c r="F264" s="1"/>
      <c r="G264" s="1"/>
      <c r="H264" s="1"/>
      <c r="I264" s="1"/>
      <c r="J264" s="1"/>
      <c r="K264" s="1"/>
      <c r="L264" s="1"/>
      <c r="M264" s="1"/>
      <c r="N264" s="1"/>
      <c r="O264" s="1"/>
      <c r="P264" s="1"/>
    </row>
    <row r="265" ht="14.25" customHeight="1">
      <c r="A265" s="1"/>
      <c r="B265" s="1"/>
      <c r="C265" s="1"/>
      <c r="D265" s="1"/>
      <c r="E265" s="1"/>
      <c r="F265" s="1"/>
      <c r="G265" s="1"/>
      <c r="H265" s="1"/>
      <c r="I265" s="1"/>
      <c r="J265" s="1"/>
      <c r="K265" s="1"/>
      <c r="L265" s="1"/>
      <c r="M265" s="1"/>
      <c r="N265" s="1"/>
      <c r="O265" s="1"/>
      <c r="P265" s="1"/>
    </row>
    <row r="266" ht="14.25" customHeight="1">
      <c r="A266" s="1"/>
      <c r="B266" s="1"/>
      <c r="C266" s="1"/>
      <c r="D266" s="1"/>
      <c r="E266" s="1"/>
      <c r="F266" s="1"/>
      <c r="G266" s="1"/>
      <c r="H266" s="1"/>
      <c r="I266" s="1"/>
      <c r="J266" s="1"/>
      <c r="K266" s="1"/>
      <c r="L266" s="1"/>
      <c r="M266" s="1"/>
      <c r="N266" s="1"/>
      <c r="O266" s="1"/>
      <c r="P266" s="1"/>
    </row>
    <row r="267" ht="14.25" customHeight="1">
      <c r="A267" s="1"/>
      <c r="B267" s="1"/>
      <c r="C267" s="1"/>
      <c r="D267" s="1"/>
      <c r="E267" s="1"/>
      <c r="F267" s="1"/>
      <c r="G267" s="1"/>
      <c r="H267" s="1"/>
      <c r="I267" s="1"/>
      <c r="J267" s="1"/>
      <c r="K267" s="1"/>
      <c r="L267" s="1"/>
      <c r="M267" s="1"/>
      <c r="N267" s="1"/>
      <c r="O267" s="1"/>
      <c r="P267" s="1"/>
    </row>
    <row r="268" ht="14.25" customHeight="1">
      <c r="A268" s="1"/>
      <c r="B268" s="1"/>
      <c r="C268" s="1"/>
      <c r="D268" s="1"/>
      <c r="E268" s="1"/>
      <c r="F268" s="1"/>
      <c r="G268" s="1"/>
      <c r="H268" s="1"/>
      <c r="I268" s="1"/>
      <c r="J268" s="1"/>
      <c r="K268" s="1"/>
      <c r="L268" s="1"/>
      <c r="M268" s="1"/>
      <c r="N268" s="1"/>
      <c r="O268" s="1"/>
      <c r="P268" s="1"/>
    </row>
    <row r="269" ht="15.0" customHeight="1">
      <c r="A269" s="1"/>
      <c r="B269" s="1"/>
      <c r="C269" s="1"/>
      <c r="D269" s="1"/>
      <c r="E269" s="1"/>
      <c r="F269" s="1"/>
      <c r="G269" s="1"/>
      <c r="H269" s="1"/>
      <c r="I269" s="1"/>
      <c r="J269" s="1"/>
      <c r="K269" s="1"/>
      <c r="L269" s="1"/>
      <c r="M269" s="1"/>
      <c r="N269" s="1"/>
      <c r="O269" s="1"/>
      <c r="P269" s="1"/>
    </row>
    <row r="270" ht="14.25" customHeight="1">
      <c r="A270" s="1"/>
      <c r="B270" s="1"/>
      <c r="C270" s="1"/>
      <c r="D270" s="1"/>
      <c r="E270" s="1"/>
      <c r="F270" s="1"/>
      <c r="G270" s="1"/>
      <c r="H270" s="1"/>
      <c r="I270" s="1"/>
      <c r="J270" s="1"/>
      <c r="K270" s="1"/>
      <c r="L270" s="1"/>
      <c r="M270" s="1"/>
      <c r="N270" s="1"/>
      <c r="O270" s="1"/>
      <c r="P270" s="1"/>
    </row>
    <row r="271" ht="14.25" customHeight="1">
      <c r="A271" s="1"/>
      <c r="B271" s="1"/>
      <c r="C271" s="1"/>
      <c r="D271" s="1"/>
      <c r="E271" s="1"/>
      <c r="F271" s="1"/>
      <c r="G271" s="1"/>
      <c r="H271" s="1"/>
      <c r="I271" s="1"/>
      <c r="J271" s="1"/>
      <c r="K271" s="1"/>
      <c r="L271" s="1"/>
      <c r="M271" s="1"/>
      <c r="N271" s="1"/>
      <c r="O271" s="1"/>
      <c r="P271" s="1"/>
    </row>
    <row r="272" ht="14.25" customHeight="1">
      <c r="A272" s="1"/>
      <c r="B272" s="1"/>
      <c r="C272" s="1"/>
      <c r="D272" s="1"/>
      <c r="E272" s="1"/>
      <c r="F272" s="1"/>
      <c r="G272" s="1"/>
      <c r="H272" s="1"/>
      <c r="I272" s="1"/>
      <c r="J272" s="1"/>
      <c r="K272" s="1"/>
      <c r="L272" s="1"/>
      <c r="M272" s="1"/>
      <c r="N272" s="1"/>
      <c r="O272" s="1"/>
      <c r="P272" s="1"/>
    </row>
    <row r="273" ht="14.25" customHeight="1">
      <c r="A273" s="1"/>
      <c r="B273" s="1"/>
      <c r="C273" s="1"/>
      <c r="D273" s="1"/>
      <c r="E273" s="1"/>
      <c r="F273" s="1"/>
      <c r="G273" s="1"/>
      <c r="H273" s="1"/>
      <c r="I273" s="1"/>
      <c r="J273" s="1"/>
      <c r="K273" s="1"/>
      <c r="L273" s="1"/>
      <c r="M273" s="1"/>
      <c r="N273" s="1"/>
      <c r="O273" s="1"/>
      <c r="P273" s="1"/>
    </row>
    <row r="274" ht="14.25" customHeight="1">
      <c r="A274" s="1"/>
      <c r="B274" s="1"/>
      <c r="C274" s="1"/>
      <c r="D274" s="1"/>
      <c r="E274" s="1"/>
      <c r="F274" s="1"/>
      <c r="G274" s="1"/>
      <c r="H274" s="1"/>
      <c r="I274" s="1"/>
      <c r="J274" s="1"/>
      <c r="K274" s="1"/>
      <c r="L274" s="1"/>
      <c r="M274" s="1"/>
      <c r="N274" s="1"/>
      <c r="O274" s="1"/>
      <c r="P274" s="1"/>
    </row>
    <row r="275" ht="14.25" customHeight="1">
      <c r="A275" s="1"/>
      <c r="B275" s="1"/>
      <c r="C275" s="1"/>
      <c r="D275" s="1"/>
      <c r="E275" s="1"/>
      <c r="F275" s="1"/>
      <c r="G275" s="1"/>
      <c r="H275" s="1"/>
      <c r="I275" s="1"/>
      <c r="J275" s="1"/>
      <c r="K275" s="1"/>
      <c r="L275" s="1"/>
      <c r="M275" s="1"/>
      <c r="N275" s="1"/>
      <c r="O275" s="1"/>
      <c r="P275" s="1"/>
    </row>
    <row r="276" ht="14.25" customHeight="1">
      <c r="A276" s="1"/>
      <c r="B276" s="1"/>
      <c r="C276" s="1"/>
      <c r="D276" s="1"/>
      <c r="E276" s="1"/>
      <c r="F276" s="1"/>
      <c r="G276" s="1"/>
      <c r="H276" s="1"/>
      <c r="I276" s="1"/>
      <c r="J276" s="1"/>
      <c r="K276" s="1"/>
      <c r="L276" s="1"/>
      <c r="M276" s="1"/>
      <c r="N276" s="1"/>
      <c r="O276" s="1"/>
      <c r="P276" s="1"/>
    </row>
    <row r="277" ht="14.25" customHeight="1">
      <c r="A277" s="1"/>
      <c r="B277" s="1"/>
      <c r="C277" s="1"/>
      <c r="D277" s="1"/>
      <c r="E277" s="1"/>
      <c r="F277" s="1"/>
      <c r="G277" s="1"/>
      <c r="H277" s="1"/>
      <c r="I277" s="1"/>
      <c r="J277" s="1"/>
      <c r="K277" s="1"/>
      <c r="L277" s="1"/>
      <c r="M277" s="1"/>
      <c r="N277" s="1"/>
      <c r="O277" s="1"/>
      <c r="P277" s="1"/>
    </row>
    <row r="278" ht="14.25" customHeight="1">
      <c r="A278" s="1"/>
      <c r="B278" s="1"/>
      <c r="C278" s="1"/>
      <c r="D278" s="1"/>
      <c r="E278" s="1"/>
      <c r="F278" s="1"/>
      <c r="G278" s="1"/>
      <c r="H278" s="1"/>
      <c r="I278" s="1"/>
      <c r="J278" s="1"/>
      <c r="K278" s="1"/>
      <c r="L278" s="1"/>
      <c r="M278" s="1"/>
      <c r="N278" s="1"/>
      <c r="O278" s="1"/>
      <c r="P278" s="1"/>
    </row>
    <row r="279" ht="14.25" customHeight="1">
      <c r="A279" s="1"/>
      <c r="B279" s="1"/>
      <c r="C279" s="1"/>
      <c r="D279" s="1"/>
      <c r="E279" s="1"/>
      <c r="F279" s="1"/>
      <c r="G279" s="1"/>
      <c r="H279" s="1"/>
      <c r="I279" s="1"/>
      <c r="J279" s="1"/>
      <c r="K279" s="1"/>
      <c r="L279" s="1"/>
      <c r="M279" s="1"/>
      <c r="N279" s="1"/>
      <c r="O279" s="1"/>
      <c r="P279" s="1"/>
    </row>
    <row r="280" ht="14.25" customHeight="1">
      <c r="A280" s="1"/>
      <c r="B280" s="1"/>
      <c r="C280" s="1"/>
      <c r="D280" s="1"/>
      <c r="E280" s="1"/>
      <c r="F280" s="1"/>
      <c r="G280" s="1"/>
      <c r="H280" s="1"/>
      <c r="I280" s="1"/>
      <c r="J280" s="1"/>
      <c r="K280" s="1"/>
      <c r="L280" s="1"/>
      <c r="M280" s="1"/>
      <c r="N280" s="1"/>
      <c r="O280" s="1"/>
      <c r="P280" s="1"/>
    </row>
    <row r="281" ht="14.25" customHeight="1">
      <c r="A281" s="1"/>
      <c r="B281" s="1"/>
      <c r="C281" s="1"/>
      <c r="D281" s="1"/>
      <c r="E281" s="1"/>
      <c r="F281" s="1"/>
      <c r="G281" s="1"/>
      <c r="H281" s="1"/>
      <c r="I281" s="1"/>
      <c r="J281" s="1"/>
      <c r="K281" s="1"/>
      <c r="L281" s="1"/>
      <c r="M281" s="1"/>
      <c r="N281" s="1"/>
      <c r="O281" s="1"/>
      <c r="P281" s="1"/>
    </row>
    <row r="282" ht="14.25" customHeight="1">
      <c r="A282" s="1"/>
      <c r="B282" s="1"/>
      <c r="C282" s="1"/>
      <c r="D282" s="1"/>
      <c r="E282" s="1"/>
      <c r="F282" s="1"/>
      <c r="G282" s="1"/>
      <c r="H282" s="1"/>
      <c r="I282" s="1"/>
      <c r="J282" s="1"/>
      <c r="K282" s="1"/>
      <c r="L282" s="1"/>
      <c r="M282" s="1"/>
      <c r="N282" s="1"/>
      <c r="O282" s="1"/>
      <c r="P282" s="1"/>
    </row>
    <row r="283" ht="14.25" customHeight="1">
      <c r="A283" s="1"/>
      <c r="B283" s="1"/>
      <c r="C283" s="1"/>
      <c r="D283" s="1"/>
      <c r="E283" s="1"/>
      <c r="F283" s="1"/>
      <c r="G283" s="1"/>
      <c r="H283" s="1"/>
      <c r="I283" s="1"/>
      <c r="J283" s="1"/>
      <c r="K283" s="1"/>
      <c r="L283" s="1"/>
      <c r="M283" s="1"/>
      <c r="N283" s="1"/>
      <c r="O283" s="1"/>
      <c r="P283" s="1"/>
    </row>
    <row r="284" ht="14.25" customHeight="1">
      <c r="A284" s="1"/>
      <c r="B284" s="1"/>
      <c r="C284" s="1"/>
      <c r="D284" s="1"/>
      <c r="E284" s="1"/>
      <c r="F284" s="1"/>
      <c r="G284" s="1"/>
      <c r="H284" s="1"/>
      <c r="I284" s="1"/>
      <c r="J284" s="1"/>
      <c r="K284" s="1"/>
      <c r="L284" s="1"/>
      <c r="M284" s="1"/>
      <c r="N284" s="1"/>
      <c r="O284" s="1"/>
      <c r="P284" s="1"/>
    </row>
    <row r="285" ht="14.25" customHeight="1">
      <c r="A285" s="1"/>
      <c r="B285" s="1"/>
      <c r="C285" s="1"/>
      <c r="D285" s="1"/>
      <c r="E285" s="1"/>
      <c r="F285" s="1"/>
      <c r="G285" s="1"/>
      <c r="H285" s="1"/>
      <c r="I285" s="1"/>
      <c r="J285" s="1"/>
      <c r="K285" s="1"/>
      <c r="L285" s="1"/>
      <c r="M285" s="1"/>
      <c r="N285" s="1"/>
      <c r="O285" s="1"/>
      <c r="P285" s="1"/>
    </row>
    <row r="286" ht="14.25" customHeight="1">
      <c r="A286" s="1"/>
      <c r="B286" s="1"/>
      <c r="C286" s="1"/>
      <c r="D286" s="1"/>
      <c r="E286" s="1"/>
      <c r="F286" s="1"/>
      <c r="G286" s="1"/>
      <c r="H286" s="1"/>
      <c r="I286" s="1"/>
      <c r="J286" s="1"/>
      <c r="K286" s="1"/>
      <c r="L286" s="1"/>
      <c r="M286" s="1"/>
      <c r="N286" s="1"/>
      <c r="O286" s="1"/>
      <c r="P286" s="1"/>
    </row>
    <row r="287" ht="14.25" customHeight="1">
      <c r="A287" s="1"/>
      <c r="B287" s="1"/>
      <c r="C287" s="1"/>
      <c r="D287" s="1"/>
      <c r="E287" s="1"/>
      <c r="F287" s="1"/>
      <c r="G287" s="1"/>
      <c r="H287" s="1"/>
      <c r="I287" s="1"/>
      <c r="J287" s="1"/>
      <c r="K287" s="1"/>
      <c r="L287" s="1"/>
      <c r="M287" s="1"/>
      <c r="N287" s="1"/>
      <c r="O287" s="1"/>
      <c r="P287" s="1"/>
    </row>
    <row r="288" ht="14.25" customHeight="1">
      <c r="A288" s="1"/>
      <c r="B288" s="1"/>
      <c r="C288" s="1"/>
      <c r="D288" s="1"/>
      <c r="E288" s="1"/>
      <c r="F288" s="1"/>
      <c r="G288" s="1"/>
      <c r="H288" s="1"/>
      <c r="I288" s="1"/>
      <c r="J288" s="1"/>
      <c r="K288" s="1"/>
      <c r="L288" s="1"/>
      <c r="M288" s="1"/>
      <c r="N288" s="1"/>
      <c r="O288" s="1"/>
      <c r="P288" s="1"/>
    </row>
    <row r="289" ht="14.25" customHeight="1">
      <c r="A289" s="1"/>
      <c r="B289" s="1"/>
      <c r="C289" s="1"/>
      <c r="D289" s="1"/>
      <c r="E289" s="1"/>
      <c r="F289" s="1"/>
      <c r="G289" s="1"/>
      <c r="H289" s="1"/>
      <c r="I289" s="1"/>
      <c r="J289" s="1"/>
      <c r="K289" s="1"/>
      <c r="L289" s="1"/>
      <c r="M289" s="1"/>
      <c r="N289" s="1"/>
      <c r="O289" s="1"/>
      <c r="P289" s="1"/>
    </row>
    <row r="290" ht="14.25" customHeight="1">
      <c r="A290" s="1"/>
      <c r="B290" s="1"/>
      <c r="C290" s="1"/>
      <c r="D290" s="1"/>
      <c r="E290" s="1"/>
      <c r="F290" s="1"/>
      <c r="G290" s="1"/>
      <c r="H290" s="1"/>
      <c r="I290" s="1"/>
      <c r="J290" s="1"/>
      <c r="K290" s="1"/>
      <c r="L290" s="1"/>
      <c r="M290" s="1"/>
      <c r="N290" s="1"/>
      <c r="O290" s="1"/>
      <c r="P290" s="1"/>
    </row>
    <row r="291" ht="14.25" customHeight="1">
      <c r="A291" s="1"/>
      <c r="B291" s="1"/>
      <c r="C291" s="1"/>
      <c r="D291" s="1"/>
      <c r="E291" s="1"/>
      <c r="F291" s="1"/>
      <c r="G291" s="1"/>
      <c r="H291" s="1"/>
      <c r="I291" s="1"/>
      <c r="J291" s="1"/>
      <c r="K291" s="1"/>
      <c r="L291" s="1"/>
      <c r="M291" s="1"/>
      <c r="N291" s="1"/>
      <c r="O291" s="1"/>
      <c r="P291" s="1"/>
    </row>
    <row r="292" ht="14.25" customHeight="1">
      <c r="A292" s="1"/>
      <c r="B292" s="1"/>
      <c r="C292" s="1"/>
      <c r="D292" s="1"/>
      <c r="E292" s="1"/>
      <c r="F292" s="1"/>
      <c r="G292" s="1"/>
      <c r="H292" s="1"/>
      <c r="I292" s="1"/>
      <c r="J292" s="1"/>
      <c r="K292" s="1"/>
      <c r="L292" s="1"/>
      <c r="M292" s="1"/>
      <c r="N292" s="1"/>
      <c r="O292" s="1"/>
      <c r="P292" s="1"/>
    </row>
    <row r="293" ht="14.25" customHeight="1">
      <c r="A293" s="1"/>
      <c r="B293" s="1"/>
      <c r="C293" s="1"/>
      <c r="D293" s="1"/>
      <c r="E293" s="1"/>
      <c r="F293" s="1"/>
      <c r="G293" s="1"/>
      <c r="H293" s="1"/>
      <c r="I293" s="1"/>
      <c r="J293" s="1"/>
      <c r="K293" s="1"/>
      <c r="L293" s="1"/>
      <c r="M293" s="1"/>
      <c r="N293" s="1"/>
      <c r="O293" s="1"/>
      <c r="P293" s="1"/>
    </row>
    <row r="294" ht="14.25" customHeight="1">
      <c r="A294" s="1"/>
      <c r="B294" s="1"/>
      <c r="C294" s="1"/>
      <c r="D294" s="1"/>
      <c r="E294" s="1"/>
      <c r="F294" s="1"/>
      <c r="G294" s="1"/>
      <c r="H294" s="1"/>
      <c r="I294" s="1"/>
      <c r="J294" s="1"/>
      <c r="K294" s="1"/>
      <c r="L294" s="1"/>
      <c r="M294" s="1"/>
      <c r="N294" s="1"/>
      <c r="O294" s="1"/>
      <c r="P294" s="1"/>
    </row>
    <row r="295" ht="14.25" customHeight="1">
      <c r="A295" s="1"/>
      <c r="B295" s="1"/>
      <c r="C295" s="1"/>
      <c r="D295" s="1"/>
      <c r="E295" s="1"/>
      <c r="F295" s="1"/>
      <c r="G295" s="1"/>
      <c r="H295" s="1"/>
      <c r="I295" s="1"/>
      <c r="J295" s="1"/>
      <c r="K295" s="1"/>
      <c r="L295" s="1"/>
      <c r="M295" s="1"/>
      <c r="N295" s="1"/>
      <c r="O295" s="1"/>
      <c r="P295" s="1"/>
    </row>
    <row r="296" ht="14.25" customHeight="1">
      <c r="A296" s="1"/>
      <c r="B296" s="1"/>
      <c r="C296" s="1"/>
      <c r="D296" s="1"/>
      <c r="E296" s="1"/>
      <c r="F296" s="1"/>
      <c r="G296" s="1"/>
      <c r="H296" s="1"/>
      <c r="I296" s="1"/>
      <c r="J296" s="1"/>
      <c r="K296" s="1"/>
      <c r="L296" s="1"/>
      <c r="M296" s="1"/>
      <c r="N296" s="1"/>
      <c r="O296" s="1"/>
      <c r="P296" s="1"/>
    </row>
    <row r="297" ht="14.25" customHeight="1">
      <c r="A297" s="1"/>
      <c r="B297" s="1"/>
      <c r="C297" s="1"/>
      <c r="D297" s="1"/>
      <c r="E297" s="1"/>
      <c r="F297" s="1"/>
      <c r="G297" s="1"/>
      <c r="H297" s="1"/>
      <c r="I297" s="1"/>
      <c r="J297" s="1"/>
      <c r="K297" s="1"/>
      <c r="L297" s="1"/>
      <c r="M297" s="1"/>
      <c r="N297" s="1"/>
      <c r="O297" s="1"/>
      <c r="P297" s="1"/>
    </row>
    <row r="298" ht="14.25" customHeight="1">
      <c r="A298" s="1"/>
      <c r="B298" s="1"/>
      <c r="C298" s="1"/>
      <c r="D298" s="1"/>
      <c r="E298" s="1"/>
      <c r="F298" s="1"/>
      <c r="G298" s="1"/>
      <c r="H298" s="1"/>
      <c r="I298" s="1"/>
      <c r="J298" s="1"/>
      <c r="K298" s="1"/>
      <c r="L298" s="1"/>
      <c r="M298" s="1"/>
      <c r="N298" s="1"/>
      <c r="O298" s="1"/>
      <c r="P298" s="1"/>
    </row>
    <row r="299" ht="14.25" customHeight="1">
      <c r="A299" s="1"/>
      <c r="B299" s="1"/>
      <c r="C299" s="1"/>
      <c r="D299" s="1"/>
      <c r="E299" s="1"/>
      <c r="F299" s="1"/>
      <c r="G299" s="1"/>
      <c r="H299" s="1"/>
      <c r="I299" s="1"/>
      <c r="J299" s="1"/>
      <c r="K299" s="1"/>
      <c r="L299" s="1"/>
      <c r="M299" s="1"/>
      <c r="N299" s="1"/>
      <c r="O299" s="1"/>
      <c r="P299" s="1"/>
    </row>
    <row r="300" ht="14.25" customHeight="1">
      <c r="A300" s="1"/>
      <c r="B300" s="1"/>
      <c r="C300" s="1"/>
      <c r="D300" s="1"/>
      <c r="E300" s="1"/>
      <c r="F300" s="1"/>
      <c r="G300" s="1"/>
      <c r="H300" s="1"/>
      <c r="I300" s="1"/>
      <c r="J300" s="1"/>
      <c r="K300" s="1"/>
      <c r="L300" s="1"/>
      <c r="M300" s="1"/>
      <c r="N300" s="1"/>
      <c r="O300" s="1"/>
      <c r="P300" s="1"/>
    </row>
    <row r="301" ht="14.25" customHeight="1">
      <c r="A301" s="1"/>
      <c r="B301" s="1"/>
      <c r="C301" s="1"/>
      <c r="D301" s="1"/>
      <c r="E301" s="1"/>
      <c r="F301" s="1"/>
      <c r="G301" s="1"/>
      <c r="H301" s="1"/>
      <c r="I301" s="1"/>
      <c r="J301" s="1"/>
      <c r="K301" s="1"/>
      <c r="L301" s="1"/>
      <c r="M301" s="1"/>
      <c r="N301" s="1"/>
      <c r="O301" s="1"/>
      <c r="P301" s="1"/>
    </row>
    <row r="302" ht="14.25" customHeight="1">
      <c r="A302" s="1"/>
      <c r="B302" s="1"/>
      <c r="C302" s="1"/>
      <c r="D302" s="1"/>
      <c r="E302" s="1"/>
      <c r="F302" s="1"/>
      <c r="G302" s="1"/>
      <c r="H302" s="1"/>
      <c r="I302" s="1"/>
      <c r="J302" s="1"/>
      <c r="K302" s="1"/>
      <c r="L302" s="1"/>
      <c r="M302" s="1"/>
      <c r="N302" s="1"/>
      <c r="O302" s="1"/>
      <c r="P302" s="1"/>
    </row>
    <row r="303" ht="14.25" customHeight="1">
      <c r="A303" s="1"/>
      <c r="B303" s="1"/>
      <c r="C303" s="1"/>
      <c r="D303" s="1"/>
      <c r="E303" s="1"/>
      <c r="F303" s="1"/>
      <c r="G303" s="1"/>
      <c r="H303" s="1"/>
      <c r="I303" s="1"/>
      <c r="J303" s="1"/>
      <c r="K303" s="1"/>
      <c r="L303" s="1"/>
      <c r="M303" s="1"/>
      <c r="N303" s="1"/>
      <c r="O303" s="1"/>
      <c r="P303" s="1"/>
    </row>
    <row r="304" ht="14.25" customHeight="1">
      <c r="A304" s="1"/>
      <c r="B304" s="1"/>
      <c r="C304" s="1"/>
      <c r="D304" s="1"/>
      <c r="E304" s="1"/>
      <c r="F304" s="1"/>
      <c r="G304" s="1"/>
      <c r="H304" s="1"/>
      <c r="I304" s="1"/>
      <c r="J304" s="1"/>
      <c r="K304" s="1"/>
      <c r="L304" s="1"/>
      <c r="M304" s="1"/>
      <c r="N304" s="1"/>
      <c r="O304" s="1"/>
      <c r="P304" s="1"/>
    </row>
    <row r="305" ht="14.25" customHeight="1">
      <c r="A305" s="1"/>
      <c r="B305" s="1"/>
      <c r="C305" s="1"/>
      <c r="D305" s="1"/>
      <c r="E305" s="1"/>
      <c r="F305" s="1"/>
      <c r="G305" s="1"/>
      <c r="H305" s="1"/>
      <c r="I305" s="1"/>
      <c r="J305" s="1"/>
      <c r="K305" s="1"/>
      <c r="L305" s="1"/>
      <c r="M305" s="1"/>
      <c r="N305" s="1"/>
      <c r="O305" s="1"/>
      <c r="P305" s="1"/>
    </row>
    <row r="306" ht="14.25" customHeight="1">
      <c r="A306" s="1"/>
      <c r="B306" s="1"/>
      <c r="C306" s="1"/>
      <c r="D306" s="1"/>
      <c r="E306" s="1"/>
      <c r="F306" s="1"/>
      <c r="G306" s="1"/>
      <c r="H306" s="1"/>
      <c r="I306" s="1"/>
      <c r="J306" s="1"/>
      <c r="K306" s="1"/>
      <c r="L306" s="1"/>
      <c r="M306" s="1"/>
      <c r="N306" s="1"/>
      <c r="O306" s="1"/>
      <c r="P306" s="1"/>
    </row>
    <row r="307" ht="14.25" customHeight="1">
      <c r="A307" s="1"/>
      <c r="B307" s="1"/>
      <c r="C307" s="1"/>
      <c r="D307" s="1"/>
      <c r="E307" s="1"/>
      <c r="F307" s="1"/>
      <c r="G307" s="1"/>
      <c r="H307" s="1"/>
      <c r="I307" s="1"/>
      <c r="J307" s="1"/>
      <c r="K307" s="1"/>
      <c r="L307" s="1"/>
      <c r="M307" s="1"/>
      <c r="N307" s="1"/>
      <c r="O307" s="1"/>
      <c r="P307" s="1"/>
    </row>
    <row r="308" ht="14.25" customHeight="1">
      <c r="A308" s="1"/>
      <c r="B308" s="1"/>
      <c r="C308" s="1"/>
      <c r="D308" s="1"/>
      <c r="E308" s="1"/>
      <c r="F308" s="1"/>
      <c r="G308" s="1"/>
      <c r="H308" s="1"/>
      <c r="I308" s="1"/>
      <c r="J308" s="1"/>
      <c r="K308" s="1"/>
      <c r="L308" s="1"/>
      <c r="M308" s="1"/>
      <c r="N308" s="1"/>
      <c r="O308" s="1"/>
      <c r="P308" s="1"/>
    </row>
    <row r="309" ht="14.25" customHeight="1">
      <c r="A309" s="1"/>
      <c r="B309" s="1"/>
      <c r="C309" s="1"/>
      <c r="D309" s="1"/>
      <c r="E309" s="1"/>
      <c r="F309" s="1"/>
      <c r="G309" s="1"/>
      <c r="H309" s="1"/>
      <c r="I309" s="1"/>
      <c r="J309" s="1"/>
      <c r="K309" s="1"/>
      <c r="L309" s="1"/>
      <c r="M309" s="1"/>
      <c r="N309" s="1"/>
      <c r="O309" s="1"/>
      <c r="P309" s="1"/>
    </row>
    <row r="310" ht="14.25" customHeight="1">
      <c r="A310" s="1"/>
      <c r="B310" s="1"/>
      <c r="C310" s="1"/>
      <c r="D310" s="1"/>
      <c r="E310" s="1"/>
      <c r="F310" s="1"/>
      <c r="G310" s="1"/>
      <c r="H310" s="1"/>
      <c r="I310" s="1"/>
      <c r="J310" s="1"/>
      <c r="K310" s="1"/>
      <c r="L310" s="1"/>
      <c r="M310" s="1"/>
      <c r="N310" s="1"/>
      <c r="O310" s="1"/>
      <c r="P310" s="1"/>
    </row>
    <row r="311" ht="14.25" customHeight="1">
      <c r="A311" s="1"/>
      <c r="B311" s="1"/>
      <c r="C311" s="1"/>
      <c r="D311" s="1"/>
      <c r="E311" s="1"/>
      <c r="F311" s="1"/>
      <c r="G311" s="1"/>
      <c r="H311" s="1"/>
      <c r="I311" s="1"/>
      <c r="J311" s="1"/>
      <c r="K311" s="1"/>
      <c r="L311" s="1"/>
      <c r="M311" s="1"/>
      <c r="N311" s="1"/>
      <c r="O311" s="1"/>
      <c r="P311" s="1"/>
    </row>
    <row r="312" ht="14.25" customHeight="1">
      <c r="A312" s="1"/>
      <c r="B312" s="1"/>
      <c r="C312" s="1"/>
      <c r="D312" s="1"/>
      <c r="E312" s="1"/>
      <c r="F312" s="1"/>
      <c r="G312" s="1"/>
      <c r="H312" s="1"/>
      <c r="I312" s="1"/>
      <c r="J312" s="1"/>
      <c r="K312" s="1"/>
      <c r="L312" s="1"/>
      <c r="M312" s="1"/>
      <c r="N312" s="1"/>
      <c r="O312" s="1"/>
      <c r="P312" s="1"/>
    </row>
    <row r="313" ht="14.25" customHeight="1">
      <c r="A313" s="1"/>
      <c r="B313" s="1"/>
      <c r="C313" s="1"/>
      <c r="D313" s="1"/>
      <c r="E313" s="1"/>
      <c r="F313" s="1"/>
      <c r="G313" s="1"/>
      <c r="H313" s="1"/>
      <c r="I313" s="1"/>
      <c r="J313" s="1"/>
      <c r="K313" s="1"/>
      <c r="L313" s="1"/>
      <c r="M313" s="1"/>
      <c r="N313" s="1"/>
      <c r="O313" s="1"/>
      <c r="P313" s="1"/>
    </row>
    <row r="314" ht="16.5" customHeight="1">
      <c r="A314" s="1"/>
      <c r="B314" s="1"/>
      <c r="C314" s="1"/>
      <c r="D314" s="1"/>
      <c r="E314" s="1"/>
      <c r="F314" s="1"/>
      <c r="G314" s="1"/>
      <c r="H314" s="1"/>
      <c r="I314" s="1"/>
      <c r="J314" s="1"/>
      <c r="K314" s="1"/>
      <c r="L314" s="1"/>
      <c r="M314" s="1"/>
      <c r="N314" s="1"/>
      <c r="O314" s="1"/>
      <c r="P314" s="1"/>
    </row>
    <row r="315" ht="14.25" customHeight="1">
      <c r="A315" s="1"/>
      <c r="B315" s="1"/>
      <c r="C315" s="1"/>
      <c r="D315" s="1"/>
      <c r="E315" s="1"/>
      <c r="F315" s="1"/>
      <c r="G315" s="1"/>
      <c r="H315" s="1"/>
      <c r="I315" s="1"/>
      <c r="J315" s="1"/>
      <c r="K315" s="1"/>
      <c r="L315" s="1"/>
      <c r="M315" s="1"/>
      <c r="N315" s="1"/>
      <c r="O315" s="1"/>
      <c r="P315" s="1"/>
    </row>
    <row r="316" ht="14.25" customHeight="1">
      <c r="A316" s="1"/>
      <c r="B316" s="1"/>
      <c r="C316" s="1"/>
      <c r="D316" s="1"/>
      <c r="E316" s="1"/>
      <c r="F316" s="1"/>
      <c r="G316" s="1"/>
      <c r="H316" s="1"/>
      <c r="I316" s="1"/>
      <c r="J316" s="1"/>
      <c r="K316" s="1"/>
      <c r="L316" s="1"/>
      <c r="M316" s="1"/>
      <c r="N316" s="1"/>
      <c r="O316" s="1"/>
      <c r="P316" s="1"/>
    </row>
    <row r="317" ht="14.25" customHeight="1">
      <c r="A317" s="1"/>
      <c r="B317" s="1"/>
      <c r="C317" s="1"/>
      <c r="D317" s="1"/>
      <c r="E317" s="1"/>
      <c r="F317" s="1"/>
      <c r="G317" s="1"/>
      <c r="H317" s="1"/>
      <c r="I317" s="1"/>
      <c r="J317" s="1"/>
      <c r="K317" s="1"/>
      <c r="L317" s="1"/>
      <c r="M317" s="1"/>
      <c r="N317" s="1"/>
      <c r="O317" s="1"/>
      <c r="P317" s="1"/>
    </row>
    <row r="318" ht="14.25" customHeight="1">
      <c r="A318" s="1"/>
      <c r="B318" s="1"/>
      <c r="C318" s="1"/>
      <c r="D318" s="1"/>
      <c r="E318" s="1"/>
      <c r="F318" s="1"/>
      <c r="G318" s="1"/>
      <c r="H318" s="1"/>
      <c r="I318" s="1"/>
      <c r="J318" s="1"/>
      <c r="K318" s="1"/>
      <c r="L318" s="1"/>
      <c r="M318" s="1"/>
      <c r="N318" s="1"/>
      <c r="O318" s="1"/>
      <c r="P318" s="1"/>
    </row>
    <row r="319" ht="14.25" customHeight="1">
      <c r="A319" s="1"/>
      <c r="B319" s="1"/>
      <c r="C319" s="1"/>
      <c r="D319" s="1"/>
      <c r="E319" s="1"/>
      <c r="F319" s="1"/>
      <c r="G319" s="1"/>
      <c r="H319" s="1"/>
      <c r="I319" s="1"/>
      <c r="J319" s="1"/>
      <c r="K319" s="1"/>
      <c r="L319" s="1"/>
      <c r="M319" s="1"/>
      <c r="N319" s="1"/>
      <c r="O319" s="1"/>
      <c r="P319" s="1"/>
    </row>
    <row r="320" ht="14.25" customHeight="1">
      <c r="A320" s="1"/>
      <c r="B320" s="1"/>
      <c r="C320" s="1"/>
      <c r="D320" s="1"/>
      <c r="E320" s="1"/>
      <c r="F320" s="1"/>
      <c r="G320" s="1"/>
      <c r="H320" s="1"/>
      <c r="I320" s="1"/>
      <c r="J320" s="1"/>
      <c r="K320" s="1"/>
      <c r="L320" s="1"/>
      <c r="M320" s="1"/>
      <c r="N320" s="1"/>
      <c r="O320" s="1"/>
      <c r="P320" s="1"/>
    </row>
    <row r="321" ht="14.25" customHeight="1">
      <c r="A321" s="1"/>
      <c r="B321" s="1"/>
      <c r="C321" s="1"/>
      <c r="D321" s="1"/>
      <c r="E321" s="1"/>
      <c r="F321" s="1"/>
      <c r="G321" s="1"/>
      <c r="H321" s="1"/>
      <c r="I321" s="1"/>
      <c r="J321" s="1"/>
      <c r="K321" s="1"/>
      <c r="L321" s="1"/>
      <c r="M321" s="1"/>
      <c r="N321" s="1"/>
      <c r="O321" s="1"/>
      <c r="P321" s="1"/>
    </row>
    <row r="322" ht="14.25" customHeight="1">
      <c r="A322" s="1"/>
      <c r="B322" s="1"/>
      <c r="C322" s="1"/>
      <c r="D322" s="1"/>
      <c r="E322" s="1"/>
      <c r="F322" s="1"/>
      <c r="G322" s="1"/>
      <c r="H322" s="1"/>
      <c r="I322" s="1"/>
      <c r="J322" s="1"/>
      <c r="K322" s="1"/>
      <c r="L322" s="1"/>
      <c r="M322" s="1"/>
      <c r="N322" s="1"/>
      <c r="O322" s="1"/>
      <c r="P322" s="1"/>
    </row>
    <row r="323" ht="15.0" customHeight="1">
      <c r="A323" s="1"/>
      <c r="B323" s="1"/>
      <c r="C323" s="1"/>
      <c r="D323" s="1"/>
      <c r="E323" s="1"/>
      <c r="F323" s="1"/>
      <c r="G323" s="1"/>
      <c r="H323" s="1"/>
      <c r="I323" s="1"/>
      <c r="J323" s="1"/>
      <c r="K323" s="1"/>
      <c r="L323" s="1"/>
      <c r="M323" s="1"/>
      <c r="N323" s="1"/>
      <c r="O323" s="1"/>
      <c r="P323" s="1"/>
    </row>
    <row r="324" ht="15.75" customHeight="1">
      <c r="A324" s="1"/>
      <c r="B324" s="1"/>
      <c r="C324" s="1"/>
      <c r="D324" s="1"/>
      <c r="E324" s="1"/>
      <c r="F324" s="1"/>
      <c r="G324" s="1"/>
      <c r="H324" s="1"/>
      <c r="I324" s="1"/>
      <c r="J324" s="1"/>
      <c r="K324" s="1"/>
      <c r="L324" s="1"/>
      <c r="M324" s="1"/>
      <c r="N324" s="1"/>
      <c r="O324" s="1"/>
      <c r="P324" s="1"/>
    </row>
    <row r="325" ht="15.0" customHeight="1">
      <c r="A325" s="1"/>
      <c r="B325" s="1"/>
      <c r="C325" s="1"/>
      <c r="D325" s="1"/>
      <c r="E325" s="1"/>
      <c r="F325" s="1"/>
      <c r="G325" s="1"/>
      <c r="H325" s="1"/>
      <c r="I325" s="1"/>
      <c r="J325" s="1"/>
      <c r="K325" s="1"/>
      <c r="L325" s="1"/>
      <c r="M325" s="1"/>
      <c r="N325" s="1"/>
      <c r="O325" s="1"/>
      <c r="P325" s="1"/>
    </row>
    <row r="326" ht="15.75" customHeight="1">
      <c r="A326" s="1"/>
      <c r="B326" s="1"/>
      <c r="C326" s="1"/>
      <c r="D326" s="1"/>
      <c r="E326" s="1"/>
      <c r="F326" s="1"/>
      <c r="G326" s="1"/>
      <c r="H326" s="1"/>
      <c r="I326" s="1"/>
      <c r="J326" s="1"/>
      <c r="K326" s="1"/>
      <c r="L326" s="1"/>
      <c r="M326" s="1"/>
      <c r="N326" s="1"/>
      <c r="O326" s="1"/>
      <c r="P326" s="1"/>
    </row>
    <row r="327" ht="15.0" customHeight="1">
      <c r="A327" s="1"/>
      <c r="B327" s="1"/>
      <c r="C327" s="1"/>
      <c r="D327" s="1"/>
      <c r="E327" s="1"/>
      <c r="F327" s="1"/>
      <c r="G327" s="1"/>
      <c r="H327" s="1"/>
      <c r="I327" s="1"/>
      <c r="J327" s="1"/>
      <c r="K327" s="1"/>
      <c r="L327" s="1"/>
      <c r="M327" s="1"/>
      <c r="N327" s="1"/>
      <c r="O327" s="1"/>
      <c r="P327" s="1"/>
    </row>
    <row r="328" ht="15.75" customHeight="1">
      <c r="A328" s="1"/>
      <c r="B328" s="1"/>
      <c r="C328" s="1"/>
      <c r="D328" s="1"/>
      <c r="E328" s="1"/>
      <c r="F328" s="1"/>
      <c r="G328" s="1"/>
      <c r="H328" s="1"/>
      <c r="I328" s="1"/>
      <c r="J328" s="1"/>
      <c r="K328" s="1"/>
      <c r="L328" s="1"/>
      <c r="M328" s="1"/>
      <c r="N328" s="1"/>
      <c r="O328" s="1"/>
      <c r="P328" s="1"/>
    </row>
    <row r="329" ht="15.0" customHeight="1">
      <c r="A329" s="1"/>
      <c r="B329" s="1"/>
      <c r="C329" s="1"/>
      <c r="D329" s="1"/>
      <c r="E329" s="1"/>
      <c r="F329" s="1"/>
      <c r="G329" s="1"/>
      <c r="H329" s="1"/>
      <c r="I329" s="1"/>
      <c r="J329" s="1"/>
      <c r="K329" s="1"/>
      <c r="L329" s="1"/>
      <c r="M329" s="1"/>
      <c r="N329" s="1"/>
      <c r="O329" s="1"/>
      <c r="P329" s="1"/>
    </row>
    <row r="330" ht="15.75" customHeight="1">
      <c r="A330" s="1"/>
      <c r="B330" s="1"/>
      <c r="C330" s="1"/>
      <c r="D330" s="1"/>
      <c r="E330" s="1"/>
      <c r="F330" s="1"/>
      <c r="G330" s="1"/>
      <c r="H330" s="1"/>
      <c r="I330" s="1"/>
      <c r="J330" s="1"/>
      <c r="K330" s="1"/>
      <c r="L330" s="1"/>
      <c r="M330" s="1"/>
      <c r="N330" s="1"/>
      <c r="O330" s="1"/>
      <c r="P330" s="1"/>
    </row>
    <row r="331" ht="15.0" customHeight="1">
      <c r="A331" s="1"/>
      <c r="B331" s="1"/>
      <c r="C331" s="1"/>
      <c r="D331" s="1"/>
      <c r="E331" s="1"/>
      <c r="F331" s="1"/>
      <c r="G331" s="1"/>
      <c r="H331" s="1"/>
      <c r="I331" s="1"/>
      <c r="J331" s="1"/>
      <c r="K331" s="1"/>
      <c r="L331" s="1"/>
      <c r="M331" s="1"/>
      <c r="N331" s="1"/>
      <c r="O331" s="1"/>
      <c r="P331" s="1"/>
    </row>
    <row r="332" ht="15.0" customHeight="1">
      <c r="A332" s="1"/>
      <c r="B332" s="1"/>
      <c r="C332" s="1"/>
      <c r="D332" s="1"/>
      <c r="E332" s="1"/>
      <c r="F332" s="1"/>
      <c r="G332" s="1"/>
      <c r="H332" s="1"/>
      <c r="I332" s="1"/>
      <c r="J332" s="1"/>
      <c r="K332" s="1"/>
      <c r="L332" s="1"/>
      <c r="M332" s="1"/>
      <c r="N332" s="1"/>
      <c r="O332" s="1"/>
      <c r="P332" s="1"/>
    </row>
    <row r="333" ht="15.75" customHeight="1">
      <c r="A333" s="1"/>
      <c r="B333" s="1"/>
      <c r="C333" s="1"/>
      <c r="D333" s="1"/>
      <c r="E333" s="1"/>
      <c r="F333" s="1"/>
      <c r="G333" s="1"/>
      <c r="H333" s="1"/>
      <c r="I333" s="1"/>
      <c r="J333" s="1"/>
      <c r="K333" s="1"/>
      <c r="L333" s="1"/>
      <c r="M333" s="1"/>
      <c r="N333" s="1"/>
      <c r="O333" s="1"/>
      <c r="P333" s="1"/>
    </row>
    <row r="334" ht="14.25" customHeight="1">
      <c r="A334" s="1"/>
      <c r="B334" s="1"/>
      <c r="C334" s="1"/>
      <c r="D334" s="1"/>
      <c r="E334" s="1"/>
      <c r="F334" s="1"/>
      <c r="G334" s="1"/>
      <c r="H334" s="1"/>
      <c r="I334" s="1"/>
      <c r="J334" s="1"/>
      <c r="K334" s="1"/>
      <c r="L334" s="1"/>
      <c r="M334" s="1"/>
      <c r="N334" s="1"/>
      <c r="O334" s="1"/>
      <c r="P334" s="1"/>
    </row>
    <row r="335" ht="14.25" customHeight="1">
      <c r="A335" s="1"/>
      <c r="B335" s="1"/>
      <c r="C335" s="1"/>
      <c r="D335" s="1"/>
      <c r="E335" s="1"/>
      <c r="F335" s="1"/>
      <c r="G335" s="1"/>
      <c r="H335" s="1"/>
      <c r="I335" s="1"/>
      <c r="J335" s="1"/>
      <c r="K335" s="1"/>
      <c r="L335" s="1"/>
      <c r="M335" s="1"/>
      <c r="N335" s="1"/>
      <c r="O335" s="1"/>
      <c r="P335" s="1"/>
    </row>
    <row r="336" ht="14.25" customHeight="1">
      <c r="A336" s="1"/>
      <c r="B336" s="1"/>
      <c r="C336" s="1"/>
      <c r="D336" s="1"/>
      <c r="E336" s="1"/>
      <c r="F336" s="1"/>
      <c r="G336" s="1"/>
      <c r="H336" s="1"/>
      <c r="I336" s="1"/>
      <c r="J336" s="1"/>
      <c r="K336" s="1"/>
      <c r="L336" s="1"/>
      <c r="M336" s="1"/>
      <c r="N336" s="1"/>
      <c r="O336" s="1"/>
      <c r="P336" s="1"/>
    </row>
    <row r="337" ht="14.25" customHeight="1">
      <c r="A337" s="1"/>
      <c r="B337" s="1"/>
      <c r="C337" s="1"/>
      <c r="D337" s="1"/>
      <c r="E337" s="1"/>
      <c r="F337" s="1"/>
      <c r="G337" s="1"/>
      <c r="H337" s="1"/>
      <c r="I337" s="1"/>
      <c r="J337" s="1"/>
      <c r="K337" s="1"/>
      <c r="L337" s="1"/>
      <c r="M337" s="1"/>
      <c r="N337" s="1"/>
      <c r="O337" s="1"/>
      <c r="P337" s="1"/>
    </row>
    <row r="338" ht="14.25" customHeight="1">
      <c r="A338" s="1"/>
      <c r="B338" s="1"/>
      <c r="C338" s="1"/>
      <c r="D338" s="1"/>
      <c r="E338" s="1"/>
      <c r="F338" s="1"/>
      <c r="G338" s="1"/>
      <c r="H338" s="1"/>
      <c r="I338" s="1"/>
      <c r="J338" s="1"/>
      <c r="K338" s="1"/>
      <c r="L338" s="1"/>
      <c r="M338" s="1"/>
      <c r="N338" s="1"/>
      <c r="O338" s="1"/>
      <c r="P338" s="1"/>
    </row>
    <row r="339" ht="14.25" customHeight="1">
      <c r="A339" s="1"/>
      <c r="B339" s="1"/>
      <c r="C339" s="1"/>
      <c r="D339" s="1"/>
      <c r="E339" s="1"/>
      <c r="F339" s="1"/>
      <c r="G339" s="1"/>
      <c r="H339" s="1"/>
      <c r="I339" s="1"/>
      <c r="J339" s="1"/>
      <c r="K339" s="1"/>
      <c r="L339" s="1"/>
      <c r="M339" s="1"/>
      <c r="N339" s="1"/>
      <c r="O339" s="1"/>
      <c r="P339" s="1"/>
    </row>
    <row r="340" ht="14.25" customHeight="1">
      <c r="A340" s="1"/>
      <c r="B340" s="1"/>
      <c r="C340" s="1"/>
      <c r="D340" s="1"/>
      <c r="E340" s="1"/>
      <c r="F340" s="1"/>
      <c r="G340" s="1"/>
      <c r="H340" s="1"/>
      <c r="I340" s="1"/>
      <c r="J340" s="1"/>
      <c r="K340" s="1"/>
      <c r="L340" s="1"/>
      <c r="M340" s="1"/>
      <c r="N340" s="1"/>
      <c r="O340" s="1"/>
      <c r="P340" s="1"/>
    </row>
    <row r="341" ht="14.25" customHeight="1">
      <c r="A341" s="1"/>
      <c r="B341" s="1"/>
      <c r="C341" s="1"/>
      <c r="D341" s="1"/>
      <c r="E341" s="1"/>
      <c r="F341" s="1"/>
      <c r="G341" s="1"/>
      <c r="H341" s="1"/>
      <c r="I341" s="1"/>
      <c r="J341" s="1"/>
      <c r="K341" s="1"/>
      <c r="L341" s="1"/>
      <c r="M341" s="1"/>
      <c r="N341" s="1"/>
      <c r="O341" s="1"/>
      <c r="P341" s="1"/>
    </row>
    <row r="342" ht="14.25" customHeight="1">
      <c r="A342" s="1"/>
      <c r="B342" s="1"/>
      <c r="C342" s="1"/>
      <c r="D342" s="1"/>
      <c r="E342" s="1"/>
      <c r="F342" s="1"/>
      <c r="G342" s="1"/>
      <c r="H342" s="1"/>
      <c r="I342" s="1"/>
      <c r="J342" s="1"/>
      <c r="K342" s="1"/>
      <c r="L342" s="1"/>
      <c r="M342" s="1"/>
      <c r="N342" s="1"/>
      <c r="O342" s="1"/>
      <c r="P342" s="1"/>
    </row>
    <row r="343" ht="14.25" customHeight="1">
      <c r="A343" s="1"/>
      <c r="B343" s="1"/>
      <c r="C343" s="1"/>
      <c r="D343" s="1"/>
      <c r="E343" s="1"/>
      <c r="F343" s="1"/>
      <c r="G343" s="1"/>
      <c r="H343" s="1"/>
      <c r="I343" s="1"/>
      <c r="J343" s="1"/>
      <c r="K343" s="1"/>
      <c r="L343" s="1"/>
      <c r="M343" s="1"/>
      <c r="N343" s="1"/>
      <c r="O343" s="1"/>
      <c r="P343" s="1"/>
    </row>
    <row r="344" ht="14.25" customHeight="1">
      <c r="A344" s="1"/>
      <c r="B344" s="1"/>
      <c r="C344" s="1"/>
      <c r="D344" s="1"/>
      <c r="E344" s="1"/>
      <c r="F344" s="1"/>
      <c r="G344" s="1"/>
      <c r="H344" s="1"/>
      <c r="I344" s="1"/>
      <c r="J344" s="1"/>
      <c r="K344" s="1"/>
      <c r="L344" s="1"/>
      <c r="M344" s="1"/>
      <c r="N344" s="1"/>
      <c r="O344" s="1"/>
      <c r="P344" s="1"/>
    </row>
    <row r="345" ht="14.25" customHeight="1">
      <c r="A345" s="1"/>
      <c r="B345" s="1"/>
      <c r="C345" s="1"/>
      <c r="D345" s="1"/>
      <c r="E345" s="1"/>
      <c r="F345" s="1"/>
      <c r="G345" s="1"/>
      <c r="H345" s="1"/>
      <c r="I345" s="1"/>
      <c r="J345" s="1"/>
      <c r="K345" s="1"/>
      <c r="L345" s="1"/>
      <c r="M345" s="1"/>
      <c r="N345" s="1"/>
      <c r="O345" s="1"/>
      <c r="P345" s="1"/>
    </row>
    <row r="346" ht="14.25" customHeight="1">
      <c r="A346" s="1"/>
      <c r="B346" s="1"/>
      <c r="C346" s="1"/>
      <c r="D346" s="1"/>
      <c r="E346" s="1"/>
      <c r="F346" s="1"/>
      <c r="G346" s="1"/>
      <c r="H346" s="1"/>
      <c r="I346" s="1"/>
      <c r="J346" s="1"/>
      <c r="K346" s="1"/>
      <c r="L346" s="1"/>
      <c r="M346" s="1"/>
      <c r="N346" s="1"/>
      <c r="O346" s="1"/>
      <c r="P346" s="1"/>
    </row>
    <row r="347" ht="14.25" customHeight="1">
      <c r="A347" s="1"/>
      <c r="B347" s="1"/>
      <c r="C347" s="1"/>
      <c r="D347" s="1"/>
      <c r="E347" s="1"/>
      <c r="F347" s="1"/>
      <c r="G347" s="1"/>
      <c r="H347" s="1"/>
      <c r="I347" s="1"/>
      <c r="J347" s="1"/>
      <c r="K347" s="1"/>
      <c r="L347" s="1"/>
      <c r="M347" s="1"/>
      <c r="N347" s="1"/>
      <c r="O347" s="1"/>
      <c r="P347" s="1"/>
    </row>
    <row r="348" ht="14.25" customHeight="1">
      <c r="A348" s="1"/>
      <c r="B348" s="1"/>
      <c r="C348" s="1"/>
      <c r="D348" s="1"/>
      <c r="E348" s="1"/>
      <c r="F348" s="1"/>
      <c r="G348" s="1"/>
      <c r="H348" s="1"/>
      <c r="I348" s="1"/>
      <c r="J348" s="1"/>
      <c r="K348" s="1"/>
      <c r="L348" s="1"/>
      <c r="M348" s="1"/>
      <c r="N348" s="1"/>
      <c r="O348" s="1"/>
      <c r="P348" s="1"/>
    </row>
    <row r="349" ht="14.25" customHeight="1">
      <c r="A349" s="1"/>
      <c r="B349" s="1"/>
      <c r="C349" s="1"/>
      <c r="D349" s="1"/>
      <c r="E349" s="1"/>
      <c r="F349" s="1"/>
      <c r="G349" s="1"/>
      <c r="H349" s="1"/>
      <c r="I349" s="1"/>
      <c r="J349" s="1"/>
      <c r="K349" s="1"/>
      <c r="L349" s="1"/>
      <c r="M349" s="1"/>
      <c r="N349" s="1"/>
      <c r="O349" s="1"/>
      <c r="P349" s="1"/>
    </row>
    <row r="350" ht="14.25" customHeight="1">
      <c r="A350" s="1"/>
      <c r="B350" s="1"/>
      <c r="C350" s="1"/>
      <c r="D350" s="1"/>
      <c r="E350" s="1"/>
      <c r="F350" s="1"/>
      <c r="G350" s="1"/>
      <c r="H350" s="1"/>
      <c r="I350" s="1"/>
      <c r="J350" s="1"/>
      <c r="K350" s="1"/>
      <c r="L350" s="1"/>
      <c r="M350" s="1"/>
      <c r="N350" s="1"/>
      <c r="O350" s="1"/>
      <c r="P350" s="1"/>
    </row>
    <row r="351" ht="15.0" customHeight="1">
      <c r="A351" s="1"/>
      <c r="B351" s="1"/>
      <c r="C351" s="1"/>
      <c r="D351" s="1"/>
      <c r="E351" s="1"/>
      <c r="F351" s="1"/>
      <c r="G351" s="1"/>
      <c r="H351" s="1"/>
      <c r="I351" s="1"/>
      <c r="J351" s="1"/>
      <c r="K351" s="1"/>
      <c r="L351" s="1"/>
      <c r="M351" s="1"/>
      <c r="N351" s="1"/>
      <c r="O351" s="1"/>
      <c r="P351" s="1"/>
    </row>
    <row r="352" ht="15.75" customHeight="1">
      <c r="A352" s="1"/>
      <c r="B352" s="1"/>
      <c r="C352" s="1"/>
      <c r="D352" s="1"/>
      <c r="E352" s="1"/>
      <c r="F352" s="1"/>
      <c r="G352" s="1"/>
      <c r="H352" s="1"/>
      <c r="I352" s="1"/>
      <c r="J352" s="1"/>
      <c r="K352" s="1"/>
      <c r="L352" s="1"/>
      <c r="M352" s="1"/>
      <c r="N352" s="1"/>
      <c r="O352" s="1"/>
      <c r="P352" s="1"/>
    </row>
    <row r="353" ht="14.25" customHeight="1">
      <c r="A353" s="1"/>
      <c r="B353" s="1"/>
      <c r="C353" s="1"/>
      <c r="D353" s="1"/>
      <c r="E353" s="1"/>
      <c r="F353" s="1"/>
      <c r="G353" s="1"/>
      <c r="H353" s="1"/>
      <c r="I353" s="1"/>
      <c r="J353" s="1"/>
      <c r="K353" s="1"/>
      <c r="L353" s="1"/>
      <c r="M353" s="1"/>
      <c r="N353" s="1"/>
      <c r="O353" s="1"/>
      <c r="P353" s="1"/>
    </row>
    <row r="354" ht="15.0" customHeight="1">
      <c r="A354" s="1"/>
      <c r="B354" s="1"/>
      <c r="C354" s="1"/>
      <c r="D354" s="1"/>
      <c r="E354" s="1"/>
      <c r="F354" s="1"/>
      <c r="G354" s="1"/>
      <c r="H354" s="1"/>
      <c r="I354" s="1"/>
      <c r="J354" s="1"/>
      <c r="K354" s="1"/>
      <c r="L354" s="1"/>
      <c r="M354" s="1"/>
      <c r="N354" s="1"/>
      <c r="O354" s="1"/>
      <c r="P354" s="1"/>
    </row>
    <row r="355" ht="14.25" customHeight="1">
      <c r="A355" s="1"/>
      <c r="B355" s="1"/>
      <c r="C355" s="1"/>
      <c r="D355" s="1"/>
      <c r="E355" s="1"/>
      <c r="F355" s="1"/>
      <c r="G355" s="1"/>
      <c r="H355" s="1"/>
      <c r="I355" s="1"/>
      <c r="J355" s="1"/>
      <c r="K355" s="1"/>
      <c r="L355" s="1"/>
      <c r="M355" s="1"/>
      <c r="N355" s="1"/>
      <c r="O355" s="1"/>
      <c r="P355" s="1"/>
    </row>
    <row r="356" ht="14.25" customHeight="1">
      <c r="A356" s="1"/>
      <c r="B356" s="1"/>
      <c r="C356" s="1"/>
      <c r="D356" s="1"/>
      <c r="E356" s="1"/>
      <c r="F356" s="1"/>
      <c r="G356" s="1"/>
      <c r="H356" s="1"/>
      <c r="I356" s="1"/>
      <c r="J356" s="1"/>
      <c r="K356" s="1"/>
      <c r="L356" s="1"/>
      <c r="M356" s="1"/>
      <c r="N356" s="1"/>
      <c r="O356" s="1"/>
      <c r="P356" s="1"/>
    </row>
    <row r="357" ht="14.25" customHeight="1">
      <c r="A357" s="1"/>
      <c r="B357" s="1"/>
      <c r="C357" s="1"/>
      <c r="D357" s="1"/>
      <c r="E357" s="1"/>
      <c r="F357" s="1"/>
      <c r="G357" s="1"/>
      <c r="H357" s="1"/>
      <c r="I357" s="1"/>
      <c r="J357" s="1"/>
      <c r="K357" s="1"/>
      <c r="L357" s="1"/>
      <c r="M357" s="1"/>
      <c r="N357" s="1"/>
      <c r="O357" s="1"/>
      <c r="P357" s="1"/>
    </row>
    <row r="358" ht="14.25" customHeight="1">
      <c r="A358" s="1"/>
      <c r="B358" s="1"/>
      <c r="C358" s="1"/>
      <c r="D358" s="1"/>
      <c r="E358" s="1"/>
      <c r="F358" s="1"/>
      <c r="G358" s="1"/>
      <c r="H358" s="1"/>
      <c r="I358" s="1"/>
      <c r="J358" s="1"/>
      <c r="K358" s="1"/>
      <c r="L358" s="1"/>
      <c r="M358" s="1"/>
      <c r="N358" s="1"/>
      <c r="O358" s="1"/>
      <c r="P358" s="1"/>
    </row>
    <row r="359" ht="14.25" customHeight="1">
      <c r="A359" s="1"/>
      <c r="B359" s="1"/>
      <c r="C359" s="1"/>
      <c r="D359" s="1"/>
      <c r="E359" s="1"/>
      <c r="F359" s="1"/>
      <c r="G359" s="1"/>
      <c r="H359" s="1"/>
      <c r="I359" s="1"/>
      <c r="J359" s="1"/>
      <c r="K359" s="1"/>
      <c r="L359" s="1"/>
      <c r="M359" s="1"/>
      <c r="N359" s="1"/>
      <c r="O359" s="1"/>
      <c r="P359" s="1"/>
    </row>
    <row r="360" ht="14.25" customHeight="1">
      <c r="A360" s="1"/>
      <c r="B360" s="1"/>
      <c r="C360" s="1"/>
      <c r="D360" s="1"/>
      <c r="E360" s="1"/>
      <c r="F360" s="1"/>
      <c r="G360" s="1"/>
      <c r="H360" s="1"/>
      <c r="I360" s="1"/>
      <c r="J360" s="1"/>
      <c r="K360" s="1"/>
      <c r="L360" s="1"/>
      <c r="M360" s="1"/>
      <c r="N360" s="1"/>
      <c r="O360" s="1"/>
      <c r="P360" s="1"/>
    </row>
    <row r="361" ht="14.25" customHeight="1">
      <c r="A361" s="1"/>
      <c r="B361" s="1"/>
      <c r="C361" s="1"/>
      <c r="D361" s="1"/>
      <c r="E361" s="1"/>
      <c r="F361" s="1"/>
      <c r="G361" s="1"/>
      <c r="H361" s="1"/>
      <c r="I361" s="1"/>
      <c r="J361" s="1"/>
      <c r="K361" s="1"/>
      <c r="L361" s="1"/>
      <c r="M361" s="1"/>
      <c r="N361" s="1"/>
      <c r="O361" s="1"/>
      <c r="P361" s="1"/>
    </row>
    <row r="362" ht="14.25" customHeight="1">
      <c r="A362" s="1"/>
      <c r="B362" s="1"/>
      <c r="C362" s="1"/>
      <c r="D362" s="1"/>
      <c r="E362" s="1"/>
      <c r="F362" s="1"/>
      <c r="G362" s="1"/>
      <c r="H362" s="1"/>
      <c r="I362" s="1"/>
      <c r="J362" s="1"/>
      <c r="K362" s="1"/>
      <c r="L362" s="1"/>
      <c r="M362" s="1"/>
      <c r="N362" s="1"/>
      <c r="O362" s="1"/>
      <c r="P362" s="1"/>
    </row>
    <row r="363" ht="14.25" customHeight="1">
      <c r="A363" s="1"/>
      <c r="B363" s="1"/>
      <c r="C363" s="1"/>
      <c r="D363" s="1"/>
      <c r="E363" s="1"/>
      <c r="F363" s="1"/>
      <c r="G363" s="1"/>
      <c r="H363" s="1"/>
      <c r="I363" s="1"/>
      <c r="J363" s="1"/>
      <c r="K363" s="1"/>
      <c r="L363" s="1"/>
      <c r="M363" s="1"/>
      <c r="N363" s="1"/>
      <c r="O363" s="1"/>
      <c r="P363" s="1"/>
    </row>
    <row r="364" ht="14.25" customHeight="1">
      <c r="A364" s="1"/>
      <c r="B364" s="1"/>
      <c r="C364" s="1"/>
      <c r="D364" s="1"/>
      <c r="E364" s="1"/>
      <c r="F364" s="1"/>
      <c r="G364" s="1"/>
      <c r="H364" s="1"/>
      <c r="I364" s="1"/>
      <c r="J364" s="1"/>
      <c r="K364" s="1"/>
      <c r="L364" s="1"/>
      <c r="M364" s="1"/>
      <c r="N364" s="1"/>
      <c r="O364" s="1"/>
      <c r="P364" s="1"/>
    </row>
    <row r="365" ht="14.25" customHeight="1">
      <c r="A365" s="1"/>
      <c r="B365" s="1"/>
      <c r="C365" s="1"/>
      <c r="D365" s="1"/>
      <c r="E365" s="1"/>
      <c r="F365" s="1"/>
      <c r="G365" s="1"/>
      <c r="H365" s="1"/>
      <c r="I365" s="1"/>
      <c r="J365" s="1"/>
      <c r="K365" s="1"/>
      <c r="L365" s="1"/>
      <c r="M365" s="1"/>
      <c r="N365" s="1"/>
      <c r="O365" s="1"/>
      <c r="P365" s="1"/>
    </row>
    <row r="366" ht="14.25" customHeight="1">
      <c r="A366" s="1"/>
      <c r="B366" s="1"/>
      <c r="C366" s="1"/>
      <c r="D366" s="1"/>
      <c r="E366" s="1"/>
      <c r="F366" s="1"/>
      <c r="G366" s="1"/>
      <c r="H366" s="1"/>
      <c r="I366" s="1"/>
      <c r="J366" s="1"/>
      <c r="K366" s="1"/>
      <c r="L366" s="1"/>
      <c r="M366" s="1"/>
      <c r="N366" s="1"/>
      <c r="O366" s="1"/>
      <c r="P366" s="1"/>
    </row>
    <row r="367" ht="14.25" customHeight="1">
      <c r="A367" s="1"/>
      <c r="B367" s="1"/>
      <c r="C367" s="1"/>
      <c r="D367" s="1"/>
      <c r="E367" s="1"/>
      <c r="F367" s="1"/>
      <c r="G367" s="1"/>
      <c r="H367" s="1"/>
      <c r="I367" s="1"/>
      <c r="J367" s="1"/>
      <c r="K367" s="1"/>
      <c r="L367" s="1"/>
      <c r="M367" s="1"/>
      <c r="N367" s="1"/>
      <c r="O367" s="1"/>
      <c r="P367" s="1"/>
    </row>
    <row r="368" ht="14.25" customHeight="1">
      <c r="A368" s="1"/>
      <c r="B368" s="1"/>
      <c r="C368" s="1"/>
      <c r="D368" s="1"/>
      <c r="E368" s="1"/>
      <c r="F368" s="1"/>
      <c r="G368" s="1"/>
      <c r="H368" s="1"/>
      <c r="I368" s="1"/>
      <c r="J368" s="1"/>
      <c r="K368" s="1"/>
      <c r="L368" s="1"/>
      <c r="M368" s="1"/>
      <c r="N368" s="1"/>
      <c r="O368" s="1"/>
      <c r="P368" s="1"/>
    </row>
    <row r="369" ht="14.25" customHeight="1">
      <c r="A369" s="1"/>
      <c r="B369" s="1"/>
      <c r="C369" s="1"/>
      <c r="D369" s="1"/>
      <c r="E369" s="1"/>
      <c r="F369" s="1"/>
      <c r="G369" s="1"/>
      <c r="H369" s="1"/>
      <c r="I369" s="1"/>
      <c r="J369" s="1"/>
      <c r="K369" s="1"/>
      <c r="L369" s="1"/>
      <c r="M369" s="1"/>
      <c r="N369" s="1"/>
      <c r="O369" s="1"/>
      <c r="P369" s="1"/>
    </row>
    <row r="370" ht="14.25" customHeight="1">
      <c r="A370" s="1"/>
      <c r="B370" s="1"/>
      <c r="C370" s="1"/>
      <c r="D370" s="1"/>
      <c r="E370" s="1"/>
      <c r="F370" s="1"/>
      <c r="G370" s="1"/>
      <c r="H370" s="1"/>
      <c r="I370" s="1"/>
      <c r="J370" s="1"/>
      <c r="K370" s="1"/>
      <c r="L370" s="1"/>
      <c r="M370" s="1"/>
      <c r="N370" s="1"/>
      <c r="O370" s="1"/>
      <c r="P370" s="1"/>
    </row>
    <row r="371" ht="14.25" customHeight="1">
      <c r="A371" s="1"/>
      <c r="B371" s="1"/>
      <c r="C371" s="1"/>
      <c r="D371" s="1"/>
      <c r="E371" s="1"/>
      <c r="F371" s="1"/>
      <c r="G371" s="1"/>
      <c r="H371" s="1"/>
      <c r="I371" s="1"/>
      <c r="J371" s="1"/>
      <c r="K371" s="1"/>
      <c r="L371" s="1"/>
      <c r="M371" s="1"/>
      <c r="N371" s="1"/>
      <c r="O371" s="1"/>
      <c r="P371" s="1"/>
    </row>
    <row r="372" ht="14.25" customHeight="1">
      <c r="A372" s="1"/>
      <c r="B372" s="1"/>
      <c r="C372" s="1"/>
      <c r="D372" s="1"/>
      <c r="E372" s="1"/>
      <c r="F372" s="1"/>
      <c r="G372" s="1"/>
      <c r="H372" s="1"/>
      <c r="I372" s="1"/>
      <c r="J372" s="1"/>
      <c r="K372" s="1"/>
      <c r="L372" s="1"/>
      <c r="M372" s="1"/>
      <c r="N372" s="1"/>
      <c r="O372" s="1"/>
      <c r="P372" s="1"/>
    </row>
    <row r="373" ht="14.25" customHeight="1">
      <c r="A373" s="1"/>
      <c r="B373" s="1"/>
      <c r="C373" s="1"/>
      <c r="D373" s="1"/>
      <c r="E373" s="1"/>
      <c r="F373" s="1"/>
      <c r="G373" s="1"/>
      <c r="H373" s="1"/>
      <c r="I373" s="1"/>
      <c r="J373" s="1"/>
      <c r="K373" s="1"/>
      <c r="L373" s="1"/>
      <c r="M373" s="1"/>
      <c r="N373" s="1"/>
      <c r="O373" s="1"/>
      <c r="P373" s="1"/>
    </row>
    <row r="374" ht="14.25" customHeight="1">
      <c r="A374" s="1"/>
      <c r="B374" s="1"/>
      <c r="C374" s="1"/>
      <c r="D374" s="1"/>
      <c r="E374" s="1"/>
      <c r="F374" s="1"/>
      <c r="G374" s="1"/>
      <c r="H374" s="1"/>
      <c r="I374" s="1"/>
      <c r="J374" s="1"/>
      <c r="K374" s="1"/>
      <c r="L374" s="1"/>
      <c r="M374" s="1"/>
      <c r="N374" s="1"/>
      <c r="O374" s="1"/>
      <c r="P374" s="1"/>
    </row>
    <row r="375" ht="14.25" customHeight="1">
      <c r="A375" s="1"/>
      <c r="B375" s="1"/>
      <c r="C375" s="1"/>
      <c r="D375" s="1"/>
      <c r="E375" s="1"/>
      <c r="F375" s="1"/>
      <c r="G375" s="1"/>
      <c r="H375" s="1"/>
      <c r="I375" s="1"/>
      <c r="J375" s="1"/>
      <c r="K375" s="1"/>
      <c r="L375" s="1"/>
      <c r="M375" s="1"/>
      <c r="N375" s="1"/>
      <c r="O375" s="1"/>
      <c r="P375" s="1"/>
    </row>
    <row r="376" ht="14.25" customHeight="1">
      <c r="A376" s="1"/>
      <c r="B376" s="1"/>
      <c r="C376" s="1"/>
      <c r="D376" s="1"/>
      <c r="E376" s="1"/>
      <c r="F376" s="1"/>
      <c r="G376" s="1"/>
      <c r="H376" s="1"/>
      <c r="I376" s="1"/>
      <c r="J376" s="1"/>
      <c r="K376" s="1"/>
      <c r="L376" s="1"/>
      <c r="M376" s="1"/>
      <c r="N376" s="1"/>
      <c r="O376" s="1"/>
      <c r="P376" s="1"/>
    </row>
    <row r="377" ht="14.25" customHeight="1">
      <c r="A377" s="1"/>
      <c r="B377" s="1"/>
      <c r="C377" s="1"/>
      <c r="D377" s="1"/>
      <c r="E377" s="1"/>
      <c r="F377" s="1"/>
      <c r="G377" s="1"/>
      <c r="H377" s="1"/>
      <c r="I377" s="1"/>
      <c r="J377" s="1"/>
      <c r="K377" s="1"/>
      <c r="L377" s="1"/>
      <c r="M377" s="1"/>
      <c r="N377" s="1"/>
      <c r="O377" s="1"/>
      <c r="P377" s="1"/>
    </row>
    <row r="378" ht="14.25" customHeight="1">
      <c r="A378" s="1"/>
      <c r="B378" s="1"/>
      <c r="C378" s="1"/>
      <c r="D378" s="1"/>
      <c r="E378" s="1"/>
      <c r="F378" s="1"/>
      <c r="G378" s="1"/>
      <c r="H378" s="1"/>
      <c r="I378" s="1"/>
      <c r="J378" s="1"/>
      <c r="K378" s="1"/>
      <c r="L378" s="1"/>
      <c r="M378" s="1"/>
      <c r="N378" s="1"/>
      <c r="O378" s="1"/>
      <c r="P378" s="1"/>
    </row>
    <row r="379" ht="14.25" customHeight="1">
      <c r="A379" s="1"/>
      <c r="B379" s="1"/>
      <c r="C379" s="1"/>
      <c r="D379" s="1"/>
      <c r="E379" s="1"/>
      <c r="F379" s="1"/>
      <c r="G379" s="1"/>
      <c r="H379" s="1"/>
      <c r="I379" s="1"/>
      <c r="J379" s="1"/>
      <c r="K379" s="1"/>
      <c r="L379" s="1"/>
      <c r="M379" s="1"/>
      <c r="N379" s="1"/>
      <c r="O379" s="1"/>
      <c r="P379" s="1"/>
    </row>
    <row r="380" ht="14.25" customHeight="1">
      <c r="A380" s="1"/>
      <c r="B380" s="1"/>
      <c r="C380" s="1"/>
      <c r="D380" s="1"/>
      <c r="E380" s="1"/>
      <c r="F380" s="1"/>
      <c r="G380" s="1"/>
      <c r="H380" s="1"/>
      <c r="I380" s="1"/>
      <c r="J380" s="1"/>
      <c r="K380" s="1"/>
      <c r="L380" s="1"/>
      <c r="M380" s="1"/>
      <c r="N380" s="1"/>
      <c r="O380" s="1"/>
      <c r="P380" s="1"/>
    </row>
    <row r="381" ht="14.25" customHeight="1">
      <c r="A381" s="1"/>
      <c r="B381" s="1"/>
      <c r="C381" s="1"/>
      <c r="D381" s="1"/>
      <c r="E381" s="1"/>
      <c r="F381" s="1"/>
      <c r="G381" s="1"/>
      <c r="H381" s="1"/>
      <c r="I381" s="1"/>
      <c r="J381" s="1"/>
      <c r="K381" s="1"/>
      <c r="L381" s="1"/>
      <c r="M381" s="1"/>
      <c r="N381" s="1"/>
      <c r="O381" s="1"/>
      <c r="P381" s="1"/>
    </row>
    <row r="382" ht="14.25" customHeight="1">
      <c r="A382" s="1"/>
      <c r="B382" s="1"/>
      <c r="C382" s="1"/>
      <c r="D382" s="1"/>
      <c r="E382" s="1"/>
      <c r="F382" s="1"/>
      <c r="G382" s="1"/>
      <c r="H382" s="1"/>
      <c r="I382" s="1"/>
      <c r="J382" s="1"/>
      <c r="K382" s="1"/>
      <c r="L382" s="1"/>
      <c r="M382" s="1"/>
      <c r="N382" s="1"/>
      <c r="O382" s="1"/>
      <c r="P382" s="1"/>
    </row>
    <row r="383" ht="14.25" customHeight="1">
      <c r="A383" s="1"/>
      <c r="B383" s="1"/>
      <c r="C383" s="1"/>
      <c r="D383" s="1"/>
      <c r="E383" s="1"/>
      <c r="F383" s="1"/>
      <c r="G383" s="1"/>
      <c r="H383" s="1"/>
      <c r="I383" s="1"/>
      <c r="J383" s="1"/>
      <c r="K383" s="1"/>
      <c r="L383" s="1"/>
      <c r="M383" s="1"/>
      <c r="N383" s="1"/>
      <c r="O383" s="1"/>
      <c r="P383" s="1"/>
    </row>
    <row r="384" ht="14.25" customHeight="1">
      <c r="A384" s="1"/>
      <c r="B384" s="1"/>
      <c r="C384" s="1"/>
      <c r="D384" s="1"/>
      <c r="E384" s="1"/>
      <c r="F384" s="1"/>
      <c r="G384" s="1"/>
      <c r="H384" s="1"/>
      <c r="I384" s="1"/>
      <c r="J384" s="1"/>
      <c r="K384" s="1"/>
      <c r="L384" s="1"/>
      <c r="M384" s="1"/>
      <c r="N384" s="1"/>
      <c r="O384" s="1"/>
      <c r="P384" s="1"/>
    </row>
    <row r="385" ht="14.25" customHeight="1">
      <c r="A385" s="1"/>
      <c r="B385" s="1"/>
      <c r="C385" s="1"/>
      <c r="D385" s="1"/>
      <c r="E385" s="1"/>
      <c r="F385" s="1"/>
      <c r="G385" s="1"/>
      <c r="H385" s="1"/>
      <c r="I385" s="1"/>
      <c r="J385" s="1"/>
      <c r="K385" s="1"/>
      <c r="L385" s="1"/>
      <c r="M385" s="1"/>
      <c r="N385" s="1"/>
      <c r="O385" s="1"/>
      <c r="P385" s="1"/>
    </row>
    <row r="386" ht="14.25" customHeight="1">
      <c r="A386" s="1"/>
      <c r="B386" s="1"/>
      <c r="C386" s="1"/>
      <c r="D386" s="1"/>
      <c r="E386" s="1"/>
      <c r="F386" s="1"/>
      <c r="G386" s="1"/>
      <c r="H386" s="1"/>
      <c r="I386" s="1"/>
      <c r="J386" s="1"/>
      <c r="K386" s="1"/>
      <c r="L386" s="1"/>
      <c r="M386" s="1"/>
      <c r="N386" s="1"/>
      <c r="O386" s="1"/>
      <c r="P386" s="1"/>
    </row>
    <row r="387" ht="14.25" customHeight="1">
      <c r="A387" s="1"/>
      <c r="B387" s="1"/>
      <c r="C387" s="1"/>
      <c r="D387" s="1"/>
      <c r="E387" s="1"/>
      <c r="F387" s="1"/>
      <c r="G387" s="1"/>
      <c r="H387" s="1"/>
      <c r="I387" s="1"/>
      <c r="J387" s="1"/>
      <c r="K387" s="1"/>
      <c r="L387" s="1"/>
      <c r="M387" s="1"/>
      <c r="N387" s="1"/>
      <c r="O387" s="1"/>
      <c r="P387" s="1"/>
    </row>
    <row r="388" ht="15.0" customHeight="1">
      <c r="A388" s="1"/>
      <c r="B388" s="1"/>
      <c r="C388" s="1"/>
      <c r="D388" s="1"/>
      <c r="E388" s="1"/>
      <c r="F388" s="1"/>
      <c r="G388" s="1"/>
      <c r="H388" s="1"/>
      <c r="I388" s="1"/>
      <c r="J388" s="1"/>
      <c r="K388" s="1"/>
      <c r="L388" s="1"/>
      <c r="M388" s="1"/>
      <c r="N388" s="1"/>
      <c r="O388" s="1"/>
      <c r="P388" s="1"/>
    </row>
    <row r="389" ht="15.0" customHeight="1">
      <c r="A389" s="1"/>
      <c r="B389" s="1"/>
      <c r="C389" s="1"/>
      <c r="D389" s="1"/>
      <c r="E389" s="1"/>
      <c r="F389" s="1"/>
      <c r="G389" s="1"/>
      <c r="H389" s="1"/>
      <c r="I389" s="1"/>
      <c r="J389" s="1"/>
      <c r="K389" s="1"/>
      <c r="L389" s="1"/>
      <c r="M389" s="1"/>
      <c r="N389" s="1"/>
      <c r="O389" s="1"/>
      <c r="P389" s="1"/>
    </row>
    <row r="390" ht="15.0" customHeight="1">
      <c r="A390" s="1"/>
      <c r="B390" s="1"/>
      <c r="C390" s="1"/>
      <c r="D390" s="1"/>
      <c r="E390" s="1"/>
      <c r="F390" s="1"/>
      <c r="G390" s="1"/>
      <c r="H390" s="1"/>
      <c r="I390" s="1"/>
      <c r="J390" s="1"/>
      <c r="K390" s="1"/>
      <c r="L390" s="1"/>
      <c r="M390" s="1"/>
      <c r="N390" s="1"/>
      <c r="O390" s="1"/>
      <c r="P390" s="1"/>
    </row>
    <row r="391" ht="15.0" customHeight="1">
      <c r="A391" s="1"/>
      <c r="B391" s="1"/>
      <c r="C391" s="1"/>
      <c r="D391" s="1"/>
      <c r="E391" s="1"/>
      <c r="F391" s="1"/>
      <c r="G391" s="1"/>
      <c r="H391" s="1"/>
      <c r="I391" s="1"/>
      <c r="J391" s="1"/>
      <c r="K391" s="1"/>
      <c r="L391" s="1"/>
      <c r="M391" s="1"/>
      <c r="N391" s="1"/>
      <c r="O391" s="1"/>
      <c r="P391" s="1"/>
    </row>
    <row r="392" ht="15.0" customHeight="1">
      <c r="A392" s="1"/>
      <c r="B392" s="1"/>
      <c r="C392" s="1"/>
      <c r="D392" s="1"/>
      <c r="E392" s="1"/>
      <c r="F392" s="1"/>
      <c r="G392" s="1"/>
      <c r="H392" s="1"/>
      <c r="I392" s="1"/>
      <c r="J392" s="1"/>
      <c r="K392" s="1"/>
      <c r="L392" s="1"/>
      <c r="M392" s="1"/>
      <c r="N392" s="1"/>
      <c r="O392" s="1"/>
      <c r="P392" s="1"/>
    </row>
    <row r="393" ht="15.0" customHeight="1">
      <c r="A393" s="1"/>
      <c r="B393" s="1"/>
      <c r="C393" s="1"/>
      <c r="D393" s="1"/>
      <c r="E393" s="1"/>
      <c r="F393" s="1"/>
      <c r="G393" s="1"/>
      <c r="H393" s="1"/>
      <c r="I393" s="1"/>
      <c r="J393" s="1"/>
      <c r="K393" s="1"/>
      <c r="L393" s="1"/>
      <c r="M393" s="1"/>
      <c r="N393" s="1"/>
      <c r="O393" s="1"/>
      <c r="P393" s="1"/>
    </row>
    <row r="394" ht="15.0" customHeight="1">
      <c r="A394" s="1"/>
      <c r="B394" s="1"/>
      <c r="C394" s="1"/>
      <c r="D394" s="1"/>
      <c r="E394" s="1"/>
      <c r="F394" s="1"/>
      <c r="G394" s="1"/>
      <c r="H394" s="1"/>
      <c r="I394" s="1"/>
      <c r="J394" s="1"/>
      <c r="K394" s="1"/>
      <c r="L394" s="1"/>
      <c r="M394" s="1"/>
      <c r="N394" s="1"/>
      <c r="O394" s="1"/>
      <c r="P394" s="1"/>
    </row>
    <row r="395" ht="15.0" customHeight="1">
      <c r="A395" s="1"/>
      <c r="B395" s="1"/>
      <c r="C395" s="1"/>
      <c r="D395" s="1"/>
      <c r="E395" s="1"/>
      <c r="F395" s="1"/>
      <c r="G395" s="1"/>
      <c r="H395" s="1"/>
      <c r="I395" s="1"/>
      <c r="J395" s="1"/>
      <c r="K395" s="1"/>
      <c r="L395" s="1"/>
      <c r="M395" s="1"/>
      <c r="N395" s="1"/>
      <c r="O395" s="1"/>
      <c r="P395" s="1"/>
    </row>
    <row r="396" ht="15.75" customHeight="1">
      <c r="A396" s="1"/>
      <c r="B396" s="1"/>
      <c r="C396" s="1"/>
      <c r="D396" s="1"/>
      <c r="E396" s="1"/>
      <c r="F396" s="1"/>
      <c r="G396" s="1"/>
      <c r="H396" s="1"/>
      <c r="I396" s="1"/>
      <c r="J396" s="1"/>
      <c r="K396" s="1"/>
      <c r="L396" s="1"/>
      <c r="M396" s="1"/>
      <c r="N396" s="1"/>
      <c r="O396" s="1"/>
      <c r="P396" s="1"/>
    </row>
    <row r="397" ht="15.0" customHeight="1">
      <c r="A397" s="1"/>
      <c r="B397" s="1"/>
      <c r="C397" s="1"/>
      <c r="D397" s="1"/>
      <c r="E397" s="1"/>
      <c r="F397" s="1"/>
      <c r="G397" s="1"/>
      <c r="H397" s="1"/>
      <c r="I397" s="1"/>
      <c r="J397" s="1"/>
      <c r="K397" s="1"/>
      <c r="L397" s="1"/>
      <c r="M397" s="1"/>
      <c r="N397" s="1"/>
      <c r="O397" s="1"/>
      <c r="P397" s="1"/>
    </row>
    <row r="398" ht="15.0" customHeight="1">
      <c r="A398" s="1"/>
      <c r="B398" s="1"/>
      <c r="C398" s="1"/>
      <c r="D398" s="1"/>
      <c r="E398" s="1"/>
      <c r="F398" s="1"/>
      <c r="G398" s="1"/>
      <c r="H398" s="1"/>
      <c r="I398" s="1"/>
      <c r="J398" s="1"/>
      <c r="K398" s="1"/>
      <c r="L398" s="1"/>
      <c r="M398" s="1"/>
      <c r="N398" s="1"/>
      <c r="O398" s="1"/>
      <c r="P398" s="1"/>
    </row>
    <row r="399" ht="15.75" customHeight="1">
      <c r="A399" s="1"/>
      <c r="B399" s="1"/>
      <c r="C399" s="1"/>
      <c r="D399" s="1"/>
      <c r="E399" s="1"/>
      <c r="F399" s="1"/>
      <c r="G399" s="1"/>
      <c r="H399" s="1"/>
      <c r="I399" s="1"/>
      <c r="J399" s="1"/>
      <c r="K399" s="1"/>
      <c r="L399" s="1"/>
      <c r="M399" s="1"/>
      <c r="N399" s="1"/>
      <c r="O399" s="1"/>
      <c r="P399" s="1"/>
    </row>
    <row r="400" ht="14.25" customHeight="1">
      <c r="A400" s="1"/>
      <c r="B400" s="1"/>
      <c r="C400" s="1"/>
      <c r="D400" s="1"/>
      <c r="E400" s="1"/>
      <c r="F400" s="1"/>
      <c r="G400" s="1"/>
      <c r="H400" s="1"/>
      <c r="I400" s="1"/>
      <c r="J400" s="1"/>
      <c r="K400" s="1"/>
      <c r="L400" s="1"/>
      <c r="M400" s="1"/>
      <c r="N400" s="1"/>
      <c r="O400" s="1"/>
      <c r="P400" s="1"/>
    </row>
    <row r="401" ht="14.25" customHeight="1">
      <c r="A401" s="1"/>
      <c r="B401" s="1"/>
      <c r="C401" s="1"/>
      <c r="D401" s="1"/>
      <c r="E401" s="1"/>
      <c r="F401" s="1"/>
      <c r="G401" s="1"/>
      <c r="H401" s="1"/>
      <c r="I401" s="1"/>
      <c r="J401" s="1"/>
      <c r="K401" s="1"/>
      <c r="L401" s="1"/>
      <c r="M401" s="1"/>
      <c r="N401" s="1"/>
      <c r="O401" s="1"/>
      <c r="P401" s="1"/>
    </row>
    <row r="402" ht="14.25" customHeight="1">
      <c r="A402" s="1"/>
      <c r="B402" s="1"/>
      <c r="C402" s="1"/>
      <c r="D402" s="1"/>
      <c r="E402" s="1"/>
      <c r="F402" s="1"/>
      <c r="G402" s="1"/>
      <c r="H402" s="1"/>
      <c r="I402" s="1"/>
      <c r="J402" s="1"/>
      <c r="K402" s="1"/>
      <c r="L402" s="1"/>
      <c r="M402" s="1"/>
      <c r="N402" s="1"/>
      <c r="O402" s="1"/>
      <c r="P402" s="1"/>
    </row>
    <row r="403" ht="14.25" customHeight="1">
      <c r="A403" s="1"/>
      <c r="B403" s="1"/>
      <c r="C403" s="1"/>
      <c r="D403" s="1"/>
      <c r="E403" s="1"/>
      <c r="F403" s="1"/>
      <c r="G403" s="1"/>
      <c r="H403" s="1"/>
      <c r="I403" s="1"/>
      <c r="J403" s="1"/>
      <c r="K403" s="1"/>
      <c r="L403" s="1"/>
      <c r="M403" s="1"/>
      <c r="N403" s="1"/>
      <c r="O403" s="1"/>
      <c r="P403" s="1"/>
    </row>
    <row r="404" ht="14.25" customHeight="1">
      <c r="A404" s="1"/>
      <c r="B404" s="1"/>
      <c r="C404" s="1"/>
      <c r="D404" s="1"/>
      <c r="E404" s="1"/>
      <c r="F404" s="1"/>
      <c r="G404" s="1"/>
      <c r="H404" s="1"/>
      <c r="I404" s="1"/>
      <c r="J404" s="1"/>
      <c r="K404" s="1"/>
      <c r="L404" s="1"/>
      <c r="M404" s="1"/>
      <c r="N404" s="1"/>
      <c r="O404" s="1"/>
      <c r="P404" s="1"/>
    </row>
    <row r="405" ht="14.25" customHeight="1">
      <c r="A405" s="1"/>
      <c r="B405" s="1"/>
      <c r="C405" s="1"/>
      <c r="D405" s="1"/>
      <c r="E405" s="1"/>
      <c r="F405" s="1"/>
      <c r="G405" s="1"/>
      <c r="H405" s="1"/>
      <c r="I405" s="1"/>
      <c r="J405" s="1"/>
      <c r="K405" s="1"/>
      <c r="L405" s="1"/>
      <c r="M405" s="1"/>
      <c r="N405" s="1"/>
      <c r="O405" s="1"/>
      <c r="P405" s="1"/>
    </row>
    <row r="406" ht="14.25" customHeight="1">
      <c r="A406" s="1"/>
      <c r="B406" s="1"/>
      <c r="C406" s="1"/>
      <c r="D406" s="1"/>
      <c r="E406" s="1"/>
      <c r="F406" s="1"/>
      <c r="G406" s="1"/>
      <c r="H406" s="1"/>
      <c r="I406" s="1"/>
      <c r="J406" s="1"/>
      <c r="K406" s="1"/>
      <c r="L406" s="1"/>
      <c r="M406" s="1"/>
      <c r="N406" s="1"/>
      <c r="O406" s="1"/>
      <c r="P406" s="1"/>
    </row>
    <row r="407" ht="14.25" customHeight="1">
      <c r="A407" s="1"/>
      <c r="B407" s="1"/>
      <c r="C407" s="1"/>
      <c r="D407" s="1"/>
      <c r="E407" s="1"/>
      <c r="F407" s="1"/>
      <c r="G407" s="1"/>
      <c r="H407" s="1"/>
      <c r="I407" s="1"/>
      <c r="J407" s="1"/>
      <c r="K407" s="1"/>
      <c r="L407" s="1"/>
      <c r="M407" s="1"/>
      <c r="N407" s="1"/>
      <c r="O407" s="1"/>
      <c r="P407" s="1"/>
    </row>
    <row r="408" ht="14.25" customHeight="1">
      <c r="A408" s="1"/>
      <c r="B408" s="1"/>
      <c r="C408" s="1"/>
      <c r="D408" s="1"/>
      <c r="E408" s="1"/>
      <c r="F408" s="1"/>
      <c r="G408" s="1"/>
      <c r="H408" s="1"/>
      <c r="I408" s="1"/>
      <c r="J408" s="1"/>
      <c r="K408" s="1"/>
      <c r="L408" s="1"/>
      <c r="M408" s="1"/>
      <c r="N408" s="1"/>
      <c r="O408" s="1"/>
      <c r="P408" s="1"/>
    </row>
    <row r="409" ht="14.25" customHeight="1">
      <c r="A409" s="1"/>
      <c r="B409" s="1"/>
      <c r="C409" s="1"/>
      <c r="D409" s="1"/>
      <c r="E409" s="1"/>
      <c r="F409" s="1"/>
      <c r="G409" s="1"/>
      <c r="H409" s="1"/>
      <c r="I409" s="1"/>
      <c r="J409" s="1"/>
      <c r="K409" s="1"/>
      <c r="L409" s="1"/>
      <c r="M409" s="1"/>
      <c r="N409" s="1"/>
      <c r="O409" s="1"/>
      <c r="P409" s="1"/>
    </row>
    <row r="410" ht="14.25" customHeight="1">
      <c r="A410" s="1"/>
      <c r="B410" s="1"/>
      <c r="C410" s="1"/>
      <c r="D410" s="1"/>
      <c r="E410" s="1"/>
      <c r="F410" s="1"/>
      <c r="G410" s="1"/>
      <c r="H410" s="1"/>
      <c r="I410" s="1"/>
      <c r="J410" s="1"/>
      <c r="K410" s="1"/>
      <c r="L410" s="1"/>
      <c r="M410" s="1"/>
      <c r="N410" s="1"/>
      <c r="O410" s="1"/>
      <c r="P410" s="1"/>
    </row>
    <row r="411" ht="14.25" customHeight="1">
      <c r="A411" s="1"/>
      <c r="B411" s="1"/>
      <c r="C411" s="1"/>
      <c r="D411" s="1"/>
      <c r="E411" s="1"/>
      <c r="F411" s="1"/>
      <c r="G411" s="1"/>
      <c r="H411" s="1"/>
      <c r="I411" s="1"/>
      <c r="J411" s="1"/>
      <c r="K411" s="1"/>
      <c r="L411" s="1"/>
      <c r="M411" s="1"/>
      <c r="N411" s="1"/>
      <c r="O411" s="1"/>
      <c r="P411" s="1"/>
    </row>
    <row r="412" ht="14.25" customHeight="1">
      <c r="A412" s="1"/>
      <c r="B412" s="1"/>
      <c r="C412" s="1"/>
      <c r="D412" s="1"/>
      <c r="E412" s="1"/>
      <c r="F412" s="1"/>
      <c r="G412" s="1"/>
      <c r="H412" s="1"/>
      <c r="I412" s="1"/>
      <c r="J412" s="1"/>
      <c r="K412" s="1"/>
      <c r="L412" s="1"/>
      <c r="M412" s="1"/>
      <c r="N412" s="1"/>
      <c r="O412" s="1"/>
      <c r="P412" s="1"/>
    </row>
    <row r="413" ht="14.25" customHeight="1">
      <c r="A413" s="1"/>
      <c r="B413" s="1"/>
      <c r="C413" s="1"/>
      <c r="D413" s="1"/>
      <c r="E413" s="1"/>
      <c r="F413" s="1"/>
      <c r="G413" s="1"/>
      <c r="H413" s="1"/>
      <c r="I413" s="1"/>
      <c r="J413" s="1"/>
      <c r="K413" s="1"/>
      <c r="L413" s="1"/>
      <c r="M413" s="1"/>
      <c r="N413" s="1"/>
      <c r="O413" s="1"/>
      <c r="P413" s="1"/>
    </row>
    <row r="414" ht="14.25" customHeight="1">
      <c r="A414" s="1"/>
      <c r="B414" s="1"/>
      <c r="C414" s="1"/>
      <c r="D414" s="1"/>
      <c r="E414" s="1"/>
      <c r="F414" s="1"/>
      <c r="G414" s="1"/>
      <c r="H414" s="1"/>
      <c r="I414" s="1"/>
      <c r="J414" s="1"/>
      <c r="K414" s="1"/>
      <c r="L414" s="1"/>
      <c r="M414" s="1"/>
      <c r="N414" s="1"/>
      <c r="O414" s="1"/>
      <c r="P414" s="1"/>
    </row>
    <row r="415" ht="14.25" customHeight="1">
      <c r="A415" s="1"/>
      <c r="B415" s="1"/>
      <c r="C415" s="1"/>
      <c r="D415" s="1"/>
      <c r="E415" s="1"/>
      <c r="F415" s="1"/>
      <c r="G415" s="1"/>
      <c r="H415" s="1"/>
      <c r="I415" s="1"/>
      <c r="J415" s="1"/>
      <c r="K415" s="1"/>
      <c r="L415" s="1"/>
      <c r="M415" s="1"/>
      <c r="N415" s="1"/>
      <c r="O415" s="1"/>
      <c r="P415" s="1"/>
    </row>
    <row r="416" ht="15.0" customHeight="1">
      <c r="A416" s="1"/>
      <c r="B416" s="1"/>
      <c r="C416" s="1"/>
      <c r="D416" s="1"/>
      <c r="E416" s="1"/>
      <c r="F416" s="1"/>
      <c r="G416" s="1"/>
      <c r="H416" s="1"/>
      <c r="I416" s="1"/>
      <c r="J416" s="1"/>
      <c r="K416" s="1"/>
      <c r="L416" s="1"/>
      <c r="M416" s="1"/>
      <c r="N416" s="1"/>
      <c r="O416" s="1"/>
      <c r="P416" s="1"/>
    </row>
    <row r="417" ht="15.75" customHeight="1">
      <c r="A417" s="1"/>
      <c r="B417" s="1"/>
      <c r="C417" s="1"/>
      <c r="D417" s="1"/>
      <c r="E417" s="1"/>
      <c r="F417" s="1"/>
      <c r="G417" s="1"/>
      <c r="H417" s="1"/>
      <c r="I417" s="1"/>
      <c r="J417" s="1"/>
      <c r="K417" s="1"/>
      <c r="L417" s="1"/>
      <c r="M417" s="1"/>
      <c r="N417" s="1"/>
      <c r="O417" s="1"/>
      <c r="P417" s="1"/>
    </row>
    <row r="418" ht="14.25" customHeight="1">
      <c r="A418" s="1"/>
      <c r="B418" s="1"/>
      <c r="C418" s="1"/>
      <c r="D418" s="1"/>
      <c r="E418" s="1"/>
      <c r="F418" s="1"/>
      <c r="G418" s="1"/>
      <c r="H418" s="1"/>
      <c r="I418" s="1"/>
      <c r="J418" s="1"/>
      <c r="K418" s="1"/>
      <c r="L418" s="1"/>
      <c r="M418" s="1"/>
      <c r="N418" s="1"/>
      <c r="O418" s="1"/>
      <c r="P418" s="1"/>
    </row>
    <row r="419" ht="15.0" customHeight="1">
      <c r="A419" s="1"/>
      <c r="B419" s="1"/>
      <c r="C419" s="1"/>
      <c r="D419" s="1"/>
      <c r="E419" s="1"/>
      <c r="F419" s="1"/>
      <c r="G419" s="1"/>
      <c r="H419" s="1"/>
      <c r="I419" s="1"/>
      <c r="J419" s="1"/>
      <c r="K419" s="1"/>
      <c r="L419" s="1"/>
      <c r="M419" s="1"/>
      <c r="N419" s="1"/>
      <c r="O419" s="1"/>
      <c r="P419" s="1"/>
    </row>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A2:D2"/>
    <mergeCell ref="E2:E7"/>
    <mergeCell ref="A14:D14"/>
    <mergeCell ref="A33:D33"/>
    <mergeCell ref="H33:J33"/>
    <mergeCell ref="L33:O33"/>
    <mergeCell ref="P38:P39"/>
    <mergeCell ref="E33:E42"/>
    <mergeCell ref="E43:E46"/>
    <mergeCell ref="H44:K46"/>
    <mergeCell ref="A51:D51"/>
    <mergeCell ref="E53:E54"/>
    <mergeCell ref="A59:D59"/>
    <mergeCell ref="E62:E64"/>
    <mergeCell ref="E65:E66"/>
    <mergeCell ref="A68:D68"/>
    <mergeCell ref="E69:E70"/>
    <mergeCell ref="A76:D76"/>
    <mergeCell ref="E76:E85"/>
    <mergeCell ref="H76:K76"/>
    <mergeCell ref="L76:L85"/>
    <mergeCell ref="H135:K135"/>
    <mergeCell ref="L138:L139"/>
    <mergeCell ref="L140:L142"/>
    <mergeCell ref="A90:D90"/>
    <mergeCell ref="H91:K91"/>
    <mergeCell ref="E92:E98"/>
    <mergeCell ref="A104:D104"/>
    <mergeCell ref="E106:E111"/>
    <mergeCell ref="E113:E114"/>
    <mergeCell ref="E122:E126"/>
    <mergeCell ref="A180:D180"/>
    <mergeCell ref="A189:D189"/>
    <mergeCell ref="A195:D195"/>
    <mergeCell ref="A208:D208"/>
    <mergeCell ref="A220:D220"/>
    <mergeCell ref="A120:D120"/>
    <mergeCell ref="A134:D134"/>
    <mergeCell ref="E136:E139"/>
    <mergeCell ref="E140:E142"/>
    <mergeCell ref="A154:D154"/>
    <mergeCell ref="E154:E160"/>
    <mergeCell ref="A167:D167"/>
  </mergeCells>
  <hyperlinks>
    <hyperlink display="BACK" location="'Recipe Index'!AN51" ref="A10"/>
    <hyperlink display="HOME" location="'Recipe Index'!B5" ref="B10"/>
    <hyperlink display="BACK" location="'Recipe Index'!AN51" ref="A28"/>
    <hyperlink display="HOME" location="'Recipe Index'!B5" ref="B28"/>
    <hyperlink display="BACK" location="'Recipe Index'!AN51" ref="A47"/>
    <hyperlink display="HOME" location="'Recipe Index'!B5" ref="B47"/>
    <hyperlink display="BACK" location="'Recipe Index'!AN51" ref="A55"/>
    <hyperlink display="HOME" location="'Recipe Index'!B5" ref="B55"/>
    <hyperlink display="BACK" location="'Recipe Index'!AN51" ref="A72"/>
    <hyperlink display="HOME" location="'Recipe Index'!B5" ref="B72"/>
    <hyperlink display="BACK" location="'Recipe Index'!AN51" ref="A86"/>
    <hyperlink display="HOME" location="'Recipe Index'!B5" ref="B86"/>
    <hyperlink display="BACK" location="'Recipe Index'!AN51" ref="H87"/>
    <hyperlink display="HOME" location="'Recipe Index'!B5" ref="I87"/>
    <hyperlink display="Back" location="'Recipe Index'!AP45" ref="A100"/>
    <hyperlink display="HOME" location="'Recipe Index'!B5" ref="B100"/>
    <hyperlink display="Back" location="'Recipe Index'!AP45" ref="H107"/>
    <hyperlink display="HOME" location="'Recipe Index'!B5" ref="I107"/>
    <hyperlink display="BACK" location="'Recipe Index'!AN51" ref="A116"/>
    <hyperlink display="HOME" location="'Recipe Index'!B5" ref="B116"/>
    <hyperlink display="BACK" location="'Recipe Index'!AN51" ref="A128"/>
    <hyperlink display="HOME" location="'Recipe Index'!B5" ref="B128"/>
    <hyperlink display="BACK" location="'Recipe Index'!AN51" ref="A147"/>
    <hyperlink display="HOME" location="'Recipe Index'!B5" ref="B147"/>
    <hyperlink display="BACK" location="'Recipe Index'!AN51" ref="H148"/>
    <hyperlink display="HOME" location="'Recipe Index'!B5" ref="I148"/>
    <hyperlink display="BACK" location="'Recipe Index'!AN51" ref="A161"/>
    <hyperlink display="HOME" location="'Recipe Index'!B5" ref="B161"/>
    <hyperlink display="BACK" location="'Recipe Index'!AN51" ref="A175"/>
    <hyperlink display="HOME" location="'Recipe Index'!B5" ref="B175"/>
    <hyperlink display="BACK" location="'Recipe Index'!AN51" ref="A190"/>
    <hyperlink display="HOME" location="'Recipe Index'!B5" ref="B190"/>
    <hyperlink display="BACK" location="'Recipe Index'!AN51" ref="A201"/>
    <hyperlink display="HOME" location="'Recipe Index'!B5" ref="B201"/>
    <hyperlink display="BACK" location="'Recipe Index'!AN51" ref="A216"/>
    <hyperlink display="HOME" location="'Recipe Index'!B5" ref="B216"/>
  </hyperlinks>
  <printOptions/>
  <pageMargins bottom="0.0" footer="0.0" header="0.0" left="0.0" right="0.0" top="0.0"/>
  <pageSetup scale="112"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33.25"/>
    <col customWidth="1" min="2" max="2" width="10.25"/>
    <col customWidth="1" min="3" max="3" width="8.75"/>
    <col customWidth="1" min="4" max="4" width="5.75"/>
    <col customWidth="1" min="5" max="5" width="26.75"/>
    <col customWidth="1" min="6" max="6" width="16.0"/>
    <col customWidth="1" min="7" max="7" width="20.75"/>
    <col customWidth="1" min="8" max="8" width="7.75"/>
    <col customWidth="1" min="9" max="9" width="9.75"/>
    <col customWidth="1" min="10" max="10" width="14.25"/>
    <col customWidth="1" min="11" max="11" width="9.25"/>
    <col customWidth="1" min="12" max="26" width="14.38"/>
  </cols>
  <sheetData>
    <row r="1" ht="17.25" customHeight="1">
      <c r="A1" s="11"/>
      <c r="B1" s="11"/>
      <c r="C1" s="1167"/>
      <c r="D1" s="2048"/>
      <c r="E1" s="2048"/>
      <c r="F1" s="11"/>
      <c r="G1" s="11"/>
      <c r="H1" s="11"/>
      <c r="I1" s="11"/>
      <c r="J1" s="11"/>
      <c r="K1" s="11"/>
    </row>
    <row r="2" ht="17.25" customHeight="1">
      <c r="A2" s="511" t="s">
        <v>270</v>
      </c>
      <c r="B2" s="18"/>
      <c r="C2" s="18"/>
      <c r="D2" s="19"/>
      <c r="E2" s="11"/>
      <c r="F2" s="11"/>
      <c r="G2" s="11"/>
      <c r="H2" s="11"/>
      <c r="I2" s="11"/>
      <c r="J2" s="11"/>
      <c r="K2" s="11"/>
    </row>
    <row r="3" ht="17.25" customHeight="1">
      <c r="A3" s="2052" t="s">
        <v>2324</v>
      </c>
      <c r="B3" s="2054">
        <v>100.0</v>
      </c>
      <c r="C3" s="2056">
        <v>10.0</v>
      </c>
      <c r="D3" s="2057" t="s">
        <v>5</v>
      </c>
      <c r="E3" s="11"/>
      <c r="F3" s="11"/>
      <c r="G3" s="11"/>
      <c r="H3" s="11"/>
      <c r="I3" s="11"/>
      <c r="J3" s="11"/>
      <c r="K3" s="11"/>
    </row>
    <row r="4" ht="17.25" customHeight="1">
      <c r="A4" s="138" t="s">
        <v>2330</v>
      </c>
      <c r="B4" s="239">
        <v>75.0</v>
      </c>
      <c r="C4" s="279">
        <f>(C3*B4)/B3</f>
        <v>7.5</v>
      </c>
      <c r="D4" s="242" t="s">
        <v>14</v>
      </c>
      <c r="E4" s="11"/>
      <c r="F4" s="11"/>
      <c r="G4" s="11"/>
      <c r="H4" s="11"/>
      <c r="I4" s="11"/>
      <c r="J4" s="11"/>
      <c r="K4" s="11"/>
    </row>
    <row r="5" ht="17.25" customHeight="1">
      <c r="A5" s="138" t="s">
        <v>1161</v>
      </c>
      <c r="B5" s="239">
        <v>25.0</v>
      </c>
      <c r="C5" s="279">
        <f>(B5*C3)/B3</f>
        <v>2.5</v>
      </c>
      <c r="D5" s="242" t="s">
        <v>14</v>
      </c>
      <c r="E5" s="11"/>
      <c r="F5" s="11"/>
      <c r="G5" s="11"/>
      <c r="H5" s="11"/>
      <c r="I5" s="11"/>
      <c r="J5" s="11"/>
      <c r="K5" s="11"/>
    </row>
    <row r="6" ht="17.25" customHeight="1">
      <c r="A6" s="173" t="s">
        <v>2344</v>
      </c>
      <c r="B6" s="545">
        <f t="shared" ref="B6:C6" si="1">+B3+B5</f>
        <v>125</v>
      </c>
      <c r="C6" s="275">
        <f t="shared" si="1"/>
        <v>12.5</v>
      </c>
      <c r="D6" s="547" t="s">
        <v>14</v>
      </c>
      <c r="E6" s="11"/>
      <c r="F6" s="11"/>
      <c r="G6" s="11"/>
      <c r="H6" s="11"/>
      <c r="I6" s="11"/>
      <c r="J6" s="11"/>
      <c r="K6" s="11"/>
    </row>
    <row r="7" ht="17.25" customHeight="1">
      <c r="A7" s="68" t="s">
        <v>91</v>
      </c>
      <c r="B7" s="210">
        <v>5.0</v>
      </c>
      <c r="C7" s="145">
        <f>(B7*C3)/B3</f>
        <v>0.5</v>
      </c>
      <c r="D7" s="216" t="s">
        <v>5</v>
      </c>
      <c r="E7" s="194" t="s">
        <v>2347</v>
      </c>
      <c r="F7" s="11"/>
      <c r="G7" s="11"/>
      <c r="H7" s="11"/>
      <c r="I7" s="11"/>
      <c r="J7" s="11"/>
      <c r="K7" s="11"/>
    </row>
    <row r="8" ht="17.25" customHeight="1">
      <c r="A8" s="93" t="s">
        <v>98</v>
      </c>
      <c r="B8" s="247">
        <v>400.0</v>
      </c>
      <c r="C8" s="195">
        <f t="shared" ref="C8:C17" si="2">(B8*C7)/B7</f>
        <v>40</v>
      </c>
      <c r="D8" s="249" t="s">
        <v>18</v>
      </c>
      <c r="E8" s="63"/>
      <c r="F8" s="11"/>
      <c r="G8" s="11"/>
      <c r="H8" s="11"/>
      <c r="I8" s="11"/>
      <c r="J8" s="11"/>
      <c r="K8" s="11"/>
    </row>
    <row r="9" ht="17.25" customHeight="1">
      <c r="A9" s="93" t="s">
        <v>1036</v>
      </c>
      <c r="B9" s="247">
        <v>50.0</v>
      </c>
      <c r="C9" s="195">
        <f t="shared" si="2"/>
        <v>5</v>
      </c>
      <c r="D9" s="249" t="s">
        <v>18</v>
      </c>
      <c r="E9" s="63"/>
      <c r="F9" s="11"/>
      <c r="G9" s="11"/>
      <c r="H9" s="11"/>
      <c r="I9" s="11"/>
      <c r="J9" s="11"/>
      <c r="K9" s="11"/>
    </row>
    <row r="10" ht="15.0" customHeight="1">
      <c r="A10" s="105" t="s">
        <v>103</v>
      </c>
      <c r="B10" s="522">
        <v>125.0</v>
      </c>
      <c r="C10" s="200">
        <f t="shared" si="2"/>
        <v>12.5</v>
      </c>
      <c r="D10" s="518" t="s">
        <v>18</v>
      </c>
      <c r="E10" s="102"/>
      <c r="F10" s="11"/>
      <c r="G10" s="11"/>
      <c r="H10" s="11"/>
      <c r="I10" s="11"/>
      <c r="J10" s="11"/>
      <c r="K10" s="11"/>
    </row>
    <row r="11" ht="15.75" customHeight="1">
      <c r="A11" s="68" t="s">
        <v>52</v>
      </c>
      <c r="B11" s="210">
        <v>250.0</v>
      </c>
      <c r="C11" s="145">
        <f t="shared" si="2"/>
        <v>25</v>
      </c>
      <c r="D11" s="216" t="s">
        <v>18</v>
      </c>
      <c r="E11" s="11"/>
      <c r="F11" s="11"/>
      <c r="G11" s="11"/>
      <c r="H11" s="11"/>
      <c r="I11" s="11"/>
      <c r="J11" s="11"/>
      <c r="K11" s="11"/>
    </row>
    <row r="12" ht="15.0" customHeight="1">
      <c r="A12" s="105" t="s">
        <v>31</v>
      </c>
      <c r="B12" s="522">
        <v>1500.0</v>
      </c>
      <c r="C12" s="200">
        <f t="shared" si="2"/>
        <v>150</v>
      </c>
      <c r="D12" s="518" t="s">
        <v>18</v>
      </c>
      <c r="E12" s="11"/>
      <c r="F12" s="11"/>
      <c r="G12" s="11"/>
      <c r="H12" s="11"/>
      <c r="I12" s="11"/>
      <c r="J12" s="11"/>
      <c r="K12" s="11"/>
    </row>
    <row r="13" ht="15.0" customHeight="1">
      <c r="A13" s="68" t="s">
        <v>1027</v>
      </c>
      <c r="B13" s="976">
        <v>250.0</v>
      </c>
      <c r="C13" s="2075">
        <f t="shared" si="2"/>
        <v>25</v>
      </c>
      <c r="D13" s="216" t="s">
        <v>18</v>
      </c>
      <c r="E13" s="11"/>
      <c r="F13" s="11"/>
      <c r="G13" s="11"/>
      <c r="H13" s="11"/>
      <c r="I13" s="11"/>
      <c r="J13" s="11"/>
      <c r="K13" s="11"/>
    </row>
    <row r="14" ht="15.0" customHeight="1">
      <c r="A14" s="93" t="s">
        <v>105</v>
      </c>
      <c r="B14" s="992">
        <v>100.0</v>
      </c>
      <c r="C14" s="2080">
        <f t="shared" si="2"/>
        <v>10</v>
      </c>
      <c r="D14" s="249" t="s">
        <v>18</v>
      </c>
      <c r="E14" s="11"/>
      <c r="F14" s="11"/>
      <c r="G14" s="11"/>
      <c r="H14" s="11"/>
      <c r="I14" s="11"/>
      <c r="J14" s="11"/>
      <c r="K14" s="11"/>
    </row>
    <row r="15" ht="15.0" customHeight="1">
      <c r="A15" s="93" t="s">
        <v>288</v>
      </c>
      <c r="B15" s="992">
        <v>200.0</v>
      </c>
      <c r="C15" s="2080">
        <f t="shared" si="2"/>
        <v>20</v>
      </c>
      <c r="D15" s="249" t="s">
        <v>18</v>
      </c>
      <c r="E15" s="11"/>
      <c r="F15" s="11"/>
      <c r="G15" s="11"/>
      <c r="H15" s="11"/>
      <c r="I15" s="11"/>
      <c r="J15" s="11"/>
      <c r="K15" s="11"/>
    </row>
    <row r="16" ht="15.75" customHeight="1">
      <c r="A16" s="138" t="s">
        <v>1570</v>
      </c>
      <c r="B16" s="1777">
        <v>100.0</v>
      </c>
      <c r="C16" s="2080">
        <f t="shared" si="2"/>
        <v>10</v>
      </c>
      <c r="D16" s="242" t="s">
        <v>18</v>
      </c>
      <c r="E16" s="11"/>
      <c r="F16" s="11"/>
      <c r="G16" s="11"/>
      <c r="H16" s="11"/>
      <c r="I16" s="11"/>
      <c r="J16" s="11"/>
      <c r="K16" s="11"/>
    </row>
    <row r="17" ht="15.75" customHeight="1">
      <c r="A17" s="105" t="s">
        <v>112</v>
      </c>
      <c r="B17" s="981">
        <v>300.0</v>
      </c>
      <c r="C17" s="2083">
        <f t="shared" si="2"/>
        <v>30</v>
      </c>
      <c r="D17" s="518" t="s">
        <v>18</v>
      </c>
      <c r="E17" s="11"/>
      <c r="F17" s="11"/>
      <c r="G17" s="11"/>
      <c r="H17" s="11"/>
      <c r="I17" s="11"/>
      <c r="J17" s="11"/>
      <c r="K17" s="11"/>
    </row>
    <row r="18" ht="15.0" customHeight="1">
      <c r="A18" s="1640" t="s">
        <v>119</v>
      </c>
      <c r="B18" s="183" t="s">
        <v>47</v>
      </c>
      <c r="C18" s="107"/>
      <c r="D18" s="11"/>
      <c r="E18" s="11"/>
      <c r="F18" s="11"/>
      <c r="G18" s="11"/>
      <c r="H18" s="11"/>
      <c r="I18" s="11"/>
      <c r="J18" s="11"/>
      <c r="K18" s="11"/>
    </row>
    <row r="19" ht="15.0" customHeight="1">
      <c r="A19" s="90" t="s">
        <v>120</v>
      </c>
      <c r="B19" s="308">
        <v>41042.0</v>
      </c>
      <c r="C19" s="107"/>
      <c r="D19" s="11"/>
      <c r="E19" s="11"/>
      <c r="F19" s="11"/>
      <c r="G19" s="11"/>
      <c r="H19" s="11"/>
      <c r="I19" s="11"/>
      <c r="J19" s="11"/>
      <c r="K19" s="11"/>
    </row>
    <row r="20" ht="15.0" customHeight="1">
      <c r="A20" s="305" t="s">
        <v>50</v>
      </c>
      <c r="B20" s="1115">
        <v>41808.0</v>
      </c>
      <c r="C20" s="107"/>
      <c r="D20" s="11"/>
      <c r="E20" s="11"/>
      <c r="F20" s="11"/>
      <c r="G20" s="11"/>
      <c r="H20" s="11"/>
      <c r="I20" s="11"/>
      <c r="J20" s="11"/>
      <c r="K20" s="11"/>
    </row>
    <row r="21" ht="15.0" customHeight="1">
      <c r="A21" s="11"/>
      <c r="B21" s="11"/>
      <c r="C21" s="1167"/>
      <c r="D21" s="11"/>
      <c r="E21" s="11"/>
      <c r="F21" s="11"/>
      <c r="G21" s="11"/>
      <c r="H21" s="11"/>
      <c r="I21" s="11"/>
      <c r="J21" s="11"/>
      <c r="K21" s="11"/>
    </row>
    <row r="22" ht="13.5" customHeight="1">
      <c r="A22" s="511" t="s">
        <v>293</v>
      </c>
      <c r="B22" s="18"/>
      <c r="C22" s="18"/>
      <c r="D22" s="19"/>
      <c r="E22" s="921"/>
      <c r="F22" s="11"/>
      <c r="G22" s="11"/>
      <c r="H22" s="11"/>
      <c r="I22" s="11"/>
      <c r="J22" s="11"/>
      <c r="K22" s="11"/>
    </row>
    <row r="23" ht="13.5" customHeight="1">
      <c r="A23" s="512" t="s">
        <v>1</v>
      </c>
      <c r="B23" s="1093">
        <v>100.0</v>
      </c>
      <c r="C23" s="190">
        <v>10.0</v>
      </c>
      <c r="D23" s="514" t="s">
        <v>190</v>
      </c>
      <c r="E23" s="921"/>
      <c r="F23" s="11"/>
      <c r="G23" s="11"/>
      <c r="H23" s="11"/>
      <c r="I23" s="11"/>
      <c r="J23" s="11"/>
      <c r="K23" s="11"/>
    </row>
    <row r="24" ht="13.5" customHeight="1">
      <c r="A24" s="1779" t="s">
        <v>153</v>
      </c>
      <c r="B24" s="976">
        <v>50.0</v>
      </c>
      <c r="C24" s="2075">
        <f t="shared" ref="C24:C36" si="3">(B24*C23)/B23</f>
        <v>5</v>
      </c>
      <c r="D24" s="1579" t="s">
        <v>14</v>
      </c>
      <c r="E24" s="269" t="s">
        <v>2376</v>
      </c>
      <c r="F24" s="11"/>
      <c r="G24" s="11"/>
      <c r="H24" s="11"/>
      <c r="I24" s="11"/>
      <c r="J24" s="11"/>
      <c r="K24" s="11"/>
    </row>
    <row r="25" ht="13.5" customHeight="1">
      <c r="A25" s="1786" t="s">
        <v>91</v>
      </c>
      <c r="B25" s="981">
        <v>1.5</v>
      </c>
      <c r="C25" s="2083">
        <f t="shared" si="3"/>
        <v>0.15</v>
      </c>
      <c r="D25" s="1605" t="s">
        <v>190</v>
      </c>
      <c r="E25" s="76"/>
      <c r="F25" s="11"/>
      <c r="G25" s="11"/>
      <c r="H25" s="11"/>
      <c r="I25" s="11"/>
      <c r="J25" s="11"/>
      <c r="K25" s="11"/>
    </row>
    <row r="26" ht="13.5" customHeight="1">
      <c r="A26" s="68" t="s">
        <v>91</v>
      </c>
      <c r="B26" s="976">
        <v>4.0</v>
      </c>
      <c r="C26" s="2075">
        <f t="shared" si="3"/>
        <v>0.4</v>
      </c>
      <c r="D26" s="216" t="s">
        <v>190</v>
      </c>
      <c r="E26" s="44" t="s">
        <v>2381</v>
      </c>
      <c r="F26" s="11"/>
      <c r="G26" s="11">
        <v>6.0</v>
      </c>
      <c r="H26" s="11"/>
      <c r="I26" s="11"/>
      <c r="J26" s="11"/>
      <c r="K26" s="11"/>
    </row>
    <row r="27" ht="13.5" customHeight="1">
      <c r="A27" s="93" t="s">
        <v>97</v>
      </c>
      <c r="B27" s="992">
        <v>200.0</v>
      </c>
      <c r="C27" s="2080">
        <f t="shared" si="3"/>
        <v>20</v>
      </c>
      <c r="D27" s="249" t="s">
        <v>18</v>
      </c>
      <c r="E27" s="47"/>
      <c r="F27" s="11"/>
      <c r="G27" s="11">
        <v>0.3</v>
      </c>
      <c r="H27" s="11"/>
      <c r="I27" s="11"/>
      <c r="J27" s="11"/>
      <c r="K27" s="11"/>
    </row>
    <row r="28" ht="13.5" customHeight="1">
      <c r="A28" s="93" t="s">
        <v>103</v>
      </c>
      <c r="B28" s="992">
        <v>125.0</v>
      </c>
      <c r="C28" s="2080">
        <f t="shared" si="3"/>
        <v>12.5</v>
      </c>
      <c r="D28" s="249" t="s">
        <v>18</v>
      </c>
      <c r="E28" s="47"/>
      <c r="F28" s="11"/>
      <c r="G28" s="11"/>
      <c r="H28" s="11"/>
      <c r="I28" s="11"/>
      <c r="J28" s="11"/>
      <c r="K28" s="11"/>
    </row>
    <row r="29" ht="13.5" customHeight="1">
      <c r="A29" s="93" t="s">
        <v>2384</v>
      </c>
      <c r="B29" s="992">
        <v>80.0</v>
      </c>
      <c r="C29" s="2080">
        <f t="shared" si="3"/>
        <v>8</v>
      </c>
      <c r="D29" s="249" t="s">
        <v>14</v>
      </c>
      <c r="E29" s="47"/>
      <c r="F29" s="11"/>
      <c r="G29" s="11"/>
      <c r="H29" s="11"/>
      <c r="I29" s="11"/>
      <c r="J29" s="11"/>
      <c r="K29" s="11"/>
    </row>
    <row r="30" ht="13.5" customHeight="1">
      <c r="A30" s="93" t="s">
        <v>2386</v>
      </c>
      <c r="B30" s="992">
        <v>200.0</v>
      </c>
      <c r="C30" s="2080">
        <f t="shared" si="3"/>
        <v>20</v>
      </c>
      <c r="D30" s="249" t="s">
        <v>18</v>
      </c>
      <c r="E30" s="47"/>
      <c r="F30" s="11"/>
      <c r="G30" s="11"/>
      <c r="H30" s="11"/>
      <c r="I30" s="11"/>
      <c r="J30" s="11"/>
      <c r="K30" s="11"/>
    </row>
    <row r="31" ht="13.5" customHeight="1">
      <c r="A31" s="138" t="s">
        <v>31</v>
      </c>
      <c r="B31" s="1777">
        <v>1500.0</v>
      </c>
      <c r="C31" s="2097">
        <f t="shared" si="3"/>
        <v>150</v>
      </c>
      <c r="D31" s="242" t="s">
        <v>18</v>
      </c>
      <c r="E31" s="76"/>
      <c r="F31" s="11"/>
      <c r="G31" s="11"/>
      <c r="H31" s="11"/>
      <c r="I31" s="11"/>
      <c r="J31" s="11"/>
      <c r="K31" s="11"/>
    </row>
    <row r="32" ht="13.5" customHeight="1">
      <c r="A32" s="68" t="s">
        <v>1027</v>
      </c>
      <c r="B32" s="976">
        <v>250.0</v>
      </c>
      <c r="C32" s="2075">
        <f t="shared" si="3"/>
        <v>25</v>
      </c>
      <c r="D32" s="216" t="s">
        <v>18</v>
      </c>
      <c r="E32" s="921"/>
      <c r="F32" s="11"/>
      <c r="G32" s="11"/>
      <c r="H32" s="11"/>
      <c r="I32" s="11"/>
      <c r="J32" s="11"/>
      <c r="K32" s="11"/>
    </row>
    <row r="33" ht="13.5" customHeight="1">
      <c r="A33" s="93" t="s">
        <v>105</v>
      </c>
      <c r="B33" s="992">
        <v>100.0</v>
      </c>
      <c r="C33" s="2080">
        <f t="shared" si="3"/>
        <v>10</v>
      </c>
      <c r="D33" s="249" t="s">
        <v>18</v>
      </c>
      <c r="E33" s="921"/>
      <c r="F33" s="11"/>
      <c r="G33" s="11"/>
      <c r="H33" s="11"/>
      <c r="I33" s="11"/>
      <c r="J33" s="11"/>
      <c r="K33" s="11"/>
    </row>
    <row r="34" ht="13.5" customHeight="1">
      <c r="A34" s="93" t="s">
        <v>288</v>
      </c>
      <c r="B34" s="992">
        <v>200.0</v>
      </c>
      <c r="C34" s="2080">
        <f t="shared" si="3"/>
        <v>20</v>
      </c>
      <c r="D34" s="249" t="s">
        <v>18</v>
      </c>
      <c r="E34" s="921"/>
      <c r="F34" s="11"/>
      <c r="G34" s="11"/>
      <c r="H34" s="11"/>
      <c r="I34" s="11"/>
      <c r="J34" s="11"/>
      <c r="K34" s="11"/>
    </row>
    <row r="35" ht="13.5" customHeight="1">
      <c r="A35" s="138" t="s">
        <v>1570</v>
      </c>
      <c r="B35" s="1777">
        <v>100.0</v>
      </c>
      <c r="C35" s="2080">
        <f t="shared" si="3"/>
        <v>10</v>
      </c>
      <c r="D35" s="242" t="s">
        <v>18</v>
      </c>
      <c r="E35" s="921"/>
      <c r="F35" s="11"/>
      <c r="G35" s="11"/>
      <c r="H35" s="11"/>
      <c r="I35" s="11"/>
      <c r="J35" s="11"/>
      <c r="K35" s="11"/>
    </row>
    <row r="36" ht="13.5" customHeight="1">
      <c r="A36" s="105" t="s">
        <v>112</v>
      </c>
      <c r="B36" s="981">
        <v>250.0</v>
      </c>
      <c r="C36" s="2083">
        <f t="shared" si="3"/>
        <v>25</v>
      </c>
      <c r="D36" s="518" t="s">
        <v>18</v>
      </c>
      <c r="E36" s="921"/>
      <c r="F36" s="11"/>
      <c r="G36" s="11"/>
      <c r="H36" s="11"/>
      <c r="I36" s="11"/>
      <c r="J36" s="11"/>
      <c r="K36" s="11"/>
    </row>
    <row r="37" ht="13.5" customHeight="1">
      <c r="A37" s="1640" t="s">
        <v>119</v>
      </c>
      <c r="B37" s="183" t="s">
        <v>47</v>
      </c>
      <c r="C37" s="107"/>
      <c r="D37" s="1"/>
      <c r="E37" s="11"/>
      <c r="F37" s="11"/>
      <c r="G37" s="11"/>
      <c r="H37" s="11"/>
      <c r="I37" s="11"/>
      <c r="J37" s="11"/>
      <c r="K37" s="11"/>
    </row>
    <row r="38" ht="13.5" customHeight="1">
      <c r="A38" s="90" t="s">
        <v>120</v>
      </c>
      <c r="B38" s="308">
        <v>40987.0</v>
      </c>
      <c r="C38" s="107"/>
      <c r="D38" s="1"/>
      <c r="E38" s="11"/>
      <c r="F38" s="11"/>
      <c r="G38" s="11"/>
      <c r="H38" s="11"/>
      <c r="I38" s="11"/>
      <c r="J38" s="11"/>
      <c r="K38" s="11"/>
    </row>
    <row r="39" ht="13.5" customHeight="1">
      <c r="A39" s="90" t="s">
        <v>50</v>
      </c>
      <c r="B39" s="308">
        <v>41808.0</v>
      </c>
      <c r="C39" s="107"/>
      <c r="D39" s="1"/>
      <c r="E39" s="11"/>
      <c r="F39" s="11"/>
      <c r="G39" s="11"/>
      <c r="H39" s="11"/>
      <c r="I39" s="11"/>
      <c r="J39" s="11"/>
      <c r="K39" s="11"/>
    </row>
    <row r="40" ht="15.75" customHeight="1">
      <c r="A40" s="11"/>
      <c r="B40" s="11"/>
      <c r="C40" s="1167"/>
      <c r="D40" s="11"/>
      <c r="E40" s="11"/>
      <c r="F40" s="11"/>
      <c r="G40" s="11"/>
      <c r="H40" s="11"/>
      <c r="I40" s="11"/>
      <c r="J40" s="11"/>
      <c r="K40" s="11"/>
    </row>
    <row r="41" ht="15.0" customHeight="1">
      <c r="A41" s="511" t="s">
        <v>407</v>
      </c>
      <c r="B41" s="18"/>
      <c r="C41" s="18"/>
      <c r="D41" s="19"/>
      <c r="E41" s="2108" t="s">
        <v>2391</v>
      </c>
      <c r="F41" s="11"/>
      <c r="G41" s="11"/>
      <c r="H41" s="11"/>
      <c r="I41" s="11"/>
      <c r="J41" s="11"/>
      <c r="K41" s="11"/>
    </row>
    <row r="42" ht="13.5" customHeight="1">
      <c r="A42" s="512" t="s">
        <v>1</v>
      </c>
      <c r="B42" s="53">
        <v>100.0</v>
      </c>
      <c r="C42" s="190">
        <v>18.0</v>
      </c>
      <c r="D42" s="53" t="s">
        <v>190</v>
      </c>
      <c r="E42" s="207"/>
      <c r="F42" s="11"/>
      <c r="G42" s="11"/>
      <c r="H42" s="11"/>
      <c r="I42" s="11"/>
      <c r="J42" s="11"/>
      <c r="K42" s="11"/>
    </row>
    <row r="43" ht="13.5" customHeight="1">
      <c r="A43" s="68" t="s">
        <v>2394</v>
      </c>
      <c r="B43" s="210">
        <v>2.0</v>
      </c>
      <c r="C43" s="145">
        <f t="shared" ref="C43:C53" si="4">(B43*C42)/B42</f>
        <v>0.36</v>
      </c>
      <c r="D43" s="210" t="s">
        <v>190</v>
      </c>
      <c r="E43" s="44" t="s">
        <v>2397</v>
      </c>
      <c r="F43" s="11"/>
      <c r="G43" s="11"/>
      <c r="H43" s="11"/>
      <c r="I43" s="11"/>
      <c r="J43" s="11"/>
      <c r="K43" s="11"/>
    </row>
    <row r="44" ht="13.5" customHeight="1">
      <c r="A44" s="138" t="s">
        <v>97</v>
      </c>
      <c r="B44" s="239">
        <v>100.0</v>
      </c>
      <c r="C44" s="279">
        <f t="shared" si="4"/>
        <v>18</v>
      </c>
      <c r="D44" s="239" t="s">
        <v>18</v>
      </c>
      <c r="E44" s="47"/>
      <c r="F44" s="11"/>
      <c r="G44" s="11"/>
      <c r="H44" s="11"/>
      <c r="I44" s="11"/>
      <c r="J44" s="11"/>
      <c r="K44" s="11"/>
    </row>
    <row r="45" ht="13.5" customHeight="1">
      <c r="A45" s="173" t="s">
        <v>2401</v>
      </c>
      <c r="B45" s="545">
        <v>10.0</v>
      </c>
      <c r="C45" s="275">
        <f t="shared" si="4"/>
        <v>1.8</v>
      </c>
      <c r="D45" s="547" t="s">
        <v>14</v>
      </c>
      <c r="E45" s="47"/>
      <c r="F45" s="11"/>
      <c r="G45" s="11"/>
      <c r="H45" s="11"/>
      <c r="I45" s="11"/>
      <c r="J45" s="11"/>
      <c r="K45" s="11"/>
    </row>
    <row r="46" ht="15.0" customHeight="1">
      <c r="A46" s="68" t="s">
        <v>2405</v>
      </c>
      <c r="B46" s="210">
        <v>10.0</v>
      </c>
      <c r="C46" s="145">
        <f t="shared" si="4"/>
        <v>1.8</v>
      </c>
      <c r="D46" s="216" t="s">
        <v>14</v>
      </c>
      <c r="E46" s="47"/>
      <c r="F46" s="11"/>
      <c r="G46" s="11"/>
      <c r="H46" s="11"/>
      <c r="I46" s="11"/>
      <c r="J46" s="11"/>
      <c r="K46" s="11"/>
    </row>
    <row r="47" ht="13.5" customHeight="1">
      <c r="A47" s="1786" t="s">
        <v>2406</v>
      </c>
      <c r="B47" s="522">
        <v>85.0</v>
      </c>
      <c r="C47" s="152">
        <f t="shared" si="4"/>
        <v>15.3</v>
      </c>
      <c r="D47" s="518" t="s">
        <v>14</v>
      </c>
      <c r="E47" s="76"/>
      <c r="F47" s="11"/>
      <c r="G47" s="11"/>
      <c r="H47" s="11"/>
      <c r="I47" s="11"/>
      <c r="J47" s="11"/>
      <c r="K47" s="11"/>
    </row>
    <row r="48" ht="13.5" customHeight="1">
      <c r="A48" s="417" t="s">
        <v>39</v>
      </c>
      <c r="B48" s="541">
        <v>1000.0</v>
      </c>
      <c r="C48" s="238">
        <f t="shared" si="4"/>
        <v>180</v>
      </c>
      <c r="D48" s="543" t="s">
        <v>18</v>
      </c>
      <c r="E48" s="44" t="s">
        <v>2409</v>
      </c>
      <c r="F48" s="11"/>
      <c r="G48" s="11"/>
      <c r="H48" s="11"/>
      <c r="I48" s="11"/>
      <c r="J48" s="11"/>
      <c r="K48" s="11"/>
    </row>
    <row r="49" ht="13.5" customHeight="1">
      <c r="A49" s="138" t="s">
        <v>63</v>
      </c>
      <c r="B49" s="239">
        <v>100.0</v>
      </c>
      <c r="C49" s="238">
        <f t="shared" si="4"/>
        <v>18</v>
      </c>
      <c r="D49" s="242" t="s">
        <v>18</v>
      </c>
      <c r="E49" s="47"/>
      <c r="F49" s="11"/>
      <c r="G49" s="11"/>
      <c r="H49" s="11"/>
      <c r="I49" s="11"/>
      <c r="J49" s="11"/>
      <c r="K49" s="11"/>
    </row>
    <row r="50" ht="13.5" customHeight="1">
      <c r="A50" s="138" t="s">
        <v>2414</v>
      </c>
      <c r="B50" s="239">
        <v>200.0</v>
      </c>
      <c r="C50" s="238">
        <f t="shared" si="4"/>
        <v>36</v>
      </c>
      <c r="D50" s="242" t="s">
        <v>18</v>
      </c>
      <c r="E50" s="76"/>
      <c r="F50" s="11"/>
      <c r="G50" s="11"/>
      <c r="H50" s="11"/>
      <c r="I50" s="11"/>
      <c r="J50" s="11"/>
      <c r="K50" s="11"/>
    </row>
    <row r="51" ht="13.5" customHeight="1">
      <c r="A51" s="68" t="s">
        <v>2416</v>
      </c>
      <c r="B51" s="210">
        <v>2.0</v>
      </c>
      <c r="C51" s="145">
        <f t="shared" si="4"/>
        <v>0.36</v>
      </c>
      <c r="D51" s="216" t="s">
        <v>190</v>
      </c>
      <c r="E51" s="44" t="s">
        <v>2417</v>
      </c>
      <c r="F51" s="11"/>
      <c r="G51" s="11"/>
      <c r="H51" s="11"/>
      <c r="I51" s="11"/>
      <c r="J51" s="11"/>
      <c r="K51" s="11"/>
    </row>
    <row r="52" ht="13.5" customHeight="1">
      <c r="A52" s="105" t="s">
        <v>31</v>
      </c>
      <c r="B52" s="522">
        <v>1400.0</v>
      </c>
      <c r="C52" s="200">
        <f t="shared" si="4"/>
        <v>252</v>
      </c>
      <c r="D52" s="518" t="s">
        <v>18</v>
      </c>
      <c r="E52" s="76"/>
      <c r="F52" s="11"/>
      <c r="G52" s="11"/>
      <c r="H52" s="11"/>
      <c r="I52" s="11"/>
      <c r="J52" s="11"/>
      <c r="K52" s="11"/>
    </row>
    <row r="53" ht="13.5" customHeight="1">
      <c r="A53" s="173" t="s">
        <v>335</v>
      </c>
      <c r="B53" s="545">
        <v>2.5</v>
      </c>
      <c r="C53" s="275">
        <f t="shared" si="4"/>
        <v>0.45</v>
      </c>
      <c r="D53" s="547" t="s">
        <v>190</v>
      </c>
      <c r="E53" s="784" t="s">
        <v>1501</v>
      </c>
      <c r="F53" s="11"/>
      <c r="G53" s="11"/>
      <c r="H53" s="11"/>
      <c r="I53" s="11"/>
      <c r="J53" s="11"/>
      <c r="K53" s="11"/>
    </row>
    <row r="54" ht="13.5" customHeight="1">
      <c r="A54" s="1640" t="s">
        <v>119</v>
      </c>
      <c r="B54" s="183" t="s">
        <v>47</v>
      </c>
      <c r="C54" s="107"/>
      <c r="D54" s="1"/>
      <c r="E54" s="11"/>
      <c r="F54" s="11"/>
      <c r="G54" s="11"/>
      <c r="H54" s="11"/>
      <c r="I54" s="11"/>
      <c r="J54" s="11"/>
      <c r="K54" s="11"/>
    </row>
    <row r="55" ht="13.5" customHeight="1">
      <c r="A55" s="90" t="s">
        <v>120</v>
      </c>
      <c r="B55" s="308">
        <v>41262.0</v>
      </c>
      <c r="C55" s="107"/>
      <c r="D55" s="1"/>
      <c r="E55" s="11"/>
      <c r="F55" s="11"/>
      <c r="G55" s="11"/>
      <c r="H55" s="11"/>
      <c r="I55" s="11"/>
      <c r="J55" s="11"/>
      <c r="K55" s="11"/>
    </row>
    <row r="56" ht="13.5" customHeight="1">
      <c r="A56" s="90" t="s">
        <v>50</v>
      </c>
      <c r="B56" s="308">
        <v>41364.0</v>
      </c>
      <c r="C56" s="107"/>
      <c r="D56" s="1"/>
      <c r="E56" s="11"/>
      <c r="F56" s="11"/>
      <c r="G56" s="11"/>
      <c r="H56" s="11"/>
      <c r="I56" s="11"/>
      <c r="J56" s="11"/>
      <c r="K56" s="11"/>
    </row>
    <row r="57" ht="13.5" customHeight="1">
      <c r="A57" s="11"/>
      <c r="B57" s="11"/>
      <c r="C57" s="1167"/>
      <c r="D57" s="11"/>
      <c r="E57" s="11"/>
      <c r="F57" s="11"/>
      <c r="G57" s="11"/>
      <c r="H57" s="11"/>
      <c r="I57" s="11"/>
      <c r="J57" s="11"/>
      <c r="K57" s="11"/>
    </row>
    <row r="58" ht="13.5" customHeight="1">
      <c r="A58" s="511" t="s">
        <v>443</v>
      </c>
      <c r="B58" s="18"/>
      <c r="C58" s="18"/>
      <c r="D58" s="19"/>
      <c r="E58" s="2112"/>
      <c r="F58" s="11"/>
      <c r="G58" s="11"/>
      <c r="H58" s="11"/>
      <c r="I58" s="11"/>
      <c r="J58" s="11"/>
      <c r="K58" s="11"/>
    </row>
    <row r="59" ht="13.5" customHeight="1">
      <c r="A59" s="68" t="s">
        <v>1</v>
      </c>
      <c r="B59" s="210">
        <v>100.0</v>
      </c>
      <c r="C59" s="145">
        <v>2.0</v>
      </c>
      <c r="D59" s="216" t="s">
        <v>5</v>
      </c>
      <c r="E59" s="921"/>
      <c r="F59" s="11"/>
      <c r="G59" s="11"/>
      <c r="H59" s="11"/>
      <c r="I59" s="11"/>
      <c r="J59" s="11"/>
      <c r="K59" s="11"/>
    </row>
    <row r="60" ht="13.5" customHeight="1">
      <c r="A60" s="138" t="s">
        <v>1882</v>
      </c>
      <c r="B60" s="522">
        <v>120.0</v>
      </c>
      <c r="C60" s="200">
        <f t="shared" ref="C60:C66" si="5">(B60*C59)/B59</f>
        <v>2.4</v>
      </c>
      <c r="D60" s="242" t="s">
        <v>14</v>
      </c>
      <c r="E60" s="921"/>
      <c r="F60" s="11"/>
      <c r="G60" s="11"/>
      <c r="H60" s="11"/>
      <c r="I60" s="11"/>
      <c r="J60" s="11"/>
      <c r="K60" s="11"/>
    </row>
    <row r="61" ht="13.5" customHeight="1">
      <c r="A61" s="68" t="s">
        <v>91</v>
      </c>
      <c r="B61" s="210">
        <v>5.0</v>
      </c>
      <c r="C61" s="145">
        <f t="shared" si="5"/>
        <v>0.1</v>
      </c>
      <c r="D61" s="216" t="s">
        <v>5</v>
      </c>
      <c r="E61" s="194" t="s">
        <v>2422</v>
      </c>
      <c r="F61" s="11"/>
      <c r="G61" s="11"/>
      <c r="H61" s="11"/>
      <c r="I61" s="11"/>
      <c r="J61" s="11"/>
      <c r="K61" s="11"/>
    </row>
    <row r="62" ht="13.5" customHeight="1">
      <c r="A62" s="93" t="s">
        <v>97</v>
      </c>
      <c r="B62" s="247">
        <v>250.0</v>
      </c>
      <c r="C62" s="195">
        <f t="shared" si="5"/>
        <v>5</v>
      </c>
      <c r="D62" s="249" t="s">
        <v>18</v>
      </c>
      <c r="E62" s="63"/>
      <c r="F62" s="11"/>
      <c r="G62" s="11"/>
      <c r="H62" s="11"/>
      <c r="I62" s="11"/>
      <c r="J62" s="11"/>
      <c r="K62" s="11"/>
    </row>
    <row r="63" ht="18.0" customHeight="1">
      <c r="A63" s="93" t="s">
        <v>1036</v>
      </c>
      <c r="B63" s="247">
        <v>50.0</v>
      </c>
      <c r="C63" s="195">
        <f t="shared" si="5"/>
        <v>1</v>
      </c>
      <c r="D63" s="249" t="s">
        <v>18</v>
      </c>
      <c r="E63" s="63"/>
      <c r="F63" s="11"/>
      <c r="G63" s="11"/>
      <c r="H63" s="11"/>
      <c r="I63" s="11"/>
      <c r="J63" s="11"/>
      <c r="K63" s="11"/>
    </row>
    <row r="64" ht="15.75" customHeight="1">
      <c r="A64" s="105" t="s">
        <v>103</v>
      </c>
      <c r="B64" s="522">
        <v>150.0</v>
      </c>
      <c r="C64" s="200">
        <f t="shared" si="5"/>
        <v>3</v>
      </c>
      <c r="D64" s="518" t="s">
        <v>18</v>
      </c>
      <c r="E64" s="102"/>
      <c r="F64" s="11"/>
      <c r="G64" s="11"/>
      <c r="H64" s="11"/>
      <c r="I64" s="11"/>
      <c r="J64" s="11"/>
      <c r="K64" s="11"/>
    </row>
    <row r="65" ht="13.5" customHeight="1">
      <c r="A65" s="68" t="s">
        <v>52</v>
      </c>
      <c r="B65" s="210">
        <v>250.0</v>
      </c>
      <c r="C65" s="145">
        <f t="shared" si="5"/>
        <v>5</v>
      </c>
      <c r="D65" s="216" t="s">
        <v>18</v>
      </c>
      <c r="E65" s="2114"/>
      <c r="F65" s="11"/>
      <c r="G65" s="11"/>
      <c r="H65" s="11"/>
      <c r="I65" s="11"/>
      <c r="J65" s="11"/>
      <c r="K65" s="11"/>
    </row>
    <row r="66" ht="13.5" customHeight="1">
      <c r="A66" s="138" t="s">
        <v>31</v>
      </c>
      <c r="B66" s="239">
        <v>1600.0</v>
      </c>
      <c r="C66" s="279">
        <f t="shared" si="5"/>
        <v>32</v>
      </c>
      <c r="D66" s="242" t="s">
        <v>18</v>
      </c>
      <c r="E66" s="1729"/>
      <c r="F66" s="11"/>
      <c r="G66" s="11"/>
      <c r="H66" s="11"/>
      <c r="I66" s="11"/>
      <c r="J66" s="11"/>
      <c r="K66" s="11"/>
    </row>
    <row r="67" ht="13.5" customHeight="1">
      <c r="A67" s="105" t="s">
        <v>112</v>
      </c>
      <c r="B67" s="981">
        <v>300.0</v>
      </c>
      <c r="C67" s="2083">
        <f>(B67*C61)/B61</f>
        <v>6</v>
      </c>
      <c r="D67" s="518" t="s">
        <v>18</v>
      </c>
      <c r="E67" s="141"/>
      <c r="F67" s="11"/>
      <c r="G67" s="11"/>
      <c r="H67" s="11"/>
      <c r="I67" s="11"/>
      <c r="J67" s="11"/>
      <c r="K67" s="11"/>
    </row>
    <row r="68" ht="13.5" customHeight="1">
      <c r="A68" s="1640" t="s">
        <v>119</v>
      </c>
      <c r="B68" s="183" t="s">
        <v>47</v>
      </c>
      <c r="C68" s="107"/>
      <c r="D68" s="11"/>
      <c r="E68" s="11"/>
      <c r="F68" s="11"/>
      <c r="G68" s="11"/>
      <c r="H68" s="11"/>
      <c r="I68" s="11"/>
      <c r="J68" s="11"/>
      <c r="K68" s="11"/>
    </row>
    <row r="69" ht="13.5" customHeight="1">
      <c r="A69" s="90" t="s">
        <v>120</v>
      </c>
      <c r="B69" s="308">
        <v>41806.0</v>
      </c>
      <c r="C69" s="107"/>
      <c r="D69" s="11"/>
      <c r="E69" s="11"/>
      <c r="F69" s="11"/>
      <c r="G69" s="11"/>
      <c r="H69" s="11"/>
      <c r="I69" s="11"/>
      <c r="J69" s="11"/>
      <c r="K69" s="11"/>
    </row>
    <row r="70" ht="15.0" customHeight="1">
      <c r="A70" s="305" t="s">
        <v>50</v>
      </c>
      <c r="B70" s="308">
        <v>41806.0</v>
      </c>
      <c r="C70" s="107"/>
      <c r="D70" s="11"/>
      <c r="E70" s="11"/>
      <c r="F70" s="11"/>
      <c r="G70" s="11"/>
      <c r="H70" s="11"/>
      <c r="I70" s="11"/>
      <c r="J70" s="11"/>
      <c r="K70" s="11"/>
    </row>
    <row r="71" ht="13.5" customHeight="1">
      <c r="A71" s="11"/>
      <c r="B71" s="11"/>
      <c r="C71" s="1167"/>
      <c r="D71" s="11"/>
      <c r="E71" s="11"/>
      <c r="F71" s="11"/>
      <c r="G71" s="11"/>
      <c r="H71" s="11"/>
      <c r="I71" s="11"/>
      <c r="J71" s="11"/>
      <c r="K71" s="11"/>
    </row>
    <row r="72" ht="13.5" customHeight="1">
      <c r="A72" s="511" t="s">
        <v>470</v>
      </c>
      <c r="B72" s="18"/>
      <c r="C72" s="18"/>
      <c r="D72" s="19"/>
      <c r="E72" s="312"/>
      <c r="F72" s="11"/>
      <c r="G72" s="11"/>
      <c r="H72" s="11"/>
      <c r="I72" s="11"/>
      <c r="J72" s="11"/>
      <c r="K72" s="11"/>
    </row>
    <row r="73" ht="13.5" customHeight="1">
      <c r="A73" s="51" t="s">
        <v>1</v>
      </c>
      <c r="B73" s="53">
        <v>100.0</v>
      </c>
      <c r="C73" s="190">
        <v>5.0</v>
      </c>
      <c r="D73" s="514" t="s">
        <v>5</v>
      </c>
      <c r="E73" s="312"/>
      <c r="F73" s="11"/>
      <c r="G73" s="11"/>
      <c r="H73" s="11"/>
      <c r="I73" s="11"/>
      <c r="J73" s="11"/>
      <c r="K73" s="11"/>
    </row>
    <row r="74" ht="13.5" customHeight="1">
      <c r="A74" s="51" t="s">
        <v>1231</v>
      </c>
      <c r="B74" s="53">
        <v>90.0</v>
      </c>
      <c r="C74" s="190">
        <f t="shared" ref="C74:C88" si="6">(B74*C73)/B73</f>
        <v>4.5</v>
      </c>
      <c r="D74" s="514" t="s">
        <v>14</v>
      </c>
      <c r="E74" s="578"/>
      <c r="F74" s="11"/>
      <c r="G74" s="11"/>
      <c r="H74" s="11"/>
      <c r="I74" s="11"/>
      <c r="J74" s="11"/>
      <c r="K74" s="11"/>
    </row>
    <row r="75" ht="13.5" customHeight="1">
      <c r="A75" s="68" t="s">
        <v>91</v>
      </c>
      <c r="B75" s="210">
        <v>5.0</v>
      </c>
      <c r="C75" s="145">
        <f t="shared" si="6"/>
        <v>0.25</v>
      </c>
      <c r="D75" s="216" t="s">
        <v>5</v>
      </c>
      <c r="E75" s="44" t="s">
        <v>2425</v>
      </c>
      <c r="F75" s="11"/>
      <c r="G75" s="11"/>
      <c r="H75" s="11"/>
      <c r="I75" s="11"/>
      <c r="J75" s="11"/>
      <c r="K75" s="11"/>
    </row>
    <row r="76" ht="13.5" customHeight="1">
      <c r="A76" s="93" t="s">
        <v>97</v>
      </c>
      <c r="B76" s="247">
        <v>400.0</v>
      </c>
      <c r="C76" s="195">
        <f t="shared" si="6"/>
        <v>20</v>
      </c>
      <c r="D76" s="249" t="s">
        <v>18</v>
      </c>
      <c r="E76" s="47"/>
      <c r="F76" s="11"/>
      <c r="G76" s="11"/>
      <c r="H76" s="11"/>
      <c r="I76" s="11"/>
      <c r="J76" s="11"/>
      <c r="K76" s="11"/>
    </row>
    <row r="77" ht="13.5" customHeight="1">
      <c r="A77" s="93" t="s">
        <v>345</v>
      </c>
      <c r="B77" s="247">
        <v>1.0</v>
      </c>
      <c r="C77" s="195">
        <f t="shared" si="6"/>
        <v>0.05</v>
      </c>
      <c r="D77" s="249" t="s">
        <v>14</v>
      </c>
      <c r="E77" s="47"/>
      <c r="F77" s="11"/>
      <c r="G77" s="11"/>
      <c r="H77" s="11"/>
      <c r="I77" s="11"/>
      <c r="J77" s="11"/>
      <c r="K77" s="11"/>
    </row>
    <row r="78" ht="13.5" customHeight="1">
      <c r="A78" s="93" t="s">
        <v>311</v>
      </c>
      <c r="B78" s="247">
        <v>1.0</v>
      </c>
      <c r="C78" s="195">
        <f t="shared" si="6"/>
        <v>0.05</v>
      </c>
      <c r="D78" s="249" t="s">
        <v>14</v>
      </c>
      <c r="E78" s="47"/>
      <c r="F78" s="11"/>
      <c r="G78" s="11"/>
      <c r="H78" s="11"/>
      <c r="I78" s="11"/>
      <c r="J78" s="11"/>
      <c r="K78" s="11"/>
    </row>
    <row r="79" ht="13.5" customHeight="1">
      <c r="A79" s="93" t="s">
        <v>126</v>
      </c>
      <c r="B79" s="247">
        <v>250.0</v>
      </c>
      <c r="C79" s="195">
        <f t="shared" si="6"/>
        <v>12.5</v>
      </c>
      <c r="D79" s="249" t="s">
        <v>18</v>
      </c>
      <c r="E79" s="47"/>
      <c r="F79" s="11"/>
      <c r="G79" s="11"/>
      <c r="H79" s="11"/>
      <c r="I79" s="11"/>
      <c r="J79" s="11"/>
      <c r="K79" s="11"/>
    </row>
    <row r="80" ht="13.5" customHeight="1">
      <c r="A80" s="93" t="s">
        <v>148</v>
      </c>
      <c r="B80" s="247">
        <v>1100.0</v>
      </c>
      <c r="C80" s="195">
        <f t="shared" si="6"/>
        <v>55</v>
      </c>
      <c r="D80" s="249" t="s">
        <v>18</v>
      </c>
      <c r="E80" s="47"/>
      <c r="F80" s="11"/>
      <c r="G80" s="11"/>
      <c r="H80" s="11"/>
      <c r="I80" s="11"/>
      <c r="J80" s="11"/>
      <c r="K80" s="11"/>
    </row>
    <row r="81" ht="13.5" customHeight="1">
      <c r="A81" s="93" t="s">
        <v>103</v>
      </c>
      <c r="B81" s="247">
        <v>100.0</v>
      </c>
      <c r="C81" s="195">
        <f t="shared" si="6"/>
        <v>5</v>
      </c>
      <c r="D81" s="249" t="s">
        <v>18</v>
      </c>
      <c r="E81" s="47"/>
      <c r="F81" s="11"/>
      <c r="G81" s="11"/>
      <c r="H81" s="11"/>
      <c r="I81" s="11"/>
      <c r="J81" s="11"/>
      <c r="K81" s="11"/>
    </row>
    <row r="82" ht="13.5" customHeight="1">
      <c r="A82" s="93" t="s">
        <v>1238</v>
      </c>
      <c r="B82" s="247">
        <v>5.0</v>
      </c>
      <c r="C82" s="195">
        <f t="shared" si="6"/>
        <v>0.25</v>
      </c>
      <c r="D82" s="249" t="s">
        <v>14</v>
      </c>
      <c r="E82" s="47"/>
      <c r="F82" s="11"/>
      <c r="G82" s="11"/>
      <c r="H82" s="11"/>
      <c r="I82" s="11"/>
      <c r="J82" s="11"/>
      <c r="K82" s="11"/>
    </row>
    <row r="83" ht="13.5" customHeight="1">
      <c r="A83" s="93" t="s">
        <v>52</v>
      </c>
      <c r="B83" s="247">
        <v>250.0</v>
      </c>
      <c r="C83" s="195">
        <f t="shared" si="6"/>
        <v>12.5</v>
      </c>
      <c r="D83" s="249" t="s">
        <v>18</v>
      </c>
      <c r="E83" s="47"/>
      <c r="F83" s="11"/>
      <c r="G83" s="11"/>
      <c r="H83" s="11"/>
      <c r="I83" s="11"/>
      <c r="J83" s="11"/>
      <c r="K83" s="11"/>
    </row>
    <row r="84" ht="13.5" customHeight="1">
      <c r="A84" s="105" t="s">
        <v>850</v>
      </c>
      <c r="B84" s="522">
        <v>15.0</v>
      </c>
      <c r="C84" s="200">
        <f t="shared" si="6"/>
        <v>0.75</v>
      </c>
      <c r="D84" s="518" t="s">
        <v>14</v>
      </c>
      <c r="E84" s="76"/>
      <c r="F84" s="11"/>
      <c r="G84" s="11"/>
      <c r="H84" s="11"/>
      <c r="I84" s="11"/>
      <c r="J84" s="11"/>
      <c r="K84" s="11"/>
    </row>
    <row r="85" ht="13.5" customHeight="1">
      <c r="A85" s="119" t="s">
        <v>31</v>
      </c>
      <c r="B85" s="523">
        <v>1550.0</v>
      </c>
      <c r="C85" s="238">
        <f t="shared" si="6"/>
        <v>77.5</v>
      </c>
      <c r="D85" s="520" t="s">
        <v>18</v>
      </c>
      <c r="E85" s="161"/>
      <c r="F85" s="11"/>
      <c r="G85" s="11"/>
      <c r="H85" s="11"/>
      <c r="I85" s="11"/>
      <c r="J85" s="11"/>
      <c r="K85" s="11"/>
    </row>
    <row r="86" ht="13.5" customHeight="1">
      <c r="A86" s="138" t="s">
        <v>13</v>
      </c>
      <c r="B86" s="239">
        <v>0.8</v>
      </c>
      <c r="C86" s="279">
        <f t="shared" si="6"/>
        <v>0.04</v>
      </c>
      <c r="D86" s="242" t="s">
        <v>14</v>
      </c>
      <c r="E86" s="1186"/>
      <c r="F86" s="11"/>
      <c r="G86" s="11"/>
      <c r="H86" s="11"/>
      <c r="I86" s="11"/>
      <c r="J86" s="11"/>
      <c r="K86" s="11"/>
    </row>
    <row r="87" ht="13.5" customHeight="1">
      <c r="A87" s="68" t="s">
        <v>350</v>
      </c>
      <c r="B87" s="210">
        <v>10.0</v>
      </c>
      <c r="C87" s="145">
        <f t="shared" si="6"/>
        <v>0.5</v>
      </c>
      <c r="D87" s="216" t="s">
        <v>351</v>
      </c>
      <c r="E87" s="44" t="s">
        <v>352</v>
      </c>
      <c r="F87" s="11"/>
      <c r="G87" s="11"/>
      <c r="H87" s="11"/>
      <c r="I87" s="11"/>
      <c r="J87" s="11"/>
      <c r="K87" s="11"/>
    </row>
    <row r="88" ht="13.5" customHeight="1">
      <c r="A88" s="105" t="s">
        <v>335</v>
      </c>
      <c r="B88" s="522">
        <v>8.0</v>
      </c>
      <c r="C88" s="200">
        <f t="shared" si="6"/>
        <v>0.4</v>
      </c>
      <c r="D88" s="518" t="s">
        <v>5</v>
      </c>
      <c r="E88" s="76"/>
      <c r="F88" s="11"/>
      <c r="G88" s="11"/>
      <c r="H88" s="11"/>
      <c r="I88" s="11"/>
      <c r="J88" s="11"/>
      <c r="K88" s="11"/>
    </row>
    <row r="89" ht="13.5" customHeight="1">
      <c r="A89" s="1640" t="s">
        <v>119</v>
      </c>
      <c r="B89" s="183" t="s">
        <v>47</v>
      </c>
      <c r="C89" s="107"/>
      <c r="D89" s="11"/>
      <c r="E89" s="11"/>
      <c r="F89" s="11"/>
      <c r="G89" s="11"/>
      <c r="H89" s="11"/>
      <c r="I89" s="11"/>
      <c r="J89" s="11"/>
      <c r="K89" s="11"/>
    </row>
    <row r="90" ht="13.5" customHeight="1">
      <c r="A90" s="90" t="s">
        <v>120</v>
      </c>
      <c r="B90" s="308">
        <v>41705.0</v>
      </c>
      <c r="C90" s="1494"/>
      <c r="D90" s="11"/>
      <c r="E90" s="11"/>
      <c r="F90" s="11"/>
      <c r="G90" s="11"/>
      <c r="H90" s="11"/>
      <c r="I90" s="11"/>
      <c r="J90" s="11"/>
      <c r="K90" s="11"/>
    </row>
    <row r="91" ht="13.5" customHeight="1">
      <c r="A91" s="305" t="s">
        <v>50</v>
      </c>
      <c r="B91" s="308">
        <v>41795.0</v>
      </c>
      <c r="C91" s="1494"/>
      <c r="D91" s="11"/>
      <c r="E91" s="11"/>
      <c r="F91" s="11"/>
      <c r="G91" s="11"/>
      <c r="H91" s="11"/>
      <c r="I91" s="11"/>
      <c r="J91" s="11"/>
      <c r="K91" s="11"/>
    </row>
    <row r="92" ht="13.5" customHeight="1">
      <c r="A92" s="11"/>
      <c r="B92" s="11"/>
      <c r="C92" s="1167"/>
      <c r="D92" s="11"/>
      <c r="E92" s="11"/>
      <c r="F92" s="11"/>
      <c r="G92" s="11"/>
      <c r="H92" s="11"/>
      <c r="I92" s="11"/>
      <c r="J92" s="11"/>
      <c r="K92" s="11"/>
    </row>
    <row r="93" ht="13.5" customHeight="1">
      <c r="A93" s="206" t="s">
        <v>498</v>
      </c>
      <c r="B93" s="5"/>
      <c r="C93" s="5"/>
      <c r="D93" s="6"/>
      <c r="E93" s="921"/>
      <c r="F93" s="11"/>
      <c r="G93" s="11"/>
      <c r="H93" s="11"/>
      <c r="I93" s="11"/>
      <c r="J93" s="11"/>
      <c r="K93" s="11"/>
    </row>
    <row r="94" ht="15.0" customHeight="1">
      <c r="A94" s="68" t="s">
        <v>2427</v>
      </c>
      <c r="B94" s="210">
        <v>33.0</v>
      </c>
      <c r="C94" s="145">
        <v>33.0</v>
      </c>
      <c r="D94" s="216" t="s">
        <v>14</v>
      </c>
      <c r="E94" s="264" t="s">
        <v>2428</v>
      </c>
      <c r="F94" s="11"/>
      <c r="G94" s="11"/>
      <c r="H94" s="11"/>
      <c r="I94" s="11"/>
      <c r="J94" s="11"/>
      <c r="K94" s="11"/>
    </row>
    <row r="95" ht="13.5" customHeight="1">
      <c r="A95" s="93" t="s">
        <v>150</v>
      </c>
      <c r="B95" s="247">
        <v>66.0</v>
      </c>
      <c r="C95" s="195">
        <f t="shared" ref="C95:C96" si="7">B95*C94/B94</f>
        <v>66</v>
      </c>
      <c r="D95" s="249" t="s">
        <v>14</v>
      </c>
      <c r="E95" s="66"/>
      <c r="F95" s="11"/>
      <c r="G95" s="11"/>
      <c r="H95" s="11"/>
      <c r="I95" s="11"/>
      <c r="J95" s="11"/>
      <c r="K95" s="11"/>
    </row>
    <row r="96" ht="13.5" customHeight="1">
      <c r="A96" s="105" t="s">
        <v>2429</v>
      </c>
      <c r="B96" s="522">
        <v>17.5</v>
      </c>
      <c r="C96" s="980">
        <f t="shared" si="7"/>
        <v>17.5</v>
      </c>
      <c r="D96" s="518" t="s">
        <v>14</v>
      </c>
      <c r="E96" s="66"/>
      <c r="F96" s="11"/>
      <c r="G96" s="11"/>
      <c r="H96" s="11"/>
      <c r="I96" s="11"/>
      <c r="J96" s="11"/>
      <c r="K96" s="11"/>
    </row>
    <row r="97" ht="13.5" customHeight="1">
      <c r="A97" s="751" t="s">
        <v>171</v>
      </c>
      <c r="B97" s="752">
        <f t="shared" ref="B97:C97" si="8">+B94*1 + B95*0.75 +B96 *1</f>
        <v>100</v>
      </c>
      <c r="C97" s="2134">
        <f t="shared" si="8"/>
        <v>100</v>
      </c>
      <c r="D97" s="754" t="s">
        <v>5</v>
      </c>
      <c r="E97" s="106"/>
      <c r="F97" s="11"/>
      <c r="G97" s="11"/>
      <c r="H97" s="11"/>
      <c r="I97" s="11"/>
      <c r="J97" s="11"/>
      <c r="K97" s="11"/>
    </row>
    <row r="98" ht="13.5" customHeight="1">
      <c r="A98" s="119" t="s">
        <v>91</v>
      </c>
      <c r="B98" s="523">
        <v>5.0</v>
      </c>
      <c r="C98" s="982">
        <f t="shared" ref="C98:C108" si="9">(B98*C97)/B97</f>
        <v>5</v>
      </c>
      <c r="D98" s="520" t="s">
        <v>5</v>
      </c>
      <c r="E98" s="44" t="s">
        <v>2431</v>
      </c>
      <c r="F98" s="11"/>
      <c r="G98" s="11"/>
      <c r="H98" s="11"/>
      <c r="I98" s="11"/>
      <c r="J98" s="11"/>
      <c r="K98" s="11"/>
    </row>
    <row r="99" ht="13.5" customHeight="1">
      <c r="A99" s="93" t="s">
        <v>98</v>
      </c>
      <c r="B99" s="247">
        <v>400.0</v>
      </c>
      <c r="C99" s="40">
        <f t="shared" si="9"/>
        <v>400</v>
      </c>
      <c r="D99" s="249" t="s">
        <v>18</v>
      </c>
      <c r="E99" s="47"/>
      <c r="F99" s="11"/>
      <c r="G99" s="11"/>
      <c r="H99" s="11"/>
      <c r="I99" s="11"/>
      <c r="J99" s="11"/>
      <c r="K99" s="11"/>
    </row>
    <row r="100" ht="13.5" customHeight="1">
      <c r="A100" s="93" t="s">
        <v>1036</v>
      </c>
      <c r="B100" s="247">
        <v>50.0</v>
      </c>
      <c r="C100" s="40">
        <f t="shared" si="9"/>
        <v>50</v>
      </c>
      <c r="D100" s="249" t="s">
        <v>18</v>
      </c>
      <c r="E100" s="47"/>
      <c r="F100" s="11"/>
      <c r="G100" s="11"/>
      <c r="H100" s="11"/>
      <c r="I100" s="11"/>
      <c r="J100" s="11"/>
      <c r="K100" s="11"/>
    </row>
    <row r="101" ht="13.5" customHeight="1">
      <c r="A101" s="105" t="s">
        <v>103</v>
      </c>
      <c r="B101" s="522">
        <v>100.0</v>
      </c>
      <c r="C101" s="980">
        <f t="shared" si="9"/>
        <v>100</v>
      </c>
      <c r="D101" s="518" t="s">
        <v>18</v>
      </c>
      <c r="E101" s="76"/>
      <c r="F101" s="11"/>
      <c r="G101" s="11"/>
      <c r="H101" s="11"/>
      <c r="I101" s="11"/>
      <c r="J101" s="11"/>
      <c r="K101" s="11"/>
    </row>
    <row r="102" ht="13.5" customHeight="1">
      <c r="A102" s="68" t="s">
        <v>52</v>
      </c>
      <c r="B102" s="210">
        <v>250.0</v>
      </c>
      <c r="C102" s="975">
        <f t="shared" si="9"/>
        <v>250</v>
      </c>
      <c r="D102" s="216" t="s">
        <v>18</v>
      </c>
      <c r="E102" s="831"/>
      <c r="F102" s="11"/>
      <c r="G102" s="11"/>
      <c r="H102" s="11"/>
      <c r="I102" s="11"/>
      <c r="J102" s="11"/>
      <c r="K102" s="11"/>
    </row>
    <row r="103" ht="13.5" customHeight="1">
      <c r="A103" s="105" t="s">
        <v>31</v>
      </c>
      <c r="B103" s="522">
        <v>1400.0</v>
      </c>
      <c r="C103" s="980">
        <f t="shared" si="9"/>
        <v>1400</v>
      </c>
      <c r="D103" s="518" t="s">
        <v>18</v>
      </c>
      <c r="E103" s="312"/>
      <c r="F103" s="11"/>
      <c r="G103" s="11"/>
      <c r="H103" s="11"/>
      <c r="I103" s="11"/>
      <c r="J103" s="11"/>
      <c r="K103" s="11"/>
    </row>
    <row r="104" ht="13.5" customHeight="1">
      <c r="A104" s="119" t="s">
        <v>1027</v>
      </c>
      <c r="B104" s="985">
        <v>250.0</v>
      </c>
      <c r="C104" s="40">
        <f t="shared" si="9"/>
        <v>250</v>
      </c>
      <c r="D104" s="520" t="s">
        <v>18</v>
      </c>
      <c r="E104" s="921"/>
      <c r="F104" s="11"/>
      <c r="G104" s="11"/>
      <c r="H104" s="11"/>
      <c r="I104" s="11"/>
      <c r="J104" s="11"/>
      <c r="K104" s="11"/>
    </row>
    <row r="105" ht="13.5" customHeight="1">
      <c r="A105" s="93" t="s">
        <v>105</v>
      </c>
      <c r="B105" s="992">
        <v>100.0</v>
      </c>
      <c r="C105" s="40">
        <f t="shared" si="9"/>
        <v>100</v>
      </c>
      <c r="D105" s="249" t="s">
        <v>18</v>
      </c>
      <c r="E105" s="921"/>
      <c r="F105" s="11"/>
      <c r="G105" s="11"/>
      <c r="H105" s="11"/>
      <c r="I105" s="11"/>
      <c r="J105" s="11"/>
      <c r="K105" s="11"/>
    </row>
    <row r="106" ht="13.5" customHeight="1">
      <c r="A106" s="93" t="s">
        <v>288</v>
      </c>
      <c r="B106" s="992">
        <v>200.0</v>
      </c>
      <c r="C106" s="40">
        <f t="shared" si="9"/>
        <v>200</v>
      </c>
      <c r="D106" s="249" t="s">
        <v>18</v>
      </c>
      <c r="E106" s="921"/>
      <c r="F106" s="11"/>
      <c r="G106" s="11"/>
      <c r="H106" s="11"/>
      <c r="I106" s="11"/>
      <c r="J106" s="11"/>
      <c r="K106" s="11"/>
    </row>
    <row r="107" ht="13.5" customHeight="1">
      <c r="A107" s="138" t="s">
        <v>1570</v>
      </c>
      <c r="B107" s="1777">
        <v>100.0</v>
      </c>
      <c r="C107" s="1554">
        <f t="shared" si="9"/>
        <v>100</v>
      </c>
      <c r="D107" s="242" t="s">
        <v>18</v>
      </c>
      <c r="E107" s="921"/>
      <c r="F107" s="11"/>
      <c r="G107" s="11"/>
      <c r="H107" s="11"/>
      <c r="I107" s="11"/>
      <c r="J107" s="11"/>
      <c r="K107" s="11"/>
    </row>
    <row r="108" ht="13.5" customHeight="1">
      <c r="A108" s="105" t="s">
        <v>112</v>
      </c>
      <c r="B108" s="981">
        <v>200.0</v>
      </c>
      <c r="C108" s="980">
        <f t="shared" si="9"/>
        <v>200</v>
      </c>
      <c r="D108" s="518" t="s">
        <v>18</v>
      </c>
      <c r="E108" s="921"/>
      <c r="F108" s="11"/>
      <c r="G108" s="11"/>
      <c r="H108" s="11"/>
      <c r="I108" s="11"/>
      <c r="J108" s="11"/>
      <c r="K108" s="11"/>
    </row>
    <row r="109" ht="13.5" customHeight="1">
      <c r="A109" s="1640" t="s">
        <v>119</v>
      </c>
      <c r="B109" s="183" t="s">
        <v>47</v>
      </c>
      <c r="C109" s="107"/>
      <c r="D109" s="1"/>
      <c r="E109" s="11"/>
      <c r="F109" s="11"/>
      <c r="G109" s="11"/>
      <c r="H109" s="11"/>
      <c r="I109" s="11"/>
      <c r="J109" s="11"/>
      <c r="K109" s="11"/>
    </row>
    <row r="110" ht="13.5" customHeight="1">
      <c r="A110" s="1"/>
      <c r="B110" s="1"/>
      <c r="C110" s="107"/>
      <c r="D110" s="1"/>
      <c r="E110" s="11"/>
      <c r="F110" s="11"/>
      <c r="G110" s="11"/>
      <c r="H110" s="11"/>
      <c r="I110" s="11"/>
      <c r="J110" s="11"/>
      <c r="K110" s="11"/>
    </row>
    <row r="111" ht="13.5" customHeight="1">
      <c r="A111" s="90" t="s">
        <v>120</v>
      </c>
      <c r="B111" s="308">
        <v>41102.0</v>
      </c>
      <c r="C111" s="107"/>
      <c r="D111" s="1"/>
      <c r="E111" s="11"/>
      <c r="F111" s="11"/>
      <c r="G111" s="11"/>
      <c r="H111" s="11"/>
      <c r="I111" s="11"/>
      <c r="J111" s="11"/>
      <c r="K111" s="11"/>
    </row>
    <row r="112" ht="13.5" customHeight="1">
      <c r="A112" s="305" t="s">
        <v>50</v>
      </c>
      <c r="B112" s="308">
        <v>41793.0</v>
      </c>
      <c r="C112" s="107"/>
      <c r="D112" s="1"/>
      <c r="E112" s="11"/>
      <c r="F112" s="11"/>
      <c r="G112" s="11"/>
      <c r="H112" s="11"/>
      <c r="I112" s="11"/>
      <c r="J112" s="11"/>
      <c r="K112" s="11"/>
    </row>
    <row r="113" ht="13.5" customHeight="1">
      <c r="A113" s="11"/>
      <c r="B113" s="11"/>
      <c r="C113" s="1167"/>
      <c r="D113" s="11"/>
      <c r="E113" s="11"/>
      <c r="F113" s="11"/>
      <c r="G113" s="11"/>
      <c r="H113" s="11"/>
      <c r="I113" s="11"/>
      <c r="J113" s="11"/>
      <c r="K113" s="11"/>
    </row>
    <row r="114" ht="13.5" customHeight="1">
      <c r="A114" s="206" t="s">
        <v>522</v>
      </c>
      <c r="B114" s="5"/>
      <c r="C114" s="5"/>
      <c r="D114" s="6"/>
      <c r="E114" s="921"/>
      <c r="F114" s="11"/>
      <c r="G114" s="11"/>
      <c r="H114" s="11"/>
      <c r="I114" s="11"/>
      <c r="J114" s="11"/>
      <c r="K114" s="11"/>
    </row>
    <row r="115" ht="13.5" customHeight="1">
      <c r="A115" s="68" t="s">
        <v>1574</v>
      </c>
      <c r="B115" s="210">
        <v>31.0</v>
      </c>
      <c r="C115" s="145">
        <v>60.0</v>
      </c>
      <c r="D115" s="216" t="s">
        <v>14</v>
      </c>
      <c r="E115" s="2136" t="s">
        <v>2436</v>
      </c>
      <c r="F115" s="11"/>
      <c r="G115" s="11"/>
      <c r="H115" s="11"/>
      <c r="I115" s="11"/>
      <c r="J115" s="11"/>
      <c r="K115" s="11"/>
    </row>
    <row r="116" ht="13.5" customHeight="1">
      <c r="A116" s="93" t="s">
        <v>2439</v>
      </c>
      <c r="B116" s="247">
        <v>60.0</v>
      </c>
      <c r="C116" s="195">
        <v>24.0</v>
      </c>
      <c r="D116" s="249" t="s">
        <v>14</v>
      </c>
      <c r="E116" s="66"/>
      <c r="F116" s="11"/>
      <c r="G116" s="11"/>
      <c r="H116" s="11"/>
      <c r="I116" s="11"/>
      <c r="J116" s="11"/>
      <c r="K116" s="11"/>
    </row>
    <row r="117" ht="13.5" customHeight="1">
      <c r="A117" s="138" t="s">
        <v>2440</v>
      </c>
      <c r="B117" s="239">
        <v>15.0</v>
      </c>
      <c r="C117" s="195">
        <v>0.0</v>
      </c>
      <c r="D117" s="242" t="s">
        <v>14</v>
      </c>
      <c r="E117" s="66"/>
      <c r="F117" s="11"/>
      <c r="G117" s="11"/>
      <c r="H117" s="11"/>
      <c r="I117" s="11"/>
      <c r="J117" s="11"/>
      <c r="K117" s="11"/>
    </row>
    <row r="118" ht="13.5" customHeight="1">
      <c r="A118" s="173" t="s">
        <v>171</v>
      </c>
      <c r="B118" s="545">
        <f>+B115*1 + B116*0.9+ B117*1</f>
        <v>100</v>
      </c>
      <c r="C118" s="275">
        <v>40.0</v>
      </c>
      <c r="D118" s="547" t="s">
        <v>5</v>
      </c>
      <c r="E118" s="106"/>
      <c r="F118" s="11"/>
      <c r="G118" s="11"/>
      <c r="H118" s="11"/>
      <c r="I118" s="11"/>
      <c r="J118" s="11"/>
      <c r="K118" s="11"/>
    </row>
    <row r="119" ht="13.5" customHeight="1">
      <c r="A119" s="119" t="s">
        <v>91</v>
      </c>
      <c r="B119" s="523">
        <v>6.0</v>
      </c>
      <c r="C119" s="982">
        <f t="shared" ref="C119:C129" si="10">(B119*C118)/B118</f>
        <v>2.4</v>
      </c>
      <c r="D119" s="520" t="s">
        <v>5</v>
      </c>
      <c r="E119" s="44" t="s">
        <v>2431</v>
      </c>
      <c r="F119" s="11"/>
      <c r="G119" s="11"/>
      <c r="H119" s="11"/>
      <c r="I119" s="11"/>
      <c r="J119" s="11"/>
      <c r="K119" s="11"/>
    </row>
    <row r="120" ht="13.5" customHeight="1">
      <c r="A120" s="93" t="s">
        <v>98</v>
      </c>
      <c r="B120" s="247">
        <v>400.0</v>
      </c>
      <c r="C120" s="40">
        <f t="shared" si="10"/>
        <v>160</v>
      </c>
      <c r="D120" s="249" t="s">
        <v>18</v>
      </c>
      <c r="E120" s="47"/>
      <c r="F120" s="11"/>
      <c r="G120" s="11"/>
      <c r="H120" s="11"/>
      <c r="I120" s="11"/>
      <c r="J120" s="11"/>
      <c r="K120" s="11"/>
    </row>
    <row r="121" ht="13.5" customHeight="1">
      <c r="A121" s="93" t="s">
        <v>1036</v>
      </c>
      <c r="B121" s="247">
        <v>50.0</v>
      </c>
      <c r="C121" s="40">
        <f t="shared" si="10"/>
        <v>20</v>
      </c>
      <c r="D121" s="249" t="s">
        <v>18</v>
      </c>
      <c r="E121" s="47"/>
      <c r="F121" s="11"/>
      <c r="G121" s="11"/>
      <c r="H121" s="11"/>
      <c r="I121" s="11"/>
      <c r="J121" s="11"/>
      <c r="K121" s="11"/>
    </row>
    <row r="122" ht="13.5" customHeight="1">
      <c r="A122" s="105" t="s">
        <v>103</v>
      </c>
      <c r="B122" s="522">
        <v>100.0</v>
      </c>
      <c r="C122" s="980">
        <f t="shared" si="10"/>
        <v>40</v>
      </c>
      <c r="D122" s="518" t="s">
        <v>18</v>
      </c>
      <c r="E122" s="76"/>
      <c r="F122" s="11"/>
      <c r="G122" s="11"/>
      <c r="H122" s="11"/>
      <c r="I122" s="11"/>
      <c r="J122" s="11"/>
      <c r="K122" s="11"/>
    </row>
    <row r="123" ht="13.5" customHeight="1">
      <c r="A123" s="68" t="s">
        <v>52</v>
      </c>
      <c r="B123" s="210">
        <v>250.0</v>
      </c>
      <c r="C123" s="975">
        <f t="shared" si="10"/>
        <v>100</v>
      </c>
      <c r="D123" s="216" t="s">
        <v>18</v>
      </c>
      <c r="E123" s="2114"/>
      <c r="F123" s="11"/>
      <c r="G123" s="11"/>
      <c r="H123" s="11"/>
      <c r="I123" s="11"/>
      <c r="J123" s="11"/>
      <c r="K123" s="11"/>
    </row>
    <row r="124" ht="13.5" customHeight="1">
      <c r="A124" s="105" t="s">
        <v>31</v>
      </c>
      <c r="B124" s="522">
        <v>1500.0</v>
      </c>
      <c r="C124" s="980">
        <f t="shared" si="10"/>
        <v>600</v>
      </c>
      <c r="D124" s="518" t="s">
        <v>18</v>
      </c>
      <c r="E124" s="1729"/>
      <c r="F124" s="11"/>
      <c r="G124" s="11"/>
      <c r="H124" s="11"/>
      <c r="I124" s="11"/>
      <c r="J124" s="11"/>
      <c r="K124" s="11"/>
    </row>
    <row r="125" ht="13.5" customHeight="1">
      <c r="A125" s="68" t="s">
        <v>1027</v>
      </c>
      <c r="B125" s="976">
        <v>250.0</v>
      </c>
      <c r="C125" s="2075">
        <f t="shared" si="10"/>
        <v>100</v>
      </c>
      <c r="D125" s="216" t="s">
        <v>18</v>
      </c>
      <c r="E125" s="921"/>
      <c r="F125" s="11"/>
      <c r="G125" s="11"/>
      <c r="H125" s="11"/>
      <c r="I125" s="11"/>
      <c r="J125" s="11"/>
      <c r="K125" s="11"/>
    </row>
    <row r="126" ht="13.5" customHeight="1">
      <c r="A126" s="93" t="s">
        <v>105</v>
      </c>
      <c r="B126" s="992">
        <v>100.0</v>
      </c>
      <c r="C126" s="2080">
        <f t="shared" si="10"/>
        <v>40</v>
      </c>
      <c r="D126" s="249" t="s">
        <v>18</v>
      </c>
      <c r="E126" s="921"/>
      <c r="F126" s="11"/>
      <c r="G126" s="11"/>
      <c r="H126" s="11"/>
      <c r="I126" s="11"/>
      <c r="J126" s="11"/>
      <c r="K126" s="11"/>
    </row>
    <row r="127" ht="13.5" customHeight="1">
      <c r="A127" s="93" t="s">
        <v>288</v>
      </c>
      <c r="B127" s="992">
        <v>200.0</v>
      </c>
      <c r="C127" s="2080">
        <f t="shared" si="10"/>
        <v>80</v>
      </c>
      <c r="D127" s="249" t="s">
        <v>18</v>
      </c>
      <c r="E127" s="921"/>
      <c r="F127" s="11"/>
      <c r="G127" s="11"/>
      <c r="H127" s="11"/>
      <c r="I127" s="11"/>
      <c r="J127" s="11"/>
      <c r="K127" s="11"/>
    </row>
    <row r="128" ht="13.5" customHeight="1">
      <c r="A128" s="138" t="s">
        <v>1570</v>
      </c>
      <c r="B128" s="1777">
        <v>100.0</v>
      </c>
      <c r="C128" s="2080">
        <f t="shared" si="10"/>
        <v>40</v>
      </c>
      <c r="D128" s="242" t="s">
        <v>18</v>
      </c>
      <c r="E128" s="921"/>
      <c r="F128" s="11"/>
      <c r="G128" s="11"/>
      <c r="H128" s="11"/>
      <c r="I128" s="11"/>
      <c r="J128" s="11"/>
      <c r="K128" s="11"/>
    </row>
    <row r="129" ht="13.5" customHeight="1">
      <c r="A129" s="105" t="s">
        <v>112</v>
      </c>
      <c r="B129" s="981">
        <v>200.0</v>
      </c>
      <c r="C129" s="2083">
        <f t="shared" si="10"/>
        <v>80</v>
      </c>
      <c r="D129" s="518" t="s">
        <v>18</v>
      </c>
      <c r="E129" s="921"/>
      <c r="F129" s="11"/>
      <c r="G129" s="11"/>
      <c r="H129" s="11"/>
      <c r="I129" s="11"/>
      <c r="J129" s="11"/>
      <c r="K129" s="11"/>
    </row>
    <row r="130" ht="13.5" customHeight="1">
      <c r="A130" s="1640" t="s">
        <v>119</v>
      </c>
      <c r="B130" s="183" t="s">
        <v>47</v>
      </c>
      <c r="C130" s="107"/>
      <c r="D130" s="11"/>
      <c r="E130" s="11"/>
      <c r="F130" s="11"/>
      <c r="G130" s="11"/>
      <c r="H130" s="11"/>
      <c r="I130" s="11"/>
      <c r="J130" s="11"/>
      <c r="K130" s="11"/>
    </row>
    <row r="131" ht="13.5" customHeight="1">
      <c r="A131" s="90" t="s">
        <v>120</v>
      </c>
      <c r="B131" s="308">
        <v>41038.0</v>
      </c>
      <c r="C131" s="107"/>
      <c r="D131" s="11"/>
      <c r="E131" s="11"/>
      <c r="F131" s="11"/>
      <c r="G131" s="11"/>
      <c r="H131" s="11"/>
      <c r="I131" s="11"/>
      <c r="J131" s="11"/>
      <c r="K131" s="11"/>
    </row>
    <row r="132" ht="13.5" customHeight="1">
      <c r="A132" s="305" t="s">
        <v>50</v>
      </c>
      <c r="B132" s="308">
        <v>41793.0</v>
      </c>
      <c r="C132" s="107"/>
      <c r="D132" s="11"/>
      <c r="E132" s="11"/>
      <c r="F132" s="11"/>
      <c r="G132" s="11"/>
      <c r="H132" s="11"/>
      <c r="I132" s="11"/>
      <c r="J132" s="11"/>
      <c r="K132" s="11"/>
    </row>
    <row r="133" ht="13.5" customHeight="1">
      <c r="A133" s="11"/>
      <c r="B133" s="11"/>
      <c r="C133" s="1167"/>
      <c r="D133" s="11"/>
      <c r="E133" s="921"/>
      <c r="F133" s="11"/>
      <c r="G133" s="11"/>
      <c r="H133" s="11"/>
      <c r="I133" s="11"/>
      <c r="J133" s="11"/>
      <c r="K133" s="11"/>
    </row>
    <row r="134" ht="13.5" customHeight="1">
      <c r="A134" s="209" t="s">
        <v>559</v>
      </c>
      <c r="B134" s="18"/>
      <c r="C134" s="18"/>
      <c r="D134" s="19"/>
      <c r="E134" s="578"/>
      <c r="F134" s="11"/>
      <c r="G134" s="11"/>
      <c r="H134" s="11"/>
      <c r="I134" s="11"/>
      <c r="J134" s="11"/>
      <c r="K134" s="11"/>
    </row>
    <row r="135" ht="13.5" customHeight="1">
      <c r="A135" s="119" t="s">
        <v>2441</v>
      </c>
      <c r="B135" s="523">
        <v>60.0</v>
      </c>
      <c r="C135" s="238">
        <v>60.0</v>
      </c>
      <c r="D135" s="132" t="s">
        <v>14</v>
      </c>
      <c r="E135" s="2137" t="s">
        <v>2442</v>
      </c>
      <c r="F135" s="11"/>
      <c r="G135" s="11"/>
      <c r="H135" s="11"/>
      <c r="I135" s="11"/>
      <c r="J135" s="11"/>
      <c r="K135" s="11"/>
    </row>
    <row r="136" ht="13.5" customHeight="1">
      <c r="A136" s="105" t="s">
        <v>1161</v>
      </c>
      <c r="B136" s="522">
        <v>25.0</v>
      </c>
      <c r="C136" s="200">
        <v>5.0</v>
      </c>
      <c r="D136" s="518" t="s">
        <v>14</v>
      </c>
      <c r="E136" s="1186"/>
      <c r="F136" s="11"/>
      <c r="G136" s="11"/>
      <c r="H136" s="11"/>
      <c r="I136" s="11"/>
      <c r="J136" s="11"/>
      <c r="K136" s="11"/>
    </row>
    <row r="137" ht="15.0" customHeight="1">
      <c r="A137" s="51" t="s">
        <v>1</v>
      </c>
      <c r="B137" s="53">
        <f t="shared" ref="B137:C137" si="11">+B135*1.25+B136</f>
        <v>100</v>
      </c>
      <c r="C137" s="190">
        <f t="shared" si="11"/>
        <v>80</v>
      </c>
      <c r="D137" s="514" t="s">
        <v>5</v>
      </c>
      <c r="E137" s="1587"/>
      <c r="F137" s="11"/>
      <c r="G137" s="11"/>
      <c r="H137" s="11"/>
      <c r="I137" s="11"/>
      <c r="J137" s="11"/>
      <c r="K137" s="11"/>
    </row>
    <row r="138" ht="13.5" customHeight="1">
      <c r="A138" s="68" t="s">
        <v>91</v>
      </c>
      <c r="B138" s="210">
        <v>5.5</v>
      </c>
      <c r="C138" s="145">
        <f t="shared" ref="C138:C148" si="12">(B138*C137)/B137</f>
        <v>4.4</v>
      </c>
      <c r="D138" s="216" t="s">
        <v>5</v>
      </c>
      <c r="E138" s="44" t="s">
        <v>2443</v>
      </c>
      <c r="F138" s="11"/>
      <c r="G138" s="11"/>
      <c r="H138" s="11"/>
      <c r="I138" s="11"/>
      <c r="J138" s="11"/>
      <c r="K138" s="11"/>
    </row>
    <row r="139" ht="13.5" customHeight="1">
      <c r="A139" s="93" t="s">
        <v>97</v>
      </c>
      <c r="B139" s="247">
        <v>250.0</v>
      </c>
      <c r="C139" s="195">
        <f t="shared" si="12"/>
        <v>200</v>
      </c>
      <c r="D139" s="249" t="s">
        <v>18</v>
      </c>
      <c r="E139" s="47"/>
      <c r="F139" s="11"/>
      <c r="G139" s="11"/>
      <c r="H139" s="11"/>
      <c r="I139" s="11"/>
      <c r="J139" s="11"/>
      <c r="K139" s="11"/>
    </row>
    <row r="140" ht="13.5" customHeight="1">
      <c r="A140" s="93" t="s">
        <v>148</v>
      </c>
      <c r="B140" s="247">
        <v>200.0</v>
      </c>
      <c r="C140" s="195">
        <f t="shared" si="12"/>
        <v>160</v>
      </c>
      <c r="D140" s="249" t="s">
        <v>18</v>
      </c>
      <c r="E140" s="47"/>
      <c r="F140" s="11"/>
      <c r="G140" s="11"/>
      <c r="H140" s="11"/>
      <c r="I140" s="11"/>
      <c r="J140" s="11"/>
      <c r="K140" s="11"/>
    </row>
    <row r="141" ht="15.0" customHeight="1">
      <c r="A141" s="138" t="s">
        <v>103</v>
      </c>
      <c r="B141" s="239">
        <v>500.0</v>
      </c>
      <c r="C141" s="279">
        <f t="shared" si="12"/>
        <v>400</v>
      </c>
      <c r="D141" s="242" t="s">
        <v>18</v>
      </c>
      <c r="E141" s="47"/>
      <c r="F141" s="11"/>
      <c r="G141" s="11"/>
      <c r="H141" s="11"/>
      <c r="I141" s="11"/>
      <c r="J141" s="11"/>
      <c r="K141" s="11"/>
    </row>
    <row r="142" ht="13.5" customHeight="1">
      <c r="A142" s="68" t="s">
        <v>52</v>
      </c>
      <c r="B142" s="210">
        <v>250.0</v>
      </c>
      <c r="C142" s="145">
        <f t="shared" si="12"/>
        <v>200</v>
      </c>
      <c r="D142" s="216" t="s">
        <v>18</v>
      </c>
      <c r="E142" s="47"/>
      <c r="F142" s="11"/>
      <c r="G142" s="11"/>
      <c r="H142" s="11"/>
      <c r="I142" s="11"/>
      <c r="J142" s="11"/>
      <c r="K142" s="11"/>
    </row>
    <row r="143" ht="13.5" customHeight="1">
      <c r="A143" s="138" t="s">
        <v>31</v>
      </c>
      <c r="B143" s="239">
        <v>2000.0</v>
      </c>
      <c r="C143" s="279">
        <f t="shared" si="12"/>
        <v>1600</v>
      </c>
      <c r="D143" s="242" t="s">
        <v>18</v>
      </c>
      <c r="E143" s="47"/>
      <c r="F143" s="11"/>
      <c r="G143" s="11"/>
      <c r="H143" s="11"/>
      <c r="I143" s="11"/>
      <c r="J143" s="11"/>
      <c r="K143" s="11"/>
    </row>
    <row r="144" ht="15.0" customHeight="1">
      <c r="A144" s="68" t="s">
        <v>112</v>
      </c>
      <c r="B144" s="210">
        <v>200.0</v>
      </c>
      <c r="C144" s="145">
        <f t="shared" si="12"/>
        <v>160</v>
      </c>
      <c r="D144" s="216" t="s">
        <v>18</v>
      </c>
      <c r="E144" s="47"/>
      <c r="F144" s="11"/>
      <c r="G144" s="11"/>
      <c r="H144" s="11"/>
      <c r="I144" s="11"/>
      <c r="J144" s="11"/>
      <c r="K144" s="11"/>
    </row>
    <row r="145" ht="13.5" customHeight="1">
      <c r="A145" s="93" t="s">
        <v>1027</v>
      </c>
      <c r="B145" s="247">
        <v>450.0</v>
      </c>
      <c r="C145" s="195">
        <f t="shared" si="12"/>
        <v>360</v>
      </c>
      <c r="D145" s="249" t="s">
        <v>18</v>
      </c>
      <c r="E145" s="47"/>
      <c r="F145" s="11"/>
      <c r="G145" s="11"/>
      <c r="H145" s="11"/>
      <c r="I145" s="11"/>
      <c r="J145" s="11"/>
      <c r="K145" s="11"/>
    </row>
    <row r="146" ht="13.5" customHeight="1">
      <c r="A146" s="138" t="s">
        <v>105</v>
      </c>
      <c r="B146" s="239">
        <v>300.0</v>
      </c>
      <c r="C146" s="279">
        <f t="shared" si="12"/>
        <v>240</v>
      </c>
      <c r="D146" s="242" t="s">
        <v>18</v>
      </c>
      <c r="E146" s="47"/>
      <c r="F146" s="11"/>
      <c r="G146" s="11"/>
      <c r="H146" s="11"/>
      <c r="I146" s="11"/>
      <c r="J146" s="11"/>
      <c r="K146" s="11"/>
    </row>
    <row r="147" ht="15.0" customHeight="1">
      <c r="A147" s="173" t="s">
        <v>2444</v>
      </c>
      <c r="B147" s="545">
        <v>5.0</v>
      </c>
      <c r="C147" s="275">
        <f t="shared" si="12"/>
        <v>4</v>
      </c>
      <c r="D147" s="547" t="s">
        <v>14</v>
      </c>
      <c r="E147" s="47"/>
      <c r="F147" s="11"/>
      <c r="G147" s="11"/>
      <c r="H147" s="11"/>
      <c r="I147" s="11"/>
      <c r="J147" s="11"/>
      <c r="K147" s="11"/>
    </row>
    <row r="148" ht="13.5" customHeight="1">
      <c r="A148" s="149" t="s">
        <v>2445</v>
      </c>
      <c r="B148" s="272">
        <v>8.0</v>
      </c>
      <c r="C148" s="152">
        <f t="shared" si="12"/>
        <v>6.4</v>
      </c>
      <c r="D148" s="288" t="s">
        <v>14</v>
      </c>
      <c r="E148" s="76"/>
      <c r="F148" s="11"/>
      <c r="G148" s="11"/>
      <c r="H148" s="11"/>
      <c r="I148" s="11"/>
      <c r="J148" s="11"/>
      <c r="K148" s="11"/>
    </row>
    <row r="149" ht="13.5" customHeight="1">
      <c r="A149" s="1"/>
      <c r="B149" s="1"/>
      <c r="C149" s="107"/>
      <c r="D149" s="1"/>
      <c r="E149" s="11"/>
      <c r="F149" s="11"/>
      <c r="G149" s="11"/>
      <c r="H149" s="11"/>
      <c r="I149" s="11"/>
      <c r="J149" s="11"/>
      <c r="K149" s="11"/>
    </row>
    <row r="150" ht="13.5" customHeight="1">
      <c r="A150" s="2138" t="s">
        <v>2446</v>
      </c>
      <c r="B150" s="5"/>
      <c r="C150" s="5"/>
      <c r="D150" s="6"/>
      <c r="E150" s="11"/>
      <c r="F150" s="11"/>
      <c r="G150" s="11"/>
      <c r="H150" s="11"/>
      <c r="I150" s="11"/>
      <c r="J150" s="11"/>
      <c r="K150" s="11"/>
    </row>
    <row r="151" ht="13.5" customHeight="1">
      <c r="A151" s="63"/>
      <c r="D151" s="66"/>
      <c r="E151" s="11"/>
      <c r="F151" s="11"/>
      <c r="G151" s="11"/>
      <c r="H151" s="11"/>
      <c r="I151" s="11"/>
      <c r="J151" s="11"/>
      <c r="K151" s="11"/>
    </row>
    <row r="152" ht="13.5" customHeight="1">
      <c r="A152" s="63"/>
      <c r="D152" s="66"/>
      <c r="E152" s="11"/>
      <c r="F152" s="11"/>
      <c r="G152" s="11"/>
      <c r="H152" s="11"/>
      <c r="I152" s="11"/>
      <c r="J152" s="11"/>
      <c r="K152" s="11"/>
    </row>
    <row r="153" ht="13.5" customHeight="1">
      <c r="A153" s="102"/>
      <c r="B153" s="104"/>
      <c r="C153" s="104"/>
      <c r="D153" s="106"/>
      <c r="E153" s="11"/>
      <c r="F153" s="11"/>
      <c r="G153" s="11"/>
      <c r="H153" s="11"/>
      <c r="I153" s="11"/>
      <c r="J153" s="11"/>
      <c r="K153" s="11"/>
    </row>
    <row r="154" ht="13.5" customHeight="1">
      <c r="A154" s="552" t="s">
        <v>2447</v>
      </c>
      <c r="B154" s="2139">
        <v>40812.0</v>
      </c>
      <c r="C154" s="107"/>
      <c r="D154" s="1"/>
      <c r="E154" s="11"/>
      <c r="F154" s="11"/>
      <c r="G154" s="11"/>
      <c r="H154" s="11"/>
      <c r="I154" s="11"/>
      <c r="J154" s="11"/>
      <c r="K154" s="11"/>
    </row>
    <row r="155" ht="13.5" customHeight="1">
      <c r="A155" s="550" t="s">
        <v>50</v>
      </c>
      <c r="B155" s="2140">
        <v>41834.0</v>
      </c>
      <c r="C155" s="107"/>
      <c r="D155" s="1"/>
      <c r="E155" s="11"/>
      <c r="F155" s="11"/>
      <c r="G155" s="11"/>
      <c r="H155" s="11"/>
      <c r="I155" s="11"/>
      <c r="J155" s="11"/>
      <c r="K155" s="11"/>
    </row>
    <row r="156" ht="13.5" customHeight="1">
      <c r="A156" s="1640" t="s">
        <v>119</v>
      </c>
      <c r="B156" s="183" t="s">
        <v>47</v>
      </c>
      <c r="C156" s="1167"/>
      <c r="D156" s="11"/>
      <c r="E156" s="11"/>
      <c r="F156" s="11"/>
      <c r="G156" s="11"/>
      <c r="H156" s="11"/>
      <c r="I156" s="11"/>
      <c r="J156" s="11"/>
      <c r="K156" s="11"/>
    </row>
    <row r="157" ht="13.5" customHeight="1">
      <c r="A157" s="11"/>
      <c r="B157" s="11"/>
      <c r="C157" s="1167"/>
      <c r="D157" s="11"/>
      <c r="E157" s="11"/>
      <c r="F157" s="11"/>
      <c r="G157" s="11"/>
      <c r="H157" s="11"/>
      <c r="I157" s="11"/>
      <c r="J157" s="11"/>
      <c r="K157" s="11"/>
    </row>
    <row r="158" ht="13.5" customHeight="1">
      <c r="A158" s="209" t="s">
        <v>2448</v>
      </c>
      <c r="B158" s="18"/>
      <c r="C158" s="18"/>
      <c r="D158" s="19"/>
      <c r="E158" s="921"/>
      <c r="F158" s="11"/>
      <c r="G158" s="11"/>
      <c r="H158" s="11"/>
      <c r="I158" s="11"/>
      <c r="J158" s="11"/>
      <c r="K158" s="11"/>
    </row>
    <row r="159" ht="13.5" customHeight="1">
      <c r="A159" s="68" t="s">
        <v>1</v>
      </c>
      <c r="B159" s="210">
        <v>100.0</v>
      </c>
      <c r="C159" s="145">
        <v>10.0</v>
      </c>
      <c r="D159" s="216" t="s">
        <v>5</v>
      </c>
      <c r="E159" s="921"/>
      <c r="F159" s="11"/>
      <c r="G159" s="11"/>
      <c r="H159" s="11"/>
      <c r="I159" s="11"/>
      <c r="J159" s="11"/>
      <c r="K159" s="11"/>
    </row>
    <row r="160" ht="13.5" customHeight="1">
      <c r="A160" s="68" t="s">
        <v>2449</v>
      </c>
      <c r="B160" s="210">
        <v>60.0</v>
      </c>
      <c r="C160" s="975">
        <f>(C159*B160)/B159</f>
        <v>6</v>
      </c>
      <c r="D160" s="216" t="s">
        <v>14</v>
      </c>
      <c r="E160" s="922" t="s">
        <v>2450</v>
      </c>
      <c r="F160" s="11"/>
      <c r="G160" s="11"/>
      <c r="H160" s="11"/>
      <c r="I160" s="11"/>
      <c r="J160" s="11"/>
      <c r="K160" s="11"/>
    </row>
    <row r="161" ht="13.5" customHeight="1">
      <c r="A161" s="2141" t="s">
        <v>2451</v>
      </c>
      <c r="B161" s="522">
        <v>3000.0</v>
      </c>
      <c r="C161" s="980">
        <f t="shared" ref="C161:C164" si="13">(B161*C160)/B160</f>
        <v>300</v>
      </c>
      <c r="D161" s="518" t="s">
        <v>18</v>
      </c>
      <c r="E161" s="63"/>
      <c r="F161" s="11"/>
      <c r="G161" s="11"/>
      <c r="H161" s="11"/>
      <c r="I161" s="11"/>
      <c r="J161" s="11"/>
      <c r="K161" s="11"/>
    </row>
    <row r="162" ht="13.5" customHeight="1">
      <c r="A162" s="417" t="s">
        <v>1161</v>
      </c>
      <c r="B162" s="541">
        <v>60.0</v>
      </c>
      <c r="C162" s="2142">
        <f t="shared" si="13"/>
        <v>6</v>
      </c>
      <c r="D162" s="543" t="s">
        <v>14</v>
      </c>
      <c r="E162" s="2143"/>
      <c r="F162" s="11"/>
      <c r="G162" s="11"/>
      <c r="H162" s="11"/>
      <c r="I162" s="11"/>
      <c r="J162" s="11"/>
      <c r="K162" s="11"/>
    </row>
    <row r="163" ht="13.5" customHeight="1">
      <c r="A163" s="68" t="s">
        <v>91</v>
      </c>
      <c r="B163" s="210">
        <v>5.0</v>
      </c>
      <c r="C163" s="975">
        <f t="shared" si="13"/>
        <v>0.5</v>
      </c>
      <c r="D163" s="216" t="s">
        <v>5</v>
      </c>
      <c r="E163" s="2147" t="s">
        <v>94</v>
      </c>
      <c r="F163" s="11"/>
      <c r="G163" s="11"/>
      <c r="H163" s="11"/>
      <c r="I163" s="11"/>
      <c r="J163" s="11"/>
      <c r="K163" s="11"/>
    </row>
    <row r="164" ht="13.5" customHeight="1">
      <c r="A164" s="93" t="s">
        <v>97</v>
      </c>
      <c r="B164" s="247">
        <v>300.0</v>
      </c>
      <c r="C164" s="40">
        <f t="shared" si="13"/>
        <v>30</v>
      </c>
      <c r="D164" s="249" t="s">
        <v>18</v>
      </c>
      <c r="E164" s="1992"/>
      <c r="F164" s="11"/>
      <c r="G164" s="11"/>
      <c r="H164" s="11"/>
      <c r="I164" s="11"/>
      <c r="J164" s="11"/>
      <c r="K164" s="11"/>
    </row>
    <row r="165" ht="13.5" customHeight="1">
      <c r="A165" s="93" t="s">
        <v>63</v>
      </c>
      <c r="B165" s="247">
        <v>200.0</v>
      </c>
      <c r="C165" s="40">
        <f>(B165*C167)/B167</f>
        <v>20</v>
      </c>
      <c r="D165" s="249" t="s">
        <v>18</v>
      </c>
      <c r="E165" s="1992"/>
      <c r="F165" s="11"/>
      <c r="G165" s="11"/>
      <c r="H165" s="11"/>
      <c r="I165" s="11"/>
      <c r="J165" s="11"/>
      <c r="K165" s="11"/>
    </row>
    <row r="166" ht="13.5" customHeight="1">
      <c r="A166" s="93" t="s">
        <v>103</v>
      </c>
      <c r="B166" s="247">
        <v>100.0</v>
      </c>
      <c r="C166" s="40">
        <f>(B166*C164)/B164</f>
        <v>10</v>
      </c>
      <c r="D166" s="249" t="s">
        <v>18</v>
      </c>
      <c r="E166" s="1992"/>
      <c r="F166" s="11"/>
      <c r="G166" s="11"/>
      <c r="H166" s="11"/>
      <c r="I166" s="11"/>
      <c r="J166" s="11"/>
      <c r="K166" s="11"/>
    </row>
    <row r="167" ht="13.5" customHeight="1">
      <c r="A167" s="93" t="s">
        <v>52</v>
      </c>
      <c r="B167" s="247">
        <v>300.0</v>
      </c>
      <c r="C167" s="40">
        <f t="shared" ref="C167:C175" si="14">(B167*C166)/B166</f>
        <v>30</v>
      </c>
      <c r="D167" s="249" t="s">
        <v>18</v>
      </c>
      <c r="E167" s="1992"/>
      <c r="F167" s="11"/>
      <c r="G167" s="11"/>
      <c r="H167" s="11"/>
      <c r="I167" s="11"/>
      <c r="J167" s="11"/>
      <c r="K167" s="11"/>
    </row>
    <row r="168" ht="13.5" customHeight="1">
      <c r="A168" s="105" t="s">
        <v>149</v>
      </c>
      <c r="B168" s="522">
        <v>1000.0</v>
      </c>
      <c r="C168" s="980">
        <f t="shared" si="14"/>
        <v>100</v>
      </c>
      <c r="D168" s="518" t="s">
        <v>82</v>
      </c>
      <c r="E168" s="2163"/>
      <c r="F168" s="11"/>
      <c r="G168" s="11"/>
      <c r="H168" s="11"/>
      <c r="I168" s="11"/>
      <c r="J168" s="11"/>
      <c r="K168" s="11"/>
    </row>
    <row r="169" ht="13.5" customHeight="1">
      <c r="A169" s="417" t="s">
        <v>31</v>
      </c>
      <c r="B169" s="541">
        <v>1000.0</v>
      </c>
      <c r="C169" s="2142">
        <f t="shared" si="14"/>
        <v>100</v>
      </c>
      <c r="D169" s="543" t="s">
        <v>18</v>
      </c>
      <c r="E169" s="2143"/>
      <c r="F169" s="11"/>
      <c r="G169" s="11"/>
      <c r="H169" s="11"/>
      <c r="I169" s="11"/>
      <c r="J169" s="11"/>
      <c r="K169" s="11"/>
    </row>
    <row r="170" ht="13.5" customHeight="1">
      <c r="A170" s="68" t="s">
        <v>105</v>
      </c>
      <c r="B170" s="210">
        <v>300.0</v>
      </c>
      <c r="C170" s="975">
        <f t="shared" si="14"/>
        <v>30</v>
      </c>
      <c r="D170" s="216" t="s">
        <v>18</v>
      </c>
      <c r="E170" s="2168" t="s">
        <v>2459</v>
      </c>
      <c r="F170" s="11"/>
      <c r="G170" s="11"/>
      <c r="H170" s="11"/>
      <c r="I170" s="11"/>
      <c r="J170" s="11"/>
      <c r="K170" s="11"/>
    </row>
    <row r="171" ht="13.5" customHeight="1">
      <c r="A171" s="105" t="s">
        <v>1027</v>
      </c>
      <c r="B171" s="522">
        <v>500.0</v>
      </c>
      <c r="C171" s="980">
        <f t="shared" si="14"/>
        <v>50</v>
      </c>
      <c r="D171" s="518" t="s">
        <v>18</v>
      </c>
      <c r="E171" s="63"/>
      <c r="F171" s="11"/>
      <c r="G171" s="11"/>
      <c r="H171" s="11"/>
      <c r="I171" s="11"/>
      <c r="J171" s="11"/>
      <c r="K171" s="11"/>
    </row>
    <row r="172" ht="13.5" customHeight="1">
      <c r="A172" s="2172" t="s">
        <v>2462</v>
      </c>
      <c r="B172" s="2176">
        <v>2500.0</v>
      </c>
      <c r="C172" s="2178">
        <f t="shared" si="14"/>
        <v>250</v>
      </c>
      <c r="D172" s="2180" t="s">
        <v>18</v>
      </c>
      <c r="E172" s="194" t="s">
        <v>2469</v>
      </c>
      <c r="F172" s="11"/>
      <c r="G172" s="11"/>
      <c r="H172" s="11"/>
      <c r="I172" s="11"/>
      <c r="J172" s="11"/>
      <c r="K172" s="11"/>
    </row>
    <row r="173" ht="13.5" customHeight="1">
      <c r="A173" s="2183" t="s">
        <v>2470</v>
      </c>
      <c r="B173" s="2188">
        <v>2500.0</v>
      </c>
      <c r="C173" s="2190">
        <f t="shared" si="14"/>
        <v>250</v>
      </c>
      <c r="D173" s="2191" t="s">
        <v>82</v>
      </c>
      <c r="E173" s="63"/>
      <c r="F173" s="11"/>
      <c r="G173" s="11"/>
      <c r="H173" s="11"/>
      <c r="I173" s="11"/>
      <c r="J173" s="11"/>
      <c r="K173" s="11"/>
    </row>
    <row r="174" ht="13.5" customHeight="1">
      <c r="A174" s="93" t="s">
        <v>80</v>
      </c>
      <c r="B174" s="247">
        <v>14.0</v>
      </c>
      <c r="C174" s="40">
        <f t="shared" si="14"/>
        <v>1.4</v>
      </c>
      <c r="D174" s="249" t="s">
        <v>14</v>
      </c>
      <c r="E174" s="63"/>
      <c r="F174" s="11"/>
      <c r="G174" s="11"/>
      <c r="H174" s="11"/>
      <c r="I174" s="11"/>
      <c r="J174" s="11"/>
      <c r="K174" s="11"/>
    </row>
    <row r="175" ht="13.5" customHeight="1">
      <c r="A175" s="105" t="s">
        <v>963</v>
      </c>
      <c r="B175" s="522">
        <v>35.0</v>
      </c>
      <c r="C175" s="980">
        <f t="shared" si="14"/>
        <v>3.5</v>
      </c>
      <c r="D175" s="518" t="s">
        <v>9</v>
      </c>
      <c r="E175" s="102"/>
      <c r="F175" s="11"/>
      <c r="G175" s="11"/>
      <c r="H175" s="11"/>
      <c r="I175" s="11"/>
      <c r="J175" s="11"/>
      <c r="K175" s="11"/>
    </row>
    <row r="176" ht="13.5" customHeight="1">
      <c r="A176" s="1640" t="s">
        <v>119</v>
      </c>
      <c r="B176" s="183" t="s">
        <v>47</v>
      </c>
      <c r="C176" s="107"/>
      <c r="D176" s="1"/>
      <c r="E176" s="1060"/>
      <c r="F176" s="11"/>
      <c r="G176" s="11"/>
      <c r="H176" s="11"/>
      <c r="I176" s="11"/>
      <c r="J176" s="11"/>
      <c r="K176" s="11"/>
    </row>
    <row r="177" ht="13.5" customHeight="1">
      <c r="A177" s="550" t="s">
        <v>2447</v>
      </c>
      <c r="B177" s="2140">
        <v>40807.0</v>
      </c>
      <c r="C177" s="107"/>
      <c r="D177" s="1"/>
      <c r="E177" s="1060"/>
      <c r="F177" s="11"/>
      <c r="G177" s="11"/>
      <c r="H177" s="11"/>
      <c r="I177" s="11"/>
      <c r="J177" s="11"/>
      <c r="K177" s="11"/>
    </row>
    <row r="178" ht="13.5" customHeight="1">
      <c r="A178" s="550" t="s">
        <v>50</v>
      </c>
      <c r="B178" s="2140">
        <v>41160.0</v>
      </c>
      <c r="C178" s="107"/>
      <c r="D178" s="1"/>
      <c r="E178" s="1060"/>
      <c r="F178" s="11"/>
      <c r="G178" s="11"/>
      <c r="H178" s="11"/>
      <c r="I178" s="11"/>
      <c r="J178" s="11"/>
      <c r="K178" s="11"/>
    </row>
    <row r="179" ht="13.5" customHeight="1">
      <c r="A179" s="11"/>
      <c r="B179" s="11"/>
      <c r="C179" s="1167"/>
      <c r="D179" s="11"/>
      <c r="E179" s="11"/>
      <c r="F179" s="11"/>
      <c r="G179" s="11"/>
      <c r="H179" s="11"/>
      <c r="I179" s="11"/>
      <c r="J179" s="11"/>
      <c r="K179" s="11"/>
    </row>
    <row r="180" ht="13.5" customHeight="1">
      <c r="A180" s="511" t="s">
        <v>607</v>
      </c>
      <c r="B180" s="18"/>
      <c r="C180" s="18"/>
      <c r="D180" s="19"/>
      <c r="E180" s="2203" t="s">
        <v>661</v>
      </c>
      <c r="F180" s="11"/>
      <c r="G180" s="11"/>
      <c r="H180" s="11"/>
      <c r="I180" s="11"/>
      <c r="J180" s="11"/>
      <c r="K180" s="11"/>
    </row>
    <row r="181" ht="13.5" customHeight="1">
      <c r="A181" s="51" t="s">
        <v>1</v>
      </c>
      <c r="B181" s="53">
        <v>100.0</v>
      </c>
      <c r="C181" s="2204">
        <v>20.0</v>
      </c>
      <c r="D181" s="514" t="s">
        <v>5</v>
      </c>
      <c r="E181" s="921"/>
      <c r="F181" s="11"/>
      <c r="G181" s="11"/>
      <c r="H181" s="11"/>
      <c r="I181" s="11"/>
      <c r="J181" s="11"/>
      <c r="K181" s="11"/>
    </row>
    <row r="182" ht="13.5" customHeight="1">
      <c r="A182" s="51" t="s">
        <v>2474</v>
      </c>
      <c r="B182" s="53">
        <v>80.0</v>
      </c>
      <c r="C182" s="2204">
        <f t="shared" ref="C182:C193" si="15">(B182*C181)/B181</f>
        <v>16</v>
      </c>
      <c r="D182" s="514" t="s">
        <v>14</v>
      </c>
      <c r="E182" s="921"/>
      <c r="F182" s="11"/>
      <c r="G182" s="11"/>
      <c r="H182" s="11"/>
      <c r="I182" s="11"/>
      <c r="J182" s="11"/>
      <c r="K182" s="11"/>
    </row>
    <row r="183" ht="13.5" customHeight="1">
      <c r="A183" s="68" t="s">
        <v>91</v>
      </c>
      <c r="B183" s="210">
        <v>4.0</v>
      </c>
      <c r="C183" s="2075">
        <f t="shared" si="15"/>
        <v>0.8</v>
      </c>
      <c r="D183" s="216" t="s">
        <v>5</v>
      </c>
      <c r="E183" s="44" t="s">
        <v>2475</v>
      </c>
      <c r="F183" s="11"/>
      <c r="G183" s="11"/>
      <c r="H183" s="11"/>
      <c r="I183" s="11"/>
      <c r="J183" s="11"/>
      <c r="K183" s="11"/>
    </row>
    <row r="184" ht="13.5" customHeight="1">
      <c r="A184" s="93" t="s">
        <v>97</v>
      </c>
      <c r="B184" s="247">
        <v>100.0</v>
      </c>
      <c r="C184" s="2080">
        <f t="shared" si="15"/>
        <v>20</v>
      </c>
      <c r="D184" s="249" t="s">
        <v>18</v>
      </c>
      <c r="E184" s="47"/>
      <c r="F184" s="11"/>
      <c r="G184" s="11"/>
      <c r="H184" s="11"/>
      <c r="I184" s="11"/>
      <c r="J184" s="11"/>
      <c r="K184" s="11"/>
    </row>
    <row r="185" ht="15.0" customHeight="1">
      <c r="A185" s="93" t="s">
        <v>98</v>
      </c>
      <c r="B185" s="247">
        <v>200.0</v>
      </c>
      <c r="C185" s="2080">
        <f t="shared" si="15"/>
        <v>40</v>
      </c>
      <c r="D185" s="249" t="s">
        <v>18</v>
      </c>
      <c r="E185" s="47"/>
      <c r="F185" s="11"/>
      <c r="G185" s="11"/>
      <c r="H185" s="11"/>
      <c r="I185" s="11"/>
      <c r="J185" s="11"/>
      <c r="K185" s="11"/>
    </row>
    <row r="186" ht="15.0" customHeight="1">
      <c r="A186" s="93" t="s">
        <v>103</v>
      </c>
      <c r="B186" s="247">
        <v>100.0</v>
      </c>
      <c r="C186" s="2080">
        <f t="shared" si="15"/>
        <v>20</v>
      </c>
      <c r="D186" s="249" t="s">
        <v>18</v>
      </c>
      <c r="E186" s="47"/>
      <c r="F186" s="11"/>
      <c r="G186" s="11"/>
      <c r="H186" s="11"/>
      <c r="I186" s="11"/>
      <c r="J186" s="11"/>
      <c r="K186" s="11"/>
    </row>
    <row r="187" ht="15.0" customHeight="1">
      <c r="A187" s="105" t="s">
        <v>148</v>
      </c>
      <c r="B187" s="522">
        <v>500.0</v>
      </c>
      <c r="C187" s="2083">
        <f t="shared" si="15"/>
        <v>100</v>
      </c>
      <c r="D187" s="518" t="s">
        <v>18</v>
      </c>
      <c r="E187" s="76"/>
      <c r="F187" s="11"/>
      <c r="G187" s="11"/>
      <c r="H187" s="11"/>
      <c r="I187" s="11"/>
      <c r="J187" s="11"/>
      <c r="K187" s="11"/>
    </row>
    <row r="188" ht="13.5" customHeight="1">
      <c r="A188" s="119" t="s">
        <v>2476</v>
      </c>
      <c r="B188" s="523">
        <v>80.0</v>
      </c>
      <c r="C188" s="2212">
        <f t="shared" si="15"/>
        <v>16</v>
      </c>
      <c r="D188" s="520" t="s">
        <v>5</v>
      </c>
      <c r="E188" s="161"/>
      <c r="F188" s="11"/>
      <c r="G188" s="11"/>
      <c r="H188" s="11"/>
      <c r="I188" s="11"/>
      <c r="J188" s="11"/>
      <c r="K188" s="11"/>
    </row>
    <row r="189" ht="13.5" customHeight="1">
      <c r="A189" s="417" t="s">
        <v>2477</v>
      </c>
      <c r="B189" s="541">
        <v>200.0</v>
      </c>
      <c r="C189" s="2216">
        <f t="shared" si="15"/>
        <v>40</v>
      </c>
      <c r="D189" s="543" t="s">
        <v>93</v>
      </c>
      <c r="E189" s="161"/>
      <c r="F189" s="11"/>
      <c r="G189" s="11"/>
      <c r="H189" s="11"/>
      <c r="I189" s="11"/>
      <c r="J189" s="11"/>
      <c r="K189" s="11"/>
    </row>
    <row r="190" ht="13.5" customHeight="1">
      <c r="A190" s="105" t="s">
        <v>52</v>
      </c>
      <c r="B190" s="522">
        <v>250.0</v>
      </c>
      <c r="C190" s="2083">
        <f t="shared" si="15"/>
        <v>50</v>
      </c>
      <c r="D190" s="518" t="s">
        <v>18</v>
      </c>
      <c r="E190" s="1186"/>
      <c r="F190" s="11"/>
      <c r="G190" s="11"/>
      <c r="H190" s="11"/>
      <c r="I190" s="11"/>
      <c r="J190" s="11"/>
      <c r="K190" s="11"/>
    </row>
    <row r="191" ht="13.5" customHeight="1">
      <c r="A191" s="119" t="s">
        <v>31</v>
      </c>
      <c r="B191" s="523">
        <v>1250.0</v>
      </c>
      <c r="C191" s="2212">
        <f t="shared" si="15"/>
        <v>250</v>
      </c>
      <c r="D191" s="520" t="s">
        <v>18</v>
      </c>
      <c r="E191" s="921"/>
      <c r="F191" s="11"/>
      <c r="G191" s="11"/>
      <c r="H191" s="11"/>
      <c r="I191" s="11"/>
      <c r="J191" s="11"/>
      <c r="K191" s="11"/>
    </row>
    <row r="192" ht="13.5" customHeight="1">
      <c r="A192" s="138" t="s">
        <v>13</v>
      </c>
      <c r="B192" s="239">
        <v>1.0</v>
      </c>
      <c r="C192" s="2216">
        <f t="shared" si="15"/>
        <v>0.2</v>
      </c>
      <c r="D192" s="242" t="s">
        <v>14</v>
      </c>
      <c r="E192" s="921"/>
      <c r="F192" s="11"/>
      <c r="G192" s="11"/>
      <c r="H192" s="11"/>
      <c r="I192" s="11"/>
      <c r="J192" s="11"/>
      <c r="K192" s="11"/>
    </row>
    <row r="193" ht="13.5" customHeight="1">
      <c r="A193" s="173" t="s">
        <v>2479</v>
      </c>
      <c r="B193" s="545">
        <v>4.0</v>
      </c>
      <c r="C193" s="2075">
        <f t="shared" si="15"/>
        <v>0.8</v>
      </c>
      <c r="D193" s="547" t="s">
        <v>14</v>
      </c>
      <c r="E193" s="2223" t="s">
        <v>2480</v>
      </c>
      <c r="F193" s="11"/>
      <c r="G193" s="11"/>
      <c r="H193" s="11"/>
      <c r="I193" s="11"/>
      <c r="J193" s="11"/>
      <c r="K193" s="11"/>
    </row>
    <row r="194" ht="13.5" customHeight="1">
      <c r="A194" s="173" t="s">
        <v>167</v>
      </c>
      <c r="B194" s="545">
        <v>0.5</v>
      </c>
      <c r="C194" s="275">
        <f>(B194*C186)/B186</f>
        <v>0.1</v>
      </c>
      <c r="D194" s="547" t="s">
        <v>5</v>
      </c>
      <c r="E194" s="2226"/>
      <c r="F194" s="11"/>
      <c r="G194" s="11"/>
      <c r="H194" s="11"/>
      <c r="I194" s="11"/>
      <c r="J194" s="11"/>
      <c r="K194" s="11"/>
    </row>
    <row r="195" ht="13.5" customHeight="1">
      <c r="A195" s="1640" t="s">
        <v>119</v>
      </c>
      <c r="B195" s="183" t="s">
        <v>47</v>
      </c>
      <c r="C195" s="107"/>
      <c r="D195" s="1"/>
      <c r="E195" s="11"/>
      <c r="F195" s="11"/>
      <c r="G195" s="11"/>
      <c r="H195" s="11"/>
      <c r="I195" s="11"/>
      <c r="J195" s="11"/>
      <c r="K195" s="11"/>
    </row>
    <row r="196" ht="13.5" customHeight="1">
      <c r="A196" s="1908" t="s">
        <v>2484</v>
      </c>
      <c r="B196" s="5"/>
      <c r="C196" s="6"/>
      <c r="D196" s="1"/>
      <c r="E196" s="11"/>
      <c r="F196" s="11"/>
      <c r="G196" s="11"/>
      <c r="H196" s="11"/>
      <c r="I196" s="11"/>
      <c r="J196" s="11"/>
      <c r="K196" s="11"/>
    </row>
    <row r="197" ht="14.25" customHeight="1">
      <c r="A197" s="102"/>
      <c r="B197" s="104"/>
      <c r="C197" s="106"/>
      <c r="D197" s="1"/>
      <c r="E197" s="11"/>
      <c r="F197" s="11"/>
      <c r="G197" s="11"/>
      <c r="H197" s="11"/>
      <c r="I197" s="11"/>
      <c r="J197" s="11"/>
      <c r="K197" s="11"/>
    </row>
    <row r="198" ht="13.5" customHeight="1">
      <c r="A198" s="90" t="s">
        <v>120</v>
      </c>
      <c r="B198" s="308">
        <v>40954.0</v>
      </c>
      <c r="C198" s="107"/>
      <c r="D198" s="1"/>
      <c r="E198" s="11"/>
      <c r="F198" s="11"/>
      <c r="G198" s="11"/>
      <c r="H198" s="11"/>
      <c r="I198" s="11"/>
      <c r="J198" s="11"/>
      <c r="K198" s="11"/>
    </row>
    <row r="199" ht="13.5" customHeight="1">
      <c r="A199" s="90" t="s">
        <v>50</v>
      </c>
      <c r="B199" s="308">
        <v>42073.0</v>
      </c>
      <c r="C199" s="107"/>
      <c r="D199" s="1"/>
      <c r="E199" s="11"/>
      <c r="F199" s="11"/>
      <c r="G199" s="11"/>
      <c r="H199" s="11"/>
      <c r="I199" s="11"/>
      <c r="J199" s="11"/>
      <c r="K199" s="11"/>
    </row>
    <row r="200" ht="13.5" customHeight="1">
      <c r="A200" s="11"/>
      <c r="B200" s="11"/>
      <c r="C200" s="1167"/>
      <c r="D200" s="11"/>
      <c r="E200" s="11"/>
      <c r="F200" s="11"/>
      <c r="G200" s="11"/>
      <c r="H200" s="11"/>
      <c r="I200" s="11"/>
      <c r="J200" s="11"/>
      <c r="K200" s="11"/>
    </row>
    <row r="201" ht="13.5" customHeight="1">
      <c r="A201" s="511" t="s">
        <v>639</v>
      </c>
      <c r="B201" s="18"/>
      <c r="C201" s="18"/>
      <c r="D201" s="19"/>
      <c r="E201" s="2112"/>
      <c r="F201" s="11"/>
      <c r="G201" s="11"/>
      <c r="H201" s="11"/>
      <c r="I201" s="11"/>
      <c r="J201" s="11"/>
      <c r="K201" s="11"/>
    </row>
    <row r="202" ht="13.5" customHeight="1">
      <c r="A202" s="68" t="s">
        <v>1</v>
      </c>
      <c r="B202" s="210">
        <v>100.0</v>
      </c>
      <c r="C202" s="145">
        <v>12.0</v>
      </c>
      <c r="D202" s="216" t="s">
        <v>5</v>
      </c>
      <c r="E202" s="921"/>
      <c r="F202" s="11"/>
      <c r="G202" s="11"/>
      <c r="H202" s="11"/>
      <c r="I202" s="11"/>
      <c r="J202" s="11"/>
      <c r="K202" s="11"/>
    </row>
    <row r="203" ht="13.5" customHeight="1">
      <c r="A203" s="93" t="s">
        <v>1574</v>
      </c>
      <c r="B203" s="247">
        <v>70.0</v>
      </c>
      <c r="C203" s="195">
        <f t="shared" ref="C203:C215" si="16">(B203*C202)/B202</f>
        <v>8.4</v>
      </c>
      <c r="D203" s="249" t="s">
        <v>14</v>
      </c>
      <c r="E203" s="921"/>
      <c r="F203" s="11"/>
      <c r="G203" s="11"/>
      <c r="H203" s="11"/>
      <c r="I203" s="11"/>
      <c r="J203" s="11"/>
      <c r="K203" s="11"/>
    </row>
    <row r="204" ht="13.5" customHeight="1">
      <c r="A204" s="138" t="s">
        <v>2487</v>
      </c>
      <c r="B204" s="239">
        <v>70.0</v>
      </c>
      <c r="C204" s="279">
        <f t="shared" si="16"/>
        <v>8.4</v>
      </c>
      <c r="D204" s="242" t="s">
        <v>14</v>
      </c>
      <c r="E204" s="921"/>
      <c r="F204" s="11"/>
      <c r="G204" s="11"/>
      <c r="H204" s="11"/>
      <c r="I204" s="11"/>
      <c r="J204" s="11"/>
      <c r="K204" s="11"/>
    </row>
    <row r="205" ht="13.5" customHeight="1">
      <c r="A205" s="68" t="s">
        <v>91</v>
      </c>
      <c r="B205" s="210">
        <v>6.0</v>
      </c>
      <c r="C205" s="145">
        <f t="shared" si="16"/>
        <v>0.72</v>
      </c>
      <c r="D205" s="216" t="s">
        <v>5</v>
      </c>
      <c r="E205" s="44" t="s">
        <v>2431</v>
      </c>
      <c r="F205" s="11"/>
      <c r="G205" s="11"/>
      <c r="H205" s="11"/>
      <c r="I205" s="11"/>
      <c r="J205" s="11"/>
      <c r="K205" s="11"/>
    </row>
    <row r="206" ht="13.5" customHeight="1">
      <c r="A206" s="93" t="s">
        <v>98</v>
      </c>
      <c r="B206" s="247">
        <v>500.0</v>
      </c>
      <c r="C206" s="195">
        <f t="shared" si="16"/>
        <v>60</v>
      </c>
      <c r="D206" s="249" t="s">
        <v>18</v>
      </c>
      <c r="E206" s="47"/>
      <c r="F206" s="11"/>
      <c r="G206" s="11"/>
      <c r="H206" s="11"/>
      <c r="I206" s="11"/>
      <c r="J206" s="11"/>
      <c r="K206" s="11"/>
    </row>
    <row r="207" ht="13.5" customHeight="1">
      <c r="A207" s="93" t="s">
        <v>1036</v>
      </c>
      <c r="B207" s="247">
        <v>50.0</v>
      </c>
      <c r="C207" s="195">
        <f t="shared" si="16"/>
        <v>6</v>
      </c>
      <c r="D207" s="249" t="s">
        <v>18</v>
      </c>
      <c r="E207" s="47"/>
      <c r="F207" s="11"/>
      <c r="G207" s="11"/>
      <c r="H207" s="11"/>
      <c r="I207" s="11"/>
      <c r="J207" s="11"/>
      <c r="K207" s="11"/>
    </row>
    <row r="208" ht="13.5" customHeight="1">
      <c r="A208" s="105" t="s">
        <v>103</v>
      </c>
      <c r="B208" s="522">
        <v>100.0</v>
      </c>
      <c r="C208" s="200">
        <f t="shared" si="16"/>
        <v>12</v>
      </c>
      <c r="D208" s="518" t="s">
        <v>18</v>
      </c>
      <c r="E208" s="76"/>
      <c r="F208" s="11"/>
      <c r="G208" s="11"/>
      <c r="H208" s="11"/>
      <c r="I208" s="11"/>
      <c r="J208" s="11"/>
      <c r="K208" s="11"/>
    </row>
    <row r="209" ht="13.5" customHeight="1">
      <c r="A209" s="68" t="s">
        <v>52</v>
      </c>
      <c r="B209" s="210">
        <v>300.0</v>
      </c>
      <c r="C209" s="145">
        <f t="shared" si="16"/>
        <v>36</v>
      </c>
      <c r="D209" s="216" t="s">
        <v>18</v>
      </c>
      <c r="E209" s="2114"/>
      <c r="F209" s="11"/>
      <c r="G209" s="11"/>
      <c r="H209" s="11"/>
      <c r="I209" s="11"/>
      <c r="J209" s="11"/>
      <c r="K209" s="11"/>
    </row>
    <row r="210" ht="13.5" customHeight="1">
      <c r="A210" s="105" t="s">
        <v>31</v>
      </c>
      <c r="B210" s="522">
        <v>1500.0</v>
      </c>
      <c r="C210" s="200">
        <f t="shared" si="16"/>
        <v>180</v>
      </c>
      <c r="D210" s="518" t="s">
        <v>18</v>
      </c>
      <c r="E210" s="1729"/>
      <c r="F210" s="11"/>
      <c r="G210" s="11"/>
      <c r="H210" s="11"/>
      <c r="I210" s="11"/>
      <c r="J210" s="11"/>
      <c r="K210" s="11"/>
    </row>
    <row r="211" ht="13.5" customHeight="1">
      <c r="A211" s="68" t="s">
        <v>1027</v>
      </c>
      <c r="B211" s="976">
        <v>250.0</v>
      </c>
      <c r="C211" s="2075">
        <f t="shared" si="16"/>
        <v>30</v>
      </c>
      <c r="D211" s="216" t="s">
        <v>18</v>
      </c>
      <c r="E211" s="921"/>
      <c r="F211" s="11"/>
      <c r="G211" s="11"/>
      <c r="H211" s="11"/>
      <c r="I211" s="11"/>
      <c r="J211" s="11"/>
      <c r="K211" s="11"/>
    </row>
    <row r="212" ht="13.5" customHeight="1">
      <c r="A212" s="93" t="s">
        <v>105</v>
      </c>
      <c r="B212" s="992">
        <v>100.0</v>
      </c>
      <c r="C212" s="2080">
        <f t="shared" si="16"/>
        <v>12</v>
      </c>
      <c r="D212" s="249" t="s">
        <v>18</v>
      </c>
      <c r="E212" s="921"/>
      <c r="F212" s="11"/>
      <c r="G212" s="11"/>
      <c r="H212" s="11"/>
      <c r="I212" s="11"/>
      <c r="J212" s="11"/>
      <c r="K212" s="11"/>
    </row>
    <row r="213" ht="13.5" customHeight="1">
      <c r="A213" s="93" t="s">
        <v>288</v>
      </c>
      <c r="B213" s="992">
        <v>200.0</v>
      </c>
      <c r="C213" s="2080">
        <f t="shared" si="16"/>
        <v>24</v>
      </c>
      <c r="D213" s="249" t="s">
        <v>18</v>
      </c>
      <c r="E213" s="921"/>
      <c r="F213" s="11"/>
      <c r="G213" s="11"/>
      <c r="H213" s="11"/>
      <c r="I213" s="11"/>
      <c r="J213" s="11"/>
      <c r="K213" s="11"/>
    </row>
    <row r="214" ht="13.5" customHeight="1">
      <c r="A214" s="138" t="s">
        <v>1570</v>
      </c>
      <c r="B214" s="1777">
        <v>100.0</v>
      </c>
      <c r="C214" s="2080">
        <f t="shared" si="16"/>
        <v>12</v>
      </c>
      <c r="D214" s="242" t="s">
        <v>18</v>
      </c>
      <c r="E214" s="921"/>
      <c r="F214" s="11"/>
      <c r="G214" s="11"/>
      <c r="H214" s="11"/>
      <c r="I214" s="11"/>
      <c r="J214" s="11"/>
      <c r="K214" s="11"/>
    </row>
    <row r="215" ht="13.5" customHeight="1">
      <c r="A215" s="105" t="s">
        <v>112</v>
      </c>
      <c r="B215" s="981">
        <v>200.0</v>
      </c>
      <c r="C215" s="2083">
        <f t="shared" si="16"/>
        <v>24</v>
      </c>
      <c r="D215" s="518" t="s">
        <v>18</v>
      </c>
      <c r="E215" s="921"/>
      <c r="F215" s="11"/>
      <c r="G215" s="11"/>
      <c r="H215" s="11"/>
      <c r="I215" s="11"/>
      <c r="J215" s="11"/>
      <c r="K215" s="11"/>
    </row>
    <row r="216" ht="13.5" customHeight="1">
      <c r="A216" s="1640" t="s">
        <v>119</v>
      </c>
      <c r="B216" s="183" t="s">
        <v>47</v>
      </c>
      <c r="C216" s="107"/>
      <c r="D216" s="1"/>
      <c r="E216" s="11"/>
      <c r="F216" s="11"/>
      <c r="G216" s="11"/>
      <c r="H216" s="11"/>
      <c r="I216" s="11"/>
      <c r="J216" s="11"/>
      <c r="K216" s="11"/>
    </row>
    <row r="217" ht="13.5" customHeight="1">
      <c r="A217" s="90" t="s">
        <v>120</v>
      </c>
      <c r="B217" s="308">
        <v>41017.0</v>
      </c>
      <c r="C217" s="107"/>
      <c r="D217" s="1"/>
      <c r="E217" s="11"/>
      <c r="F217" s="11"/>
      <c r="G217" s="11"/>
      <c r="H217" s="11"/>
      <c r="I217" s="11"/>
      <c r="J217" s="11"/>
      <c r="K217" s="11"/>
    </row>
    <row r="218" ht="13.5" customHeight="1">
      <c r="A218" s="305" t="s">
        <v>50</v>
      </c>
      <c r="B218" s="308">
        <v>41793.0</v>
      </c>
      <c r="C218" s="107"/>
      <c r="D218" s="1"/>
      <c r="E218" s="11"/>
      <c r="F218" s="11"/>
      <c r="G218" s="11"/>
      <c r="H218" s="11"/>
      <c r="I218" s="11"/>
      <c r="J218" s="11"/>
      <c r="K218" s="11"/>
    </row>
    <row r="219" ht="13.5" customHeight="1">
      <c r="A219" s="11"/>
      <c r="B219" s="11"/>
      <c r="C219" s="1167"/>
      <c r="D219" s="11"/>
      <c r="E219" s="11"/>
      <c r="F219" s="11"/>
      <c r="G219" s="11"/>
      <c r="H219" s="11"/>
      <c r="I219" s="11"/>
      <c r="J219" s="11"/>
      <c r="K219" s="11"/>
    </row>
    <row r="220" ht="13.5" customHeight="1">
      <c r="A220" s="511" t="s">
        <v>656</v>
      </c>
      <c r="B220" s="18"/>
      <c r="C220" s="18"/>
      <c r="D220" s="19"/>
      <c r="E220" s="2112"/>
      <c r="F220" s="11"/>
      <c r="G220" s="11"/>
      <c r="H220" s="11"/>
      <c r="I220" s="11"/>
      <c r="J220" s="11"/>
      <c r="K220" s="11"/>
    </row>
    <row r="221" ht="13.5" customHeight="1">
      <c r="A221" s="68" t="s">
        <v>1</v>
      </c>
      <c r="B221" s="210">
        <v>100.0</v>
      </c>
      <c r="C221" s="145">
        <v>60.0</v>
      </c>
      <c r="D221" s="216" t="s">
        <v>5</v>
      </c>
      <c r="E221" s="921"/>
      <c r="F221" s="11"/>
      <c r="G221" s="11"/>
      <c r="H221" s="11"/>
      <c r="I221" s="11"/>
      <c r="J221" s="11"/>
      <c r="K221" s="11"/>
    </row>
    <row r="222" ht="13.5" customHeight="1">
      <c r="A222" s="93" t="s">
        <v>1574</v>
      </c>
      <c r="B222" s="247">
        <v>62.5</v>
      </c>
      <c r="C222" s="195">
        <f t="shared" ref="C222:C234" si="17">(B222*C221)/B221</f>
        <v>37.5</v>
      </c>
      <c r="D222" s="249" t="s">
        <v>14</v>
      </c>
      <c r="E222" s="921"/>
      <c r="F222" s="11"/>
      <c r="G222" s="11"/>
      <c r="H222" s="11"/>
      <c r="I222" s="11"/>
      <c r="J222" s="11"/>
      <c r="K222" s="11"/>
    </row>
    <row r="223" ht="13.5" customHeight="1">
      <c r="A223" s="138" t="s">
        <v>1503</v>
      </c>
      <c r="B223" s="239">
        <v>62.5</v>
      </c>
      <c r="C223" s="279">
        <f t="shared" si="17"/>
        <v>37.5</v>
      </c>
      <c r="D223" s="242" t="s">
        <v>14</v>
      </c>
      <c r="E223" s="921"/>
      <c r="F223" s="11"/>
      <c r="G223" s="11"/>
      <c r="H223" s="11"/>
      <c r="I223" s="11"/>
      <c r="J223" s="11"/>
      <c r="K223" s="11"/>
    </row>
    <row r="224" ht="13.5" customHeight="1">
      <c r="A224" s="68" t="s">
        <v>91</v>
      </c>
      <c r="B224" s="210">
        <v>5.0</v>
      </c>
      <c r="C224" s="145">
        <f t="shared" si="17"/>
        <v>3</v>
      </c>
      <c r="D224" s="216" t="s">
        <v>5</v>
      </c>
      <c r="E224" s="44" t="s">
        <v>2431</v>
      </c>
      <c r="F224" s="11"/>
      <c r="G224" s="11"/>
      <c r="H224" s="11"/>
      <c r="I224" s="11"/>
      <c r="J224" s="11"/>
      <c r="K224" s="11"/>
    </row>
    <row r="225" ht="13.5" customHeight="1">
      <c r="A225" s="93" t="s">
        <v>98</v>
      </c>
      <c r="B225" s="247">
        <v>400.0</v>
      </c>
      <c r="C225" s="195">
        <f t="shared" si="17"/>
        <v>240</v>
      </c>
      <c r="D225" s="249" t="s">
        <v>18</v>
      </c>
      <c r="E225" s="47"/>
      <c r="F225" s="11"/>
      <c r="G225" s="11"/>
      <c r="H225" s="11"/>
      <c r="I225" s="11"/>
      <c r="J225" s="11"/>
      <c r="K225" s="11"/>
    </row>
    <row r="226" ht="15.0" customHeight="1">
      <c r="A226" s="93" t="s">
        <v>1036</v>
      </c>
      <c r="B226" s="247">
        <v>50.0</v>
      </c>
      <c r="C226" s="195">
        <f t="shared" si="17"/>
        <v>30</v>
      </c>
      <c r="D226" s="249" t="s">
        <v>18</v>
      </c>
      <c r="E226" s="47"/>
      <c r="F226" s="11"/>
      <c r="G226" s="11"/>
      <c r="H226" s="11"/>
      <c r="I226" s="11"/>
      <c r="J226" s="11"/>
      <c r="K226" s="11"/>
    </row>
    <row r="227" ht="13.5" customHeight="1">
      <c r="A227" s="105" t="s">
        <v>103</v>
      </c>
      <c r="B227" s="522">
        <v>125.0</v>
      </c>
      <c r="C227" s="200">
        <f t="shared" si="17"/>
        <v>75</v>
      </c>
      <c r="D227" s="518" t="s">
        <v>18</v>
      </c>
      <c r="E227" s="76"/>
      <c r="F227" s="11"/>
      <c r="G227" s="11"/>
      <c r="H227" s="11"/>
      <c r="I227" s="11"/>
      <c r="J227" s="11"/>
      <c r="K227" s="11"/>
    </row>
    <row r="228" ht="13.5" customHeight="1">
      <c r="A228" s="68" t="s">
        <v>52</v>
      </c>
      <c r="B228" s="210">
        <v>250.0</v>
      </c>
      <c r="C228" s="145">
        <f t="shared" si="17"/>
        <v>150</v>
      </c>
      <c r="D228" s="216" t="s">
        <v>18</v>
      </c>
      <c r="E228" s="2114"/>
      <c r="F228" s="11"/>
      <c r="G228" s="11"/>
      <c r="H228" s="11"/>
      <c r="I228" s="11"/>
      <c r="J228" s="11"/>
      <c r="K228" s="11"/>
    </row>
    <row r="229" ht="13.5" customHeight="1">
      <c r="A229" s="105" t="s">
        <v>31</v>
      </c>
      <c r="B229" s="522">
        <v>1400.0</v>
      </c>
      <c r="C229" s="200">
        <f t="shared" si="17"/>
        <v>840</v>
      </c>
      <c r="D229" s="518" t="s">
        <v>18</v>
      </c>
      <c r="E229" s="1729"/>
      <c r="F229" s="11"/>
      <c r="G229" s="11"/>
      <c r="H229" s="11"/>
      <c r="I229" s="11"/>
      <c r="J229" s="11"/>
      <c r="K229" s="11"/>
    </row>
    <row r="230" ht="13.5" customHeight="1">
      <c r="A230" s="68" t="s">
        <v>1027</v>
      </c>
      <c r="B230" s="976">
        <v>250.0</v>
      </c>
      <c r="C230" s="2075">
        <f t="shared" si="17"/>
        <v>150</v>
      </c>
      <c r="D230" s="216" t="s">
        <v>18</v>
      </c>
      <c r="E230" s="921"/>
      <c r="F230" s="11"/>
      <c r="G230" s="11"/>
      <c r="H230" s="11"/>
      <c r="I230" s="11"/>
      <c r="J230" s="11"/>
      <c r="K230" s="11"/>
    </row>
    <row r="231" ht="13.5" customHeight="1">
      <c r="A231" s="93" t="s">
        <v>105</v>
      </c>
      <c r="B231" s="992">
        <v>100.0</v>
      </c>
      <c r="C231" s="2080">
        <f t="shared" si="17"/>
        <v>60</v>
      </c>
      <c r="D231" s="249" t="s">
        <v>18</v>
      </c>
      <c r="E231" s="921"/>
      <c r="F231" s="11"/>
      <c r="G231" s="11"/>
      <c r="H231" s="11"/>
      <c r="I231" s="11"/>
      <c r="J231" s="11"/>
      <c r="K231" s="11"/>
    </row>
    <row r="232" ht="13.5" customHeight="1">
      <c r="A232" s="93" t="s">
        <v>288</v>
      </c>
      <c r="B232" s="992">
        <v>200.0</v>
      </c>
      <c r="C232" s="2080">
        <f t="shared" si="17"/>
        <v>120</v>
      </c>
      <c r="D232" s="249" t="s">
        <v>18</v>
      </c>
      <c r="E232" s="921"/>
      <c r="F232" s="11"/>
      <c r="G232" s="11"/>
      <c r="H232" s="11"/>
      <c r="I232" s="11"/>
      <c r="J232" s="11"/>
      <c r="K232" s="11"/>
    </row>
    <row r="233" ht="13.5" customHeight="1">
      <c r="A233" s="138" t="s">
        <v>1570</v>
      </c>
      <c r="B233" s="1777">
        <v>100.0</v>
      </c>
      <c r="C233" s="2080">
        <f t="shared" si="17"/>
        <v>60</v>
      </c>
      <c r="D233" s="242" t="s">
        <v>18</v>
      </c>
      <c r="E233" s="921"/>
      <c r="F233" s="11"/>
      <c r="G233" s="11"/>
      <c r="H233" s="11"/>
      <c r="I233" s="11"/>
      <c r="J233" s="11"/>
      <c r="K233" s="11"/>
    </row>
    <row r="234" ht="13.5" customHeight="1">
      <c r="A234" s="105" t="s">
        <v>112</v>
      </c>
      <c r="B234" s="981">
        <v>200.0</v>
      </c>
      <c r="C234" s="2083">
        <f t="shared" si="17"/>
        <v>120</v>
      </c>
      <c r="D234" s="518" t="s">
        <v>18</v>
      </c>
      <c r="E234" s="921"/>
      <c r="F234" s="11"/>
      <c r="G234" s="11"/>
      <c r="H234" s="11"/>
      <c r="I234" s="11"/>
      <c r="J234" s="11"/>
      <c r="K234" s="11"/>
    </row>
    <row r="235" ht="13.5" customHeight="1">
      <c r="A235" s="1640" t="s">
        <v>119</v>
      </c>
      <c r="B235" s="183" t="s">
        <v>47</v>
      </c>
      <c r="C235" s="107"/>
      <c r="D235" s="1"/>
      <c r="E235" s="11"/>
      <c r="F235" s="11"/>
      <c r="G235" s="11"/>
      <c r="H235" s="11"/>
      <c r="I235" s="11"/>
      <c r="J235" s="11"/>
      <c r="K235" s="11"/>
    </row>
    <row r="236" ht="13.5" customHeight="1">
      <c r="A236" s="90" t="s">
        <v>120</v>
      </c>
      <c r="B236" s="308">
        <v>41023.0</v>
      </c>
      <c r="C236" s="107"/>
      <c r="D236" s="1"/>
      <c r="E236" s="11"/>
      <c r="F236" s="11"/>
      <c r="G236" s="11"/>
      <c r="H236" s="11"/>
      <c r="I236" s="11"/>
      <c r="J236" s="11"/>
      <c r="K236" s="11"/>
    </row>
    <row r="237" ht="13.5" customHeight="1">
      <c r="A237" s="305" t="s">
        <v>50</v>
      </c>
      <c r="B237" s="308">
        <v>41793.0</v>
      </c>
      <c r="C237" s="107"/>
      <c r="D237" s="1"/>
      <c r="E237" s="11"/>
      <c r="F237" s="11"/>
      <c r="G237" s="11"/>
      <c r="H237" s="11"/>
      <c r="I237" s="11"/>
      <c r="J237" s="11"/>
      <c r="K237" s="11"/>
    </row>
    <row r="238" ht="18.0" customHeight="1">
      <c r="A238" s="11"/>
      <c r="B238" s="11"/>
      <c r="C238" s="1167"/>
      <c r="D238" s="11"/>
      <c r="E238" s="11"/>
      <c r="F238" s="11"/>
      <c r="G238" s="11"/>
      <c r="H238" s="11"/>
      <c r="I238" s="11"/>
      <c r="J238" s="11"/>
      <c r="K238" s="11"/>
    </row>
    <row r="239" ht="13.5" customHeight="1">
      <c r="A239" s="343" t="s">
        <v>681</v>
      </c>
      <c r="B239" s="18"/>
      <c r="C239" s="18"/>
      <c r="D239" s="19"/>
      <c r="E239" s="11"/>
      <c r="F239" s="11"/>
      <c r="G239" s="11"/>
      <c r="H239" s="11"/>
      <c r="I239" s="11"/>
      <c r="J239" s="11"/>
      <c r="K239" s="11"/>
    </row>
    <row r="240" ht="13.5" customHeight="1">
      <c r="A240" s="163" t="s">
        <v>1</v>
      </c>
      <c r="B240" s="285">
        <v>100.0</v>
      </c>
      <c r="C240" s="221">
        <v>40.0</v>
      </c>
      <c r="D240" s="169" t="s">
        <v>5</v>
      </c>
      <c r="E240" s="2048"/>
      <c r="F240" s="11"/>
      <c r="G240" s="11"/>
      <c r="H240" s="11"/>
      <c r="I240" s="11"/>
      <c r="J240" s="11"/>
      <c r="K240" s="11"/>
    </row>
    <row r="241" ht="13.5" customHeight="1">
      <c r="A241" s="262" t="s">
        <v>1161</v>
      </c>
      <c r="B241" s="383">
        <v>100.0</v>
      </c>
      <c r="C241" s="50">
        <f t="shared" ref="C241:C250" si="18">(B241*C240)/B240</f>
        <v>40</v>
      </c>
      <c r="D241" s="267" t="s">
        <v>14</v>
      </c>
      <c r="E241" s="2254" t="s">
        <v>2498</v>
      </c>
      <c r="F241" s="11"/>
      <c r="G241" s="11"/>
      <c r="H241" s="11"/>
      <c r="I241" s="11"/>
      <c r="J241" s="11"/>
      <c r="K241" s="11"/>
    </row>
    <row r="242" ht="13.5" customHeight="1">
      <c r="A242" s="458" t="s">
        <v>1243</v>
      </c>
      <c r="B242" s="460">
        <v>3000.0</v>
      </c>
      <c r="C242" s="71">
        <f t="shared" si="18"/>
        <v>1200</v>
      </c>
      <c r="D242" s="463" t="s">
        <v>18</v>
      </c>
      <c r="E242" s="2258" t="s">
        <v>2499</v>
      </c>
      <c r="F242" s="11"/>
      <c r="G242" s="11"/>
      <c r="H242" s="11"/>
      <c r="I242" s="11"/>
      <c r="J242" s="11"/>
      <c r="K242" s="11"/>
    </row>
    <row r="243" ht="13.5" customHeight="1">
      <c r="A243" s="163" t="s">
        <v>184</v>
      </c>
      <c r="B243" s="285">
        <v>5.0</v>
      </c>
      <c r="C243" s="221">
        <f t="shared" si="18"/>
        <v>2</v>
      </c>
      <c r="D243" s="169" t="s">
        <v>5</v>
      </c>
      <c r="E243" s="2261" t="s">
        <v>2501</v>
      </c>
      <c r="F243" s="11"/>
      <c r="G243" s="11"/>
      <c r="H243" s="11"/>
      <c r="I243" s="11"/>
      <c r="J243" s="11"/>
      <c r="K243" s="11"/>
    </row>
    <row r="244" ht="13.5" customHeight="1">
      <c r="A244" s="177" t="s">
        <v>97</v>
      </c>
      <c r="B244" s="198">
        <v>200.0</v>
      </c>
      <c r="C244" s="27">
        <f t="shared" si="18"/>
        <v>80</v>
      </c>
      <c r="D244" s="204" t="s">
        <v>18</v>
      </c>
      <c r="E244" s="63"/>
      <c r="F244" s="11"/>
      <c r="G244" s="11"/>
      <c r="H244" s="11"/>
      <c r="I244" s="11"/>
      <c r="J244" s="11"/>
      <c r="K244" s="11"/>
    </row>
    <row r="245" ht="13.5" customHeight="1">
      <c r="A245" s="262" t="s">
        <v>98</v>
      </c>
      <c r="B245" s="383">
        <v>200.0</v>
      </c>
      <c r="C245" s="27">
        <f t="shared" si="18"/>
        <v>80</v>
      </c>
      <c r="D245" s="204" t="s">
        <v>18</v>
      </c>
      <c r="E245" s="63"/>
      <c r="F245" s="11"/>
      <c r="G245" s="11"/>
      <c r="H245" s="11"/>
      <c r="I245" s="11"/>
      <c r="J245" s="11"/>
      <c r="K245" s="11"/>
    </row>
    <row r="246" ht="13.5" customHeight="1">
      <c r="A246" s="262" t="s">
        <v>390</v>
      </c>
      <c r="B246" s="383">
        <v>100.0</v>
      </c>
      <c r="C246" s="50">
        <f t="shared" si="18"/>
        <v>40</v>
      </c>
      <c r="D246" s="267" t="s">
        <v>18</v>
      </c>
      <c r="E246" s="102"/>
      <c r="F246" s="11"/>
      <c r="G246" s="11"/>
      <c r="H246" s="11"/>
      <c r="I246" s="11"/>
      <c r="J246" s="11"/>
      <c r="K246" s="11"/>
    </row>
    <row r="247" ht="13.5" customHeight="1">
      <c r="A247" s="163" t="s">
        <v>52</v>
      </c>
      <c r="B247" s="285">
        <v>150.0</v>
      </c>
      <c r="C247" s="221">
        <f t="shared" si="18"/>
        <v>60</v>
      </c>
      <c r="D247" s="169" t="s">
        <v>18</v>
      </c>
      <c r="E247" s="1256" t="s">
        <v>2507</v>
      </c>
      <c r="F247" s="11"/>
      <c r="G247" s="11"/>
      <c r="H247" s="11"/>
      <c r="I247" s="11"/>
      <c r="J247" s="11"/>
      <c r="K247" s="11"/>
    </row>
    <row r="248" ht="13.5" customHeight="1">
      <c r="A248" s="177" t="s">
        <v>149</v>
      </c>
      <c r="B248" s="198">
        <v>500.0</v>
      </c>
      <c r="C248" s="27">
        <f t="shared" si="18"/>
        <v>200</v>
      </c>
      <c r="D248" s="204" t="s">
        <v>82</v>
      </c>
      <c r="F248" s="11"/>
      <c r="G248" s="11"/>
      <c r="H248" s="11"/>
      <c r="I248" s="11"/>
      <c r="J248" s="11"/>
      <c r="K248" s="11"/>
    </row>
    <row r="249" ht="13.5" customHeight="1">
      <c r="A249" s="208" t="s">
        <v>39</v>
      </c>
      <c r="B249" s="211">
        <v>500.0</v>
      </c>
      <c r="C249" s="236">
        <f t="shared" si="18"/>
        <v>200</v>
      </c>
      <c r="D249" s="212" t="s">
        <v>18</v>
      </c>
      <c r="E249" s="104"/>
      <c r="F249" s="11"/>
      <c r="G249" s="11"/>
      <c r="H249" s="11"/>
      <c r="I249" s="11"/>
      <c r="J249" s="11"/>
      <c r="K249" s="11"/>
    </row>
    <row r="250" ht="13.5" customHeight="1">
      <c r="A250" s="2263" t="s">
        <v>31</v>
      </c>
      <c r="B250" s="337">
        <v>1200.0</v>
      </c>
      <c r="C250" s="370">
        <f t="shared" si="18"/>
        <v>480</v>
      </c>
      <c r="D250" s="2264" t="s">
        <v>18</v>
      </c>
      <c r="E250" s="2265"/>
      <c r="F250" s="11"/>
      <c r="G250" s="11"/>
      <c r="H250" s="11"/>
      <c r="I250" s="11"/>
      <c r="J250" s="11"/>
      <c r="K250" s="11"/>
    </row>
    <row r="251" ht="13.5" customHeight="1">
      <c r="A251" s="2004" t="s">
        <v>119</v>
      </c>
      <c r="B251" s="85" t="s">
        <v>47</v>
      </c>
      <c r="C251" s="1167"/>
      <c r="D251" s="11"/>
      <c r="E251" s="11"/>
      <c r="F251" s="11"/>
      <c r="G251" s="11"/>
      <c r="H251" s="11"/>
      <c r="I251" s="11"/>
      <c r="J251" s="11"/>
      <c r="K251" s="11"/>
    </row>
    <row r="252" ht="13.5" customHeight="1">
      <c r="A252" s="90" t="s">
        <v>120</v>
      </c>
      <c r="B252" s="308">
        <v>41226.0</v>
      </c>
      <c r="C252" s="1167"/>
      <c r="D252" s="11"/>
      <c r="E252" s="11"/>
      <c r="F252" s="11"/>
      <c r="G252" s="11"/>
      <c r="H252" s="11"/>
      <c r="I252" s="11"/>
      <c r="J252" s="11"/>
      <c r="K252" s="11"/>
    </row>
    <row r="253" ht="13.5" customHeight="1">
      <c r="A253" s="90" t="s">
        <v>50</v>
      </c>
      <c r="B253" s="308"/>
      <c r="C253" s="1167"/>
      <c r="D253" s="11"/>
      <c r="E253" s="11"/>
      <c r="F253" s="11"/>
      <c r="G253" s="11"/>
      <c r="H253" s="11"/>
      <c r="I253" s="11"/>
      <c r="J253" s="11"/>
      <c r="K253" s="11"/>
    </row>
    <row r="254" ht="15.0" customHeight="1">
      <c r="A254" s="206" t="s">
        <v>724</v>
      </c>
      <c r="B254" s="5"/>
      <c r="C254" s="5"/>
      <c r="D254" s="6"/>
      <c r="E254" s="562"/>
      <c r="F254" s="11"/>
      <c r="G254" s="11"/>
      <c r="H254" s="11"/>
      <c r="I254" s="11"/>
      <c r="J254" s="11"/>
      <c r="K254" s="11"/>
    </row>
    <row r="255" ht="15.0" customHeight="1">
      <c r="A255" s="25" t="s">
        <v>1</v>
      </c>
      <c r="B255" s="808">
        <v>50.0</v>
      </c>
      <c r="C255" s="410">
        <v>10.0</v>
      </c>
      <c r="D255" s="28" t="s">
        <v>5</v>
      </c>
      <c r="E255" s="44" t="s">
        <v>2513</v>
      </c>
      <c r="F255" s="11"/>
      <c r="G255" s="11"/>
      <c r="H255" s="11"/>
      <c r="I255" s="11"/>
      <c r="J255" s="11"/>
      <c r="K255" s="11"/>
    </row>
    <row r="256" ht="15.0" customHeight="1">
      <c r="A256" s="1144" t="s">
        <v>91</v>
      </c>
      <c r="B256" s="316">
        <v>7.0</v>
      </c>
      <c r="C256" s="131">
        <f t="shared" ref="C256:C269" si="19">(B256*C255)/B255</f>
        <v>1.4</v>
      </c>
      <c r="D256" s="169" t="s">
        <v>5</v>
      </c>
      <c r="E256" s="47"/>
      <c r="F256" s="11"/>
      <c r="G256" s="11"/>
      <c r="H256" s="11"/>
      <c r="I256" s="11"/>
      <c r="J256" s="11"/>
      <c r="K256" s="11"/>
    </row>
    <row r="257" ht="15.0" customHeight="1">
      <c r="A257" s="898" t="s">
        <v>97</v>
      </c>
      <c r="B257" s="321">
        <v>150.0</v>
      </c>
      <c r="C257" s="160">
        <f t="shared" si="19"/>
        <v>30</v>
      </c>
      <c r="D257" s="204" t="s">
        <v>18</v>
      </c>
      <c r="E257" s="47"/>
      <c r="F257" s="11"/>
      <c r="G257" s="11"/>
      <c r="H257" s="11"/>
      <c r="I257" s="11"/>
      <c r="J257" s="11"/>
      <c r="K257" s="11"/>
    </row>
    <row r="258" ht="15.0" customHeight="1">
      <c r="A258" s="898" t="s">
        <v>98</v>
      </c>
      <c r="B258" s="321">
        <v>250.0</v>
      </c>
      <c r="C258" s="160">
        <f t="shared" si="19"/>
        <v>50</v>
      </c>
      <c r="D258" s="204" t="s">
        <v>18</v>
      </c>
      <c r="E258" s="47"/>
      <c r="F258" s="11"/>
      <c r="G258" s="11"/>
      <c r="H258" s="11"/>
      <c r="I258" s="11"/>
      <c r="J258" s="11"/>
      <c r="K258" s="11"/>
    </row>
    <row r="259" ht="15.75" customHeight="1">
      <c r="A259" s="898" t="s">
        <v>113</v>
      </c>
      <c r="B259" s="321">
        <v>75.0</v>
      </c>
      <c r="C259" s="160">
        <f t="shared" si="19"/>
        <v>15</v>
      </c>
      <c r="D259" s="204" t="s">
        <v>18</v>
      </c>
      <c r="E259" s="47"/>
      <c r="F259" s="11"/>
      <c r="G259" s="11"/>
      <c r="H259" s="11"/>
      <c r="I259" s="11"/>
      <c r="J259" s="11"/>
      <c r="K259" s="11"/>
    </row>
    <row r="260" ht="13.5" customHeight="1">
      <c r="A260" s="93" t="s">
        <v>148</v>
      </c>
      <c r="B260" s="247">
        <v>500.0</v>
      </c>
      <c r="C260" s="160">
        <f t="shared" si="19"/>
        <v>100</v>
      </c>
      <c r="D260" s="204" t="s">
        <v>18</v>
      </c>
      <c r="E260" s="47"/>
      <c r="F260" s="11"/>
      <c r="G260" s="11"/>
      <c r="H260" s="11"/>
      <c r="I260" s="11"/>
      <c r="J260" s="11"/>
      <c r="K260" s="11"/>
    </row>
    <row r="261" ht="13.5" customHeight="1">
      <c r="A261" s="93" t="s">
        <v>103</v>
      </c>
      <c r="B261" s="247">
        <v>150.0</v>
      </c>
      <c r="C261" s="195">
        <f t="shared" si="19"/>
        <v>30</v>
      </c>
      <c r="D261" s="249" t="s">
        <v>18</v>
      </c>
      <c r="E261" s="47"/>
      <c r="F261" s="11"/>
      <c r="G261" s="11"/>
      <c r="H261" s="11"/>
      <c r="I261" s="11"/>
      <c r="J261" s="11"/>
      <c r="K261" s="11"/>
    </row>
    <row r="262" ht="13.5" customHeight="1">
      <c r="A262" s="898" t="s">
        <v>2523</v>
      </c>
      <c r="B262" s="321">
        <v>125.0</v>
      </c>
      <c r="C262" s="160">
        <f t="shared" si="19"/>
        <v>25</v>
      </c>
      <c r="D262" s="204" t="s">
        <v>14</v>
      </c>
      <c r="E262" s="47"/>
      <c r="F262" s="11"/>
      <c r="G262" s="11"/>
      <c r="H262" s="11"/>
      <c r="I262" s="11"/>
      <c r="J262" s="11"/>
      <c r="K262" s="11"/>
    </row>
    <row r="263" ht="13.5" customHeight="1">
      <c r="A263" s="105" t="s">
        <v>52</v>
      </c>
      <c r="B263" s="522">
        <v>200.0</v>
      </c>
      <c r="C263" s="200">
        <f t="shared" si="19"/>
        <v>40</v>
      </c>
      <c r="D263" s="518" t="s">
        <v>18</v>
      </c>
      <c r="E263" s="76"/>
      <c r="F263" s="11"/>
      <c r="G263" s="11"/>
      <c r="H263" s="11"/>
      <c r="I263" s="11"/>
      <c r="J263" s="11"/>
      <c r="K263" s="11"/>
    </row>
    <row r="264" ht="13.5" customHeight="1">
      <c r="A264" s="173" t="s">
        <v>850</v>
      </c>
      <c r="B264" s="545">
        <v>15.0</v>
      </c>
      <c r="C264" s="275">
        <f t="shared" si="19"/>
        <v>3</v>
      </c>
      <c r="D264" s="547" t="s">
        <v>14</v>
      </c>
      <c r="E264" s="141"/>
      <c r="F264" s="11"/>
      <c r="G264" s="11"/>
      <c r="H264" s="11"/>
      <c r="I264" s="11"/>
      <c r="J264" s="11"/>
      <c r="K264" s="11"/>
    </row>
    <row r="265" ht="13.5" customHeight="1">
      <c r="A265" s="119" t="s">
        <v>112</v>
      </c>
      <c r="B265" s="523">
        <v>150.0</v>
      </c>
      <c r="C265" s="238">
        <f t="shared" si="19"/>
        <v>30</v>
      </c>
      <c r="D265" s="520" t="s">
        <v>18</v>
      </c>
      <c r="E265" s="1913" t="s">
        <v>2527</v>
      </c>
      <c r="F265" s="11"/>
      <c r="G265" s="11"/>
      <c r="H265" s="11"/>
      <c r="I265" s="11"/>
      <c r="J265" s="11"/>
      <c r="K265" s="11"/>
    </row>
    <row r="266" ht="13.5" customHeight="1">
      <c r="A266" s="93" t="s">
        <v>1570</v>
      </c>
      <c r="B266" s="247">
        <v>75.0</v>
      </c>
      <c r="C266" s="195">
        <f t="shared" si="19"/>
        <v>15</v>
      </c>
      <c r="D266" s="249" t="s">
        <v>18</v>
      </c>
      <c r="E266" s="63"/>
      <c r="F266" s="11"/>
      <c r="G266" s="11"/>
      <c r="H266" s="11"/>
      <c r="I266" s="11"/>
      <c r="J266" s="11"/>
      <c r="K266" s="11"/>
    </row>
    <row r="267" ht="13.5" customHeight="1">
      <c r="A267" s="138" t="s">
        <v>1027</v>
      </c>
      <c r="B267" s="239">
        <v>250.0</v>
      </c>
      <c r="C267" s="279">
        <f t="shared" si="19"/>
        <v>50</v>
      </c>
      <c r="D267" s="242" t="s">
        <v>18</v>
      </c>
      <c r="E267" s="63"/>
      <c r="F267" s="11"/>
      <c r="G267" s="11"/>
      <c r="H267" s="11"/>
      <c r="I267" s="11"/>
      <c r="J267" s="11"/>
      <c r="K267" s="11"/>
    </row>
    <row r="268" ht="13.5" customHeight="1">
      <c r="A268" s="138" t="s">
        <v>105</v>
      </c>
      <c r="B268" s="239">
        <v>100.0</v>
      </c>
      <c r="C268" s="279">
        <f t="shared" si="19"/>
        <v>20</v>
      </c>
      <c r="D268" s="242" t="s">
        <v>18</v>
      </c>
      <c r="E268" s="63"/>
      <c r="F268" s="11"/>
      <c r="G268" s="11"/>
      <c r="H268" s="11"/>
      <c r="I268" s="11"/>
      <c r="J268" s="11"/>
      <c r="K268" s="11"/>
    </row>
    <row r="269" ht="13.5" customHeight="1">
      <c r="A269" s="138" t="s">
        <v>31</v>
      </c>
      <c r="B269" s="239">
        <v>1800.0</v>
      </c>
      <c r="C269" s="279">
        <f t="shared" si="19"/>
        <v>360</v>
      </c>
      <c r="D269" s="242" t="s">
        <v>18</v>
      </c>
      <c r="E269" s="102"/>
      <c r="F269" s="11"/>
      <c r="G269" s="11"/>
      <c r="H269" s="11"/>
      <c r="I269" s="11"/>
      <c r="J269" s="11"/>
      <c r="K269" s="11"/>
    </row>
    <row r="270" ht="13.5" customHeight="1">
      <c r="A270" s="2275" t="s">
        <v>119</v>
      </c>
      <c r="B270" s="1446" t="s">
        <v>47</v>
      </c>
      <c r="C270" s="319"/>
      <c r="D270" s="2277"/>
      <c r="E270" s="11"/>
      <c r="F270" s="11"/>
      <c r="G270" s="11"/>
      <c r="H270" s="11"/>
      <c r="I270" s="11"/>
      <c r="J270" s="11"/>
      <c r="K270" s="11"/>
    </row>
    <row r="271" ht="13.5" customHeight="1">
      <c r="A271" s="90" t="s">
        <v>120</v>
      </c>
      <c r="B271" s="308">
        <v>41804.0</v>
      </c>
      <c r="C271" s="107"/>
      <c r="D271" s="1"/>
      <c r="E271" s="11"/>
      <c r="F271" s="11"/>
      <c r="G271" s="11"/>
      <c r="H271" s="11"/>
      <c r="I271" s="11"/>
      <c r="J271" s="11"/>
      <c r="K271" s="11"/>
    </row>
    <row r="272" ht="13.5" customHeight="1">
      <c r="A272" s="305" t="s">
        <v>50</v>
      </c>
      <c r="B272" s="308">
        <v>41804.0</v>
      </c>
      <c r="C272" s="107"/>
      <c r="D272" s="1"/>
      <c r="E272" s="11"/>
      <c r="F272" s="11"/>
      <c r="G272" s="11"/>
      <c r="H272" s="11"/>
      <c r="I272" s="11"/>
      <c r="J272" s="11"/>
      <c r="K272" s="11"/>
    </row>
    <row r="273" ht="13.5" customHeight="1">
      <c r="A273" s="505" t="s">
        <v>755</v>
      </c>
      <c r="B273" s="18"/>
      <c r="C273" s="18"/>
      <c r="D273" s="19"/>
      <c r="E273" s="2278"/>
      <c r="F273" s="11"/>
      <c r="G273" s="11"/>
      <c r="H273" s="11"/>
      <c r="I273" s="11"/>
      <c r="J273" s="11"/>
      <c r="K273" s="11"/>
    </row>
    <row r="274" ht="13.5" customHeight="1">
      <c r="A274" s="506" t="s">
        <v>1</v>
      </c>
      <c r="B274" s="2280">
        <v>100.0</v>
      </c>
      <c r="C274" s="507">
        <v>8.0</v>
      </c>
      <c r="D274" s="366" t="s">
        <v>5</v>
      </c>
      <c r="E274" s="2282" t="s">
        <v>2536</v>
      </c>
      <c r="F274" s="11"/>
      <c r="G274" s="11"/>
      <c r="H274" s="11"/>
      <c r="I274" s="11"/>
      <c r="J274" s="11"/>
      <c r="K274" s="11"/>
    </row>
    <row r="275" ht="13.5" customHeight="1">
      <c r="A275" s="1746" t="s">
        <v>2538</v>
      </c>
      <c r="B275" s="2283">
        <v>160.0</v>
      </c>
      <c r="C275" s="2284">
        <f t="shared" ref="C275:C280" si="20">(B275*C274)/B274</f>
        <v>12.8</v>
      </c>
      <c r="D275" s="1762" t="s">
        <v>14</v>
      </c>
      <c r="E275" s="47"/>
      <c r="F275" s="11"/>
      <c r="G275" s="11"/>
      <c r="H275" s="11"/>
      <c r="I275" s="11"/>
      <c r="J275" s="11"/>
      <c r="K275" s="11"/>
    </row>
    <row r="276" ht="13.5" customHeight="1">
      <c r="A276" s="345" t="s">
        <v>91</v>
      </c>
      <c r="B276" s="2287">
        <v>7.0</v>
      </c>
      <c r="C276" s="2288">
        <f t="shared" si="20"/>
        <v>0.56</v>
      </c>
      <c r="D276" s="348" t="s">
        <v>5</v>
      </c>
      <c r="E276" s="47"/>
      <c r="F276" s="11"/>
      <c r="G276" s="11"/>
      <c r="H276" s="11"/>
      <c r="I276" s="11"/>
      <c r="J276" s="11"/>
      <c r="K276" s="11"/>
    </row>
    <row r="277" ht="13.5" customHeight="1">
      <c r="A277" s="350" t="s">
        <v>97</v>
      </c>
      <c r="B277" s="1542">
        <v>250.0</v>
      </c>
      <c r="C277" s="2289">
        <f t="shared" si="20"/>
        <v>20</v>
      </c>
      <c r="D277" s="352" t="s">
        <v>18</v>
      </c>
      <c r="E277" s="47"/>
      <c r="F277" s="11"/>
      <c r="G277" s="11"/>
      <c r="H277" s="11"/>
      <c r="I277" s="11"/>
      <c r="J277" s="11"/>
      <c r="K277" s="11"/>
    </row>
    <row r="278" ht="13.5" customHeight="1">
      <c r="A278" s="350" t="s">
        <v>98</v>
      </c>
      <c r="B278" s="1542">
        <v>400.0</v>
      </c>
      <c r="C278" s="2289">
        <f t="shared" si="20"/>
        <v>32</v>
      </c>
      <c r="D278" s="352" t="s">
        <v>18</v>
      </c>
      <c r="E278" s="47"/>
      <c r="F278" s="11"/>
      <c r="G278" s="11"/>
      <c r="H278" s="11"/>
      <c r="I278" s="11"/>
      <c r="J278" s="11"/>
      <c r="K278" s="11"/>
    </row>
    <row r="279" ht="13.5" customHeight="1">
      <c r="A279" s="350" t="s">
        <v>103</v>
      </c>
      <c r="B279" s="1542">
        <v>250.0</v>
      </c>
      <c r="C279" s="2289">
        <f t="shared" si="20"/>
        <v>20</v>
      </c>
      <c r="D279" s="352" t="s">
        <v>18</v>
      </c>
      <c r="E279" s="47"/>
      <c r="F279" s="11"/>
      <c r="G279" s="11"/>
      <c r="H279" s="11"/>
      <c r="I279" s="11"/>
      <c r="J279" s="11"/>
      <c r="K279" s="11"/>
    </row>
    <row r="280" ht="13.5" customHeight="1">
      <c r="A280" s="350" t="s">
        <v>84</v>
      </c>
      <c r="B280" s="1542">
        <v>2000.0</v>
      </c>
      <c r="C280" s="2289">
        <f t="shared" si="20"/>
        <v>160</v>
      </c>
      <c r="D280" s="352" t="s">
        <v>18</v>
      </c>
      <c r="E280" s="47"/>
      <c r="F280" s="11"/>
      <c r="G280" s="11"/>
      <c r="H280" s="11"/>
      <c r="I280" s="11"/>
      <c r="J280" s="11"/>
      <c r="K280" s="11"/>
    </row>
    <row r="281" ht="15.0" customHeight="1">
      <c r="A281" s="354" t="s">
        <v>2542</v>
      </c>
      <c r="B281" s="2294">
        <v>1000.0</v>
      </c>
      <c r="C281" s="2297">
        <f>(B281*C282)/B282</f>
        <v>80</v>
      </c>
      <c r="D281" s="356" t="s">
        <v>18</v>
      </c>
      <c r="E281" s="47"/>
      <c r="F281" s="11"/>
      <c r="G281" s="11"/>
      <c r="H281" s="11"/>
      <c r="I281" s="11"/>
      <c r="J281" s="11"/>
      <c r="K281" s="11"/>
    </row>
    <row r="282" ht="13.5" customHeight="1">
      <c r="A282" s="345" t="s">
        <v>490</v>
      </c>
      <c r="B282" s="2287">
        <v>10.0</v>
      </c>
      <c r="C282" s="2288">
        <f>(B282*C280)/B280</f>
        <v>0.8</v>
      </c>
      <c r="D282" s="348" t="s">
        <v>14</v>
      </c>
      <c r="E282" s="47"/>
      <c r="F282" s="11"/>
      <c r="G282" s="11"/>
      <c r="H282" s="11"/>
      <c r="I282" s="11"/>
      <c r="J282" s="11"/>
      <c r="K282" s="11"/>
    </row>
    <row r="283" ht="13.5" customHeight="1">
      <c r="A283" s="350" t="s">
        <v>2386</v>
      </c>
      <c r="B283" s="1542">
        <v>250.0</v>
      </c>
      <c r="C283" s="2289">
        <f>(B283*C285)/B285</f>
        <v>20</v>
      </c>
      <c r="D283" s="352" t="s">
        <v>18</v>
      </c>
      <c r="E283" s="47"/>
      <c r="F283" s="11"/>
      <c r="G283" s="11"/>
      <c r="H283" s="11"/>
      <c r="I283" s="11"/>
      <c r="J283" s="11"/>
      <c r="K283" s="11"/>
    </row>
    <row r="284" ht="15.0" customHeight="1">
      <c r="A284" s="350" t="s">
        <v>112</v>
      </c>
      <c r="B284" s="1542">
        <v>150.0</v>
      </c>
      <c r="C284" s="2289">
        <f>(B284*C283)/B283</f>
        <v>12</v>
      </c>
      <c r="D284" s="352" t="s">
        <v>18</v>
      </c>
      <c r="E284" s="47"/>
      <c r="F284" s="11"/>
      <c r="G284" s="11"/>
      <c r="H284" s="11"/>
      <c r="I284" s="11"/>
      <c r="J284" s="11"/>
      <c r="K284" s="11"/>
    </row>
    <row r="285" ht="13.5" customHeight="1">
      <c r="A285" s="606" t="s">
        <v>850</v>
      </c>
      <c r="B285" s="1545">
        <v>15.0</v>
      </c>
      <c r="C285" s="2301">
        <f>(B285*C281)/B281</f>
        <v>1.2</v>
      </c>
      <c r="D285" s="1475" t="s">
        <v>14</v>
      </c>
      <c r="E285" s="47"/>
      <c r="F285" s="11"/>
      <c r="G285" s="11"/>
      <c r="H285" s="11"/>
      <c r="I285" s="11"/>
      <c r="J285" s="11"/>
      <c r="K285" s="11"/>
    </row>
    <row r="286" ht="13.5" customHeight="1">
      <c r="A286" s="591" t="s">
        <v>31</v>
      </c>
      <c r="B286" s="2305">
        <v>1550.0</v>
      </c>
      <c r="C286" s="2313">
        <f>(B286*C284)/B284</f>
        <v>124</v>
      </c>
      <c r="D286" s="1457" t="s">
        <v>18</v>
      </c>
      <c r="E286" s="47"/>
      <c r="F286" s="11"/>
      <c r="G286" s="11"/>
      <c r="H286" s="11"/>
      <c r="I286" s="11"/>
      <c r="J286" s="11"/>
      <c r="K286" s="11"/>
    </row>
    <row r="287" ht="15.0" customHeight="1">
      <c r="A287" s="354" t="s">
        <v>288</v>
      </c>
      <c r="B287" s="2294">
        <v>250.0</v>
      </c>
      <c r="C287" s="2297">
        <f t="shared" ref="C287:C288" si="21">(B287*C286)/B286</f>
        <v>20</v>
      </c>
      <c r="D287" s="356" t="s">
        <v>18</v>
      </c>
      <c r="E287" s="76"/>
      <c r="F287" s="11"/>
      <c r="G287" s="11"/>
      <c r="H287" s="11"/>
      <c r="I287" s="11"/>
      <c r="J287" s="11"/>
      <c r="K287" s="11"/>
    </row>
    <row r="288" ht="13.5" customHeight="1">
      <c r="A288" s="360" t="s">
        <v>2421</v>
      </c>
      <c r="B288" s="2280">
        <v>5.0</v>
      </c>
      <c r="C288" s="2323">
        <f t="shared" si="21"/>
        <v>0.4</v>
      </c>
      <c r="D288" s="366" t="s">
        <v>5</v>
      </c>
      <c r="E288" s="2324" t="s">
        <v>2552</v>
      </c>
      <c r="F288" s="11"/>
      <c r="G288" s="11"/>
      <c r="H288" s="11"/>
      <c r="I288" s="11"/>
      <c r="J288" s="11"/>
      <c r="K288" s="11"/>
    </row>
    <row r="289" ht="13.5" customHeight="1">
      <c r="A289" s="1640" t="s">
        <v>119</v>
      </c>
      <c r="B289" s="183" t="s">
        <v>47</v>
      </c>
      <c r="C289" s="1167"/>
      <c r="D289" s="11"/>
      <c r="E289" s="11"/>
      <c r="F289" s="11"/>
      <c r="G289" s="11"/>
      <c r="H289" s="11"/>
      <c r="I289" s="11"/>
      <c r="J289" s="11"/>
      <c r="K289" s="11"/>
    </row>
    <row r="290" ht="15.75" customHeight="1">
      <c r="A290" s="2331" t="s">
        <v>2554</v>
      </c>
      <c r="B290" s="5"/>
      <c r="C290" s="5"/>
      <c r="D290" s="6"/>
      <c r="E290" s="11"/>
      <c r="F290" s="11"/>
      <c r="G290" s="11"/>
      <c r="H290" s="11"/>
      <c r="I290" s="11"/>
      <c r="J290" s="11"/>
      <c r="K290" s="11"/>
    </row>
    <row r="291" ht="13.5" customHeight="1">
      <c r="A291" s="63"/>
      <c r="D291" s="66"/>
      <c r="E291" s="11"/>
      <c r="F291" s="11"/>
      <c r="G291" s="11"/>
      <c r="H291" s="11"/>
      <c r="I291" s="11"/>
      <c r="J291" s="11"/>
      <c r="K291" s="11"/>
    </row>
    <row r="292" ht="13.5" customHeight="1">
      <c r="A292" s="102"/>
      <c r="B292" s="104"/>
      <c r="C292" s="104"/>
      <c r="D292" s="106"/>
      <c r="E292" s="11"/>
      <c r="F292" s="11"/>
      <c r="G292" s="11"/>
      <c r="H292" s="11"/>
      <c r="I292" s="11"/>
      <c r="J292" s="11"/>
      <c r="K292" s="11"/>
    </row>
    <row r="293" ht="13.5" customHeight="1">
      <c r="A293" s="90" t="s">
        <v>49</v>
      </c>
      <c r="B293" s="308">
        <v>41550.0</v>
      </c>
      <c r="C293" s="1167"/>
      <c r="D293" s="11"/>
      <c r="E293" s="11"/>
      <c r="F293" s="11"/>
      <c r="G293" s="11"/>
      <c r="H293" s="11"/>
      <c r="I293" s="11"/>
      <c r="J293" s="11"/>
      <c r="K293" s="11"/>
    </row>
    <row r="294" ht="13.5" customHeight="1">
      <c r="A294" s="90" t="s">
        <v>50</v>
      </c>
      <c r="B294" s="308">
        <v>41806.0</v>
      </c>
      <c r="C294" s="1167"/>
      <c r="D294" s="11"/>
      <c r="E294" s="11"/>
      <c r="F294" s="11"/>
      <c r="G294" s="11"/>
      <c r="H294" s="11"/>
      <c r="I294" s="11"/>
      <c r="J294" s="11"/>
      <c r="K294" s="11"/>
    </row>
    <row r="295" ht="13.5" customHeight="1">
      <c r="A295" s="11"/>
      <c r="B295" s="11"/>
      <c r="C295" s="1167"/>
      <c r="D295" s="11"/>
      <c r="E295" s="11"/>
      <c r="F295" s="11"/>
      <c r="G295" s="11"/>
      <c r="H295" s="11"/>
      <c r="I295" s="11"/>
      <c r="J295" s="11"/>
      <c r="K295" s="11"/>
    </row>
    <row r="296" ht="13.5" customHeight="1">
      <c r="A296" s="206" t="s">
        <v>782</v>
      </c>
      <c r="B296" s="5"/>
      <c r="C296" s="5"/>
      <c r="D296" s="6"/>
      <c r="E296" s="11"/>
      <c r="F296" s="11"/>
      <c r="G296" s="206" t="s">
        <v>435</v>
      </c>
      <c r="H296" s="5"/>
      <c r="I296" s="5"/>
      <c r="J296" s="6"/>
      <c r="K296" s="11"/>
    </row>
    <row r="297" ht="15.75" customHeight="1">
      <c r="A297" s="51" t="s">
        <v>1</v>
      </c>
      <c r="B297" s="53">
        <v>100.0</v>
      </c>
      <c r="C297" s="190">
        <v>10.0</v>
      </c>
      <c r="D297" s="514" t="s">
        <v>5</v>
      </c>
      <c r="E297" s="11"/>
      <c r="F297" s="11"/>
      <c r="G297" s="51" t="s">
        <v>1</v>
      </c>
      <c r="H297" s="53">
        <v>100.0</v>
      </c>
      <c r="I297" s="190">
        <v>7.0</v>
      </c>
      <c r="J297" s="514" t="s">
        <v>5</v>
      </c>
      <c r="K297" s="11"/>
    </row>
    <row r="298" ht="13.5" customHeight="1">
      <c r="A298" s="68" t="s">
        <v>2562</v>
      </c>
      <c r="B298" s="210">
        <v>70.0</v>
      </c>
      <c r="C298" s="145">
        <f t="shared" ref="C298:C309" si="22">(B298*C297)/B297</f>
        <v>7</v>
      </c>
      <c r="D298" s="216" t="s">
        <v>14</v>
      </c>
      <c r="E298" s="44" t="s">
        <v>2567</v>
      </c>
      <c r="F298" s="11"/>
      <c r="G298" s="68" t="s">
        <v>2562</v>
      </c>
      <c r="H298" s="210">
        <v>40.0</v>
      </c>
      <c r="I298" s="145">
        <f t="shared" ref="I298:I299" si="23">(H298*I297)/H297</f>
        <v>2.8</v>
      </c>
      <c r="J298" s="216" t="s">
        <v>14</v>
      </c>
      <c r="K298" s="11"/>
    </row>
    <row r="299" ht="13.5" customHeight="1">
      <c r="A299" s="105" t="s">
        <v>31</v>
      </c>
      <c r="B299" s="522">
        <v>1500.0</v>
      </c>
      <c r="C299" s="200">
        <f t="shared" si="22"/>
        <v>150</v>
      </c>
      <c r="D299" s="518" t="s">
        <v>18</v>
      </c>
      <c r="E299" s="76"/>
      <c r="F299" s="11"/>
      <c r="G299" s="68" t="s">
        <v>2575</v>
      </c>
      <c r="H299" s="210">
        <v>40.0</v>
      </c>
      <c r="I299" s="145">
        <f t="shared" si="23"/>
        <v>2.8</v>
      </c>
      <c r="J299" s="216" t="s">
        <v>14</v>
      </c>
      <c r="K299" s="11"/>
    </row>
    <row r="300" ht="13.5" customHeight="1">
      <c r="A300" s="119" t="s">
        <v>34</v>
      </c>
      <c r="B300" s="523">
        <v>3.0</v>
      </c>
      <c r="C300" s="238">
        <f t="shared" si="22"/>
        <v>0.3</v>
      </c>
      <c r="D300" s="520" t="s">
        <v>5</v>
      </c>
      <c r="E300" s="44" t="s">
        <v>2581</v>
      </c>
      <c r="F300" s="11"/>
      <c r="G300" s="105" t="s">
        <v>31</v>
      </c>
      <c r="H300" s="522">
        <v>1500.0</v>
      </c>
      <c r="I300" s="200">
        <f>(H300*I298)/H298</f>
        <v>105</v>
      </c>
      <c r="J300" s="518" t="s">
        <v>18</v>
      </c>
      <c r="K300" s="11"/>
    </row>
    <row r="301" ht="13.5" customHeight="1">
      <c r="A301" s="93" t="s">
        <v>97</v>
      </c>
      <c r="B301" s="247">
        <v>250.0</v>
      </c>
      <c r="C301" s="195">
        <f t="shared" si="22"/>
        <v>25</v>
      </c>
      <c r="D301" s="249" t="s">
        <v>18</v>
      </c>
      <c r="E301" s="47"/>
      <c r="F301" s="11"/>
      <c r="G301" s="119" t="s">
        <v>34</v>
      </c>
      <c r="H301" s="523">
        <v>3.0</v>
      </c>
      <c r="I301" s="238">
        <f t="shared" ref="I301:I310" si="24">(H301*I300)/H300</f>
        <v>0.21</v>
      </c>
      <c r="J301" s="520" t="s">
        <v>5</v>
      </c>
      <c r="K301" s="11"/>
    </row>
    <row r="302" ht="13.5" customHeight="1">
      <c r="A302" s="93" t="s">
        <v>345</v>
      </c>
      <c r="B302" s="247">
        <v>1.0</v>
      </c>
      <c r="C302" s="195">
        <f t="shared" si="22"/>
        <v>0.1</v>
      </c>
      <c r="D302" s="249" t="s">
        <v>14</v>
      </c>
      <c r="E302" s="47"/>
      <c r="F302" s="11"/>
      <c r="G302" s="93" t="s">
        <v>97</v>
      </c>
      <c r="H302" s="247">
        <v>250.0</v>
      </c>
      <c r="I302" s="195">
        <f t="shared" si="24"/>
        <v>17.5</v>
      </c>
      <c r="J302" s="249" t="s">
        <v>18</v>
      </c>
      <c r="K302" s="11"/>
    </row>
    <row r="303" ht="13.5" customHeight="1">
      <c r="A303" s="93" t="s">
        <v>311</v>
      </c>
      <c r="B303" s="247">
        <v>1.0</v>
      </c>
      <c r="C303" s="195">
        <f t="shared" si="22"/>
        <v>0.1</v>
      </c>
      <c r="D303" s="249" t="s">
        <v>14</v>
      </c>
      <c r="E303" s="47"/>
      <c r="F303" s="11"/>
      <c r="G303" s="93" t="s">
        <v>345</v>
      </c>
      <c r="H303" s="247">
        <v>1.0</v>
      </c>
      <c r="I303" s="195">
        <f t="shared" si="24"/>
        <v>0.07</v>
      </c>
      <c r="J303" s="249" t="s">
        <v>14</v>
      </c>
      <c r="K303" s="11"/>
    </row>
    <row r="304" ht="13.5" customHeight="1">
      <c r="A304" s="1783" t="s">
        <v>83</v>
      </c>
      <c r="B304" s="94">
        <v>1000.0</v>
      </c>
      <c r="C304" s="1213">
        <f t="shared" si="22"/>
        <v>100</v>
      </c>
      <c r="D304" s="1588" t="s">
        <v>18</v>
      </c>
      <c r="E304" s="47"/>
      <c r="F304" s="11"/>
      <c r="G304" s="93" t="s">
        <v>311</v>
      </c>
      <c r="H304" s="247">
        <v>1.0</v>
      </c>
      <c r="I304" s="195">
        <f t="shared" si="24"/>
        <v>0.07</v>
      </c>
      <c r="J304" s="249" t="s">
        <v>14</v>
      </c>
      <c r="K304" s="11"/>
    </row>
    <row r="305" ht="13.5" customHeight="1">
      <c r="A305" s="93" t="s">
        <v>101</v>
      </c>
      <c r="B305" s="247">
        <v>2.0</v>
      </c>
      <c r="C305" s="195">
        <f t="shared" si="22"/>
        <v>0.2</v>
      </c>
      <c r="D305" s="249" t="s">
        <v>5</v>
      </c>
      <c r="E305" s="47"/>
      <c r="F305" s="11"/>
      <c r="G305" s="1783" t="s">
        <v>83</v>
      </c>
      <c r="H305" s="94">
        <v>1000.0</v>
      </c>
      <c r="I305" s="1213">
        <f t="shared" si="24"/>
        <v>70</v>
      </c>
      <c r="J305" s="1588" t="s">
        <v>18</v>
      </c>
      <c r="K305" s="11"/>
    </row>
    <row r="306" ht="13.5" customHeight="1">
      <c r="A306" s="105" t="s">
        <v>103</v>
      </c>
      <c r="B306" s="522">
        <v>150.0</v>
      </c>
      <c r="C306" s="200">
        <f t="shared" si="22"/>
        <v>15</v>
      </c>
      <c r="D306" s="518" t="s">
        <v>18</v>
      </c>
      <c r="E306" s="47"/>
      <c r="F306" s="11"/>
      <c r="G306" s="93" t="s">
        <v>101</v>
      </c>
      <c r="H306" s="247">
        <v>2.0</v>
      </c>
      <c r="I306" s="195">
        <f t="shared" si="24"/>
        <v>0.14</v>
      </c>
      <c r="J306" s="249" t="s">
        <v>5</v>
      </c>
      <c r="K306" s="11"/>
    </row>
    <row r="307" ht="13.5" customHeight="1">
      <c r="A307" s="417" t="s">
        <v>31</v>
      </c>
      <c r="B307" s="541">
        <v>500.0</v>
      </c>
      <c r="C307" s="418">
        <f t="shared" si="22"/>
        <v>50</v>
      </c>
      <c r="D307" s="543" t="s">
        <v>18</v>
      </c>
      <c r="E307" s="76"/>
      <c r="F307" s="11"/>
      <c r="G307" s="105" t="s">
        <v>103</v>
      </c>
      <c r="H307" s="522">
        <v>150.0</v>
      </c>
      <c r="I307" s="200">
        <f t="shared" si="24"/>
        <v>10.5</v>
      </c>
      <c r="J307" s="518" t="s">
        <v>18</v>
      </c>
      <c r="K307" s="11"/>
    </row>
    <row r="308" ht="13.5" customHeight="1">
      <c r="A308" s="68" t="s">
        <v>963</v>
      </c>
      <c r="B308" s="210">
        <v>10.0</v>
      </c>
      <c r="C308" s="145">
        <f t="shared" si="22"/>
        <v>1</v>
      </c>
      <c r="D308" s="216" t="s">
        <v>14</v>
      </c>
      <c r="E308" s="44"/>
      <c r="F308" s="11"/>
      <c r="G308" s="417" t="s">
        <v>31</v>
      </c>
      <c r="H308" s="541">
        <v>500.0</v>
      </c>
      <c r="I308" s="418">
        <f t="shared" si="24"/>
        <v>35</v>
      </c>
      <c r="J308" s="543" t="s">
        <v>18</v>
      </c>
      <c r="K308" s="11"/>
    </row>
    <row r="309" ht="13.5" customHeight="1">
      <c r="A309" s="105" t="s">
        <v>858</v>
      </c>
      <c r="B309" s="522">
        <v>40.0</v>
      </c>
      <c r="C309" s="200">
        <f t="shared" si="22"/>
        <v>4</v>
      </c>
      <c r="D309" s="518" t="s">
        <v>9</v>
      </c>
      <c r="E309" s="76"/>
      <c r="F309" s="11"/>
      <c r="G309" s="68" t="s">
        <v>963</v>
      </c>
      <c r="H309" s="210">
        <v>10.0</v>
      </c>
      <c r="I309" s="145">
        <f t="shared" si="24"/>
        <v>0.7</v>
      </c>
      <c r="J309" s="216" t="s">
        <v>14</v>
      </c>
      <c r="K309" s="11"/>
    </row>
    <row r="310" ht="13.5" customHeight="1">
      <c r="A310" s="1187" t="s">
        <v>119</v>
      </c>
      <c r="B310" s="818" t="s">
        <v>47</v>
      </c>
      <c r="C310" s="107"/>
      <c r="D310" s="1"/>
      <c r="E310" s="11"/>
      <c r="F310" s="11"/>
      <c r="G310" s="105" t="s">
        <v>858</v>
      </c>
      <c r="H310" s="522">
        <v>40.0</v>
      </c>
      <c r="I310" s="200">
        <f t="shared" si="24"/>
        <v>2.8</v>
      </c>
      <c r="J310" s="518" t="s">
        <v>9</v>
      </c>
      <c r="K310" s="11"/>
    </row>
    <row r="311" ht="13.5" customHeight="1">
      <c r="A311" s="550" t="s">
        <v>49</v>
      </c>
      <c r="B311" s="551">
        <v>41494.0</v>
      </c>
      <c r="C311" s="107"/>
      <c r="D311" s="1"/>
      <c r="E311" s="11"/>
      <c r="F311" s="11"/>
      <c r="G311" s="11"/>
      <c r="H311" s="11"/>
      <c r="I311" s="11"/>
      <c r="J311" s="11"/>
      <c r="K311" s="11"/>
    </row>
    <row r="312" ht="13.5" customHeight="1">
      <c r="A312" s="552" t="s">
        <v>50</v>
      </c>
      <c r="B312" s="551">
        <v>43284.0</v>
      </c>
      <c r="C312" s="107"/>
      <c r="D312" s="1"/>
      <c r="E312" s="11"/>
      <c r="F312" s="11"/>
      <c r="G312" s="11"/>
      <c r="H312" s="11"/>
      <c r="I312" s="11"/>
      <c r="J312" s="11"/>
      <c r="K312" s="11"/>
    </row>
    <row r="313" ht="13.5" customHeight="1">
      <c r="A313" s="11"/>
      <c r="B313" s="11"/>
      <c r="C313" s="1167"/>
      <c r="D313" s="11"/>
      <c r="E313" s="11"/>
      <c r="F313" s="11"/>
      <c r="G313" s="11"/>
      <c r="H313" s="11"/>
      <c r="I313" s="11"/>
      <c r="J313" s="11"/>
      <c r="K313" s="11"/>
    </row>
    <row r="314" ht="13.5" customHeight="1">
      <c r="A314" s="206" t="s">
        <v>799</v>
      </c>
      <c r="B314" s="5"/>
      <c r="C314" s="5"/>
      <c r="D314" s="5"/>
      <c r="E314" s="247"/>
      <c r="F314" s="11"/>
      <c r="G314" s="11"/>
      <c r="H314" s="11"/>
      <c r="I314" s="11"/>
      <c r="J314" s="11"/>
      <c r="K314" s="11"/>
    </row>
    <row r="315" ht="13.5" customHeight="1">
      <c r="A315" s="25" t="s">
        <v>1</v>
      </c>
      <c r="B315" s="26">
        <v>20.0</v>
      </c>
      <c r="C315" s="2353">
        <v>90.0</v>
      </c>
      <c r="D315" s="1505" t="s">
        <v>5</v>
      </c>
      <c r="E315" s="92" t="s">
        <v>2599</v>
      </c>
      <c r="F315" s="11"/>
      <c r="G315" s="11"/>
      <c r="H315" s="11"/>
      <c r="I315" s="11"/>
      <c r="J315" s="11"/>
      <c r="K315" s="11"/>
    </row>
    <row r="316" ht="13.5" customHeight="1">
      <c r="A316" s="1144" t="s">
        <v>1327</v>
      </c>
      <c r="B316" s="316">
        <v>18.0</v>
      </c>
      <c r="C316" s="131">
        <f t="shared" ref="C316:C321" si="25">(B316*C315)/B315</f>
        <v>81</v>
      </c>
      <c r="D316" s="991" t="s">
        <v>14</v>
      </c>
      <c r="E316" s="98"/>
      <c r="F316" s="11"/>
      <c r="G316" s="11"/>
      <c r="H316" s="11"/>
      <c r="I316" s="11"/>
      <c r="J316" s="11"/>
      <c r="K316" s="11"/>
    </row>
    <row r="317" ht="13.5" customHeight="1">
      <c r="A317" s="898" t="s">
        <v>142</v>
      </c>
      <c r="B317" s="321">
        <v>4.0</v>
      </c>
      <c r="C317" s="160">
        <f t="shared" si="25"/>
        <v>18</v>
      </c>
      <c r="D317" s="993" t="s">
        <v>741</v>
      </c>
      <c r="E317" s="98"/>
      <c r="F317" s="11"/>
      <c r="G317" s="11"/>
      <c r="H317" s="11"/>
      <c r="I317" s="11"/>
      <c r="J317" s="11"/>
      <c r="K317" s="11"/>
    </row>
    <row r="318" ht="13.5" customHeight="1">
      <c r="A318" s="898" t="s">
        <v>1132</v>
      </c>
      <c r="B318" s="321">
        <v>500.0</v>
      </c>
      <c r="C318" s="160">
        <f t="shared" si="25"/>
        <v>2250</v>
      </c>
      <c r="D318" s="993" t="s">
        <v>18</v>
      </c>
      <c r="E318" s="98"/>
      <c r="F318" s="11"/>
      <c r="G318" s="11"/>
      <c r="H318" s="11"/>
      <c r="I318" s="11"/>
      <c r="J318" s="11"/>
      <c r="K318" s="11"/>
    </row>
    <row r="319" ht="13.5" customHeight="1">
      <c r="A319" s="93" t="s">
        <v>2602</v>
      </c>
      <c r="B319" s="247">
        <v>500.0</v>
      </c>
      <c r="C319" s="195">
        <f t="shared" si="25"/>
        <v>2250</v>
      </c>
      <c r="D319" s="993" t="s">
        <v>18</v>
      </c>
      <c r="E319" s="98"/>
      <c r="F319" s="11"/>
      <c r="G319" s="11"/>
      <c r="H319" s="11"/>
      <c r="I319" s="11"/>
      <c r="J319" s="11"/>
      <c r="K319" s="11"/>
    </row>
    <row r="320" ht="13.5" customHeight="1">
      <c r="A320" s="93" t="s">
        <v>2603</v>
      </c>
      <c r="B320" s="247">
        <v>10.0</v>
      </c>
      <c r="C320" s="195">
        <f t="shared" si="25"/>
        <v>45</v>
      </c>
      <c r="D320" s="95" t="s">
        <v>18</v>
      </c>
      <c r="E320" s="98"/>
      <c r="F320" s="11"/>
      <c r="G320" s="11"/>
      <c r="H320" s="11"/>
      <c r="I320" s="11"/>
      <c r="J320" s="11"/>
      <c r="K320" s="11"/>
    </row>
    <row r="321" ht="13.5" customHeight="1">
      <c r="A321" s="1151" t="s">
        <v>79</v>
      </c>
      <c r="B321" s="318">
        <v>8.0</v>
      </c>
      <c r="C321" s="167">
        <f t="shared" si="25"/>
        <v>36</v>
      </c>
      <c r="D321" s="996" t="s">
        <v>14</v>
      </c>
      <c r="E321" s="115"/>
      <c r="F321" s="11"/>
      <c r="G321" s="11"/>
      <c r="H321" s="11"/>
      <c r="I321" s="11"/>
      <c r="J321" s="11"/>
      <c r="K321" s="11"/>
    </row>
    <row r="322" ht="13.5" customHeight="1">
      <c r="A322" s="119" t="s">
        <v>91</v>
      </c>
      <c r="B322" s="523">
        <v>0.5</v>
      </c>
      <c r="C322" s="418">
        <f t="shared" ref="C322:C325" si="26">(B322*C319)/B319</f>
        <v>2.25</v>
      </c>
      <c r="D322" s="132" t="s">
        <v>5</v>
      </c>
      <c r="E322" s="1427" t="s">
        <v>2607</v>
      </c>
      <c r="F322" s="11"/>
      <c r="G322" s="11"/>
      <c r="H322" s="11"/>
      <c r="I322" s="11"/>
      <c r="J322" s="11"/>
      <c r="K322" s="11"/>
    </row>
    <row r="323" ht="13.5" customHeight="1">
      <c r="A323" s="138" t="s">
        <v>103</v>
      </c>
      <c r="B323" s="239">
        <v>20.0</v>
      </c>
      <c r="C323" s="279">
        <f t="shared" si="26"/>
        <v>90</v>
      </c>
      <c r="D323" s="151" t="s">
        <v>18</v>
      </c>
      <c r="E323" s="98"/>
      <c r="F323" s="11"/>
      <c r="G323" s="11"/>
      <c r="H323" s="11"/>
      <c r="I323" s="11"/>
      <c r="J323" s="11"/>
      <c r="K323" s="11"/>
    </row>
    <row r="324" ht="13.5" customHeight="1">
      <c r="A324" s="93" t="s">
        <v>101</v>
      </c>
      <c r="B324" s="247">
        <v>0.2</v>
      </c>
      <c r="C324" s="279">
        <f t="shared" si="26"/>
        <v>0.9</v>
      </c>
      <c r="D324" s="95" t="s">
        <v>5</v>
      </c>
      <c r="E324" s="98"/>
      <c r="F324" s="11"/>
      <c r="G324" s="11"/>
      <c r="H324" s="11"/>
      <c r="I324" s="11"/>
      <c r="J324" s="11"/>
      <c r="K324" s="11"/>
    </row>
    <row r="325" ht="13.5" customHeight="1">
      <c r="A325" s="138" t="s">
        <v>98</v>
      </c>
      <c r="B325" s="239">
        <v>50.0</v>
      </c>
      <c r="C325" s="279">
        <f t="shared" si="26"/>
        <v>225</v>
      </c>
      <c r="D325" s="151" t="s">
        <v>18</v>
      </c>
      <c r="E325" s="98"/>
      <c r="F325" s="11"/>
      <c r="G325" s="11"/>
      <c r="H325" s="11"/>
      <c r="I325" s="11"/>
      <c r="J325" s="11"/>
      <c r="K325" s="11"/>
    </row>
    <row r="326" ht="13.5" customHeight="1">
      <c r="A326" s="93" t="s">
        <v>39</v>
      </c>
      <c r="B326" s="247">
        <v>100.0</v>
      </c>
      <c r="C326" s="195">
        <f t="shared" ref="C326:C330" si="27">(B326*C325)/B325</f>
        <v>450</v>
      </c>
      <c r="D326" s="95" t="s">
        <v>18</v>
      </c>
      <c r="E326" s="98"/>
      <c r="F326" s="11"/>
      <c r="G326" s="11"/>
      <c r="H326" s="11"/>
      <c r="I326" s="11"/>
      <c r="J326" s="11"/>
      <c r="K326" s="11"/>
    </row>
    <row r="327" ht="13.5" customHeight="1">
      <c r="A327" s="138" t="s">
        <v>92</v>
      </c>
      <c r="B327" s="239">
        <v>200.0</v>
      </c>
      <c r="C327" s="279">
        <f t="shared" si="27"/>
        <v>900</v>
      </c>
      <c r="D327" s="151" t="s">
        <v>18</v>
      </c>
      <c r="E327" s="98"/>
      <c r="F327" s="11"/>
      <c r="G327" s="11"/>
      <c r="H327" s="11"/>
      <c r="I327" s="11"/>
      <c r="J327" s="11"/>
      <c r="K327" s="11"/>
    </row>
    <row r="328" ht="13.5" customHeight="1">
      <c r="A328" s="138" t="s">
        <v>13</v>
      </c>
      <c r="B328" s="239">
        <v>0.1</v>
      </c>
      <c r="C328" s="279">
        <f t="shared" si="27"/>
        <v>0.45</v>
      </c>
      <c r="D328" s="151" t="s">
        <v>14</v>
      </c>
      <c r="E328" s="98"/>
      <c r="F328" s="11"/>
      <c r="G328" s="11"/>
      <c r="H328" s="11"/>
      <c r="I328" s="11"/>
      <c r="J328" s="11"/>
      <c r="K328" s="11"/>
    </row>
    <row r="329" ht="13.5" customHeight="1">
      <c r="A329" s="138" t="s">
        <v>31</v>
      </c>
      <c r="B329" s="239">
        <v>150.0</v>
      </c>
      <c r="C329" s="279">
        <f t="shared" si="27"/>
        <v>675</v>
      </c>
      <c r="D329" s="151" t="s">
        <v>18</v>
      </c>
      <c r="E329" s="115"/>
      <c r="F329" s="11"/>
      <c r="G329" s="11"/>
      <c r="H329" s="11"/>
      <c r="I329" s="11"/>
      <c r="J329" s="11"/>
      <c r="K329" s="11"/>
    </row>
    <row r="330" ht="13.5" customHeight="1">
      <c r="A330" s="173" t="s">
        <v>114</v>
      </c>
      <c r="B330" s="545">
        <v>1.0</v>
      </c>
      <c r="C330" s="275">
        <f t="shared" si="27"/>
        <v>4.5</v>
      </c>
      <c r="D330" s="180" t="s">
        <v>5</v>
      </c>
      <c r="E330" s="2365" t="s">
        <v>204</v>
      </c>
      <c r="F330" s="11"/>
      <c r="G330" s="11"/>
      <c r="H330" s="11"/>
      <c r="I330" s="11"/>
      <c r="J330" s="11"/>
      <c r="K330" s="11"/>
    </row>
    <row r="331" ht="13.5" customHeight="1">
      <c r="A331" s="2367" t="s">
        <v>119</v>
      </c>
      <c r="B331" s="1446" t="s">
        <v>47</v>
      </c>
      <c r="C331" s="319"/>
      <c r="D331" s="2277"/>
      <c r="E331" s="11"/>
      <c r="F331" s="11"/>
      <c r="G331" s="11"/>
      <c r="H331" s="11"/>
      <c r="I331" s="11"/>
      <c r="J331" s="11"/>
      <c r="K331" s="11"/>
    </row>
    <row r="332" ht="13.5" customHeight="1">
      <c r="A332" s="90" t="s">
        <v>120</v>
      </c>
      <c r="B332" s="308">
        <v>42022.0</v>
      </c>
      <c r="C332" s="107"/>
      <c r="D332" s="1"/>
      <c r="E332" s="11"/>
      <c r="F332" s="11"/>
      <c r="G332" s="11"/>
      <c r="H332" s="11"/>
      <c r="I332" s="11"/>
      <c r="J332" s="11"/>
      <c r="K332" s="11"/>
    </row>
    <row r="333" ht="13.5" customHeight="1">
      <c r="A333" s="305" t="s">
        <v>50</v>
      </c>
      <c r="B333" s="308"/>
      <c r="C333" s="107"/>
      <c r="D333" s="1"/>
      <c r="E333" s="11"/>
      <c r="F333" s="11"/>
      <c r="G333" s="11"/>
      <c r="H333" s="11"/>
      <c r="I333" s="11"/>
      <c r="J333" s="11"/>
      <c r="K333" s="11"/>
    </row>
    <row r="334" ht="13.5" customHeight="1">
      <c r="A334" s="11"/>
      <c r="B334" s="11"/>
      <c r="C334" s="1167"/>
      <c r="D334" s="11"/>
      <c r="E334" s="11"/>
      <c r="F334" s="11"/>
      <c r="G334" s="11"/>
      <c r="H334" s="11"/>
      <c r="I334" s="11"/>
      <c r="J334" s="11"/>
      <c r="K334" s="11"/>
    </row>
    <row r="335" ht="13.5" customHeight="1">
      <c r="A335" s="511" t="s">
        <v>821</v>
      </c>
      <c r="B335" s="18"/>
      <c r="C335" s="18"/>
      <c r="D335" s="19"/>
      <c r="E335" s="921"/>
      <c r="F335" s="11"/>
      <c r="G335" s="11"/>
      <c r="H335" s="11"/>
      <c r="I335" s="11"/>
      <c r="J335" s="11"/>
      <c r="K335" s="11"/>
    </row>
    <row r="336" ht="13.5" customHeight="1">
      <c r="A336" s="51" t="s">
        <v>1</v>
      </c>
      <c r="B336" s="1247">
        <v>100.0</v>
      </c>
      <c r="C336" s="121">
        <v>10.0</v>
      </c>
      <c r="D336" s="1572" t="s">
        <v>190</v>
      </c>
      <c r="E336" s="1729"/>
      <c r="F336" s="11"/>
      <c r="G336" s="11"/>
      <c r="H336" s="11"/>
      <c r="I336" s="11"/>
      <c r="J336" s="11"/>
      <c r="K336" s="11"/>
    </row>
    <row r="337" ht="13.5" customHeight="1">
      <c r="A337" s="1779" t="s">
        <v>91</v>
      </c>
      <c r="B337" s="73">
        <v>5.0</v>
      </c>
      <c r="C337" s="1202">
        <f t="shared" ref="C337:C339" si="28">(B337*C336)/B336</f>
        <v>0.5</v>
      </c>
      <c r="D337" s="1579" t="s">
        <v>5</v>
      </c>
      <c r="E337" s="394" t="s">
        <v>1943</v>
      </c>
      <c r="F337" s="11"/>
      <c r="G337" s="11"/>
      <c r="H337" s="11"/>
      <c r="I337" s="11"/>
      <c r="J337" s="11"/>
      <c r="K337" s="11"/>
    </row>
    <row r="338" ht="13.5" customHeight="1">
      <c r="A338" s="1783" t="s">
        <v>97</v>
      </c>
      <c r="B338" s="94">
        <v>150.0</v>
      </c>
      <c r="C338" s="1213">
        <f t="shared" si="28"/>
        <v>15</v>
      </c>
      <c r="D338" s="1588" t="s">
        <v>18</v>
      </c>
      <c r="E338" s="47"/>
      <c r="F338" s="11"/>
      <c r="G338" s="11"/>
      <c r="H338" s="11"/>
      <c r="I338" s="11"/>
      <c r="J338" s="11"/>
      <c r="K338" s="11"/>
    </row>
    <row r="339" ht="13.5" customHeight="1">
      <c r="A339" s="1783" t="s">
        <v>357</v>
      </c>
      <c r="B339" s="94">
        <v>1.5</v>
      </c>
      <c r="C339" s="1213">
        <f t="shared" si="28"/>
        <v>0.15</v>
      </c>
      <c r="D339" s="1588" t="s">
        <v>14</v>
      </c>
      <c r="E339" s="47"/>
      <c r="F339" s="11"/>
      <c r="G339" s="11"/>
      <c r="H339" s="11"/>
      <c r="I339" s="11"/>
      <c r="J339" s="11"/>
      <c r="K339" s="11"/>
    </row>
    <row r="340" ht="13.5" customHeight="1">
      <c r="A340" s="1783" t="s">
        <v>83</v>
      </c>
      <c r="B340" s="94">
        <v>250.0</v>
      </c>
      <c r="C340" s="1213">
        <f>(B340*C341)/B341</f>
        <v>25</v>
      </c>
      <c r="D340" s="1588" t="s">
        <v>18</v>
      </c>
      <c r="E340" s="47"/>
      <c r="F340" s="11"/>
      <c r="G340" s="11"/>
      <c r="H340" s="11"/>
      <c r="I340" s="11"/>
      <c r="J340" s="11"/>
      <c r="K340" s="11"/>
    </row>
    <row r="341" ht="13.5" customHeight="1">
      <c r="A341" s="1783" t="s">
        <v>103</v>
      </c>
      <c r="B341" s="94">
        <v>100.0</v>
      </c>
      <c r="C341" s="1213">
        <f t="shared" ref="C341:C342" si="29">(B341*C339)/B339</f>
        <v>10</v>
      </c>
      <c r="D341" s="1588" t="s">
        <v>18</v>
      </c>
      <c r="E341" s="47"/>
      <c r="F341" s="11"/>
      <c r="G341" s="11"/>
      <c r="H341" s="11"/>
      <c r="I341" s="11"/>
      <c r="J341" s="11"/>
      <c r="K341" s="11"/>
    </row>
    <row r="342" ht="13.5" customHeight="1">
      <c r="A342" s="1786" t="s">
        <v>101</v>
      </c>
      <c r="B342" s="110">
        <v>3.0</v>
      </c>
      <c r="C342" s="1216">
        <f t="shared" si="29"/>
        <v>0.3</v>
      </c>
      <c r="D342" s="1605" t="s">
        <v>190</v>
      </c>
      <c r="E342" s="76"/>
      <c r="F342" s="11"/>
      <c r="G342" s="11"/>
      <c r="H342" s="11"/>
      <c r="I342" s="11"/>
      <c r="J342" s="11"/>
      <c r="K342" s="11"/>
    </row>
    <row r="343" ht="13.5" customHeight="1">
      <c r="A343" s="1787" t="s">
        <v>2384</v>
      </c>
      <c r="B343" s="178">
        <v>25.0</v>
      </c>
      <c r="C343" s="1234">
        <f t="shared" ref="C343:C350" si="30">(B343*C342)/B342</f>
        <v>2.5</v>
      </c>
      <c r="D343" s="1788" t="s">
        <v>14</v>
      </c>
      <c r="E343" s="592" t="s">
        <v>2621</v>
      </c>
      <c r="F343" s="11"/>
      <c r="G343" s="11"/>
      <c r="H343" s="11"/>
      <c r="I343" s="11"/>
      <c r="J343" s="11"/>
      <c r="K343" s="11"/>
    </row>
    <row r="344" ht="15.0" customHeight="1">
      <c r="A344" s="1779" t="s">
        <v>153</v>
      </c>
      <c r="B344" s="73">
        <v>40.0</v>
      </c>
      <c r="C344" s="1202">
        <f t="shared" si="30"/>
        <v>4</v>
      </c>
      <c r="D344" s="1579" t="s">
        <v>14</v>
      </c>
      <c r="E344" s="1587" t="s">
        <v>2622</v>
      </c>
      <c r="F344" s="11"/>
      <c r="G344" s="11"/>
      <c r="H344" s="11"/>
      <c r="I344" s="11"/>
      <c r="J344" s="11"/>
      <c r="K344" s="11"/>
    </row>
    <row r="345" ht="13.5" customHeight="1">
      <c r="A345" s="93" t="s">
        <v>154</v>
      </c>
      <c r="B345" s="94">
        <v>80.0</v>
      </c>
      <c r="C345" s="1213">
        <f t="shared" si="30"/>
        <v>8</v>
      </c>
      <c r="D345" s="1588" t="s">
        <v>14</v>
      </c>
      <c r="E345" s="47"/>
      <c r="F345" s="11"/>
      <c r="G345" s="11"/>
      <c r="H345" s="11"/>
      <c r="I345" s="11"/>
      <c r="J345" s="11"/>
      <c r="K345" s="11"/>
    </row>
    <row r="346" ht="13.5" customHeight="1">
      <c r="A346" s="93" t="s">
        <v>2623</v>
      </c>
      <c r="B346" s="94">
        <v>5.0</v>
      </c>
      <c r="C346" s="1213">
        <f t="shared" si="30"/>
        <v>0.5</v>
      </c>
      <c r="D346" s="1588" t="s">
        <v>14</v>
      </c>
      <c r="E346" s="47"/>
      <c r="F346" s="11"/>
      <c r="G346" s="11"/>
      <c r="H346" s="11"/>
      <c r="I346" s="11"/>
      <c r="J346" s="11"/>
      <c r="K346" s="11"/>
    </row>
    <row r="347" ht="13.5" customHeight="1">
      <c r="A347" s="1783" t="s">
        <v>31</v>
      </c>
      <c r="B347" s="94">
        <v>1300.0</v>
      </c>
      <c r="C347" s="1213">
        <f t="shared" si="30"/>
        <v>130</v>
      </c>
      <c r="D347" s="1588" t="s">
        <v>18</v>
      </c>
      <c r="E347" s="47"/>
      <c r="F347" s="11"/>
      <c r="G347" s="11"/>
      <c r="H347" s="11"/>
      <c r="I347" s="11"/>
      <c r="J347" s="11"/>
      <c r="K347" s="11"/>
    </row>
    <row r="348" ht="13.5" customHeight="1">
      <c r="A348" s="1786" t="s">
        <v>52</v>
      </c>
      <c r="B348" s="110">
        <v>250.0</v>
      </c>
      <c r="C348" s="1216">
        <f t="shared" si="30"/>
        <v>25</v>
      </c>
      <c r="D348" s="1605" t="s">
        <v>18</v>
      </c>
      <c r="E348" s="76"/>
      <c r="F348" s="11"/>
      <c r="G348" s="11"/>
      <c r="H348" s="11"/>
      <c r="I348" s="11"/>
      <c r="J348" s="11"/>
      <c r="K348" s="11"/>
    </row>
    <row r="349" ht="15.0" customHeight="1">
      <c r="A349" s="1787" t="s">
        <v>655</v>
      </c>
      <c r="B349" s="178">
        <v>500.0</v>
      </c>
      <c r="C349" s="1234">
        <f t="shared" si="30"/>
        <v>50</v>
      </c>
      <c r="D349" s="1788" t="s">
        <v>18</v>
      </c>
      <c r="E349" s="592" t="s">
        <v>2624</v>
      </c>
      <c r="F349" s="11"/>
      <c r="G349" s="11"/>
      <c r="H349" s="11"/>
      <c r="I349" s="11"/>
      <c r="J349" s="11"/>
      <c r="K349" s="11"/>
    </row>
    <row r="350" ht="13.5" customHeight="1">
      <c r="A350" s="1786" t="s">
        <v>114</v>
      </c>
      <c r="B350" s="110">
        <v>3.0</v>
      </c>
      <c r="C350" s="1216">
        <f t="shared" si="30"/>
        <v>0.3</v>
      </c>
      <c r="D350" s="1605" t="s">
        <v>190</v>
      </c>
      <c r="E350" s="1703"/>
      <c r="F350" s="11"/>
      <c r="G350" s="11"/>
      <c r="H350" s="11"/>
      <c r="I350" s="11"/>
      <c r="J350" s="11"/>
      <c r="K350" s="11"/>
    </row>
    <row r="351" ht="13.5" customHeight="1">
      <c r="A351" s="1640" t="s">
        <v>119</v>
      </c>
      <c r="B351" s="183" t="s">
        <v>47</v>
      </c>
      <c r="C351" s="107"/>
      <c r="D351" s="1"/>
      <c r="E351" s="11"/>
      <c r="F351" s="11"/>
      <c r="G351" s="11"/>
      <c r="H351" s="11"/>
      <c r="I351" s="11"/>
      <c r="J351" s="11"/>
      <c r="K351" s="11"/>
    </row>
    <row r="352" ht="13.5" customHeight="1">
      <c r="A352" s="90" t="s">
        <v>49</v>
      </c>
      <c r="B352" s="308">
        <v>40848.0</v>
      </c>
      <c r="C352" s="107"/>
      <c r="D352" s="1"/>
      <c r="E352" s="11"/>
      <c r="F352" s="11"/>
      <c r="G352" s="11"/>
      <c r="H352" s="11"/>
      <c r="I352" s="11"/>
      <c r="J352" s="11"/>
      <c r="K352" s="11"/>
    </row>
    <row r="353" ht="13.5" customHeight="1">
      <c r="A353" s="90" t="s">
        <v>50</v>
      </c>
      <c r="B353" s="308">
        <v>41771.0</v>
      </c>
      <c r="C353" s="107"/>
      <c r="D353" s="1"/>
      <c r="E353" s="11"/>
      <c r="F353" s="11"/>
      <c r="G353" s="11"/>
      <c r="H353" s="11"/>
      <c r="I353" s="11"/>
      <c r="J353" s="11"/>
      <c r="K353" s="11"/>
    </row>
    <row r="354" ht="13.5" customHeight="1">
      <c r="A354" s="11"/>
      <c r="B354" s="11"/>
      <c r="C354" s="1167"/>
      <c r="D354" s="11"/>
      <c r="E354" s="11"/>
      <c r="F354" s="11"/>
      <c r="G354" s="11"/>
      <c r="H354" s="11"/>
      <c r="I354" s="11"/>
      <c r="J354" s="11"/>
      <c r="K354" s="11"/>
    </row>
    <row r="355" ht="13.5" customHeight="1">
      <c r="A355" s="511" t="s">
        <v>833</v>
      </c>
      <c r="B355" s="18"/>
      <c r="C355" s="18"/>
      <c r="D355" s="19"/>
      <c r="E355" s="921"/>
      <c r="F355" s="11"/>
      <c r="G355" s="11"/>
      <c r="H355" s="11"/>
      <c r="I355" s="11"/>
      <c r="J355" s="11"/>
      <c r="K355" s="11"/>
    </row>
    <row r="356" ht="13.5" customHeight="1">
      <c r="A356" s="51" t="s">
        <v>1</v>
      </c>
      <c r="B356" s="1247">
        <v>100.0</v>
      </c>
      <c r="C356" s="121">
        <v>15.0</v>
      </c>
      <c r="D356" s="1572" t="s">
        <v>190</v>
      </c>
      <c r="E356" s="44" t="s">
        <v>2631</v>
      </c>
      <c r="F356" s="11"/>
      <c r="G356" s="11"/>
      <c r="H356" s="11"/>
      <c r="I356" s="11"/>
      <c r="J356" s="11"/>
      <c r="K356" s="11"/>
    </row>
    <row r="357" ht="13.5" customHeight="1">
      <c r="A357" s="1779" t="s">
        <v>34</v>
      </c>
      <c r="B357" s="73">
        <v>5.0</v>
      </c>
      <c r="C357" s="1202">
        <f t="shared" ref="C357:C363" si="31">(B357*C356)/B356</f>
        <v>0.75</v>
      </c>
      <c r="D357" s="1579" t="s">
        <v>5</v>
      </c>
      <c r="E357" s="47"/>
      <c r="F357" s="11"/>
      <c r="G357" s="11"/>
      <c r="H357" s="11"/>
      <c r="I357" s="11"/>
      <c r="J357" s="11"/>
      <c r="K357" s="11"/>
    </row>
    <row r="358" ht="13.5" customHeight="1">
      <c r="A358" s="1783" t="s">
        <v>97</v>
      </c>
      <c r="B358" s="94">
        <v>250.0</v>
      </c>
      <c r="C358" s="1213">
        <f t="shared" si="31"/>
        <v>37.5</v>
      </c>
      <c r="D358" s="1588" t="s">
        <v>18</v>
      </c>
      <c r="E358" s="47"/>
      <c r="F358" s="11"/>
      <c r="G358" s="11"/>
      <c r="H358" s="11"/>
      <c r="I358" s="11"/>
      <c r="J358" s="11"/>
      <c r="K358" s="11"/>
    </row>
    <row r="359" ht="13.5" customHeight="1">
      <c r="A359" s="1783" t="s">
        <v>357</v>
      </c>
      <c r="B359" s="94">
        <v>2.5</v>
      </c>
      <c r="C359" s="1213">
        <f t="shared" si="31"/>
        <v>0.375</v>
      </c>
      <c r="D359" s="1588" t="s">
        <v>14</v>
      </c>
      <c r="E359" s="47"/>
      <c r="F359" s="11"/>
      <c r="G359" s="11"/>
      <c r="H359" s="11"/>
      <c r="I359" s="11"/>
      <c r="J359" s="11"/>
      <c r="K359" s="11"/>
    </row>
    <row r="360" ht="13.5" customHeight="1">
      <c r="A360" s="1783" t="s">
        <v>103</v>
      </c>
      <c r="B360" s="94">
        <v>100.0</v>
      </c>
      <c r="C360" s="1213">
        <f t="shared" si="31"/>
        <v>15</v>
      </c>
      <c r="D360" s="1588" t="s">
        <v>18</v>
      </c>
      <c r="E360" s="47"/>
      <c r="F360" s="11"/>
      <c r="G360" s="11"/>
      <c r="H360" s="11"/>
      <c r="I360" s="11"/>
      <c r="J360" s="11"/>
      <c r="K360" s="11"/>
    </row>
    <row r="361" ht="13.5" customHeight="1">
      <c r="A361" s="1783" t="s">
        <v>83</v>
      </c>
      <c r="B361" s="94">
        <v>1500.0</v>
      </c>
      <c r="C361" s="1213">
        <f t="shared" si="31"/>
        <v>225</v>
      </c>
      <c r="D361" s="1588" t="s">
        <v>18</v>
      </c>
      <c r="E361" s="47"/>
      <c r="F361" s="11"/>
      <c r="G361" s="11"/>
      <c r="H361" s="11"/>
      <c r="I361" s="11"/>
      <c r="J361" s="11"/>
      <c r="K361" s="11"/>
    </row>
    <row r="362" ht="13.5" customHeight="1">
      <c r="A362" s="1786" t="s">
        <v>101</v>
      </c>
      <c r="B362" s="110">
        <v>4.0</v>
      </c>
      <c r="C362" s="1216">
        <f t="shared" si="31"/>
        <v>0.6</v>
      </c>
      <c r="D362" s="1605" t="s">
        <v>190</v>
      </c>
      <c r="E362" s="47"/>
      <c r="F362" s="11"/>
      <c r="G362" s="11"/>
      <c r="H362" s="11"/>
      <c r="I362" s="11"/>
      <c r="J362" s="11"/>
      <c r="K362" s="11"/>
    </row>
    <row r="363" ht="13.5" customHeight="1">
      <c r="A363" s="417" t="s">
        <v>628</v>
      </c>
      <c r="B363" s="1253">
        <v>125.0</v>
      </c>
      <c r="C363" s="1285">
        <f t="shared" si="31"/>
        <v>18.75</v>
      </c>
      <c r="D363" s="1616" t="s">
        <v>14</v>
      </c>
      <c r="E363" s="76"/>
      <c r="F363" s="11"/>
      <c r="G363" s="11"/>
      <c r="H363" s="11"/>
      <c r="I363" s="11"/>
      <c r="J363" s="11"/>
      <c r="K363" s="11"/>
    </row>
    <row r="364" ht="13.5" customHeight="1">
      <c r="A364" s="1779" t="s">
        <v>31</v>
      </c>
      <c r="B364" s="73">
        <v>1500.0</v>
      </c>
      <c r="C364" s="1202">
        <f>(B364*C365)/B365</f>
        <v>225</v>
      </c>
      <c r="D364" s="1579" t="s">
        <v>18</v>
      </c>
      <c r="E364" s="269" t="s">
        <v>2637</v>
      </c>
      <c r="F364" s="11"/>
      <c r="G364" s="11"/>
      <c r="H364" s="11"/>
      <c r="I364" s="11"/>
      <c r="J364" s="11"/>
      <c r="K364" s="11"/>
    </row>
    <row r="365" ht="13.5" customHeight="1">
      <c r="A365" s="1783" t="s">
        <v>350</v>
      </c>
      <c r="B365" s="94">
        <v>7.5</v>
      </c>
      <c r="C365" s="1213">
        <f>(B365*C363)/B363</f>
        <v>1.125</v>
      </c>
      <c r="D365" s="1588" t="s">
        <v>14</v>
      </c>
      <c r="E365" s="47"/>
      <c r="F365" s="11"/>
      <c r="G365" s="11"/>
      <c r="H365" s="11"/>
      <c r="I365" s="11"/>
      <c r="J365" s="11"/>
      <c r="K365" s="11"/>
    </row>
    <row r="366" ht="13.5" customHeight="1">
      <c r="A366" s="1786" t="s">
        <v>2643</v>
      </c>
      <c r="B366" s="110">
        <v>30.0</v>
      </c>
      <c r="C366" s="1216">
        <f>(B366*C365)/B365</f>
        <v>4.5</v>
      </c>
      <c r="D366" s="1605" t="s">
        <v>9</v>
      </c>
      <c r="E366" s="76"/>
      <c r="F366" s="11"/>
      <c r="G366" s="11"/>
      <c r="H366" s="11"/>
      <c r="I366" s="11"/>
      <c r="J366" s="11"/>
      <c r="K366" s="11"/>
    </row>
    <row r="367" ht="13.5" customHeight="1">
      <c r="A367" s="1640" t="s">
        <v>119</v>
      </c>
      <c r="B367" s="183" t="s">
        <v>47</v>
      </c>
      <c r="C367" s="107"/>
      <c r="D367" s="1"/>
      <c r="E367" s="11"/>
      <c r="F367" s="11"/>
      <c r="G367" s="11"/>
      <c r="H367" s="11"/>
      <c r="I367" s="11"/>
      <c r="J367" s="11"/>
      <c r="K367" s="11"/>
    </row>
    <row r="368" ht="13.5" customHeight="1">
      <c r="A368" s="1"/>
      <c r="B368" s="1"/>
      <c r="C368" s="107"/>
      <c r="D368" s="1"/>
      <c r="E368" s="11"/>
      <c r="F368" s="11"/>
      <c r="G368" s="11"/>
      <c r="H368" s="11"/>
      <c r="I368" s="11"/>
      <c r="J368" s="11"/>
      <c r="K368" s="11"/>
    </row>
    <row r="369" ht="13.5" customHeight="1">
      <c r="A369" s="90" t="s">
        <v>502</v>
      </c>
      <c r="B369" s="308">
        <v>41156.0</v>
      </c>
      <c r="C369" s="107"/>
      <c r="D369" s="1"/>
      <c r="E369" s="11"/>
      <c r="F369" s="11"/>
      <c r="G369" s="11"/>
      <c r="H369" s="11"/>
      <c r="I369" s="11"/>
      <c r="J369" s="11"/>
      <c r="K369" s="11"/>
    </row>
    <row r="370" ht="13.5" customHeight="1">
      <c r="A370" s="90" t="s">
        <v>50</v>
      </c>
      <c r="B370" s="308">
        <v>41809.0</v>
      </c>
      <c r="C370" s="107"/>
      <c r="D370" s="1"/>
      <c r="E370" s="11"/>
      <c r="F370" s="11"/>
      <c r="G370" s="11"/>
      <c r="H370" s="11"/>
      <c r="I370" s="11"/>
      <c r="J370" s="11"/>
      <c r="K370" s="11"/>
    </row>
    <row r="371" ht="13.5" customHeight="1">
      <c r="A371" s="11"/>
      <c r="B371" s="11"/>
      <c r="C371" s="1167"/>
      <c r="D371" s="11"/>
      <c r="E371" s="11"/>
      <c r="F371" s="11"/>
      <c r="G371" s="11"/>
      <c r="H371" s="11"/>
      <c r="I371" s="11"/>
      <c r="J371" s="11"/>
      <c r="K371" s="11"/>
    </row>
    <row r="372" ht="13.5" customHeight="1">
      <c r="A372" s="206" t="s">
        <v>865</v>
      </c>
      <c r="B372" s="5"/>
      <c r="C372" s="5"/>
      <c r="D372" s="6"/>
      <c r="E372" s="11"/>
      <c r="F372" s="11"/>
      <c r="G372" s="11"/>
      <c r="H372" s="11"/>
      <c r="I372" s="11"/>
      <c r="J372" s="11"/>
      <c r="K372" s="11"/>
    </row>
    <row r="373" ht="13.5" customHeight="1">
      <c r="A373" s="51" t="s">
        <v>1</v>
      </c>
      <c r="B373" s="53">
        <v>100.0</v>
      </c>
      <c r="C373" s="1553">
        <v>60.0</v>
      </c>
      <c r="D373" s="514" t="s">
        <v>5</v>
      </c>
      <c r="E373" s="569" t="s">
        <v>344</v>
      </c>
      <c r="F373" s="11"/>
      <c r="G373" s="11"/>
      <c r="H373" s="11"/>
      <c r="I373" s="11"/>
      <c r="J373" s="11"/>
      <c r="K373" s="11"/>
    </row>
    <row r="374" ht="13.5" customHeight="1">
      <c r="A374" s="68" t="s">
        <v>91</v>
      </c>
      <c r="B374" s="210">
        <v>4.0</v>
      </c>
      <c r="C374" s="145">
        <f t="shared" ref="C374:C388" si="32">(B374*C373)/B373</f>
        <v>2.4</v>
      </c>
      <c r="D374" s="216" t="s">
        <v>5</v>
      </c>
      <c r="E374" s="570"/>
      <c r="F374" s="11"/>
      <c r="G374" s="11"/>
      <c r="H374" s="11"/>
      <c r="I374" s="11"/>
      <c r="J374" s="11"/>
      <c r="K374" s="11"/>
    </row>
    <row r="375" ht="13.5" customHeight="1">
      <c r="A375" s="93" t="s">
        <v>97</v>
      </c>
      <c r="B375" s="247">
        <v>200.0</v>
      </c>
      <c r="C375" s="195">
        <f t="shared" si="32"/>
        <v>120</v>
      </c>
      <c r="D375" s="249" t="s">
        <v>18</v>
      </c>
      <c r="E375" s="570"/>
      <c r="F375" s="11"/>
      <c r="G375" s="11"/>
      <c r="H375" s="11"/>
      <c r="I375" s="11"/>
      <c r="J375" s="11"/>
      <c r="K375" s="11"/>
    </row>
    <row r="376" ht="13.5" customHeight="1">
      <c r="A376" s="93" t="s">
        <v>345</v>
      </c>
      <c r="B376" s="247">
        <v>0.8</v>
      </c>
      <c r="C376" s="195">
        <f t="shared" si="32"/>
        <v>0.48</v>
      </c>
      <c r="D376" s="249" t="s">
        <v>14</v>
      </c>
      <c r="E376" s="570"/>
      <c r="F376" s="11"/>
      <c r="G376" s="11"/>
      <c r="H376" s="11"/>
      <c r="I376" s="11"/>
      <c r="J376" s="11"/>
      <c r="K376" s="11"/>
    </row>
    <row r="377" ht="13.5" customHeight="1">
      <c r="A377" s="93" t="s">
        <v>311</v>
      </c>
      <c r="B377" s="247">
        <v>0.8</v>
      </c>
      <c r="C377" s="195">
        <f t="shared" si="32"/>
        <v>0.48</v>
      </c>
      <c r="D377" s="249" t="s">
        <v>14</v>
      </c>
      <c r="E377" s="570"/>
      <c r="F377" s="11"/>
      <c r="G377" s="11"/>
      <c r="H377" s="11"/>
      <c r="I377" s="11"/>
      <c r="J377" s="11"/>
      <c r="K377" s="11"/>
    </row>
    <row r="378" ht="13.5" customHeight="1">
      <c r="A378" s="93" t="s">
        <v>103</v>
      </c>
      <c r="B378" s="247">
        <v>100.0</v>
      </c>
      <c r="C378" s="195">
        <f t="shared" si="32"/>
        <v>60</v>
      </c>
      <c r="D378" s="249" t="s">
        <v>18</v>
      </c>
      <c r="E378" s="570"/>
      <c r="F378" s="11"/>
      <c r="G378" s="11"/>
      <c r="H378" s="11"/>
      <c r="I378" s="11"/>
      <c r="J378" s="11"/>
      <c r="K378" s="11"/>
    </row>
    <row r="379" ht="13.5" customHeight="1">
      <c r="A379" s="93" t="s">
        <v>346</v>
      </c>
      <c r="B379" s="247">
        <v>1000.0</v>
      </c>
      <c r="C379" s="195">
        <f t="shared" si="32"/>
        <v>600</v>
      </c>
      <c r="D379" s="249" t="s">
        <v>18</v>
      </c>
      <c r="E379" s="570"/>
      <c r="F379" s="11"/>
      <c r="G379" s="11"/>
      <c r="H379" s="11"/>
      <c r="I379" s="11"/>
      <c r="J379" s="11"/>
      <c r="K379" s="11"/>
    </row>
    <row r="380" ht="13.5" customHeight="1">
      <c r="A380" s="93" t="s">
        <v>347</v>
      </c>
      <c r="B380" s="247">
        <v>5.0</v>
      </c>
      <c r="C380" s="195">
        <f t="shared" si="32"/>
        <v>3</v>
      </c>
      <c r="D380" s="249" t="s">
        <v>14</v>
      </c>
      <c r="E380" s="570"/>
      <c r="F380" s="11"/>
      <c r="G380" s="11"/>
      <c r="H380" s="11"/>
      <c r="I380" s="11"/>
      <c r="J380" s="11"/>
      <c r="K380" s="11"/>
    </row>
    <row r="381" ht="13.5" customHeight="1">
      <c r="A381" s="105" t="s">
        <v>197</v>
      </c>
      <c r="B381" s="522">
        <v>15.0</v>
      </c>
      <c r="C381" s="980">
        <f t="shared" si="32"/>
        <v>9</v>
      </c>
      <c r="D381" s="518" t="s">
        <v>14</v>
      </c>
      <c r="E381" s="572"/>
      <c r="F381" s="11"/>
      <c r="G381" s="11"/>
      <c r="H381" s="11"/>
      <c r="I381" s="11"/>
      <c r="J381" s="11"/>
      <c r="K381" s="11"/>
    </row>
    <row r="382" ht="13.5" customHeight="1">
      <c r="A382" s="68" t="s">
        <v>52</v>
      </c>
      <c r="B382" s="210">
        <v>200.0</v>
      </c>
      <c r="C382" s="145">
        <f t="shared" si="32"/>
        <v>120</v>
      </c>
      <c r="D382" s="216" t="s">
        <v>18</v>
      </c>
      <c r="E382" s="569" t="s">
        <v>348</v>
      </c>
      <c r="F382" s="11"/>
      <c r="G382" s="11"/>
      <c r="H382" s="11"/>
      <c r="I382" s="11"/>
      <c r="J382" s="11"/>
      <c r="K382" s="11"/>
    </row>
    <row r="383" ht="13.5" customHeight="1">
      <c r="A383" s="93" t="s">
        <v>31</v>
      </c>
      <c r="B383" s="247">
        <v>1400.0</v>
      </c>
      <c r="C383" s="195">
        <f t="shared" si="32"/>
        <v>840</v>
      </c>
      <c r="D383" s="249" t="s">
        <v>18</v>
      </c>
      <c r="E383" s="570"/>
      <c r="F383" s="11"/>
      <c r="G383" s="11"/>
      <c r="H383" s="11"/>
      <c r="I383" s="11"/>
      <c r="J383" s="11"/>
      <c r="K383" s="11"/>
    </row>
    <row r="384" ht="13.5" customHeight="1">
      <c r="A384" s="105" t="s">
        <v>13</v>
      </c>
      <c r="B384" s="522">
        <v>1.0</v>
      </c>
      <c r="C384" s="200">
        <f t="shared" si="32"/>
        <v>0.6</v>
      </c>
      <c r="D384" s="518" t="s">
        <v>14</v>
      </c>
      <c r="E384" s="572"/>
      <c r="F384" s="11"/>
      <c r="G384" s="11"/>
      <c r="H384" s="11"/>
      <c r="I384" s="11"/>
      <c r="J384" s="11"/>
      <c r="K384" s="11"/>
    </row>
    <row r="385" ht="13.5" customHeight="1">
      <c r="A385" s="2382" t="s">
        <v>2658</v>
      </c>
      <c r="B385" s="541">
        <v>85.0</v>
      </c>
      <c r="C385" s="418">
        <f t="shared" si="32"/>
        <v>51</v>
      </c>
      <c r="D385" s="543" t="s">
        <v>14</v>
      </c>
      <c r="E385" s="2384"/>
      <c r="F385" s="11"/>
      <c r="G385" s="11"/>
      <c r="H385" s="11"/>
      <c r="I385" s="11"/>
      <c r="J385" s="11"/>
      <c r="K385" s="11"/>
    </row>
    <row r="386" ht="13.5" customHeight="1">
      <c r="A386" s="68" t="s">
        <v>350</v>
      </c>
      <c r="B386" s="210">
        <v>12.500000000000004</v>
      </c>
      <c r="C386" s="145">
        <f t="shared" si="32"/>
        <v>7.5</v>
      </c>
      <c r="D386" s="216" t="s">
        <v>351</v>
      </c>
      <c r="E386" s="569" t="s">
        <v>352</v>
      </c>
      <c r="F386" s="11"/>
      <c r="G386" s="11"/>
      <c r="H386" s="11"/>
      <c r="I386" s="11"/>
      <c r="J386" s="11"/>
      <c r="K386" s="11"/>
    </row>
    <row r="387" ht="13.5" customHeight="1">
      <c r="A387" s="93" t="s">
        <v>167</v>
      </c>
      <c r="B387" s="247">
        <v>0.4</v>
      </c>
      <c r="C387" s="195">
        <f t="shared" si="32"/>
        <v>0.24</v>
      </c>
      <c r="D387" s="249" t="s">
        <v>5</v>
      </c>
      <c r="E387" s="570"/>
      <c r="F387" s="11"/>
      <c r="G387" s="11"/>
      <c r="H387" s="11"/>
      <c r="I387" s="11"/>
      <c r="J387" s="11"/>
      <c r="K387" s="11"/>
    </row>
    <row r="388" ht="13.5" customHeight="1">
      <c r="A388" s="105" t="s">
        <v>335</v>
      </c>
      <c r="B388" s="522">
        <v>5.0</v>
      </c>
      <c r="C388" s="200">
        <f t="shared" si="32"/>
        <v>3</v>
      </c>
      <c r="D388" s="518" t="s">
        <v>5</v>
      </c>
      <c r="E388" s="572"/>
      <c r="F388" s="11"/>
      <c r="G388" s="11"/>
      <c r="H388" s="11"/>
      <c r="I388" s="11"/>
      <c r="J388" s="11"/>
      <c r="K388" s="11"/>
    </row>
    <row r="389" ht="13.5" customHeight="1">
      <c r="A389" s="1187" t="s">
        <v>119</v>
      </c>
      <c r="B389" s="818" t="s">
        <v>47</v>
      </c>
      <c r="C389" s="107"/>
      <c r="D389" s="1"/>
      <c r="E389" s="11"/>
      <c r="F389" s="11"/>
      <c r="G389" s="11"/>
      <c r="H389" s="11"/>
      <c r="I389" s="11"/>
      <c r="J389" s="11"/>
      <c r="K389" s="11"/>
    </row>
    <row r="390" ht="13.5" customHeight="1">
      <c r="A390" s="550" t="s">
        <v>49</v>
      </c>
      <c r="B390" s="551">
        <v>41436.0</v>
      </c>
      <c r="C390" s="107"/>
      <c r="D390" s="1"/>
      <c r="E390" s="11"/>
      <c r="F390" s="11"/>
      <c r="G390" s="11"/>
      <c r="H390" s="11"/>
      <c r="I390" s="11"/>
      <c r="J390" s="11"/>
      <c r="K390" s="11"/>
    </row>
    <row r="391" ht="13.5" customHeight="1">
      <c r="A391" s="552" t="s">
        <v>50</v>
      </c>
      <c r="B391" s="551">
        <v>41806.0</v>
      </c>
      <c r="C391" s="107"/>
      <c r="D391" s="1"/>
      <c r="E391" s="11"/>
      <c r="F391" s="11"/>
      <c r="G391" s="11"/>
      <c r="H391" s="11"/>
      <c r="I391" s="11"/>
      <c r="J391" s="11"/>
      <c r="K391" s="11"/>
    </row>
    <row r="392" ht="13.5" customHeight="1">
      <c r="A392" s="11"/>
      <c r="B392" s="11"/>
      <c r="C392" s="1167"/>
      <c r="D392" s="11"/>
      <c r="E392" s="11"/>
      <c r="F392" s="11"/>
      <c r="G392" s="11"/>
      <c r="H392" s="11"/>
      <c r="I392" s="11"/>
      <c r="J392" s="11"/>
      <c r="K392" s="11"/>
    </row>
    <row r="393" ht="13.5" customHeight="1">
      <c r="A393" s="206" t="s">
        <v>2670</v>
      </c>
      <c r="B393" s="5"/>
      <c r="C393" s="5"/>
      <c r="D393" s="6"/>
      <c r="E393" s="312"/>
      <c r="F393" s="11"/>
      <c r="G393" s="11"/>
      <c r="H393" s="11"/>
      <c r="I393" s="11"/>
      <c r="J393" s="11"/>
      <c r="K393" s="11"/>
    </row>
    <row r="394" ht="13.5" customHeight="1">
      <c r="A394" s="51" t="s">
        <v>1</v>
      </c>
      <c r="B394" s="53">
        <v>100.0</v>
      </c>
      <c r="C394" s="190">
        <v>60.0</v>
      </c>
      <c r="D394" s="514" t="s">
        <v>5</v>
      </c>
      <c r="E394" s="44" t="s">
        <v>2674</v>
      </c>
      <c r="F394" s="11"/>
      <c r="G394" s="206" t="s">
        <v>2676</v>
      </c>
      <c r="H394" s="2391"/>
      <c r="I394" s="2391"/>
      <c r="J394" s="2392"/>
      <c r="K394" s="11"/>
    </row>
    <row r="395" ht="13.5" customHeight="1">
      <c r="A395" s="68" t="s">
        <v>91</v>
      </c>
      <c r="B395" s="210">
        <v>2.5</v>
      </c>
      <c r="C395" s="975">
        <f>(B395*C394)/B394</f>
        <v>1.5</v>
      </c>
      <c r="D395" s="216" t="s">
        <v>5</v>
      </c>
      <c r="E395" s="47"/>
      <c r="F395" s="11"/>
      <c r="G395" s="51" t="s">
        <v>1</v>
      </c>
      <c r="H395" s="53">
        <v>100.0</v>
      </c>
      <c r="I395" s="190">
        <v>50.0</v>
      </c>
      <c r="J395" s="514" t="s">
        <v>5</v>
      </c>
      <c r="K395" s="11"/>
    </row>
    <row r="396" ht="13.5" customHeight="1">
      <c r="A396" s="93" t="s">
        <v>150</v>
      </c>
      <c r="B396" s="1542">
        <v>15.0</v>
      </c>
      <c r="C396" s="40">
        <f>(B396*C397)/B397</f>
        <v>9</v>
      </c>
      <c r="D396" s="249" t="s">
        <v>14</v>
      </c>
      <c r="E396" s="47"/>
      <c r="F396" s="11"/>
      <c r="G396" s="68" t="s">
        <v>91</v>
      </c>
      <c r="H396" s="210">
        <v>2.5</v>
      </c>
      <c r="I396" s="1553">
        <f t="shared" ref="I396:I420" si="33">(H396*I395)/H395</f>
        <v>1.25</v>
      </c>
      <c r="J396" s="216" t="s">
        <v>5</v>
      </c>
      <c r="K396" s="11"/>
    </row>
    <row r="397" ht="13.5" customHeight="1">
      <c r="A397" s="93" t="s">
        <v>2683</v>
      </c>
      <c r="B397" s="1542">
        <v>20.0</v>
      </c>
      <c r="C397" s="40">
        <f t="shared" ref="C397:C398" si="34">(B397*C401)/B401</f>
        <v>12</v>
      </c>
      <c r="D397" s="249" t="s">
        <v>14</v>
      </c>
      <c r="E397" s="47"/>
      <c r="F397" s="11"/>
      <c r="G397" s="93" t="s">
        <v>150</v>
      </c>
      <c r="H397" s="1542">
        <v>18.0</v>
      </c>
      <c r="I397" s="40">
        <f t="shared" si="33"/>
        <v>9</v>
      </c>
      <c r="J397" s="249" t="s">
        <v>14</v>
      </c>
      <c r="K397" s="11"/>
    </row>
    <row r="398" ht="13.5" customHeight="1">
      <c r="A398" s="93" t="s">
        <v>153</v>
      </c>
      <c r="B398" s="1542">
        <v>10.0</v>
      </c>
      <c r="C398" s="40">
        <f t="shared" si="34"/>
        <v>6</v>
      </c>
      <c r="D398" s="249" t="s">
        <v>14</v>
      </c>
      <c r="E398" s="47"/>
      <c r="F398" s="11"/>
      <c r="G398" s="93" t="s">
        <v>2683</v>
      </c>
      <c r="H398" s="1542">
        <v>25.0</v>
      </c>
      <c r="I398" s="40">
        <f t="shared" si="33"/>
        <v>12.5</v>
      </c>
      <c r="J398" s="249" t="s">
        <v>14</v>
      </c>
      <c r="K398" s="11"/>
    </row>
    <row r="399" ht="13.5" customHeight="1">
      <c r="A399" s="93" t="s">
        <v>2690</v>
      </c>
      <c r="B399" s="1542">
        <v>10.0</v>
      </c>
      <c r="C399" s="40">
        <f>(B399*C396)/B396</f>
        <v>6</v>
      </c>
      <c r="D399" s="249" t="s">
        <v>14</v>
      </c>
      <c r="E399" s="47"/>
      <c r="F399" s="11"/>
      <c r="G399" s="93" t="s">
        <v>153</v>
      </c>
      <c r="H399" s="1542">
        <v>12.0</v>
      </c>
      <c r="I399" s="40">
        <f t="shared" si="33"/>
        <v>6</v>
      </c>
      <c r="J399" s="249" t="s">
        <v>14</v>
      </c>
      <c r="K399" s="11"/>
    </row>
    <row r="400" ht="13.5" customHeight="1">
      <c r="A400" s="93" t="s">
        <v>2317</v>
      </c>
      <c r="B400" s="1542">
        <v>25.0</v>
      </c>
      <c r="C400" s="40">
        <f>(B400*C399)/B399</f>
        <v>15</v>
      </c>
      <c r="D400" s="249" t="s">
        <v>14</v>
      </c>
      <c r="E400" s="47"/>
      <c r="F400" s="11"/>
      <c r="G400" s="93" t="s">
        <v>2690</v>
      </c>
      <c r="H400" s="1542">
        <v>16.0</v>
      </c>
      <c r="I400" s="40">
        <f t="shared" si="33"/>
        <v>8</v>
      </c>
      <c r="J400" s="249" t="s">
        <v>14</v>
      </c>
      <c r="K400" s="11"/>
    </row>
    <row r="401" ht="13.5" customHeight="1">
      <c r="A401" s="93" t="s">
        <v>628</v>
      </c>
      <c r="B401" s="2394">
        <v>10.0</v>
      </c>
      <c r="C401" s="40">
        <f>(B401*C394)/B394</f>
        <v>6</v>
      </c>
      <c r="D401" s="249" t="s">
        <v>14</v>
      </c>
      <c r="E401" s="47"/>
      <c r="F401" s="11"/>
      <c r="G401" s="93" t="s">
        <v>628</v>
      </c>
      <c r="H401" s="2394">
        <v>14.0</v>
      </c>
      <c r="I401" s="40">
        <f t="shared" si="33"/>
        <v>7</v>
      </c>
      <c r="J401" s="249" t="s">
        <v>14</v>
      </c>
      <c r="K401" s="11"/>
    </row>
    <row r="402" ht="13.5" customHeight="1">
      <c r="A402" s="105" t="s">
        <v>329</v>
      </c>
      <c r="B402" s="1545">
        <v>10.0</v>
      </c>
      <c r="C402" s="980">
        <f t="shared" ref="C402:C404" si="35">(B402*C400)/B400</f>
        <v>6</v>
      </c>
      <c r="D402" s="518" t="s">
        <v>14</v>
      </c>
      <c r="E402" s="47"/>
      <c r="F402" s="11"/>
      <c r="G402" s="105" t="s">
        <v>329</v>
      </c>
      <c r="H402" s="1545">
        <v>15.0</v>
      </c>
      <c r="I402" s="982">
        <f t="shared" si="33"/>
        <v>7.5</v>
      </c>
      <c r="J402" s="518" t="s">
        <v>14</v>
      </c>
      <c r="K402" s="11"/>
    </row>
    <row r="403" ht="13.5" customHeight="1">
      <c r="A403" s="138" t="s">
        <v>31</v>
      </c>
      <c r="B403" s="239">
        <v>1000.0</v>
      </c>
      <c r="C403" s="1554">
        <f t="shared" si="35"/>
        <v>600</v>
      </c>
      <c r="D403" s="242" t="s">
        <v>18</v>
      </c>
      <c r="E403" s="76"/>
      <c r="F403" s="11"/>
      <c r="G403" s="138" t="s">
        <v>31</v>
      </c>
      <c r="H403" s="239">
        <v>1000.0</v>
      </c>
      <c r="I403" s="975">
        <f t="shared" si="33"/>
        <v>500</v>
      </c>
      <c r="J403" s="242" t="s">
        <v>18</v>
      </c>
      <c r="K403" s="11"/>
    </row>
    <row r="404" ht="13.5" customHeight="1">
      <c r="A404" s="68" t="s">
        <v>91</v>
      </c>
      <c r="B404" s="210">
        <v>1.5</v>
      </c>
      <c r="C404" s="975">
        <f t="shared" si="35"/>
        <v>0.9</v>
      </c>
      <c r="D404" s="216" t="s">
        <v>5</v>
      </c>
      <c r="E404" s="194" t="s">
        <v>2695</v>
      </c>
      <c r="F404" s="11"/>
      <c r="G404" s="68" t="s">
        <v>91</v>
      </c>
      <c r="H404" s="210">
        <v>1.5</v>
      </c>
      <c r="I404" s="1553">
        <f t="shared" si="33"/>
        <v>0.75</v>
      </c>
      <c r="J404" s="216" t="s">
        <v>5</v>
      </c>
      <c r="K404" s="11"/>
    </row>
    <row r="405" ht="13.5" customHeight="1">
      <c r="A405" s="93" t="s">
        <v>97</v>
      </c>
      <c r="B405" s="247">
        <v>150.0</v>
      </c>
      <c r="C405" s="40">
        <f t="shared" ref="C405:C409" si="36">(B405*C404)/B404</f>
        <v>90</v>
      </c>
      <c r="D405" s="249" t="s">
        <v>18</v>
      </c>
      <c r="E405" s="63"/>
      <c r="F405" s="11"/>
      <c r="G405" s="93" t="s">
        <v>97</v>
      </c>
      <c r="H405" s="247">
        <v>150.0</v>
      </c>
      <c r="I405" s="40">
        <f t="shared" si="33"/>
        <v>75</v>
      </c>
      <c r="J405" s="249" t="s">
        <v>18</v>
      </c>
      <c r="K405" s="11"/>
    </row>
    <row r="406" ht="13.5" customHeight="1">
      <c r="A406" s="93" t="s">
        <v>98</v>
      </c>
      <c r="B406" s="247">
        <v>100.0</v>
      </c>
      <c r="C406" s="40">
        <f t="shared" si="36"/>
        <v>60</v>
      </c>
      <c r="D406" s="249" t="s">
        <v>18</v>
      </c>
      <c r="E406" s="63"/>
      <c r="F406" s="11"/>
      <c r="G406" s="93" t="s">
        <v>98</v>
      </c>
      <c r="H406" s="247">
        <v>100.0</v>
      </c>
      <c r="I406" s="40">
        <f t="shared" si="33"/>
        <v>50</v>
      </c>
      <c r="J406" s="249" t="s">
        <v>18</v>
      </c>
      <c r="K406" s="11"/>
    </row>
    <row r="407" ht="13.5" customHeight="1">
      <c r="A407" s="93" t="s">
        <v>103</v>
      </c>
      <c r="B407" s="247">
        <v>80.0</v>
      </c>
      <c r="C407" s="40">
        <f t="shared" si="36"/>
        <v>48</v>
      </c>
      <c r="D407" s="249" t="s">
        <v>18</v>
      </c>
      <c r="E407" s="63"/>
      <c r="F407" s="11"/>
      <c r="G407" s="93" t="s">
        <v>103</v>
      </c>
      <c r="H407" s="247">
        <v>80.0</v>
      </c>
      <c r="I407" s="40">
        <f t="shared" si="33"/>
        <v>40</v>
      </c>
      <c r="J407" s="249" t="s">
        <v>18</v>
      </c>
      <c r="K407" s="11"/>
    </row>
    <row r="408" ht="13.5" customHeight="1">
      <c r="A408" s="1061" t="s">
        <v>92</v>
      </c>
      <c r="B408" s="247">
        <v>750.0</v>
      </c>
      <c r="C408" s="40">
        <f t="shared" si="36"/>
        <v>450</v>
      </c>
      <c r="D408" s="249" t="s">
        <v>18</v>
      </c>
      <c r="E408" s="63"/>
      <c r="F408" s="11"/>
      <c r="G408" s="1061" t="s">
        <v>92</v>
      </c>
      <c r="H408" s="247">
        <v>750.0</v>
      </c>
      <c r="I408" s="40">
        <f t="shared" si="33"/>
        <v>375</v>
      </c>
      <c r="J408" s="249" t="s">
        <v>18</v>
      </c>
      <c r="K408" s="11"/>
    </row>
    <row r="409" ht="13.5" customHeight="1">
      <c r="A409" s="1061" t="s">
        <v>179</v>
      </c>
      <c r="B409" s="247">
        <v>400.0</v>
      </c>
      <c r="C409" s="40">
        <f t="shared" si="36"/>
        <v>240</v>
      </c>
      <c r="D409" s="249" t="s">
        <v>18</v>
      </c>
      <c r="E409" s="63"/>
      <c r="F409" s="11"/>
      <c r="G409" s="1061" t="s">
        <v>179</v>
      </c>
      <c r="H409" s="247">
        <v>400.0</v>
      </c>
      <c r="I409" s="40">
        <f t="shared" si="33"/>
        <v>200</v>
      </c>
      <c r="J409" s="249" t="s">
        <v>18</v>
      </c>
      <c r="K409" s="11"/>
    </row>
    <row r="410" ht="13.5" customHeight="1">
      <c r="A410" s="93" t="s">
        <v>321</v>
      </c>
      <c r="B410" s="247">
        <v>200.0</v>
      </c>
      <c r="C410" s="40">
        <f>(B410*C411)/B411</f>
        <v>120</v>
      </c>
      <c r="D410" s="249" t="s">
        <v>18</v>
      </c>
      <c r="E410" s="63"/>
      <c r="F410" s="11"/>
      <c r="G410" s="93" t="s">
        <v>321</v>
      </c>
      <c r="H410" s="247">
        <v>200.0</v>
      </c>
      <c r="I410" s="40">
        <f t="shared" si="33"/>
        <v>100</v>
      </c>
      <c r="J410" s="249" t="s">
        <v>18</v>
      </c>
      <c r="K410" s="11"/>
    </row>
    <row r="411" ht="13.5" customHeight="1">
      <c r="A411" s="93" t="s">
        <v>1657</v>
      </c>
      <c r="B411" s="247">
        <v>250.0</v>
      </c>
      <c r="C411" s="40">
        <f>(B411*C409)/B409</f>
        <v>150</v>
      </c>
      <c r="D411" s="249" t="s">
        <v>18</v>
      </c>
      <c r="E411" s="63"/>
      <c r="F411" s="11"/>
      <c r="G411" s="93" t="s">
        <v>1657</v>
      </c>
      <c r="H411" s="247">
        <v>250.0</v>
      </c>
      <c r="I411" s="40">
        <f t="shared" si="33"/>
        <v>125</v>
      </c>
      <c r="J411" s="249" t="s">
        <v>18</v>
      </c>
      <c r="K411" s="11"/>
    </row>
    <row r="412" ht="13.5" customHeight="1">
      <c r="A412" s="93" t="s">
        <v>52</v>
      </c>
      <c r="B412" s="247">
        <v>200.0</v>
      </c>
      <c r="C412" s="40">
        <f>(B412*C414)/B414</f>
        <v>120</v>
      </c>
      <c r="D412" s="249" t="s">
        <v>18</v>
      </c>
      <c r="E412" s="63"/>
      <c r="F412" s="11"/>
      <c r="G412" s="93" t="s">
        <v>52</v>
      </c>
      <c r="H412" s="247">
        <v>200.0</v>
      </c>
      <c r="I412" s="40">
        <f t="shared" si="33"/>
        <v>100</v>
      </c>
      <c r="J412" s="249" t="s">
        <v>18</v>
      </c>
      <c r="K412" s="11"/>
    </row>
    <row r="413" ht="13.5" customHeight="1">
      <c r="A413" s="138" t="s">
        <v>1092</v>
      </c>
      <c r="B413" s="239">
        <v>20.0</v>
      </c>
      <c r="C413" s="1554">
        <f t="shared" ref="C413:C414" si="37">(B413*C410)/B410</f>
        <v>12</v>
      </c>
      <c r="D413" s="242" t="s">
        <v>14</v>
      </c>
      <c r="E413" s="102"/>
      <c r="F413" s="11"/>
      <c r="G413" s="138" t="s">
        <v>1092</v>
      </c>
      <c r="H413" s="239">
        <v>20.0</v>
      </c>
      <c r="I413" s="982">
        <f t="shared" si="33"/>
        <v>10</v>
      </c>
      <c r="J413" s="242" t="s">
        <v>14</v>
      </c>
      <c r="K413" s="11"/>
    </row>
    <row r="414" ht="13.5" customHeight="1">
      <c r="A414" s="68" t="s">
        <v>1027</v>
      </c>
      <c r="B414" s="210">
        <v>250.0</v>
      </c>
      <c r="C414" s="975">
        <f t="shared" si="37"/>
        <v>150</v>
      </c>
      <c r="D414" s="216" t="s">
        <v>18</v>
      </c>
      <c r="E414" s="2399" t="s">
        <v>348</v>
      </c>
      <c r="F414" s="11"/>
      <c r="G414" s="68" t="s">
        <v>1027</v>
      </c>
      <c r="H414" s="210">
        <v>250.0</v>
      </c>
      <c r="I414" s="1553">
        <f t="shared" si="33"/>
        <v>125</v>
      </c>
      <c r="J414" s="216" t="s">
        <v>18</v>
      </c>
      <c r="K414" s="11"/>
    </row>
    <row r="415" ht="13.5" customHeight="1">
      <c r="A415" s="93" t="s">
        <v>105</v>
      </c>
      <c r="B415" s="247">
        <v>200.0</v>
      </c>
      <c r="C415" s="40">
        <f t="shared" ref="C415:C417" si="38">(B415*C413)/B413</f>
        <v>120</v>
      </c>
      <c r="D415" s="249" t="s">
        <v>18</v>
      </c>
      <c r="E415" s="63"/>
      <c r="F415" s="11"/>
      <c r="G415" s="93" t="s">
        <v>105</v>
      </c>
      <c r="H415" s="247">
        <v>200.0</v>
      </c>
      <c r="I415" s="40">
        <f t="shared" si="33"/>
        <v>100</v>
      </c>
      <c r="J415" s="249" t="s">
        <v>18</v>
      </c>
      <c r="K415" s="11"/>
    </row>
    <row r="416" ht="13.5" customHeight="1">
      <c r="A416" s="93" t="s">
        <v>856</v>
      </c>
      <c r="B416" s="247">
        <v>0.75</v>
      </c>
      <c r="C416" s="40">
        <f t="shared" si="38"/>
        <v>0.45</v>
      </c>
      <c r="D416" s="249" t="s">
        <v>14</v>
      </c>
      <c r="E416" s="63"/>
      <c r="F416" s="11"/>
      <c r="G416" s="93" t="s">
        <v>856</v>
      </c>
      <c r="H416" s="247">
        <v>0.75</v>
      </c>
      <c r="I416" s="40">
        <f t="shared" si="33"/>
        <v>0.375</v>
      </c>
      <c r="J416" s="249" t="s">
        <v>14</v>
      </c>
      <c r="K416" s="11"/>
    </row>
    <row r="417" ht="13.5" customHeight="1">
      <c r="A417" s="105" t="s">
        <v>31</v>
      </c>
      <c r="B417" s="522">
        <v>250.0</v>
      </c>
      <c r="C417" s="980">
        <f t="shared" si="38"/>
        <v>150</v>
      </c>
      <c r="D417" s="518" t="s">
        <v>18</v>
      </c>
      <c r="E417" s="102"/>
      <c r="F417" s="11"/>
      <c r="G417" s="105" t="s">
        <v>31</v>
      </c>
      <c r="H417" s="522">
        <v>250.0</v>
      </c>
      <c r="I417" s="982">
        <f t="shared" si="33"/>
        <v>125</v>
      </c>
      <c r="J417" s="518" t="s">
        <v>18</v>
      </c>
      <c r="K417" s="11"/>
    </row>
    <row r="418" ht="13.5" customHeight="1">
      <c r="A418" s="119" t="s">
        <v>288</v>
      </c>
      <c r="B418" s="523">
        <v>250.0</v>
      </c>
      <c r="C418" s="982">
        <f t="shared" ref="C418:C419" si="39">(B418*C415)/B415</f>
        <v>150</v>
      </c>
      <c r="D418" s="520" t="s">
        <v>18</v>
      </c>
      <c r="E418" s="194" t="s">
        <v>2712</v>
      </c>
      <c r="F418" s="11"/>
      <c r="G418" s="119" t="s">
        <v>288</v>
      </c>
      <c r="H418" s="523">
        <v>250.0</v>
      </c>
      <c r="I418" s="1553">
        <f t="shared" si="33"/>
        <v>125</v>
      </c>
      <c r="J418" s="520" t="s">
        <v>18</v>
      </c>
      <c r="K418" s="11"/>
    </row>
    <row r="419" ht="13.5" customHeight="1">
      <c r="A419" s="93" t="s">
        <v>1588</v>
      </c>
      <c r="B419" s="247">
        <v>4.0</v>
      </c>
      <c r="C419" s="982">
        <f t="shared" si="39"/>
        <v>2.4</v>
      </c>
      <c r="D419" s="249" t="s">
        <v>5</v>
      </c>
      <c r="E419" s="63"/>
      <c r="F419" s="11"/>
      <c r="G419" s="93" t="s">
        <v>1588</v>
      </c>
      <c r="H419" s="247">
        <v>4.0</v>
      </c>
      <c r="I419" s="40">
        <f t="shared" si="33"/>
        <v>2</v>
      </c>
      <c r="J419" s="249" t="s">
        <v>5</v>
      </c>
      <c r="K419" s="11"/>
    </row>
    <row r="420" ht="13.5" customHeight="1">
      <c r="A420" s="105" t="s">
        <v>2715</v>
      </c>
      <c r="B420" s="522">
        <v>0.5</v>
      </c>
      <c r="C420" s="980">
        <f>(B420*C418)/B418</f>
        <v>0.3</v>
      </c>
      <c r="D420" s="518" t="s">
        <v>14</v>
      </c>
      <c r="E420" s="102"/>
      <c r="F420" s="11"/>
      <c r="G420" s="105" t="s">
        <v>2715</v>
      </c>
      <c r="H420" s="522">
        <v>0.5</v>
      </c>
      <c r="I420" s="982">
        <f t="shared" si="33"/>
        <v>0.25</v>
      </c>
      <c r="J420" s="518" t="s">
        <v>14</v>
      </c>
      <c r="K420" s="11"/>
    </row>
    <row r="421" ht="13.5" customHeight="1">
      <c r="A421" s="1640" t="s">
        <v>119</v>
      </c>
      <c r="B421" s="183" t="s">
        <v>47</v>
      </c>
      <c r="C421" s="107"/>
      <c r="D421" s="1"/>
      <c r="E421" s="11"/>
      <c r="F421" s="11"/>
      <c r="G421" s="11"/>
      <c r="H421" s="11"/>
      <c r="I421" s="11"/>
      <c r="J421" s="11"/>
      <c r="K421" s="11"/>
    </row>
    <row r="422" ht="15.0" customHeight="1">
      <c r="A422" s="2402" t="s">
        <v>2720</v>
      </c>
      <c r="B422" s="5"/>
      <c r="C422" s="6"/>
      <c r="D422" s="1"/>
      <c r="E422" s="11"/>
      <c r="F422" s="11"/>
      <c r="G422" s="11"/>
      <c r="H422" s="11"/>
      <c r="I422" s="11"/>
      <c r="J422" s="11"/>
      <c r="K422" s="11"/>
    </row>
    <row r="423" ht="13.5" customHeight="1">
      <c r="A423" s="102"/>
      <c r="B423" s="104"/>
      <c r="C423" s="106"/>
      <c r="D423" s="11"/>
      <c r="E423" s="11"/>
      <c r="F423" s="11"/>
      <c r="G423" s="11"/>
      <c r="H423" s="11"/>
      <c r="I423" s="11"/>
      <c r="J423" s="11"/>
      <c r="K423" s="11"/>
    </row>
    <row r="424" ht="13.5" customHeight="1">
      <c r="A424" s="90" t="s">
        <v>120</v>
      </c>
      <c r="B424" s="308">
        <v>41227.0</v>
      </c>
      <c r="C424" s="1494"/>
      <c r="D424" s="1"/>
      <c r="E424" s="11"/>
      <c r="F424" s="11"/>
      <c r="G424" s="11"/>
      <c r="H424" s="11"/>
      <c r="I424" s="11"/>
      <c r="J424" s="11"/>
      <c r="K424" s="11"/>
    </row>
    <row r="425" ht="13.5" customHeight="1">
      <c r="A425" s="305" t="s">
        <v>50</v>
      </c>
      <c r="B425" s="308">
        <v>41793.0</v>
      </c>
      <c r="C425" s="1494"/>
      <c r="D425" s="1"/>
      <c r="E425" s="11"/>
      <c r="F425" s="11"/>
      <c r="G425" s="11"/>
      <c r="H425" s="11"/>
      <c r="I425" s="11"/>
      <c r="J425" s="11"/>
      <c r="K425" s="11"/>
    </row>
    <row r="426" ht="13.5" customHeight="1">
      <c r="A426" s="11"/>
      <c r="B426" s="11"/>
      <c r="C426" s="1167"/>
      <c r="D426" s="11"/>
      <c r="E426" s="11"/>
      <c r="F426" s="11"/>
      <c r="G426" s="11"/>
      <c r="H426" s="11"/>
      <c r="I426" s="11"/>
      <c r="J426" s="11"/>
      <c r="K426" s="11"/>
    </row>
    <row r="427" ht="13.5" customHeight="1">
      <c r="A427" s="209" t="s">
        <v>667</v>
      </c>
      <c r="B427" s="18"/>
      <c r="C427" s="18"/>
      <c r="D427" s="19"/>
      <c r="E427" s="1"/>
      <c r="F427" s="11"/>
      <c r="G427" s="11"/>
      <c r="H427" s="11"/>
      <c r="I427" s="11"/>
      <c r="J427" s="11"/>
      <c r="K427" s="11"/>
    </row>
    <row r="428" ht="13.5" customHeight="1">
      <c r="A428" s="51" t="s">
        <v>1</v>
      </c>
      <c r="B428" s="53">
        <v>100.0</v>
      </c>
      <c r="C428" s="190">
        <v>60.0</v>
      </c>
      <c r="D428" s="514" t="s">
        <v>5</v>
      </c>
      <c r="E428" s="1"/>
      <c r="F428" s="11"/>
      <c r="G428" s="11"/>
      <c r="H428" s="11"/>
      <c r="I428" s="11"/>
      <c r="J428" s="11"/>
      <c r="K428" s="11"/>
    </row>
    <row r="429" ht="13.5" customHeight="1">
      <c r="A429" s="51" t="s">
        <v>1577</v>
      </c>
      <c r="B429" s="53">
        <v>90.0</v>
      </c>
      <c r="C429" s="190">
        <f t="shared" ref="C429:C440" si="40">(B429*C428)/B428</f>
        <v>54</v>
      </c>
      <c r="D429" s="514" t="s">
        <v>14</v>
      </c>
      <c r="E429" s="1"/>
      <c r="F429" s="11"/>
      <c r="G429" s="11"/>
      <c r="H429" s="11"/>
      <c r="I429" s="11"/>
      <c r="J429" s="11"/>
      <c r="K429" s="11"/>
    </row>
    <row r="430" ht="13.5" customHeight="1">
      <c r="A430" s="68" t="s">
        <v>91</v>
      </c>
      <c r="B430" s="210">
        <v>3.5</v>
      </c>
      <c r="C430" s="145">
        <f t="shared" si="40"/>
        <v>2.1</v>
      </c>
      <c r="D430" s="216" t="s">
        <v>5</v>
      </c>
      <c r="E430" s="44" t="s">
        <v>2727</v>
      </c>
      <c r="F430" s="11"/>
      <c r="G430" s="11"/>
      <c r="H430" s="11"/>
      <c r="I430" s="11"/>
      <c r="J430" s="11"/>
      <c r="K430" s="11"/>
    </row>
    <row r="431" ht="13.5" customHeight="1">
      <c r="A431" s="93" t="s">
        <v>98</v>
      </c>
      <c r="B431" s="247">
        <v>400.0</v>
      </c>
      <c r="C431" s="195">
        <f t="shared" si="40"/>
        <v>240</v>
      </c>
      <c r="D431" s="249" t="s">
        <v>18</v>
      </c>
      <c r="E431" s="47"/>
      <c r="F431" s="11"/>
      <c r="G431" s="11"/>
      <c r="H431" s="11"/>
      <c r="I431" s="11"/>
      <c r="J431" s="11"/>
      <c r="K431" s="11"/>
    </row>
    <row r="432" ht="13.5" customHeight="1">
      <c r="A432" s="93" t="s">
        <v>346</v>
      </c>
      <c r="B432" s="247">
        <v>1000.0</v>
      </c>
      <c r="C432" s="195">
        <f t="shared" si="40"/>
        <v>600</v>
      </c>
      <c r="D432" s="249" t="s">
        <v>18</v>
      </c>
      <c r="E432" s="47"/>
      <c r="F432" s="11"/>
      <c r="G432" s="11"/>
      <c r="H432" s="11"/>
      <c r="I432" s="11"/>
      <c r="J432" s="11"/>
      <c r="K432" s="11"/>
    </row>
    <row r="433" ht="13.5" customHeight="1">
      <c r="A433" s="93" t="s">
        <v>103</v>
      </c>
      <c r="B433" s="247">
        <v>80.0</v>
      </c>
      <c r="C433" s="195">
        <f t="shared" si="40"/>
        <v>48</v>
      </c>
      <c r="D433" s="249" t="s">
        <v>18</v>
      </c>
      <c r="E433" s="47"/>
      <c r="F433" s="11"/>
      <c r="G433" s="11"/>
      <c r="H433" s="11"/>
      <c r="I433" s="11"/>
      <c r="J433" s="11"/>
      <c r="K433" s="11"/>
    </row>
    <row r="434" ht="13.5" customHeight="1">
      <c r="A434" s="93" t="s">
        <v>822</v>
      </c>
      <c r="B434" s="247">
        <v>500.0</v>
      </c>
      <c r="C434" s="195">
        <f t="shared" si="40"/>
        <v>300</v>
      </c>
      <c r="D434" s="249" t="s">
        <v>18</v>
      </c>
      <c r="E434" s="47"/>
      <c r="F434" s="11"/>
      <c r="G434" s="11"/>
      <c r="H434" s="11"/>
      <c r="I434" s="11"/>
      <c r="J434" s="11"/>
      <c r="K434" s="11"/>
    </row>
    <row r="435" ht="13.5" customHeight="1">
      <c r="A435" s="93" t="s">
        <v>101</v>
      </c>
      <c r="B435" s="247">
        <v>2.0</v>
      </c>
      <c r="C435" s="195">
        <f t="shared" si="40"/>
        <v>1.2</v>
      </c>
      <c r="D435" s="249" t="s">
        <v>5</v>
      </c>
      <c r="E435" s="47"/>
      <c r="F435" s="11"/>
      <c r="G435" s="11"/>
      <c r="H435" s="11"/>
      <c r="I435" s="11"/>
      <c r="J435" s="11"/>
      <c r="K435" s="11"/>
    </row>
    <row r="436" ht="13.5" customHeight="1">
      <c r="A436" s="105" t="s">
        <v>2730</v>
      </c>
      <c r="B436" s="522">
        <v>200.0</v>
      </c>
      <c r="C436" s="200">
        <f t="shared" si="40"/>
        <v>120</v>
      </c>
      <c r="D436" s="518" t="s">
        <v>18</v>
      </c>
      <c r="E436" s="47"/>
      <c r="F436" s="11"/>
      <c r="G436" s="11"/>
      <c r="H436" s="11"/>
      <c r="I436" s="11"/>
      <c r="J436" s="11"/>
      <c r="K436" s="11"/>
    </row>
    <row r="437" ht="13.5" customHeight="1">
      <c r="A437" s="68" t="s">
        <v>31</v>
      </c>
      <c r="B437" s="210">
        <v>1250.0</v>
      </c>
      <c r="C437" s="145">
        <f t="shared" si="40"/>
        <v>750</v>
      </c>
      <c r="D437" s="216" t="s">
        <v>18</v>
      </c>
      <c r="E437" s="44"/>
      <c r="F437" s="11"/>
      <c r="G437" s="11"/>
      <c r="H437" s="11"/>
      <c r="I437" s="11"/>
      <c r="J437" s="11"/>
      <c r="K437" s="11"/>
    </row>
    <row r="438" ht="13.5" customHeight="1">
      <c r="A438" s="105" t="s">
        <v>1582</v>
      </c>
      <c r="B438" s="522">
        <v>0.5</v>
      </c>
      <c r="C438" s="200">
        <f t="shared" si="40"/>
        <v>0.3</v>
      </c>
      <c r="D438" s="518" t="s">
        <v>5</v>
      </c>
      <c r="E438" s="76"/>
      <c r="F438" s="11"/>
      <c r="G438" s="11"/>
      <c r="H438" s="11"/>
      <c r="I438" s="11"/>
      <c r="J438" s="11"/>
      <c r="K438" s="11"/>
    </row>
    <row r="439" ht="13.5" customHeight="1">
      <c r="A439" s="119" t="s">
        <v>2735</v>
      </c>
      <c r="B439" s="523">
        <v>7.5</v>
      </c>
      <c r="C439" s="238">
        <f t="shared" si="40"/>
        <v>4.5</v>
      </c>
      <c r="D439" s="520" t="s">
        <v>14</v>
      </c>
      <c r="E439" s="1"/>
      <c r="F439" s="11"/>
      <c r="G439" s="11"/>
      <c r="H439" s="11"/>
      <c r="I439" s="11"/>
      <c r="J439" s="11"/>
      <c r="K439" s="11"/>
    </row>
    <row r="440" ht="13.5" customHeight="1">
      <c r="A440" s="105" t="s">
        <v>958</v>
      </c>
      <c r="B440" s="522">
        <v>5.0</v>
      </c>
      <c r="C440" s="200">
        <f t="shared" si="40"/>
        <v>3</v>
      </c>
      <c r="D440" s="518" t="s">
        <v>5</v>
      </c>
      <c r="E440" s="1"/>
      <c r="F440" s="11"/>
      <c r="G440" s="11"/>
      <c r="H440" s="11"/>
      <c r="I440" s="11"/>
      <c r="J440" s="11"/>
      <c r="K440" s="11"/>
    </row>
    <row r="441" ht="13.5" customHeight="1">
      <c r="A441" s="1377" t="s">
        <v>119</v>
      </c>
      <c r="B441" s="560" t="s">
        <v>47</v>
      </c>
      <c r="C441" s="107"/>
      <c r="D441" s="1"/>
      <c r="E441" s="11"/>
      <c r="F441" s="11"/>
      <c r="G441" s="11"/>
      <c r="H441" s="11"/>
      <c r="I441" s="11"/>
      <c r="J441" s="11"/>
      <c r="K441" s="11"/>
    </row>
    <row r="442" ht="13.5" customHeight="1">
      <c r="A442" s="1372" t="s">
        <v>1584</v>
      </c>
      <c r="B442" s="5"/>
      <c r="C442" s="6"/>
      <c r="D442" s="1"/>
      <c r="E442" s="11"/>
      <c r="F442" s="11"/>
      <c r="G442" s="11"/>
      <c r="H442" s="11"/>
      <c r="I442" s="11"/>
      <c r="J442" s="11"/>
      <c r="K442" s="11"/>
    </row>
    <row r="443" ht="13.5" customHeight="1">
      <c r="A443" s="63"/>
      <c r="C443" s="66"/>
      <c r="D443" s="1"/>
      <c r="E443" s="11"/>
      <c r="F443" s="11"/>
      <c r="G443" s="11"/>
      <c r="H443" s="11"/>
      <c r="I443" s="11"/>
      <c r="J443" s="11"/>
      <c r="K443" s="11"/>
    </row>
    <row r="444" ht="13.5" customHeight="1">
      <c r="A444" s="102"/>
      <c r="B444" s="104"/>
      <c r="C444" s="106"/>
      <c r="D444" s="1"/>
      <c r="E444" s="11"/>
      <c r="F444" s="11"/>
      <c r="G444" s="11"/>
      <c r="H444" s="11"/>
      <c r="I444" s="11"/>
      <c r="J444" s="11"/>
      <c r="K444" s="11"/>
    </row>
    <row r="445" ht="13.5" customHeight="1">
      <c r="A445" s="550" t="s">
        <v>120</v>
      </c>
      <c r="B445" s="2140">
        <v>40819.0</v>
      </c>
      <c r="C445" s="107"/>
      <c r="D445" s="1"/>
      <c r="E445" s="11"/>
      <c r="F445" s="11"/>
      <c r="G445" s="11"/>
      <c r="H445" s="11"/>
      <c r="I445" s="11"/>
      <c r="J445" s="11"/>
      <c r="K445" s="11"/>
    </row>
    <row r="446" ht="13.5" customHeight="1">
      <c r="A446" s="1376" t="s">
        <v>1486</v>
      </c>
      <c r="B446" s="2140">
        <v>41591.0</v>
      </c>
      <c r="C446" s="107"/>
      <c r="D446" s="1"/>
      <c r="E446" s="11"/>
      <c r="F446" s="11"/>
      <c r="G446" s="11"/>
      <c r="H446" s="11"/>
      <c r="I446" s="11"/>
      <c r="J446" s="11"/>
      <c r="K446" s="11"/>
    </row>
    <row r="447" ht="13.5" customHeight="1">
      <c r="A447" s="11"/>
      <c r="B447" s="11"/>
      <c r="C447" s="1167"/>
      <c r="D447" s="11"/>
      <c r="E447" s="11"/>
      <c r="F447" s="11"/>
      <c r="G447" s="11"/>
      <c r="H447" s="11"/>
      <c r="I447" s="11"/>
      <c r="J447" s="11"/>
      <c r="K447" s="11"/>
    </row>
    <row r="448" ht="13.5" customHeight="1">
      <c r="A448" s="511" t="s">
        <v>905</v>
      </c>
      <c r="B448" s="18"/>
      <c r="C448" s="18"/>
      <c r="D448" s="19"/>
      <c r="E448" s="921"/>
      <c r="F448" s="11"/>
      <c r="G448" s="11"/>
      <c r="H448" s="11"/>
      <c r="I448" s="11"/>
      <c r="J448" s="11"/>
      <c r="K448" s="11"/>
    </row>
    <row r="449" ht="13.5" customHeight="1">
      <c r="A449" s="512" t="s">
        <v>1</v>
      </c>
      <c r="B449" s="1093">
        <v>100.0</v>
      </c>
      <c r="C449" s="190">
        <v>60.0</v>
      </c>
      <c r="D449" s="514" t="s">
        <v>190</v>
      </c>
      <c r="E449" s="921"/>
      <c r="F449" s="11"/>
      <c r="G449" s="11"/>
      <c r="H449" s="11"/>
      <c r="I449" s="11"/>
      <c r="J449" s="11"/>
      <c r="K449" s="11"/>
    </row>
    <row r="450" ht="13.5" customHeight="1">
      <c r="A450" s="68" t="s">
        <v>2745</v>
      </c>
      <c r="B450" s="976">
        <v>10.0</v>
      </c>
      <c r="C450" s="2075">
        <f t="shared" ref="C450:C466" si="41">(B450*C449)/B449</f>
        <v>6</v>
      </c>
      <c r="D450" s="1579" t="s">
        <v>14</v>
      </c>
      <c r="E450" s="44" t="s">
        <v>2746</v>
      </c>
      <c r="F450" s="11"/>
      <c r="G450" s="11"/>
      <c r="H450" s="11"/>
      <c r="I450" s="11"/>
      <c r="J450" s="11"/>
      <c r="K450" s="11"/>
    </row>
    <row r="451" ht="13.5" customHeight="1">
      <c r="A451" s="93" t="s">
        <v>2433</v>
      </c>
      <c r="B451" s="992">
        <v>15.0</v>
      </c>
      <c r="C451" s="2080">
        <f t="shared" si="41"/>
        <v>9</v>
      </c>
      <c r="D451" s="1588" t="s">
        <v>14</v>
      </c>
      <c r="E451" s="47"/>
      <c r="F451" s="11"/>
      <c r="G451" s="11"/>
      <c r="H451" s="11"/>
      <c r="I451" s="11"/>
      <c r="J451" s="11"/>
      <c r="K451" s="11"/>
    </row>
    <row r="452" ht="13.5" customHeight="1">
      <c r="A452" s="93" t="s">
        <v>2440</v>
      </c>
      <c r="B452" s="992">
        <v>10.0</v>
      </c>
      <c r="C452" s="2080">
        <f t="shared" si="41"/>
        <v>6</v>
      </c>
      <c r="D452" s="1588" t="s">
        <v>14</v>
      </c>
      <c r="E452" s="47"/>
      <c r="F452" s="11"/>
      <c r="G452" s="11"/>
      <c r="H452" s="11"/>
      <c r="I452" s="11"/>
      <c r="J452" s="11"/>
      <c r="K452" s="11"/>
    </row>
    <row r="453" ht="13.5" customHeight="1">
      <c r="A453" s="93" t="s">
        <v>1023</v>
      </c>
      <c r="B453" s="992">
        <v>25.0</v>
      </c>
      <c r="C453" s="2080">
        <f t="shared" si="41"/>
        <v>15</v>
      </c>
      <c r="D453" s="1588" t="s">
        <v>14</v>
      </c>
      <c r="E453" s="47"/>
      <c r="F453" s="11"/>
      <c r="G453" s="11"/>
      <c r="H453" s="11"/>
      <c r="I453" s="11"/>
      <c r="J453" s="11"/>
      <c r="K453" s="11"/>
    </row>
    <row r="454" ht="13.5" customHeight="1">
      <c r="A454" s="93" t="s">
        <v>1246</v>
      </c>
      <c r="B454" s="992">
        <v>15.0</v>
      </c>
      <c r="C454" s="2080">
        <f t="shared" si="41"/>
        <v>9</v>
      </c>
      <c r="D454" s="1588" t="s">
        <v>14</v>
      </c>
      <c r="E454" s="47"/>
      <c r="F454" s="11"/>
      <c r="G454" s="11"/>
      <c r="H454" s="11"/>
      <c r="I454" s="11"/>
      <c r="J454" s="11"/>
      <c r="K454" s="11"/>
    </row>
    <row r="455" ht="13.5" customHeight="1">
      <c r="A455" s="93" t="s">
        <v>2384</v>
      </c>
      <c r="B455" s="992">
        <v>20.0</v>
      </c>
      <c r="C455" s="2080">
        <f t="shared" si="41"/>
        <v>12</v>
      </c>
      <c r="D455" s="1588" t="s">
        <v>14</v>
      </c>
      <c r="E455" s="47"/>
      <c r="F455" s="11"/>
      <c r="G455" s="11"/>
      <c r="H455" s="11"/>
      <c r="I455" s="11"/>
      <c r="J455" s="11"/>
      <c r="K455" s="11"/>
    </row>
    <row r="456" ht="13.5" customHeight="1">
      <c r="A456" s="105" t="s">
        <v>329</v>
      </c>
      <c r="B456" s="981">
        <v>10.0</v>
      </c>
      <c r="C456" s="2083">
        <f t="shared" si="41"/>
        <v>6</v>
      </c>
      <c r="D456" s="1605" t="s">
        <v>14</v>
      </c>
      <c r="E456" s="76"/>
      <c r="F456" s="11"/>
      <c r="G456" s="11"/>
      <c r="H456" s="11"/>
      <c r="I456" s="11"/>
      <c r="J456" s="11"/>
      <c r="K456" s="11"/>
    </row>
    <row r="457" ht="15.0" customHeight="1">
      <c r="A457" s="119" t="s">
        <v>91</v>
      </c>
      <c r="B457" s="985">
        <v>6.0</v>
      </c>
      <c r="C457" s="2212">
        <f t="shared" si="41"/>
        <v>3.6</v>
      </c>
      <c r="D457" s="520" t="s">
        <v>5</v>
      </c>
      <c r="E457" s="44" t="s">
        <v>2751</v>
      </c>
      <c r="F457" s="11"/>
      <c r="G457" s="11"/>
      <c r="H457" s="11"/>
      <c r="I457" s="11"/>
      <c r="J457" s="11"/>
      <c r="K457" s="11"/>
    </row>
    <row r="458" ht="13.5" customHeight="1">
      <c r="A458" s="93" t="s">
        <v>97</v>
      </c>
      <c r="B458" s="992">
        <v>250.0</v>
      </c>
      <c r="C458" s="2080">
        <f t="shared" si="41"/>
        <v>150</v>
      </c>
      <c r="D458" s="249" t="s">
        <v>18</v>
      </c>
      <c r="E458" s="47"/>
      <c r="F458" s="11"/>
      <c r="G458" s="11"/>
      <c r="H458" s="11"/>
      <c r="I458" s="11"/>
      <c r="J458" s="11"/>
      <c r="K458" s="11"/>
    </row>
    <row r="459" ht="13.5" customHeight="1">
      <c r="A459" s="93" t="s">
        <v>103</v>
      </c>
      <c r="B459" s="992">
        <v>100.0</v>
      </c>
      <c r="C459" s="2080">
        <f t="shared" si="41"/>
        <v>60</v>
      </c>
      <c r="D459" s="249" t="s">
        <v>18</v>
      </c>
      <c r="E459" s="47"/>
      <c r="F459" s="11"/>
      <c r="G459" s="11"/>
      <c r="H459" s="11"/>
      <c r="I459" s="11"/>
      <c r="J459" s="11"/>
      <c r="K459" s="11"/>
    </row>
    <row r="460" ht="15.0" customHeight="1">
      <c r="A460" s="93" t="s">
        <v>2386</v>
      </c>
      <c r="B460" s="992">
        <v>250.0</v>
      </c>
      <c r="C460" s="2080">
        <f t="shared" si="41"/>
        <v>150</v>
      </c>
      <c r="D460" s="249" t="s">
        <v>18</v>
      </c>
      <c r="E460" s="47"/>
      <c r="F460" s="11"/>
      <c r="G460" s="11"/>
      <c r="H460" s="11"/>
      <c r="I460" s="11"/>
      <c r="J460" s="11"/>
      <c r="K460" s="11"/>
    </row>
    <row r="461" ht="13.5" customHeight="1">
      <c r="A461" s="105" t="s">
        <v>31</v>
      </c>
      <c r="B461" s="981">
        <v>1500.0</v>
      </c>
      <c r="C461" s="2080">
        <f t="shared" si="41"/>
        <v>900</v>
      </c>
      <c r="D461" s="518" t="s">
        <v>18</v>
      </c>
      <c r="E461" s="76"/>
      <c r="F461" s="11"/>
      <c r="G461" s="11"/>
      <c r="H461" s="11"/>
      <c r="I461" s="11"/>
      <c r="J461" s="11"/>
      <c r="K461" s="11"/>
    </row>
    <row r="462" ht="13.5" customHeight="1">
      <c r="A462" s="119" t="s">
        <v>1027</v>
      </c>
      <c r="B462" s="985">
        <v>300.0</v>
      </c>
      <c r="C462" s="2080">
        <f t="shared" si="41"/>
        <v>180</v>
      </c>
      <c r="D462" s="520" t="s">
        <v>18</v>
      </c>
      <c r="E462" s="921"/>
      <c r="F462" s="11"/>
      <c r="G462" s="11"/>
      <c r="H462" s="11"/>
      <c r="I462" s="11"/>
      <c r="J462" s="11"/>
      <c r="K462" s="11"/>
    </row>
    <row r="463" ht="13.5" customHeight="1">
      <c r="A463" s="93" t="s">
        <v>105</v>
      </c>
      <c r="B463" s="992">
        <v>200.0</v>
      </c>
      <c r="C463" s="2080">
        <f t="shared" si="41"/>
        <v>120</v>
      </c>
      <c r="D463" s="249" t="s">
        <v>18</v>
      </c>
      <c r="E463" s="921"/>
      <c r="F463" s="11"/>
      <c r="G463" s="11"/>
      <c r="H463" s="11"/>
      <c r="I463" s="11"/>
      <c r="J463" s="11"/>
      <c r="K463" s="11"/>
    </row>
    <row r="464" ht="13.5" customHeight="1">
      <c r="A464" s="93" t="s">
        <v>288</v>
      </c>
      <c r="B464" s="992">
        <v>250.0</v>
      </c>
      <c r="C464" s="2080">
        <f t="shared" si="41"/>
        <v>150</v>
      </c>
      <c r="D464" s="249" t="s">
        <v>18</v>
      </c>
      <c r="E464" s="921"/>
      <c r="F464" s="11"/>
      <c r="G464" s="11"/>
      <c r="H464" s="11"/>
      <c r="I464" s="11"/>
      <c r="J464" s="11"/>
      <c r="K464" s="11"/>
    </row>
    <row r="465" ht="13.5" customHeight="1">
      <c r="A465" s="138" t="s">
        <v>1570</v>
      </c>
      <c r="B465" s="1777">
        <v>100.0</v>
      </c>
      <c r="C465" s="2097">
        <f t="shared" si="41"/>
        <v>60</v>
      </c>
      <c r="D465" s="242" t="s">
        <v>18</v>
      </c>
      <c r="E465" s="921"/>
      <c r="F465" s="11"/>
      <c r="G465" s="11"/>
      <c r="H465" s="11"/>
      <c r="I465" s="11"/>
      <c r="J465" s="11"/>
      <c r="K465" s="11"/>
    </row>
    <row r="466" ht="13.5" customHeight="1">
      <c r="A466" s="105" t="s">
        <v>112</v>
      </c>
      <c r="B466" s="981">
        <v>200.0</v>
      </c>
      <c r="C466" s="2083">
        <f t="shared" si="41"/>
        <v>120</v>
      </c>
      <c r="D466" s="518" t="s">
        <v>18</v>
      </c>
      <c r="E466" s="921"/>
      <c r="F466" s="11"/>
      <c r="G466" s="11"/>
      <c r="H466" s="11"/>
      <c r="I466" s="11"/>
      <c r="J466" s="11"/>
      <c r="K466" s="11"/>
    </row>
    <row r="467" ht="13.5" customHeight="1">
      <c r="A467" s="1640" t="s">
        <v>119</v>
      </c>
      <c r="B467" s="183" t="s">
        <v>47</v>
      </c>
      <c r="C467" s="107"/>
      <c r="D467" s="1"/>
      <c r="E467" s="11"/>
      <c r="F467" s="11"/>
      <c r="G467" s="11"/>
      <c r="H467" s="11"/>
      <c r="I467" s="11"/>
      <c r="J467" s="11"/>
      <c r="K467" s="11"/>
    </row>
    <row r="468" ht="13.5" customHeight="1">
      <c r="A468" s="90" t="s">
        <v>120</v>
      </c>
      <c r="B468" s="308">
        <v>41054.0</v>
      </c>
      <c r="C468" s="1494"/>
      <c r="D468" s="1"/>
      <c r="E468" s="11"/>
      <c r="F468" s="11"/>
      <c r="G468" s="11"/>
      <c r="H468" s="11"/>
      <c r="I468" s="11"/>
      <c r="J468" s="11"/>
      <c r="K468" s="11"/>
    </row>
    <row r="469" ht="13.5" customHeight="1">
      <c r="A469" s="90" t="s">
        <v>50</v>
      </c>
      <c r="B469" s="308">
        <v>41793.0</v>
      </c>
      <c r="C469" s="1494"/>
      <c r="D469" s="1"/>
      <c r="E469" s="11"/>
      <c r="F469" s="11"/>
      <c r="G469" s="11"/>
      <c r="H469" s="11"/>
      <c r="I469" s="11"/>
      <c r="J469" s="11"/>
      <c r="K469" s="11"/>
    </row>
    <row r="470" ht="13.5" customHeight="1">
      <c r="A470" s="11"/>
      <c r="B470" s="11"/>
      <c r="C470" s="1167"/>
      <c r="D470" s="11"/>
      <c r="E470" s="11"/>
      <c r="F470" s="11"/>
      <c r="G470" s="11"/>
      <c r="H470" s="11"/>
      <c r="I470" s="11"/>
      <c r="J470" s="11"/>
      <c r="K470" s="11"/>
    </row>
    <row r="471" ht="13.5" customHeight="1">
      <c r="A471" s="511" t="s">
        <v>2756</v>
      </c>
      <c r="B471" s="18"/>
      <c r="C471" s="18"/>
      <c r="D471" s="19"/>
      <c r="E471" s="2112"/>
      <c r="F471" s="11"/>
      <c r="G471" s="11"/>
      <c r="H471" s="11"/>
      <c r="I471" s="11"/>
      <c r="J471" s="11"/>
      <c r="K471" s="11"/>
    </row>
    <row r="472" ht="13.5" customHeight="1">
      <c r="A472" s="68" t="s">
        <v>1</v>
      </c>
      <c r="B472" s="210">
        <v>100.0</v>
      </c>
      <c r="C472" s="145">
        <v>60.0</v>
      </c>
      <c r="D472" s="216" t="s">
        <v>5</v>
      </c>
      <c r="E472" s="369"/>
      <c r="F472" s="11"/>
      <c r="G472" s="11"/>
      <c r="H472" s="11"/>
      <c r="I472" s="11"/>
      <c r="J472" s="11"/>
      <c r="K472" s="11"/>
    </row>
    <row r="473" ht="13.5" customHeight="1">
      <c r="A473" s="138" t="s">
        <v>2759</v>
      </c>
      <c r="B473" s="239">
        <v>150.0</v>
      </c>
      <c r="C473" s="200">
        <f t="shared" ref="C473:C480" si="42">(B473*C472)/B472</f>
        <v>90</v>
      </c>
      <c r="D473" s="242" t="s">
        <v>14</v>
      </c>
      <c r="E473" s="2431"/>
      <c r="F473" s="11"/>
      <c r="G473" s="11"/>
      <c r="H473" s="11"/>
      <c r="I473" s="11"/>
      <c r="J473" s="11"/>
      <c r="K473" s="11"/>
    </row>
    <row r="474" ht="13.5" customHeight="1">
      <c r="A474" s="68" t="s">
        <v>91</v>
      </c>
      <c r="B474" s="210">
        <v>6.0</v>
      </c>
      <c r="C474" s="145">
        <f t="shared" si="42"/>
        <v>3.6</v>
      </c>
      <c r="D474" s="216" t="s">
        <v>5</v>
      </c>
      <c r="E474" s="569" t="s">
        <v>2761</v>
      </c>
      <c r="F474" s="11"/>
      <c r="G474" s="11"/>
      <c r="H474" s="11"/>
      <c r="I474" s="11"/>
      <c r="J474" s="11"/>
      <c r="K474" s="11"/>
    </row>
    <row r="475" ht="13.5" customHeight="1">
      <c r="A475" s="93" t="s">
        <v>98</v>
      </c>
      <c r="B475" s="247">
        <v>500.0</v>
      </c>
      <c r="C475" s="195">
        <f t="shared" si="42"/>
        <v>300</v>
      </c>
      <c r="D475" s="249" t="s">
        <v>18</v>
      </c>
      <c r="E475" s="570"/>
      <c r="F475" s="11"/>
      <c r="G475" s="11"/>
      <c r="H475" s="11"/>
      <c r="I475" s="11"/>
      <c r="J475" s="11"/>
      <c r="K475" s="11"/>
    </row>
    <row r="476" ht="13.5" customHeight="1">
      <c r="A476" s="93" t="s">
        <v>1036</v>
      </c>
      <c r="B476" s="247">
        <v>50.0</v>
      </c>
      <c r="C476" s="195">
        <f t="shared" si="42"/>
        <v>30</v>
      </c>
      <c r="D476" s="249" t="s">
        <v>18</v>
      </c>
      <c r="E476" s="570"/>
      <c r="F476" s="11"/>
      <c r="G476" s="11"/>
      <c r="H476" s="11"/>
      <c r="I476" s="11"/>
      <c r="J476" s="11"/>
      <c r="K476" s="11"/>
    </row>
    <row r="477" ht="13.5" customHeight="1">
      <c r="A477" s="105" t="s">
        <v>103</v>
      </c>
      <c r="B477" s="522">
        <v>125.0</v>
      </c>
      <c r="C477" s="200">
        <f t="shared" si="42"/>
        <v>75</v>
      </c>
      <c r="D477" s="518" t="s">
        <v>18</v>
      </c>
      <c r="E477" s="572"/>
      <c r="F477" s="11"/>
      <c r="G477" s="11"/>
      <c r="H477" s="11"/>
      <c r="I477" s="11"/>
      <c r="J477" s="11"/>
      <c r="K477" s="11"/>
    </row>
    <row r="478" ht="13.5" customHeight="1">
      <c r="A478" s="68" t="s">
        <v>52</v>
      </c>
      <c r="B478" s="210">
        <v>300.0</v>
      </c>
      <c r="C478" s="145">
        <f t="shared" si="42"/>
        <v>180</v>
      </c>
      <c r="D478" s="216" t="s">
        <v>18</v>
      </c>
      <c r="E478" s="369"/>
      <c r="F478" s="11"/>
      <c r="G478" s="11"/>
      <c r="H478" s="11"/>
      <c r="I478" s="11"/>
      <c r="J478" s="11"/>
      <c r="K478" s="11"/>
    </row>
    <row r="479" ht="13.5" customHeight="1">
      <c r="A479" s="138" t="s">
        <v>31</v>
      </c>
      <c r="B479" s="239">
        <v>1800.0</v>
      </c>
      <c r="C479" s="279">
        <f t="shared" si="42"/>
        <v>1080</v>
      </c>
      <c r="D479" s="242" t="s">
        <v>18</v>
      </c>
      <c r="E479" s="2431"/>
      <c r="F479" s="11"/>
      <c r="G479" s="11"/>
      <c r="H479" s="11"/>
      <c r="I479" s="11"/>
      <c r="J479" s="11"/>
      <c r="K479" s="11"/>
    </row>
    <row r="480" ht="13.5" customHeight="1">
      <c r="A480" s="68" t="s">
        <v>1027</v>
      </c>
      <c r="B480" s="976">
        <v>400.0</v>
      </c>
      <c r="C480" s="145">
        <f t="shared" si="42"/>
        <v>240</v>
      </c>
      <c r="D480" s="216" t="s">
        <v>18</v>
      </c>
      <c r="E480" s="569" t="s">
        <v>2764</v>
      </c>
      <c r="F480" s="11"/>
      <c r="G480" s="11"/>
      <c r="H480" s="11"/>
      <c r="I480" s="11"/>
      <c r="J480" s="11"/>
      <c r="K480" s="11"/>
    </row>
    <row r="481" ht="13.5" customHeight="1">
      <c r="A481" s="93" t="s">
        <v>112</v>
      </c>
      <c r="B481" s="992">
        <v>300.0</v>
      </c>
      <c r="C481" s="2080">
        <f t="shared" ref="C481:C482" si="43">(B481*C474)/B474</f>
        <v>180</v>
      </c>
      <c r="D481" s="249" t="s">
        <v>18</v>
      </c>
      <c r="E481" s="570"/>
      <c r="F481" s="11"/>
      <c r="G481" s="11"/>
      <c r="H481" s="11"/>
      <c r="I481" s="11"/>
      <c r="J481" s="11"/>
      <c r="K481" s="11"/>
    </row>
    <row r="482" ht="13.5" customHeight="1">
      <c r="A482" s="105" t="s">
        <v>2765</v>
      </c>
      <c r="B482" s="522">
        <v>100.0</v>
      </c>
      <c r="C482" s="200">
        <f t="shared" si="43"/>
        <v>60</v>
      </c>
      <c r="D482" s="518" t="s">
        <v>18</v>
      </c>
      <c r="E482" s="572"/>
      <c r="F482" s="11"/>
      <c r="G482" s="11"/>
      <c r="H482" s="11"/>
      <c r="I482" s="11"/>
      <c r="J482" s="11"/>
      <c r="K482" s="11"/>
    </row>
    <row r="483" ht="13.5" customHeight="1">
      <c r="A483" s="1640" t="s">
        <v>119</v>
      </c>
      <c r="B483" s="183" t="s">
        <v>47</v>
      </c>
      <c r="C483" s="107"/>
      <c r="D483" s="1"/>
      <c r="E483" s="11"/>
      <c r="F483" s="11"/>
      <c r="G483" s="11"/>
      <c r="H483" s="11"/>
      <c r="I483" s="11"/>
      <c r="J483" s="11"/>
      <c r="K483" s="11"/>
    </row>
    <row r="484" ht="13.5" customHeight="1">
      <c r="A484" s="90" t="s">
        <v>120</v>
      </c>
      <c r="B484" s="308">
        <v>41375.0</v>
      </c>
      <c r="C484" s="107"/>
      <c r="D484" s="1"/>
      <c r="E484" s="11"/>
      <c r="F484" s="11"/>
      <c r="G484" s="11"/>
      <c r="H484" s="11"/>
      <c r="I484" s="11"/>
      <c r="J484" s="11"/>
      <c r="K484" s="11"/>
    </row>
    <row r="485" ht="13.5" customHeight="1">
      <c r="A485" s="305" t="s">
        <v>50</v>
      </c>
      <c r="B485" s="308">
        <v>41808.0</v>
      </c>
      <c r="C485" s="107"/>
      <c r="D485" s="1"/>
      <c r="E485" s="11"/>
      <c r="F485" s="11"/>
      <c r="G485" s="11"/>
      <c r="H485" s="11"/>
      <c r="I485" s="11"/>
      <c r="J485" s="11"/>
      <c r="K485" s="11"/>
    </row>
    <row r="486" ht="13.5" customHeight="1">
      <c r="A486" s="511" t="s">
        <v>927</v>
      </c>
      <c r="B486" s="18"/>
      <c r="C486" s="18"/>
      <c r="D486" s="19"/>
      <c r="E486" s="2112"/>
      <c r="F486" s="11"/>
      <c r="G486" s="11"/>
      <c r="H486" s="11"/>
      <c r="I486" s="11"/>
      <c r="J486" s="11"/>
      <c r="K486" s="11"/>
    </row>
    <row r="487" ht="13.5" customHeight="1">
      <c r="A487" s="68" t="s">
        <v>1</v>
      </c>
      <c r="B487" s="210">
        <v>100.0</v>
      </c>
      <c r="C487" s="145">
        <v>60.0</v>
      </c>
      <c r="D487" s="216" t="s">
        <v>5</v>
      </c>
      <c r="E487" s="921"/>
      <c r="F487" s="11"/>
      <c r="G487" s="11"/>
      <c r="H487" s="11"/>
      <c r="I487" s="11"/>
      <c r="J487" s="11"/>
      <c r="K487" s="11"/>
    </row>
    <row r="488" ht="13.5" customHeight="1">
      <c r="A488" s="138" t="s">
        <v>2768</v>
      </c>
      <c r="B488" s="239">
        <v>100.0</v>
      </c>
      <c r="C488" s="200">
        <f t="shared" ref="C488:C495" si="44">(B488*C487)/B487</f>
        <v>60</v>
      </c>
      <c r="D488" s="242" t="s">
        <v>14</v>
      </c>
      <c r="E488" s="921"/>
      <c r="F488" s="11"/>
      <c r="G488" s="11"/>
      <c r="H488" s="11"/>
      <c r="I488" s="11"/>
      <c r="J488" s="11"/>
      <c r="K488" s="11"/>
    </row>
    <row r="489" ht="13.5" customHeight="1">
      <c r="A489" s="68" t="s">
        <v>91</v>
      </c>
      <c r="B489" s="210">
        <v>6.0</v>
      </c>
      <c r="C489" s="145">
        <f t="shared" si="44"/>
        <v>3.6</v>
      </c>
      <c r="D489" s="216" t="s">
        <v>5</v>
      </c>
      <c r="E489" s="194" t="s">
        <v>2761</v>
      </c>
      <c r="F489" s="11"/>
      <c r="G489" s="11"/>
      <c r="H489" s="11"/>
      <c r="I489" s="11"/>
      <c r="J489" s="11"/>
      <c r="K489" s="11"/>
    </row>
    <row r="490" ht="13.5" customHeight="1">
      <c r="A490" s="93" t="s">
        <v>98</v>
      </c>
      <c r="B490" s="247">
        <v>400.0</v>
      </c>
      <c r="C490" s="195">
        <f t="shared" si="44"/>
        <v>240</v>
      </c>
      <c r="D490" s="249" t="s">
        <v>18</v>
      </c>
      <c r="E490" s="63"/>
      <c r="F490" s="11"/>
      <c r="G490" s="11"/>
      <c r="H490" s="11"/>
      <c r="I490" s="11"/>
      <c r="J490" s="11"/>
      <c r="K490" s="11"/>
    </row>
    <row r="491" ht="13.5" customHeight="1">
      <c r="A491" s="93" t="s">
        <v>1036</v>
      </c>
      <c r="B491" s="247">
        <v>50.0</v>
      </c>
      <c r="C491" s="195">
        <f t="shared" si="44"/>
        <v>30</v>
      </c>
      <c r="D491" s="249" t="s">
        <v>18</v>
      </c>
      <c r="E491" s="63"/>
      <c r="F491" s="11"/>
      <c r="G491" s="11"/>
      <c r="H491" s="11"/>
      <c r="I491" s="11"/>
      <c r="J491" s="11"/>
      <c r="K491" s="11"/>
    </row>
    <row r="492" ht="13.5" customHeight="1">
      <c r="A492" s="105" t="s">
        <v>103</v>
      </c>
      <c r="B492" s="522">
        <v>100.0</v>
      </c>
      <c r="C492" s="200">
        <f t="shared" si="44"/>
        <v>60</v>
      </c>
      <c r="D492" s="518" t="s">
        <v>18</v>
      </c>
      <c r="E492" s="102"/>
      <c r="F492" s="11"/>
      <c r="G492" s="11"/>
      <c r="H492" s="11"/>
      <c r="I492" s="11"/>
      <c r="J492" s="11"/>
      <c r="K492" s="11"/>
    </row>
    <row r="493" ht="13.5" customHeight="1">
      <c r="A493" s="68" t="s">
        <v>52</v>
      </c>
      <c r="B493" s="210">
        <v>250.0</v>
      </c>
      <c r="C493" s="145">
        <f t="shared" si="44"/>
        <v>150</v>
      </c>
      <c r="D493" s="216" t="s">
        <v>18</v>
      </c>
      <c r="E493" s="2114"/>
      <c r="F493" s="11"/>
      <c r="G493" s="11"/>
      <c r="H493" s="11"/>
      <c r="I493" s="11"/>
      <c r="J493" s="11"/>
      <c r="K493" s="11"/>
    </row>
    <row r="494" ht="15.0" customHeight="1">
      <c r="A494" s="138" t="s">
        <v>31</v>
      </c>
      <c r="B494" s="239">
        <v>1100.0</v>
      </c>
      <c r="C494" s="279">
        <f t="shared" si="44"/>
        <v>660</v>
      </c>
      <c r="D494" s="242" t="s">
        <v>18</v>
      </c>
      <c r="E494" s="1729"/>
      <c r="F494" s="11"/>
      <c r="G494" s="11"/>
      <c r="H494" s="11"/>
      <c r="I494" s="11"/>
      <c r="J494" s="11"/>
      <c r="K494" s="11"/>
    </row>
    <row r="495" ht="13.5" customHeight="1">
      <c r="A495" s="68" t="s">
        <v>1027</v>
      </c>
      <c r="B495" s="976">
        <v>500.0</v>
      </c>
      <c r="C495" s="145">
        <f t="shared" si="44"/>
        <v>300</v>
      </c>
      <c r="D495" s="216" t="s">
        <v>18</v>
      </c>
      <c r="E495" s="44" t="s">
        <v>2764</v>
      </c>
      <c r="F495" s="11"/>
      <c r="G495" s="11"/>
      <c r="H495" s="11"/>
      <c r="I495" s="11"/>
      <c r="J495" s="11"/>
      <c r="K495" s="11"/>
    </row>
    <row r="496" ht="13.5" customHeight="1">
      <c r="A496" s="93" t="s">
        <v>112</v>
      </c>
      <c r="B496" s="992">
        <v>250.0</v>
      </c>
      <c r="C496" s="2080">
        <f t="shared" ref="C496:C497" si="45">(B496*C489)/B489</f>
        <v>150</v>
      </c>
      <c r="D496" s="249" t="s">
        <v>18</v>
      </c>
      <c r="E496" s="47"/>
      <c r="F496" s="11"/>
      <c r="G496" s="11"/>
      <c r="H496" s="11"/>
      <c r="I496" s="11"/>
      <c r="J496" s="11"/>
      <c r="K496" s="11"/>
    </row>
    <row r="497" ht="13.5" customHeight="1">
      <c r="A497" s="105" t="s">
        <v>2765</v>
      </c>
      <c r="B497" s="522">
        <v>100.0</v>
      </c>
      <c r="C497" s="200">
        <f t="shared" si="45"/>
        <v>60</v>
      </c>
      <c r="D497" s="518" t="s">
        <v>18</v>
      </c>
      <c r="E497" s="76"/>
      <c r="F497" s="11"/>
      <c r="G497" s="11"/>
      <c r="H497" s="11"/>
      <c r="I497" s="11"/>
      <c r="J497" s="11"/>
      <c r="K497" s="11"/>
    </row>
    <row r="498" ht="13.5" customHeight="1">
      <c r="A498" s="1640" t="s">
        <v>119</v>
      </c>
      <c r="B498" s="183" t="s">
        <v>47</v>
      </c>
      <c r="C498" s="107"/>
      <c r="D498" s="1"/>
      <c r="E498" s="11"/>
      <c r="F498" s="11"/>
      <c r="G498" s="11"/>
      <c r="H498" s="11"/>
      <c r="I498" s="11"/>
      <c r="J498" s="11"/>
      <c r="K498" s="11"/>
    </row>
    <row r="499" ht="13.5" customHeight="1">
      <c r="A499" s="90" t="s">
        <v>120</v>
      </c>
      <c r="B499" s="308">
        <v>41755.0</v>
      </c>
      <c r="C499" s="107"/>
      <c r="D499" s="1"/>
      <c r="E499" s="11"/>
      <c r="F499" s="11"/>
      <c r="G499" s="11"/>
      <c r="H499" s="11"/>
      <c r="I499" s="11"/>
      <c r="J499" s="11"/>
      <c r="K499" s="11"/>
    </row>
    <row r="500" ht="13.5" customHeight="1">
      <c r="A500" s="305" t="s">
        <v>50</v>
      </c>
      <c r="B500" s="308">
        <v>41806.0</v>
      </c>
      <c r="C500" s="107"/>
      <c r="D500" s="1"/>
      <c r="E500" s="11"/>
      <c r="F500" s="11"/>
      <c r="G500" s="11"/>
      <c r="H500" s="11"/>
      <c r="I500" s="11"/>
      <c r="J500" s="11"/>
      <c r="K500" s="11"/>
    </row>
    <row r="501" ht="13.5" customHeight="1">
      <c r="A501" s="11"/>
      <c r="B501" s="11"/>
      <c r="C501" s="1167"/>
      <c r="D501" s="11"/>
      <c r="E501" s="11"/>
      <c r="F501" s="11"/>
      <c r="G501" s="11"/>
      <c r="H501" s="11"/>
      <c r="I501" s="11"/>
      <c r="J501" s="11"/>
      <c r="K501" s="11"/>
    </row>
    <row r="502" ht="13.5" customHeight="1">
      <c r="A502" s="511" t="s">
        <v>940</v>
      </c>
      <c r="B502" s="18"/>
      <c r="C502" s="18"/>
      <c r="D502" s="19"/>
      <c r="E502" s="2112"/>
      <c r="F502" s="11"/>
      <c r="G502" s="11"/>
      <c r="H502" s="11"/>
      <c r="I502" s="11"/>
      <c r="J502" s="11"/>
      <c r="K502" s="11"/>
    </row>
    <row r="503" ht="13.5" customHeight="1">
      <c r="A503" s="68" t="s">
        <v>1</v>
      </c>
      <c r="B503" s="210">
        <v>100.0</v>
      </c>
      <c r="C503" s="145">
        <v>10.0</v>
      </c>
      <c r="D503" s="216" t="s">
        <v>5</v>
      </c>
      <c r="E503" s="921"/>
      <c r="F503" s="11"/>
      <c r="G503" s="11"/>
      <c r="H503" s="11"/>
      <c r="I503" s="11"/>
      <c r="J503" s="11"/>
      <c r="K503" s="11"/>
    </row>
    <row r="504" ht="13.5" customHeight="1">
      <c r="A504" s="138" t="s">
        <v>2782</v>
      </c>
      <c r="B504" s="239">
        <v>140.0</v>
      </c>
      <c r="C504" s="200">
        <f t="shared" ref="C504:C511" si="46">(B504*C503)/B503</f>
        <v>14</v>
      </c>
      <c r="D504" s="242" t="s">
        <v>14</v>
      </c>
      <c r="E504" s="921"/>
      <c r="F504" s="11"/>
      <c r="G504" s="11"/>
      <c r="H504" s="11"/>
      <c r="I504" s="11"/>
      <c r="J504" s="11"/>
      <c r="K504" s="11"/>
    </row>
    <row r="505" ht="13.5" customHeight="1">
      <c r="A505" s="68" t="s">
        <v>91</v>
      </c>
      <c r="B505" s="210">
        <v>6.0</v>
      </c>
      <c r="C505" s="145">
        <f t="shared" si="46"/>
        <v>0.6</v>
      </c>
      <c r="D505" s="216" t="s">
        <v>5</v>
      </c>
      <c r="E505" s="194" t="s">
        <v>2783</v>
      </c>
      <c r="F505" s="11"/>
      <c r="G505" s="11"/>
      <c r="H505" s="11"/>
      <c r="I505" s="11"/>
      <c r="J505" s="11"/>
      <c r="K505" s="11"/>
    </row>
    <row r="506" ht="13.5" customHeight="1">
      <c r="A506" s="93" t="s">
        <v>98</v>
      </c>
      <c r="B506" s="247">
        <v>400.0</v>
      </c>
      <c r="C506" s="195">
        <f t="shared" si="46"/>
        <v>40</v>
      </c>
      <c r="D506" s="249" t="s">
        <v>18</v>
      </c>
      <c r="E506" s="63"/>
      <c r="F506" s="11"/>
      <c r="G506" s="11"/>
      <c r="H506" s="11"/>
      <c r="I506" s="11"/>
      <c r="J506" s="11"/>
      <c r="K506" s="11"/>
    </row>
    <row r="507" ht="13.5" customHeight="1">
      <c r="A507" s="93" t="s">
        <v>1036</v>
      </c>
      <c r="B507" s="247">
        <v>50.0</v>
      </c>
      <c r="C507" s="195">
        <f t="shared" si="46"/>
        <v>5</v>
      </c>
      <c r="D507" s="249" t="s">
        <v>18</v>
      </c>
      <c r="E507" s="63"/>
      <c r="F507" s="11"/>
      <c r="G507" s="11"/>
      <c r="H507" s="11"/>
      <c r="I507" s="11"/>
      <c r="J507" s="11"/>
      <c r="K507" s="11"/>
    </row>
    <row r="508" ht="13.5" customHeight="1">
      <c r="A508" s="105" t="s">
        <v>103</v>
      </c>
      <c r="B508" s="522">
        <v>100.0</v>
      </c>
      <c r="C508" s="200">
        <f t="shared" si="46"/>
        <v>10</v>
      </c>
      <c r="D508" s="518" t="s">
        <v>18</v>
      </c>
      <c r="E508" s="102"/>
      <c r="F508" s="11"/>
      <c r="G508" s="11"/>
      <c r="H508" s="11"/>
      <c r="I508" s="11"/>
      <c r="J508" s="11"/>
      <c r="K508" s="11"/>
    </row>
    <row r="509" ht="13.5" customHeight="1">
      <c r="A509" s="68" t="s">
        <v>52</v>
      </c>
      <c r="B509" s="210">
        <v>250.0</v>
      </c>
      <c r="C509" s="145">
        <f t="shared" si="46"/>
        <v>25</v>
      </c>
      <c r="D509" s="216" t="s">
        <v>18</v>
      </c>
      <c r="E509" s="2114"/>
      <c r="F509" s="11"/>
      <c r="G509" s="11"/>
      <c r="H509" s="11"/>
      <c r="I509" s="11"/>
      <c r="J509" s="11"/>
      <c r="K509" s="11"/>
    </row>
    <row r="510" ht="13.5" customHeight="1">
      <c r="A510" s="138" t="s">
        <v>31</v>
      </c>
      <c r="B510" s="239">
        <v>1500.0</v>
      </c>
      <c r="C510" s="279">
        <f t="shared" si="46"/>
        <v>150</v>
      </c>
      <c r="D510" s="242" t="s">
        <v>18</v>
      </c>
      <c r="E510" s="1729"/>
      <c r="F510" s="11"/>
      <c r="G510" s="11"/>
      <c r="H510" s="11"/>
      <c r="I510" s="11"/>
      <c r="J510" s="11"/>
      <c r="K510" s="11"/>
    </row>
    <row r="511" ht="13.5" customHeight="1">
      <c r="A511" s="68" t="s">
        <v>1027</v>
      </c>
      <c r="B511" s="976">
        <v>400.0</v>
      </c>
      <c r="C511" s="145">
        <f t="shared" si="46"/>
        <v>40</v>
      </c>
      <c r="D511" s="216" t="s">
        <v>18</v>
      </c>
      <c r="E511" s="140" t="s">
        <v>2764</v>
      </c>
      <c r="F511" s="11"/>
      <c r="G511" s="11"/>
      <c r="H511" s="11"/>
      <c r="I511" s="11"/>
      <c r="J511" s="11"/>
      <c r="K511" s="11"/>
    </row>
    <row r="512" ht="13.5" customHeight="1">
      <c r="A512" s="93" t="s">
        <v>112</v>
      </c>
      <c r="B512" s="992">
        <v>250.0</v>
      </c>
      <c r="C512" s="2080">
        <f t="shared" ref="C512:C513" si="47">(B512*C505)/B505</f>
        <v>25</v>
      </c>
      <c r="D512" s="249" t="s">
        <v>18</v>
      </c>
      <c r="F512" s="11"/>
      <c r="G512" s="11"/>
      <c r="H512" s="11"/>
      <c r="I512" s="11"/>
      <c r="J512" s="11"/>
      <c r="K512" s="11"/>
    </row>
    <row r="513" ht="13.5" customHeight="1">
      <c r="A513" s="105" t="s">
        <v>2765</v>
      </c>
      <c r="B513" s="522">
        <v>100.0</v>
      </c>
      <c r="C513" s="200">
        <f t="shared" si="47"/>
        <v>10</v>
      </c>
      <c r="D513" s="518" t="s">
        <v>18</v>
      </c>
      <c r="E513" s="104"/>
      <c r="F513" s="11"/>
      <c r="G513" s="11"/>
      <c r="H513" s="11"/>
      <c r="I513" s="11"/>
      <c r="J513" s="11"/>
      <c r="K513" s="11"/>
    </row>
    <row r="514" ht="13.5" customHeight="1">
      <c r="A514" s="1640" t="s">
        <v>119</v>
      </c>
      <c r="B514" s="183" t="s">
        <v>47</v>
      </c>
      <c r="C514" s="107"/>
      <c r="D514" s="1"/>
      <c r="E514" s="11"/>
      <c r="F514" s="11"/>
      <c r="G514" s="11"/>
      <c r="H514" s="11"/>
      <c r="I514" s="11"/>
      <c r="J514" s="11"/>
      <c r="K514" s="11"/>
    </row>
    <row r="515" ht="13.5" customHeight="1">
      <c r="A515" s="90" t="s">
        <v>120</v>
      </c>
      <c r="B515" s="308">
        <v>41375.0</v>
      </c>
      <c r="C515" s="107"/>
      <c r="D515" s="1"/>
      <c r="E515" s="11"/>
      <c r="F515" s="11"/>
      <c r="G515" s="11"/>
      <c r="H515" s="11"/>
      <c r="I515" s="11"/>
      <c r="J515" s="11"/>
      <c r="K515" s="11"/>
    </row>
    <row r="516" ht="13.5" customHeight="1">
      <c r="A516" s="305" t="s">
        <v>50</v>
      </c>
      <c r="B516" s="308">
        <v>41806.0</v>
      </c>
      <c r="C516" s="107"/>
      <c r="D516" s="1"/>
      <c r="E516" s="11"/>
      <c r="F516" s="11"/>
      <c r="G516" s="11"/>
      <c r="H516" s="11"/>
      <c r="I516" s="11"/>
      <c r="J516" s="11"/>
      <c r="K516" s="11"/>
    </row>
    <row r="517" ht="14.25" customHeight="1">
      <c r="A517" s="11"/>
      <c r="B517" s="11"/>
      <c r="C517" s="1167"/>
      <c r="D517" s="11"/>
      <c r="E517" s="11"/>
      <c r="F517" s="11"/>
      <c r="G517" s="11"/>
      <c r="H517" s="11"/>
      <c r="I517" s="11"/>
      <c r="J517" s="11"/>
      <c r="K517" s="11"/>
    </row>
    <row r="518" ht="16.5" hidden="1" customHeight="1">
      <c r="A518" s="11"/>
      <c r="B518" s="11"/>
      <c r="C518" s="1167"/>
      <c r="D518" s="11"/>
      <c r="E518" s="11"/>
      <c r="F518" s="11"/>
      <c r="G518" s="11"/>
      <c r="H518" s="11"/>
      <c r="I518" s="11"/>
      <c r="J518" s="11"/>
      <c r="K518" s="11"/>
    </row>
    <row r="519" ht="29.25" customHeight="1">
      <c r="A519" s="111" t="s">
        <v>2787</v>
      </c>
      <c r="B519" s="5"/>
      <c r="C519" s="5"/>
      <c r="D519" s="5"/>
      <c r="E519" s="6"/>
      <c r="F519" s="11"/>
      <c r="G519" s="11"/>
      <c r="H519" s="11"/>
      <c r="I519" s="11"/>
      <c r="J519" s="11"/>
      <c r="K519" s="11"/>
    </row>
    <row r="520" ht="15.0" customHeight="1">
      <c r="A520" s="173" t="s">
        <v>1</v>
      </c>
      <c r="B520" s="545">
        <v>100.0</v>
      </c>
      <c r="C520" s="275">
        <v>6.0</v>
      </c>
      <c r="D520" s="547" t="s">
        <v>5</v>
      </c>
      <c r="E520" s="2277"/>
      <c r="F520" s="11"/>
      <c r="G520" s="11"/>
      <c r="H520" s="11"/>
      <c r="I520" s="11"/>
      <c r="J520" s="11"/>
      <c r="K520" s="11"/>
    </row>
    <row r="521" ht="15.0" customHeight="1">
      <c r="A521" s="119" t="s">
        <v>1252</v>
      </c>
      <c r="B521" s="523">
        <v>140.0</v>
      </c>
      <c r="C521" s="238">
        <f t="shared" ref="C521:C532" si="48">(B521*C520)/B520</f>
        <v>8.4</v>
      </c>
      <c r="D521" s="520" t="s">
        <v>14</v>
      </c>
      <c r="E521" s="826" t="s">
        <v>2789</v>
      </c>
      <c r="F521" s="11"/>
      <c r="G521" s="11"/>
      <c r="H521" s="11"/>
      <c r="I521" s="11"/>
      <c r="J521" s="11"/>
      <c r="K521" s="11"/>
    </row>
    <row r="522" ht="13.5" customHeight="1">
      <c r="A522" s="93" t="s">
        <v>2790</v>
      </c>
      <c r="B522" s="247">
        <v>1.4</v>
      </c>
      <c r="C522" s="195">
        <f t="shared" si="48"/>
        <v>0.084</v>
      </c>
      <c r="D522" s="249" t="s">
        <v>5</v>
      </c>
      <c r="E522" s="66"/>
      <c r="F522" s="11"/>
      <c r="G522" s="11"/>
      <c r="H522" s="11"/>
      <c r="I522" s="11"/>
      <c r="J522" s="11"/>
      <c r="K522" s="11"/>
    </row>
    <row r="523" ht="17.25" customHeight="1">
      <c r="A523" s="93" t="s">
        <v>97</v>
      </c>
      <c r="B523" s="247">
        <v>70.0</v>
      </c>
      <c r="C523" s="195">
        <f t="shared" si="48"/>
        <v>4.2</v>
      </c>
      <c r="D523" s="249" t="s">
        <v>18</v>
      </c>
      <c r="E523" s="66"/>
      <c r="F523" s="11"/>
      <c r="G523" s="11"/>
      <c r="H523" s="11"/>
      <c r="I523" s="11"/>
      <c r="J523" s="11"/>
      <c r="K523" s="11"/>
    </row>
    <row r="524" ht="17.25" customHeight="1">
      <c r="A524" s="93" t="s">
        <v>391</v>
      </c>
      <c r="B524" s="247">
        <v>1050.0</v>
      </c>
      <c r="C524" s="195">
        <f t="shared" si="48"/>
        <v>63</v>
      </c>
      <c r="D524" s="249" t="s">
        <v>18</v>
      </c>
      <c r="E524" s="66"/>
      <c r="F524" s="11"/>
      <c r="G524" s="11"/>
      <c r="H524" s="11"/>
      <c r="I524" s="11"/>
      <c r="J524" s="11"/>
      <c r="K524" s="11"/>
    </row>
    <row r="525" ht="15.0" customHeight="1">
      <c r="A525" s="93" t="s">
        <v>149</v>
      </c>
      <c r="B525" s="247">
        <v>1400.0</v>
      </c>
      <c r="C525" s="195">
        <f t="shared" si="48"/>
        <v>84</v>
      </c>
      <c r="D525" s="249" t="s">
        <v>18</v>
      </c>
      <c r="E525" s="66"/>
      <c r="F525" s="11"/>
      <c r="G525" s="11"/>
      <c r="H525" s="11"/>
      <c r="I525" s="11"/>
      <c r="J525" s="11"/>
      <c r="K525" s="11"/>
    </row>
    <row r="526" ht="15.0" customHeight="1">
      <c r="A526" s="93" t="s">
        <v>810</v>
      </c>
      <c r="B526" s="247">
        <v>0.35</v>
      </c>
      <c r="C526" s="195">
        <f t="shared" si="48"/>
        <v>0.021</v>
      </c>
      <c r="D526" s="249" t="s">
        <v>14</v>
      </c>
      <c r="E526" s="66"/>
      <c r="F526" s="11"/>
      <c r="G526" s="11"/>
      <c r="H526" s="11"/>
      <c r="I526" s="11"/>
      <c r="J526" s="11"/>
      <c r="K526" s="11"/>
    </row>
    <row r="527" ht="15.75" customHeight="1">
      <c r="A527" s="93" t="s">
        <v>311</v>
      </c>
      <c r="B527" s="247">
        <v>0.7</v>
      </c>
      <c r="C527" s="195">
        <f t="shared" si="48"/>
        <v>0.042</v>
      </c>
      <c r="D527" s="249" t="s">
        <v>14</v>
      </c>
      <c r="E527" s="66"/>
      <c r="F527" s="11"/>
      <c r="G527" s="11"/>
      <c r="H527" s="11"/>
      <c r="I527" s="11"/>
      <c r="J527" s="11"/>
      <c r="K527" s="11"/>
    </row>
    <row r="528" ht="15.0" customHeight="1">
      <c r="A528" s="93" t="s">
        <v>52</v>
      </c>
      <c r="B528" s="247">
        <v>700.0</v>
      </c>
      <c r="C528" s="195">
        <f t="shared" si="48"/>
        <v>42</v>
      </c>
      <c r="D528" s="249" t="s">
        <v>18</v>
      </c>
      <c r="E528" s="66"/>
      <c r="F528" s="11"/>
      <c r="G528" s="11"/>
      <c r="H528" s="11"/>
      <c r="I528" s="11"/>
      <c r="J528" s="11"/>
      <c r="K528" s="11"/>
    </row>
    <row r="529" ht="15.0" customHeight="1">
      <c r="A529" s="93" t="s">
        <v>103</v>
      </c>
      <c r="B529" s="247">
        <v>70.0</v>
      </c>
      <c r="C529" s="195">
        <f t="shared" si="48"/>
        <v>4.2</v>
      </c>
      <c r="D529" s="249" t="s">
        <v>18</v>
      </c>
      <c r="E529" s="66"/>
      <c r="F529" s="11"/>
      <c r="G529" s="11"/>
      <c r="H529" s="11"/>
      <c r="I529" s="11"/>
      <c r="J529" s="11"/>
      <c r="K529" s="11"/>
    </row>
    <row r="530" ht="15.75" customHeight="1">
      <c r="A530" s="93" t="s">
        <v>31</v>
      </c>
      <c r="B530" s="247">
        <v>1400.0</v>
      </c>
      <c r="C530" s="195">
        <f t="shared" si="48"/>
        <v>84</v>
      </c>
      <c r="D530" s="249" t="s">
        <v>18</v>
      </c>
      <c r="E530" s="66"/>
      <c r="F530" s="11"/>
      <c r="G530" s="11"/>
      <c r="H530" s="11"/>
      <c r="I530" s="11"/>
      <c r="J530" s="11"/>
      <c r="K530" s="11"/>
    </row>
    <row r="531" ht="15.0" customHeight="1">
      <c r="A531" s="93" t="s">
        <v>548</v>
      </c>
      <c r="B531" s="247">
        <v>1400.0</v>
      </c>
      <c r="C531" s="195">
        <f t="shared" si="48"/>
        <v>84</v>
      </c>
      <c r="D531" s="249" t="s">
        <v>18</v>
      </c>
      <c r="E531" s="66"/>
      <c r="F531" s="11"/>
      <c r="G531" s="11"/>
      <c r="H531" s="11"/>
      <c r="I531" s="11"/>
      <c r="J531" s="11"/>
      <c r="K531" s="11"/>
    </row>
    <row r="532" ht="15.0" customHeight="1">
      <c r="A532" s="105" t="s">
        <v>1274</v>
      </c>
      <c r="B532" s="522">
        <v>0.7</v>
      </c>
      <c r="C532" s="200">
        <f t="shared" si="48"/>
        <v>0.042</v>
      </c>
      <c r="D532" s="518" t="s">
        <v>14</v>
      </c>
      <c r="E532" s="106"/>
      <c r="F532" s="11"/>
      <c r="G532" s="11"/>
      <c r="H532" s="11"/>
      <c r="I532" s="11"/>
      <c r="J532" s="11"/>
      <c r="K532" s="11"/>
    </row>
    <row r="533" ht="15.0" customHeight="1">
      <c r="A533" s="2086" t="s">
        <v>2794</v>
      </c>
      <c r="B533" s="18"/>
      <c r="C533" s="18"/>
      <c r="D533" s="19"/>
      <c r="E533" s="787"/>
      <c r="F533" s="11"/>
      <c r="G533" s="11"/>
      <c r="H533" s="11"/>
      <c r="I533" s="11"/>
      <c r="J533" s="11"/>
      <c r="K533" s="11"/>
    </row>
    <row r="534" ht="15.0" customHeight="1">
      <c r="A534" s="1640" t="s">
        <v>119</v>
      </c>
      <c r="B534" s="183" t="s">
        <v>47</v>
      </c>
      <c r="C534" s="1167"/>
      <c r="D534" s="11"/>
      <c r="E534" s="11"/>
      <c r="F534" s="11"/>
      <c r="G534" s="11"/>
      <c r="H534" s="11"/>
      <c r="I534" s="11"/>
      <c r="J534" s="11"/>
      <c r="K534" s="11"/>
    </row>
    <row r="535" ht="13.5" customHeight="1">
      <c r="A535" s="2469" t="s">
        <v>913</v>
      </c>
      <c r="B535" s="18"/>
      <c r="C535" s="18"/>
      <c r="D535" s="19"/>
      <c r="E535" s="2473"/>
      <c r="F535" s="11"/>
      <c r="G535" s="11"/>
      <c r="H535" s="11"/>
      <c r="I535" s="11"/>
      <c r="J535" s="11"/>
      <c r="K535" s="11"/>
    </row>
    <row r="536" ht="13.5" customHeight="1">
      <c r="A536" s="173" t="s">
        <v>1</v>
      </c>
      <c r="B536" s="545">
        <v>30.0</v>
      </c>
      <c r="C536" s="275">
        <v>30.0</v>
      </c>
      <c r="D536" s="547" t="s">
        <v>5</v>
      </c>
      <c r="E536" s="1"/>
      <c r="F536" s="11"/>
      <c r="G536" s="11"/>
      <c r="H536" s="11"/>
      <c r="I536" s="11"/>
      <c r="J536" s="11"/>
      <c r="K536" s="11"/>
    </row>
    <row r="537" ht="13.5" customHeight="1">
      <c r="A537" s="119" t="s">
        <v>91</v>
      </c>
      <c r="B537" s="523">
        <v>1.5</v>
      </c>
      <c r="C537" s="244">
        <f t="shared" ref="C537:C550" si="49">(B537*C536)/B536</f>
        <v>1.5</v>
      </c>
      <c r="D537" s="132" t="s">
        <v>5</v>
      </c>
      <c r="E537" s="2479" t="s">
        <v>2798</v>
      </c>
      <c r="F537" s="11"/>
      <c r="G537" s="11"/>
      <c r="H537" s="11"/>
      <c r="I537" s="11"/>
      <c r="J537" s="11"/>
      <c r="K537" s="11"/>
    </row>
    <row r="538" ht="13.5" customHeight="1">
      <c r="A538" s="93" t="s">
        <v>98</v>
      </c>
      <c r="B538" s="247">
        <v>20.0</v>
      </c>
      <c r="C538" s="27">
        <f t="shared" si="49"/>
        <v>20</v>
      </c>
      <c r="D538" s="95" t="s">
        <v>18</v>
      </c>
      <c r="E538" s="98"/>
      <c r="F538" s="11"/>
      <c r="G538" s="11"/>
      <c r="H538" s="11"/>
      <c r="I538" s="11"/>
      <c r="J538" s="11"/>
      <c r="K538" s="11"/>
    </row>
    <row r="539" ht="13.5" customHeight="1">
      <c r="A539" s="93" t="s">
        <v>39</v>
      </c>
      <c r="B539" s="247">
        <v>40.0</v>
      </c>
      <c r="C539" s="27">
        <f t="shared" si="49"/>
        <v>40</v>
      </c>
      <c r="D539" s="95" t="s">
        <v>18</v>
      </c>
      <c r="E539" s="98"/>
      <c r="F539" s="11"/>
      <c r="G539" s="11"/>
      <c r="H539" s="11"/>
      <c r="I539" s="11"/>
      <c r="J539" s="11"/>
      <c r="K539" s="11"/>
    </row>
    <row r="540" ht="13.5" customHeight="1">
      <c r="A540" s="93" t="s">
        <v>103</v>
      </c>
      <c r="B540" s="247">
        <v>25.0</v>
      </c>
      <c r="C540" s="27">
        <f t="shared" si="49"/>
        <v>25</v>
      </c>
      <c r="D540" s="95" t="s">
        <v>18</v>
      </c>
      <c r="E540" s="98"/>
      <c r="F540" s="11"/>
      <c r="G540" s="11"/>
      <c r="H540" s="11"/>
      <c r="I540" s="11"/>
      <c r="J540" s="11"/>
      <c r="K540" s="11"/>
    </row>
    <row r="541" ht="13.5" customHeight="1">
      <c r="A541" s="93" t="s">
        <v>2433</v>
      </c>
      <c r="B541" s="247">
        <v>10.0</v>
      </c>
      <c r="C541" s="27">
        <f t="shared" si="49"/>
        <v>10</v>
      </c>
      <c r="D541" s="95" t="s">
        <v>14</v>
      </c>
      <c r="E541" s="98"/>
      <c r="F541" s="11"/>
      <c r="G541" s="11"/>
      <c r="H541" s="11"/>
      <c r="I541" s="11"/>
      <c r="J541" s="11"/>
      <c r="K541" s="11"/>
    </row>
    <row r="542" ht="13.5" customHeight="1">
      <c r="A542" s="93" t="s">
        <v>1169</v>
      </c>
      <c r="B542" s="247">
        <v>6.0</v>
      </c>
      <c r="C542" s="27">
        <f t="shared" si="49"/>
        <v>6</v>
      </c>
      <c r="D542" s="95" t="s">
        <v>14</v>
      </c>
      <c r="E542" s="98"/>
      <c r="F542" s="11"/>
      <c r="G542" s="11"/>
      <c r="H542" s="11"/>
      <c r="I542" s="11"/>
      <c r="J542" s="11"/>
      <c r="K542" s="11"/>
    </row>
    <row r="543" ht="13.5" customHeight="1">
      <c r="A543" s="93" t="s">
        <v>1161</v>
      </c>
      <c r="B543" s="247">
        <v>10.0</v>
      </c>
      <c r="C543" s="27">
        <f t="shared" si="49"/>
        <v>10</v>
      </c>
      <c r="D543" s="95" t="s">
        <v>14</v>
      </c>
      <c r="E543" s="98"/>
      <c r="F543" s="11"/>
      <c r="G543" s="11"/>
      <c r="H543" s="11"/>
      <c r="I543" s="11"/>
      <c r="J543" s="11"/>
      <c r="K543" s="11"/>
    </row>
    <row r="544" ht="13.5" customHeight="1">
      <c r="A544" s="93" t="s">
        <v>2803</v>
      </c>
      <c r="B544" s="247">
        <v>10.0</v>
      </c>
      <c r="C544" s="27">
        <f t="shared" si="49"/>
        <v>10</v>
      </c>
      <c r="D544" s="95" t="s">
        <v>14</v>
      </c>
      <c r="E544" s="98"/>
      <c r="F544" s="11"/>
      <c r="G544" s="11"/>
      <c r="H544" s="11"/>
      <c r="I544" s="11"/>
      <c r="J544" s="11"/>
      <c r="K544" s="11"/>
    </row>
    <row r="545" ht="13.5" customHeight="1">
      <c r="A545" s="93" t="s">
        <v>60</v>
      </c>
      <c r="B545" s="247">
        <v>1.0</v>
      </c>
      <c r="C545" s="27">
        <f t="shared" si="49"/>
        <v>1</v>
      </c>
      <c r="D545" s="95" t="s">
        <v>14</v>
      </c>
      <c r="E545" s="98"/>
      <c r="F545" s="11"/>
      <c r="G545" s="11"/>
      <c r="H545" s="11"/>
      <c r="I545" s="11"/>
      <c r="J545" s="11"/>
      <c r="K545" s="11"/>
    </row>
    <row r="546" ht="19.5" customHeight="1">
      <c r="A546" s="93" t="s">
        <v>87</v>
      </c>
      <c r="B546" s="247">
        <v>400.0</v>
      </c>
      <c r="C546" s="27">
        <f t="shared" si="49"/>
        <v>400</v>
      </c>
      <c r="D546" s="95" t="s">
        <v>18</v>
      </c>
      <c r="E546" s="98"/>
      <c r="F546" s="11"/>
      <c r="G546" s="11"/>
      <c r="H546" s="11"/>
      <c r="I546" s="11"/>
      <c r="J546" s="11"/>
      <c r="K546" s="11"/>
    </row>
    <row r="547" ht="19.5" customHeight="1">
      <c r="A547" s="93" t="s">
        <v>2807</v>
      </c>
      <c r="B547" s="247">
        <v>8.0</v>
      </c>
      <c r="C547" s="27">
        <f t="shared" si="49"/>
        <v>8</v>
      </c>
      <c r="D547" s="95" t="s">
        <v>93</v>
      </c>
      <c r="E547" s="98"/>
      <c r="F547" s="11"/>
      <c r="G547" s="11"/>
      <c r="H547" s="11"/>
      <c r="I547" s="11"/>
      <c r="J547" s="11"/>
      <c r="K547" s="11"/>
    </row>
    <row r="548" ht="22.5" customHeight="1">
      <c r="A548" s="93" t="s">
        <v>31</v>
      </c>
      <c r="B548" s="247">
        <v>450.0</v>
      </c>
      <c r="C548" s="27">
        <f t="shared" si="49"/>
        <v>450</v>
      </c>
      <c r="D548" s="95" t="s">
        <v>18</v>
      </c>
      <c r="E548" s="98"/>
      <c r="F548" s="11"/>
      <c r="G548" s="11"/>
      <c r="H548" s="11"/>
      <c r="I548" s="11"/>
      <c r="J548" s="11"/>
      <c r="K548" s="11"/>
    </row>
    <row r="549" ht="13.5" customHeight="1">
      <c r="A549" s="93" t="s">
        <v>288</v>
      </c>
      <c r="B549" s="247">
        <v>30.0</v>
      </c>
      <c r="C549" s="27">
        <f t="shared" si="49"/>
        <v>30</v>
      </c>
      <c r="D549" s="95" t="s">
        <v>18</v>
      </c>
      <c r="E549" s="98"/>
      <c r="F549" s="11"/>
      <c r="G549" s="11"/>
      <c r="H549" s="11"/>
      <c r="I549" s="11"/>
      <c r="J549" s="11"/>
      <c r="K549" s="11"/>
    </row>
    <row r="550" ht="19.5" customHeight="1">
      <c r="A550" s="105" t="s">
        <v>548</v>
      </c>
      <c r="B550" s="522">
        <v>30.0</v>
      </c>
      <c r="C550" s="236">
        <f t="shared" si="49"/>
        <v>30</v>
      </c>
      <c r="D550" s="114" t="s">
        <v>18</v>
      </c>
      <c r="E550" s="2492"/>
      <c r="F550" s="11"/>
      <c r="G550" s="11"/>
      <c r="H550" s="11"/>
      <c r="I550" s="11"/>
      <c r="J550" s="11"/>
      <c r="K550" s="11"/>
    </row>
    <row r="551" ht="15.0" customHeight="1">
      <c r="A551" s="1640" t="s">
        <v>119</v>
      </c>
      <c r="B551" s="183" t="s">
        <v>47</v>
      </c>
      <c r="C551" s="107"/>
      <c r="D551" s="1"/>
      <c r="E551" s="11"/>
      <c r="F551" s="11"/>
      <c r="G551" s="11"/>
      <c r="H551" s="11"/>
      <c r="I551" s="11"/>
      <c r="J551" s="11"/>
      <c r="K551" s="11"/>
    </row>
    <row r="552" ht="15.0" customHeight="1">
      <c r="A552" s="655" t="s">
        <v>2814</v>
      </c>
      <c r="B552" s="5"/>
      <c r="C552" s="5"/>
      <c r="D552" s="5"/>
      <c r="E552" s="11"/>
      <c r="F552" s="11"/>
      <c r="G552" s="11"/>
      <c r="H552" s="11"/>
      <c r="I552" s="11"/>
      <c r="J552" s="11"/>
      <c r="K552" s="11"/>
    </row>
    <row r="553" ht="13.5" customHeight="1">
      <c r="A553" s="102"/>
      <c r="B553" s="104"/>
      <c r="C553" s="104"/>
      <c r="D553" s="104"/>
      <c r="E553" s="11"/>
      <c r="F553" s="11"/>
      <c r="G553" s="11"/>
      <c r="H553" s="11"/>
      <c r="I553" s="11"/>
      <c r="J553" s="11"/>
      <c r="K553" s="11"/>
    </row>
    <row r="554" ht="13.5" customHeight="1">
      <c r="A554" s="11"/>
      <c r="B554" s="11"/>
      <c r="C554" s="1167"/>
      <c r="D554" s="11"/>
      <c r="E554" s="11"/>
      <c r="F554" s="11"/>
      <c r="G554" s="11"/>
      <c r="H554" s="11"/>
      <c r="I554" s="11"/>
      <c r="J554" s="11"/>
      <c r="K554" s="11"/>
    </row>
    <row r="555" ht="13.5" customHeight="1">
      <c r="A555" s="511" t="s">
        <v>2815</v>
      </c>
      <c r="B555" s="18"/>
      <c r="C555" s="18"/>
      <c r="D555" s="19"/>
      <c r="E555" s="11"/>
      <c r="F555" s="11"/>
      <c r="G555" s="11"/>
      <c r="H555" s="11"/>
      <c r="I555" s="11"/>
      <c r="J555" s="11"/>
      <c r="K555" s="11"/>
    </row>
    <row r="556" ht="13.5" customHeight="1">
      <c r="A556" s="119" t="s">
        <v>1</v>
      </c>
      <c r="B556" s="523">
        <v>8.0</v>
      </c>
      <c r="C556" s="238">
        <v>8.0</v>
      </c>
      <c r="D556" s="520" t="s">
        <v>5</v>
      </c>
      <c r="E556" s="11"/>
      <c r="F556" s="11"/>
      <c r="G556" s="11"/>
      <c r="H556" s="11"/>
      <c r="I556" s="11"/>
      <c r="J556" s="11"/>
      <c r="K556" s="11"/>
    </row>
    <row r="557" ht="13.5" customHeight="1">
      <c r="A557" s="93" t="s">
        <v>91</v>
      </c>
      <c r="B557" s="247">
        <v>1.0</v>
      </c>
      <c r="C557" s="195">
        <f t="shared" ref="C557:C563" si="50">(B557*C556)/B556</f>
        <v>1</v>
      </c>
      <c r="D557" s="249" t="s">
        <v>5</v>
      </c>
      <c r="E557" s="11"/>
      <c r="F557" s="11"/>
      <c r="G557" s="11"/>
      <c r="H557" s="11"/>
      <c r="I557" s="11"/>
      <c r="J557" s="11"/>
      <c r="K557" s="11"/>
    </row>
    <row r="558" ht="13.5" customHeight="1">
      <c r="A558" s="93" t="s">
        <v>2818</v>
      </c>
      <c r="B558" s="247">
        <v>30.0</v>
      </c>
      <c r="C558" s="195">
        <f t="shared" si="50"/>
        <v>30</v>
      </c>
      <c r="D558" s="249" t="s">
        <v>93</v>
      </c>
      <c r="E558" s="11"/>
      <c r="F558" s="11"/>
      <c r="G558" s="11"/>
      <c r="H558" s="11"/>
      <c r="I558" s="11"/>
      <c r="J558" s="11"/>
      <c r="K558" s="11"/>
    </row>
    <row r="559" ht="13.5" customHeight="1">
      <c r="A559" s="93" t="s">
        <v>947</v>
      </c>
      <c r="B559" s="247">
        <v>1.0</v>
      </c>
      <c r="C559" s="195">
        <f t="shared" si="50"/>
        <v>1</v>
      </c>
      <c r="D559" s="249" t="s">
        <v>14</v>
      </c>
      <c r="E559" s="11"/>
      <c r="F559" s="11"/>
      <c r="G559" s="11"/>
      <c r="H559" s="11"/>
      <c r="I559" s="11"/>
      <c r="J559" s="11"/>
      <c r="K559" s="11"/>
    </row>
    <row r="560" ht="13.5" customHeight="1">
      <c r="A560" s="93" t="s">
        <v>97</v>
      </c>
      <c r="B560" s="247">
        <v>60.0</v>
      </c>
      <c r="C560" s="195">
        <f t="shared" si="50"/>
        <v>60</v>
      </c>
      <c r="D560" s="249" t="s">
        <v>18</v>
      </c>
      <c r="E560" s="11"/>
      <c r="F560" s="11"/>
      <c r="G560" s="11"/>
      <c r="H560" s="11"/>
      <c r="I560" s="11"/>
      <c r="J560" s="11"/>
      <c r="K560" s="11"/>
    </row>
    <row r="561" ht="13.5" customHeight="1">
      <c r="A561" s="93" t="s">
        <v>98</v>
      </c>
      <c r="B561" s="247">
        <v>60.0</v>
      </c>
      <c r="C561" s="195">
        <f t="shared" si="50"/>
        <v>60</v>
      </c>
      <c r="D561" s="249" t="s">
        <v>18</v>
      </c>
      <c r="E561" s="11"/>
      <c r="F561" s="11"/>
      <c r="G561" s="11"/>
      <c r="H561" s="11"/>
      <c r="I561" s="11"/>
      <c r="J561" s="11"/>
      <c r="K561" s="11"/>
    </row>
    <row r="562" ht="13.5" customHeight="1">
      <c r="A562" s="93" t="s">
        <v>953</v>
      </c>
      <c r="B562" s="247">
        <v>300.0</v>
      </c>
      <c r="C562" s="195">
        <f t="shared" si="50"/>
        <v>300</v>
      </c>
      <c r="D562" s="249" t="s">
        <v>18</v>
      </c>
      <c r="E562" s="11"/>
      <c r="F562" s="11"/>
      <c r="G562" s="11"/>
      <c r="H562" s="11"/>
      <c r="I562" s="11"/>
      <c r="J562" s="11"/>
      <c r="K562" s="11"/>
    </row>
    <row r="563" ht="13.5" customHeight="1">
      <c r="A563" s="105" t="s">
        <v>31</v>
      </c>
      <c r="B563" s="522">
        <v>120.0</v>
      </c>
      <c r="C563" s="200">
        <f t="shared" si="50"/>
        <v>120</v>
      </c>
      <c r="D563" s="518" t="s">
        <v>18</v>
      </c>
      <c r="E563" s="11"/>
      <c r="F563" s="11"/>
      <c r="G563" s="11"/>
      <c r="H563" s="11"/>
      <c r="I563" s="11"/>
      <c r="J563" s="11"/>
      <c r="K563" s="11"/>
    </row>
    <row r="564" ht="13.5" customHeight="1">
      <c r="A564" s="1640" t="s">
        <v>119</v>
      </c>
      <c r="B564" s="183" t="s">
        <v>47</v>
      </c>
      <c r="C564" s="107"/>
      <c r="D564" s="1"/>
      <c r="E564" s="11"/>
      <c r="F564" s="11"/>
      <c r="G564" s="11"/>
      <c r="H564" s="11"/>
      <c r="I564" s="11"/>
      <c r="J564" s="11"/>
      <c r="K564" s="11"/>
    </row>
    <row r="565" ht="13.5" customHeight="1">
      <c r="A565" s="550" t="s">
        <v>1583</v>
      </c>
      <c r="B565" s="2506">
        <v>42777.0</v>
      </c>
      <c r="C565" s="107"/>
      <c r="D565" s="1"/>
      <c r="E565" s="11"/>
      <c r="F565" s="11"/>
      <c r="G565" s="11"/>
      <c r="H565" s="11"/>
      <c r="I565" s="11"/>
      <c r="J565" s="11"/>
      <c r="K565" s="11"/>
    </row>
    <row r="566" ht="13.5" customHeight="1">
      <c r="A566" s="342" t="s">
        <v>1585</v>
      </c>
      <c r="B566" s="2506"/>
      <c r="C566" s="107"/>
      <c r="D566" s="1"/>
      <c r="E566" s="11"/>
      <c r="F566" s="11"/>
      <c r="G566" s="11"/>
      <c r="H566" s="11"/>
      <c r="I566" s="11"/>
      <c r="J566" s="11"/>
      <c r="K566" s="11"/>
    </row>
    <row r="567" ht="13.5" customHeight="1">
      <c r="A567" s="11"/>
      <c r="B567" s="11"/>
      <c r="C567" s="11"/>
      <c r="D567" s="11"/>
      <c r="E567" s="11"/>
      <c r="F567" s="11"/>
      <c r="G567" s="11"/>
      <c r="H567" s="11"/>
      <c r="I567" s="11"/>
      <c r="J567" s="11"/>
      <c r="K567" s="11"/>
    </row>
    <row r="568" ht="13.5" customHeight="1">
      <c r="A568" s="11"/>
      <c r="B568" s="11"/>
      <c r="C568" s="11"/>
      <c r="D568" s="11"/>
      <c r="E568" s="11"/>
      <c r="F568" s="11"/>
      <c r="G568" s="11"/>
      <c r="H568" s="11"/>
      <c r="I568" s="11"/>
      <c r="J568" s="11"/>
      <c r="K568" s="11"/>
    </row>
    <row r="569" ht="13.5" customHeight="1">
      <c r="A569" s="511" t="s">
        <v>896</v>
      </c>
      <c r="B569" s="18"/>
      <c r="C569" s="18"/>
      <c r="D569" s="19"/>
      <c r="E569" s="924" t="s">
        <v>2823</v>
      </c>
      <c r="F569" s="11"/>
      <c r="G569" s="11"/>
      <c r="H569" s="11"/>
      <c r="I569" s="11"/>
      <c r="J569" s="11"/>
      <c r="K569" s="11"/>
    </row>
    <row r="570" ht="13.5" customHeight="1">
      <c r="A570" s="119" t="s">
        <v>1</v>
      </c>
      <c r="B570" s="523">
        <v>30.0</v>
      </c>
      <c r="C570" s="238">
        <v>30.0</v>
      </c>
      <c r="D570" s="520" t="s">
        <v>5</v>
      </c>
      <c r="E570" s="610" t="s">
        <v>2824</v>
      </c>
      <c r="F570" s="11"/>
      <c r="G570" s="11"/>
      <c r="H570" s="11"/>
      <c r="I570" s="11"/>
      <c r="J570" s="11"/>
      <c r="K570" s="11"/>
    </row>
    <row r="571" ht="13.5" customHeight="1">
      <c r="A571" s="93" t="s">
        <v>91</v>
      </c>
      <c r="B571" s="247">
        <v>0.5</v>
      </c>
      <c r="C571" s="195">
        <f t="shared" ref="C571:C580" si="51">(B571*C570)/B570</f>
        <v>0.5</v>
      </c>
      <c r="D571" s="249" t="s">
        <v>5</v>
      </c>
      <c r="E571" s="47"/>
      <c r="F571" s="11"/>
      <c r="G571" s="11"/>
      <c r="H571" s="11"/>
      <c r="I571" s="11"/>
      <c r="J571" s="11"/>
      <c r="K571" s="11"/>
    </row>
    <row r="572" ht="13.5" customHeight="1">
      <c r="A572" s="93" t="s">
        <v>97</v>
      </c>
      <c r="B572" s="247">
        <v>15.0</v>
      </c>
      <c r="C572" s="195">
        <f t="shared" si="51"/>
        <v>15</v>
      </c>
      <c r="D572" s="249" t="s">
        <v>18</v>
      </c>
      <c r="E572" s="47"/>
      <c r="F572" s="11"/>
      <c r="G572" s="11"/>
      <c r="H572" s="11"/>
      <c r="I572" s="11"/>
      <c r="J572" s="11"/>
      <c r="K572" s="11"/>
    </row>
    <row r="573" ht="13.5" customHeight="1">
      <c r="A573" s="93" t="s">
        <v>98</v>
      </c>
      <c r="B573" s="247">
        <v>15.0</v>
      </c>
      <c r="C573" s="195">
        <f t="shared" si="51"/>
        <v>15</v>
      </c>
      <c r="D573" s="249" t="s">
        <v>18</v>
      </c>
      <c r="E573" s="47"/>
      <c r="F573" s="11"/>
      <c r="G573" s="11"/>
      <c r="H573" s="11"/>
      <c r="I573" s="11"/>
      <c r="J573" s="11"/>
      <c r="K573" s="11"/>
    </row>
    <row r="574" ht="13.5" customHeight="1">
      <c r="A574" s="93" t="s">
        <v>39</v>
      </c>
      <c r="B574" s="247">
        <v>100.0</v>
      </c>
      <c r="C574" s="195">
        <f t="shared" si="51"/>
        <v>100</v>
      </c>
      <c r="D574" s="249" t="s">
        <v>18</v>
      </c>
      <c r="E574" s="47"/>
      <c r="F574" s="11"/>
      <c r="G574" s="11"/>
      <c r="H574" s="11"/>
      <c r="I574" s="11"/>
      <c r="J574" s="11"/>
      <c r="K574" s="11"/>
    </row>
    <row r="575" ht="13.5" customHeight="1">
      <c r="A575" s="93" t="s">
        <v>149</v>
      </c>
      <c r="B575" s="247">
        <v>120.0</v>
      </c>
      <c r="C575" s="195">
        <f t="shared" si="51"/>
        <v>120</v>
      </c>
      <c r="D575" s="249" t="s">
        <v>18</v>
      </c>
      <c r="E575" s="47"/>
      <c r="F575" s="11"/>
      <c r="G575" s="11"/>
      <c r="H575" s="11"/>
      <c r="I575" s="11"/>
      <c r="J575" s="11"/>
      <c r="K575" s="11"/>
    </row>
    <row r="576" ht="13.5" customHeight="1">
      <c r="A576" s="93" t="s">
        <v>103</v>
      </c>
      <c r="B576" s="247">
        <v>20.0</v>
      </c>
      <c r="C576" s="195">
        <f t="shared" si="51"/>
        <v>20</v>
      </c>
      <c r="D576" s="249" t="s">
        <v>18</v>
      </c>
      <c r="E576" s="47"/>
      <c r="F576" s="11"/>
      <c r="G576" s="11"/>
      <c r="H576" s="11"/>
      <c r="I576" s="11"/>
      <c r="J576" s="11"/>
      <c r="K576" s="11"/>
    </row>
    <row r="577" ht="13.5" customHeight="1">
      <c r="A577" s="93" t="s">
        <v>2828</v>
      </c>
      <c r="B577" s="247">
        <v>27.0</v>
      </c>
      <c r="C577" s="195">
        <f t="shared" si="51"/>
        <v>27</v>
      </c>
      <c r="D577" s="249" t="s">
        <v>14</v>
      </c>
      <c r="E577" s="47"/>
      <c r="F577" s="11"/>
      <c r="G577" s="11"/>
      <c r="H577" s="11"/>
      <c r="I577" s="11"/>
      <c r="J577" s="11"/>
      <c r="K577" s="11"/>
    </row>
    <row r="578" ht="13.5" customHeight="1">
      <c r="A578" s="138" t="s">
        <v>31</v>
      </c>
      <c r="B578" s="239">
        <v>340.0</v>
      </c>
      <c r="C578" s="279">
        <f t="shared" si="51"/>
        <v>340</v>
      </c>
      <c r="D578" s="242" t="s">
        <v>18</v>
      </c>
      <c r="E578" s="76"/>
      <c r="F578" s="11"/>
      <c r="G578" s="11"/>
      <c r="H578" s="11"/>
      <c r="I578" s="11"/>
      <c r="J578" s="11"/>
      <c r="K578" s="11"/>
    </row>
    <row r="579" ht="13.5" customHeight="1">
      <c r="A579" s="68" t="s">
        <v>142</v>
      </c>
      <c r="B579" s="210">
        <v>6.0</v>
      </c>
      <c r="C579" s="145">
        <f t="shared" si="51"/>
        <v>6</v>
      </c>
      <c r="D579" s="216" t="s">
        <v>2832</v>
      </c>
      <c r="E579" s="610" t="s">
        <v>2833</v>
      </c>
      <c r="F579" s="11"/>
      <c r="G579" s="11"/>
      <c r="H579" s="11"/>
      <c r="I579" s="11"/>
      <c r="J579" s="11"/>
      <c r="K579" s="11"/>
    </row>
    <row r="580" ht="13.5" customHeight="1">
      <c r="A580" s="105" t="s">
        <v>958</v>
      </c>
      <c r="B580" s="522">
        <v>2.0</v>
      </c>
      <c r="C580" s="200">
        <f t="shared" si="51"/>
        <v>2</v>
      </c>
      <c r="D580" s="518" t="s">
        <v>5</v>
      </c>
      <c r="E580" s="76"/>
      <c r="F580" s="11"/>
      <c r="G580" s="11"/>
      <c r="H580" s="11"/>
      <c r="I580" s="11"/>
      <c r="J580" s="11"/>
      <c r="K580" s="11"/>
    </row>
    <row r="581" ht="13.5" customHeight="1">
      <c r="A581" s="1640" t="s">
        <v>119</v>
      </c>
      <c r="B581" s="183" t="s">
        <v>47</v>
      </c>
      <c r="C581" s="107"/>
      <c r="D581" s="1"/>
      <c r="E581" s="11"/>
      <c r="F581" s="11"/>
      <c r="G581" s="11"/>
      <c r="H581" s="11"/>
      <c r="I581" s="11"/>
      <c r="J581" s="11"/>
      <c r="K581" s="11"/>
    </row>
    <row r="582" ht="13.5" customHeight="1">
      <c r="A582" s="550" t="s">
        <v>1583</v>
      </c>
      <c r="B582" s="2506">
        <v>42796.0</v>
      </c>
      <c r="C582" s="107"/>
      <c r="D582" s="1"/>
      <c r="E582" s="11"/>
      <c r="F582" s="11"/>
      <c r="G582" s="11"/>
      <c r="H582" s="11"/>
      <c r="I582" s="11"/>
      <c r="J582" s="11"/>
      <c r="K582" s="11"/>
    </row>
    <row r="583" ht="13.5" customHeight="1">
      <c r="A583" s="342" t="s">
        <v>1585</v>
      </c>
      <c r="B583" s="2506">
        <v>42813.0</v>
      </c>
      <c r="C583" s="107"/>
      <c r="D583" s="1"/>
      <c r="E583" s="11"/>
      <c r="F583" s="11"/>
      <c r="G583" s="11"/>
      <c r="H583" s="11"/>
      <c r="I583" s="11"/>
      <c r="J583" s="11"/>
      <c r="K583" s="11"/>
    </row>
    <row r="584" ht="13.5" customHeight="1">
      <c r="A584" s="11"/>
      <c r="B584" s="11"/>
      <c r="C584" s="1167"/>
      <c r="D584" s="11"/>
      <c r="E584" s="11"/>
      <c r="F584" s="11"/>
      <c r="G584" s="11"/>
      <c r="H584" s="11"/>
      <c r="I584" s="11"/>
      <c r="J584" s="11"/>
      <c r="K584" s="11"/>
    </row>
    <row r="585" ht="13.5" customHeight="1">
      <c r="A585" s="11"/>
      <c r="B585" s="11"/>
      <c r="C585" s="1167"/>
      <c r="D585" s="11"/>
      <c r="E585" s="11"/>
      <c r="F585" s="11"/>
      <c r="G585" s="11"/>
      <c r="H585" s="11"/>
      <c r="I585" s="11"/>
      <c r="J585" s="11"/>
      <c r="K585" s="11"/>
    </row>
    <row r="586" ht="16.5" customHeight="1">
      <c r="A586" s="11"/>
      <c r="B586" s="11"/>
      <c r="C586" s="1167"/>
      <c r="D586" s="11"/>
      <c r="E586" s="11"/>
      <c r="F586" s="11"/>
      <c r="G586" s="11"/>
      <c r="H586" s="11"/>
      <c r="I586" s="11"/>
      <c r="J586" s="11"/>
      <c r="K586" s="11"/>
    </row>
    <row r="587" ht="13.5" customHeight="1">
      <c r="A587" s="647" t="s">
        <v>2840</v>
      </c>
      <c r="B587" s="18"/>
      <c r="C587" s="18"/>
      <c r="D587" s="19"/>
      <c r="E587" s="1">
        <f>4000*0.08</f>
        <v>320</v>
      </c>
      <c r="F587" s="11"/>
      <c r="G587" s="11"/>
      <c r="H587" s="11"/>
      <c r="I587" s="11"/>
      <c r="J587" s="11"/>
      <c r="K587" s="11"/>
    </row>
    <row r="588" ht="13.5" customHeight="1">
      <c r="A588" s="173" t="s">
        <v>1839</v>
      </c>
      <c r="B588" s="275">
        <v>30.0</v>
      </c>
      <c r="C588" s="275">
        <v>350.0</v>
      </c>
      <c r="D588" s="1610" t="s">
        <v>5</v>
      </c>
      <c r="E588" s="1"/>
      <c r="F588" s="11"/>
      <c r="G588" s="647" t="s">
        <v>2842</v>
      </c>
      <c r="H588" s="2518"/>
      <c r="I588" s="2518"/>
      <c r="J588" s="2519"/>
      <c r="K588" s="11"/>
    </row>
    <row r="589" ht="15.0" customHeight="1">
      <c r="A589" s="417" t="s">
        <v>491</v>
      </c>
      <c r="B589" s="418">
        <v>1.6</v>
      </c>
      <c r="C589" s="1248">
        <f t="shared" ref="C589:C591" si="52">(B589*C588)/B588</f>
        <v>18.66666667</v>
      </c>
      <c r="D589" s="2337" t="s">
        <v>5</v>
      </c>
      <c r="E589" s="1658" t="s">
        <v>2798</v>
      </c>
      <c r="F589" s="11"/>
      <c r="G589" s="173" t="s">
        <v>1839</v>
      </c>
      <c r="H589" s="275">
        <v>30.0</v>
      </c>
      <c r="I589" s="275">
        <v>10.0</v>
      </c>
      <c r="J589" s="1610" t="s">
        <v>5</v>
      </c>
      <c r="K589" s="11"/>
    </row>
    <row r="590" ht="13.5" customHeight="1">
      <c r="A590" s="68" t="s">
        <v>98</v>
      </c>
      <c r="B590" s="145">
        <v>20.0</v>
      </c>
      <c r="C590" s="221">
        <f t="shared" si="52"/>
        <v>233.3333333</v>
      </c>
      <c r="D590" s="1157" t="s">
        <v>18</v>
      </c>
      <c r="E590" s="66"/>
      <c r="F590" s="11"/>
      <c r="G590" s="417" t="s">
        <v>491</v>
      </c>
      <c r="H590" s="418">
        <v>1.6</v>
      </c>
      <c r="I590" s="1248">
        <f t="shared" ref="I590:I592" si="53">(H590*I589)/H589</f>
        <v>0.5333333333</v>
      </c>
      <c r="J590" s="2337" t="s">
        <v>5</v>
      </c>
      <c r="K590" s="11"/>
    </row>
    <row r="591" ht="13.5" customHeight="1">
      <c r="A591" s="93" t="s">
        <v>2846</v>
      </c>
      <c r="B591" s="195">
        <v>40.0</v>
      </c>
      <c r="C591" s="27">
        <f t="shared" si="52"/>
        <v>466.6666667</v>
      </c>
      <c r="D591" s="1158" t="s">
        <v>18</v>
      </c>
      <c r="E591" s="66"/>
      <c r="F591" s="11"/>
      <c r="G591" s="68" t="s">
        <v>98</v>
      </c>
      <c r="H591" s="145">
        <v>20.0</v>
      </c>
      <c r="I591" s="221">
        <f t="shared" si="53"/>
        <v>6.666666667</v>
      </c>
      <c r="J591" s="1157" t="s">
        <v>18</v>
      </c>
      <c r="K591" s="11"/>
    </row>
    <row r="592" ht="13.5" customHeight="1">
      <c r="A592" s="93" t="s">
        <v>103</v>
      </c>
      <c r="B592" s="195">
        <v>34.0</v>
      </c>
      <c r="C592" s="27">
        <f t="shared" ref="C592:C595" si="54">(B592*C588)/B588</f>
        <v>396.6666667</v>
      </c>
      <c r="D592" s="1158" t="s">
        <v>18</v>
      </c>
      <c r="E592" s="66"/>
      <c r="F592" s="11"/>
      <c r="G592" s="93" t="s">
        <v>2846</v>
      </c>
      <c r="H592" s="195">
        <v>40.0</v>
      </c>
      <c r="I592" s="27">
        <f t="shared" si="53"/>
        <v>13.33333333</v>
      </c>
      <c r="J592" s="1158" t="s">
        <v>18</v>
      </c>
      <c r="K592" s="11"/>
    </row>
    <row r="593" ht="13.5" customHeight="1">
      <c r="A593" s="93" t="s">
        <v>52</v>
      </c>
      <c r="B593" s="195">
        <v>30.0</v>
      </c>
      <c r="C593" s="27">
        <f t="shared" si="54"/>
        <v>350</v>
      </c>
      <c r="D593" s="1158" t="s">
        <v>18</v>
      </c>
      <c r="E593" s="66"/>
      <c r="F593" s="11"/>
      <c r="G593" s="93" t="s">
        <v>103</v>
      </c>
      <c r="H593" s="195">
        <v>34.0</v>
      </c>
      <c r="I593" s="27">
        <f t="shared" ref="I593:I596" si="55">(H593*I589)/H589</f>
        <v>11.33333333</v>
      </c>
      <c r="J593" s="1158" t="s">
        <v>18</v>
      </c>
      <c r="K593" s="11"/>
    </row>
    <row r="594" ht="15.0" customHeight="1">
      <c r="A594" s="105" t="s">
        <v>2692</v>
      </c>
      <c r="B594" s="200">
        <v>0.4</v>
      </c>
      <c r="C594" s="236">
        <f t="shared" si="54"/>
        <v>4.666666667</v>
      </c>
      <c r="D594" s="1182" t="s">
        <v>5</v>
      </c>
      <c r="E594" s="66"/>
      <c r="F594" s="11"/>
      <c r="G594" s="93" t="s">
        <v>52</v>
      </c>
      <c r="H594" s="195">
        <v>30.0</v>
      </c>
      <c r="I594" s="27">
        <f t="shared" si="55"/>
        <v>10</v>
      </c>
      <c r="J594" s="1158" t="s">
        <v>18</v>
      </c>
      <c r="K594" s="11"/>
    </row>
    <row r="595" ht="13.5" customHeight="1">
      <c r="A595" s="119" t="s">
        <v>113</v>
      </c>
      <c r="B595" s="238">
        <v>12.0</v>
      </c>
      <c r="C595" s="244">
        <f t="shared" si="54"/>
        <v>140</v>
      </c>
      <c r="D595" s="1184" t="s">
        <v>18</v>
      </c>
      <c r="E595" s="66"/>
      <c r="F595" s="11"/>
      <c r="G595" s="105" t="s">
        <v>2692</v>
      </c>
      <c r="H595" s="200">
        <v>0.4</v>
      </c>
      <c r="I595" s="236">
        <f t="shared" si="55"/>
        <v>0.1333333333</v>
      </c>
      <c r="J595" s="1182" t="s">
        <v>5</v>
      </c>
      <c r="K595" s="11"/>
    </row>
    <row r="596" ht="13.5" customHeight="1">
      <c r="A596" s="93" t="s">
        <v>2852</v>
      </c>
      <c r="B596" s="195">
        <v>10.0</v>
      </c>
      <c r="C596" s="27">
        <f t="shared" ref="C596:C602" si="56">(B596*C595)/B595</f>
        <v>116.6666667</v>
      </c>
      <c r="D596" s="1158" t="s">
        <v>14</v>
      </c>
      <c r="E596" s="66"/>
      <c r="F596" s="11"/>
      <c r="G596" s="119" t="s">
        <v>113</v>
      </c>
      <c r="H596" s="238">
        <v>12.0</v>
      </c>
      <c r="I596" s="244">
        <f t="shared" si="55"/>
        <v>4</v>
      </c>
      <c r="J596" s="1184" t="s">
        <v>18</v>
      </c>
      <c r="K596" s="11"/>
    </row>
    <row r="597" ht="13.5" customHeight="1">
      <c r="A597" s="93" t="s">
        <v>2853</v>
      </c>
      <c r="B597" s="195">
        <v>6.0</v>
      </c>
      <c r="C597" s="27">
        <f t="shared" si="56"/>
        <v>70</v>
      </c>
      <c r="D597" s="1158" t="s">
        <v>14</v>
      </c>
      <c r="E597" s="66"/>
      <c r="F597" s="11"/>
      <c r="G597" s="93" t="s">
        <v>2852</v>
      </c>
      <c r="H597" s="195">
        <v>12.0</v>
      </c>
      <c r="I597" s="27">
        <f t="shared" ref="I597:I603" si="57">(H597*I596)/H596</f>
        <v>4</v>
      </c>
      <c r="J597" s="1158" t="s">
        <v>14</v>
      </c>
      <c r="K597" s="11"/>
    </row>
    <row r="598" ht="15.75" customHeight="1">
      <c r="A598" s="93" t="s">
        <v>2856</v>
      </c>
      <c r="B598" s="195">
        <v>10.0</v>
      </c>
      <c r="C598" s="27">
        <f t="shared" si="56"/>
        <v>116.6666667</v>
      </c>
      <c r="D598" s="1158" t="s">
        <v>14</v>
      </c>
      <c r="E598" s="66"/>
      <c r="F598" s="11"/>
      <c r="G598" s="93" t="s">
        <v>2853</v>
      </c>
      <c r="H598" s="195">
        <v>12.0</v>
      </c>
      <c r="I598" s="27">
        <f t="shared" si="57"/>
        <v>4</v>
      </c>
      <c r="J598" s="1158" t="s">
        <v>14</v>
      </c>
      <c r="K598" s="11"/>
    </row>
    <row r="599" ht="13.5" customHeight="1">
      <c r="A599" s="93" t="s">
        <v>2857</v>
      </c>
      <c r="B599" s="195">
        <v>10.0</v>
      </c>
      <c r="C599" s="27">
        <f t="shared" si="56"/>
        <v>116.6666667</v>
      </c>
      <c r="D599" s="1158" t="s">
        <v>14</v>
      </c>
      <c r="E599" s="66"/>
      <c r="F599" s="11"/>
      <c r="G599" s="93" t="s">
        <v>2856</v>
      </c>
      <c r="H599" s="195">
        <v>12.0</v>
      </c>
      <c r="I599" s="27">
        <f t="shared" si="57"/>
        <v>4</v>
      </c>
      <c r="J599" s="1158" t="s">
        <v>14</v>
      </c>
      <c r="K599" s="11"/>
    </row>
    <row r="600" ht="13.5" customHeight="1">
      <c r="A600" s="93" t="s">
        <v>2858</v>
      </c>
      <c r="B600" s="195">
        <v>1.0</v>
      </c>
      <c r="C600" s="27">
        <f t="shared" si="56"/>
        <v>11.66666667</v>
      </c>
      <c r="D600" s="1158" t="s">
        <v>14</v>
      </c>
      <c r="E600" s="66"/>
      <c r="F600" s="11"/>
      <c r="G600" s="93" t="s">
        <v>2860</v>
      </c>
      <c r="H600" s="195">
        <v>6.0</v>
      </c>
      <c r="I600" s="27">
        <f t="shared" si="57"/>
        <v>2</v>
      </c>
      <c r="J600" s="1158" t="s">
        <v>14</v>
      </c>
      <c r="K600" s="11"/>
    </row>
    <row r="601" ht="13.5" customHeight="1">
      <c r="A601" s="93" t="s">
        <v>527</v>
      </c>
      <c r="B601" s="195">
        <v>400.0</v>
      </c>
      <c r="C601" s="27">
        <f t="shared" si="56"/>
        <v>4666.666667</v>
      </c>
      <c r="D601" s="1158" t="s">
        <v>18</v>
      </c>
      <c r="E601" s="106"/>
      <c r="F601" s="11"/>
      <c r="G601" s="93" t="s">
        <v>2858</v>
      </c>
      <c r="H601" s="195">
        <v>1.0</v>
      </c>
      <c r="I601" s="27">
        <f t="shared" si="57"/>
        <v>0.3333333333</v>
      </c>
      <c r="J601" s="1158" t="s">
        <v>14</v>
      </c>
      <c r="K601" s="11"/>
    </row>
    <row r="602" ht="13.5" customHeight="1">
      <c r="A602" s="93" t="s">
        <v>31</v>
      </c>
      <c r="B602" s="195">
        <v>450.0</v>
      </c>
      <c r="C602" s="27">
        <f t="shared" si="56"/>
        <v>5250</v>
      </c>
      <c r="D602" s="1158" t="s">
        <v>18</v>
      </c>
      <c r="E602" s="1"/>
      <c r="F602" s="11"/>
      <c r="G602" s="93" t="s">
        <v>527</v>
      </c>
      <c r="H602" s="195">
        <v>400.0</v>
      </c>
      <c r="I602" s="27">
        <f t="shared" si="57"/>
        <v>133.3333333</v>
      </c>
      <c r="J602" s="1158" t="s">
        <v>18</v>
      </c>
      <c r="K602" s="11"/>
    </row>
    <row r="603" ht="13.5" customHeight="1">
      <c r="A603" s="93" t="s">
        <v>2135</v>
      </c>
      <c r="B603" s="195">
        <v>12.0</v>
      </c>
      <c r="C603" s="27">
        <f t="shared" ref="C603:C605" si="58">(B603*C600)/B600</f>
        <v>140</v>
      </c>
      <c r="D603" s="1158" t="s">
        <v>18</v>
      </c>
      <c r="E603" s="1"/>
      <c r="F603" s="11"/>
      <c r="G603" s="93" t="s">
        <v>31</v>
      </c>
      <c r="H603" s="195">
        <v>450.0</v>
      </c>
      <c r="I603" s="27">
        <f t="shared" si="57"/>
        <v>150</v>
      </c>
      <c r="J603" s="1158" t="s">
        <v>18</v>
      </c>
      <c r="K603" s="11"/>
    </row>
    <row r="604" ht="13.5" customHeight="1">
      <c r="A604" s="93" t="s">
        <v>1027</v>
      </c>
      <c r="B604" s="195">
        <v>15.0</v>
      </c>
      <c r="C604" s="27">
        <f t="shared" si="58"/>
        <v>175</v>
      </c>
      <c r="D604" s="1158" t="s">
        <v>18</v>
      </c>
      <c r="E604" s="1"/>
      <c r="F604" s="11"/>
      <c r="G604" s="93" t="s">
        <v>2135</v>
      </c>
      <c r="H604" s="195">
        <v>12.0</v>
      </c>
      <c r="I604" s="27">
        <f t="shared" ref="I604:I606" si="59">(H604*I601)/H601</f>
        <v>4</v>
      </c>
      <c r="J604" s="1158" t="s">
        <v>18</v>
      </c>
      <c r="K604" s="11"/>
    </row>
    <row r="605" ht="15.0" customHeight="1">
      <c r="A605" s="93" t="s">
        <v>2862</v>
      </c>
      <c r="B605" s="195">
        <v>12.0</v>
      </c>
      <c r="C605" s="27">
        <f t="shared" si="58"/>
        <v>140</v>
      </c>
      <c r="D605" s="1158" t="s">
        <v>18</v>
      </c>
      <c r="E605" s="1"/>
      <c r="F605" s="11"/>
      <c r="G605" s="93" t="s">
        <v>1027</v>
      </c>
      <c r="H605" s="195">
        <v>15.0</v>
      </c>
      <c r="I605" s="27">
        <f t="shared" si="59"/>
        <v>5</v>
      </c>
      <c r="J605" s="1158" t="s">
        <v>18</v>
      </c>
      <c r="K605" s="11"/>
    </row>
    <row r="606" ht="13.5" customHeight="1">
      <c r="A606" s="105" t="s">
        <v>2863</v>
      </c>
      <c r="B606" s="200">
        <v>15.0</v>
      </c>
      <c r="C606" s="236">
        <f>(B606*C605)/B605</f>
        <v>175</v>
      </c>
      <c r="D606" s="1182" t="s">
        <v>18</v>
      </c>
      <c r="E606" s="1"/>
      <c r="F606" s="11"/>
      <c r="G606" s="93" t="s">
        <v>2862</v>
      </c>
      <c r="H606" s="195">
        <v>12.0</v>
      </c>
      <c r="I606" s="27">
        <f t="shared" si="59"/>
        <v>4</v>
      </c>
      <c r="J606" s="1158" t="s">
        <v>18</v>
      </c>
      <c r="K606" s="11"/>
    </row>
    <row r="607" ht="13.5" customHeight="1">
      <c r="A607" s="2325" t="s">
        <v>186</v>
      </c>
      <c r="B607" s="2326"/>
      <c r="C607" s="2326">
        <v>43403.0</v>
      </c>
      <c r="D607" s="107"/>
      <c r="E607" s="1"/>
      <c r="F607" s="11"/>
      <c r="G607" s="105" t="s">
        <v>2863</v>
      </c>
      <c r="H607" s="200">
        <v>15.0</v>
      </c>
      <c r="I607" s="236">
        <f>(H607*I606)/H606</f>
        <v>5</v>
      </c>
      <c r="J607" s="1182" t="s">
        <v>18</v>
      </c>
      <c r="K607" s="11"/>
    </row>
    <row r="608" ht="13.5" customHeight="1">
      <c r="A608" s="664" t="s">
        <v>50</v>
      </c>
      <c r="B608" s="2326"/>
      <c r="C608" s="2326">
        <v>43403.0</v>
      </c>
      <c r="D608" s="107"/>
      <c r="E608" s="1"/>
      <c r="F608" s="11"/>
      <c r="G608" s="11"/>
      <c r="H608" s="11"/>
      <c r="I608" s="11"/>
      <c r="J608" s="11"/>
      <c r="K608" s="11"/>
    </row>
    <row r="609" ht="13.5" customHeight="1">
      <c r="A609" s="1640" t="s">
        <v>119</v>
      </c>
      <c r="B609" s="183" t="s">
        <v>47</v>
      </c>
      <c r="C609" s="1"/>
      <c r="D609" s="1"/>
      <c r="E609" s="1"/>
      <c r="F609" s="11"/>
      <c r="G609" s="11"/>
      <c r="H609" s="11"/>
      <c r="I609" s="11"/>
      <c r="J609" s="11"/>
      <c r="K609" s="11"/>
    </row>
    <row r="610" ht="13.5" customHeight="1">
      <c r="A610" s="11"/>
      <c r="B610" s="11"/>
      <c r="C610" s="1167"/>
      <c r="D610" s="11"/>
      <c r="E610" s="11"/>
      <c r="F610" s="11"/>
      <c r="G610" s="11"/>
      <c r="H610" s="11"/>
      <c r="I610" s="11"/>
      <c r="J610" s="11"/>
      <c r="K610" s="11"/>
    </row>
    <row r="611" ht="13.5" customHeight="1">
      <c r="A611" s="11"/>
      <c r="B611" s="11"/>
      <c r="C611" s="1167"/>
      <c r="D611" s="11"/>
      <c r="E611" s="11"/>
      <c r="F611" s="11"/>
      <c r="G611" s="11"/>
      <c r="H611" s="11"/>
      <c r="I611" s="11"/>
      <c r="J611" s="11"/>
      <c r="K611" s="11"/>
    </row>
    <row r="612" ht="13.5" customHeight="1">
      <c r="A612" s="11"/>
      <c r="B612" s="11"/>
      <c r="C612" s="1167"/>
      <c r="D612" s="11"/>
      <c r="E612" s="11"/>
      <c r="F612" s="11"/>
      <c r="G612" s="11"/>
      <c r="H612" s="11"/>
      <c r="I612" s="11"/>
      <c r="J612" s="11"/>
      <c r="K612" s="11"/>
    </row>
    <row r="613" ht="13.5" customHeight="1">
      <c r="A613" s="766" t="s">
        <v>1229</v>
      </c>
      <c r="B613" s="18"/>
      <c r="C613" s="18"/>
      <c r="D613" s="19"/>
      <c r="E613" s="2548" t="s">
        <v>2869</v>
      </c>
      <c r="F613" s="11"/>
      <c r="G613" s="11"/>
      <c r="H613" s="11"/>
      <c r="I613" s="11"/>
      <c r="J613" s="11"/>
      <c r="K613" s="11"/>
    </row>
    <row r="614" ht="13.5" customHeight="1">
      <c r="A614" s="51" t="s">
        <v>1</v>
      </c>
      <c r="B614" s="53">
        <v>100.0</v>
      </c>
      <c r="C614" s="190">
        <v>35.0</v>
      </c>
      <c r="D614" s="514" t="s">
        <v>5</v>
      </c>
      <c r="E614" s="11"/>
      <c r="F614" s="11"/>
      <c r="G614" s="11"/>
      <c r="H614" s="11"/>
      <c r="I614" s="11"/>
      <c r="J614" s="11"/>
      <c r="K614" s="11"/>
    </row>
    <row r="615" ht="13.5" customHeight="1">
      <c r="A615" s="51" t="s">
        <v>1231</v>
      </c>
      <c r="B615" s="53">
        <v>80.0</v>
      </c>
      <c r="C615" s="190">
        <f t="shared" ref="C615:C616" si="60">(B615*C614)/B614</f>
        <v>28</v>
      </c>
      <c r="D615" s="514" t="s">
        <v>14</v>
      </c>
      <c r="E615" s="11"/>
      <c r="F615" s="11"/>
      <c r="G615" s="11"/>
      <c r="H615" s="11"/>
      <c r="I615" s="11"/>
      <c r="J615" s="11"/>
      <c r="K615" s="11"/>
    </row>
    <row r="616" ht="13.5" customHeight="1">
      <c r="A616" s="68" t="s">
        <v>91</v>
      </c>
      <c r="B616" s="210">
        <v>5.0</v>
      </c>
      <c r="C616" s="145">
        <f t="shared" si="60"/>
        <v>1.75</v>
      </c>
      <c r="D616" s="216" t="s">
        <v>5</v>
      </c>
      <c r="E616" s="11"/>
      <c r="F616" s="11"/>
      <c r="G616" s="11"/>
      <c r="H616" s="11"/>
      <c r="I616" s="11"/>
      <c r="J616" s="11"/>
      <c r="K616" s="11"/>
    </row>
    <row r="617" ht="13.5" customHeight="1">
      <c r="A617" s="93" t="s">
        <v>97</v>
      </c>
      <c r="B617" s="247">
        <v>400.0</v>
      </c>
      <c r="C617" s="195">
        <f t="shared" ref="C617:C618" si="61">(B617*C615)/B615</f>
        <v>140</v>
      </c>
      <c r="D617" s="249" t="s">
        <v>18</v>
      </c>
      <c r="E617" s="11"/>
      <c r="F617" s="11"/>
      <c r="G617" s="11"/>
      <c r="H617" s="11"/>
      <c r="I617" s="11"/>
      <c r="J617" s="11"/>
      <c r="K617" s="11"/>
    </row>
    <row r="618" ht="13.5" customHeight="1">
      <c r="A618" s="93" t="s">
        <v>98</v>
      </c>
      <c r="B618" s="247">
        <v>400.0</v>
      </c>
      <c r="C618" s="195">
        <f t="shared" si="61"/>
        <v>140</v>
      </c>
      <c r="D618" s="249" t="s">
        <v>18</v>
      </c>
      <c r="E618" s="11"/>
      <c r="F618" s="11"/>
      <c r="G618" s="11"/>
      <c r="H618" s="11"/>
      <c r="I618" s="11"/>
      <c r="J618" s="11"/>
      <c r="K618" s="11"/>
    </row>
    <row r="619" ht="13.5" customHeight="1">
      <c r="A619" s="93" t="s">
        <v>345</v>
      </c>
      <c r="B619" s="247">
        <v>1.0</v>
      </c>
      <c r="C619" s="195">
        <f t="shared" ref="C619:C620" si="62">(B619*C618)/B618</f>
        <v>0.35</v>
      </c>
      <c r="D619" s="249" t="s">
        <v>14</v>
      </c>
      <c r="E619" s="11"/>
      <c r="F619" s="11"/>
      <c r="G619" s="11"/>
      <c r="H619" s="11"/>
      <c r="I619" s="11"/>
      <c r="J619" s="11"/>
      <c r="K619" s="11"/>
    </row>
    <row r="620" ht="13.5" customHeight="1">
      <c r="A620" s="93" t="s">
        <v>311</v>
      </c>
      <c r="B620" s="247">
        <v>1.0</v>
      </c>
      <c r="C620" s="195">
        <f t="shared" si="62"/>
        <v>0.35</v>
      </c>
      <c r="D620" s="249" t="s">
        <v>14</v>
      </c>
      <c r="E620" s="11"/>
      <c r="F620" s="11"/>
      <c r="G620" s="11"/>
      <c r="H620" s="11"/>
      <c r="I620" s="11"/>
      <c r="J620" s="11"/>
      <c r="K620" s="11"/>
    </row>
    <row r="621" ht="13.5" customHeight="1">
      <c r="A621" s="93" t="s">
        <v>148</v>
      </c>
      <c r="B621" s="247">
        <v>1100.0</v>
      </c>
      <c r="C621" s="195">
        <f t="shared" ref="C621:C622" si="63">(B621*C619)/B619</f>
        <v>385</v>
      </c>
      <c r="D621" s="249" t="s">
        <v>18</v>
      </c>
      <c r="E621" s="11"/>
      <c r="F621" s="11"/>
      <c r="G621" s="11"/>
      <c r="H621" s="11"/>
      <c r="I621" s="11"/>
      <c r="J621" s="11"/>
      <c r="K621" s="11"/>
    </row>
    <row r="622" ht="13.5" customHeight="1">
      <c r="A622" s="93" t="s">
        <v>1236</v>
      </c>
      <c r="B622" s="247">
        <v>1100.0</v>
      </c>
      <c r="C622" s="195">
        <f t="shared" si="63"/>
        <v>385</v>
      </c>
      <c r="D622" s="249" t="s">
        <v>18</v>
      </c>
      <c r="E622" s="11"/>
      <c r="F622" s="11"/>
      <c r="G622" s="11"/>
      <c r="H622" s="11"/>
      <c r="I622" s="11"/>
      <c r="J622" s="11"/>
      <c r="K622" s="11"/>
    </row>
    <row r="623" ht="13.5" customHeight="1">
      <c r="A623" s="93" t="s">
        <v>103</v>
      </c>
      <c r="B623" s="247">
        <v>100.0</v>
      </c>
      <c r="C623" s="195">
        <f t="shared" ref="C623:C630" si="64">(B623*C622)/B622</f>
        <v>35</v>
      </c>
      <c r="D623" s="249" t="s">
        <v>18</v>
      </c>
      <c r="E623" s="11"/>
      <c r="F623" s="11"/>
      <c r="G623" s="11"/>
      <c r="H623" s="11"/>
      <c r="I623" s="11"/>
      <c r="J623" s="11"/>
      <c r="K623" s="11"/>
    </row>
    <row r="624" ht="13.5" customHeight="1">
      <c r="A624" s="93" t="s">
        <v>1238</v>
      </c>
      <c r="B624" s="247">
        <v>5.0</v>
      </c>
      <c r="C624" s="195">
        <f t="shared" si="64"/>
        <v>1.75</v>
      </c>
      <c r="D624" s="249" t="s">
        <v>14</v>
      </c>
      <c r="E624" s="11"/>
      <c r="F624" s="11"/>
      <c r="G624" s="11"/>
      <c r="H624" s="11"/>
      <c r="I624" s="11"/>
      <c r="J624" s="11"/>
      <c r="K624" s="11"/>
    </row>
    <row r="625" ht="13.5" customHeight="1">
      <c r="A625" s="93" t="s">
        <v>52</v>
      </c>
      <c r="B625" s="247">
        <v>250.0</v>
      </c>
      <c r="C625" s="195">
        <f t="shared" si="64"/>
        <v>87.5</v>
      </c>
      <c r="D625" s="249" t="s">
        <v>18</v>
      </c>
      <c r="E625" s="11"/>
      <c r="F625" s="11"/>
      <c r="G625" s="11"/>
      <c r="H625" s="11"/>
      <c r="I625" s="11"/>
      <c r="J625" s="11"/>
      <c r="K625" s="11"/>
    </row>
    <row r="626" ht="13.5" customHeight="1">
      <c r="A626" s="105" t="s">
        <v>850</v>
      </c>
      <c r="B626" s="522">
        <v>12.0</v>
      </c>
      <c r="C626" s="195">
        <f t="shared" si="64"/>
        <v>4.2</v>
      </c>
      <c r="D626" s="518" t="s">
        <v>14</v>
      </c>
      <c r="E626" s="11"/>
      <c r="F626" s="11"/>
      <c r="G626" s="11"/>
      <c r="H626" s="11"/>
      <c r="I626" s="11"/>
      <c r="J626" s="11"/>
      <c r="K626" s="11"/>
    </row>
    <row r="627" ht="13.5" customHeight="1">
      <c r="A627" s="119" t="s">
        <v>31</v>
      </c>
      <c r="B627" s="523">
        <v>1400.0</v>
      </c>
      <c r="C627" s="195">
        <f t="shared" si="64"/>
        <v>490</v>
      </c>
      <c r="D627" s="520" t="s">
        <v>18</v>
      </c>
      <c r="E627" s="11"/>
      <c r="F627" s="11"/>
      <c r="G627" s="11"/>
      <c r="H627" s="11"/>
      <c r="I627" s="11"/>
      <c r="J627" s="11"/>
      <c r="K627" s="11"/>
    </row>
    <row r="628" ht="13.5" customHeight="1">
      <c r="A628" s="138" t="s">
        <v>13</v>
      </c>
      <c r="B628" s="239">
        <v>0.8</v>
      </c>
      <c r="C628" s="195">
        <f t="shared" si="64"/>
        <v>0.28</v>
      </c>
      <c r="D628" s="242" t="s">
        <v>14</v>
      </c>
      <c r="E628" s="11"/>
      <c r="F628" s="11"/>
      <c r="G628" s="11"/>
      <c r="H628" s="11"/>
      <c r="I628" s="11"/>
      <c r="J628" s="11"/>
      <c r="K628" s="11"/>
    </row>
    <row r="629" ht="13.5" customHeight="1">
      <c r="A629" s="68" t="s">
        <v>1239</v>
      </c>
      <c r="B629" s="210">
        <v>10.0</v>
      </c>
      <c r="C629" s="195">
        <f t="shared" si="64"/>
        <v>3.5</v>
      </c>
      <c r="D629" s="216" t="s">
        <v>351</v>
      </c>
      <c r="E629" s="11"/>
      <c r="F629" s="11"/>
      <c r="G629" s="11"/>
      <c r="H629" s="11"/>
      <c r="I629" s="11"/>
      <c r="J629" s="11"/>
      <c r="K629" s="11"/>
    </row>
    <row r="630" ht="13.5" customHeight="1">
      <c r="A630" s="105" t="s">
        <v>335</v>
      </c>
      <c r="B630" s="522">
        <v>8.0</v>
      </c>
      <c r="C630" s="195">
        <f t="shared" si="64"/>
        <v>2.8</v>
      </c>
      <c r="D630" s="518" t="s">
        <v>5</v>
      </c>
      <c r="E630" s="11"/>
      <c r="F630" s="11"/>
      <c r="G630" s="11"/>
      <c r="H630" s="11"/>
      <c r="I630" s="11"/>
      <c r="J630" s="11"/>
      <c r="K630" s="11"/>
    </row>
    <row r="631" ht="13.5" customHeight="1">
      <c r="A631" s="149" t="s">
        <v>59</v>
      </c>
      <c r="B631" s="272">
        <v>8.0</v>
      </c>
      <c r="C631" s="152">
        <f>(B631*C629)/B629</f>
        <v>2.8</v>
      </c>
      <c r="D631" s="288" t="s">
        <v>5</v>
      </c>
      <c r="E631" s="11"/>
      <c r="F631" s="11"/>
      <c r="G631" s="11"/>
      <c r="H631" s="11"/>
      <c r="I631" s="11"/>
      <c r="J631" s="11"/>
      <c r="K631" s="11"/>
    </row>
    <row r="632" ht="13.5" customHeight="1">
      <c r="A632" s="302" t="s">
        <v>49</v>
      </c>
      <c r="B632" s="260">
        <v>43298.0</v>
      </c>
      <c r="C632" s="1"/>
      <c r="D632" s="1"/>
      <c r="E632" s="11"/>
      <c r="F632" s="11"/>
      <c r="G632" s="11"/>
      <c r="H632" s="11"/>
      <c r="I632" s="11"/>
      <c r="J632" s="11"/>
      <c r="K632" s="11"/>
    </row>
    <row r="633" ht="13.5" customHeight="1">
      <c r="A633" s="302" t="s">
        <v>50</v>
      </c>
      <c r="B633" s="260">
        <v>43573.0</v>
      </c>
      <c r="C633" s="1"/>
      <c r="D633" s="1"/>
      <c r="E633" s="11"/>
      <c r="F633" s="11"/>
      <c r="G633" s="11"/>
      <c r="H633" s="11"/>
      <c r="I633" s="11"/>
      <c r="J633" s="11"/>
      <c r="K633" s="11"/>
    </row>
    <row r="634" ht="13.5" customHeight="1">
      <c r="A634" s="1640" t="s">
        <v>119</v>
      </c>
      <c r="B634" s="183" t="s">
        <v>47</v>
      </c>
      <c r="C634" s="1167"/>
      <c r="D634" s="11"/>
      <c r="E634" s="11"/>
      <c r="F634" s="11"/>
      <c r="G634" s="11"/>
      <c r="H634" s="11"/>
      <c r="I634" s="11"/>
      <c r="J634" s="11"/>
      <c r="K634" s="11"/>
    </row>
    <row r="635" ht="13.5" customHeight="1">
      <c r="A635" s="11"/>
      <c r="B635" s="11"/>
      <c r="C635" s="1167"/>
      <c r="D635" s="11"/>
      <c r="E635" s="11"/>
      <c r="F635" s="11"/>
      <c r="G635" s="11"/>
      <c r="H635" s="11"/>
      <c r="I635" s="11"/>
      <c r="J635" s="11"/>
      <c r="K635" s="11"/>
    </row>
    <row r="636" ht="13.5" customHeight="1">
      <c r="A636" s="11"/>
      <c r="B636" s="11"/>
      <c r="C636" s="1167"/>
      <c r="D636" s="11"/>
      <c r="E636" s="11"/>
      <c r="F636" s="11"/>
      <c r="G636" s="11"/>
      <c r="H636" s="11"/>
      <c r="I636" s="11"/>
      <c r="J636" s="11"/>
      <c r="K636" s="11"/>
    </row>
    <row r="637" ht="13.5" customHeight="1">
      <c r="A637" s="11"/>
      <c r="B637" s="11"/>
      <c r="C637" s="1167"/>
      <c r="D637" s="11"/>
      <c r="E637" s="11"/>
      <c r="F637" s="11"/>
      <c r="G637" s="11"/>
      <c r="H637" s="11"/>
      <c r="I637" s="11"/>
      <c r="J637" s="11"/>
      <c r="K637" s="11"/>
    </row>
    <row r="638" ht="13.5" customHeight="1">
      <c r="A638" s="577" t="s">
        <v>2891</v>
      </c>
      <c r="B638" s="18"/>
      <c r="C638" s="18"/>
      <c r="D638" s="19"/>
      <c r="E638" s="2551" t="s">
        <v>2893</v>
      </c>
      <c r="F638" s="1177" t="s">
        <v>2895</v>
      </c>
      <c r="G638" s="11"/>
      <c r="H638" s="11"/>
      <c r="I638" s="11"/>
      <c r="J638" s="11"/>
      <c r="K638" s="11"/>
    </row>
    <row r="639" ht="15.75" customHeight="1">
      <c r="A639" s="51" t="s">
        <v>2897</v>
      </c>
      <c r="B639" s="53">
        <v>1.5</v>
      </c>
      <c r="C639" s="513">
        <v>6.0</v>
      </c>
      <c r="D639" s="514" t="s">
        <v>5</v>
      </c>
      <c r="E639" s="2552" t="s">
        <v>2898</v>
      </c>
      <c r="F639" s="11"/>
      <c r="G639" s="11"/>
      <c r="H639" s="11"/>
      <c r="I639" s="11"/>
      <c r="J639" s="11"/>
      <c r="K639" s="11"/>
    </row>
    <row r="640" ht="13.5" customHeight="1">
      <c r="A640" s="68" t="s">
        <v>2899</v>
      </c>
      <c r="B640" s="210">
        <v>1.0</v>
      </c>
      <c r="C640" s="155">
        <f t="shared" ref="C640:C650" si="65">C639*B640/B639</f>
        <v>4</v>
      </c>
      <c r="D640" s="216" t="s">
        <v>366</v>
      </c>
      <c r="E640" s="47"/>
      <c r="F640" s="11"/>
      <c r="G640" s="11"/>
      <c r="H640" s="11"/>
      <c r="I640" s="11"/>
      <c r="J640" s="11"/>
      <c r="K640" s="11"/>
    </row>
    <row r="641" ht="13.5" customHeight="1">
      <c r="A641" s="93" t="s">
        <v>2901</v>
      </c>
      <c r="B641" s="247">
        <v>0.4</v>
      </c>
      <c r="C641" s="78">
        <f t="shared" si="65"/>
        <v>1.6</v>
      </c>
      <c r="D641" s="249" t="s">
        <v>366</v>
      </c>
      <c r="E641" s="47"/>
      <c r="F641" s="11"/>
      <c r="G641" s="11"/>
      <c r="H641" s="11"/>
      <c r="I641" s="11"/>
      <c r="J641" s="11"/>
      <c r="K641" s="11"/>
    </row>
    <row r="642" ht="13.5" customHeight="1">
      <c r="A642" s="105" t="s">
        <v>2902</v>
      </c>
      <c r="B642" s="522">
        <v>150.0</v>
      </c>
      <c r="C642" s="56">
        <f t="shared" si="65"/>
        <v>600</v>
      </c>
      <c r="D642" s="518" t="s">
        <v>18</v>
      </c>
      <c r="E642" s="47"/>
      <c r="F642" s="11"/>
      <c r="G642" s="11"/>
      <c r="H642" s="11"/>
      <c r="I642" s="11"/>
      <c r="J642" s="11"/>
      <c r="K642" s="11"/>
    </row>
    <row r="643" ht="13.5" customHeight="1">
      <c r="A643" s="119" t="s">
        <v>491</v>
      </c>
      <c r="B643" s="523">
        <v>150.0</v>
      </c>
      <c r="C643" s="129">
        <f t="shared" si="65"/>
        <v>600</v>
      </c>
      <c r="D643" s="520" t="s">
        <v>82</v>
      </c>
      <c r="E643" s="76"/>
      <c r="F643" s="11"/>
      <c r="G643" s="11"/>
      <c r="H643" s="11"/>
      <c r="I643" s="11"/>
      <c r="J643" s="11"/>
      <c r="K643" s="11"/>
    </row>
    <row r="644" ht="13.5" customHeight="1">
      <c r="A644" s="93" t="s">
        <v>97</v>
      </c>
      <c r="B644" s="247">
        <v>4.0</v>
      </c>
      <c r="C644" s="78">
        <f t="shared" si="65"/>
        <v>16</v>
      </c>
      <c r="D644" s="249" t="s">
        <v>18</v>
      </c>
      <c r="E644" s="2553" t="s">
        <v>2905</v>
      </c>
      <c r="F644" s="11"/>
      <c r="G644" s="11"/>
      <c r="H644" s="11"/>
      <c r="I644" s="11"/>
      <c r="J644" s="11"/>
      <c r="K644" s="11"/>
    </row>
    <row r="645" ht="13.5" customHeight="1">
      <c r="A645" s="93" t="s">
        <v>98</v>
      </c>
      <c r="B645" s="247">
        <v>4.0</v>
      </c>
      <c r="C645" s="78">
        <f t="shared" si="65"/>
        <v>16</v>
      </c>
      <c r="D645" s="249" t="s">
        <v>18</v>
      </c>
      <c r="E645" s="47"/>
      <c r="F645" s="11"/>
      <c r="G645" s="11"/>
      <c r="H645" s="11"/>
      <c r="I645" s="11"/>
      <c r="J645" s="11"/>
      <c r="K645" s="11"/>
    </row>
    <row r="646" ht="13.5" customHeight="1">
      <c r="A646" s="93" t="s">
        <v>52</v>
      </c>
      <c r="B646" s="247">
        <v>5.0</v>
      </c>
      <c r="C646" s="78">
        <f t="shared" si="65"/>
        <v>20</v>
      </c>
      <c r="D646" s="249" t="s">
        <v>18</v>
      </c>
      <c r="E646" s="47"/>
      <c r="F646" s="11"/>
      <c r="G646" s="11"/>
      <c r="H646" s="11"/>
      <c r="I646" s="11"/>
      <c r="J646" s="11"/>
      <c r="K646" s="11"/>
    </row>
    <row r="647" ht="13.5" customHeight="1">
      <c r="A647" s="93" t="s">
        <v>103</v>
      </c>
      <c r="B647" s="247">
        <v>4.0</v>
      </c>
      <c r="C647" s="78">
        <f t="shared" si="65"/>
        <v>16</v>
      </c>
      <c r="D647" s="249" t="s">
        <v>18</v>
      </c>
      <c r="E647" s="47"/>
      <c r="F647" s="11"/>
      <c r="G647" s="11"/>
      <c r="H647" s="11"/>
      <c r="I647" s="11"/>
      <c r="J647" s="11"/>
      <c r="K647" s="11"/>
    </row>
    <row r="648" ht="13.5" customHeight="1">
      <c r="A648" s="93" t="s">
        <v>193</v>
      </c>
      <c r="B648" s="247">
        <v>0.1</v>
      </c>
      <c r="C648" s="78">
        <f t="shared" si="65"/>
        <v>0.4</v>
      </c>
      <c r="D648" s="249" t="s">
        <v>5</v>
      </c>
      <c r="E648" s="47"/>
      <c r="F648" s="11"/>
      <c r="G648" s="11"/>
      <c r="H648" s="11"/>
      <c r="I648" s="11"/>
      <c r="J648" s="11"/>
      <c r="K648" s="11"/>
    </row>
    <row r="649" ht="13.5" customHeight="1">
      <c r="A649" s="93" t="s">
        <v>391</v>
      </c>
      <c r="B649" s="247">
        <v>15.0</v>
      </c>
      <c r="C649" s="78">
        <f t="shared" si="65"/>
        <v>60</v>
      </c>
      <c r="D649" s="249" t="s">
        <v>18</v>
      </c>
      <c r="E649" s="47"/>
      <c r="F649" s="11"/>
      <c r="G649" s="11"/>
      <c r="H649" s="11"/>
      <c r="I649" s="11"/>
      <c r="J649" s="11"/>
      <c r="K649" s="11"/>
    </row>
    <row r="650" ht="13.5" customHeight="1">
      <c r="A650" s="93" t="s">
        <v>149</v>
      </c>
      <c r="B650" s="247">
        <v>2.5</v>
      </c>
      <c r="C650" s="78">
        <f t="shared" si="65"/>
        <v>10</v>
      </c>
      <c r="D650" s="249" t="s">
        <v>18</v>
      </c>
      <c r="E650" s="47"/>
      <c r="F650" s="11"/>
      <c r="G650" s="11"/>
      <c r="H650" s="11"/>
      <c r="I650" s="11"/>
      <c r="J650" s="11"/>
      <c r="K650" s="11"/>
    </row>
    <row r="651" ht="13.5" customHeight="1">
      <c r="A651" s="93" t="s">
        <v>2135</v>
      </c>
      <c r="B651" s="247">
        <v>5.0</v>
      </c>
      <c r="C651" s="78">
        <f t="shared" ref="C651:C653" si="66">C649*B651/B649</f>
        <v>20</v>
      </c>
      <c r="D651" s="249" t="s">
        <v>18</v>
      </c>
      <c r="E651" s="47"/>
      <c r="F651" s="11"/>
      <c r="G651" s="11"/>
      <c r="H651" s="11"/>
      <c r="I651" s="11"/>
      <c r="J651" s="11"/>
      <c r="K651" s="11"/>
    </row>
    <row r="652" ht="13.5" customHeight="1">
      <c r="A652" s="93" t="s">
        <v>2910</v>
      </c>
      <c r="B652" s="247">
        <v>0.2</v>
      </c>
      <c r="C652" s="78">
        <f t="shared" si="66"/>
        <v>0.8</v>
      </c>
      <c r="D652" s="249" t="s">
        <v>1557</v>
      </c>
      <c r="E652" s="47"/>
      <c r="F652" s="11"/>
      <c r="G652" s="11"/>
      <c r="H652" s="11"/>
      <c r="I652" s="11"/>
      <c r="J652" s="11"/>
      <c r="K652" s="11"/>
    </row>
    <row r="653" ht="13.5" customHeight="1">
      <c r="A653" s="138" t="s">
        <v>2911</v>
      </c>
      <c r="B653" s="239">
        <v>30.0</v>
      </c>
      <c r="C653" s="146">
        <f t="shared" si="66"/>
        <v>120</v>
      </c>
      <c r="D653" s="242" t="s">
        <v>18</v>
      </c>
      <c r="E653" s="76"/>
      <c r="F653" s="11"/>
      <c r="G653" s="11"/>
      <c r="H653" s="11"/>
      <c r="I653" s="11"/>
      <c r="J653" s="11"/>
      <c r="K653" s="11"/>
    </row>
    <row r="654" ht="13.5" customHeight="1">
      <c r="A654" s="2086" t="s">
        <v>2913</v>
      </c>
      <c r="B654" s="18"/>
      <c r="C654" s="18"/>
      <c r="D654" s="19"/>
      <c r="E654" s="11"/>
      <c r="F654" s="11"/>
      <c r="G654" s="11"/>
      <c r="H654" s="11"/>
      <c r="I654" s="11"/>
      <c r="J654" s="11"/>
      <c r="K654" s="11"/>
    </row>
    <row r="655" ht="13.5" customHeight="1">
      <c r="A655" s="2555" t="s">
        <v>119</v>
      </c>
      <c r="B655" s="2556" t="s">
        <v>47</v>
      </c>
      <c r="C655" s="1"/>
      <c r="D655" s="1"/>
      <c r="E655" s="11"/>
      <c r="F655" s="11"/>
      <c r="G655" s="11"/>
      <c r="H655" s="11"/>
      <c r="I655" s="11"/>
      <c r="J655" s="11"/>
      <c r="K655" s="11"/>
    </row>
    <row r="656" ht="13.5" customHeight="1">
      <c r="A656" s="203" t="s">
        <v>120</v>
      </c>
      <c r="B656" s="1363">
        <v>43614.0</v>
      </c>
      <c r="C656" s="1"/>
      <c r="D656" s="1"/>
      <c r="E656" s="11"/>
      <c r="F656" s="11"/>
      <c r="G656" s="11"/>
      <c r="H656" s="11"/>
      <c r="I656" s="11"/>
      <c r="J656" s="11"/>
      <c r="K656" s="11"/>
    </row>
    <row r="657" ht="13.5" customHeight="1">
      <c r="A657" s="203" t="s">
        <v>50</v>
      </c>
      <c r="B657" s="2557">
        <v>43619.0</v>
      </c>
      <c r="C657" s="1"/>
      <c r="D657" s="1"/>
      <c r="E657" s="11"/>
      <c r="F657" s="11"/>
      <c r="G657" s="11"/>
      <c r="H657" s="11"/>
      <c r="I657" s="11"/>
      <c r="J657" s="11"/>
      <c r="K657" s="11"/>
    </row>
    <row r="658" ht="13.5" customHeight="1">
      <c r="A658" s="11"/>
      <c r="B658" s="11"/>
      <c r="C658" s="1167"/>
      <c r="D658" s="11"/>
      <c r="E658" s="11"/>
      <c r="F658" s="11"/>
      <c r="G658" s="11"/>
      <c r="H658" s="11"/>
      <c r="I658" s="11"/>
      <c r="J658" s="11"/>
      <c r="K658" s="11"/>
    </row>
    <row r="659" ht="13.5" customHeight="1">
      <c r="A659" s="11"/>
      <c r="B659" s="11"/>
      <c r="C659" s="1167"/>
      <c r="D659" s="11"/>
      <c r="E659" s="11"/>
      <c r="F659" s="11"/>
      <c r="G659" s="11"/>
      <c r="H659" s="11"/>
      <c r="I659" s="11"/>
      <c r="J659" s="11"/>
      <c r="K659" s="11"/>
    </row>
    <row r="660" ht="13.5" customHeight="1">
      <c r="A660" s="11"/>
      <c r="B660" s="11"/>
      <c r="C660" s="1167"/>
      <c r="D660" s="11"/>
      <c r="E660" s="11"/>
      <c r="F660" s="11"/>
      <c r="G660" s="11"/>
      <c r="H660" s="11"/>
      <c r="I660" s="11"/>
      <c r="J660" s="11"/>
      <c r="K660" s="11"/>
    </row>
    <row r="661" ht="13.5" customHeight="1">
      <c r="A661" s="11"/>
      <c r="B661" s="11"/>
      <c r="C661" s="1167"/>
      <c r="D661" s="11"/>
      <c r="E661" s="11"/>
      <c r="F661" s="11"/>
      <c r="G661" s="11"/>
      <c r="H661" s="11"/>
      <c r="I661" s="11"/>
      <c r="J661" s="11"/>
      <c r="K661" s="11"/>
    </row>
    <row r="662" ht="13.5" customHeight="1">
      <c r="A662" s="11"/>
      <c r="B662" s="11"/>
      <c r="C662" s="1167"/>
      <c r="D662" s="11"/>
      <c r="E662" s="11"/>
      <c r="F662" s="11"/>
      <c r="G662" s="11"/>
      <c r="H662" s="11"/>
      <c r="I662" s="11"/>
      <c r="J662" s="11"/>
      <c r="K662" s="11"/>
    </row>
    <row r="663" ht="13.5" customHeight="1">
      <c r="A663" s="511" t="s">
        <v>2919</v>
      </c>
      <c r="B663" s="18"/>
      <c r="C663" s="18"/>
      <c r="D663" s="19"/>
      <c r="E663" s="11"/>
      <c r="F663" s="674" t="s">
        <v>2921</v>
      </c>
      <c r="G663" s="18"/>
      <c r="H663" s="18"/>
      <c r="I663" s="19"/>
      <c r="J663" s="11"/>
      <c r="K663" s="11"/>
    </row>
    <row r="664" ht="13.5" customHeight="1">
      <c r="A664" s="51" t="s">
        <v>1</v>
      </c>
      <c r="B664" s="190">
        <v>30.0</v>
      </c>
      <c r="C664" s="190">
        <v>9.9</v>
      </c>
      <c r="D664" s="1593" t="s">
        <v>5</v>
      </c>
      <c r="E664" s="11"/>
      <c r="F664" s="51" t="s">
        <v>1</v>
      </c>
      <c r="G664" s="190">
        <v>10.0</v>
      </c>
      <c r="H664" s="1093">
        <v>30.0</v>
      </c>
      <c r="I664" s="1593" t="s">
        <v>5</v>
      </c>
      <c r="J664" s="11"/>
      <c r="K664" s="11"/>
    </row>
    <row r="665" ht="13.5" customHeight="1">
      <c r="A665" s="68" t="s">
        <v>1017</v>
      </c>
      <c r="B665" s="145">
        <v>6.0</v>
      </c>
      <c r="C665" s="145">
        <f t="shared" ref="C665:C683" si="67">(B665*C664)/B664</f>
        <v>1.98</v>
      </c>
      <c r="D665" s="1157" t="s">
        <v>14</v>
      </c>
      <c r="E665" s="11"/>
      <c r="F665" s="68" t="s">
        <v>1017</v>
      </c>
      <c r="G665" s="145">
        <v>2.0</v>
      </c>
      <c r="H665" s="976">
        <f t="shared" ref="H665:H666" si="68">(G665*H664)/G664</f>
        <v>6</v>
      </c>
      <c r="I665" s="1157" t="s">
        <v>14</v>
      </c>
      <c r="J665" s="11"/>
      <c r="K665" s="11"/>
    </row>
    <row r="666" ht="13.5" customHeight="1">
      <c r="A666" s="105" t="s">
        <v>2767</v>
      </c>
      <c r="B666" s="200">
        <v>80.00000000000001</v>
      </c>
      <c r="C666" s="200">
        <f t="shared" si="67"/>
        <v>26.4</v>
      </c>
      <c r="D666" s="1182" t="s">
        <v>18</v>
      </c>
      <c r="E666" s="11"/>
      <c r="F666" s="93" t="s">
        <v>1610</v>
      </c>
      <c r="G666" s="195">
        <v>1.0</v>
      </c>
      <c r="H666" s="992">
        <f t="shared" si="68"/>
        <v>3</v>
      </c>
      <c r="I666" s="1158" t="s">
        <v>14</v>
      </c>
      <c r="J666" s="11"/>
      <c r="K666" s="11"/>
    </row>
    <row r="667" ht="13.5" customHeight="1">
      <c r="A667" s="68" t="s">
        <v>91</v>
      </c>
      <c r="B667" s="145">
        <v>0.8</v>
      </c>
      <c r="C667" s="145">
        <f t="shared" si="67"/>
        <v>0.264</v>
      </c>
      <c r="D667" s="1157" t="s">
        <v>5</v>
      </c>
      <c r="E667" s="11"/>
      <c r="F667" s="105" t="s">
        <v>2923</v>
      </c>
      <c r="G667" s="200">
        <v>1.5</v>
      </c>
      <c r="H667" s="981">
        <f>(G667*H665)/G665</f>
        <v>4.5</v>
      </c>
      <c r="I667" s="1182" t="s">
        <v>14</v>
      </c>
      <c r="J667" s="11"/>
      <c r="K667" s="11"/>
    </row>
    <row r="668" ht="13.5" customHeight="1">
      <c r="A668" s="93" t="s">
        <v>97</v>
      </c>
      <c r="B668" s="195">
        <v>56.0</v>
      </c>
      <c r="C668" s="195">
        <f t="shared" si="67"/>
        <v>18.48</v>
      </c>
      <c r="D668" s="1158" t="s">
        <v>18</v>
      </c>
      <c r="E668" s="11"/>
      <c r="F668" s="119" t="s">
        <v>1941</v>
      </c>
      <c r="G668" s="238">
        <v>100.0</v>
      </c>
      <c r="H668" s="985">
        <f>(G668*H667)/G667</f>
        <v>300</v>
      </c>
      <c r="I668" s="1184" t="s">
        <v>18</v>
      </c>
      <c r="J668" s="11"/>
      <c r="K668" s="11"/>
    </row>
    <row r="669" ht="13.5" customHeight="1">
      <c r="A669" s="149" t="s">
        <v>98</v>
      </c>
      <c r="B669" s="152">
        <v>96.0</v>
      </c>
      <c r="C669" s="152">
        <f t="shared" si="67"/>
        <v>31.68</v>
      </c>
      <c r="D669" s="1225" t="s">
        <v>18</v>
      </c>
      <c r="E669" s="11"/>
      <c r="F669" s="119" t="s">
        <v>2927</v>
      </c>
      <c r="G669" s="195">
        <v>50.0</v>
      </c>
      <c r="H669" s="992">
        <f t="shared" ref="H669:H670" si="69">(G669*H667)/G667</f>
        <v>150</v>
      </c>
      <c r="I669" s="1158" t="s">
        <v>18</v>
      </c>
      <c r="J669" s="11"/>
      <c r="K669" s="11"/>
    </row>
    <row r="670" ht="13.5" customHeight="1">
      <c r="A670" s="138" t="s">
        <v>101</v>
      </c>
      <c r="B670" s="279">
        <v>0.32</v>
      </c>
      <c r="C670" s="418">
        <f t="shared" si="67"/>
        <v>0.1056</v>
      </c>
      <c r="D670" s="1219" t="s">
        <v>5</v>
      </c>
      <c r="E670" s="11"/>
      <c r="F670" s="93" t="s">
        <v>2775</v>
      </c>
      <c r="G670" s="195">
        <v>600.0</v>
      </c>
      <c r="H670" s="992">
        <f t="shared" si="69"/>
        <v>1800</v>
      </c>
      <c r="I670" s="1158" t="s">
        <v>18</v>
      </c>
      <c r="J670" s="11"/>
      <c r="K670" s="11"/>
    </row>
    <row r="671" ht="13.5" customHeight="1">
      <c r="A671" s="68" t="s">
        <v>103</v>
      </c>
      <c r="B671" s="145">
        <v>40.0</v>
      </c>
      <c r="C671" s="145">
        <f t="shared" si="67"/>
        <v>13.2</v>
      </c>
      <c r="D671" s="1157" t="s">
        <v>18</v>
      </c>
      <c r="E671" s="11"/>
      <c r="F671" s="93" t="s">
        <v>2778</v>
      </c>
      <c r="G671" s="195">
        <v>2.5</v>
      </c>
      <c r="H671" s="992">
        <f t="shared" ref="H671:H674" si="70">(G671*H670)/G670</f>
        <v>7.5</v>
      </c>
      <c r="I671" s="1158" t="s">
        <v>741</v>
      </c>
      <c r="J671" s="11"/>
      <c r="K671" s="11"/>
    </row>
    <row r="672" ht="13.5" customHeight="1">
      <c r="A672" s="93" t="s">
        <v>1941</v>
      </c>
      <c r="B672" s="195">
        <v>300.0</v>
      </c>
      <c r="C672" s="195">
        <f t="shared" si="67"/>
        <v>99</v>
      </c>
      <c r="D672" s="1158" t="s">
        <v>18</v>
      </c>
      <c r="E672" s="11"/>
      <c r="F672" s="93" t="s">
        <v>31</v>
      </c>
      <c r="G672" s="195">
        <v>120.0</v>
      </c>
      <c r="H672" s="992">
        <f t="shared" si="70"/>
        <v>360</v>
      </c>
      <c r="I672" s="1158" t="s">
        <v>18</v>
      </c>
      <c r="J672" s="11"/>
      <c r="K672" s="11"/>
    </row>
    <row r="673" ht="13.5" customHeight="1">
      <c r="A673" s="93" t="s">
        <v>208</v>
      </c>
      <c r="B673" s="195">
        <v>96.0</v>
      </c>
      <c r="C673" s="195">
        <f t="shared" si="67"/>
        <v>31.68</v>
      </c>
      <c r="D673" s="1158" t="s">
        <v>18</v>
      </c>
      <c r="E673" s="11"/>
      <c r="F673" s="68" t="s">
        <v>112</v>
      </c>
      <c r="G673" s="145">
        <v>15.0</v>
      </c>
      <c r="H673" s="976">
        <f t="shared" si="70"/>
        <v>45</v>
      </c>
      <c r="I673" s="1157" t="s">
        <v>18</v>
      </c>
      <c r="J673" s="11"/>
      <c r="K673" s="11"/>
    </row>
    <row r="674" ht="13.5" customHeight="1">
      <c r="A674" s="898" t="s">
        <v>112</v>
      </c>
      <c r="B674" s="195">
        <v>60.0</v>
      </c>
      <c r="C674" s="195">
        <f t="shared" si="67"/>
        <v>19.8</v>
      </c>
      <c r="D674" s="1158" t="s">
        <v>18</v>
      </c>
      <c r="E674" s="11"/>
      <c r="F674" s="93" t="s">
        <v>429</v>
      </c>
      <c r="G674" s="195">
        <v>0.5</v>
      </c>
      <c r="H674" s="992">
        <f t="shared" si="70"/>
        <v>1.5</v>
      </c>
      <c r="I674" s="1158" t="s">
        <v>5</v>
      </c>
      <c r="J674" s="11"/>
      <c r="K674" s="11"/>
    </row>
    <row r="675" ht="13.5" customHeight="1">
      <c r="A675" s="105" t="s">
        <v>149</v>
      </c>
      <c r="B675" s="200">
        <v>96.0</v>
      </c>
      <c r="C675" s="200">
        <f t="shared" si="67"/>
        <v>31.68</v>
      </c>
      <c r="D675" s="1182" t="s">
        <v>82</v>
      </c>
      <c r="E675" s="11"/>
      <c r="F675" s="305" t="s">
        <v>50</v>
      </c>
      <c r="G675" s="308">
        <v>43630.0</v>
      </c>
      <c r="H675" s="1"/>
      <c r="I675" s="1"/>
      <c r="J675" s="11"/>
      <c r="K675" s="11"/>
    </row>
    <row r="676" ht="13.5" customHeight="1">
      <c r="A676" s="119" t="s">
        <v>1091</v>
      </c>
      <c r="B676" s="238">
        <v>80.0</v>
      </c>
      <c r="C676" s="238">
        <f t="shared" si="67"/>
        <v>26.4</v>
      </c>
      <c r="D676" s="1184" t="s">
        <v>18</v>
      </c>
      <c r="E676" s="11"/>
      <c r="F676" s="305" t="s">
        <v>50</v>
      </c>
      <c r="G676" s="308">
        <v>43631.0</v>
      </c>
      <c r="H676" s="1"/>
      <c r="I676" s="1"/>
      <c r="J676" s="11"/>
      <c r="K676" s="11"/>
    </row>
    <row r="677" ht="13.5" customHeight="1">
      <c r="A677" s="93" t="s">
        <v>31</v>
      </c>
      <c r="B677" s="195">
        <v>200.0</v>
      </c>
      <c r="C677" s="195">
        <f t="shared" si="67"/>
        <v>66</v>
      </c>
      <c r="D677" s="1158" t="s">
        <v>18</v>
      </c>
      <c r="E677" s="11"/>
      <c r="F677" s="2555" t="s">
        <v>119</v>
      </c>
      <c r="G677" s="2556" t="s">
        <v>47</v>
      </c>
      <c r="H677" s="1167"/>
      <c r="I677" s="11"/>
      <c r="J677" s="11"/>
      <c r="K677" s="11"/>
    </row>
    <row r="678" ht="15.0" customHeight="1">
      <c r="A678" s="93" t="s">
        <v>1366</v>
      </c>
      <c r="B678" s="195">
        <v>4.4</v>
      </c>
      <c r="C678" s="195">
        <f t="shared" si="67"/>
        <v>1.452</v>
      </c>
      <c r="D678" s="1158" t="s">
        <v>14</v>
      </c>
      <c r="E678" s="11"/>
      <c r="F678" s="11"/>
      <c r="G678" s="11"/>
      <c r="H678" s="11"/>
      <c r="I678" s="11"/>
      <c r="J678" s="11"/>
      <c r="K678" s="11"/>
    </row>
    <row r="679" ht="13.5" customHeight="1">
      <c r="A679" s="93" t="s">
        <v>2775</v>
      </c>
      <c r="B679" s="195">
        <v>1.2000000000000002</v>
      </c>
      <c r="C679" s="195">
        <f t="shared" si="67"/>
        <v>0.396</v>
      </c>
      <c r="D679" s="1158" t="s">
        <v>14</v>
      </c>
      <c r="E679" s="11"/>
      <c r="F679" s="11"/>
      <c r="G679" s="11"/>
      <c r="H679" s="11"/>
      <c r="I679" s="11"/>
      <c r="J679" s="11"/>
      <c r="K679" s="11"/>
    </row>
    <row r="680" ht="13.5" customHeight="1">
      <c r="A680" s="93" t="s">
        <v>2778</v>
      </c>
      <c r="B680" s="195">
        <v>5.0</v>
      </c>
      <c r="C680" s="195">
        <f t="shared" si="67"/>
        <v>1.65</v>
      </c>
      <c r="D680" s="1158" t="s">
        <v>741</v>
      </c>
      <c r="E680" s="11"/>
      <c r="F680" s="11"/>
      <c r="G680" s="11"/>
      <c r="H680" s="11"/>
      <c r="I680" s="11"/>
      <c r="J680" s="11"/>
      <c r="K680" s="11"/>
    </row>
    <row r="681" ht="13.5" customHeight="1">
      <c r="A681" s="93" t="s">
        <v>1163</v>
      </c>
      <c r="B681" s="195">
        <v>1.0</v>
      </c>
      <c r="C681" s="195">
        <f t="shared" si="67"/>
        <v>0.33</v>
      </c>
      <c r="D681" s="1158" t="s">
        <v>14</v>
      </c>
      <c r="E681" s="11"/>
      <c r="F681" s="11"/>
      <c r="G681" s="11"/>
      <c r="H681" s="11"/>
      <c r="I681" s="11"/>
      <c r="J681" s="11"/>
      <c r="K681" s="11"/>
    </row>
    <row r="682" ht="13.5" customHeight="1">
      <c r="A682" s="1153" t="s">
        <v>114</v>
      </c>
      <c r="B682" s="275">
        <v>1.2000000000000002</v>
      </c>
      <c r="C682" s="275">
        <f t="shared" si="67"/>
        <v>0.396</v>
      </c>
      <c r="D682" s="1610" t="s">
        <v>5</v>
      </c>
      <c r="E682" s="11"/>
      <c r="F682" s="11"/>
      <c r="G682" s="11"/>
      <c r="H682" s="11"/>
      <c r="I682" s="11"/>
      <c r="J682" s="11"/>
      <c r="K682" s="11"/>
    </row>
    <row r="683" ht="13.5" customHeight="1">
      <c r="A683" s="173" t="s">
        <v>59</v>
      </c>
      <c r="B683" s="275">
        <v>6.400000000000001</v>
      </c>
      <c r="C683" s="275">
        <f t="shared" si="67"/>
        <v>2.112</v>
      </c>
      <c r="D683" s="1610" t="s">
        <v>5</v>
      </c>
      <c r="E683" s="11"/>
      <c r="F683" s="11"/>
      <c r="G683" s="11"/>
      <c r="H683" s="11"/>
      <c r="I683" s="11"/>
      <c r="J683" s="11"/>
      <c r="K683" s="11"/>
    </row>
    <row r="684" ht="13.5" customHeight="1">
      <c r="A684" s="2555" t="s">
        <v>119</v>
      </c>
      <c r="B684" s="2556" t="s">
        <v>47</v>
      </c>
      <c r="C684" s="1167"/>
      <c r="D684" s="11"/>
      <c r="E684" s="11"/>
      <c r="F684" s="11"/>
      <c r="G684" s="11"/>
      <c r="H684" s="11"/>
      <c r="I684" s="11"/>
      <c r="J684" s="11"/>
      <c r="K684" s="11"/>
    </row>
    <row r="685" ht="13.5" customHeight="1">
      <c r="A685" s="203" t="s">
        <v>120</v>
      </c>
      <c r="B685" s="1363"/>
      <c r="C685" s="1167"/>
      <c r="D685" s="11"/>
      <c r="E685" s="11"/>
      <c r="F685" s="11"/>
      <c r="G685" s="11"/>
      <c r="H685" s="11"/>
      <c r="I685" s="11"/>
      <c r="J685" s="11"/>
      <c r="K685" s="11"/>
    </row>
    <row r="686" ht="13.5" customHeight="1">
      <c r="A686" s="203" t="s">
        <v>50</v>
      </c>
      <c r="B686" s="1363"/>
      <c r="C686" s="1167"/>
      <c r="D686" s="11"/>
      <c r="E686" s="11"/>
      <c r="F686" s="11"/>
      <c r="G686" s="11"/>
      <c r="H686" s="11"/>
      <c r="I686" s="11"/>
      <c r="J686" s="11"/>
      <c r="K686" s="11"/>
    </row>
    <row r="687" ht="13.5" customHeight="1">
      <c r="A687" s="11"/>
      <c r="B687" s="11"/>
      <c r="C687" s="1167"/>
      <c r="D687" s="11"/>
      <c r="E687" s="11"/>
      <c r="F687" s="11"/>
      <c r="G687" s="11"/>
      <c r="H687" s="11"/>
      <c r="I687" s="11"/>
      <c r="J687" s="11"/>
      <c r="K687" s="11"/>
    </row>
    <row r="688" ht="13.5" customHeight="1">
      <c r="A688" s="11"/>
      <c r="B688" s="11"/>
      <c r="C688" s="1167"/>
      <c r="D688" s="11"/>
      <c r="E688" s="11"/>
      <c r="F688" s="11"/>
      <c r="G688" s="11"/>
      <c r="H688" s="11"/>
      <c r="I688" s="11"/>
      <c r="J688" s="11"/>
      <c r="K688" s="11"/>
    </row>
    <row r="689" ht="13.5" customHeight="1">
      <c r="A689" s="11"/>
      <c r="B689" s="11"/>
      <c r="C689" s="1167"/>
      <c r="D689" s="11"/>
      <c r="E689" s="11"/>
      <c r="F689" s="11"/>
      <c r="G689" s="11"/>
      <c r="H689" s="11"/>
      <c r="I689" s="11"/>
      <c r="J689" s="11"/>
      <c r="K689" s="11"/>
    </row>
    <row r="690" ht="15.0" customHeight="1">
      <c r="A690" s="674" t="s">
        <v>2921</v>
      </c>
      <c r="B690" s="18"/>
      <c r="C690" s="18"/>
      <c r="D690" s="19"/>
      <c r="E690" s="11"/>
      <c r="F690" s="11"/>
      <c r="G690" s="11"/>
      <c r="H690" s="11"/>
      <c r="I690" s="11"/>
      <c r="J690" s="11"/>
      <c r="K690" s="11"/>
    </row>
    <row r="691" ht="13.5" customHeight="1">
      <c r="A691" s="51" t="s">
        <v>1</v>
      </c>
      <c r="B691" s="190">
        <v>10.0</v>
      </c>
      <c r="C691" s="1093">
        <v>30.0</v>
      </c>
      <c r="D691" s="1593" t="s">
        <v>5</v>
      </c>
      <c r="E691" s="11"/>
      <c r="F691" s="11"/>
      <c r="G691" s="11"/>
      <c r="H691" s="11"/>
      <c r="I691" s="11"/>
      <c r="J691" s="11"/>
      <c r="K691" s="11"/>
    </row>
    <row r="692" ht="13.5" customHeight="1">
      <c r="A692" s="68" t="s">
        <v>1017</v>
      </c>
      <c r="B692" s="145">
        <v>2.0</v>
      </c>
      <c r="C692" s="976">
        <f t="shared" ref="C692:C693" si="71">(B692*C691)/B691</f>
        <v>6</v>
      </c>
      <c r="D692" s="1157" t="s">
        <v>14</v>
      </c>
      <c r="E692" s="11"/>
      <c r="F692" s="11"/>
      <c r="G692" s="11"/>
      <c r="H692" s="11"/>
      <c r="I692" s="11"/>
      <c r="J692" s="11"/>
      <c r="K692" s="11"/>
    </row>
    <row r="693" ht="13.5" customHeight="1">
      <c r="A693" s="93" t="s">
        <v>1610</v>
      </c>
      <c r="B693" s="195">
        <v>1.0</v>
      </c>
      <c r="C693" s="992">
        <f t="shared" si="71"/>
        <v>3</v>
      </c>
      <c r="D693" s="1158" t="s">
        <v>14</v>
      </c>
      <c r="E693" s="11"/>
      <c r="F693" s="11"/>
      <c r="G693" s="11"/>
      <c r="H693" s="11"/>
      <c r="I693" s="11"/>
      <c r="J693" s="11"/>
      <c r="K693" s="11"/>
    </row>
    <row r="694" ht="13.5" customHeight="1">
      <c r="A694" s="105" t="s">
        <v>2923</v>
      </c>
      <c r="B694" s="200">
        <v>1.5</v>
      </c>
      <c r="C694" s="981">
        <f>(B694*C692)/B692</f>
        <v>4.5</v>
      </c>
      <c r="D694" s="1182" t="s">
        <v>14</v>
      </c>
      <c r="E694" s="11"/>
      <c r="F694" s="11"/>
      <c r="G694" s="11"/>
      <c r="H694" s="11"/>
      <c r="I694" s="11"/>
      <c r="J694" s="11"/>
      <c r="K694" s="11"/>
    </row>
    <row r="695" ht="13.5" customHeight="1">
      <c r="A695" s="119" t="s">
        <v>1941</v>
      </c>
      <c r="B695" s="238">
        <v>100.0</v>
      </c>
      <c r="C695" s="985">
        <f>(B695*C694)/B694</f>
        <v>300</v>
      </c>
      <c r="D695" s="1184" t="s">
        <v>18</v>
      </c>
      <c r="E695" s="11"/>
      <c r="F695" s="11"/>
      <c r="G695" s="11"/>
      <c r="H695" s="11"/>
      <c r="I695" s="11"/>
      <c r="J695" s="11"/>
      <c r="K695" s="11"/>
    </row>
    <row r="696" ht="13.5" customHeight="1">
      <c r="A696" s="119" t="s">
        <v>2927</v>
      </c>
      <c r="B696" s="195">
        <v>50.0</v>
      </c>
      <c r="C696" s="992">
        <f t="shared" ref="C696:C697" si="72">(B696*C694)/B694</f>
        <v>150</v>
      </c>
      <c r="D696" s="1158" t="s">
        <v>18</v>
      </c>
      <c r="E696" s="11"/>
      <c r="F696" s="11"/>
      <c r="G696" s="11"/>
      <c r="H696" s="11"/>
      <c r="I696" s="11"/>
      <c r="J696" s="11"/>
      <c r="K696" s="11"/>
    </row>
    <row r="697" ht="13.5" customHeight="1">
      <c r="A697" s="93" t="s">
        <v>2775</v>
      </c>
      <c r="B697" s="195">
        <v>600.0</v>
      </c>
      <c r="C697" s="992">
        <f t="shared" si="72"/>
        <v>1800</v>
      </c>
      <c r="D697" s="1158" t="s">
        <v>18</v>
      </c>
      <c r="E697" s="11"/>
      <c r="F697" s="11"/>
      <c r="G697" s="11"/>
      <c r="H697" s="11"/>
      <c r="I697" s="11"/>
      <c r="J697" s="11"/>
      <c r="K697" s="11"/>
    </row>
    <row r="698" ht="13.5" customHeight="1">
      <c r="A698" s="93" t="s">
        <v>2778</v>
      </c>
      <c r="B698" s="195">
        <v>2.5</v>
      </c>
      <c r="C698" s="992">
        <f t="shared" ref="C698:C701" si="73">(B698*C697)/B697</f>
        <v>7.5</v>
      </c>
      <c r="D698" s="1158" t="s">
        <v>741</v>
      </c>
      <c r="E698" s="11"/>
      <c r="F698" s="11"/>
      <c r="G698" s="11"/>
      <c r="H698" s="11"/>
      <c r="I698" s="11"/>
      <c r="J698" s="11"/>
      <c r="K698" s="11"/>
    </row>
    <row r="699" ht="13.5" customHeight="1">
      <c r="A699" s="93" t="s">
        <v>31</v>
      </c>
      <c r="B699" s="195">
        <v>120.0</v>
      </c>
      <c r="C699" s="992">
        <f t="shared" si="73"/>
        <v>360</v>
      </c>
      <c r="D699" s="1158" t="s">
        <v>18</v>
      </c>
      <c r="E699" s="11"/>
      <c r="F699" s="11"/>
      <c r="G699" s="11"/>
      <c r="H699" s="11"/>
      <c r="I699" s="11"/>
      <c r="J699" s="11"/>
      <c r="K699" s="11"/>
    </row>
    <row r="700" ht="13.5" customHeight="1">
      <c r="A700" s="68" t="s">
        <v>112</v>
      </c>
      <c r="B700" s="145">
        <v>15.0</v>
      </c>
      <c r="C700" s="976">
        <f t="shared" si="73"/>
        <v>45</v>
      </c>
      <c r="D700" s="1157" t="s">
        <v>18</v>
      </c>
      <c r="E700" s="11"/>
      <c r="F700" s="11"/>
      <c r="G700" s="11"/>
      <c r="H700" s="11"/>
      <c r="I700" s="11"/>
      <c r="J700" s="11"/>
      <c r="K700" s="11"/>
    </row>
    <row r="701" ht="13.5" customHeight="1">
      <c r="A701" s="93" t="s">
        <v>429</v>
      </c>
      <c r="B701" s="195">
        <v>0.5</v>
      </c>
      <c r="C701" s="992">
        <f t="shared" si="73"/>
        <v>1.5</v>
      </c>
      <c r="D701" s="1158" t="s">
        <v>5</v>
      </c>
      <c r="E701" s="11"/>
      <c r="F701" s="11"/>
      <c r="G701" s="11"/>
      <c r="H701" s="11"/>
      <c r="I701" s="11"/>
      <c r="J701" s="11"/>
      <c r="K701" s="11"/>
    </row>
    <row r="702" ht="13.5" customHeight="1">
      <c r="A702" s="305" t="s">
        <v>50</v>
      </c>
      <c r="B702" s="308">
        <v>43630.0</v>
      </c>
      <c r="C702" s="1"/>
      <c r="D702" s="1"/>
      <c r="E702" s="11"/>
      <c r="F702" s="11"/>
      <c r="G702" s="11"/>
      <c r="H702" s="11"/>
      <c r="I702" s="11"/>
      <c r="J702" s="11"/>
      <c r="K702" s="11"/>
    </row>
    <row r="703" ht="13.5" customHeight="1">
      <c r="A703" s="305" t="s">
        <v>50</v>
      </c>
      <c r="B703" s="308">
        <v>43631.0</v>
      </c>
      <c r="C703" s="1"/>
      <c r="D703" s="1"/>
      <c r="E703" s="11"/>
      <c r="F703" s="11"/>
      <c r="G703" s="11"/>
      <c r="H703" s="11"/>
      <c r="I703" s="11"/>
      <c r="J703" s="11"/>
      <c r="K703" s="11"/>
    </row>
    <row r="704" ht="13.5" customHeight="1">
      <c r="A704" s="2555" t="s">
        <v>119</v>
      </c>
      <c r="B704" s="2556" t="s">
        <v>47</v>
      </c>
      <c r="C704" s="1167"/>
      <c r="D704" s="11"/>
      <c r="E704" s="11"/>
      <c r="F704" s="11"/>
      <c r="G704" s="11"/>
      <c r="H704" s="11"/>
      <c r="I704" s="11"/>
      <c r="J704" s="11"/>
      <c r="K704" s="11"/>
    </row>
    <row r="705" ht="13.5" customHeight="1">
      <c r="A705" s="11"/>
      <c r="B705" s="11"/>
      <c r="C705" s="1167"/>
      <c r="D705" s="11"/>
      <c r="E705" s="11"/>
      <c r="F705" s="11"/>
      <c r="G705" s="11"/>
      <c r="H705" s="11"/>
      <c r="I705" s="11"/>
      <c r="J705" s="11"/>
      <c r="K705" s="11"/>
    </row>
    <row r="706" ht="13.5" customHeight="1">
      <c r="A706" s="11"/>
      <c r="B706" s="11"/>
      <c r="C706" s="1167"/>
      <c r="D706" s="11"/>
      <c r="E706" s="11"/>
      <c r="F706" s="11"/>
      <c r="G706" s="11"/>
      <c r="H706" s="11"/>
      <c r="I706" s="11"/>
      <c r="J706" s="11"/>
      <c r="K706" s="11"/>
    </row>
    <row r="707" ht="13.5" customHeight="1">
      <c r="A707" s="11"/>
      <c r="B707" s="11"/>
      <c r="C707" s="1167"/>
      <c r="D707" s="11"/>
      <c r="E707" s="11"/>
      <c r="F707" s="11"/>
      <c r="G707" s="11"/>
      <c r="H707" s="11"/>
      <c r="I707" s="11"/>
      <c r="J707" s="11"/>
      <c r="K707" s="11"/>
    </row>
    <row r="708" ht="13.5" customHeight="1">
      <c r="A708" s="11"/>
      <c r="B708" s="11"/>
      <c r="C708" s="1167"/>
      <c r="D708" s="11"/>
      <c r="E708" s="11"/>
      <c r="F708" s="11"/>
      <c r="G708" s="11"/>
      <c r="H708" s="11"/>
      <c r="I708" s="11"/>
      <c r="J708" s="11"/>
      <c r="K708" s="11"/>
    </row>
    <row r="709" ht="13.5" customHeight="1">
      <c r="A709" s="11"/>
      <c r="B709" s="11"/>
      <c r="C709" s="1167"/>
      <c r="D709" s="11"/>
      <c r="E709" s="11"/>
      <c r="F709" s="11"/>
      <c r="G709" s="11"/>
      <c r="H709" s="11"/>
      <c r="I709" s="11"/>
      <c r="J709" s="11"/>
      <c r="K709" s="11"/>
    </row>
    <row r="710" ht="13.5" customHeight="1">
      <c r="A710" s="209" t="s">
        <v>2954</v>
      </c>
      <c r="B710" s="18"/>
      <c r="C710" s="18"/>
      <c r="D710" s="19"/>
      <c r="E710" s="11"/>
      <c r="F710" s="11"/>
      <c r="G710" s="11"/>
      <c r="H710" s="11"/>
      <c r="I710" s="11"/>
      <c r="J710" s="11"/>
      <c r="K710" s="11"/>
    </row>
    <row r="711" ht="13.5" customHeight="1">
      <c r="A711" s="173" t="s">
        <v>2956</v>
      </c>
      <c r="B711" s="545">
        <v>25.0</v>
      </c>
      <c r="C711" s="546">
        <v>65.0</v>
      </c>
      <c r="D711" s="547" t="s">
        <v>5</v>
      </c>
      <c r="E711" s="11"/>
      <c r="F711" s="11"/>
      <c r="G711" s="11"/>
      <c r="H711" s="11"/>
      <c r="I711" s="11"/>
      <c r="J711" s="11"/>
      <c r="K711" s="11"/>
    </row>
    <row r="712" ht="13.5" customHeight="1">
      <c r="A712" s="173" t="s">
        <v>2957</v>
      </c>
      <c r="B712" s="545">
        <v>0.72</v>
      </c>
      <c r="C712" s="546">
        <f>C711*B712/B711</f>
        <v>1.872</v>
      </c>
      <c r="D712" s="2598" t="s">
        <v>2957</v>
      </c>
      <c r="E712" s="11"/>
      <c r="F712" s="11"/>
      <c r="G712" s="11"/>
      <c r="H712" s="11"/>
      <c r="I712" s="11"/>
      <c r="J712" s="11"/>
      <c r="K712" s="11"/>
    </row>
    <row r="713" ht="13.5" customHeight="1">
      <c r="A713" s="119" t="s">
        <v>2960</v>
      </c>
      <c r="B713" s="523">
        <v>40.0</v>
      </c>
      <c r="C713" s="519">
        <f>C711*B713/B711</f>
        <v>104</v>
      </c>
      <c r="D713" s="2599" t="s">
        <v>14</v>
      </c>
      <c r="E713" s="11"/>
      <c r="F713" s="11"/>
      <c r="G713" s="11"/>
      <c r="H713" s="11"/>
      <c r="I713" s="11"/>
      <c r="J713" s="11"/>
      <c r="K713" s="11"/>
    </row>
    <row r="714" ht="13.5" customHeight="1">
      <c r="A714" s="1367" t="s">
        <v>2961</v>
      </c>
      <c r="B714" s="239">
        <v>30.0</v>
      </c>
      <c r="C714" s="842">
        <f t="shared" ref="C714:C729" si="74">C713*B714/B713</f>
        <v>78</v>
      </c>
      <c r="D714" s="1368" t="s">
        <v>5</v>
      </c>
      <c r="E714" s="11"/>
      <c r="F714" s="11"/>
      <c r="G714" s="11"/>
      <c r="H714" s="11"/>
      <c r="I714" s="11"/>
      <c r="J714" s="11"/>
      <c r="K714" s="11"/>
    </row>
    <row r="715" ht="13.5" customHeight="1">
      <c r="A715" s="68" t="s">
        <v>1610</v>
      </c>
      <c r="B715" s="210">
        <v>13.0</v>
      </c>
      <c r="C715" s="548">
        <f t="shared" si="74"/>
        <v>33.8</v>
      </c>
      <c r="D715" s="216" t="s">
        <v>14</v>
      </c>
      <c r="E715" s="11"/>
      <c r="F715" s="11"/>
      <c r="G715" s="11"/>
      <c r="H715" s="11"/>
      <c r="I715" s="11"/>
      <c r="J715" s="11"/>
      <c r="K715" s="11"/>
    </row>
    <row r="716" ht="13.5" customHeight="1">
      <c r="A716" s="675" t="s">
        <v>2964</v>
      </c>
      <c r="B716" s="522">
        <v>10.0</v>
      </c>
      <c r="C716" s="517">
        <f t="shared" si="74"/>
        <v>26</v>
      </c>
      <c r="D716" s="518" t="s">
        <v>5</v>
      </c>
      <c r="E716" s="11"/>
      <c r="F716" s="11"/>
      <c r="G716" s="11"/>
      <c r="H716" s="11"/>
      <c r="I716" s="11"/>
      <c r="J716" s="11"/>
      <c r="K716" s="11"/>
    </row>
    <row r="717" ht="13.5" customHeight="1">
      <c r="A717" s="68" t="s">
        <v>2790</v>
      </c>
      <c r="B717" s="210">
        <v>0.5</v>
      </c>
      <c r="C717" s="548">
        <f t="shared" si="74"/>
        <v>1.3</v>
      </c>
      <c r="D717" s="216" t="s">
        <v>5</v>
      </c>
      <c r="E717" s="11"/>
      <c r="F717" s="11"/>
      <c r="G717" s="11"/>
      <c r="H717" s="11"/>
      <c r="I717" s="11"/>
      <c r="J717" s="11"/>
      <c r="K717" s="11"/>
    </row>
    <row r="718" ht="13.5" customHeight="1">
      <c r="A718" s="93" t="s">
        <v>98</v>
      </c>
      <c r="B718" s="247">
        <v>0.1</v>
      </c>
      <c r="C718" s="842">
        <f t="shared" si="74"/>
        <v>0.26</v>
      </c>
      <c r="D718" s="249" t="s">
        <v>366</v>
      </c>
      <c r="E718" s="11"/>
      <c r="F718" s="11"/>
      <c r="G718" s="11"/>
      <c r="H718" s="11"/>
      <c r="I718" s="11"/>
      <c r="J718" s="11"/>
      <c r="K718" s="11"/>
    </row>
    <row r="719" ht="15.0" customHeight="1">
      <c r="A719" s="93" t="s">
        <v>149</v>
      </c>
      <c r="B719" s="247">
        <v>0.2</v>
      </c>
      <c r="C719" s="842">
        <f t="shared" si="74"/>
        <v>0.52</v>
      </c>
      <c r="D719" s="249" t="s">
        <v>5</v>
      </c>
      <c r="E719" s="11"/>
      <c r="F719" s="11"/>
      <c r="G719" s="11"/>
      <c r="H719" s="11"/>
      <c r="I719" s="11"/>
      <c r="J719" s="11"/>
      <c r="K719" s="11"/>
    </row>
    <row r="720" ht="15.0" customHeight="1">
      <c r="A720" s="93" t="s">
        <v>2118</v>
      </c>
      <c r="B720" s="247">
        <v>55.0</v>
      </c>
      <c r="C720" s="842">
        <f t="shared" si="74"/>
        <v>143</v>
      </c>
      <c r="D720" s="249" t="s">
        <v>18</v>
      </c>
      <c r="E720" s="11"/>
      <c r="F720" s="11"/>
      <c r="G720" s="11"/>
      <c r="H720" s="11"/>
      <c r="I720" s="11"/>
      <c r="J720" s="11"/>
      <c r="K720" s="11"/>
    </row>
    <row r="721" ht="15.0" customHeight="1">
      <c r="A721" s="93" t="s">
        <v>103</v>
      </c>
      <c r="B721" s="247">
        <v>48.0</v>
      </c>
      <c r="C721" s="842">
        <f t="shared" si="74"/>
        <v>124.8</v>
      </c>
      <c r="D721" s="249" t="s">
        <v>18</v>
      </c>
      <c r="E721" s="11"/>
      <c r="F721" s="11"/>
      <c r="G721" s="11"/>
      <c r="H721" s="11"/>
      <c r="I721" s="11"/>
      <c r="J721" s="11"/>
      <c r="K721" s="11"/>
    </row>
    <row r="722" ht="13.5" customHeight="1">
      <c r="A722" s="93" t="s">
        <v>2968</v>
      </c>
      <c r="B722" s="247">
        <v>165.0</v>
      </c>
      <c r="C722" s="1887">
        <f t="shared" si="74"/>
        <v>429</v>
      </c>
      <c r="D722" s="249" t="s">
        <v>18</v>
      </c>
      <c r="E722" s="11"/>
      <c r="F722" s="11"/>
      <c r="G722" s="11"/>
      <c r="H722" s="11"/>
      <c r="I722" s="11"/>
      <c r="J722" s="11"/>
      <c r="K722" s="11"/>
    </row>
    <row r="723" ht="13.5" customHeight="1">
      <c r="A723" s="138" t="s">
        <v>1027</v>
      </c>
      <c r="B723" s="239">
        <v>60.0</v>
      </c>
      <c r="C723" s="1887">
        <f t="shared" si="74"/>
        <v>156</v>
      </c>
      <c r="D723" s="249" t="s">
        <v>18</v>
      </c>
      <c r="E723" s="11"/>
      <c r="F723" s="11"/>
      <c r="G723" s="11"/>
      <c r="H723" s="11"/>
      <c r="I723" s="11"/>
      <c r="J723" s="11"/>
      <c r="K723" s="11"/>
    </row>
    <row r="724" ht="13.5" customHeight="1">
      <c r="A724" s="105" t="s">
        <v>105</v>
      </c>
      <c r="B724" s="522">
        <v>55.0</v>
      </c>
      <c r="C724" s="1897">
        <f t="shared" si="74"/>
        <v>143</v>
      </c>
      <c r="D724" s="518" t="s">
        <v>18</v>
      </c>
      <c r="E724" s="11"/>
      <c r="F724" s="11"/>
      <c r="G724" s="11"/>
      <c r="H724" s="11"/>
      <c r="I724" s="11"/>
      <c r="J724" s="11"/>
      <c r="K724" s="11"/>
    </row>
    <row r="725" ht="13.5" customHeight="1">
      <c r="A725" s="68" t="s">
        <v>2969</v>
      </c>
      <c r="B725" s="210">
        <v>220.0</v>
      </c>
      <c r="C725" s="2266">
        <f t="shared" si="74"/>
        <v>572</v>
      </c>
      <c r="D725" s="216" t="s">
        <v>18</v>
      </c>
      <c r="E725" s="11"/>
      <c r="F725" s="11"/>
      <c r="G725" s="11"/>
      <c r="H725" s="11"/>
      <c r="I725" s="11"/>
      <c r="J725" s="11"/>
      <c r="K725" s="11"/>
    </row>
    <row r="726" ht="13.5" customHeight="1">
      <c r="A726" s="93" t="s">
        <v>636</v>
      </c>
      <c r="B726" s="247">
        <v>220.0</v>
      </c>
      <c r="C726" s="1887">
        <f t="shared" si="74"/>
        <v>572</v>
      </c>
      <c r="D726" s="249" t="s">
        <v>18</v>
      </c>
      <c r="E726" s="11"/>
      <c r="F726" s="11"/>
      <c r="G726" s="11"/>
      <c r="H726" s="11"/>
      <c r="I726" s="11"/>
      <c r="J726" s="11"/>
      <c r="K726" s="11"/>
    </row>
    <row r="727" ht="13.5" customHeight="1">
      <c r="A727" s="93" t="s">
        <v>1400</v>
      </c>
      <c r="B727" s="247">
        <v>165.0</v>
      </c>
      <c r="C727" s="1887">
        <f t="shared" si="74"/>
        <v>429</v>
      </c>
      <c r="D727" s="249" t="s">
        <v>18</v>
      </c>
      <c r="E727" s="11"/>
      <c r="F727" s="11"/>
      <c r="G727" s="11"/>
      <c r="H727" s="11"/>
      <c r="I727" s="11"/>
      <c r="J727" s="11"/>
      <c r="K727" s="11"/>
    </row>
    <row r="728" ht="13.5" customHeight="1">
      <c r="A728" s="105" t="s">
        <v>124</v>
      </c>
      <c r="B728" s="522">
        <v>110.0</v>
      </c>
      <c r="C728" s="1897">
        <f t="shared" si="74"/>
        <v>286</v>
      </c>
      <c r="D728" s="518" t="s">
        <v>18</v>
      </c>
      <c r="E728" s="11"/>
      <c r="F728" s="11"/>
      <c r="G728" s="11"/>
      <c r="H728" s="11"/>
      <c r="I728" s="11"/>
      <c r="J728" s="11"/>
      <c r="K728" s="11"/>
    </row>
    <row r="729" ht="13.5" customHeight="1">
      <c r="A729" s="924" t="s">
        <v>2972</v>
      </c>
      <c r="B729" s="2618">
        <v>210.0</v>
      </c>
      <c r="C729" s="1550">
        <f t="shared" si="74"/>
        <v>546</v>
      </c>
      <c r="D729" s="547" t="s">
        <v>18</v>
      </c>
      <c r="E729" s="11"/>
      <c r="F729" s="11"/>
      <c r="G729" s="11"/>
      <c r="H729" s="11"/>
      <c r="I729" s="11"/>
      <c r="J729" s="11"/>
      <c r="K729" s="11"/>
    </row>
    <row r="730" ht="13.5" customHeight="1">
      <c r="A730" s="2555" t="s">
        <v>119</v>
      </c>
      <c r="B730" s="2556" t="s">
        <v>47</v>
      </c>
      <c r="C730" s="1167"/>
      <c r="D730" s="11"/>
      <c r="E730" s="11"/>
      <c r="F730" s="11"/>
      <c r="G730" s="11"/>
      <c r="H730" s="11"/>
      <c r="I730" s="11"/>
      <c r="J730" s="11"/>
      <c r="K730" s="11"/>
    </row>
    <row r="731" ht="13.5" customHeight="1">
      <c r="A731" s="11"/>
      <c r="B731" s="11"/>
      <c r="C731" s="1167"/>
      <c r="D731" s="11"/>
      <c r="E731" s="11"/>
      <c r="F731" s="11"/>
      <c r="G731" s="11"/>
      <c r="H731" s="11"/>
      <c r="I731" s="11"/>
      <c r="J731" s="11"/>
      <c r="K731" s="11"/>
    </row>
    <row r="732" ht="13.5" customHeight="1">
      <c r="A732" s="11"/>
      <c r="B732" s="11"/>
      <c r="C732" s="1167"/>
      <c r="D732" s="11"/>
      <c r="E732" s="11"/>
      <c r="F732" s="11"/>
      <c r="G732" s="11"/>
      <c r="H732" s="11"/>
      <c r="I732" s="11"/>
      <c r="J732" s="11"/>
      <c r="K732" s="11"/>
    </row>
    <row r="733" ht="13.5" customHeight="1">
      <c r="A733" s="11"/>
      <c r="B733" s="11"/>
      <c r="C733" s="1167"/>
      <c r="D733" s="11"/>
      <c r="E733" s="11"/>
      <c r="F733" s="11"/>
      <c r="G733" s="11"/>
      <c r="H733" s="11"/>
      <c r="I733" s="11"/>
      <c r="J733" s="11"/>
      <c r="K733" s="11"/>
    </row>
    <row r="734" ht="13.5" customHeight="1">
      <c r="A734" s="11"/>
      <c r="B734" s="11"/>
      <c r="C734" s="1167"/>
      <c r="D734" s="11"/>
      <c r="E734" s="11"/>
      <c r="F734" s="11"/>
      <c r="G734" s="11"/>
      <c r="H734" s="11"/>
      <c r="I734" s="11"/>
      <c r="J734" s="11"/>
      <c r="K734" s="11"/>
    </row>
    <row r="735" ht="13.5" customHeight="1">
      <c r="A735" s="11"/>
      <c r="B735" s="11"/>
      <c r="C735" s="1167"/>
      <c r="D735" s="11"/>
      <c r="E735" s="11"/>
      <c r="F735" s="11"/>
      <c r="G735" s="11"/>
      <c r="H735" s="11"/>
      <c r="I735" s="11"/>
      <c r="J735" s="11"/>
      <c r="K735" s="11"/>
    </row>
    <row r="736" ht="13.5" customHeight="1">
      <c r="A736" s="11"/>
      <c r="B736" s="11"/>
      <c r="C736" s="1167"/>
      <c r="D736" s="11"/>
      <c r="E736" s="11"/>
      <c r="F736" s="11"/>
      <c r="G736" s="11"/>
      <c r="H736" s="11"/>
      <c r="I736" s="11"/>
      <c r="J736" s="11"/>
      <c r="K736" s="11"/>
    </row>
    <row r="737" ht="13.5" customHeight="1">
      <c r="A737" s="11"/>
      <c r="B737" s="11"/>
      <c r="C737" s="1167"/>
      <c r="D737" s="11"/>
      <c r="E737" s="11"/>
      <c r="F737" s="11"/>
      <c r="G737" s="11"/>
      <c r="H737" s="11"/>
      <c r="I737" s="11"/>
      <c r="J737" s="11"/>
      <c r="K737" s="11"/>
    </row>
    <row r="738" ht="13.5" customHeight="1">
      <c r="A738" s="11"/>
      <c r="B738" s="11"/>
      <c r="C738" s="1167"/>
      <c r="D738" s="11"/>
      <c r="E738" s="11"/>
      <c r="F738" s="11"/>
      <c r="G738" s="11"/>
      <c r="H738" s="11"/>
      <c r="I738" s="11"/>
      <c r="J738" s="11"/>
      <c r="K738" s="11"/>
    </row>
    <row r="739" ht="13.5" customHeight="1">
      <c r="A739" s="11"/>
      <c r="B739" s="11"/>
      <c r="C739" s="1167"/>
      <c r="D739" s="11"/>
      <c r="E739" s="11"/>
      <c r="F739" s="11"/>
      <c r="G739" s="11"/>
      <c r="H739" s="11"/>
      <c r="I739" s="11"/>
      <c r="J739" s="11"/>
      <c r="K739" s="11"/>
    </row>
    <row r="740" ht="13.5" customHeight="1">
      <c r="A740" s="11"/>
      <c r="B740" s="11"/>
      <c r="C740" s="1167"/>
      <c r="D740" s="11"/>
      <c r="E740" s="11"/>
      <c r="F740" s="11"/>
      <c r="G740" s="11"/>
      <c r="H740" s="11"/>
      <c r="I740" s="11"/>
      <c r="J740" s="11"/>
      <c r="K740" s="11"/>
    </row>
    <row r="741" ht="13.5" customHeight="1">
      <c r="A741" s="11"/>
      <c r="B741" s="11"/>
      <c r="C741" s="1167"/>
      <c r="D741" s="11"/>
      <c r="E741" s="11"/>
      <c r="F741" s="11"/>
      <c r="G741" s="11"/>
      <c r="H741" s="11"/>
      <c r="I741" s="11"/>
      <c r="J741" s="11"/>
      <c r="K741" s="11"/>
    </row>
    <row r="742" ht="13.5" customHeight="1">
      <c r="A742" s="11"/>
      <c r="B742" s="11"/>
      <c r="C742" s="1167"/>
      <c r="D742" s="11"/>
      <c r="E742" s="11"/>
      <c r="F742" s="11"/>
      <c r="G742" s="11"/>
      <c r="H742" s="11"/>
      <c r="I742" s="11"/>
      <c r="J742" s="11"/>
      <c r="K742" s="11"/>
    </row>
    <row r="743" ht="13.5" customHeight="1">
      <c r="A743" s="11"/>
      <c r="B743" s="11"/>
      <c r="C743" s="1167"/>
      <c r="D743" s="11"/>
      <c r="E743" s="11"/>
      <c r="F743" s="11"/>
      <c r="G743" s="11"/>
      <c r="H743" s="11"/>
      <c r="I743" s="11"/>
      <c r="J743" s="11"/>
      <c r="K743" s="11"/>
    </row>
    <row r="744" ht="13.5" customHeight="1">
      <c r="A744" s="11"/>
      <c r="B744" s="11"/>
      <c r="C744" s="1167"/>
      <c r="D744" s="11"/>
      <c r="E744" s="11"/>
      <c r="F744" s="11"/>
      <c r="G744" s="11"/>
      <c r="H744" s="11"/>
      <c r="I744" s="11"/>
      <c r="J744" s="11"/>
      <c r="K744" s="11"/>
    </row>
    <row r="745" ht="13.5" customHeight="1">
      <c r="A745" s="11"/>
      <c r="B745" s="11"/>
      <c r="C745" s="1167"/>
      <c r="D745" s="11"/>
      <c r="E745" s="11"/>
      <c r="F745" s="11"/>
      <c r="G745" s="11"/>
      <c r="H745" s="11"/>
      <c r="I745" s="11"/>
      <c r="J745" s="11"/>
      <c r="K745" s="11"/>
    </row>
    <row r="746" ht="13.5" customHeight="1">
      <c r="A746" s="11"/>
      <c r="B746" s="11"/>
      <c r="C746" s="1167"/>
      <c r="D746" s="11"/>
      <c r="E746" s="11"/>
      <c r="F746" s="11"/>
      <c r="G746" s="11"/>
      <c r="H746" s="11"/>
      <c r="I746" s="11"/>
      <c r="J746" s="11"/>
      <c r="K746" s="11"/>
    </row>
    <row r="747" ht="13.5" customHeight="1">
      <c r="A747" s="11"/>
      <c r="B747" s="11"/>
      <c r="C747" s="1167"/>
      <c r="D747" s="11"/>
      <c r="E747" s="11"/>
      <c r="F747" s="11"/>
      <c r="G747" s="11"/>
      <c r="H747" s="11"/>
      <c r="I747" s="11"/>
      <c r="J747" s="11"/>
      <c r="K747" s="11"/>
    </row>
    <row r="748" ht="13.5" customHeight="1">
      <c r="A748" s="11"/>
      <c r="B748" s="11"/>
      <c r="C748" s="1167"/>
      <c r="D748" s="11"/>
      <c r="E748" s="11"/>
      <c r="F748" s="11"/>
      <c r="G748" s="11"/>
      <c r="H748" s="11"/>
      <c r="I748" s="11"/>
      <c r="J748" s="11"/>
      <c r="K748" s="11"/>
    </row>
    <row r="749" ht="13.5" customHeight="1">
      <c r="A749" s="11"/>
      <c r="B749" s="11"/>
      <c r="C749" s="1167"/>
      <c r="D749" s="11"/>
      <c r="E749" s="11"/>
      <c r="F749" s="11"/>
      <c r="G749" s="11"/>
      <c r="H749" s="11"/>
      <c r="I749" s="11"/>
      <c r="J749" s="11"/>
      <c r="K749" s="11"/>
    </row>
    <row r="750" ht="13.5" customHeight="1">
      <c r="A750" s="11"/>
      <c r="B750" s="11"/>
      <c r="C750" s="1167"/>
      <c r="D750" s="11"/>
      <c r="E750" s="11"/>
      <c r="F750" s="11"/>
      <c r="G750" s="11"/>
      <c r="H750" s="11"/>
      <c r="I750" s="11"/>
      <c r="J750" s="11"/>
      <c r="K750" s="11"/>
    </row>
    <row r="751" ht="13.5" customHeight="1">
      <c r="A751" s="11"/>
      <c r="B751" s="11"/>
      <c r="C751" s="1167"/>
      <c r="D751" s="11"/>
      <c r="E751" s="11"/>
      <c r="F751" s="11"/>
      <c r="G751" s="11"/>
      <c r="H751" s="11"/>
      <c r="I751" s="11"/>
      <c r="J751" s="11"/>
      <c r="K751" s="11"/>
    </row>
    <row r="752" ht="13.5" customHeight="1">
      <c r="A752" s="11"/>
      <c r="B752" s="11"/>
      <c r="C752" s="1167"/>
      <c r="D752" s="11"/>
      <c r="E752" s="11"/>
      <c r="F752" s="11"/>
      <c r="G752" s="11"/>
      <c r="H752" s="11"/>
      <c r="I752" s="11"/>
      <c r="J752" s="11"/>
      <c r="K752" s="11"/>
    </row>
    <row r="753" ht="13.5" customHeight="1">
      <c r="A753" s="11"/>
      <c r="B753" s="11"/>
      <c r="C753" s="1167"/>
      <c r="D753" s="11"/>
      <c r="E753" s="11"/>
      <c r="F753" s="11"/>
      <c r="G753" s="11"/>
      <c r="H753" s="11"/>
      <c r="I753" s="11"/>
      <c r="J753" s="11"/>
      <c r="K753" s="11"/>
    </row>
    <row r="754" ht="13.5" customHeight="1">
      <c r="A754" s="11"/>
      <c r="B754" s="11"/>
      <c r="C754" s="1167"/>
      <c r="D754" s="11"/>
      <c r="E754" s="11"/>
      <c r="F754" s="11"/>
      <c r="G754" s="11"/>
      <c r="H754" s="11"/>
      <c r="I754" s="11"/>
      <c r="J754" s="11"/>
      <c r="K754" s="11"/>
    </row>
    <row r="755" ht="13.5" customHeight="1">
      <c r="A755" s="11"/>
      <c r="B755" s="11"/>
      <c r="C755" s="1167"/>
      <c r="D755" s="11"/>
      <c r="E755" s="11"/>
      <c r="F755" s="11"/>
      <c r="G755" s="11"/>
      <c r="H755" s="11"/>
      <c r="I755" s="11"/>
      <c r="J755" s="11"/>
      <c r="K755" s="11"/>
    </row>
    <row r="756" ht="13.5" customHeight="1">
      <c r="A756" s="11"/>
      <c r="B756" s="11"/>
      <c r="C756" s="1167"/>
      <c r="D756" s="11"/>
      <c r="E756" s="11"/>
      <c r="F756" s="11"/>
      <c r="G756" s="11"/>
      <c r="H756" s="11"/>
      <c r="I756" s="11"/>
      <c r="J756" s="11"/>
      <c r="K756" s="11"/>
    </row>
    <row r="757" ht="13.5" customHeight="1">
      <c r="A757" s="11"/>
      <c r="B757" s="11"/>
      <c r="C757" s="1167"/>
      <c r="D757" s="11"/>
      <c r="E757" s="11"/>
      <c r="F757" s="11"/>
      <c r="G757" s="11"/>
      <c r="H757" s="11"/>
      <c r="I757" s="11"/>
      <c r="J757" s="11"/>
      <c r="K757" s="11"/>
    </row>
    <row r="758" ht="13.5" customHeight="1">
      <c r="A758" s="11"/>
      <c r="B758" s="11"/>
      <c r="C758" s="1167"/>
      <c r="D758" s="11"/>
      <c r="E758" s="11"/>
      <c r="F758" s="11"/>
      <c r="G758" s="11"/>
      <c r="H758" s="11"/>
      <c r="I758" s="11"/>
      <c r="J758" s="11"/>
      <c r="K758" s="11"/>
    </row>
    <row r="759" ht="13.5" customHeight="1">
      <c r="A759" s="11"/>
      <c r="B759" s="11"/>
      <c r="C759" s="1167"/>
      <c r="D759" s="11"/>
      <c r="E759" s="11"/>
      <c r="F759" s="11"/>
      <c r="G759" s="11"/>
      <c r="H759" s="11"/>
      <c r="I759" s="11"/>
      <c r="J759" s="11"/>
      <c r="K759" s="11"/>
    </row>
    <row r="760" ht="13.5" customHeight="1">
      <c r="A760" s="11"/>
      <c r="B760" s="11"/>
      <c r="C760" s="1167"/>
      <c r="D760" s="11"/>
      <c r="E760" s="11"/>
      <c r="F760" s="11"/>
      <c r="G760" s="11"/>
      <c r="H760" s="11"/>
      <c r="I760" s="11"/>
      <c r="J760" s="11"/>
      <c r="K760" s="11"/>
    </row>
    <row r="761" ht="13.5" customHeight="1">
      <c r="A761" s="11"/>
      <c r="B761" s="11"/>
      <c r="C761" s="1167"/>
      <c r="D761" s="11"/>
      <c r="E761" s="11"/>
      <c r="F761" s="11"/>
      <c r="G761" s="11"/>
      <c r="H761" s="11"/>
      <c r="I761" s="11"/>
      <c r="J761" s="11"/>
      <c r="K761" s="11"/>
    </row>
    <row r="762" ht="13.5" customHeight="1">
      <c r="A762" s="11"/>
      <c r="B762" s="11"/>
      <c r="C762" s="1167"/>
      <c r="D762" s="11"/>
      <c r="E762" s="11"/>
      <c r="F762" s="11"/>
      <c r="G762" s="11"/>
      <c r="H762" s="11"/>
      <c r="I762" s="11"/>
      <c r="J762" s="11"/>
      <c r="K762" s="11"/>
    </row>
    <row r="763" ht="13.5" customHeight="1">
      <c r="A763" s="11"/>
      <c r="B763" s="11"/>
      <c r="C763" s="1167"/>
      <c r="D763" s="11"/>
      <c r="E763" s="11"/>
      <c r="F763" s="11"/>
      <c r="G763" s="11"/>
      <c r="H763" s="11"/>
      <c r="I763" s="11"/>
      <c r="J763" s="11"/>
      <c r="K763" s="11"/>
    </row>
    <row r="764" ht="15.75" customHeight="1">
      <c r="A764" s="11"/>
      <c r="B764" s="11"/>
      <c r="C764" s="1167"/>
      <c r="D764" s="11"/>
      <c r="E764" s="11"/>
      <c r="F764" s="11"/>
      <c r="G764" s="11"/>
      <c r="H764" s="11"/>
      <c r="I764" s="11"/>
      <c r="J764" s="11"/>
      <c r="K764" s="11"/>
    </row>
    <row r="765" ht="13.5" customHeight="1">
      <c r="A765" s="11"/>
      <c r="B765" s="11"/>
      <c r="C765" s="1167"/>
      <c r="D765" s="11"/>
      <c r="E765" s="11"/>
      <c r="F765" s="11"/>
      <c r="G765" s="11"/>
      <c r="H765" s="11"/>
      <c r="I765" s="11"/>
      <c r="J765" s="11"/>
      <c r="K765" s="11"/>
    </row>
    <row r="766" ht="13.5" customHeight="1">
      <c r="A766" s="11"/>
      <c r="B766" s="11"/>
      <c r="C766" s="1167"/>
      <c r="D766" s="11"/>
      <c r="E766" s="11"/>
      <c r="F766" s="11"/>
      <c r="G766" s="11"/>
      <c r="H766" s="11"/>
      <c r="I766" s="11"/>
      <c r="J766" s="11"/>
      <c r="K766" s="11"/>
    </row>
    <row r="767" ht="13.5" customHeight="1">
      <c r="A767" s="11"/>
      <c r="B767" s="11"/>
      <c r="C767" s="1167"/>
      <c r="D767" s="11"/>
      <c r="E767" s="11"/>
      <c r="F767" s="11"/>
      <c r="G767" s="11"/>
      <c r="H767" s="11"/>
      <c r="I767" s="11"/>
      <c r="J767" s="11"/>
      <c r="K767" s="11"/>
    </row>
    <row r="768" ht="13.5" customHeight="1">
      <c r="A768" s="11"/>
      <c r="B768" s="11"/>
      <c r="C768" s="1167"/>
      <c r="D768" s="11"/>
      <c r="E768" s="11"/>
      <c r="F768" s="11"/>
      <c r="G768" s="11"/>
      <c r="H768" s="11"/>
      <c r="I768" s="11"/>
      <c r="J768" s="11"/>
      <c r="K768" s="11"/>
    </row>
    <row r="769" ht="13.5" customHeight="1">
      <c r="A769" s="11"/>
      <c r="B769" s="11"/>
      <c r="C769" s="1167"/>
      <c r="D769" s="11"/>
      <c r="E769" s="11"/>
      <c r="F769" s="11"/>
      <c r="G769" s="11"/>
      <c r="H769" s="11"/>
      <c r="I769" s="11"/>
      <c r="J769" s="11"/>
      <c r="K769" s="11"/>
    </row>
    <row r="770" ht="13.5" customHeight="1">
      <c r="A770" s="11"/>
      <c r="B770" s="11"/>
      <c r="C770" s="1167"/>
      <c r="D770" s="11"/>
      <c r="E770" s="11"/>
      <c r="F770" s="11"/>
      <c r="G770" s="11"/>
      <c r="H770" s="11"/>
      <c r="I770" s="11"/>
      <c r="J770" s="11"/>
      <c r="K770" s="11"/>
    </row>
    <row r="771" ht="13.5" customHeight="1">
      <c r="A771" s="11"/>
      <c r="B771" s="11"/>
      <c r="C771" s="1167"/>
      <c r="D771" s="11"/>
      <c r="E771" s="11"/>
      <c r="F771" s="11"/>
      <c r="G771" s="11"/>
      <c r="H771" s="11"/>
      <c r="I771" s="11"/>
      <c r="J771" s="11"/>
      <c r="K771" s="11"/>
    </row>
    <row r="772" ht="13.5" customHeight="1">
      <c r="A772" s="11"/>
      <c r="B772" s="11"/>
      <c r="C772" s="1167"/>
      <c r="D772" s="11"/>
      <c r="E772" s="11"/>
      <c r="F772" s="11"/>
      <c r="G772" s="11"/>
      <c r="H772" s="11"/>
      <c r="I772" s="11"/>
      <c r="J772" s="11"/>
      <c r="K772" s="11"/>
    </row>
    <row r="773" ht="13.5" customHeight="1">
      <c r="A773" s="11"/>
      <c r="B773" s="11"/>
      <c r="C773" s="1167"/>
      <c r="D773" s="11"/>
      <c r="E773" s="11"/>
      <c r="F773" s="11"/>
      <c r="G773" s="11"/>
      <c r="H773" s="11"/>
      <c r="I773" s="11"/>
      <c r="J773" s="11"/>
      <c r="K773" s="11"/>
    </row>
    <row r="774" ht="13.5" customHeight="1">
      <c r="A774" s="11"/>
      <c r="B774" s="11"/>
      <c r="C774" s="1167"/>
      <c r="D774" s="11"/>
      <c r="E774" s="11"/>
      <c r="F774" s="11"/>
      <c r="G774" s="11"/>
      <c r="H774" s="11"/>
      <c r="I774" s="11"/>
      <c r="J774" s="11"/>
      <c r="K774" s="11"/>
    </row>
    <row r="775" ht="13.5" customHeight="1">
      <c r="A775" s="11"/>
      <c r="B775" s="11"/>
      <c r="C775" s="1167"/>
      <c r="D775" s="11"/>
      <c r="E775" s="11"/>
      <c r="F775" s="11"/>
      <c r="G775" s="11"/>
      <c r="H775" s="11"/>
      <c r="I775" s="11"/>
      <c r="J775" s="11"/>
      <c r="K775" s="11"/>
    </row>
    <row r="776" ht="13.5" customHeight="1">
      <c r="A776" s="11"/>
      <c r="B776" s="11"/>
      <c r="C776" s="1167"/>
      <c r="D776" s="11"/>
      <c r="E776" s="11"/>
      <c r="F776" s="11"/>
      <c r="G776" s="11"/>
      <c r="H776" s="11"/>
      <c r="I776" s="11"/>
      <c r="J776" s="11"/>
      <c r="K776" s="11"/>
    </row>
    <row r="777" ht="13.5" customHeight="1">
      <c r="A777" s="11"/>
      <c r="B777" s="11"/>
      <c r="C777" s="1167"/>
      <c r="D777" s="11"/>
      <c r="E777" s="11"/>
      <c r="F777" s="11"/>
      <c r="G777" s="11"/>
      <c r="H777" s="11"/>
      <c r="I777" s="11"/>
      <c r="J777" s="11"/>
      <c r="K777" s="11"/>
    </row>
    <row r="778" ht="13.5" customHeight="1">
      <c r="A778" s="11"/>
      <c r="B778" s="11"/>
      <c r="C778" s="1167"/>
      <c r="D778" s="11"/>
      <c r="E778" s="11"/>
      <c r="F778" s="11"/>
      <c r="G778" s="11"/>
      <c r="H778" s="11"/>
      <c r="I778" s="11"/>
      <c r="J778" s="11"/>
      <c r="K778" s="11"/>
    </row>
    <row r="779" ht="13.5" customHeight="1">
      <c r="A779" s="11"/>
      <c r="B779" s="11"/>
      <c r="C779" s="1167"/>
      <c r="D779" s="11"/>
      <c r="E779" s="11"/>
      <c r="F779" s="11"/>
      <c r="G779" s="11"/>
      <c r="H779" s="11"/>
      <c r="I779" s="11"/>
      <c r="J779" s="11"/>
      <c r="K779" s="11"/>
    </row>
    <row r="780" ht="13.5" customHeight="1">
      <c r="A780" s="11"/>
      <c r="B780" s="11"/>
      <c r="C780" s="1167"/>
      <c r="D780" s="11"/>
      <c r="E780" s="11"/>
      <c r="F780" s="11"/>
      <c r="G780" s="11"/>
      <c r="H780" s="11"/>
      <c r="I780" s="11"/>
      <c r="J780" s="11"/>
      <c r="K780" s="11"/>
    </row>
    <row r="781" ht="13.5" customHeight="1">
      <c r="A781" s="11"/>
      <c r="B781" s="11"/>
      <c r="C781" s="1167"/>
      <c r="D781" s="11"/>
      <c r="E781" s="11"/>
      <c r="F781" s="11"/>
      <c r="G781" s="11"/>
      <c r="H781" s="11"/>
      <c r="I781" s="11"/>
      <c r="J781" s="11"/>
      <c r="K781" s="11"/>
    </row>
    <row r="782" ht="13.5" customHeight="1">
      <c r="A782" s="11"/>
      <c r="B782" s="11"/>
      <c r="C782" s="1167"/>
      <c r="D782" s="11"/>
      <c r="E782" s="11"/>
      <c r="F782" s="11"/>
      <c r="G782" s="11"/>
      <c r="H782" s="11"/>
      <c r="I782" s="11"/>
      <c r="J782" s="11"/>
      <c r="K782" s="11"/>
    </row>
    <row r="783" ht="13.5" customHeight="1">
      <c r="A783" s="11"/>
      <c r="B783" s="11"/>
      <c r="C783" s="1167"/>
      <c r="D783" s="11"/>
      <c r="E783" s="11"/>
      <c r="F783" s="11"/>
      <c r="G783" s="11"/>
      <c r="H783" s="11"/>
      <c r="I783" s="11"/>
      <c r="J783" s="11"/>
      <c r="K783" s="11"/>
    </row>
    <row r="784" ht="13.5" customHeight="1">
      <c r="A784" s="11"/>
      <c r="B784" s="11"/>
      <c r="C784" s="1167"/>
      <c r="D784" s="11"/>
      <c r="E784" s="11"/>
      <c r="F784" s="11"/>
      <c r="G784" s="11"/>
      <c r="H784" s="11"/>
      <c r="I784" s="11"/>
      <c r="J784" s="11"/>
      <c r="K784" s="11"/>
    </row>
    <row r="785" ht="13.5" customHeight="1">
      <c r="A785" s="11"/>
      <c r="B785" s="11"/>
      <c r="C785" s="1167"/>
      <c r="D785" s="11"/>
      <c r="E785" s="11"/>
      <c r="F785" s="11"/>
      <c r="G785" s="11"/>
      <c r="H785" s="11"/>
      <c r="I785" s="11"/>
      <c r="J785" s="11"/>
      <c r="K785" s="11"/>
    </row>
    <row r="786" ht="13.5" customHeight="1">
      <c r="A786" s="11"/>
      <c r="B786" s="11"/>
      <c r="C786" s="1167"/>
      <c r="D786" s="11"/>
      <c r="E786" s="11"/>
      <c r="F786" s="11"/>
      <c r="G786" s="11"/>
      <c r="H786" s="11"/>
      <c r="I786" s="11"/>
      <c r="J786" s="11"/>
      <c r="K786" s="11"/>
    </row>
    <row r="787" ht="13.5" customHeight="1">
      <c r="A787" s="11"/>
      <c r="B787" s="11"/>
      <c r="C787" s="1167"/>
      <c r="D787" s="11"/>
      <c r="E787" s="11"/>
      <c r="F787" s="11"/>
      <c r="G787" s="11"/>
      <c r="H787" s="11"/>
      <c r="I787" s="11"/>
      <c r="J787" s="11"/>
      <c r="K787" s="11"/>
    </row>
    <row r="788" ht="13.5" customHeight="1">
      <c r="A788" s="11"/>
      <c r="B788" s="11"/>
      <c r="C788" s="1167"/>
      <c r="D788" s="11"/>
      <c r="E788" s="11"/>
      <c r="F788" s="11"/>
      <c r="G788" s="11"/>
      <c r="H788" s="11"/>
      <c r="I788" s="11"/>
      <c r="J788" s="11"/>
      <c r="K788" s="11"/>
    </row>
    <row r="789" ht="13.5" customHeight="1">
      <c r="A789" s="11"/>
      <c r="B789" s="11"/>
      <c r="C789" s="1167"/>
      <c r="D789" s="11"/>
      <c r="E789" s="11"/>
      <c r="F789" s="11"/>
      <c r="G789" s="11"/>
      <c r="H789" s="11"/>
      <c r="I789" s="11"/>
      <c r="J789" s="11"/>
      <c r="K789" s="11"/>
    </row>
    <row r="790" ht="13.5" customHeight="1">
      <c r="A790" s="11"/>
      <c r="B790" s="11"/>
      <c r="C790" s="1167"/>
      <c r="D790" s="11"/>
      <c r="E790" s="11"/>
      <c r="F790" s="11"/>
      <c r="G790" s="11"/>
      <c r="H790" s="11"/>
      <c r="I790" s="11"/>
      <c r="J790" s="11"/>
      <c r="K790" s="11"/>
    </row>
    <row r="791" ht="13.5" customHeight="1">
      <c r="A791" s="11"/>
      <c r="B791" s="11"/>
      <c r="C791" s="1167"/>
      <c r="D791" s="11"/>
      <c r="E791" s="11"/>
      <c r="F791" s="11"/>
      <c r="G791" s="11"/>
      <c r="H791" s="11"/>
      <c r="I791" s="11"/>
      <c r="J791" s="11"/>
      <c r="K791" s="11"/>
    </row>
    <row r="792" ht="13.5" customHeight="1">
      <c r="A792" s="11"/>
      <c r="B792" s="11"/>
      <c r="C792" s="1167"/>
      <c r="D792" s="11"/>
      <c r="E792" s="11"/>
      <c r="F792" s="11"/>
      <c r="G792" s="11"/>
      <c r="H792" s="11"/>
      <c r="I792" s="11"/>
      <c r="J792" s="11"/>
      <c r="K792" s="11"/>
    </row>
    <row r="793" ht="13.5" customHeight="1">
      <c r="A793" s="11"/>
      <c r="B793" s="11"/>
      <c r="C793" s="1167"/>
      <c r="D793" s="11"/>
      <c r="E793" s="11"/>
      <c r="F793" s="11"/>
      <c r="G793" s="11"/>
      <c r="H793" s="11"/>
      <c r="I793" s="11"/>
      <c r="J793" s="11"/>
      <c r="K793" s="11"/>
    </row>
    <row r="794" ht="13.5" customHeight="1">
      <c r="A794" s="11"/>
      <c r="B794" s="11"/>
      <c r="C794" s="1167"/>
      <c r="D794" s="11"/>
      <c r="E794" s="11"/>
      <c r="F794" s="11"/>
      <c r="G794" s="11"/>
      <c r="H794" s="11"/>
      <c r="I794" s="11"/>
      <c r="J794" s="11"/>
      <c r="K794" s="11"/>
    </row>
    <row r="795" ht="13.5" customHeight="1">
      <c r="A795" s="11"/>
      <c r="B795" s="11"/>
      <c r="C795" s="1167"/>
      <c r="D795" s="11"/>
      <c r="E795" s="11"/>
      <c r="F795" s="11"/>
      <c r="G795" s="11"/>
      <c r="H795" s="11"/>
      <c r="I795" s="11"/>
      <c r="J795" s="11"/>
      <c r="K795" s="11"/>
    </row>
    <row r="796" ht="13.5" customHeight="1">
      <c r="A796" s="11"/>
      <c r="B796" s="11"/>
      <c r="C796" s="1167"/>
      <c r="D796" s="11"/>
      <c r="E796" s="11"/>
      <c r="F796" s="11"/>
      <c r="G796" s="11"/>
      <c r="H796" s="11"/>
      <c r="I796" s="11"/>
      <c r="J796" s="11"/>
      <c r="K796" s="11"/>
    </row>
    <row r="797" ht="13.5" customHeight="1">
      <c r="A797" s="11"/>
      <c r="B797" s="11"/>
      <c r="C797" s="1167"/>
      <c r="D797" s="11"/>
      <c r="E797" s="11"/>
      <c r="F797" s="11"/>
      <c r="G797" s="11"/>
      <c r="H797" s="11"/>
      <c r="I797" s="11"/>
      <c r="J797" s="11"/>
      <c r="K797" s="11"/>
    </row>
    <row r="798" ht="13.5" customHeight="1">
      <c r="A798" s="11"/>
      <c r="B798" s="11"/>
      <c r="C798" s="1167"/>
      <c r="D798" s="11"/>
      <c r="E798" s="11"/>
      <c r="F798" s="11"/>
      <c r="G798" s="11"/>
      <c r="H798" s="11"/>
      <c r="I798" s="11"/>
      <c r="J798" s="11"/>
      <c r="K798" s="11"/>
    </row>
    <row r="799" ht="13.5" customHeight="1">
      <c r="A799" s="11"/>
      <c r="B799" s="11"/>
      <c r="C799" s="1167"/>
      <c r="D799" s="11"/>
      <c r="E799" s="11"/>
      <c r="F799" s="11"/>
      <c r="G799" s="11"/>
      <c r="H799" s="11"/>
      <c r="I799" s="11"/>
      <c r="J799" s="11"/>
      <c r="K799" s="11"/>
    </row>
    <row r="800" ht="13.5" customHeight="1">
      <c r="A800" s="11"/>
      <c r="B800" s="11"/>
      <c r="C800" s="1167"/>
      <c r="D800" s="11"/>
      <c r="E800" s="11"/>
      <c r="F800" s="11"/>
      <c r="G800" s="11"/>
      <c r="H800" s="11"/>
      <c r="I800" s="11"/>
      <c r="J800" s="11"/>
      <c r="K800" s="11"/>
    </row>
    <row r="801" ht="13.5" customHeight="1">
      <c r="A801" s="11"/>
      <c r="B801" s="11"/>
      <c r="C801" s="1167"/>
      <c r="D801" s="11"/>
      <c r="E801" s="11"/>
      <c r="F801" s="11"/>
      <c r="G801" s="11"/>
      <c r="H801" s="11"/>
      <c r="I801" s="11"/>
      <c r="J801" s="11"/>
      <c r="K801" s="11"/>
    </row>
    <row r="802" ht="13.5" customHeight="1">
      <c r="A802" s="11"/>
      <c r="B802" s="11"/>
      <c r="C802" s="1167"/>
      <c r="D802" s="11"/>
      <c r="E802" s="11"/>
      <c r="F802" s="11"/>
      <c r="G802" s="11"/>
      <c r="H802" s="11"/>
      <c r="I802" s="11"/>
      <c r="J802" s="11"/>
      <c r="K802" s="11"/>
    </row>
    <row r="803" ht="13.5" customHeight="1">
      <c r="A803" s="11"/>
      <c r="B803" s="11"/>
      <c r="C803" s="1167"/>
      <c r="D803" s="11"/>
      <c r="E803" s="11"/>
      <c r="F803" s="11"/>
      <c r="G803" s="11"/>
      <c r="H803" s="11"/>
      <c r="I803" s="11"/>
      <c r="J803" s="11"/>
      <c r="K803" s="11"/>
    </row>
    <row r="804" ht="13.5" customHeight="1">
      <c r="A804" s="11"/>
      <c r="B804" s="11"/>
      <c r="C804" s="1167"/>
      <c r="D804" s="11"/>
      <c r="E804" s="11"/>
      <c r="F804" s="11"/>
      <c r="G804" s="11"/>
      <c r="H804" s="11"/>
      <c r="I804" s="11"/>
      <c r="J804" s="11"/>
      <c r="K804" s="11"/>
    </row>
    <row r="805" ht="15.0" customHeight="1">
      <c r="A805" s="11"/>
      <c r="B805" s="11"/>
      <c r="C805" s="1167"/>
      <c r="D805" s="11"/>
      <c r="E805" s="11"/>
      <c r="F805" s="11"/>
      <c r="G805" s="11"/>
      <c r="H805" s="11"/>
      <c r="I805" s="11"/>
      <c r="J805" s="11"/>
      <c r="K805" s="11"/>
    </row>
    <row r="806" ht="13.5" customHeight="1">
      <c r="A806" s="11"/>
      <c r="B806" s="11"/>
      <c r="C806" s="1167"/>
      <c r="D806" s="11"/>
      <c r="E806" s="11"/>
      <c r="F806" s="11"/>
      <c r="G806" s="11"/>
      <c r="H806" s="11"/>
      <c r="I806" s="11"/>
      <c r="J806" s="11"/>
      <c r="K806" s="11"/>
    </row>
    <row r="807" ht="13.5" customHeight="1">
      <c r="A807" s="11"/>
      <c r="B807" s="11"/>
      <c r="C807" s="1167"/>
      <c r="D807" s="11"/>
      <c r="E807" s="11"/>
      <c r="F807" s="11"/>
      <c r="G807" s="11"/>
      <c r="H807" s="11"/>
      <c r="I807" s="11"/>
      <c r="J807" s="11"/>
      <c r="K807" s="11"/>
    </row>
    <row r="808" ht="13.5" customHeight="1">
      <c r="A808" s="11"/>
      <c r="B808" s="11"/>
      <c r="C808" s="1167"/>
      <c r="D808" s="11"/>
      <c r="E808" s="11"/>
      <c r="F808" s="11"/>
      <c r="G808" s="11"/>
      <c r="H808" s="11"/>
      <c r="I808" s="11"/>
      <c r="J808" s="11"/>
      <c r="K808" s="11"/>
    </row>
    <row r="809" ht="13.5" customHeight="1">
      <c r="A809" s="11"/>
      <c r="B809" s="11"/>
      <c r="C809" s="1167"/>
      <c r="D809" s="11"/>
      <c r="E809" s="11"/>
      <c r="F809" s="11"/>
      <c r="G809" s="11"/>
      <c r="H809" s="11"/>
      <c r="I809" s="11"/>
      <c r="J809" s="11"/>
      <c r="K809" s="11"/>
    </row>
    <row r="810" ht="13.5" customHeight="1">
      <c r="A810" s="11"/>
      <c r="B810" s="11"/>
      <c r="C810" s="1167"/>
      <c r="D810" s="11"/>
      <c r="E810" s="11"/>
      <c r="F810" s="11"/>
      <c r="G810" s="11"/>
      <c r="H810" s="11"/>
      <c r="I810" s="11"/>
      <c r="J810" s="11"/>
      <c r="K810" s="11"/>
    </row>
    <row r="811" ht="13.5" customHeight="1">
      <c r="A811" s="11"/>
      <c r="B811" s="11"/>
      <c r="C811" s="1167"/>
      <c r="D811" s="11"/>
      <c r="E811" s="11"/>
      <c r="F811" s="11"/>
      <c r="G811" s="11"/>
      <c r="H811" s="11"/>
      <c r="I811" s="11"/>
      <c r="J811" s="11"/>
      <c r="K811" s="11"/>
    </row>
    <row r="812" ht="15.0" customHeight="1">
      <c r="A812" s="11"/>
      <c r="B812" s="11"/>
      <c r="C812" s="1167"/>
      <c r="D812" s="11"/>
      <c r="E812" s="11"/>
      <c r="F812" s="11"/>
      <c r="G812" s="11"/>
      <c r="H812" s="11"/>
      <c r="I812" s="11"/>
      <c r="J812" s="11"/>
      <c r="K812" s="11"/>
    </row>
    <row r="813" ht="13.5" customHeight="1">
      <c r="A813" s="11"/>
      <c r="B813" s="11"/>
      <c r="C813" s="1167"/>
      <c r="D813" s="11"/>
      <c r="E813" s="11"/>
      <c r="F813" s="11"/>
      <c r="G813" s="11"/>
      <c r="H813" s="11"/>
      <c r="I813" s="11"/>
      <c r="J813" s="11"/>
      <c r="K813" s="11"/>
    </row>
    <row r="814" ht="13.5" customHeight="1">
      <c r="A814" s="11"/>
      <c r="B814" s="11"/>
      <c r="C814" s="1167"/>
      <c r="D814" s="11"/>
      <c r="E814" s="11"/>
      <c r="F814" s="11"/>
      <c r="G814" s="11"/>
      <c r="H814" s="11"/>
      <c r="I814" s="11"/>
      <c r="J814" s="11"/>
      <c r="K814" s="11"/>
    </row>
    <row r="815" ht="13.5" customHeight="1">
      <c r="A815" s="11"/>
      <c r="B815" s="11"/>
      <c r="C815" s="1167"/>
      <c r="D815" s="11"/>
      <c r="E815" s="11"/>
      <c r="F815" s="11"/>
      <c r="G815" s="11"/>
      <c r="H815" s="11"/>
      <c r="I815" s="11"/>
      <c r="J815" s="11"/>
      <c r="K815" s="11"/>
    </row>
    <row r="816" ht="16.5" customHeight="1">
      <c r="A816" s="11"/>
      <c r="B816" s="11"/>
      <c r="C816" s="1167"/>
      <c r="D816" s="11"/>
      <c r="E816" s="11"/>
      <c r="F816" s="11"/>
      <c r="G816" s="11"/>
      <c r="H816" s="11"/>
      <c r="I816" s="11"/>
      <c r="J816" s="11"/>
      <c r="K816" s="11"/>
    </row>
    <row r="817" ht="16.5" customHeight="1">
      <c r="A817" s="11"/>
      <c r="B817" s="11"/>
      <c r="C817" s="1167"/>
      <c r="D817" s="11"/>
      <c r="E817" s="11"/>
      <c r="F817" s="11"/>
      <c r="G817" s="11"/>
      <c r="H817" s="11"/>
      <c r="I817" s="11"/>
      <c r="J817" s="11"/>
      <c r="K817" s="11"/>
    </row>
    <row r="818" ht="13.5" customHeight="1">
      <c r="A818" s="11"/>
      <c r="B818" s="11"/>
      <c r="C818" s="1167"/>
      <c r="D818" s="11"/>
      <c r="E818" s="11"/>
      <c r="F818" s="11"/>
      <c r="G818" s="11"/>
      <c r="H818" s="11"/>
      <c r="I818" s="11"/>
      <c r="J818" s="11"/>
      <c r="K818" s="11"/>
    </row>
    <row r="819" ht="13.5" customHeight="1">
      <c r="A819" s="11"/>
      <c r="B819" s="11"/>
      <c r="C819" s="1167"/>
      <c r="D819" s="11"/>
      <c r="E819" s="11"/>
      <c r="F819" s="11"/>
      <c r="G819" s="11"/>
      <c r="H819" s="11"/>
      <c r="I819" s="11"/>
      <c r="J819" s="11"/>
      <c r="K819" s="11"/>
    </row>
    <row r="820" ht="13.5" customHeight="1">
      <c r="A820" s="11"/>
      <c r="B820" s="11"/>
      <c r="C820" s="1167"/>
      <c r="D820" s="11"/>
      <c r="E820" s="11"/>
      <c r="F820" s="11"/>
      <c r="G820" s="11"/>
      <c r="H820" s="11"/>
      <c r="I820" s="11"/>
      <c r="J820" s="11"/>
      <c r="K820" s="11"/>
    </row>
    <row r="821" ht="13.5" customHeight="1">
      <c r="A821" s="11"/>
      <c r="B821" s="11"/>
      <c r="C821" s="1167"/>
      <c r="D821" s="11"/>
      <c r="E821" s="11"/>
      <c r="F821" s="11"/>
      <c r="G821" s="11"/>
      <c r="H821" s="11"/>
      <c r="I821" s="11"/>
      <c r="J821" s="11"/>
      <c r="K821" s="11"/>
    </row>
    <row r="822" ht="13.5" customHeight="1">
      <c r="A822" s="11"/>
      <c r="B822" s="11"/>
      <c r="C822" s="1167"/>
      <c r="D822" s="11"/>
      <c r="E822" s="11"/>
      <c r="F822" s="11"/>
      <c r="G822" s="11"/>
      <c r="H822" s="11"/>
      <c r="I822" s="11"/>
      <c r="J822" s="11"/>
      <c r="K822" s="11"/>
    </row>
    <row r="823" ht="13.5" customHeight="1">
      <c r="A823" s="11"/>
      <c r="B823" s="11"/>
      <c r="C823" s="1167"/>
      <c r="D823" s="11"/>
      <c r="E823" s="11"/>
      <c r="F823" s="11"/>
      <c r="G823" s="11"/>
      <c r="H823" s="11"/>
      <c r="I823" s="11"/>
      <c r="J823" s="11"/>
      <c r="K823" s="11"/>
    </row>
    <row r="824" ht="13.5" customHeight="1">
      <c r="A824" s="11"/>
      <c r="B824" s="11"/>
      <c r="C824" s="1167"/>
      <c r="D824" s="11"/>
      <c r="E824" s="11"/>
      <c r="F824" s="11"/>
      <c r="G824" s="11"/>
      <c r="H824" s="11"/>
      <c r="I824" s="11"/>
      <c r="J824" s="11"/>
      <c r="K824" s="11"/>
    </row>
    <row r="825" ht="13.5" customHeight="1">
      <c r="A825" s="11"/>
      <c r="B825" s="11"/>
      <c r="C825" s="1167"/>
      <c r="D825" s="11"/>
      <c r="E825" s="11"/>
      <c r="F825" s="11"/>
      <c r="G825" s="11"/>
      <c r="H825" s="11"/>
      <c r="I825" s="11"/>
      <c r="J825" s="11"/>
      <c r="K825" s="11"/>
    </row>
    <row r="826" ht="13.5" customHeight="1">
      <c r="A826" s="11"/>
      <c r="B826" s="11"/>
      <c r="C826" s="1167"/>
      <c r="D826" s="11"/>
      <c r="E826" s="11"/>
      <c r="F826" s="11"/>
      <c r="G826" s="11"/>
      <c r="H826" s="11"/>
      <c r="I826" s="11"/>
      <c r="J826" s="11"/>
      <c r="K826" s="11"/>
    </row>
    <row r="827" ht="13.5" customHeight="1">
      <c r="A827" s="11"/>
      <c r="B827" s="11"/>
      <c r="C827" s="1167"/>
      <c r="D827" s="11"/>
      <c r="E827" s="11"/>
      <c r="F827" s="11"/>
      <c r="G827" s="11"/>
      <c r="H827" s="11"/>
      <c r="I827" s="11"/>
      <c r="J827" s="11"/>
      <c r="K827" s="11"/>
    </row>
    <row r="828" ht="13.5" customHeight="1">
      <c r="A828" s="11"/>
      <c r="B828" s="11"/>
      <c r="C828" s="1167"/>
      <c r="D828" s="11"/>
      <c r="E828" s="11"/>
      <c r="F828" s="11"/>
      <c r="G828" s="11"/>
      <c r="H828" s="11"/>
      <c r="I828" s="11"/>
      <c r="J828" s="11"/>
      <c r="K828" s="11"/>
    </row>
    <row r="829" ht="13.5" customHeight="1">
      <c r="A829" s="11"/>
      <c r="B829" s="11"/>
      <c r="C829" s="1167"/>
      <c r="D829" s="11"/>
      <c r="E829" s="11"/>
      <c r="F829" s="11"/>
      <c r="G829" s="11"/>
      <c r="H829" s="11"/>
      <c r="I829" s="11"/>
      <c r="J829" s="11"/>
      <c r="K829" s="11"/>
    </row>
    <row r="830" ht="13.5" customHeight="1">
      <c r="A830" s="11"/>
      <c r="B830" s="11"/>
      <c r="C830" s="1167"/>
      <c r="D830" s="11"/>
      <c r="E830" s="11"/>
      <c r="F830" s="11"/>
      <c r="G830" s="11"/>
      <c r="H830" s="11"/>
      <c r="I830" s="11"/>
      <c r="J830" s="11"/>
      <c r="K830" s="11"/>
    </row>
    <row r="831" ht="13.5" customHeight="1">
      <c r="A831" s="11"/>
      <c r="B831" s="11"/>
      <c r="C831" s="1167"/>
      <c r="D831" s="11"/>
      <c r="E831" s="11"/>
      <c r="F831" s="11"/>
      <c r="G831" s="11"/>
      <c r="H831" s="11"/>
      <c r="I831" s="11"/>
      <c r="J831" s="11"/>
      <c r="K831" s="11"/>
    </row>
    <row r="832" ht="13.5" customHeight="1">
      <c r="A832" s="11"/>
      <c r="B832" s="11"/>
      <c r="C832" s="1167"/>
      <c r="D832" s="11"/>
      <c r="E832" s="11"/>
      <c r="F832" s="11"/>
      <c r="G832" s="11"/>
      <c r="H832" s="11"/>
      <c r="I832" s="11"/>
      <c r="J832" s="11"/>
      <c r="K832" s="11"/>
    </row>
    <row r="833" ht="13.5" customHeight="1">
      <c r="A833" s="11"/>
      <c r="B833" s="11"/>
      <c r="C833" s="1167"/>
      <c r="D833" s="11"/>
      <c r="E833" s="11"/>
      <c r="F833" s="11"/>
      <c r="G833" s="11"/>
      <c r="H833" s="11"/>
      <c r="I833" s="11"/>
      <c r="J833" s="11"/>
      <c r="K833" s="11"/>
    </row>
    <row r="834" ht="13.5" customHeight="1">
      <c r="A834" s="11"/>
      <c r="B834" s="11"/>
      <c r="C834" s="1167"/>
      <c r="D834" s="11"/>
      <c r="E834" s="11"/>
      <c r="F834" s="11"/>
      <c r="G834" s="11"/>
      <c r="H834" s="11"/>
      <c r="I834" s="11"/>
      <c r="J834" s="11"/>
      <c r="K834" s="11"/>
    </row>
    <row r="835" ht="13.5" customHeight="1">
      <c r="A835" s="11"/>
      <c r="B835" s="11"/>
      <c r="C835" s="1167"/>
      <c r="D835" s="11"/>
      <c r="E835" s="11"/>
      <c r="F835" s="11"/>
      <c r="G835" s="11"/>
      <c r="H835" s="11"/>
      <c r="I835" s="11"/>
      <c r="J835" s="11"/>
      <c r="K835" s="11"/>
    </row>
    <row r="836" ht="13.5" customHeight="1">
      <c r="A836" s="11"/>
      <c r="B836" s="11"/>
      <c r="C836" s="1167"/>
      <c r="D836" s="11"/>
      <c r="E836" s="11"/>
      <c r="F836" s="11"/>
      <c r="G836" s="11"/>
      <c r="H836" s="11"/>
      <c r="I836" s="11"/>
      <c r="J836" s="11"/>
      <c r="K836" s="11"/>
    </row>
    <row r="837" ht="13.5" customHeight="1">
      <c r="A837" s="11"/>
      <c r="B837" s="11"/>
      <c r="C837" s="1167"/>
      <c r="D837" s="11"/>
      <c r="E837" s="11"/>
      <c r="F837" s="11"/>
      <c r="G837" s="11"/>
      <c r="H837" s="11"/>
      <c r="I837" s="11"/>
      <c r="J837" s="11"/>
      <c r="K837" s="11"/>
    </row>
    <row r="838" ht="13.5" customHeight="1">
      <c r="A838" s="11"/>
      <c r="B838" s="11"/>
      <c r="C838" s="1167"/>
      <c r="D838" s="11"/>
      <c r="E838" s="11"/>
      <c r="F838" s="11"/>
      <c r="G838" s="11"/>
      <c r="H838" s="11"/>
      <c r="I838" s="11"/>
      <c r="J838" s="11"/>
      <c r="K838" s="11"/>
    </row>
    <row r="839" ht="13.5" customHeight="1">
      <c r="A839" s="11"/>
      <c r="B839" s="11"/>
      <c r="C839" s="1167"/>
      <c r="D839" s="11"/>
      <c r="E839" s="11"/>
      <c r="F839" s="11"/>
      <c r="G839" s="11"/>
      <c r="H839" s="11"/>
      <c r="I839" s="11"/>
      <c r="J839" s="11"/>
      <c r="K839" s="11"/>
    </row>
    <row r="840" ht="13.5" customHeight="1">
      <c r="A840" s="11"/>
      <c r="B840" s="11"/>
      <c r="C840" s="1167"/>
      <c r="D840" s="11"/>
      <c r="E840" s="11"/>
      <c r="F840" s="11"/>
      <c r="G840" s="11"/>
      <c r="H840" s="11"/>
      <c r="I840" s="11"/>
      <c r="J840" s="11"/>
      <c r="K840" s="11"/>
    </row>
    <row r="841" ht="13.5" customHeight="1">
      <c r="A841" s="11"/>
      <c r="B841" s="11"/>
      <c r="C841" s="1167"/>
      <c r="D841" s="11"/>
      <c r="E841" s="11"/>
      <c r="F841" s="11"/>
      <c r="G841" s="11"/>
      <c r="H841" s="11"/>
      <c r="I841" s="11"/>
      <c r="J841" s="11"/>
      <c r="K841" s="11"/>
    </row>
    <row r="842" ht="13.5" customHeight="1">
      <c r="A842" s="11"/>
      <c r="B842" s="11"/>
      <c r="C842" s="1167"/>
      <c r="D842" s="11"/>
      <c r="E842" s="11"/>
      <c r="F842" s="11"/>
      <c r="G842" s="11"/>
      <c r="H842" s="11"/>
      <c r="I842" s="11"/>
      <c r="J842" s="11"/>
      <c r="K842" s="11"/>
    </row>
    <row r="843" ht="13.5" customHeight="1">
      <c r="A843" s="11"/>
      <c r="B843" s="11"/>
      <c r="C843" s="1167"/>
      <c r="D843" s="11"/>
      <c r="E843" s="11"/>
      <c r="F843" s="11"/>
      <c r="G843" s="11"/>
      <c r="H843" s="11"/>
      <c r="I843" s="11"/>
      <c r="J843" s="11"/>
      <c r="K843" s="11"/>
    </row>
    <row r="844" ht="13.5" customHeight="1">
      <c r="A844" s="11"/>
      <c r="B844" s="11"/>
      <c r="C844" s="1167"/>
      <c r="D844" s="11"/>
      <c r="E844" s="11"/>
      <c r="F844" s="11"/>
      <c r="G844" s="11"/>
      <c r="H844" s="11"/>
      <c r="I844" s="11"/>
      <c r="J844" s="11"/>
      <c r="K844" s="11"/>
    </row>
    <row r="845" ht="13.5" customHeight="1">
      <c r="A845" s="11"/>
      <c r="B845" s="11"/>
      <c r="C845" s="1167"/>
      <c r="D845" s="11"/>
      <c r="E845" s="11"/>
      <c r="F845" s="11"/>
      <c r="G845" s="11"/>
      <c r="H845" s="11"/>
      <c r="I845" s="11"/>
      <c r="J845" s="11"/>
      <c r="K845" s="11"/>
    </row>
    <row r="846" ht="13.5" customHeight="1">
      <c r="A846" s="11"/>
      <c r="B846" s="11"/>
      <c r="C846" s="1167"/>
      <c r="D846" s="11"/>
      <c r="E846" s="11"/>
      <c r="F846" s="11"/>
      <c r="G846" s="11"/>
      <c r="H846" s="11"/>
      <c r="I846" s="11"/>
      <c r="J846" s="11"/>
      <c r="K846" s="11"/>
    </row>
    <row r="847" ht="13.5" customHeight="1">
      <c r="A847" s="11"/>
      <c r="B847" s="11"/>
      <c r="C847" s="1167"/>
      <c r="D847" s="11"/>
      <c r="E847" s="11"/>
      <c r="F847" s="11"/>
      <c r="G847" s="11"/>
      <c r="H847" s="11"/>
      <c r="I847" s="11"/>
      <c r="J847" s="11"/>
      <c r="K847" s="11"/>
    </row>
    <row r="848" ht="13.5" customHeight="1">
      <c r="A848" s="11"/>
      <c r="B848" s="11"/>
      <c r="C848" s="1167"/>
      <c r="D848" s="11"/>
      <c r="E848" s="11"/>
      <c r="F848" s="11"/>
      <c r="G848" s="11"/>
      <c r="H848" s="11"/>
      <c r="I848" s="11"/>
      <c r="J848" s="11"/>
      <c r="K848" s="11"/>
    </row>
    <row r="849" ht="13.5" customHeight="1">
      <c r="A849" s="11"/>
      <c r="B849" s="11"/>
      <c r="C849" s="1167"/>
      <c r="D849" s="11"/>
      <c r="E849" s="11"/>
      <c r="F849" s="11"/>
      <c r="G849" s="11"/>
      <c r="H849" s="11"/>
      <c r="I849" s="11"/>
      <c r="J849" s="11"/>
      <c r="K849" s="11"/>
    </row>
    <row r="850" ht="13.5" customHeight="1">
      <c r="A850" s="11"/>
      <c r="B850" s="11"/>
      <c r="C850" s="1167"/>
      <c r="D850" s="11"/>
      <c r="E850" s="11"/>
      <c r="F850" s="11"/>
      <c r="G850" s="11"/>
      <c r="H850" s="11"/>
      <c r="I850" s="11"/>
      <c r="J850" s="11"/>
      <c r="K850" s="11"/>
    </row>
    <row r="851" ht="13.5" customHeight="1">
      <c r="A851" s="11"/>
      <c r="B851" s="11"/>
      <c r="C851" s="1167"/>
      <c r="D851" s="11"/>
      <c r="E851" s="11"/>
      <c r="F851" s="11"/>
      <c r="G851" s="11"/>
      <c r="H851" s="11"/>
      <c r="I851" s="11"/>
      <c r="J851" s="11"/>
      <c r="K851" s="11"/>
    </row>
    <row r="852" ht="13.5" customHeight="1">
      <c r="A852" s="11"/>
      <c r="B852" s="11"/>
      <c r="C852" s="1167"/>
      <c r="D852" s="11"/>
      <c r="E852" s="11"/>
      <c r="F852" s="11"/>
      <c r="G852" s="11"/>
      <c r="H852" s="11"/>
      <c r="I852" s="11"/>
      <c r="J852" s="11"/>
      <c r="K852" s="11"/>
    </row>
    <row r="853" ht="13.5" customHeight="1">
      <c r="A853" s="11"/>
      <c r="B853" s="11"/>
      <c r="C853" s="1167"/>
      <c r="D853" s="11"/>
      <c r="E853" s="11"/>
      <c r="F853" s="11"/>
      <c r="G853" s="11"/>
      <c r="H853" s="11"/>
      <c r="I853" s="11"/>
      <c r="J853" s="11"/>
      <c r="K853" s="11"/>
    </row>
    <row r="854" ht="15.0" customHeight="1">
      <c r="A854" s="11"/>
      <c r="B854" s="11"/>
      <c r="C854" s="1167"/>
      <c r="D854" s="11"/>
      <c r="E854" s="11"/>
      <c r="F854" s="11"/>
      <c r="G854" s="11"/>
      <c r="H854" s="11"/>
      <c r="I854" s="11"/>
      <c r="J854" s="11"/>
      <c r="K854" s="11"/>
    </row>
    <row r="855" ht="13.5" customHeight="1">
      <c r="A855" s="11"/>
      <c r="B855" s="11"/>
      <c r="C855" s="1167"/>
      <c r="D855" s="11"/>
      <c r="E855" s="11"/>
      <c r="F855" s="11"/>
      <c r="G855" s="11"/>
      <c r="H855" s="11"/>
      <c r="I855" s="11"/>
      <c r="J855" s="11"/>
      <c r="K855" s="11"/>
    </row>
    <row r="856" ht="13.5" customHeight="1">
      <c r="A856" s="11"/>
      <c r="B856" s="11"/>
      <c r="C856" s="1167"/>
      <c r="D856" s="11"/>
      <c r="E856" s="11"/>
      <c r="F856" s="11"/>
      <c r="G856" s="11"/>
      <c r="H856" s="11"/>
      <c r="I856" s="11"/>
      <c r="J856" s="11"/>
      <c r="K856" s="11"/>
    </row>
    <row r="857" ht="13.5" customHeight="1">
      <c r="A857" s="11"/>
      <c r="B857" s="11"/>
      <c r="C857" s="1167"/>
      <c r="D857" s="11"/>
      <c r="E857" s="11"/>
      <c r="F857" s="11"/>
      <c r="G857" s="11"/>
      <c r="H857" s="11"/>
      <c r="I857" s="11"/>
      <c r="J857" s="11"/>
      <c r="K857" s="11"/>
    </row>
    <row r="858" ht="13.5" customHeight="1">
      <c r="A858" s="11"/>
      <c r="B858" s="11"/>
      <c r="C858" s="1167"/>
      <c r="D858" s="11"/>
      <c r="E858" s="11"/>
      <c r="F858" s="11"/>
      <c r="G858" s="11"/>
      <c r="H858" s="11"/>
      <c r="I858" s="11"/>
      <c r="J858" s="11"/>
      <c r="K858" s="11"/>
    </row>
    <row r="859" ht="13.5" customHeight="1">
      <c r="A859" s="11"/>
      <c r="B859" s="11"/>
      <c r="C859" s="1167"/>
      <c r="D859" s="11"/>
      <c r="E859" s="11"/>
      <c r="F859" s="11"/>
      <c r="G859" s="11"/>
      <c r="H859" s="11"/>
      <c r="I859" s="11"/>
      <c r="J859" s="11"/>
      <c r="K859" s="11"/>
    </row>
    <row r="860" ht="13.5" customHeight="1">
      <c r="A860" s="11"/>
      <c r="B860" s="11"/>
      <c r="C860" s="1167"/>
      <c r="D860" s="11"/>
      <c r="E860" s="11"/>
      <c r="F860" s="11"/>
      <c r="G860" s="11"/>
      <c r="H860" s="11"/>
      <c r="I860" s="11"/>
      <c r="J860" s="11"/>
      <c r="K860" s="11"/>
    </row>
    <row r="861" ht="13.5" customHeight="1">
      <c r="A861" s="11"/>
      <c r="B861" s="11"/>
      <c r="C861" s="1167"/>
      <c r="D861" s="11"/>
      <c r="E861" s="11"/>
      <c r="F861" s="11"/>
      <c r="G861" s="11"/>
      <c r="H861" s="11"/>
      <c r="I861" s="11"/>
      <c r="J861" s="11"/>
      <c r="K861" s="11"/>
    </row>
    <row r="862" ht="13.5" customHeight="1">
      <c r="A862" s="11"/>
      <c r="B862" s="11"/>
      <c r="C862" s="1167"/>
      <c r="D862" s="11"/>
      <c r="E862" s="11"/>
      <c r="F862" s="11"/>
      <c r="G862" s="11"/>
      <c r="H862" s="11"/>
      <c r="I862" s="11"/>
      <c r="J862" s="11"/>
      <c r="K862" s="11"/>
    </row>
    <row r="863" ht="13.5" customHeight="1">
      <c r="A863" s="11"/>
      <c r="B863" s="11"/>
      <c r="C863" s="1167"/>
      <c r="D863" s="11"/>
      <c r="E863" s="11"/>
      <c r="F863" s="11"/>
      <c r="G863" s="11"/>
      <c r="H863" s="11"/>
      <c r="I863" s="11"/>
      <c r="J863" s="11"/>
      <c r="K863" s="11"/>
    </row>
    <row r="864" ht="13.5" customHeight="1">
      <c r="A864" s="11"/>
      <c r="B864" s="11"/>
      <c r="C864" s="1167"/>
      <c r="D864" s="11"/>
      <c r="E864" s="11"/>
      <c r="F864" s="11"/>
      <c r="G864" s="11"/>
      <c r="H864" s="11"/>
      <c r="I864" s="11"/>
      <c r="J864" s="11"/>
      <c r="K864" s="11"/>
    </row>
    <row r="865" ht="13.5" customHeight="1">
      <c r="A865" s="11"/>
      <c r="B865" s="11"/>
      <c r="C865" s="1167"/>
      <c r="D865" s="11"/>
      <c r="E865" s="11"/>
      <c r="F865" s="11"/>
      <c r="G865" s="11"/>
      <c r="H865" s="11"/>
      <c r="I865" s="11"/>
      <c r="J865" s="11"/>
      <c r="K865" s="11"/>
    </row>
    <row r="866" ht="13.5" customHeight="1">
      <c r="A866" s="11"/>
      <c r="B866" s="11"/>
      <c r="C866" s="1167"/>
      <c r="D866" s="11"/>
      <c r="E866" s="11"/>
      <c r="F866" s="11"/>
      <c r="G866" s="11"/>
      <c r="H866" s="11"/>
      <c r="I866" s="11"/>
      <c r="J866" s="11"/>
      <c r="K866" s="11"/>
    </row>
    <row r="867" ht="13.5" customHeight="1">
      <c r="A867" s="11"/>
      <c r="B867" s="11"/>
      <c r="C867" s="1167"/>
      <c r="D867" s="11"/>
      <c r="E867" s="11"/>
      <c r="F867" s="11"/>
      <c r="G867" s="11"/>
      <c r="H867" s="11"/>
      <c r="I867" s="11"/>
      <c r="J867" s="11"/>
      <c r="K867" s="11"/>
    </row>
    <row r="868" ht="13.5" customHeight="1">
      <c r="A868" s="11"/>
      <c r="B868" s="11"/>
      <c r="C868" s="1167"/>
      <c r="D868" s="11"/>
      <c r="E868" s="11"/>
      <c r="F868" s="11"/>
      <c r="G868" s="11"/>
      <c r="H868" s="11"/>
      <c r="I868" s="11"/>
      <c r="J868" s="11"/>
      <c r="K868" s="11"/>
    </row>
    <row r="869" ht="13.5" customHeight="1">
      <c r="A869" s="11"/>
      <c r="B869" s="11"/>
      <c r="C869" s="1167"/>
      <c r="D869" s="11"/>
      <c r="E869" s="11"/>
      <c r="F869" s="11"/>
      <c r="G869" s="11"/>
      <c r="H869" s="11"/>
      <c r="I869" s="11"/>
      <c r="J869" s="11"/>
      <c r="K869" s="11"/>
    </row>
    <row r="870" ht="13.5" customHeight="1">
      <c r="A870" s="11"/>
      <c r="B870" s="11"/>
      <c r="C870" s="1167"/>
      <c r="D870" s="11"/>
      <c r="E870" s="11"/>
      <c r="F870" s="11"/>
      <c r="G870" s="11"/>
      <c r="H870" s="11"/>
      <c r="I870" s="11"/>
      <c r="J870" s="11"/>
      <c r="K870" s="11"/>
    </row>
    <row r="871" ht="13.5" customHeight="1">
      <c r="A871" s="11"/>
      <c r="B871" s="11"/>
      <c r="C871" s="1167"/>
      <c r="D871" s="11"/>
      <c r="E871" s="11"/>
      <c r="F871" s="11"/>
      <c r="G871" s="11"/>
      <c r="H871" s="11"/>
      <c r="I871" s="11"/>
      <c r="J871" s="11"/>
      <c r="K871" s="11"/>
    </row>
    <row r="872" ht="13.5" customHeight="1">
      <c r="A872" s="11"/>
      <c r="B872" s="11"/>
      <c r="C872" s="1167"/>
      <c r="D872" s="11"/>
      <c r="E872" s="11"/>
      <c r="F872" s="11"/>
      <c r="G872" s="11"/>
      <c r="H872" s="11"/>
      <c r="I872" s="11"/>
      <c r="J872" s="11"/>
      <c r="K872" s="11"/>
    </row>
    <row r="873" ht="13.5" customHeight="1">
      <c r="A873" s="11"/>
      <c r="B873" s="11"/>
      <c r="C873" s="1167"/>
      <c r="D873" s="11"/>
      <c r="E873" s="11"/>
      <c r="F873" s="11"/>
      <c r="G873" s="11"/>
      <c r="H873" s="11"/>
      <c r="I873" s="11"/>
      <c r="J873" s="11"/>
      <c r="K873" s="11"/>
    </row>
    <row r="874" ht="13.5" customHeight="1">
      <c r="A874" s="11"/>
      <c r="B874" s="11"/>
      <c r="C874" s="1167"/>
      <c r="D874" s="11"/>
      <c r="E874" s="11"/>
      <c r="F874" s="11"/>
      <c r="G874" s="11"/>
      <c r="H874" s="11"/>
      <c r="I874" s="11"/>
      <c r="J874" s="11"/>
      <c r="K874" s="11"/>
    </row>
    <row r="875" ht="13.5" customHeight="1">
      <c r="A875" s="11"/>
      <c r="B875" s="11"/>
      <c r="C875" s="1167"/>
      <c r="D875" s="11"/>
      <c r="E875" s="11"/>
      <c r="F875" s="11"/>
      <c r="G875" s="11"/>
      <c r="H875" s="11"/>
      <c r="I875" s="11"/>
      <c r="J875" s="11"/>
      <c r="K875" s="11"/>
    </row>
    <row r="876" ht="13.5" customHeight="1">
      <c r="A876" s="11"/>
      <c r="B876" s="11"/>
      <c r="C876" s="1167"/>
      <c r="D876" s="11"/>
      <c r="E876" s="11"/>
      <c r="F876" s="11"/>
      <c r="G876" s="11"/>
      <c r="H876" s="11"/>
      <c r="I876" s="11"/>
      <c r="J876" s="11"/>
      <c r="K876" s="11"/>
    </row>
    <row r="877" ht="13.5" customHeight="1">
      <c r="A877" s="11"/>
      <c r="B877" s="11"/>
      <c r="C877" s="1167"/>
      <c r="D877" s="11"/>
      <c r="E877" s="11"/>
      <c r="F877" s="11"/>
      <c r="G877" s="11"/>
      <c r="H877" s="11"/>
      <c r="I877" s="11"/>
      <c r="J877" s="11"/>
      <c r="K877" s="11"/>
    </row>
    <row r="878" ht="13.5" customHeight="1">
      <c r="A878" s="11"/>
      <c r="B878" s="11"/>
      <c r="C878" s="1167"/>
      <c r="D878" s="11"/>
      <c r="E878" s="11"/>
      <c r="F878" s="11"/>
      <c r="G878" s="11"/>
      <c r="H878" s="11"/>
      <c r="I878" s="11"/>
      <c r="J878" s="11"/>
      <c r="K878" s="11"/>
    </row>
    <row r="879" ht="13.5" customHeight="1">
      <c r="A879" s="11"/>
      <c r="B879" s="11"/>
      <c r="C879" s="1167"/>
      <c r="D879" s="11"/>
      <c r="E879" s="11"/>
      <c r="F879" s="11"/>
      <c r="G879" s="11"/>
      <c r="H879" s="11"/>
      <c r="I879" s="11"/>
      <c r="J879" s="11"/>
      <c r="K879" s="11"/>
    </row>
    <row r="880" ht="13.5" customHeight="1">
      <c r="A880" s="11"/>
      <c r="B880" s="11"/>
      <c r="C880" s="1167"/>
      <c r="D880" s="11"/>
      <c r="E880" s="11"/>
      <c r="F880" s="11"/>
      <c r="G880" s="11"/>
      <c r="H880" s="11"/>
      <c r="I880" s="11"/>
      <c r="J880" s="11"/>
      <c r="K880" s="11"/>
    </row>
    <row r="881" ht="13.5" customHeight="1">
      <c r="A881" s="11"/>
      <c r="B881" s="11"/>
      <c r="C881" s="1167"/>
      <c r="D881" s="11"/>
      <c r="E881" s="11"/>
      <c r="F881" s="11"/>
      <c r="G881" s="11"/>
      <c r="H881" s="11"/>
      <c r="I881" s="11"/>
      <c r="J881" s="11"/>
      <c r="K881" s="11"/>
    </row>
    <row r="882" ht="13.5" customHeight="1">
      <c r="A882" s="11"/>
      <c r="B882" s="11"/>
      <c r="C882" s="1167"/>
      <c r="D882" s="11"/>
      <c r="E882" s="11"/>
      <c r="F882" s="11"/>
      <c r="G882" s="11"/>
      <c r="H882" s="11"/>
      <c r="I882" s="11"/>
      <c r="J882" s="11"/>
      <c r="K882" s="11"/>
    </row>
    <row r="883" ht="13.5" customHeight="1">
      <c r="A883" s="11"/>
      <c r="B883" s="11"/>
      <c r="C883" s="1167"/>
      <c r="D883" s="11"/>
      <c r="E883" s="11"/>
      <c r="F883" s="11"/>
      <c r="G883" s="11"/>
      <c r="H883" s="11"/>
      <c r="I883" s="11"/>
      <c r="J883" s="11"/>
      <c r="K883" s="11"/>
    </row>
    <row r="884" ht="13.5" customHeight="1">
      <c r="A884" s="11"/>
      <c r="B884" s="11"/>
      <c r="C884" s="1167"/>
      <c r="D884" s="11"/>
      <c r="E884" s="11"/>
      <c r="F884" s="11"/>
      <c r="G884" s="11"/>
      <c r="H884" s="11"/>
      <c r="I884" s="11"/>
      <c r="J884" s="11"/>
      <c r="K884" s="11"/>
    </row>
    <row r="885" ht="13.5" customHeight="1">
      <c r="A885" s="11"/>
      <c r="B885" s="11"/>
      <c r="C885" s="1167"/>
      <c r="D885" s="11"/>
      <c r="E885" s="11"/>
      <c r="F885" s="11"/>
      <c r="G885" s="11"/>
      <c r="H885" s="11"/>
      <c r="I885" s="11"/>
      <c r="J885" s="11"/>
      <c r="K885" s="11"/>
    </row>
    <row r="886" ht="13.5" customHeight="1">
      <c r="A886" s="11"/>
      <c r="B886" s="11"/>
      <c r="C886" s="1167"/>
      <c r="D886" s="11"/>
      <c r="E886" s="11"/>
      <c r="F886" s="11"/>
      <c r="G886" s="11"/>
      <c r="H886" s="11"/>
      <c r="I886" s="11"/>
      <c r="J886" s="11"/>
      <c r="K886" s="11"/>
    </row>
    <row r="887" ht="13.5" customHeight="1">
      <c r="A887" s="11"/>
      <c r="B887" s="11"/>
      <c r="C887" s="1167"/>
      <c r="D887" s="11"/>
      <c r="E887" s="11"/>
      <c r="F887" s="11"/>
      <c r="G887" s="11"/>
      <c r="H887" s="11"/>
      <c r="I887" s="11"/>
      <c r="J887" s="11"/>
      <c r="K887" s="11"/>
    </row>
    <row r="888" ht="13.5" customHeight="1">
      <c r="A888" s="11"/>
      <c r="B888" s="11"/>
      <c r="C888" s="1167"/>
      <c r="D888" s="11"/>
      <c r="E888" s="11"/>
      <c r="F888" s="11"/>
      <c r="G888" s="11"/>
      <c r="H888" s="11"/>
      <c r="I888" s="11"/>
      <c r="J888" s="11"/>
      <c r="K888" s="11"/>
    </row>
    <row r="889" ht="13.5" customHeight="1">
      <c r="A889" s="11"/>
      <c r="B889" s="11"/>
      <c r="C889" s="1167"/>
      <c r="D889" s="11"/>
      <c r="E889" s="11"/>
      <c r="F889" s="11"/>
      <c r="G889" s="11"/>
      <c r="H889" s="11"/>
      <c r="I889" s="11"/>
      <c r="J889" s="11"/>
      <c r="K889" s="11"/>
    </row>
    <row r="890" ht="13.5" customHeight="1">
      <c r="A890" s="11"/>
      <c r="B890" s="11"/>
      <c r="C890" s="1167"/>
      <c r="D890" s="11"/>
      <c r="E890" s="11"/>
      <c r="F890" s="11"/>
      <c r="G890" s="11"/>
      <c r="H890" s="11"/>
      <c r="I890" s="11"/>
      <c r="J890" s="11"/>
      <c r="K890" s="11"/>
    </row>
    <row r="891" ht="13.5" customHeight="1">
      <c r="A891" s="11"/>
      <c r="B891" s="11"/>
      <c r="C891" s="1167"/>
      <c r="D891" s="11"/>
      <c r="E891" s="11"/>
      <c r="F891" s="11"/>
      <c r="G891" s="11"/>
      <c r="H891" s="11"/>
      <c r="I891" s="11"/>
      <c r="J891" s="11"/>
      <c r="K891" s="11"/>
    </row>
    <row r="892" ht="13.5" customHeight="1">
      <c r="A892" s="11"/>
      <c r="B892" s="11"/>
      <c r="C892" s="1167"/>
      <c r="D892" s="11"/>
      <c r="E892" s="11"/>
      <c r="F892" s="11"/>
      <c r="G892" s="11"/>
      <c r="H892" s="11"/>
      <c r="I892" s="11"/>
      <c r="J892" s="11"/>
      <c r="K892" s="11"/>
    </row>
    <row r="893" ht="13.5" customHeight="1">
      <c r="A893" s="11"/>
      <c r="B893" s="11"/>
      <c r="C893" s="1167"/>
      <c r="D893" s="11"/>
      <c r="E893" s="11"/>
      <c r="F893" s="11"/>
      <c r="G893" s="11"/>
      <c r="H893" s="11"/>
      <c r="I893" s="11"/>
      <c r="J893" s="11"/>
      <c r="K893" s="11"/>
    </row>
    <row r="894" ht="13.5" customHeight="1">
      <c r="A894" s="11"/>
      <c r="B894" s="11"/>
      <c r="C894" s="1167"/>
      <c r="D894" s="11"/>
      <c r="E894" s="11"/>
      <c r="F894" s="11"/>
      <c r="G894" s="11"/>
      <c r="H894" s="11"/>
      <c r="I894" s="11"/>
      <c r="J894" s="11"/>
      <c r="K894" s="11"/>
    </row>
    <row r="895" ht="13.5" customHeight="1">
      <c r="A895" s="11"/>
      <c r="B895" s="11"/>
      <c r="C895" s="1167"/>
      <c r="D895" s="11"/>
      <c r="E895" s="11"/>
      <c r="F895" s="11"/>
      <c r="G895" s="11"/>
      <c r="H895" s="11"/>
      <c r="I895" s="11"/>
      <c r="J895" s="11"/>
      <c r="K895" s="11"/>
    </row>
    <row r="896" ht="13.5" customHeight="1">
      <c r="A896" s="11"/>
      <c r="B896" s="11"/>
      <c r="C896" s="1167"/>
      <c r="D896" s="11"/>
      <c r="E896" s="11"/>
      <c r="F896" s="11"/>
      <c r="G896" s="11"/>
      <c r="H896" s="11"/>
      <c r="I896" s="11"/>
      <c r="J896" s="11"/>
      <c r="K896" s="11"/>
    </row>
    <row r="897" ht="13.5" customHeight="1">
      <c r="A897" s="11"/>
      <c r="B897" s="11"/>
      <c r="C897" s="1167"/>
      <c r="D897" s="11"/>
      <c r="E897" s="11"/>
      <c r="F897" s="11"/>
      <c r="G897" s="11"/>
      <c r="H897" s="11"/>
      <c r="I897" s="11"/>
      <c r="J897" s="11"/>
      <c r="K897" s="11"/>
    </row>
    <row r="898" ht="13.5" customHeight="1">
      <c r="A898" s="11"/>
      <c r="B898" s="11"/>
      <c r="C898" s="1167"/>
      <c r="D898" s="11"/>
      <c r="E898" s="11"/>
      <c r="F898" s="11"/>
      <c r="G898" s="11"/>
      <c r="H898" s="11"/>
      <c r="I898" s="11"/>
      <c r="J898" s="11"/>
      <c r="K898" s="11"/>
    </row>
    <row r="899" ht="13.5" customHeight="1">
      <c r="A899" s="11"/>
      <c r="B899" s="11"/>
      <c r="C899" s="1167"/>
      <c r="D899" s="11"/>
      <c r="E899" s="11"/>
      <c r="F899" s="11"/>
      <c r="G899" s="11"/>
      <c r="H899" s="11"/>
      <c r="I899" s="11"/>
      <c r="J899" s="11"/>
      <c r="K899" s="11"/>
    </row>
    <row r="900" ht="13.5" customHeight="1">
      <c r="A900" s="11"/>
      <c r="B900" s="11"/>
      <c r="C900" s="1167"/>
      <c r="D900" s="11"/>
      <c r="E900" s="11"/>
      <c r="F900" s="11"/>
      <c r="G900" s="11"/>
      <c r="H900" s="11"/>
      <c r="I900" s="11"/>
      <c r="J900" s="11"/>
      <c r="K900" s="11"/>
    </row>
    <row r="901" ht="13.5" customHeight="1">
      <c r="A901" s="11"/>
      <c r="B901" s="11"/>
      <c r="C901" s="1167"/>
      <c r="D901" s="11"/>
      <c r="E901" s="11"/>
      <c r="F901" s="11"/>
      <c r="G901" s="11"/>
      <c r="H901" s="11"/>
      <c r="I901" s="11"/>
      <c r="J901" s="11"/>
      <c r="K901" s="11"/>
    </row>
    <row r="902" ht="13.5" customHeight="1">
      <c r="A902" s="11"/>
      <c r="B902" s="11"/>
      <c r="C902" s="1167"/>
      <c r="D902" s="11"/>
      <c r="E902" s="11"/>
      <c r="F902" s="11"/>
      <c r="G902" s="11"/>
      <c r="H902" s="11"/>
      <c r="I902" s="11"/>
      <c r="J902" s="11"/>
      <c r="K902" s="11"/>
    </row>
    <row r="903" ht="13.5" customHeight="1">
      <c r="A903" s="11"/>
      <c r="B903" s="11"/>
      <c r="C903" s="1167"/>
      <c r="D903" s="11"/>
      <c r="E903" s="11"/>
      <c r="F903" s="11"/>
      <c r="G903" s="11"/>
      <c r="H903" s="11"/>
      <c r="I903" s="11"/>
      <c r="J903" s="11"/>
      <c r="K903" s="11"/>
    </row>
    <row r="904" ht="13.5" customHeight="1">
      <c r="A904" s="11"/>
      <c r="B904" s="11"/>
      <c r="C904" s="1167"/>
      <c r="D904" s="11"/>
      <c r="E904" s="11"/>
      <c r="F904" s="11"/>
      <c r="G904" s="11"/>
      <c r="H904" s="11"/>
      <c r="I904" s="11"/>
      <c r="J904" s="11"/>
      <c r="K904" s="11"/>
    </row>
    <row r="905" ht="13.5" customHeight="1">
      <c r="A905" s="11"/>
      <c r="B905" s="11"/>
      <c r="C905" s="1167"/>
      <c r="D905" s="11"/>
      <c r="E905" s="11"/>
      <c r="F905" s="11"/>
      <c r="G905" s="11"/>
      <c r="H905" s="11"/>
      <c r="I905" s="11"/>
      <c r="J905" s="11"/>
      <c r="K905" s="11"/>
    </row>
    <row r="906" ht="13.5" customHeight="1">
      <c r="A906" s="11"/>
      <c r="B906" s="11"/>
      <c r="C906" s="1167"/>
      <c r="D906" s="11"/>
      <c r="E906" s="11"/>
      <c r="F906" s="11"/>
      <c r="G906" s="11"/>
      <c r="H906" s="11"/>
      <c r="I906" s="11"/>
      <c r="J906" s="11"/>
      <c r="K906" s="11"/>
    </row>
    <row r="907" ht="13.5" customHeight="1">
      <c r="A907" s="11"/>
      <c r="B907" s="11"/>
      <c r="C907" s="1167"/>
      <c r="D907" s="11"/>
      <c r="E907" s="11"/>
      <c r="F907" s="11"/>
      <c r="G907" s="11"/>
      <c r="H907" s="11"/>
      <c r="I907" s="11"/>
      <c r="J907" s="11"/>
      <c r="K907" s="11"/>
    </row>
    <row r="908" ht="13.5" customHeight="1">
      <c r="A908" s="11"/>
      <c r="B908" s="11"/>
      <c r="C908" s="1167"/>
      <c r="D908" s="11"/>
      <c r="E908" s="11"/>
      <c r="F908" s="11"/>
      <c r="G908" s="11"/>
      <c r="H908" s="11"/>
      <c r="I908" s="11"/>
      <c r="J908" s="11"/>
      <c r="K908" s="11"/>
    </row>
    <row r="909" ht="13.5" customHeight="1">
      <c r="A909" s="11"/>
      <c r="B909" s="11"/>
      <c r="C909" s="1167"/>
      <c r="D909" s="11"/>
      <c r="E909" s="11"/>
      <c r="F909" s="11"/>
      <c r="G909" s="11"/>
      <c r="H909" s="11"/>
      <c r="I909" s="11"/>
      <c r="J909" s="11"/>
      <c r="K909" s="11"/>
    </row>
    <row r="910" ht="13.5" customHeight="1">
      <c r="A910" s="11"/>
      <c r="B910" s="11"/>
      <c r="C910" s="1167"/>
      <c r="D910" s="11"/>
      <c r="E910" s="11"/>
      <c r="F910" s="11"/>
      <c r="G910" s="11"/>
      <c r="H910" s="11"/>
      <c r="I910" s="11"/>
      <c r="J910" s="11"/>
      <c r="K910" s="11"/>
    </row>
    <row r="911" ht="15.0" customHeight="1">
      <c r="A911" s="11"/>
      <c r="B911" s="11"/>
      <c r="C911" s="1167"/>
      <c r="D911" s="11"/>
      <c r="E911" s="11"/>
      <c r="F911" s="11"/>
      <c r="G911" s="11"/>
      <c r="H911" s="11"/>
      <c r="I911" s="11"/>
      <c r="J911" s="11"/>
      <c r="K911" s="11"/>
    </row>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4">
    <mergeCell ref="A2:D2"/>
    <mergeCell ref="E7:E10"/>
    <mergeCell ref="A22:D22"/>
    <mergeCell ref="E24:E25"/>
    <mergeCell ref="E26:E31"/>
    <mergeCell ref="A41:D41"/>
    <mergeCell ref="E43:E47"/>
    <mergeCell ref="A114:D114"/>
    <mergeCell ref="A134:D134"/>
    <mergeCell ref="A150:D153"/>
    <mergeCell ref="A158:D158"/>
    <mergeCell ref="E48:E50"/>
    <mergeCell ref="E51:E52"/>
    <mergeCell ref="A58:D58"/>
    <mergeCell ref="E61:E64"/>
    <mergeCell ref="A72:D72"/>
    <mergeCell ref="E75:E84"/>
    <mergeCell ref="A93:D93"/>
    <mergeCell ref="E87:E88"/>
    <mergeCell ref="E94:E97"/>
    <mergeCell ref="E98:E101"/>
    <mergeCell ref="E115:E118"/>
    <mergeCell ref="E119:E122"/>
    <mergeCell ref="E138:E148"/>
    <mergeCell ref="E160:E161"/>
    <mergeCell ref="A254:D254"/>
    <mergeCell ref="A273:D273"/>
    <mergeCell ref="A290:D292"/>
    <mergeCell ref="A296:D296"/>
    <mergeCell ref="G296:J296"/>
    <mergeCell ref="E170:E171"/>
    <mergeCell ref="E172:E175"/>
    <mergeCell ref="A180:D180"/>
    <mergeCell ref="A196:C197"/>
    <mergeCell ref="A201:D201"/>
    <mergeCell ref="A220:D220"/>
    <mergeCell ref="A239:D239"/>
    <mergeCell ref="E183:E187"/>
    <mergeCell ref="E205:E208"/>
    <mergeCell ref="E224:E227"/>
    <mergeCell ref="E243:E246"/>
    <mergeCell ref="E247:E249"/>
    <mergeCell ref="E255:E263"/>
    <mergeCell ref="E265:E269"/>
    <mergeCell ref="A663:D663"/>
    <mergeCell ref="A690:D690"/>
    <mergeCell ref="A710:D710"/>
    <mergeCell ref="A555:D555"/>
    <mergeCell ref="A569:D569"/>
    <mergeCell ref="A587:D587"/>
    <mergeCell ref="A613:D613"/>
    <mergeCell ref="A638:D638"/>
    <mergeCell ref="A654:D654"/>
    <mergeCell ref="F663:I663"/>
    <mergeCell ref="E274:E287"/>
    <mergeCell ref="E298:E299"/>
    <mergeCell ref="E300:E307"/>
    <mergeCell ref="E308:E309"/>
    <mergeCell ref="A314:D314"/>
    <mergeCell ref="E315:E321"/>
    <mergeCell ref="A335:D335"/>
    <mergeCell ref="E322:E329"/>
    <mergeCell ref="E337:E342"/>
    <mergeCell ref="E344:E348"/>
    <mergeCell ref="E356:E363"/>
    <mergeCell ref="E364:E366"/>
    <mergeCell ref="E373:E381"/>
    <mergeCell ref="E382:E384"/>
    <mergeCell ref="E386:E388"/>
    <mergeCell ref="E394:E403"/>
    <mergeCell ref="E404:E413"/>
    <mergeCell ref="E414:E417"/>
    <mergeCell ref="E418:E420"/>
    <mergeCell ref="E430:E436"/>
    <mergeCell ref="E437:E438"/>
    <mergeCell ref="A355:D355"/>
    <mergeCell ref="A372:D372"/>
    <mergeCell ref="A393:D393"/>
    <mergeCell ref="A422:C423"/>
    <mergeCell ref="A427:D427"/>
    <mergeCell ref="A442:C444"/>
    <mergeCell ref="A448:D448"/>
    <mergeCell ref="E511:E513"/>
    <mergeCell ref="E521:E532"/>
    <mergeCell ref="E537:E550"/>
    <mergeCell ref="E570:E578"/>
    <mergeCell ref="E579:E580"/>
    <mergeCell ref="E589:E601"/>
    <mergeCell ref="E639:E643"/>
    <mergeCell ref="E644:E653"/>
    <mergeCell ref="E450:E456"/>
    <mergeCell ref="E457:E461"/>
    <mergeCell ref="E474:E477"/>
    <mergeCell ref="E480:E482"/>
    <mergeCell ref="E489:E492"/>
    <mergeCell ref="E495:E497"/>
    <mergeCell ref="E505:E508"/>
    <mergeCell ref="A471:D471"/>
    <mergeCell ref="A486:D486"/>
    <mergeCell ref="A502:D502"/>
    <mergeCell ref="A519:E519"/>
    <mergeCell ref="A533:D533"/>
    <mergeCell ref="A535:D535"/>
    <mergeCell ref="A552:D553"/>
  </mergeCells>
  <hyperlinks>
    <hyperlink display="BACK" location="'Recipe Index'!J45" ref="A18"/>
    <hyperlink display="HOME" location="'Recipe Index'!A2" ref="B18"/>
    <hyperlink display="BACK" location="'Recipe Index'!J45" ref="A37"/>
    <hyperlink display="HOME" location="'Recipe Index'!A2" ref="B37"/>
    <hyperlink display="BACK" location="'Recipe Index'!J45" ref="A54"/>
    <hyperlink display="HOME" location="'Recipe Index'!A2" ref="B54"/>
    <hyperlink display="BACK" location="'Recipe Index'!J50" ref="A68"/>
    <hyperlink display="HOME" location="'Recipe Index'!A2" ref="B68"/>
    <hyperlink display="BACK" location="'Recipe Index'!J65" ref="A89"/>
    <hyperlink display="HOME" location="'Recipe Index'!A2" ref="B89"/>
    <hyperlink display="BACK" location="'Recipe Index'!J45" ref="A109"/>
    <hyperlink display="HOME" location="'Recipe Index'!A2" ref="B109"/>
    <hyperlink display="BACK" location="'Recipe Index'!J45" ref="A130"/>
    <hyperlink display="HOME" location="'Recipe Index'!A2" ref="B130"/>
    <hyperlink display="BACK" location="'Recipe Index'!J55" ref="A156"/>
    <hyperlink display="HOME" location="'Recipe Index'!A2" ref="B156"/>
    <hyperlink display="BACK" location="'Recipe Index'!J50" ref="A176"/>
    <hyperlink display="HOME" location="'Recipe Index'!A2" ref="B176"/>
    <hyperlink display="BACK" location="'Recipe Index'!J50" ref="A195"/>
    <hyperlink display="HOME" location="'Recipe Index'!A2" ref="B195"/>
    <hyperlink display="BACK" location="'Recipe Index'!J50" ref="A216"/>
    <hyperlink display="HOME" location="'Recipe Index'!A2" ref="B216"/>
    <hyperlink display="BACK" location="'Recipe Index'!J50" ref="A235"/>
    <hyperlink display="HOME" location="'Recipe Index'!A2" ref="B235"/>
    <hyperlink display="BACK" location="'Recipe Index'!J45" ref="A251"/>
    <hyperlink display="HOME" location="'Recipe Index'!A2" ref="B251"/>
    <hyperlink display="BACK" location="'Recipe Index'!D44" ref="A270"/>
    <hyperlink display="HOME" location="'Recipe Index'!B5" ref="B270"/>
    <hyperlink display="BACK" location="'Recipe Index'!J55" ref="A289"/>
    <hyperlink display="HOME" location="'Recipe Index'!A2" ref="B289"/>
    <hyperlink display="BACK" location="'Recipe Index'!J65" ref="A310"/>
    <hyperlink display="HOME" location="'Recipe Index'!A2" ref="B310"/>
    <hyperlink display="BACK" location="'Recipe Index'!B44" ref="A331"/>
    <hyperlink display="HOME" location="'Recipe Index'!B5" ref="B331"/>
    <hyperlink display="BACK" location="'Recipe Index'!J55" ref="A351"/>
    <hyperlink display="HOME" location="'Recipe Index'!A2" ref="B351"/>
    <hyperlink display="BACK" location="'Recipe Index'!J55" ref="A367"/>
    <hyperlink display="HOME" location="'Recipe Index'!A2" ref="B367"/>
    <hyperlink display="BACK" location="'Recipe Index'!J65" ref="A389"/>
    <hyperlink display="HOME" location="'Recipe Index'!A2" ref="B389"/>
    <hyperlink display="BACK" location="'Recipe Index'!J65" ref="A421"/>
    <hyperlink display="HOME" location="'Recipe Index'!A2" ref="B421"/>
    <hyperlink display="BACK" location="'Recipe Index'!F55" ref="A441"/>
    <hyperlink display="HOME" location="'Recipe Index'!B5" ref="B441"/>
    <hyperlink display="BACK" location="'Recipe Index'!J60" ref="A467"/>
    <hyperlink display="HOME" location="'Recipe Index'!A2" ref="B467"/>
    <hyperlink display="BACK" location="'Recipe Index'!J50" ref="A483"/>
    <hyperlink display="HOME" location="'Recipe Index'!A2" ref="B483"/>
    <hyperlink display="BACK" location="'Recipe Index'!J50" ref="A498"/>
    <hyperlink display="HOME" location="'Recipe Index'!A2" ref="B498"/>
    <hyperlink display="BACK" location="'Recipe Index'!J50" ref="A514"/>
    <hyperlink display="HOME" location="'Recipe Index'!A2" ref="B514"/>
    <hyperlink display="BACK" location="'Recipe Index'!J50" ref="A534"/>
    <hyperlink display="HOME" location="'Recipe Index'!A2" ref="B534"/>
    <hyperlink display="BACK" location="'Recipe Index'!J50" ref="A551"/>
    <hyperlink display="HOME" location="'Recipe Index'!A2" ref="B551"/>
    <hyperlink display="BACK" location="'Recipe Index'!J50" ref="A564"/>
    <hyperlink display="HOME" location="'Recipe Index'!A2" ref="B564"/>
    <hyperlink display="BACK" location="'Recipe Index'!J50" ref="A581"/>
    <hyperlink display="HOME" location="'Recipe Index'!A2" ref="B581"/>
    <hyperlink display="BACK" location="'Recipe Index'!J50" ref="A609"/>
    <hyperlink display="HOME" location="'Recipe Index'!A2" ref="B609"/>
    <hyperlink display="BACK" location="'Recipe Index'!J50" ref="A634"/>
    <hyperlink display="HOME" location="'Recipe Index'!A2" ref="B634"/>
    <hyperlink display="BACK" location="'Recipe Index'!J50" ref="A655"/>
    <hyperlink display="HOME" location="'Recipe Index'!A2" ref="B655"/>
    <hyperlink display="BACK" location="'Recipe Index'!J50" ref="F677"/>
    <hyperlink display="HOME" location="'Recipe Index'!A2" ref="G677"/>
    <hyperlink display="BACK" location="'Recipe Index'!J50" ref="A684"/>
    <hyperlink display="HOME" location="'Recipe Index'!A2" ref="B684"/>
    <hyperlink display="BACK" location="'Recipe Index'!J50" ref="A704"/>
    <hyperlink display="HOME" location="'Recipe Index'!A2" ref="B704"/>
    <hyperlink display="BACK" location="'Recipe Index'!J50" ref="A730"/>
    <hyperlink display="HOME" location="'Recipe Index'!A2" ref="B730"/>
  </hyperlink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8.75"/>
    <col customWidth="1" min="2" max="2" width="28.75"/>
    <col customWidth="1" min="3" max="3" width="11.25"/>
    <col customWidth="1" min="4" max="5" width="12.25"/>
    <col customWidth="1" min="6" max="6" width="7.75"/>
    <col customWidth="1" min="7" max="7" width="30.38"/>
    <col customWidth="1" min="8" max="8" width="30.75"/>
    <col customWidth="1" min="9" max="9" width="25.25"/>
    <col customWidth="1" min="10" max="10" width="10.75"/>
    <col customWidth="1" min="11" max="11" width="7.75"/>
    <col customWidth="1" min="12" max="12" width="5.0"/>
    <col customWidth="1" min="13" max="13" width="8.25"/>
    <col customWidth="1" min="14" max="14" width="33.0"/>
    <col customWidth="1" hidden="1" min="15" max="15" width="34.38"/>
    <col customWidth="1" min="16" max="16" width="8.75"/>
    <col customWidth="1" min="17" max="17" width="4.63"/>
    <col customWidth="1" min="18" max="18" width="9.25"/>
    <col customWidth="1" min="19" max="19" width="14.25"/>
  </cols>
  <sheetData>
    <row r="1" ht="14.25" customHeight="1">
      <c r="A1" s="1112"/>
      <c r="B1" s="1"/>
      <c r="C1" s="107"/>
      <c r="D1" s="184"/>
      <c r="E1" s="184"/>
      <c r="F1" s="1"/>
      <c r="G1" s="1112"/>
      <c r="H1" s="1"/>
      <c r="I1" s="1"/>
      <c r="J1" s="1"/>
      <c r="K1" s="1"/>
      <c r="L1" s="1"/>
      <c r="M1" s="1"/>
      <c r="N1" s="1"/>
      <c r="O1" s="1"/>
      <c r="P1" s="1"/>
      <c r="Q1" s="1"/>
      <c r="R1" s="1"/>
      <c r="S1" s="1"/>
    </row>
    <row r="2" ht="14.25" customHeight="1">
      <c r="A2" s="1112"/>
      <c r="B2" s="16" t="s">
        <v>181</v>
      </c>
      <c r="C2" s="18"/>
      <c r="D2" s="18"/>
      <c r="E2" s="18"/>
      <c r="F2" s="19"/>
      <c r="G2" s="784" t="s">
        <v>2452</v>
      </c>
      <c r="H2" s="1"/>
      <c r="I2" s="1"/>
      <c r="J2" s="1"/>
      <c r="K2" s="1"/>
      <c r="L2" s="1"/>
      <c r="M2" s="1"/>
      <c r="N2" s="1"/>
      <c r="O2" s="1"/>
      <c r="P2" s="1"/>
      <c r="Q2" s="1"/>
      <c r="R2" s="1"/>
      <c r="S2" s="1"/>
    </row>
    <row r="3" ht="14.25" customHeight="1">
      <c r="A3" s="1112"/>
      <c r="B3" s="25" t="s">
        <v>1</v>
      </c>
      <c r="C3" s="218">
        <v>100.0</v>
      </c>
      <c r="D3" s="526">
        <v>230.0</v>
      </c>
      <c r="E3" s="2144"/>
      <c r="F3" s="28" t="s">
        <v>5</v>
      </c>
      <c r="G3" s="141"/>
      <c r="H3" s="1"/>
      <c r="I3" s="1"/>
      <c r="J3" s="1"/>
      <c r="K3" s="1"/>
      <c r="L3" s="1"/>
      <c r="M3" s="1"/>
      <c r="N3" s="1"/>
      <c r="O3" s="1"/>
      <c r="P3" s="1"/>
      <c r="Q3" s="1"/>
      <c r="R3" s="1"/>
      <c r="S3" s="1"/>
    </row>
    <row r="4" ht="14.25" customHeight="1">
      <c r="A4" s="1112"/>
      <c r="B4" s="163" t="s">
        <v>2453</v>
      </c>
      <c r="C4" s="221">
        <v>45.0</v>
      </c>
      <c r="D4" s="164">
        <f t="shared" ref="D4:D24" si="1">(C4*D3)/C3</f>
        <v>103.5</v>
      </c>
      <c r="E4" s="1731"/>
      <c r="F4" s="169" t="s">
        <v>14</v>
      </c>
      <c r="G4" s="264" t="s">
        <v>2454</v>
      </c>
      <c r="H4" s="1"/>
      <c r="I4" s="1"/>
      <c r="J4" s="1"/>
      <c r="K4" s="1"/>
      <c r="L4" s="1"/>
      <c r="M4" s="1"/>
      <c r="N4" s="1"/>
      <c r="O4" s="1"/>
      <c r="P4" s="1"/>
      <c r="Q4" s="1"/>
      <c r="R4" s="1"/>
      <c r="S4" s="1"/>
    </row>
    <row r="5" ht="14.25" customHeight="1">
      <c r="A5" s="1112"/>
      <c r="B5" s="208" t="s">
        <v>2455</v>
      </c>
      <c r="C5" s="236">
        <v>64.0</v>
      </c>
      <c r="D5" s="257">
        <f t="shared" si="1"/>
        <v>147.2</v>
      </c>
      <c r="E5" s="1738"/>
      <c r="F5" s="212" t="s">
        <v>14</v>
      </c>
      <c r="G5" s="66"/>
      <c r="H5" s="1"/>
      <c r="I5" s="1"/>
      <c r="J5" s="1"/>
      <c r="K5" s="1"/>
      <c r="L5" s="1"/>
      <c r="M5" s="1"/>
      <c r="N5" s="1"/>
      <c r="O5" s="1"/>
      <c r="P5" s="1"/>
      <c r="Q5" s="1"/>
      <c r="R5" s="1"/>
      <c r="S5" s="1"/>
    </row>
    <row r="6" ht="14.25" customHeight="1">
      <c r="A6" s="1112"/>
      <c r="B6" s="157" t="s">
        <v>31</v>
      </c>
      <c r="C6" s="244">
        <v>500.0</v>
      </c>
      <c r="D6" s="158">
        <f t="shared" si="1"/>
        <v>1150</v>
      </c>
      <c r="E6" s="1998"/>
      <c r="F6" s="159" t="s">
        <v>18</v>
      </c>
      <c r="G6" s="66"/>
      <c r="H6" s="1"/>
      <c r="I6" s="1"/>
      <c r="J6" s="1"/>
      <c r="K6" s="1"/>
      <c r="L6" s="1"/>
      <c r="M6" s="1"/>
      <c r="N6" s="1"/>
      <c r="O6" s="1"/>
      <c r="P6" s="1"/>
      <c r="Q6" s="1"/>
      <c r="R6" s="1"/>
      <c r="S6" s="1"/>
    </row>
    <row r="7" ht="14.25" customHeight="1">
      <c r="A7" s="1112"/>
      <c r="B7" s="208" t="s">
        <v>52</v>
      </c>
      <c r="C7" s="236">
        <v>100.0</v>
      </c>
      <c r="D7" s="257">
        <f t="shared" si="1"/>
        <v>230</v>
      </c>
      <c r="E7" s="1738"/>
      <c r="F7" s="212" t="s">
        <v>18</v>
      </c>
      <c r="G7" s="106"/>
      <c r="H7" s="1"/>
      <c r="I7" s="1"/>
      <c r="J7" s="1"/>
      <c r="K7" s="1"/>
      <c r="L7" s="1"/>
      <c r="M7" s="1"/>
      <c r="N7" s="1"/>
      <c r="O7" s="1"/>
      <c r="P7" s="1"/>
      <c r="Q7" s="1"/>
      <c r="R7" s="1"/>
      <c r="S7" s="1"/>
    </row>
    <row r="8" ht="14.25" customHeight="1">
      <c r="A8" s="1112"/>
      <c r="B8" s="458" t="s">
        <v>1574</v>
      </c>
      <c r="C8" s="71">
        <v>12.5</v>
      </c>
      <c r="D8" s="608">
        <f t="shared" si="1"/>
        <v>28.75</v>
      </c>
      <c r="E8" s="2150"/>
      <c r="F8" s="463" t="s">
        <v>14</v>
      </c>
      <c r="G8" s="2151" t="s">
        <v>2456</v>
      </c>
      <c r="H8" s="1"/>
      <c r="I8" s="1"/>
      <c r="J8" s="1"/>
      <c r="K8" s="1"/>
      <c r="L8" s="1"/>
      <c r="M8" s="1"/>
      <c r="N8" s="1"/>
      <c r="O8" s="1"/>
      <c r="P8" s="1"/>
      <c r="Q8" s="1"/>
      <c r="R8" s="1"/>
      <c r="S8" s="1"/>
    </row>
    <row r="9" ht="14.25" customHeight="1">
      <c r="A9" s="1112"/>
      <c r="B9" s="163" t="s">
        <v>91</v>
      </c>
      <c r="C9" s="221">
        <v>2.5</v>
      </c>
      <c r="D9" s="164">
        <f t="shared" si="1"/>
        <v>5.75</v>
      </c>
      <c r="E9" s="1731"/>
      <c r="F9" s="169" t="s">
        <v>5</v>
      </c>
      <c r="G9" s="264" t="s">
        <v>2458</v>
      </c>
      <c r="H9" s="1"/>
      <c r="I9" s="1"/>
      <c r="J9" s="1"/>
      <c r="K9" s="1"/>
      <c r="L9" s="1"/>
      <c r="M9" s="1"/>
      <c r="N9" s="1"/>
      <c r="O9" s="1"/>
      <c r="P9" s="1"/>
      <c r="Q9" s="1"/>
      <c r="R9" s="1"/>
      <c r="S9" s="1"/>
    </row>
    <row r="10" ht="14.25" customHeight="1">
      <c r="A10" s="1112"/>
      <c r="B10" s="177" t="s">
        <v>98</v>
      </c>
      <c r="C10" s="27">
        <v>250.0</v>
      </c>
      <c r="D10" s="201">
        <f t="shared" si="1"/>
        <v>575</v>
      </c>
      <c r="E10" s="1735"/>
      <c r="F10" s="204" t="s">
        <v>18</v>
      </c>
      <c r="G10" s="66"/>
      <c r="H10" s="1"/>
      <c r="I10" s="1"/>
      <c r="J10" s="1"/>
      <c r="K10" s="1"/>
      <c r="L10" s="1"/>
      <c r="M10" s="1"/>
      <c r="N10" s="1"/>
      <c r="O10" s="1"/>
      <c r="P10" s="1"/>
      <c r="Q10" s="1"/>
      <c r="R10" s="1"/>
      <c r="S10" s="1"/>
    </row>
    <row r="11" ht="14.25" customHeight="1">
      <c r="A11" s="1112"/>
      <c r="B11" s="177" t="s">
        <v>101</v>
      </c>
      <c r="C11" s="27">
        <v>1.0</v>
      </c>
      <c r="D11" s="201">
        <f t="shared" si="1"/>
        <v>2.3</v>
      </c>
      <c r="E11" s="1735"/>
      <c r="F11" s="204" t="s">
        <v>5</v>
      </c>
      <c r="G11" s="66"/>
      <c r="H11" s="1"/>
      <c r="I11" s="1"/>
      <c r="J11" s="1"/>
      <c r="K11" s="1"/>
      <c r="L11" s="1"/>
      <c r="M11" s="1"/>
      <c r="N11" s="1"/>
      <c r="O11" s="1"/>
      <c r="P11" s="1"/>
      <c r="Q11" s="1"/>
      <c r="R11" s="1"/>
      <c r="S11" s="1"/>
    </row>
    <row r="12" ht="14.25" customHeight="1">
      <c r="A12" s="1112"/>
      <c r="B12" s="177" t="s">
        <v>346</v>
      </c>
      <c r="C12" s="27">
        <v>400.0</v>
      </c>
      <c r="D12" s="201">
        <f t="shared" si="1"/>
        <v>920</v>
      </c>
      <c r="E12" s="1735"/>
      <c r="F12" s="204" t="s">
        <v>18</v>
      </c>
      <c r="G12" s="66"/>
      <c r="H12" s="1"/>
      <c r="I12" s="1"/>
      <c r="J12" s="1"/>
      <c r="K12" s="1"/>
      <c r="L12" s="1"/>
      <c r="M12" s="1"/>
      <c r="N12" s="1"/>
      <c r="O12" s="1"/>
      <c r="P12" s="1"/>
      <c r="Q12" s="1"/>
      <c r="R12" s="1"/>
      <c r="S12" s="1"/>
    </row>
    <row r="13" ht="14.25" customHeight="1">
      <c r="A13" s="1112"/>
      <c r="B13" s="177" t="s">
        <v>753</v>
      </c>
      <c r="C13" s="27">
        <v>600.0</v>
      </c>
      <c r="D13" s="201">
        <f t="shared" si="1"/>
        <v>1380</v>
      </c>
      <c r="E13" s="1735"/>
      <c r="F13" s="204" t="s">
        <v>18</v>
      </c>
      <c r="G13" s="66"/>
      <c r="H13" s="1"/>
      <c r="I13" s="1"/>
      <c r="J13" s="1"/>
      <c r="K13" s="1"/>
      <c r="L13" s="1"/>
      <c r="M13" s="1"/>
      <c r="N13" s="1"/>
      <c r="O13" s="1"/>
      <c r="P13" s="1"/>
      <c r="Q13" s="1"/>
      <c r="R13" s="1"/>
      <c r="S13" s="1"/>
    </row>
    <row r="14" ht="14.25" customHeight="1">
      <c r="A14" s="1112"/>
      <c r="B14" s="177" t="s">
        <v>103</v>
      </c>
      <c r="C14" s="27">
        <v>100.0</v>
      </c>
      <c r="D14" s="201">
        <f t="shared" si="1"/>
        <v>230</v>
      </c>
      <c r="E14" s="1735"/>
      <c r="F14" s="204" t="s">
        <v>18</v>
      </c>
      <c r="G14" s="66"/>
      <c r="H14" s="1"/>
      <c r="I14" s="1"/>
      <c r="J14" s="1"/>
      <c r="K14" s="1"/>
      <c r="L14" s="1"/>
      <c r="M14" s="1"/>
      <c r="N14" s="1"/>
      <c r="O14" s="1"/>
      <c r="P14" s="1"/>
      <c r="Q14" s="1"/>
      <c r="R14" s="1"/>
      <c r="S14" s="1"/>
    </row>
    <row r="15" ht="14.25" customHeight="1">
      <c r="A15" s="1112"/>
      <c r="B15" s="262" t="s">
        <v>52</v>
      </c>
      <c r="C15" s="50">
        <v>150.0</v>
      </c>
      <c r="D15" s="265">
        <f t="shared" si="1"/>
        <v>345</v>
      </c>
      <c r="E15" s="2164"/>
      <c r="F15" s="267" t="s">
        <v>18</v>
      </c>
      <c r="G15" s="106"/>
      <c r="H15" s="1"/>
      <c r="I15" s="1"/>
      <c r="J15" s="1"/>
      <c r="K15" s="1"/>
      <c r="L15" s="1"/>
      <c r="M15" s="1"/>
      <c r="N15" s="1"/>
      <c r="O15" s="1"/>
      <c r="P15" s="1"/>
      <c r="Q15" s="1"/>
      <c r="R15" s="1"/>
      <c r="S15" s="1"/>
    </row>
    <row r="16" ht="14.25" customHeight="1">
      <c r="A16" s="1112"/>
      <c r="B16" s="163" t="s">
        <v>350</v>
      </c>
      <c r="C16" s="221">
        <v>5.0</v>
      </c>
      <c r="D16" s="164">
        <f t="shared" si="1"/>
        <v>11.5</v>
      </c>
      <c r="E16" s="1731"/>
      <c r="F16" s="169"/>
      <c r="G16" s="44" t="s">
        <v>2461</v>
      </c>
      <c r="H16" s="1"/>
      <c r="I16" s="1"/>
      <c r="J16" s="1"/>
      <c r="K16" s="1"/>
      <c r="L16" s="1"/>
      <c r="M16" s="1"/>
      <c r="N16" s="1"/>
      <c r="O16" s="1"/>
      <c r="P16" s="1"/>
      <c r="Q16" s="1"/>
      <c r="R16" s="1"/>
      <c r="S16" s="1"/>
    </row>
    <row r="17" ht="14.25" customHeight="1">
      <c r="A17" s="1112"/>
      <c r="B17" s="262" t="s">
        <v>858</v>
      </c>
      <c r="C17" s="50">
        <v>20.0</v>
      </c>
      <c r="D17" s="265">
        <f t="shared" si="1"/>
        <v>46</v>
      </c>
      <c r="E17" s="2164"/>
      <c r="F17" s="267" t="s">
        <v>999</v>
      </c>
      <c r="G17" s="47"/>
      <c r="H17" s="1"/>
      <c r="I17" s="1"/>
      <c r="J17" s="1"/>
      <c r="K17" s="1"/>
      <c r="L17" s="1"/>
      <c r="M17" s="1"/>
      <c r="N17" s="1"/>
      <c r="O17" s="1"/>
      <c r="P17" s="1"/>
      <c r="Q17" s="1"/>
      <c r="R17" s="1"/>
      <c r="S17" s="1"/>
    </row>
    <row r="18" ht="14.25" customHeight="1">
      <c r="A18" s="1112"/>
      <c r="B18" s="163" t="s">
        <v>210</v>
      </c>
      <c r="C18" s="221">
        <v>20.0</v>
      </c>
      <c r="D18" s="164">
        <f t="shared" si="1"/>
        <v>46</v>
      </c>
      <c r="E18" s="1731"/>
      <c r="F18" s="169" t="s">
        <v>18</v>
      </c>
      <c r="G18" s="47"/>
      <c r="H18" s="1"/>
      <c r="I18" s="1"/>
      <c r="J18" s="1"/>
      <c r="K18" s="1"/>
      <c r="L18" s="1"/>
      <c r="M18" s="1"/>
      <c r="N18" s="1"/>
      <c r="O18" s="1"/>
      <c r="P18" s="1"/>
      <c r="Q18" s="1"/>
      <c r="R18" s="1"/>
      <c r="S18" s="1"/>
    </row>
    <row r="19" ht="14.25" customHeight="1">
      <c r="A19" s="1112"/>
      <c r="B19" s="177" t="s">
        <v>102</v>
      </c>
      <c r="C19" s="27">
        <v>40.0</v>
      </c>
      <c r="D19" s="201">
        <f t="shared" si="1"/>
        <v>92</v>
      </c>
      <c r="E19" s="1735"/>
      <c r="F19" s="204" t="s">
        <v>18</v>
      </c>
      <c r="G19" s="47"/>
      <c r="H19" s="1"/>
      <c r="I19" s="1"/>
      <c r="J19" s="1" t="s">
        <v>2463</v>
      </c>
      <c r="K19" s="1"/>
      <c r="L19" s="1"/>
      <c r="M19" s="1"/>
      <c r="N19" s="1"/>
      <c r="O19" s="1"/>
      <c r="P19" s="1"/>
      <c r="Q19" s="1"/>
      <c r="R19" s="1"/>
      <c r="S19" s="1"/>
    </row>
    <row r="20" ht="14.25" customHeight="1">
      <c r="A20" s="1112"/>
      <c r="B20" s="177" t="s">
        <v>96</v>
      </c>
      <c r="C20" s="27">
        <v>10.0</v>
      </c>
      <c r="D20" s="201">
        <f t="shared" si="1"/>
        <v>23</v>
      </c>
      <c r="E20" s="1735"/>
      <c r="F20" s="204" t="s">
        <v>18</v>
      </c>
      <c r="G20" s="47"/>
      <c r="H20" s="1"/>
      <c r="I20" s="1"/>
      <c r="J20" s="1"/>
      <c r="K20" s="1"/>
      <c r="L20" s="1"/>
      <c r="M20" s="1"/>
      <c r="N20" s="1"/>
      <c r="O20" s="1"/>
      <c r="P20" s="1"/>
      <c r="Q20" s="1"/>
      <c r="R20" s="1"/>
      <c r="S20" s="1"/>
    </row>
    <row r="21" ht="14.25" customHeight="1">
      <c r="A21" s="1112"/>
      <c r="B21" s="177" t="s">
        <v>884</v>
      </c>
      <c r="C21" s="27">
        <v>50.0</v>
      </c>
      <c r="D21" s="201">
        <f t="shared" si="1"/>
        <v>115</v>
      </c>
      <c r="E21" s="1735"/>
      <c r="F21" s="204" t="s">
        <v>18</v>
      </c>
      <c r="G21" s="47"/>
      <c r="H21" s="1"/>
      <c r="I21" s="1"/>
      <c r="J21" s="1"/>
      <c r="K21" s="1"/>
      <c r="L21" s="1"/>
      <c r="M21" s="1"/>
      <c r="N21" s="1"/>
      <c r="O21" s="1"/>
      <c r="P21" s="1"/>
      <c r="Q21" s="1"/>
      <c r="R21" s="1"/>
      <c r="S21" s="1"/>
    </row>
    <row r="22" ht="14.25" customHeight="1">
      <c r="A22" s="1112"/>
      <c r="B22" s="177" t="s">
        <v>162</v>
      </c>
      <c r="C22" s="27">
        <v>150.0</v>
      </c>
      <c r="D22" s="201">
        <f t="shared" si="1"/>
        <v>345</v>
      </c>
      <c r="E22" s="1735"/>
      <c r="F22" s="204" t="s">
        <v>18</v>
      </c>
      <c r="G22" s="47"/>
      <c r="H22" s="1"/>
      <c r="I22" s="1"/>
      <c r="J22" s="1"/>
      <c r="K22" s="1"/>
      <c r="L22" s="1"/>
      <c r="M22" s="1"/>
      <c r="N22" s="1"/>
      <c r="O22" s="1"/>
      <c r="P22" s="1"/>
      <c r="Q22" s="1"/>
      <c r="R22" s="1"/>
      <c r="S22" s="1"/>
    </row>
    <row r="23" ht="14.25" customHeight="1">
      <c r="A23" s="1112"/>
      <c r="B23" s="208" t="s">
        <v>95</v>
      </c>
      <c r="C23" s="236">
        <v>25.0</v>
      </c>
      <c r="D23" s="257">
        <f t="shared" si="1"/>
        <v>57.5</v>
      </c>
      <c r="E23" s="1738"/>
      <c r="F23" s="212" t="s">
        <v>18</v>
      </c>
      <c r="G23" s="47"/>
      <c r="H23" s="1" t="s">
        <v>2465</v>
      </c>
      <c r="I23" s="1"/>
      <c r="J23" s="1" t="s">
        <v>2466</v>
      </c>
      <c r="K23" s="1"/>
      <c r="L23" s="1"/>
      <c r="M23" s="1"/>
      <c r="N23" s="1"/>
      <c r="O23" s="1"/>
      <c r="P23" s="1"/>
      <c r="Q23" s="1"/>
      <c r="R23" s="1"/>
      <c r="S23" s="1"/>
    </row>
    <row r="24" ht="14.25" customHeight="1">
      <c r="A24" s="1112"/>
      <c r="B24" s="325" t="s">
        <v>2467</v>
      </c>
      <c r="C24" s="370">
        <v>1.2</v>
      </c>
      <c r="D24" s="1362">
        <f t="shared" si="1"/>
        <v>2.76</v>
      </c>
      <c r="E24" s="2186"/>
      <c r="F24" s="338" t="s">
        <v>14</v>
      </c>
      <c r="G24" s="76"/>
      <c r="H24" s="1"/>
      <c r="I24" s="1"/>
      <c r="J24" s="1"/>
      <c r="K24" s="1"/>
      <c r="L24" s="1"/>
      <c r="M24" s="1"/>
      <c r="N24" s="1"/>
      <c r="O24" s="1"/>
      <c r="P24" s="1"/>
      <c r="Q24" s="1"/>
      <c r="R24" s="1"/>
      <c r="S24" s="1"/>
    </row>
    <row r="25" ht="14.25" customHeight="1">
      <c r="A25" s="1112"/>
      <c r="B25" s="325" t="s">
        <v>2471</v>
      </c>
      <c r="C25" s="370">
        <v>15.0</v>
      </c>
      <c r="D25" s="1362">
        <f t="shared" ref="D25:D28" si="2">(C25*D23)/C23</f>
        <v>34.5</v>
      </c>
      <c r="E25" s="2186"/>
      <c r="F25" s="338" t="s">
        <v>14</v>
      </c>
      <c r="G25" s="1186" t="s">
        <v>264</v>
      </c>
      <c r="H25" s="1"/>
      <c r="I25" s="1"/>
      <c r="J25" s="1"/>
      <c r="K25" s="1"/>
      <c r="L25" s="1"/>
      <c r="M25" s="1"/>
      <c r="N25" s="1"/>
      <c r="O25" s="1"/>
      <c r="P25" s="1"/>
      <c r="Q25" s="1"/>
      <c r="R25" s="1"/>
      <c r="S25" s="1"/>
    </row>
    <row r="26" ht="14.25" customHeight="1">
      <c r="A26" s="1112"/>
      <c r="B26" s="163" t="s">
        <v>31</v>
      </c>
      <c r="C26" s="221">
        <v>800.0</v>
      </c>
      <c r="D26" s="164">
        <f t="shared" si="2"/>
        <v>1840</v>
      </c>
      <c r="E26" s="1731"/>
      <c r="F26" s="169" t="s">
        <v>18</v>
      </c>
      <c r="G26" s="44"/>
      <c r="H26" s="1"/>
      <c r="I26" s="1"/>
      <c r="J26" s="1"/>
      <c r="K26" s="1"/>
      <c r="L26" s="1"/>
      <c r="M26" s="1"/>
      <c r="N26" s="1"/>
      <c r="O26" s="1"/>
      <c r="P26" s="1"/>
      <c r="Q26" s="1"/>
      <c r="R26" s="1"/>
      <c r="S26" s="1"/>
    </row>
    <row r="27" ht="14.25" customHeight="1">
      <c r="A27" s="1112"/>
      <c r="B27" s="208" t="s">
        <v>13</v>
      </c>
      <c r="C27" s="236">
        <v>1.5</v>
      </c>
      <c r="D27" s="257">
        <f t="shared" si="2"/>
        <v>3.45</v>
      </c>
      <c r="E27" s="1738"/>
      <c r="F27" s="212" t="s">
        <v>14</v>
      </c>
      <c r="G27" s="76"/>
      <c r="H27" s="1"/>
      <c r="I27" s="1"/>
      <c r="J27" s="1"/>
      <c r="K27" s="1"/>
      <c r="L27" s="1"/>
      <c r="M27" s="1"/>
      <c r="N27" s="1"/>
      <c r="O27" s="1"/>
      <c r="P27" s="1"/>
      <c r="Q27" s="1"/>
      <c r="R27" s="1"/>
      <c r="S27" s="1"/>
    </row>
    <row r="28" ht="14.25" customHeight="1">
      <c r="A28" s="1112"/>
      <c r="B28" s="325" t="s">
        <v>335</v>
      </c>
      <c r="C28" s="370">
        <v>2.5</v>
      </c>
      <c r="D28" s="1362">
        <f t="shared" si="2"/>
        <v>5.75</v>
      </c>
      <c r="E28" s="2186"/>
      <c r="F28" s="338" t="s">
        <v>5</v>
      </c>
      <c r="G28" s="784" t="s">
        <v>204</v>
      </c>
      <c r="H28" s="1"/>
      <c r="I28" s="1"/>
      <c r="J28" s="1"/>
      <c r="K28" s="1"/>
      <c r="L28" s="1"/>
      <c r="M28" s="1"/>
      <c r="N28" s="1"/>
      <c r="O28" s="1"/>
      <c r="P28" s="1"/>
      <c r="Q28" s="1"/>
      <c r="R28" s="1"/>
      <c r="S28" s="1"/>
    </row>
    <row r="29" ht="14.25" customHeight="1">
      <c r="A29" s="1112"/>
      <c r="B29" s="1640" t="s">
        <v>119</v>
      </c>
      <c r="C29" s="183" t="s">
        <v>47</v>
      </c>
      <c r="D29" s="184"/>
      <c r="E29" s="184"/>
      <c r="F29" s="1"/>
      <c r="G29" s="1"/>
      <c r="H29" s="1"/>
      <c r="I29" s="1"/>
      <c r="J29" s="1"/>
      <c r="K29" s="1"/>
      <c r="L29" s="1"/>
      <c r="M29" s="1"/>
      <c r="N29" s="1"/>
      <c r="O29" s="1"/>
      <c r="P29" s="1"/>
      <c r="Q29" s="1"/>
      <c r="R29" s="1"/>
      <c r="S29" s="1"/>
    </row>
    <row r="30" ht="14.25" customHeight="1">
      <c r="A30" s="1112"/>
      <c r="B30" s="90" t="s">
        <v>120</v>
      </c>
      <c r="C30" s="1188">
        <v>40986.0</v>
      </c>
      <c r="D30" s="184"/>
      <c r="E30" s="184"/>
      <c r="F30" s="1"/>
      <c r="G30" s="1"/>
      <c r="H30" s="1"/>
      <c r="I30" s="1"/>
      <c r="J30" s="1"/>
      <c r="K30" s="1"/>
      <c r="L30" s="1"/>
      <c r="M30" s="1"/>
      <c r="N30" s="1"/>
      <c r="O30" s="1"/>
      <c r="P30" s="1"/>
      <c r="Q30" s="1"/>
      <c r="R30" s="1"/>
      <c r="S30" s="1"/>
    </row>
    <row r="31" ht="14.25" customHeight="1">
      <c r="A31" s="1112"/>
      <c r="B31" s="305" t="s">
        <v>50</v>
      </c>
      <c r="C31" s="1188">
        <v>41785.0</v>
      </c>
      <c r="D31" s="184"/>
      <c r="E31" s="184"/>
      <c r="F31" s="1"/>
      <c r="G31" s="1"/>
      <c r="H31" s="1"/>
      <c r="I31" s="1"/>
      <c r="J31" s="1"/>
      <c r="K31" s="1"/>
      <c r="L31" s="1"/>
      <c r="M31" s="1"/>
      <c r="N31" s="1"/>
      <c r="O31" s="1"/>
      <c r="P31" s="1"/>
      <c r="Q31" s="1"/>
      <c r="R31" s="1"/>
      <c r="S31" s="1"/>
    </row>
    <row r="32" ht="14.25" customHeight="1">
      <c r="A32" s="1112"/>
      <c r="B32" s="1"/>
      <c r="C32" s="107"/>
      <c r="D32" s="184"/>
      <c r="E32" s="184"/>
      <c r="F32" s="1"/>
      <c r="G32" s="1112"/>
      <c r="H32" s="1"/>
      <c r="I32" s="1"/>
      <c r="J32" s="1"/>
      <c r="K32" s="1"/>
      <c r="L32" s="1"/>
      <c r="M32" s="1"/>
      <c r="N32" s="1"/>
      <c r="O32" s="1"/>
      <c r="P32" s="1"/>
      <c r="Q32" s="1"/>
      <c r="R32" s="1"/>
      <c r="S32" s="1"/>
    </row>
    <row r="33" ht="14.25" customHeight="1">
      <c r="A33" s="1112"/>
      <c r="B33" s="2214" t="s">
        <v>269</v>
      </c>
      <c r="C33" s="18"/>
      <c r="D33" s="18"/>
      <c r="E33" s="18"/>
      <c r="F33" s="19"/>
      <c r="G33" s="2215"/>
      <c r="H33" s="1"/>
      <c r="I33" s="1"/>
      <c r="J33" s="1"/>
      <c r="K33" s="1"/>
      <c r="L33" s="1"/>
      <c r="M33" s="1"/>
      <c r="N33" s="1"/>
      <c r="O33" s="1"/>
      <c r="P33" s="1"/>
      <c r="Q33" s="1"/>
      <c r="R33" s="1"/>
      <c r="S33" s="1"/>
    </row>
    <row r="34" ht="14.25" customHeight="1">
      <c r="A34" s="1112"/>
      <c r="B34" s="324" t="s">
        <v>1</v>
      </c>
      <c r="C34" s="444">
        <v>100.0</v>
      </c>
      <c r="D34" s="2218">
        <v>60.0</v>
      </c>
      <c r="E34" s="2220"/>
      <c r="F34" s="329" t="s">
        <v>5</v>
      </c>
      <c r="G34" s="2222"/>
      <c r="H34" s="1"/>
      <c r="I34" s="1"/>
      <c r="J34" s="1"/>
      <c r="K34" s="1"/>
      <c r="L34" s="1"/>
      <c r="M34" s="1"/>
      <c r="N34" s="1"/>
      <c r="O34" s="1"/>
      <c r="P34" s="1"/>
      <c r="Q34" s="1"/>
      <c r="R34" s="1"/>
      <c r="S34" s="1"/>
    </row>
    <row r="35" ht="14.25" customHeight="1">
      <c r="A35" s="1112"/>
      <c r="B35" s="2225" t="s">
        <v>1161</v>
      </c>
      <c r="C35" s="10">
        <v>25.0</v>
      </c>
      <c r="D35" s="2228">
        <f t="shared" ref="D35:D53" si="3">(C35*D34)/C34</f>
        <v>15</v>
      </c>
      <c r="E35" s="2229"/>
      <c r="F35" s="348" t="s">
        <v>14</v>
      </c>
      <c r="G35" s="1183" t="s">
        <v>2483</v>
      </c>
      <c r="H35" s="1"/>
      <c r="I35" s="1"/>
      <c r="J35" s="1"/>
      <c r="K35" s="1"/>
      <c r="L35" s="1"/>
      <c r="M35" s="1"/>
      <c r="N35" s="1"/>
      <c r="O35" s="1"/>
      <c r="P35" s="1"/>
      <c r="Q35" s="1"/>
      <c r="R35" s="1"/>
      <c r="S35" s="1"/>
    </row>
    <row r="36" ht="14.25" customHeight="1">
      <c r="A36" s="1112"/>
      <c r="B36" s="1421" t="s">
        <v>329</v>
      </c>
      <c r="C36" s="23">
        <v>5.0</v>
      </c>
      <c r="D36" s="2231">
        <f t="shared" si="3"/>
        <v>3</v>
      </c>
      <c r="E36" s="2232"/>
      <c r="F36" s="352" t="s">
        <v>14</v>
      </c>
      <c r="G36" s="47"/>
      <c r="H36" s="1"/>
      <c r="I36" s="1"/>
      <c r="J36" s="1"/>
      <c r="K36" s="1"/>
      <c r="L36" s="1"/>
      <c r="M36" s="1"/>
      <c r="N36" s="1"/>
      <c r="O36" s="1"/>
      <c r="P36" s="1"/>
      <c r="Q36" s="1"/>
      <c r="R36" s="1"/>
      <c r="S36" s="1"/>
    </row>
    <row r="37" ht="14.25" customHeight="1">
      <c r="A37" s="1112"/>
      <c r="B37" s="1421" t="s">
        <v>2288</v>
      </c>
      <c r="C37" s="23">
        <v>5.0</v>
      </c>
      <c r="D37" s="2231">
        <f t="shared" si="3"/>
        <v>3</v>
      </c>
      <c r="E37" s="2232"/>
      <c r="F37" s="352" t="s">
        <v>14</v>
      </c>
      <c r="G37" s="47"/>
      <c r="H37" s="1"/>
      <c r="I37" s="1"/>
      <c r="J37" s="1"/>
      <c r="K37" s="1"/>
      <c r="L37" s="1"/>
      <c r="M37" s="1"/>
      <c r="N37" s="1"/>
      <c r="O37" s="1"/>
      <c r="P37" s="1"/>
      <c r="Q37" s="1"/>
      <c r="R37" s="1"/>
      <c r="S37" s="1"/>
    </row>
    <row r="38" ht="14.25" customHeight="1">
      <c r="A38" s="1112"/>
      <c r="B38" s="2235" t="s">
        <v>2440</v>
      </c>
      <c r="C38" s="709">
        <v>10.0</v>
      </c>
      <c r="D38" s="1639">
        <f t="shared" si="3"/>
        <v>6</v>
      </c>
      <c r="E38" s="2237"/>
      <c r="F38" s="1475" t="s">
        <v>14</v>
      </c>
      <c r="G38" s="76"/>
      <c r="H38" s="1"/>
      <c r="I38" s="1"/>
      <c r="J38" s="1"/>
      <c r="K38" s="1"/>
      <c r="L38" s="1"/>
      <c r="M38" s="1"/>
      <c r="N38" s="1"/>
      <c r="O38" s="1"/>
      <c r="P38" s="1"/>
      <c r="Q38" s="1"/>
      <c r="R38" s="1"/>
      <c r="S38" s="1"/>
    </row>
    <row r="39" ht="14.25" customHeight="1">
      <c r="A39" s="1112"/>
      <c r="B39" s="2240" t="s">
        <v>31</v>
      </c>
      <c r="C39" s="2241">
        <v>1050.0</v>
      </c>
      <c r="D39" s="2242">
        <f t="shared" si="3"/>
        <v>630</v>
      </c>
      <c r="E39" s="2243"/>
      <c r="F39" s="1762" t="s">
        <v>18</v>
      </c>
      <c r="G39" s="2215"/>
      <c r="H39" s="1"/>
      <c r="I39" s="1"/>
      <c r="J39" s="1"/>
      <c r="K39" s="1"/>
      <c r="L39" s="1"/>
      <c r="M39" s="1"/>
      <c r="N39" s="1"/>
      <c r="O39" s="1"/>
      <c r="P39" s="1"/>
      <c r="Q39" s="1"/>
      <c r="R39" s="1"/>
      <c r="S39" s="1"/>
    </row>
    <row r="40" ht="14.25" customHeight="1">
      <c r="A40" s="1112"/>
      <c r="B40" s="2225" t="s">
        <v>91</v>
      </c>
      <c r="C40" s="10">
        <v>4.0</v>
      </c>
      <c r="D40" s="2228">
        <f t="shared" si="3"/>
        <v>2.4</v>
      </c>
      <c r="E40" s="2229"/>
      <c r="F40" s="2244" t="s">
        <v>5</v>
      </c>
      <c r="G40" s="2245" t="s">
        <v>2490</v>
      </c>
      <c r="H40" s="1"/>
      <c r="I40" s="1"/>
      <c r="J40" s="1"/>
      <c r="K40" s="1"/>
      <c r="L40" s="1"/>
      <c r="M40" s="1"/>
      <c r="N40" s="1"/>
      <c r="O40" s="1"/>
      <c r="P40" s="1"/>
      <c r="Q40" s="1"/>
      <c r="R40" s="1"/>
      <c r="S40" s="1"/>
    </row>
    <row r="41" ht="14.25" customHeight="1">
      <c r="A41" s="1112"/>
      <c r="B41" s="1421" t="s">
        <v>113</v>
      </c>
      <c r="C41" s="23">
        <v>40.0</v>
      </c>
      <c r="D41" s="2231">
        <f t="shared" si="3"/>
        <v>24</v>
      </c>
      <c r="E41" s="2232"/>
      <c r="F41" s="2246" t="s">
        <v>18</v>
      </c>
      <c r="G41" s="47"/>
      <c r="H41" s="1"/>
      <c r="I41" s="1"/>
      <c r="J41" s="1"/>
      <c r="K41" s="1"/>
      <c r="L41" s="1"/>
      <c r="M41" s="1"/>
      <c r="N41" s="1"/>
      <c r="O41" s="1"/>
      <c r="P41" s="1"/>
      <c r="Q41" s="1"/>
      <c r="R41" s="1"/>
      <c r="S41" s="1"/>
    </row>
    <row r="42" ht="14.25" customHeight="1">
      <c r="A42" s="1112"/>
      <c r="B42" s="1421" t="s">
        <v>148</v>
      </c>
      <c r="C42" s="23">
        <v>250.0</v>
      </c>
      <c r="D42" s="2231">
        <f t="shared" si="3"/>
        <v>150</v>
      </c>
      <c r="E42" s="2232"/>
      <c r="F42" s="2246" t="s">
        <v>18</v>
      </c>
      <c r="G42" s="47"/>
      <c r="H42" s="1"/>
      <c r="I42" s="1"/>
      <c r="J42" s="1"/>
      <c r="K42" s="1"/>
      <c r="L42" s="1"/>
      <c r="M42" s="1"/>
      <c r="N42" s="1"/>
      <c r="O42" s="1"/>
      <c r="P42" s="1"/>
      <c r="Q42" s="1"/>
      <c r="R42" s="1"/>
      <c r="S42" s="1"/>
    </row>
    <row r="43" ht="14.25" customHeight="1">
      <c r="A43" s="1112"/>
      <c r="B43" s="1421" t="s">
        <v>103</v>
      </c>
      <c r="C43" s="23">
        <v>100.0</v>
      </c>
      <c r="D43" s="2231">
        <f t="shared" si="3"/>
        <v>60</v>
      </c>
      <c r="E43" s="2232"/>
      <c r="F43" s="2246" t="s">
        <v>18</v>
      </c>
      <c r="G43" s="47"/>
      <c r="H43" s="1"/>
      <c r="I43" s="1"/>
      <c r="J43" s="1"/>
      <c r="K43" s="1"/>
      <c r="L43" s="1"/>
      <c r="M43" s="1"/>
      <c r="N43" s="1"/>
      <c r="O43" s="1"/>
      <c r="P43" s="1"/>
      <c r="Q43" s="1"/>
      <c r="R43" s="1"/>
      <c r="S43" s="1"/>
    </row>
    <row r="44" ht="14.25" customHeight="1">
      <c r="A44" s="1112"/>
      <c r="B44" s="1421" t="s">
        <v>92</v>
      </c>
      <c r="C44" s="23">
        <v>1000.0</v>
      </c>
      <c r="D44" s="2231">
        <f t="shared" si="3"/>
        <v>600</v>
      </c>
      <c r="E44" s="2232"/>
      <c r="F44" s="2246" t="s">
        <v>82</v>
      </c>
      <c r="G44" s="47"/>
      <c r="H44" s="1"/>
      <c r="I44" s="1"/>
      <c r="J44" s="1"/>
      <c r="K44" s="1"/>
      <c r="L44" s="1"/>
      <c r="M44" s="1"/>
      <c r="N44" s="1"/>
      <c r="O44" s="1"/>
      <c r="P44" s="1"/>
      <c r="Q44" s="1"/>
      <c r="R44" s="1"/>
      <c r="S44" s="1"/>
    </row>
    <row r="45" ht="14.25" customHeight="1">
      <c r="A45" s="1112"/>
      <c r="B45" s="1421" t="s">
        <v>1657</v>
      </c>
      <c r="C45" s="23">
        <v>100.0</v>
      </c>
      <c r="D45" s="2231">
        <f t="shared" si="3"/>
        <v>60</v>
      </c>
      <c r="E45" s="2232"/>
      <c r="F45" s="2246" t="s">
        <v>18</v>
      </c>
      <c r="G45" s="47"/>
      <c r="H45" s="1"/>
      <c r="I45" s="1"/>
      <c r="J45" s="1"/>
      <c r="K45" s="1"/>
      <c r="L45" s="1"/>
      <c r="M45" s="1"/>
      <c r="N45" s="1"/>
      <c r="O45" s="1"/>
      <c r="P45" s="1"/>
      <c r="Q45" s="1"/>
      <c r="R45" s="1"/>
      <c r="S45" s="1"/>
    </row>
    <row r="46" ht="14.25" customHeight="1">
      <c r="A46" s="1112"/>
      <c r="B46" s="1421" t="s">
        <v>2492</v>
      </c>
      <c r="C46" s="23">
        <v>5.0</v>
      </c>
      <c r="D46" s="2231">
        <f t="shared" si="3"/>
        <v>3</v>
      </c>
      <c r="E46" s="2232"/>
      <c r="F46" s="2246" t="s">
        <v>14</v>
      </c>
      <c r="G46" s="47"/>
      <c r="H46" s="1"/>
      <c r="I46" s="1"/>
      <c r="J46" s="1"/>
      <c r="K46" s="1"/>
      <c r="L46" s="1"/>
      <c r="M46" s="1"/>
      <c r="N46" s="1"/>
      <c r="O46" s="1"/>
      <c r="P46" s="1"/>
      <c r="Q46" s="1"/>
      <c r="R46" s="1"/>
      <c r="S46" s="1"/>
    </row>
    <row r="47" ht="14.25" customHeight="1">
      <c r="A47" s="1112"/>
      <c r="B47" s="1421" t="s">
        <v>196</v>
      </c>
      <c r="C47" s="23">
        <v>5.0</v>
      </c>
      <c r="D47" s="2231">
        <f t="shared" si="3"/>
        <v>3</v>
      </c>
      <c r="E47" s="2232"/>
      <c r="F47" s="2246" t="s">
        <v>14</v>
      </c>
      <c r="G47" s="47"/>
      <c r="H47" s="1"/>
      <c r="I47" s="1"/>
      <c r="J47" s="1"/>
      <c r="K47" s="1"/>
      <c r="L47" s="1"/>
      <c r="M47" s="1"/>
      <c r="N47" s="1"/>
      <c r="O47" s="1"/>
      <c r="P47" s="1"/>
      <c r="Q47" s="1"/>
      <c r="R47" s="1"/>
      <c r="S47" s="1"/>
    </row>
    <row r="48" ht="14.25" customHeight="1">
      <c r="A48" s="1112"/>
      <c r="B48" s="1421" t="s">
        <v>2493</v>
      </c>
      <c r="C48" s="23">
        <v>500.0</v>
      </c>
      <c r="D48" s="2231">
        <f t="shared" si="3"/>
        <v>300</v>
      </c>
      <c r="E48" s="2232"/>
      <c r="F48" s="2246" t="s">
        <v>18</v>
      </c>
      <c r="G48" s="47"/>
      <c r="H48" s="1"/>
      <c r="I48" s="1"/>
      <c r="J48" s="1"/>
      <c r="K48" s="1"/>
      <c r="L48" s="1"/>
      <c r="M48" s="1"/>
      <c r="N48" s="1"/>
      <c r="O48" s="1"/>
      <c r="P48" s="1"/>
      <c r="Q48" s="1"/>
      <c r="R48" s="1"/>
      <c r="S48" s="1"/>
    </row>
    <row r="49" ht="14.25" customHeight="1">
      <c r="A49" s="1112"/>
      <c r="B49" s="2235" t="s">
        <v>2494</v>
      </c>
      <c r="C49" s="709">
        <v>10.0</v>
      </c>
      <c r="D49" s="1639">
        <f t="shared" si="3"/>
        <v>6</v>
      </c>
      <c r="E49" s="2237"/>
      <c r="F49" s="2251" t="s">
        <v>14</v>
      </c>
      <c r="G49" s="76"/>
      <c r="H49" s="1"/>
      <c r="I49" s="1"/>
      <c r="J49" s="1"/>
      <c r="K49" s="1"/>
      <c r="L49" s="1"/>
      <c r="M49" s="1"/>
      <c r="N49" s="1"/>
      <c r="O49" s="1"/>
      <c r="P49" s="1"/>
      <c r="Q49" s="1"/>
      <c r="R49" s="1"/>
      <c r="S49" s="1"/>
    </row>
    <row r="50" ht="14.25" customHeight="1">
      <c r="A50" s="1112"/>
      <c r="B50" s="2252" t="s">
        <v>856</v>
      </c>
      <c r="C50" s="1984">
        <v>1.0</v>
      </c>
      <c r="D50" s="2257">
        <f t="shared" si="3"/>
        <v>0.6</v>
      </c>
      <c r="E50" s="2259"/>
      <c r="F50" s="1457" t="s">
        <v>14</v>
      </c>
      <c r="G50" s="2260"/>
      <c r="H50" s="1"/>
      <c r="I50" s="1"/>
      <c r="J50" s="1"/>
      <c r="K50" s="1"/>
      <c r="L50" s="1"/>
      <c r="M50" s="1"/>
      <c r="N50" s="1"/>
      <c r="O50" s="1"/>
      <c r="P50" s="1"/>
      <c r="Q50" s="1"/>
      <c r="R50" s="1"/>
      <c r="S50" s="1"/>
    </row>
    <row r="51" ht="14.25" customHeight="1">
      <c r="A51" s="2262" t="s">
        <v>2502</v>
      </c>
      <c r="B51" s="2252" t="s">
        <v>469</v>
      </c>
      <c r="C51" s="1984">
        <v>20.0</v>
      </c>
      <c r="D51" s="2257">
        <f t="shared" si="3"/>
        <v>12</v>
      </c>
      <c r="E51" s="2259"/>
      <c r="F51" s="1457" t="s">
        <v>5</v>
      </c>
      <c r="G51" s="2260"/>
      <c r="H51" s="1"/>
      <c r="I51" s="1"/>
      <c r="J51" s="1"/>
      <c r="K51" s="1"/>
      <c r="L51" s="1"/>
      <c r="M51" s="1"/>
      <c r="N51" s="1"/>
      <c r="O51" s="1"/>
      <c r="P51" s="1"/>
      <c r="Q51" s="1"/>
      <c r="R51" s="1"/>
      <c r="S51" s="1"/>
    </row>
    <row r="52" ht="14.25" customHeight="1">
      <c r="A52" s="63"/>
      <c r="B52" s="2225" t="s">
        <v>2504</v>
      </c>
      <c r="C52" s="10">
        <v>1.0</v>
      </c>
      <c r="D52" s="2228">
        <f t="shared" si="3"/>
        <v>0.6</v>
      </c>
      <c r="E52" s="2229"/>
      <c r="F52" s="348" t="s">
        <v>14</v>
      </c>
      <c r="G52" s="1183" t="s">
        <v>2505</v>
      </c>
      <c r="H52" s="1"/>
      <c r="I52" s="1"/>
      <c r="J52" s="1"/>
      <c r="K52" s="1"/>
      <c r="L52" s="1"/>
      <c r="M52" s="1"/>
      <c r="N52" s="1"/>
      <c r="O52" s="1"/>
      <c r="P52" s="1"/>
      <c r="Q52" s="1"/>
      <c r="R52" s="1"/>
      <c r="S52" s="1"/>
    </row>
    <row r="53" ht="14.25" customHeight="1">
      <c r="A53" s="63"/>
      <c r="B53" s="2235" t="s">
        <v>114</v>
      </c>
      <c r="C53" s="709">
        <v>2.5</v>
      </c>
      <c r="D53" s="1639">
        <f t="shared" si="3"/>
        <v>1.5</v>
      </c>
      <c r="E53" s="2237"/>
      <c r="F53" s="1475" t="s">
        <v>5</v>
      </c>
      <c r="G53" s="76"/>
      <c r="H53" s="1"/>
      <c r="I53" s="1"/>
      <c r="J53" s="1"/>
      <c r="K53" s="1"/>
      <c r="L53" s="1"/>
      <c r="M53" s="1"/>
      <c r="N53" s="1"/>
      <c r="O53" s="1"/>
      <c r="P53" s="1"/>
      <c r="Q53" s="1"/>
      <c r="R53" s="1"/>
      <c r="S53" s="1"/>
    </row>
    <row r="54" ht="14.25" customHeight="1">
      <c r="A54" s="1112"/>
      <c r="B54" s="1640" t="s">
        <v>119</v>
      </c>
      <c r="C54" s="183" t="s">
        <v>47</v>
      </c>
      <c r="D54" s="184"/>
      <c r="E54" s="184"/>
      <c r="F54" s="1"/>
      <c r="G54" s="1"/>
      <c r="H54" s="1"/>
      <c r="I54" s="1"/>
      <c r="J54" s="1"/>
      <c r="K54" s="1"/>
      <c r="L54" s="1"/>
      <c r="M54" s="1"/>
      <c r="N54" s="1"/>
      <c r="O54" s="1"/>
      <c r="P54" s="1"/>
      <c r="Q54" s="1"/>
      <c r="R54" s="1"/>
      <c r="S54" s="1"/>
    </row>
    <row r="55" ht="14.25" customHeight="1">
      <c r="A55" s="1112"/>
      <c r="B55" s="186" t="s">
        <v>120</v>
      </c>
      <c r="C55" s="1188">
        <v>40824.0</v>
      </c>
      <c r="D55" s="184"/>
      <c r="E55" s="184"/>
      <c r="F55" s="1"/>
      <c r="G55" s="1"/>
      <c r="H55" s="1"/>
      <c r="I55" s="1"/>
      <c r="J55" s="1"/>
      <c r="K55" s="1"/>
      <c r="L55" s="1"/>
      <c r="M55" s="1"/>
      <c r="N55" s="1"/>
      <c r="O55" s="1"/>
      <c r="P55" s="1"/>
      <c r="Q55" s="1"/>
      <c r="R55" s="1"/>
      <c r="S55" s="1"/>
    </row>
    <row r="56" ht="14.25" customHeight="1">
      <c r="A56" s="1112"/>
      <c r="B56" s="90" t="s">
        <v>50</v>
      </c>
      <c r="C56" s="1188">
        <v>41366.0</v>
      </c>
      <c r="D56" s="184"/>
      <c r="E56" s="184"/>
      <c r="F56" s="1"/>
      <c r="G56" s="1"/>
      <c r="H56" s="1"/>
      <c r="I56" s="1"/>
      <c r="J56" s="1"/>
      <c r="K56" s="1"/>
      <c r="L56" s="1"/>
      <c r="M56" s="1"/>
      <c r="N56" s="1"/>
      <c r="O56" s="1"/>
      <c r="P56" s="1"/>
      <c r="Q56" s="1"/>
      <c r="R56" s="1"/>
      <c r="S56" s="1"/>
    </row>
    <row r="57" ht="14.25" customHeight="1">
      <c r="A57" s="1112"/>
      <c r="B57" s="1"/>
      <c r="C57" s="107"/>
      <c r="D57" s="184"/>
      <c r="E57" s="184"/>
      <c r="F57" s="1"/>
      <c r="G57" s="1112"/>
      <c r="H57" s="1"/>
      <c r="I57" s="1"/>
      <c r="J57" s="1"/>
      <c r="K57" s="1"/>
      <c r="L57" s="1"/>
      <c r="M57" s="1"/>
      <c r="N57" s="1"/>
      <c r="O57" s="1"/>
      <c r="P57" s="1"/>
      <c r="Q57" s="1"/>
      <c r="R57" s="1"/>
      <c r="S57" s="1"/>
    </row>
    <row r="58" ht="14.25" customHeight="1">
      <c r="A58" s="1112"/>
      <c r="B58" s="656" t="s">
        <v>2511</v>
      </c>
      <c r="C58" s="18"/>
      <c r="D58" s="18"/>
      <c r="E58" s="18"/>
      <c r="F58" s="19"/>
      <c r="G58" s="141"/>
      <c r="H58" s="1"/>
      <c r="I58" s="1"/>
      <c r="J58" s="1"/>
      <c r="K58" s="1"/>
      <c r="L58" s="1"/>
      <c r="M58" s="1"/>
      <c r="N58" s="1"/>
      <c r="O58" s="1"/>
      <c r="P58" s="1"/>
      <c r="Q58" s="1"/>
      <c r="R58" s="1"/>
      <c r="S58" s="1"/>
    </row>
    <row r="59" ht="14.25" customHeight="1">
      <c r="A59" s="1112"/>
      <c r="B59" s="25" t="s">
        <v>1</v>
      </c>
      <c r="C59" s="410">
        <v>100.0</v>
      </c>
      <c r="D59" s="526">
        <v>60.0</v>
      </c>
      <c r="E59" s="2144"/>
      <c r="F59" s="28" t="s">
        <v>5</v>
      </c>
      <c r="G59" s="141"/>
      <c r="H59" s="1"/>
      <c r="I59" s="1"/>
      <c r="J59" s="1"/>
      <c r="K59" s="1"/>
      <c r="L59" s="1"/>
      <c r="M59" s="1"/>
      <c r="N59" s="1"/>
      <c r="O59" s="1"/>
      <c r="P59" s="1"/>
      <c r="Q59" s="1"/>
      <c r="R59" s="1"/>
      <c r="S59" s="1"/>
    </row>
    <row r="60" ht="14.25" customHeight="1">
      <c r="A60" s="1112"/>
      <c r="B60" s="163" t="s">
        <v>2427</v>
      </c>
      <c r="C60" s="131">
        <v>20.0</v>
      </c>
      <c r="D60" s="164">
        <f t="shared" ref="D60:D89" si="4">(C60*D59)/C59</f>
        <v>12</v>
      </c>
      <c r="E60" s="1731"/>
      <c r="F60" s="169" t="s">
        <v>14</v>
      </c>
      <c r="G60" s="44" t="s">
        <v>2512</v>
      </c>
      <c r="H60" s="1"/>
      <c r="I60" s="1"/>
      <c r="J60" s="1"/>
      <c r="K60" s="1"/>
      <c r="L60" s="1"/>
      <c r="M60" s="1"/>
      <c r="N60" s="1"/>
      <c r="O60" s="1"/>
      <c r="P60" s="1"/>
      <c r="Q60" s="1"/>
      <c r="R60" s="1"/>
      <c r="S60" s="1"/>
    </row>
    <row r="61" ht="14.25" customHeight="1">
      <c r="A61" s="1112"/>
      <c r="B61" s="177" t="s">
        <v>2514</v>
      </c>
      <c r="C61" s="160">
        <v>10.0</v>
      </c>
      <c r="D61" s="201">
        <f t="shared" si="4"/>
        <v>6</v>
      </c>
      <c r="E61" s="1735"/>
      <c r="F61" s="204" t="s">
        <v>14</v>
      </c>
      <c r="G61" s="47"/>
      <c r="H61" s="1"/>
      <c r="I61" s="1"/>
      <c r="J61" s="1"/>
      <c r="K61" s="1"/>
      <c r="L61" s="1"/>
      <c r="M61" s="1"/>
      <c r="N61" s="1"/>
      <c r="O61" s="1"/>
      <c r="P61" s="1"/>
      <c r="Q61" s="1"/>
      <c r="R61" s="1"/>
      <c r="S61" s="1"/>
    </row>
    <row r="62" ht="14.25" customHeight="1">
      <c r="A62" s="1112"/>
      <c r="B62" s="177" t="s">
        <v>2515</v>
      </c>
      <c r="C62" s="160">
        <v>10.0</v>
      </c>
      <c r="D62" s="201">
        <f t="shared" si="4"/>
        <v>6</v>
      </c>
      <c r="E62" s="1735"/>
      <c r="F62" s="204" t="s">
        <v>14</v>
      </c>
      <c r="G62" s="47"/>
      <c r="H62" s="1"/>
      <c r="I62" s="1"/>
      <c r="J62" s="1"/>
      <c r="K62" s="1"/>
      <c r="L62" s="1"/>
      <c r="M62" s="1"/>
      <c r="N62" s="1"/>
      <c r="O62" s="1"/>
      <c r="P62" s="1"/>
      <c r="Q62" s="1"/>
      <c r="R62" s="1"/>
      <c r="S62" s="1"/>
    </row>
    <row r="63" ht="14.25" customHeight="1">
      <c r="A63" s="1112"/>
      <c r="B63" s="177" t="s">
        <v>153</v>
      </c>
      <c r="C63" s="160">
        <v>10.0</v>
      </c>
      <c r="D63" s="201">
        <f t="shared" si="4"/>
        <v>6</v>
      </c>
      <c r="E63" s="1735"/>
      <c r="F63" s="204" t="s">
        <v>14</v>
      </c>
      <c r="G63" s="47"/>
      <c r="H63" s="1"/>
      <c r="I63" s="1"/>
      <c r="J63" s="1"/>
      <c r="K63" s="1"/>
      <c r="L63" s="1"/>
      <c r="M63" s="1"/>
      <c r="N63" s="1"/>
      <c r="O63" s="1"/>
      <c r="P63" s="1"/>
      <c r="Q63" s="1"/>
      <c r="R63" s="1"/>
      <c r="S63" s="1"/>
    </row>
    <row r="64" ht="14.25" customHeight="1">
      <c r="A64" s="1112"/>
      <c r="B64" s="177" t="s">
        <v>2516</v>
      </c>
      <c r="C64" s="160">
        <v>10.0</v>
      </c>
      <c r="D64" s="201">
        <f t="shared" si="4"/>
        <v>6</v>
      </c>
      <c r="E64" s="1735"/>
      <c r="F64" s="204" t="s">
        <v>14</v>
      </c>
      <c r="G64" s="47"/>
      <c r="H64" s="1"/>
      <c r="I64" s="1"/>
      <c r="J64" s="1"/>
      <c r="K64" s="1"/>
      <c r="L64" s="1"/>
      <c r="M64" s="1"/>
      <c r="N64" s="1"/>
      <c r="O64" s="1"/>
      <c r="P64" s="1"/>
      <c r="Q64" s="1"/>
      <c r="R64" s="1"/>
      <c r="S64" s="1"/>
    </row>
    <row r="65" ht="14.25" customHeight="1">
      <c r="A65" s="1112"/>
      <c r="B65" s="262" t="s">
        <v>628</v>
      </c>
      <c r="C65" s="1360">
        <v>20.0</v>
      </c>
      <c r="D65" s="265">
        <f t="shared" si="4"/>
        <v>12</v>
      </c>
      <c r="E65" s="2164"/>
      <c r="F65" s="267" t="s">
        <v>14</v>
      </c>
      <c r="G65" s="76"/>
      <c r="H65" s="1"/>
      <c r="I65" s="1"/>
      <c r="J65" s="1"/>
      <c r="K65" s="1"/>
      <c r="L65" s="1"/>
      <c r="M65" s="1"/>
      <c r="N65" s="1"/>
      <c r="O65" s="1"/>
      <c r="P65" s="1"/>
      <c r="Q65" s="1"/>
      <c r="R65" s="1"/>
      <c r="S65" s="1"/>
    </row>
    <row r="66" ht="14.25" customHeight="1">
      <c r="A66" s="1112"/>
      <c r="B66" s="163" t="s">
        <v>91</v>
      </c>
      <c r="C66" s="131">
        <v>3.0</v>
      </c>
      <c r="D66" s="164">
        <f t="shared" si="4"/>
        <v>1.8</v>
      </c>
      <c r="E66" s="1731"/>
      <c r="F66" s="169" t="s">
        <v>5</v>
      </c>
      <c r="G66" s="44" t="s">
        <v>2520</v>
      </c>
      <c r="H66" s="1"/>
      <c r="I66" s="1"/>
      <c r="J66" s="1"/>
      <c r="K66" s="1"/>
      <c r="L66" s="1"/>
      <c r="M66" s="1"/>
      <c r="N66" s="1"/>
      <c r="O66" s="1"/>
      <c r="P66" s="1"/>
      <c r="Q66" s="1"/>
      <c r="R66" s="1"/>
      <c r="S66" s="1"/>
    </row>
    <row r="67" ht="14.25" customHeight="1">
      <c r="A67" s="1112"/>
      <c r="B67" s="177" t="s">
        <v>747</v>
      </c>
      <c r="C67" s="160">
        <v>200.0</v>
      </c>
      <c r="D67" s="201">
        <f t="shared" si="4"/>
        <v>120</v>
      </c>
      <c r="E67" s="1735"/>
      <c r="F67" s="204" t="s">
        <v>18</v>
      </c>
      <c r="G67" s="47"/>
      <c r="H67" s="1"/>
      <c r="I67" s="1"/>
      <c r="J67" s="1"/>
      <c r="K67" s="1"/>
      <c r="L67" s="1"/>
      <c r="M67" s="1"/>
      <c r="N67" s="1"/>
      <c r="O67" s="1"/>
      <c r="P67" s="1"/>
      <c r="Q67" s="1"/>
      <c r="R67" s="1"/>
      <c r="S67" s="1"/>
    </row>
    <row r="68" ht="14.25" customHeight="1">
      <c r="A68" s="1112"/>
      <c r="B68" s="177" t="s">
        <v>103</v>
      </c>
      <c r="C68" s="160">
        <v>100.0</v>
      </c>
      <c r="D68" s="201">
        <f t="shared" si="4"/>
        <v>60</v>
      </c>
      <c r="E68" s="1735"/>
      <c r="F68" s="204" t="s">
        <v>18</v>
      </c>
      <c r="G68" s="47"/>
      <c r="H68" s="1"/>
      <c r="I68" s="1"/>
      <c r="J68" s="1"/>
      <c r="K68" s="1"/>
      <c r="L68" s="1"/>
      <c r="M68" s="1"/>
      <c r="N68" s="1"/>
      <c r="O68" s="1"/>
      <c r="P68" s="1"/>
      <c r="Q68" s="1"/>
      <c r="R68" s="1"/>
      <c r="S68" s="1"/>
    </row>
    <row r="69" ht="14.25" customHeight="1">
      <c r="A69" s="1112"/>
      <c r="B69" s="177" t="s">
        <v>101</v>
      </c>
      <c r="C69" s="160">
        <v>1.25</v>
      </c>
      <c r="D69" s="201">
        <f t="shared" si="4"/>
        <v>0.75</v>
      </c>
      <c r="E69" s="1735"/>
      <c r="F69" s="204" t="s">
        <v>5</v>
      </c>
      <c r="G69" s="47"/>
      <c r="H69" s="1"/>
      <c r="I69" s="1"/>
      <c r="J69" s="1"/>
      <c r="K69" s="1"/>
      <c r="L69" s="1"/>
      <c r="M69" s="1"/>
      <c r="N69" s="1"/>
      <c r="O69" s="1"/>
      <c r="P69" s="1"/>
      <c r="Q69" s="1"/>
      <c r="R69" s="1"/>
      <c r="S69" s="1"/>
    </row>
    <row r="70" ht="14.25" customHeight="1">
      <c r="A70" s="1112"/>
      <c r="B70" s="177" t="s">
        <v>2522</v>
      </c>
      <c r="C70" s="160">
        <v>500.0</v>
      </c>
      <c r="D70" s="201">
        <f t="shared" si="4"/>
        <v>300</v>
      </c>
      <c r="E70" s="1735"/>
      <c r="F70" s="204" t="s">
        <v>18</v>
      </c>
      <c r="G70" s="47"/>
      <c r="H70" s="1"/>
      <c r="I70" s="1"/>
      <c r="J70" s="1"/>
      <c r="K70" s="1"/>
      <c r="L70" s="1"/>
      <c r="M70" s="1"/>
      <c r="N70" s="1"/>
      <c r="O70" s="1"/>
      <c r="P70" s="1"/>
      <c r="Q70" s="1"/>
      <c r="R70" s="1"/>
      <c r="S70" s="1"/>
    </row>
    <row r="71" ht="14.25" customHeight="1">
      <c r="A71" s="1112"/>
      <c r="B71" s="177" t="s">
        <v>92</v>
      </c>
      <c r="C71" s="160">
        <v>750.0</v>
      </c>
      <c r="D71" s="201">
        <f t="shared" si="4"/>
        <v>450</v>
      </c>
      <c r="E71" s="1735"/>
      <c r="F71" s="204" t="s">
        <v>18</v>
      </c>
      <c r="G71" s="47"/>
      <c r="H71" s="1"/>
      <c r="I71" s="1"/>
      <c r="J71" s="1"/>
      <c r="K71" s="1"/>
      <c r="L71" s="1"/>
      <c r="M71" s="1"/>
      <c r="N71" s="1"/>
      <c r="O71" s="1"/>
      <c r="P71" s="1"/>
      <c r="Q71" s="1"/>
      <c r="R71" s="1"/>
      <c r="S71" s="1"/>
    </row>
    <row r="72" ht="14.25" customHeight="1">
      <c r="A72" s="1"/>
      <c r="B72" s="262" t="s">
        <v>52</v>
      </c>
      <c r="C72" s="1360">
        <v>200.0</v>
      </c>
      <c r="D72" s="265">
        <f t="shared" si="4"/>
        <v>120</v>
      </c>
      <c r="E72" s="2164"/>
      <c r="F72" s="267" t="s">
        <v>18</v>
      </c>
      <c r="G72" s="76"/>
      <c r="H72" s="1"/>
      <c r="I72" s="1"/>
      <c r="J72" s="1"/>
      <c r="K72" s="1"/>
      <c r="L72" s="1"/>
      <c r="M72" s="1"/>
      <c r="N72" s="1"/>
      <c r="O72" s="1"/>
      <c r="P72" s="1"/>
      <c r="Q72" s="1"/>
      <c r="R72" s="1"/>
      <c r="S72" s="1"/>
    </row>
    <row r="73" ht="14.25" customHeight="1">
      <c r="A73" s="1112"/>
      <c r="B73" s="163" t="s">
        <v>321</v>
      </c>
      <c r="C73" s="131">
        <v>300.0</v>
      </c>
      <c r="D73" s="164">
        <f t="shared" si="4"/>
        <v>180</v>
      </c>
      <c r="E73" s="1731"/>
      <c r="F73" s="169" t="s">
        <v>18</v>
      </c>
      <c r="G73" s="264" t="s">
        <v>2524</v>
      </c>
      <c r="H73" s="1"/>
      <c r="I73" s="1"/>
      <c r="J73" s="1"/>
      <c r="K73" s="1"/>
      <c r="L73" s="1"/>
      <c r="M73" s="1"/>
      <c r="N73" s="1"/>
      <c r="O73" s="1"/>
      <c r="P73" s="1"/>
      <c r="Q73" s="1"/>
      <c r="R73" s="1"/>
      <c r="S73" s="1"/>
    </row>
    <row r="74" ht="14.25" customHeight="1">
      <c r="A74" s="1112"/>
      <c r="B74" s="177" t="s">
        <v>2525</v>
      </c>
      <c r="C74" s="160">
        <v>30.0</v>
      </c>
      <c r="D74" s="201">
        <f t="shared" si="4"/>
        <v>18</v>
      </c>
      <c r="E74" s="1735"/>
      <c r="F74" s="204" t="s">
        <v>18</v>
      </c>
      <c r="G74" s="66"/>
      <c r="H74" s="1"/>
      <c r="I74" s="1"/>
      <c r="J74" s="1"/>
      <c r="K74" s="1"/>
      <c r="L74" s="1"/>
      <c r="M74" s="1"/>
      <c r="N74" s="1"/>
      <c r="O74" s="1"/>
      <c r="P74" s="1"/>
      <c r="Q74" s="1"/>
      <c r="R74" s="1"/>
      <c r="S74" s="1"/>
    </row>
    <row r="75" ht="14.25" customHeight="1">
      <c r="A75" s="1112"/>
      <c r="B75" s="177" t="s">
        <v>2526</v>
      </c>
      <c r="C75" s="160">
        <v>25.0</v>
      </c>
      <c r="D75" s="201">
        <f t="shared" si="4"/>
        <v>15</v>
      </c>
      <c r="E75" s="1735"/>
      <c r="F75" s="204" t="s">
        <v>18</v>
      </c>
      <c r="G75" s="66"/>
      <c r="H75" s="1"/>
      <c r="I75" s="1"/>
      <c r="J75" s="1"/>
      <c r="K75" s="1"/>
      <c r="L75" s="1"/>
      <c r="M75" s="1"/>
      <c r="N75" s="1"/>
      <c r="O75" s="1"/>
      <c r="P75" s="1"/>
      <c r="Q75" s="1"/>
      <c r="R75" s="1"/>
      <c r="S75" s="1"/>
    </row>
    <row r="76" ht="14.25" customHeight="1">
      <c r="A76" s="1112"/>
      <c r="B76" s="177" t="s">
        <v>2528</v>
      </c>
      <c r="C76" s="160">
        <v>50.0</v>
      </c>
      <c r="D76" s="201">
        <f t="shared" si="4"/>
        <v>30</v>
      </c>
      <c r="E76" s="1735"/>
      <c r="F76" s="204" t="s">
        <v>18</v>
      </c>
      <c r="G76" s="66"/>
      <c r="H76" s="1"/>
      <c r="I76" s="1"/>
      <c r="J76" s="1"/>
      <c r="K76" s="1"/>
      <c r="L76" s="1"/>
      <c r="M76" s="1"/>
      <c r="N76" s="1"/>
      <c r="O76" s="1"/>
      <c r="P76" s="1"/>
      <c r="Q76" s="1"/>
      <c r="R76" s="1"/>
      <c r="S76" s="1"/>
    </row>
    <row r="77" ht="14.25" customHeight="1">
      <c r="A77" s="1112"/>
      <c r="B77" s="177" t="s">
        <v>350</v>
      </c>
      <c r="C77" s="160">
        <v>3.0</v>
      </c>
      <c r="D77" s="201">
        <f t="shared" si="4"/>
        <v>1.8</v>
      </c>
      <c r="E77" s="1735"/>
      <c r="F77" s="2274" t="s">
        <v>14</v>
      </c>
      <c r="G77" s="66"/>
      <c r="H77" s="1"/>
      <c r="I77" s="1"/>
      <c r="J77" s="1"/>
      <c r="K77" s="1"/>
      <c r="L77" s="1"/>
      <c r="M77" s="1"/>
      <c r="N77" s="1"/>
      <c r="O77" s="1"/>
      <c r="P77" s="1"/>
      <c r="Q77" s="1"/>
      <c r="R77" s="1"/>
      <c r="S77" s="1"/>
    </row>
    <row r="78" ht="14.25" customHeight="1">
      <c r="A78" s="1112"/>
      <c r="B78" s="177" t="s">
        <v>858</v>
      </c>
      <c r="C78" s="160">
        <v>12.0</v>
      </c>
      <c r="D78" s="201">
        <f t="shared" si="4"/>
        <v>7.2</v>
      </c>
      <c r="E78" s="1735"/>
      <c r="F78" s="2274" t="s">
        <v>9</v>
      </c>
      <c r="G78" s="66"/>
      <c r="H78" s="1"/>
      <c r="I78" s="1"/>
      <c r="J78" s="1"/>
      <c r="K78" s="1"/>
      <c r="L78" s="1"/>
      <c r="M78" s="1"/>
      <c r="N78" s="1"/>
      <c r="O78" s="1"/>
      <c r="P78" s="1"/>
      <c r="Q78" s="1"/>
      <c r="R78" s="1"/>
      <c r="S78" s="1"/>
    </row>
    <row r="79" ht="14.25" customHeight="1">
      <c r="A79" s="1112"/>
      <c r="B79" s="177" t="s">
        <v>2530</v>
      </c>
      <c r="C79" s="160">
        <v>1000.0</v>
      </c>
      <c r="D79" s="201">
        <f t="shared" si="4"/>
        <v>600</v>
      </c>
      <c r="E79" s="1735"/>
      <c r="F79" s="204" t="s">
        <v>18</v>
      </c>
      <c r="G79" s="66"/>
      <c r="H79" s="1"/>
      <c r="I79" s="1"/>
      <c r="J79" s="1"/>
      <c r="K79" s="1"/>
      <c r="L79" s="1"/>
      <c r="M79" s="1"/>
      <c r="N79" s="1"/>
      <c r="O79" s="1"/>
      <c r="P79" s="1"/>
      <c r="Q79" s="1"/>
      <c r="R79" s="1"/>
      <c r="S79" s="1"/>
    </row>
    <row r="80" ht="14.25" customHeight="1">
      <c r="A80" s="1112"/>
      <c r="B80" s="208" t="s">
        <v>2531</v>
      </c>
      <c r="C80" s="167">
        <v>500.0</v>
      </c>
      <c r="D80" s="257">
        <f t="shared" si="4"/>
        <v>300</v>
      </c>
      <c r="E80" s="1738"/>
      <c r="F80" s="212" t="s">
        <v>18</v>
      </c>
      <c r="G80" s="106"/>
      <c r="H80" s="1"/>
      <c r="I80" s="1"/>
      <c r="J80" s="1"/>
      <c r="K80" s="1"/>
      <c r="L80" s="1"/>
      <c r="M80" s="1"/>
      <c r="N80" s="1"/>
      <c r="O80" s="1"/>
      <c r="P80" s="1"/>
      <c r="Q80" s="1"/>
      <c r="R80" s="1"/>
      <c r="S80" s="1"/>
    </row>
    <row r="81" ht="14.25" customHeight="1">
      <c r="A81" s="1112"/>
      <c r="B81" s="325" t="s">
        <v>2533</v>
      </c>
      <c r="C81" s="368">
        <v>15.0</v>
      </c>
      <c r="D81" s="1362">
        <f t="shared" si="4"/>
        <v>9</v>
      </c>
      <c r="E81" s="2186"/>
      <c r="F81" s="338" t="s">
        <v>14</v>
      </c>
      <c r="G81" s="161"/>
      <c r="H81" s="1"/>
      <c r="I81" s="1"/>
      <c r="J81" s="1"/>
      <c r="K81" s="1"/>
      <c r="L81" s="1"/>
      <c r="M81" s="1"/>
      <c r="N81" s="1"/>
      <c r="O81" s="1"/>
      <c r="P81" s="1"/>
      <c r="Q81" s="1"/>
      <c r="R81" s="1"/>
      <c r="S81" s="1"/>
    </row>
    <row r="82" ht="14.25" customHeight="1">
      <c r="A82" s="2279"/>
      <c r="B82" s="157" t="s">
        <v>1027</v>
      </c>
      <c r="C82" s="174">
        <v>150.0</v>
      </c>
      <c r="D82" s="158">
        <f t="shared" si="4"/>
        <v>90</v>
      </c>
      <c r="E82" s="1998"/>
      <c r="F82" s="159" t="s">
        <v>18</v>
      </c>
      <c r="G82" s="44" t="s">
        <v>2537</v>
      </c>
      <c r="H82" s="1"/>
      <c r="I82" s="1"/>
      <c r="J82" s="1"/>
      <c r="K82" s="1"/>
      <c r="L82" s="1"/>
      <c r="M82" s="1"/>
      <c r="N82" s="1"/>
      <c r="O82" s="1"/>
      <c r="P82" s="1"/>
      <c r="Q82" s="1"/>
      <c r="R82" s="1"/>
      <c r="S82" s="1"/>
    </row>
    <row r="83" ht="14.25" customHeight="1">
      <c r="A83" s="1112"/>
      <c r="B83" s="177" t="s">
        <v>105</v>
      </c>
      <c r="C83" s="160">
        <v>100.0</v>
      </c>
      <c r="D83" s="158">
        <f t="shared" si="4"/>
        <v>60</v>
      </c>
      <c r="E83" s="1998"/>
      <c r="F83" s="204" t="s">
        <v>18</v>
      </c>
      <c r="G83" s="47"/>
      <c r="H83" s="1"/>
      <c r="I83" s="1"/>
      <c r="J83" s="1"/>
      <c r="K83" s="1"/>
      <c r="L83" s="1"/>
      <c r="M83" s="1"/>
      <c r="N83" s="1"/>
      <c r="O83" s="1"/>
      <c r="P83" s="1"/>
      <c r="Q83" s="1"/>
      <c r="R83" s="1"/>
      <c r="S83" s="1"/>
    </row>
    <row r="84" ht="14.25" customHeight="1">
      <c r="A84" s="2279"/>
      <c r="B84" s="177" t="s">
        <v>160</v>
      </c>
      <c r="C84" s="160">
        <v>100.0</v>
      </c>
      <c r="D84" s="158">
        <f t="shared" si="4"/>
        <v>60</v>
      </c>
      <c r="E84" s="1998"/>
      <c r="F84" s="204" t="s">
        <v>18</v>
      </c>
      <c r="G84" s="47"/>
      <c r="H84" s="1"/>
      <c r="I84" s="1"/>
      <c r="J84" s="1"/>
      <c r="K84" s="1"/>
      <c r="L84" s="1"/>
      <c r="M84" s="1"/>
      <c r="N84" s="1"/>
      <c r="O84" s="1"/>
      <c r="P84" s="1"/>
      <c r="Q84" s="1"/>
      <c r="R84" s="1"/>
      <c r="S84" s="1"/>
    </row>
    <row r="85" ht="14.25" customHeight="1">
      <c r="A85" s="2286"/>
      <c r="B85" s="177" t="s">
        <v>13</v>
      </c>
      <c r="C85" s="160">
        <v>1.5</v>
      </c>
      <c r="D85" s="158">
        <f t="shared" si="4"/>
        <v>0.9</v>
      </c>
      <c r="E85" s="1998"/>
      <c r="F85" s="204" t="s">
        <v>18</v>
      </c>
      <c r="G85" s="47"/>
      <c r="H85" s="1"/>
      <c r="I85" s="1"/>
      <c r="J85" s="1"/>
      <c r="K85" s="1"/>
      <c r="L85" s="1"/>
      <c r="M85" s="1"/>
      <c r="N85" s="1"/>
      <c r="O85" s="1"/>
      <c r="P85" s="1"/>
      <c r="Q85" s="1"/>
      <c r="R85" s="1"/>
      <c r="S85" s="1"/>
    </row>
    <row r="86" ht="14.25" customHeight="1">
      <c r="A86" s="2286"/>
      <c r="B86" s="177" t="s">
        <v>31</v>
      </c>
      <c r="C86" s="160">
        <v>1200.0</v>
      </c>
      <c r="D86" s="201">
        <f t="shared" si="4"/>
        <v>720</v>
      </c>
      <c r="E86" s="1735"/>
      <c r="F86" s="204" t="s">
        <v>18</v>
      </c>
      <c r="G86" s="47"/>
      <c r="H86" s="1"/>
      <c r="I86" s="1"/>
      <c r="J86" s="1"/>
      <c r="K86" s="1"/>
      <c r="L86" s="1"/>
      <c r="M86" s="1"/>
      <c r="N86" s="1"/>
      <c r="O86" s="1"/>
      <c r="P86" s="1"/>
      <c r="Q86" s="1"/>
      <c r="R86" s="1"/>
      <c r="S86" s="1"/>
    </row>
    <row r="87" ht="14.25" customHeight="1">
      <c r="A87" s="2286"/>
      <c r="B87" s="262" t="s">
        <v>288</v>
      </c>
      <c r="C87" s="1360">
        <v>100.0</v>
      </c>
      <c r="D87" s="253">
        <f t="shared" si="4"/>
        <v>60</v>
      </c>
      <c r="E87" s="1760"/>
      <c r="F87" s="267" t="s">
        <v>18</v>
      </c>
      <c r="G87" s="76"/>
      <c r="H87" s="1"/>
      <c r="I87" s="1"/>
      <c r="J87" s="1"/>
      <c r="K87" s="1"/>
      <c r="L87" s="1"/>
      <c r="M87" s="1"/>
      <c r="N87" s="1"/>
      <c r="O87" s="1"/>
      <c r="P87" s="1"/>
      <c r="Q87" s="1"/>
      <c r="R87" s="1"/>
      <c r="S87" s="1"/>
    </row>
    <row r="88" ht="14.25" customHeight="1">
      <c r="A88" s="1112"/>
      <c r="B88" s="99" t="s">
        <v>2540</v>
      </c>
      <c r="C88" s="2290">
        <v>2.0</v>
      </c>
      <c r="D88" s="101">
        <f t="shared" si="4"/>
        <v>1.2</v>
      </c>
      <c r="E88" s="2292"/>
      <c r="F88" s="103" t="s">
        <v>14</v>
      </c>
      <c r="G88" s="44" t="s">
        <v>2543</v>
      </c>
      <c r="H88" s="1"/>
      <c r="I88" s="1"/>
      <c r="J88" s="1"/>
      <c r="K88" s="1"/>
      <c r="L88" s="1"/>
      <c r="M88" s="1"/>
      <c r="N88" s="1"/>
      <c r="O88" s="1"/>
      <c r="P88" s="1"/>
      <c r="Q88" s="1"/>
      <c r="R88" s="1"/>
      <c r="S88" s="1"/>
    </row>
    <row r="89" ht="14.25" customHeight="1">
      <c r="A89" s="2296"/>
      <c r="B89" s="2299" t="s">
        <v>2545</v>
      </c>
      <c r="C89" s="2300">
        <v>3.0</v>
      </c>
      <c r="D89" s="2302">
        <f t="shared" si="4"/>
        <v>1.8</v>
      </c>
      <c r="E89" s="2304"/>
      <c r="F89" s="2312" t="s">
        <v>5</v>
      </c>
      <c r="G89" s="47"/>
      <c r="H89" s="1"/>
      <c r="I89" s="1"/>
      <c r="J89" s="1"/>
      <c r="K89" s="1"/>
      <c r="L89" s="1"/>
      <c r="M89" s="1"/>
      <c r="N89" s="1"/>
      <c r="O89" s="1"/>
      <c r="P89" s="1"/>
      <c r="Q89" s="1"/>
      <c r="R89" s="1"/>
      <c r="S89" s="1"/>
    </row>
    <row r="90" ht="14.25" customHeight="1">
      <c r="A90" s="2296"/>
      <c r="B90" s="126" t="s">
        <v>1481</v>
      </c>
      <c r="C90" s="2315">
        <v>5.0</v>
      </c>
      <c r="D90" s="128">
        <f t="shared" ref="D90:D91" si="5">(C90*D88)/C88</f>
        <v>3</v>
      </c>
      <c r="E90" s="2319"/>
      <c r="F90" s="130" t="s">
        <v>5</v>
      </c>
      <c r="G90" s="76"/>
      <c r="H90" s="1"/>
      <c r="I90" s="1"/>
      <c r="J90" s="1"/>
      <c r="K90" s="1"/>
      <c r="L90" s="1"/>
      <c r="M90" s="1"/>
      <c r="N90" s="1"/>
      <c r="O90" s="1"/>
      <c r="P90" s="1"/>
      <c r="Q90" s="1"/>
      <c r="R90" s="1"/>
      <c r="S90" s="1"/>
    </row>
    <row r="91" ht="14.25" customHeight="1">
      <c r="A91" s="2296"/>
      <c r="B91" s="208" t="s">
        <v>213</v>
      </c>
      <c r="C91" s="167">
        <v>3.0</v>
      </c>
      <c r="D91" s="257">
        <f t="shared" si="5"/>
        <v>1.8</v>
      </c>
      <c r="E91" s="1738"/>
      <c r="F91" s="212" t="s">
        <v>5</v>
      </c>
      <c r="G91" s="2322"/>
      <c r="H91" s="1"/>
      <c r="I91" s="1"/>
      <c r="J91" s="1"/>
      <c r="K91" s="1"/>
      <c r="L91" s="1"/>
      <c r="M91" s="1"/>
      <c r="N91" s="1"/>
      <c r="O91" s="1"/>
      <c r="P91" s="1"/>
      <c r="Q91" s="1"/>
      <c r="R91" s="1"/>
      <c r="S91" s="1"/>
    </row>
    <row r="92" ht="14.25" customHeight="1">
      <c r="A92" s="1112"/>
      <c r="B92" s="1640" t="s">
        <v>119</v>
      </c>
      <c r="C92" s="183" t="s">
        <v>47</v>
      </c>
      <c r="D92" s="184"/>
      <c r="E92" s="184"/>
      <c r="F92" s="1"/>
      <c r="G92" s="1"/>
      <c r="H92" s="1"/>
      <c r="I92" s="1"/>
      <c r="J92" s="1"/>
      <c r="K92" s="1"/>
      <c r="L92" s="1"/>
      <c r="M92" s="1"/>
      <c r="N92" s="1"/>
      <c r="O92" s="1"/>
      <c r="P92" s="1"/>
      <c r="Q92" s="1"/>
      <c r="R92" s="1"/>
      <c r="S92" s="1"/>
    </row>
    <row r="93" ht="14.25" customHeight="1">
      <c r="A93" s="1112"/>
      <c r="B93" s="663" t="s">
        <v>502</v>
      </c>
      <c r="C93" s="625">
        <v>40756.0</v>
      </c>
      <c r="D93" s="184"/>
      <c r="E93" s="184"/>
      <c r="F93" s="1"/>
      <c r="G93" s="1"/>
      <c r="H93" s="1"/>
      <c r="I93" s="1"/>
      <c r="J93" s="1"/>
      <c r="K93" s="1"/>
      <c r="L93" s="1"/>
      <c r="M93" s="1"/>
      <c r="N93" s="1"/>
      <c r="O93" s="1"/>
      <c r="P93" s="1"/>
      <c r="Q93" s="1"/>
      <c r="R93" s="1"/>
      <c r="S93" s="1"/>
    </row>
    <row r="94" ht="14.25" customHeight="1">
      <c r="A94" s="1112"/>
      <c r="B94" s="2325"/>
      <c r="C94" s="2326"/>
      <c r="D94" s="184"/>
      <c r="E94" s="184"/>
      <c r="F94" s="1"/>
      <c r="G94" s="1"/>
      <c r="H94" s="1"/>
      <c r="I94" s="1"/>
      <c r="J94" s="1"/>
      <c r="K94" s="1"/>
      <c r="L94" s="1"/>
      <c r="M94" s="1"/>
      <c r="N94" s="1"/>
      <c r="O94" s="1"/>
      <c r="P94" s="1"/>
      <c r="Q94" s="1"/>
      <c r="R94" s="1"/>
      <c r="S94" s="1"/>
    </row>
    <row r="95" ht="14.25" customHeight="1">
      <c r="A95" s="1"/>
      <c r="B95" s="1"/>
      <c r="C95" s="107"/>
      <c r="D95" s="184"/>
      <c r="E95" s="184"/>
      <c r="F95" s="1"/>
      <c r="G95" s="1"/>
      <c r="H95" s="1"/>
      <c r="I95" s="1"/>
      <c r="J95" s="1"/>
      <c r="K95" s="1"/>
      <c r="L95" s="1"/>
      <c r="M95" s="1"/>
      <c r="N95" s="1"/>
      <c r="O95" s="1"/>
      <c r="P95" s="1"/>
      <c r="Q95" s="1"/>
      <c r="R95" s="1"/>
      <c r="S95" s="1"/>
    </row>
    <row r="96" ht="14.25" customHeight="1">
      <c r="A96" s="1"/>
      <c r="B96" s="505" t="s">
        <v>438</v>
      </c>
      <c r="C96" s="18"/>
      <c r="D96" s="18"/>
      <c r="E96" s="18"/>
      <c r="F96" s="19"/>
      <c r="G96" s="1"/>
      <c r="H96" s="1"/>
      <c r="I96" s="1"/>
      <c r="J96" s="1"/>
      <c r="K96" s="1"/>
      <c r="L96" s="1"/>
      <c r="M96" s="1"/>
      <c r="N96" s="1"/>
      <c r="O96" s="1"/>
      <c r="P96" s="1"/>
      <c r="Q96" s="1"/>
      <c r="R96" s="1"/>
      <c r="S96" s="1"/>
    </row>
    <row r="97" ht="14.25" customHeight="1">
      <c r="A97" s="1"/>
      <c r="B97" s="2327" t="s">
        <v>1</v>
      </c>
      <c r="C97" s="2328">
        <v>100.0</v>
      </c>
      <c r="D97" s="2329">
        <v>365.0</v>
      </c>
      <c r="E97" s="1760"/>
      <c r="F97" s="2330" t="s">
        <v>190</v>
      </c>
      <c r="G97" s="1"/>
      <c r="H97" s="1"/>
      <c r="I97" s="1"/>
      <c r="J97" s="1"/>
      <c r="K97" s="1"/>
      <c r="L97" s="1"/>
      <c r="M97" s="1"/>
      <c r="N97" s="1"/>
      <c r="O97" s="1"/>
      <c r="P97" s="1"/>
      <c r="Q97" s="1"/>
      <c r="R97" s="1"/>
      <c r="S97" s="1"/>
    </row>
    <row r="98" ht="14.25" customHeight="1">
      <c r="A98" s="1"/>
      <c r="B98" s="345" t="s">
        <v>2555</v>
      </c>
      <c r="C98" s="221">
        <v>60.0</v>
      </c>
      <c r="D98" s="164">
        <f t="shared" ref="D98:D104" si="6">(C98*D97)/C97</f>
        <v>219</v>
      </c>
      <c r="E98" s="1731"/>
      <c r="F98" s="348" t="s">
        <v>93</v>
      </c>
      <c r="G98" s="1"/>
      <c r="H98" s="1"/>
      <c r="I98" s="1"/>
      <c r="J98" s="1"/>
      <c r="K98" s="1"/>
      <c r="L98" s="1"/>
      <c r="M98" s="1"/>
      <c r="N98" s="1"/>
      <c r="O98" s="1"/>
      <c r="P98" s="1"/>
      <c r="Q98" s="1"/>
      <c r="R98" s="1"/>
      <c r="S98" s="1"/>
    </row>
    <row r="99" ht="14.25" customHeight="1">
      <c r="A99" s="1"/>
      <c r="B99" s="2332" t="s">
        <v>2557</v>
      </c>
      <c r="C99" s="2333">
        <f>+C98*0.5</f>
        <v>30</v>
      </c>
      <c r="D99" s="2334">
        <f t="shared" si="6"/>
        <v>109.5</v>
      </c>
      <c r="E99" s="2335"/>
      <c r="F99" s="2336" t="s">
        <v>14</v>
      </c>
      <c r="G99" s="1"/>
      <c r="H99" s="1"/>
      <c r="I99" s="1"/>
      <c r="J99" s="1"/>
      <c r="K99" s="1"/>
      <c r="L99" s="1"/>
      <c r="M99" s="1"/>
      <c r="N99" s="1"/>
      <c r="O99" s="1"/>
      <c r="P99" s="1"/>
      <c r="Q99" s="1"/>
      <c r="R99" s="1"/>
      <c r="S99" s="1"/>
    </row>
    <row r="100" ht="14.25" customHeight="1">
      <c r="A100" s="1"/>
      <c r="B100" s="2332" t="s">
        <v>2564</v>
      </c>
      <c r="C100" s="2333">
        <f>+C98*0.005</f>
        <v>0.3</v>
      </c>
      <c r="D100" s="2334">
        <f t="shared" si="6"/>
        <v>1.095</v>
      </c>
      <c r="E100" s="2335"/>
      <c r="F100" s="2336" t="s">
        <v>14</v>
      </c>
      <c r="G100" s="1"/>
      <c r="H100" s="1"/>
      <c r="I100" s="1"/>
      <c r="J100" s="1"/>
      <c r="K100" s="1"/>
      <c r="L100" s="1"/>
      <c r="M100" s="1"/>
      <c r="N100" s="1"/>
      <c r="O100" s="1"/>
      <c r="P100" s="1"/>
      <c r="Q100" s="1"/>
      <c r="R100" s="1"/>
      <c r="S100" s="1"/>
    </row>
    <row r="101" ht="14.25" customHeight="1">
      <c r="A101" s="1"/>
      <c r="B101" s="2332" t="s">
        <v>2566</v>
      </c>
      <c r="C101" s="2333">
        <f>+C98*0.5</f>
        <v>30</v>
      </c>
      <c r="D101" s="2334">
        <f t="shared" si="6"/>
        <v>109.5</v>
      </c>
      <c r="E101" s="2335"/>
      <c r="F101" s="2336" t="s">
        <v>18</v>
      </c>
      <c r="G101" s="1"/>
      <c r="H101" s="1"/>
      <c r="I101" s="1"/>
      <c r="J101" s="1"/>
      <c r="K101" s="1"/>
      <c r="L101" s="1"/>
      <c r="M101" s="1"/>
      <c r="N101" s="1"/>
      <c r="O101" s="1"/>
      <c r="P101" s="1"/>
      <c r="Q101" s="1"/>
      <c r="R101" s="1"/>
      <c r="S101" s="1"/>
    </row>
    <row r="102" ht="14.25" customHeight="1">
      <c r="A102" s="1"/>
      <c r="B102" s="350" t="s">
        <v>2569</v>
      </c>
      <c r="C102" s="27">
        <v>10.0</v>
      </c>
      <c r="D102" s="201">
        <f t="shared" si="6"/>
        <v>36.5</v>
      </c>
      <c r="E102" s="1735"/>
      <c r="F102" s="352" t="s">
        <v>14</v>
      </c>
      <c r="G102" s="1"/>
      <c r="H102" s="1"/>
      <c r="I102" s="1"/>
      <c r="J102" s="1"/>
      <c r="K102" s="1"/>
      <c r="L102" s="1"/>
      <c r="M102" s="1"/>
      <c r="N102" s="1"/>
      <c r="O102" s="1"/>
      <c r="P102" s="1"/>
      <c r="Q102" s="1"/>
      <c r="R102" s="1"/>
      <c r="S102" s="1"/>
    </row>
    <row r="103" ht="14.25" customHeight="1">
      <c r="A103" s="193"/>
      <c r="B103" s="350" t="s">
        <v>2572</v>
      </c>
      <c r="C103" s="27">
        <v>5.0</v>
      </c>
      <c r="D103" s="201">
        <f t="shared" si="6"/>
        <v>18.25</v>
      </c>
      <c r="E103" s="1735"/>
      <c r="F103" s="352" t="s">
        <v>14</v>
      </c>
      <c r="G103" s="1"/>
      <c r="H103" s="1"/>
      <c r="I103" s="1"/>
      <c r="J103" s="1"/>
      <c r="K103" s="1"/>
      <c r="L103" s="1"/>
      <c r="M103" s="1"/>
      <c r="N103" s="1"/>
      <c r="O103" s="1"/>
      <c r="P103" s="1"/>
      <c r="Q103" s="1"/>
      <c r="R103" s="1"/>
      <c r="S103" s="1"/>
    </row>
    <row r="104" ht="14.25" customHeight="1">
      <c r="A104" s="193"/>
      <c r="B104" s="354" t="s">
        <v>2576</v>
      </c>
      <c r="C104" s="107">
        <v>25.0</v>
      </c>
      <c r="D104" s="265">
        <f t="shared" si="6"/>
        <v>91.25</v>
      </c>
      <c r="E104" s="2164"/>
      <c r="F104" s="356" t="s">
        <v>14</v>
      </c>
      <c r="G104" s="1"/>
      <c r="H104" s="1"/>
      <c r="I104" s="1"/>
      <c r="J104" s="1"/>
      <c r="K104" s="1"/>
      <c r="L104" s="1"/>
      <c r="M104" s="1"/>
      <c r="N104" s="1"/>
      <c r="O104" s="1"/>
      <c r="P104" s="1"/>
      <c r="Q104" s="1"/>
      <c r="R104" s="1"/>
      <c r="S104" s="1"/>
    </row>
    <row r="105" ht="14.25" customHeight="1">
      <c r="A105" s="193"/>
      <c r="B105" s="360" t="s">
        <v>2578</v>
      </c>
      <c r="C105" s="69">
        <f t="shared" ref="C105:D105" si="7">+ C98 +  C102*2 + C103 *2 + C104*2</f>
        <v>140</v>
      </c>
      <c r="D105" s="1453">
        <f t="shared" si="7"/>
        <v>511</v>
      </c>
      <c r="E105" s="2338"/>
      <c r="F105" s="366" t="s">
        <v>93</v>
      </c>
      <c r="G105" s="1"/>
      <c r="H105" s="1"/>
      <c r="I105" s="1"/>
      <c r="J105" s="1"/>
      <c r="K105" s="1"/>
      <c r="L105" s="1"/>
      <c r="M105" s="1"/>
      <c r="N105" s="1"/>
      <c r="O105" s="1"/>
      <c r="P105" s="1"/>
      <c r="Q105" s="1"/>
      <c r="R105" s="1"/>
      <c r="S105" s="1"/>
    </row>
    <row r="106" ht="14.25" customHeight="1">
      <c r="A106" s="193"/>
      <c r="B106" s="345" t="s">
        <v>91</v>
      </c>
      <c r="C106" s="221">
        <v>2.5</v>
      </c>
      <c r="D106" s="164">
        <f>(C106*D97)/C97</f>
        <v>9.125</v>
      </c>
      <c r="E106" s="1731"/>
      <c r="F106" s="348" t="s">
        <v>190</v>
      </c>
      <c r="G106" s="1"/>
      <c r="H106" s="1"/>
      <c r="I106" s="1"/>
      <c r="J106" s="1"/>
      <c r="K106" s="1"/>
      <c r="L106" s="1"/>
      <c r="M106" s="1"/>
      <c r="N106" s="1"/>
      <c r="O106" s="1"/>
      <c r="P106" s="1"/>
      <c r="Q106" s="1"/>
      <c r="R106" s="1"/>
      <c r="S106" s="1"/>
    </row>
    <row r="107" ht="14.25" customHeight="1">
      <c r="A107" s="193"/>
      <c r="B107" s="350" t="s">
        <v>97</v>
      </c>
      <c r="C107" s="27">
        <v>100.0</v>
      </c>
      <c r="D107" s="201">
        <f t="shared" ref="D107:D124" si="8">(C107*D106)/C106</f>
        <v>365</v>
      </c>
      <c r="E107" s="1735"/>
      <c r="F107" s="352" t="s">
        <v>18</v>
      </c>
      <c r="G107" s="1"/>
      <c r="H107" s="1"/>
      <c r="I107" s="1"/>
      <c r="J107" s="1"/>
      <c r="K107" s="1"/>
      <c r="L107" s="1"/>
      <c r="M107" s="1"/>
      <c r="N107" s="1"/>
      <c r="O107" s="1"/>
      <c r="P107" s="1"/>
      <c r="Q107" s="1"/>
      <c r="R107" s="1"/>
      <c r="S107" s="1"/>
    </row>
    <row r="108" ht="14.25" customHeight="1">
      <c r="A108" s="193"/>
      <c r="B108" s="350" t="s">
        <v>98</v>
      </c>
      <c r="C108" s="27">
        <v>150.0</v>
      </c>
      <c r="D108" s="201">
        <f t="shared" si="8"/>
        <v>547.5</v>
      </c>
      <c r="E108" s="1735"/>
      <c r="F108" s="352" t="s">
        <v>18</v>
      </c>
      <c r="G108" s="1"/>
      <c r="H108" s="1"/>
      <c r="I108" s="1"/>
      <c r="J108" s="1"/>
      <c r="K108" s="1"/>
      <c r="L108" s="1"/>
      <c r="M108" s="1"/>
      <c r="N108" s="1"/>
      <c r="O108" s="1"/>
      <c r="P108" s="1"/>
      <c r="Q108" s="1"/>
      <c r="R108" s="1"/>
      <c r="S108" s="1"/>
    </row>
    <row r="109" ht="14.25" customHeight="1">
      <c r="A109" s="193"/>
      <c r="B109" s="350" t="s">
        <v>95</v>
      </c>
      <c r="C109" s="27">
        <v>25.0</v>
      </c>
      <c r="D109" s="201">
        <f t="shared" si="8"/>
        <v>91.25</v>
      </c>
      <c r="E109" s="1735"/>
      <c r="F109" s="352" t="s">
        <v>18</v>
      </c>
      <c r="G109" s="1"/>
      <c r="H109" s="1"/>
      <c r="I109" s="1"/>
      <c r="J109" s="1"/>
      <c r="K109" s="1"/>
      <c r="L109" s="1"/>
      <c r="M109" s="1"/>
      <c r="N109" s="1"/>
      <c r="O109" s="1"/>
      <c r="P109" s="1"/>
      <c r="Q109" s="1"/>
      <c r="R109" s="1"/>
      <c r="S109" s="1"/>
    </row>
    <row r="110" ht="14.25" customHeight="1">
      <c r="A110" s="1"/>
      <c r="B110" s="350" t="s">
        <v>102</v>
      </c>
      <c r="C110" s="27">
        <v>50.0</v>
      </c>
      <c r="D110" s="201">
        <f t="shared" si="8"/>
        <v>182.5</v>
      </c>
      <c r="E110" s="1735"/>
      <c r="F110" s="352" t="s">
        <v>18</v>
      </c>
      <c r="G110" s="1"/>
      <c r="H110" s="1"/>
      <c r="I110" s="1"/>
      <c r="J110" s="1"/>
      <c r="K110" s="1"/>
      <c r="L110" s="1"/>
      <c r="M110" s="1"/>
      <c r="N110" s="1"/>
      <c r="O110" s="1"/>
      <c r="P110" s="1"/>
      <c r="Q110" s="1"/>
      <c r="R110" s="1"/>
      <c r="S110" s="1"/>
    </row>
    <row r="111" ht="14.25" customHeight="1">
      <c r="A111" s="1"/>
      <c r="B111" s="350" t="s">
        <v>346</v>
      </c>
      <c r="C111" s="27">
        <v>1000.0</v>
      </c>
      <c r="D111" s="201">
        <f t="shared" si="8"/>
        <v>3650</v>
      </c>
      <c r="E111" s="1735"/>
      <c r="F111" s="352" t="s">
        <v>18</v>
      </c>
      <c r="G111" s="1"/>
      <c r="H111" s="1"/>
      <c r="I111" s="1"/>
      <c r="J111" s="1"/>
      <c r="K111" s="1"/>
      <c r="L111" s="1"/>
      <c r="M111" s="1"/>
      <c r="N111" s="1"/>
      <c r="O111" s="1"/>
      <c r="P111" s="1"/>
      <c r="Q111" s="1"/>
      <c r="R111" s="1"/>
      <c r="S111" s="1"/>
    </row>
    <row r="112" ht="14.25" customHeight="1">
      <c r="A112" s="1"/>
      <c r="B112" s="350" t="s">
        <v>1987</v>
      </c>
      <c r="C112" s="27">
        <v>1000.0</v>
      </c>
      <c r="D112" s="201">
        <f t="shared" si="8"/>
        <v>3650</v>
      </c>
      <c r="E112" s="1735"/>
      <c r="F112" s="352" t="s">
        <v>18</v>
      </c>
      <c r="G112" s="1"/>
      <c r="H112" s="1"/>
      <c r="I112" s="1"/>
      <c r="J112" s="1"/>
      <c r="K112" s="1"/>
      <c r="L112" s="1"/>
      <c r="M112" s="1"/>
      <c r="N112" s="1"/>
      <c r="O112" s="1"/>
      <c r="P112" s="1"/>
      <c r="Q112" s="1"/>
      <c r="R112" s="1"/>
      <c r="S112" s="1"/>
    </row>
    <row r="113" ht="14.25" customHeight="1">
      <c r="A113" s="1"/>
      <c r="B113" s="354" t="s">
        <v>103</v>
      </c>
      <c r="C113" s="27">
        <v>100.0</v>
      </c>
      <c r="D113" s="201">
        <f t="shared" si="8"/>
        <v>365</v>
      </c>
      <c r="E113" s="2164"/>
      <c r="F113" s="356" t="s">
        <v>18</v>
      </c>
      <c r="G113" s="1"/>
      <c r="H113" s="1"/>
      <c r="I113" s="1"/>
      <c r="J113" s="1"/>
      <c r="K113" s="1"/>
      <c r="L113" s="1"/>
      <c r="M113" s="1"/>
      <c r="N113" s="1"/>
      <c r="O113" s="1"/>
      <c r="P113" s="1"/>
      <c r="Q113" s="1"/>
      <c r="R113" s="1"/>
      <c r="S113" s="1"/>
    </row>
    <row r="114" ht="14.25" customHeight="1">
      <c r="A114" s="1"/>
      <c r="B114" s="606" t="s">
        <v>52</v>
      </c>
      <c r="C114" s="236">
        <v>150.0</v>
      </c>
      <c r="D114" s="257">
        <f t="shared" si="8"/>
        <v>547.5</v>
      </c>
      <c r="E114" s="1738"/>
      <c r="F114" s="1475" t="s">
        <v>18</v>
      </c>
      <c r="G114" s="1"/>
      <c r="H114" s="1"/>
      <c r="I114" s="1"/>
      <c r="J114" s="1"/>
      <c r="K114" s="1"/>
      <c r="L114" s="1"/>
      <c r="M114" s="1"/>
      <c r="N114" s="1"/>
      <c r="O114" s="1"/>
      <c r="P114" s="1"/>
      <c r="Q114" s="1"/>
      <c r="R114" s="1"/>
      <c r="S114" s="1"/>
    </row>
    <row r="115" ht="14.25" customHeight="1">
      <c r="A115" s="1"/>
      <c r="B115" s="591" t="s">
        <v>2590</v>
      </c>
      <c r="C115" s="244">
        <v>15.0</v>
      </c>
      <c r="D115" s="158">
        <f t="shared" si="8"/>
        <v>54.75</v>
      </c>
      <c r="E115" s="1998"/>
      <c r="F115" s="1457" t="s">
        <v>14</v>
      </c>
      <c r="G115" s="1"/>
      <c r="H115" s="1"/>
      <c r="I115" s="1"/>
      <c r="J115" s="1"/>
      <c r="K115" s="1"/>
      <c r="L115" s="1"/>
      <c r="M115" s="1"/>
      <c r="N115" s="1"/>
      <c r="O115" s="1"/>
      <c r="P115" s="1"/>
      <c r="Q115" s="1"/>
      <c r="R115" s="1"/>
      <c r="S115" s="1"/>
    </row>
    <row r="116" ht="14.25" customHeight="1">
      <c r="A116" s="1"/>
      <c r="B116" s="350" t="s">
        <v>746</v>
      </c>
      <c r="C116" s="27">
        <v>950.0</v>
      </c>
      <c r="D116" s="201">
        <f t="shared" si="8"/>
        <v>3467.5</v>
      </c>
      <c r="E116" s="1735"/>
      <c r="F116" s="352" t="s">
        <v>18</v>
      </c>
      <c r="G116" s="1"/>
      <c r="H116" s="1"/>
      <c r="I116" s="1"/>
      <c r="J116" s="1"/>
      <c r="K116" s="1"/>
      <c r="L116" s="1"/>
      <c r="M116" s="1"/>
      <c r="N116" s="1"/>
      <c r="O116" s="1"/>
      <c r="P116" s="1"/>
      <c r="Q116" s="1"/>
      <c r="R116" s="1"/>
      <c r="S116" s="1"/>
    </row>
    <row r="117" ht="14.25" customHeight="1">
      <c r="A117" s="1"/>
      <c r="B117" s="606" t="s">
        <v>1132</v>
      </c>
      <c r="C117" s="236">
        <v>1400.0</v>
      </c>
      <c r="D117" s="257">
        <f t="shared" si="8"/>
        <v>5110</v>
      </c>
      <c r="E117" s="1738"/>
      <c r="F117" s="1475" t="s">
        <v>18</v>
      </c>
      <c r="G117" s="1"/>
      <c r="H117" s="1"/>
      <c r="I117" s="1"/>
      <c r="J117" s="1"/>
      <c r="K117" s="1"/>
      <c r="L117" s="1"/>
      <c r="M117" s="1"/>
      <c r="N117" s="1"/>
      <c r="O117" s="1"/>
      <c r="P117" s="1"/>
      <c r="Q117" s="1"/>
      <c r="R117" s="1"/>
      <c r="S117" s="1"/>
    </row>
    <row r="118" ht="14.25" customHeight="1">
      <c r="A118" s="1"/>
      <c r="B118" s="591" t="s">
        <v>31</v>
      </c>
      <c r="C118" s="244">
        <v>1200.0</v>
      </c>
      <c r="D118" s="158">
        <f t="shared" si="8"/>
        <v>4380</v>
      </c>
      <c r="E118" s="1998"/>
      <c r="F118" s="1457" t="s">
        <v>18</v>
      </c>
      <c r="G118" s="1"/>
      <c r="H118" s="1"/>
      <c r="I118" s="1"/>
      <c r="J118" s="1"/>
      <c r="K118" s="1"/>
      <c r="L118" s="1"/>
      <c r="M118" s="1"/>
      <c r="N118" s="1"/>
      <c r="O118" s="1"/>
      <c r="P118" s="1"/>
      <c r="Q118" s="1"/>
      <c r="R118" s="1"/>
      <c r="S118" s="1"/>
    </row>
    <row r="119" ht="14.25" customHeight="1">
      <c r="A119" s="1"/>
      <c r="B119" s="350" t="s">
        <v>13</v>
      </c>
      <c r="C119" s="27">
        <v>1.5</v>
      </c>
      <c r="D119" s="201">
        <f t="shared" si="8"/>
        <v>5.475</v>
      </c>
      <c r="E119" s="1735"/>
      <c r="F119" s="352" t="s">
        <v>14</v>
      </c>
      <c r="G119" s="1"/>
      <c r="H119" s="1"/>
      <c r="I119" s="1"/>
      <c r="J119" s="1"/>
      <c r="K119" s="1"/>
      <c r="L119" s="1"/>
      <c r="M119" s="1"/>
      <c r="N119" s="1"/>
      <c r="O119" s="1"/>
      <c r="P119" s="1"/>
      <c r="Q119" s="1"/>
      <c r="R119" s="1"/>
      <c r="S119" s="1"/>
    </row>
    <row r="120" ht="14.25" customHeight="1">
      <c r="A120" s="1"/>
      <c r="B120" s="350" t="s">
        <v>1027</v>
      </c>
      <c r="C120" s="27">
        <v>100.0</v>
      </c>
      <c r="D120" s="201">
        <f t="shared" si="8"/>
        <v>365</v>
      </c>
      <c r="E120" s="1735"/>
      <c r="F120" s="352" t="s">
        <v>18</v>
      </c>
      <c r="G120" s="1"/>
      <c r="H120" s="1"/>
      <c r="I120" s="1"/>
      <c r="J120" s="1"/>
      <c r="K120" s="1"/>
      <c r="L120" s="1"/>
      <c r="M120" s="1"/>
      <c r="N120" s="1"/>
      <c r="O120" s="1"/>
      <c r="P120" s="1"/>
      <c r="Q120" s="1"/>
      <c r="R120" s="1"/>
      <c r="S120" s="1"/>
    </row>
    <row r="121" ht="14.25" customHeight="1">
      <c r="A121" s="1"/>
      <c r="B121" s="350" t="s">
        <v>105</v>
      </c>
      <c r="C121" s="27">
        <v>100.0</v>
      </c>
      <c r="D121" s="201">
        <f t="shared" si="8"/>
        <v>365</v>
      </c>
      <c r="E121" s="1735"/>
      <c r="F121" s="352" t="s">
        <v>18</v>
      </c>
      <c r="G121" s="1"/>
      <c r="H121" s="1"/>
      <c r="I121" s="1"/>
      <c r="J121" s="1"/>
      <c r="K121" s="1"/>
      <c r="L121" s="1"/>
      <c r="M121" s="1"/>
      <c r="N121" s="1"/>
      <c r="O121" s="1"/>
      <c r="P121" s="1"/>
      <c r="Q121" s="1"/>
      <c r="R121" s="1"/>
      <c r="S121" s="1"/>
    </row>
    <row r="122" ht="14.25" customHeight="1">
      <c r="A122" s="1"/>
      <c r="B122" s="606" t="s">
        <v>2593</v>
      </c>
      <c r="C122" s="236">
        <v>320.0</v>
      </c>
      <c r="D122" s="257">
        <f t="shared" si="8"/>
        <v>1168</v>
      </c>
      <c r="E122" s="1738"/>
      <c r="F122" s="1475" t="s">
        <v>18</v>
      </c>
      <c r="G122" s="1"/>
      <c r="H122" s="1"/>
      <c r="I122" s="1"/>
      <c r="J122" s="1"/>
      <c r="K122" s="1"/>
      <c r="L122" s="1"/>
      <c r="M122" s="1"/>
      <c r="N122" s="1"/>
      <c r="O122" s="1"/>
      <c r="P122" s="1"/>
      <c r="Q122" s="1"/>
      <c r="R122" s="1"/>
      <c r="S122" s="1"/>
    </row>
    <row r="123" ht="14.25" customHeight="1">
      <c r="A123" s="1"/>
      <c r="B123" s="2348" t="s">
        <v>1481</v>
      </c>
      <c r="C123" s="1077">
        <v>4.0</v>
      </c>
      <c r="D123" s="1090">
        <f t="shared" si="8"/>
        <v>14.6</v>
      </c>
      <c r="E123" s="2350"/>
      <c r="F123" s="2352" t="s">
        <v>14</v>
      </c>
      <c r="G123" s="1"/>
      <c r="H123" s="1"/>
      <c r="I123" s="1"/>
      <c r="J123" s="1"/>
      <c r="K123" s="1"/>
      <c r="L123" s="1"/>
      <c r="M123" s="1"/>
      <c r="N123" s="1"/>
      <c r="O123" s="1"/>
      <c r="P123" s="1"/>
      <c r="Q123" s="1"/>
      <c r="R123" s="1"/>
      <c r="S123" s="1"/>
    </row>
    <row r="124" ht="14.25" customHeight="1">
      <c r="A124" s="1"/>
      <c r="B124" s="606" t="s">
        <v>1853</v>
      </c>
      <c r="C124" s="236">
        <v>2.0</v>
      </c>
      <c r="D124" s="257">
        <f t="shared" si="8"/>
        <v>7.3</v>
      </c>
      <c r="E124" s="1738"/>
      <c r="F124" s="1475" t="s">
        <v>14</v>
      </c>
      <c r="G124" s="1"/>
      <c r="H124" s="1"/>
      <c r="I124" s="1"/>
      <c r="J124" s="1"/>
      <c r="K124" s="1"/>
      <c r="L124" s="1"/>
      <c r="M124" s="1"/>
      <c r="N124" s="1"/>
      <c r="O124" s="1"/>
      <c r="P124" s="1"/>
      <c r="Q124" s="1"/>
      <c r="R124" s="1"/>
      <c r="S124" s="1"/>
    </row>
    <row r="125" ht="14.25" customHeight="1">
      <c r="A125" s="1"/>
      <c r="B125" s="2275" t="s">
        <v>119</v>
      </c>
      <c r="C125" s="1446" t="s">
        <v>47</v>
      </c>
      <c r="D125" s="184"/>
      <c r="E125" s="184"/>
      <c r="F125" s="1"/>
      <c r="G125" s="1"/>
      <c r="H125" s="1"/>
      <c r="I125" s="1"/>
      <c r="J125" s="1"/>
      <c r="K125" s="1"/>
      <c r="L125" s="1"/>
      <c r="M125" s="1"/>
      <c r="N125" s="1"/>
      <c r="O125" s="1"/>
      <c r="P125" s="1"/>
      <c r="Q125" s="1"/>
      <c r="R125" s="1"/>
      <c r="S125" s="1"/>
    </row>
    <row r="126" ht="14.25" customHeight="1">
      <c r="A126" s="1"/>
      <c r="B126" s="90" t="s">
        <v>120</v>
      </c>
      <c r="C126" s="1188">
        <v>42738.0</v>
      </c>
      <c r="D126" s="184"/>
      <c r="E126" s="184"/>
      <c r="F126" s="1"/>
      <c r="G126" s="1"/>
      <c r="H126" s="1"/>
      <c r="I126" s="1"/>
      <c r="J126" s="1"/>
      <c r="K126" s="1"/>
      <c r="L126" s="1"/>
      <c r="M126" s="1"/>
      <c r="N126" s="1"/>
      <c r="O126" s="1"/>
      <c r="P126" s="1"/>
      <c r="Q126" s="1"/>
      <c r="R126" s="1"/>
      <c r="S126" s="1"/>
    </row>
    <row r="127" ht="14.25" customHeight="1">
      <c r="A127" s="1"/>
      <c r="B127" s="305" t="s">
        <v>50</v>
      </c>
      <c r="C127" s="1188"/>
      <c r="D127" s="184"/>
      <c r="E127" s="184"/>
      <c r="F127" s="1"/>
      <c r="G127" s="1"/>
      <c r="H127" s="1"/>
      <c r="I127" s="1"/>
      <c r="J127" s="1"/>
      <c r="K127" s="1"/>
      <c r="L127" s="1"/>
      <c r="M127" s="1"/>
      <c r="N127" s="1"/>
      <c r="O127" s="1"/>
      <c r="P127" s="1"/>
      <c r="Q127" s="1"/>
      <c r="R127" s="1"/>
      <c r="S127" s="1"/>
    </row>
    <row r="128" ht="14.25" customHeight="1">
      <c r="A128" s="1112"/>
      <c r="B128" s="1"/>
      <c r="C128" s="107"/>
      <c r="D128" s="184"/>
      <c r="E128" s="184"/>
      <c r="F128" s="1"/>
      <c r="G128" s="1"/>
      <c r="H128" s="1"/>
      <c r="I128" s="1"/>
      <c r="J128" s="1"/>
      <c r="K128" s="1"/>
      <c r="L128" s="1"/>
      <c r="M128" s="1"/>
      <c r="N128" s="1"/>
      <c r="O128" s="1"/>
      <c r="P128" s="1"/>
      <c r="Q128" s="1"/>
      <c r="R128" s="1"/>
      <c r="S128" s="1"/>
    </row>
    <row r="129" ht="14.25" customHeight="1">
      <c r="A129" s="1112"/>
      <c r="B129" s="505" t="s">
        <v>2600</v>
      </c>
      <c r="C129" s="18"/>
      <c r="D129" s="18"/>
      <c r="E129" s="18"/>
      <c r="F129" s="19"/>
      <c r="G129" s="1"/>
      <c r="H129" s="1"/>
      <c r="I129" s="1"/>
      <c r="J129" s="1"/>
      <c r="K129" s="1"/>
      <c r="L129" s="1"/>
      <c r="M129" s="1"/>
      <c r="N129" s="1"/>
      <c r="O129" s="1"/>
      <c r="P129" s="1"/>
      <c r="Q129" s="1"/>
      <c r="R129" s="1"/>
      <c r="S129" s="1"/>
    </row>
    <row r="130" ht="14.25" customHeight="1">
      <c r="A130" s="2296"/>
      <c r="B130" s="2358" t="s">
        <v>1</v>
      </c>
      <c r="C130" s="2359">
        <v>100.0</v>
      </c>
      <c r="D130" s="2361">
        <v>365.0</v>
      </c>
      <c r="E130" s="2362"/>
      <c r="F130" s="2363" t="s">
        <v>190</v>
      </c>
      <c r="G130" s="1"/>
      <c r="H130" s="1"/>
      <c r="I130" s="1"/>
      <c r="J130" s="1"/>
      <c r="K130" s="1"/>
      <c r="L130" s="1"/>
      <c r="M130" s="1"/>
      <c r="N130" s="1"/>
      <c r="O130" s="1"/>
      <c r="P130" s="1"/>
      <c r="Q130" s="1"/>
      <c r="R130" s="1"/>
      <c r="S130" s="1"/>
    </row>
    <row r="131" ht="14.25" customHeight="1">
      <c r="A131" s="1112"/>
      <c r="B131" s="345" t="s">
        <v>2555</v>
      </c>
      <c r="C131" s="221">
        <v>60.0</v>
      </c>
      <c r="D131" s="164">
        <f t="shared" ref="D131:D135" si="9">(C131*D130)/C130</f>
        <v>219</v>
      </c>
      <c r="E131" s="1731"/>
      <c r="F131" s="348" t="s">
        <v>93</v>
      </c>
      <c r="G131" s="1"/>
      <c r="H131" s="1"/>
      <c r="I131" s="1"/>
      <c r="J131" s="1"/>
      <c r="K131" s="1"/>
      <c r="L131" s="1"/>
      <c r="M131" s="1"/>
      <c r="N131" s="1"/>
      <c r="O131" s="1"/>
      <c r="P131" s="1"/>
      <c r="Q131" s="1"/>
      <c r="R131" s="1"/>
      <c r="S131" s="1"/>
    </row>
    <row r="132" ht="14.25" customHeight="1">
      <c r="A132" s="1112"/>
      <c r="B132" s="2332" t="s">
        <v>2557</v>
      </c>
      <c r="C132" s="2333">
        <f>+C131*0.5</f>
        <v>30</v>
      </c>
      <c r="D132" s="2334">
        <f t="shared" si="9"/>
        <v>109.5</v>
      </c>
      <c r="E132" s="2335"/>
      <c r="F132" s="2336" t="s">
        <v>14</v>
      </c>
      <c r="G132" s="1"/>
      <c r="H132" s="1"/>
      <c r="I132" s="1"/>
      <c r="J132" s="1"/>
      <c r="K132" s="1"/>
      <c r="L132" s="1"/>
      <c r="M132" s="1"/>
      <c r="N132" s="1"/>
      <c r="O132" s="1"/>
      <c r="P132" s="1"/>
      <c r="Q132" s="1"/>
      <c r="R132" s="1"/>
      <c r="S132" s="1"/>
    </row>
    <row r="133" ht="14.25" customHeight="1">
      <c r="A133" s="1112"/>
      <c r="B133" s="2332" t="s">
        <v>2564</v>
      </c>
      <c r="C133" s="2333">
        <f>+C131*0.005</f>
        <v>0.3</v>
      </c>
      <c r="D133" s="2334">
        <f t="shared" si="9"/>
        <v>1.095</v>
      </c>
      <c r="E133" s="2335"/>
      <c r="F133" s="2336" t="s">
        <v>14</v>
      </c>
      <c r="G133" s="1"/>
      <c r="H133" s="1"/>
      <c r="I133" s="1"/>
      <c r="J133" s="1"/>
      <c r="K133" s="1"/>
      <c r="L133" s="1"/>
      <c r="M133" s="1"/>
      <c r="N133" s="1"/>
      <c r="O133" s="1"/>
      <c r="P133" s="1"/>
      <c r="Q133" s="1"/>
      <c r="R133" s="1"/>
      <c r="S133" s="1"/>
    </row>
    <row r="134" ht="14.25" customHeight="1">
      <c r="A134" s="1112"/>
      <c r="B134" s="2332" t="s">
        <v>2566</v>
      </c>
      <c r="C134" s="2333">
        <f>+C131*0.5</f>
        <v>30</v>
      </c>
      <c r="D134" s="2334">
        <f t="shared" si="9"/>
        <v>109.5</v>
      </c>
      <c r="E134" s="2335"/>
      <c r="F134" s="2336" t="s">
        <v>18</v>
      </c>
      <c r="G134" s="1"/>
      <c r="H134" s="1"/>
      <c r="I134" s="1"/>
      <c r="J134" s="1"/>
      <c r="K134" s="1"/>
      <c r="L134" s="1"/>
      <c r="M134" s="1"/>
      <c r="N134" s="1"/>
      <c r="O134" s="1"/>
      <c r="P134" s="1"/>
      <c r="Q134" s="1"/>
      <c r="R134" s="1"/>
      <c r="S134" s="1"/>
    </row>
    <row r="135" ht="14.25" customHeight="1">
      <c r="A135" s="1112"/>
      <c r="B135" s="350" t="s">
        <v>2569</v>
      </c>
      <c r="C135" s="27">
        <v>40.0</v>
      </c>
      <c r="D135" s="201">
        <f t="shared" si="9"/>
        <v>146</v>
      </c>
      <c r="E135" s="1735"/>
      <c r="F135" s="352" t="s">
        <v>14</v>
      </c>
      <c r="G135" s="1"/>
      <c r="H135" s="1"/>
      <c r="I135" s="1"/>
      <c r="J135" s="1"/>
      <c r="K135" s="1"/>
      <c r="L135" s="1"/>
      <c r="M135" s="1"/>
      <c r="N135" s="1"/>
      <c r="O135" s="1"/>
      <c r="P135" s="1"/>
      <c r="Q135" s="1"/>
      <c r="R135" s="1"/>
      <c r="S135" s="1"/>
    </row>
    <row r="136" ht="14.25" customHeight="1">
      <c r="A136" s="2296"/>
      <c r="B136" s="1806" t="s">
        <v>2578</v>
      </c>
      <c r="C136" s="2366">
        <f t="shared" ref="C136:D136" si="10">+ C131 +  C135*2</f>
        <v>140</v>
      </c>
      <c r="D136" s="2368">
        <f t="shared" si="10"/>
        <v>511</v>
      </c>
      <c r="E136" s="2370"/>
      <c r="F136" s="1810" t="s">
        <v>93</v>
      </c>
      <c r="G136" s="1"/>
      <c r="H136" s="1"/>
      <c r="I136" s="1"/>
      <c r="J136" s="1"/>
      <c r="K136" s="1"/>
      <c r="L136" s="1"/>
      <c r="M136" s="1"/>
      <c r="N136" s="1"/>
      <c r="O136" s="1"/>
      <c r="P136" s="1"/>
      <c r="Q136" s="1"/>
      <c r="R136" s="1"/>
      <c r="S136" s="1"/>
    </row>
    <row r="137" ht="14.25" customHeight="1">
      <c r="A137" s="2296"/>
      <c r="B137" s="345" t="s">
        <v>91</v>
      </c>
      <c r="C137" s="221">
        <v>2.5</v>
      </c>
      <c r="D137" s="164">
        <f>(C137*D130)/C130</f>
        <v>9.125</v>
      </c>
      <c r="E137" s="1731"/>
      <c r="F137" s="348" t="s">
        <v>190</v>
      </c>
      <c r="G137" s="1"/>
      <c r="H137" s="1"/>
      <c r="I137" s="1"/>
      <c r="J137" s="1"/>
      <c r="K137" s="1"/>
      <c r="L137" s="1"/>
      <c r="M137" s="1"/>
      <c r="N137" s="1"/>
      <c r="O137" s="1"/>
      <c r="P137" s="1"/>
      <c r="Q137" s="1"/>
      <c r="R137" s="1"/>
      <c r="S137" s="1"/>
    </row>
    <row r="138" ht="14.25" customHeight="1">
      <c r="A138" s="2296"/>
      <c r="B138" s="350" t="s">
        <v>97</v>
      </c>
      <c r="C138" s="27">
        <v>100.0</v>
      </c>
      <c r="D138" s="201">
        <f t="shared" ref="D138:D155" si="11">(C138*D137)/C137</f>
        <v>365</v>
      </c>
      <c r="E138" s="1735"/>
      <c r="F138" s="352" t="s">
        <v>18</v>
      </c>
      <c r="G138" s="1"/>
      <c r="H138" s="1"/>
      <c r="I138" s="1"/>
      <c r="J138" s="1"/>
      <c r="K138" s="1"/>
      <c r="L138" s="1"/>
      <c r="M138" s="1"/>
      <c r="N138" s="1"/>
      <c r="O138" s="1"/>
      <c r="P138" s="1"/>
      <c r="Q138" s="1"/>
      <c r="R138" s="1"/>
      <c r="S138" s="1"/>
    </row>
    <row r="139" ht="14.25" customHeight="1">
      <c r="A139" s="2296"/>
      <c r="B139" s="350" t="s">
        <v>98</v>
      </c>
      <c r="C139" s="27">
        <v>150.0</v>
      </c>
      <c r="D139" s="201">
        <f t="shared" si="11"/>
        <v>547.5</v>
      </c>
      <c r="E139" s="1735"/>
      <c r="F139" s="352" t="s">
        <v>18</v>
      </c>
      <c r="G139" s="1"/>
      <c r="H139" s="1"/>
      <c r="I139" s="1"/>
      <c r="J139" s="1"/>
      <c r="K139" s="1"/>
      <c r="L139" s="1"/>
      <c r="M139" s="1"/>
      <c r="N139" s="1"/>
      <c r="O139" s="1"/>
      <c r="P139" s="1"/>
      <c r="Q139" s="1"/>
      <c r="R139" s="1"/>
      <c r="S139" s="1"/>
    </row>
    <row r="140" ht="14.25" customHeight="1">
      <c r="A140" s="2296"/>
      <c r="B140" s="350" t="s">
        <v>95</v>
      </c>
      <c r="C140" s="27">
        <v>25.0</v>
      </c>
      <c r="D140" s="201">
        <f t="shared" si="11"/>
        <v>91.25</v>
      </c>
      <c r="E140" s="1735"/>
      <c r="F140" s="352" t="s">
        <v>18</v>
      </c>
      <c r="G140" s="1"/>
      <c r="H140" s="1"/>
      <c r="I140" s="1"/>
      <c r="J140" s="1"/>
      <c r="K140" s="1"/>
      <c r="L140" s="1"/>
      <c r="M140" s="1"/>
      <c r="N140" s="1"/>
      <c r="O140" s="1"/>
      <c r="P140" s="1"/>
      <c r="Q140" s="1"/>
      <c r="R140" s="1"/>
      <c r="S140" s="1"/>
    </row>
    <row r="141" ht="14.25" customHeight="1">
      <c r="A141" s="1112"/>
      <c r="B141" s="350" t="s">
        <v>102</v>
      </c>
      <c r="C141" s="27">
        <v>50.0</v>
      </c>
      <c r="D141" s="201">
        <f t="shared" si="11"/>
        <v>182.5</v>
      </c>
      <c r="E141" s="1735"/>
      <c r="F141" s="352" t="s">
        <v>18</v>
      </c>
      <c r="G141" s="1"/>
      <c r="H141" s="1"/>
      <c r="I141" s="1"/>
      <c r="J141" s="1"/>
      <c r="K141" s="1"/>
      <c r="L141" s="1"/>
      <c r="M141" s="1"/>
      <c r="N141" s="1"/>
      <c r="O141" s="1"/>
      <c r="P141" s="1"/>
      <c r="Q141" s="1"/>
      <c r="R141" s="1"/>
      <c r="S141" s="1"/>
    </row>
    <row r="142" ht="14.25" customHeight="1">
      <c r="A142" s="1"/>
      <c r="B142" s="350" t="s">
        <v>346</v>
      </c>
      <c r="C142" s="27">
        <v>1000.0</v>
      </c>
      <c r="D142" s="201">
        <f t="shared" si="11"/>
        <v>3650</v>
      </c>
      <c r="E142" s="1735"/>
      <c r="F142" s="352" t="s">
        <v>18</v>
      </c>
      <c r="G142" s="1"/>
      <c r="H142" s="1"/>
      <c r="I142" s="1"/>
      <c r="J142" s="1"/>
      <c r="K142" s="1"/>
      <c r="L142" s="1"/>
      <c r="M142" s="1"/>
      <c r="N142" s="1"/>
      <c r="O142" s="1"/>
      <c r="P142" s="1"/>
      <c r="Q142" s="1"/>
      <c r="R142" s="1"/>
      <c r="S142" s="1"/>
    </row>
    <row r="143" ht="14.25" customHeight="1">
      <c r="A143" s="1"/>
      <c r="B143" s="350" t="s">
        <v>1987</v>
      </c>
      <c r="C143" s="27">
        <v>1000.0</v>
      </c>
      <c r="D143" s="201">
        <f t="shared" si="11"/>
        <v>3650</v>
      </c>
      <c r="E143" s="1735"/>
      <c r="F143" s="352" t="s">
        <v>18</v>
      </c>
      <c r="G143" s="1"/>
      <c r="H143" s="1"/>
      <c r="I143" s="1"/>
      <c r="J143" s="1"/>
      <c r="K143" s="1"/>
      <c r="L143" s="1"/>
      <c r="M143" s="1"/>
      <c r="N143" s="1"/>
      <c r="O143" s="1"/>
      <c r="P143" s="1"/>
      <c r="Q143" s="1"/>
      <c r="R143" s="1"/>
      <c r="S143" s="1"/>
    </row>
    <row r="144" ht="14.25" customHeight="1">
      <c r="A144" s="1"/>
      <c r="B144" s="354" t="s">
        <v>103</v>
      </c>
      <c r="C144" s="27">
        <v>100.0</v>
      </c>
      <c r="D144" s="201">
        <f t="shared" si="11"/>
        <v>365</v>
      </c>
      <c r="E144" s="2164"/>
      <c r="F144" s="356" t="s">
        <v>18</v>
      </c>
      <c r="G144" s="1"/>
      <c r="H144" s="1"/>
      <c r="I144" s="1"/>
      <c r="J144" s="1"/>
      <c r="K144" s="1"/>
      <c r="L144" s="1"/>
      <c r="M144" s="1"/>
      <c r="N144" s="1"/>
      <c r="O144" s="1"/>
      <c r="P144" s="1"/>
      <c r="Q144" s="1"/>
      <c r="R144" s="1"/>
      <c r="S144" s="1"/>
    </row>
    <row r="145" ht="14.25" customHeight="1">
      <c r="A145" s="1112"/>
      <c r="B145" s="606" t="s">
        <v>52</v>
      </c>
      <c r="C145" s="236">
        <v>150.0</v>
      </c>
      <c r="D145" s="257">
        <f t="shared" si="11"/>
        <v>547.5</v>
      </c>
      <c r="E145" s="1738"/>
      <c r="F145" s="1475" t="s">
        <v>18</v>
      </c>
      <c r="G145" s="1"/>
      <c r="H145" s="1"/>
      <c r="I145" s="1"/>
      <c r="J145" s="1"/>
      <c r="K145" s="1"/>
      <c r="L145" s="1"/>
      <c r="M145" s="1"/>
      <c r="N145" s="1"/>
      <c r="O145" s="1"/>
      <c r="P145" s="1"/>
      <c r="Q145" s="1"/>
      <c r="R145" s="1"/>
      <c r="S145" s="1"/>
    </row>
    <row r="146" ht="14.25" customHeight="1">
      <c r="A146" s="1112"/>
      <c r="B146" s="591" t="s">
        <v>2590</v>
      </c>
      <c r="C146" s="244">
        <v>15.0</v>
      </c>
      <c r="D146" s="158">
        <f t="shared" si="11"/>
        <v>54.75</v>
      </c>
      <c r="E146" s="1998"/>
      <c r="F146" s="1457" t="s">
        <v>14</v>
      </c>
      <c r="G146" s="1"/>
      <c r="H146" s="1"/>
      <c r="I146" s="1"/>
      <c r="J146" s="1"/>
      <c r="K146" s="1"/>
      <c r="L146" s="1"/>
      <c r="M146" s="1"/>
      <c r="N146" s="1"/>
      <c r="O146" s="1"/>
      <c r="P146" s="1"/>
      <c r="Q146" s="1"/>
      <c r="R146" s="1"/>
      <c r="S146" s="1"/>
    </row>
    <row r="147" ht="14.25" customHeight="1">
      <c r="A147" s="1112"/>
      <c r="B147" s="350" t="s">
        <v>746</v>
      </c>
      <c r="C147" s="27">
        <v>950.0</v>
      </c>
      <c r="D147" s="201">
        <f t="shared" si="11"/>
        <v>3467.5</v>
      </c>
      <c r="E147" s="1735"/>
      <c r="F147" s="352" t="s">
        <v>18</v>
      </c>
      <c r="G147" s="1"/>
      <c r="H147" s="1"/>
      <c r="I147" s="1"/>
      <c r="J147" s="1"/>
      <c r="K147" s="1"/>
      <c r="L147" s="1"/>
      <c r="M147" s="1"/>
      <c r="N147" s="1"/>
      <c r="O147" s="1"/>
      <c r="P147" s="1"/>
      <c r="Q147" s="1"/>
      <c r="R147" s="1"/>
      <c r="S147" s="1"/>
    </row>
    <row r="148" ht="14.25" customHeight="1">
      <c r="A148" s="1112"/>
      <c r="B148" s="606" t="s">
        <v>1132</v>
      </c>
      <c r="C148" s="236">
        <v>1400.0</v>
      </c>
      <c r="D148" s="257">
        <f t="shared" si="11"/>
        <v>5110</v>
      </c>
      <c r="E148" s="1738"/>
      <c r="F148" s="1475" t="s">
        <v>18</v>
      </c>
      <c r="G148" s="1"/>
      <c r="H148" s="1"/>
      <c r="I148" s="1"/>
      <c r="J148" s="1"/>
      <c r="K148" s="1"/>
      <c r="L148" s="1"/>
      <c r="M148" s="1"/>
      <c r="N148" s="1"/>
      <c r="O148" s="1"/>
      <c r="P148" s="1"/>
      <c r="Q148" s="1"/>
      <c r="R148" s="1"/>
      <c r="S148" s="1"/>
    </row>
    <row r="149" ht="14.25" customHeight="1">
      <c r="A149" s="1112"/>
      <c r="B149" s="591" t="s">
        <v>31</v>
      </c>
      <c r="C149" s="244">
        <v>1200.0</v>
      </c>
      <c r="D149" s="158">
        <f t="shared" si="11"/>
        <v>4380</v>
      </c>
      <c r="E149" s="1998"/>
      <c r="F149" s="1457" t="s">
        <v>18</v>
      </c>
      <c r="G149" s="1"/>
      <c r="H149" s="1"/>
      <c r="I149" s="1"/>
      <c r="J149" s="1"/>
      <c r="K149" s="1"/>
      <c r="L149" s="1"/>
      <c r="M149" s="1"/>
      <c r="N149" s="1"/>
      <c r="O149" s="1"/>
      <c r="P149" s="1"/>
      <c r="Q149" s="1"/>
      <c r="R149" s="1"/>
      <c r="S149" s="1"/>
    </row>
    <row r="150" ht="14.25" customHeight="1">
      <c r="A150" s="1112"/>
      <c r="B150" s="350" t="s">
        <v>13</v>
      </c>
      <c r="C150" s="27">
        <v>1.5</v>
      </c>
      <c r="D150" s="201">
        <f t="shared" si="11"/>
        <v>5.475</v>
      </c>
      <c r="E150" s="1735"/>
      <c r="F150" s="352" t="s">
        <v>14</v>
      </c>
      <c r="G150" s="1"/>
      <c r="H150" s="1"/>
      <c r="I150" s="1"/>
      <c r="J150" s="1"/>
      <c r="K150" s="1"/>
      <c r="L150" s="1"/>
      <c r="M150" s="1"/>
      <c r="N150" s="1"/>
      <c r="O150" s="1"/>
      <c r="P150" s="1"/>
      <c r="Q150" s="1"/>
      <c r="R150" s="1"/>
      <c r="S150" s="1"/>
    </row>
    <row r="151" ht="14.25" customHeight="1">
      <c r="A151" s="1112"/>
      <c r="B151" s="350" t="s">
        <v>1027</v>
      </c>
      <c r="C151" s="27">
        <v>100.0</v>
      </c>
      <c r="D151" s="201">
        <f t="shared" si="11"/>
        <v>365</v>
      </c>
      <c r="E151" s="1735"/>
      <c r="F151" s="352" t="s">
        <v>18</v>
      </c>
      <c r="G151" s="1"/>
      <c r="H151" s="1"/>
      <c r="I151" s="1"/>
      <c r="J151" s="1"/>
      <c r="K151" s="1"/>
      <c r="L151" s="1"/>
      <c r="M151" s="1"/>
      <c r="N151" s="1"/>
      <c r="O151" s="1"/>
      <c r="P151" s="1"/>
      <c r="Q151" s="1"/>
      <c r="R151" s="1"/>
      <c r="S151" s="1"/>
    </row>
    <row r="152" ht="14.25" customHeight="1">
      <c r="A152" s="1112"/>
      <c r="B152" s="350" t="s">
        <v>105</v>
      </c>
      <c r="C152" s="27">
        <v>100.0</v>
      </c>
      <c r="D152" s="201">
        <f t="shared" si="11"/>
        <v>365</v>
      </c>
      <c r="E152" s="1735"/>
      <c r="F152" s="352" t="s">
        <v>18</v>
      </c>
      <c r="G152" s="1"/>
      <c r="H152" s="1"/>
      <c r="I152" s="1"/>
      <c r="J152" s="1"/>
      <c r="K152" s="1"/>
      <c r="L152" s="1"/>
      <c r="M152" s="1"/>
      <c r="N152" s="1"/>
      <c r="O152" s="1"/>
      <c r="P152" s="1"/>
      <c r="Q152" s="1"/>
      <c r="R152" s="1"/>
      <c r="S152" s="1"/>
    </row>
    <row r="153" ht="14.25" customHeight="1">
      <c r="A153" s="1112"/>
      <c r="B153" s="606" t="s">
        <v>2593</v>
      </c>
      <c r="C153" s="236">
        <v>320.0</v>
      </c>
      <c r="D153" s="257">
        <f t="shared" si="11"/>
        <v>1168</v>
      </c>
      <c r="E153" s="1738"/>
      <c r="F153" s="1475" t="s">
        <v>18</v>
      </c>
      <c r="G153" s="1"/>
      <c r="H153" s="1"/>
      <c r="I153" s="1"/>
      <c r="J153" s="1"/>
      <c r="K153" s="1"/>
      <c r="L153" s="1"/>
      <c r="M153" s="1"/>
      <c r="N153" s="1"/>
      <c r="O153" s="1"/>
      <c r="P153" s="1"/>
      <c r="Q153" s="1"/>
      <c r="R153" s="1"/>
      <c r="S153" s="1"/>
    </row>
    <row r="154" ht="14.25" customHeight="1">
      <c r="A154" s="1112"/>
      <c r="B154" s="2348" t="s">
        <v>1481</v>
      </c>
      <c r="C154" s="1077">
        <v>4.0</v>
      </c>
      <c r="D154" s="1090">
        <f t="shared" si="11"/>
        <v>14.6</v>
      </c>
      <c r="E154" s="2350"/>
      <c r="F154" s="2352" t="s">
        <v>14</v>
      </c>
      <c r="G154" s="1"/>
      <c r="H154" s="1"/>
      <c r="I154" s="1"/>
      <c r="J154" s="1"/>
      <c r="K154" s="1"/>
      <c r="L154" s="1"/>
      <c r="M154" s="1"/>
      <c r="N154" s="1"/>
      <c r="O154" s="1"/>
      <c r="P154" s="1"/>
      <c r="Q154" s="1"/>
      <c r="R154" s="1"/>
      <c r="S154" s="1"/>
    </row>
    <row r="155" ht="14.25" customHeight="1">
      <c r="A155" s="1112"/>
      <c r="B155" s="606" t="s">
        <v>1853</v>
      </c>
      <c r="C155" s="236">
        <v>2.0</v>
      </c>
      <c r="D155" s="257">
        <f t="shared" si="11"/>
        <v>7.3</v>
      </c>
      <c r="E155" s="1738"/>
      <c r="F155" s="1475" t="s">
        <v>14</v>
      </c>
      <c r="G155" s="1"/>
      <c r="H155" s="1"/>
      <c r="I155" s="1"/>
      <c r="J155" s="1"/>
      <c r="K155" s="1"/>
      <c r="L155" s="1"/>
      <c r="M155" s="1"/>
      <c r="N155" s="1"/>
      <c r="O155" s="1"/>
      <c r="P155" s="1"/>
      <c r="Q155" s="1"/>
      <c r="R155" s="1"/>
      <c r="S155" s="1"/>
    </row>
    <row r="156" ht="14.25" customHeight="1">
      <c r="A156" s="1112"/>
      <c r="B156" s="2275" t="s">
        <v>119</v>
      </c>
      <c r="C156" s="1446" t="s">
        <v>47</v>
      </c>
      <c r="D156" s="184"/>
      <c r="E156" s="184"/>
      <c r="F156" s="1"/>
      <c r="G156" s="1"/>
      <c r="H156" s="1"/>
      <c r="I156" s="1"/>
      <c r="J156" s="1"/>
      <c r="K156" s="1"/>
      <c r="L156" s="1"/>
      <c r="M156" s="1"/>
      <c r="N156" s="1"/>
      <c r="O156" s="1"/>
      <c r="P156" s="1"/>
      <c r="Q156" s="1"/>
      <c r="R156" s="1"/>
      <c r="S156" s="1"/>
    </row>
    <row r="157" ht="14.25" customHeight="1">
      <c r="A157" s="1112"/>
      <c r="B157" s="90" t="s">
        <v>120</v>
      </c>
      <c r="C157" s="1188">
        <v>42738.0</v>
      </c>
      <c r="D157" s="184"/>
      <c r="E157" s="184"/>
      <c r="F157" s="1"/>
      <c r="G157" s="1"/>
      <c r="H157" s="1"/>
      <c r="I157" s="1"/>
      <c r="J157" s="1"/>
      <c r="K157" s="1"/>
      <c r="L157" s="1"/>
      <c r="M157" s="1"/>
      <c r="N157" s="1"/>
      <c r="O157" s="1"/>
      <c r="P157" s="1"/>
      <c r="Q157" s="1"/>
      <c r="R157" s="1"/>
      <c r="S157" s="1"/>
    </row>
    <row r="158" ht="14.25" customHeight="1">
      <c r="A158" s="1112"/>
      <c r="B158" s="305" t="s">
        <v>50</v>
      </c>
      <c r="C158" s="1188"/>
      <c r="D158" s="184"/>
      <c r="E158" s="184"/>
      <c r="F158" s="1"/>
      <c r="G158" s="1"/>
      <c r="H158" s="1"/>
      <c r="I158" s="1"/>
      <c r="J158" s="1"/>
      <c r="K158" s="1"/>
      <c r="L158" s="1"/>
      <c r="M158" s="1"/>
      <c r="N158" s="1"/>
      <c r="O158" s="1"/>
      <c r="P158" s="1"/>
      <c r="Q158" s="1"/>
      <c r="R158" s="1"/>
      <c r="S158" s="1"/>
    </row>
    <row r="159" ht="14.25" customHeight="1">
      <c r="A159" s="1112"/>
      <c r="B159" s="1"/>
      <c r="C159" s="107"/>
      <c r="D159" s="184"/>
      <c r="E159" s="184"/>
      <c r="F159" s="1"/>
      <c r="G159" s="1"/>
      <c r="H159" s="1"/>
      <c r="I159" s="1"/>
      <c r="J159" s="1"/>
      <c r="K159" s="1"/>
      <c r="L159" s="1"/>
      <c r="M159" s="1"/>
      <c r="N159" s="1"/>
      <c r="O159" s="1"/>
      <c r="P159" s="1"/>
      <c r="Q159" s="1"/>
      <c r="R159" s="1"/>
      <c r="S159" s="1"/>
    </row>
    <row r="160" ht="14.25" customHeight="1">
      <c r="A160" s="1112"/>
      <c r="B160" s="206" t="s">
        <v>518</v>
      </c>
      <c r="C160" s="5"/>
      <c r="D160" s="5"/>
      <c r="E160" s="5"/>
      <c r="F160" s="6"/>
      <c r="G160" s="1301" t="s">
        <v>2629</v>
      </c>
      <c r="H160" s="1"/>
      <c r="I160" s="1"/>
      <c r="J160" s="1"/>
      <c r="K160" s="1"/>
      <c r="L160" s="1"/>
      <c r="M160" s="1"/>
      <c r="N160" s="1"/>
      <c r="O160" s="1"/>
      <c r="P160" s="1"/>
      <c r="Q160" s="1"/>
      <c r="R160" s="1"/>
      <c r="S160" s="1"/>
    </row>
    <row r="161" ht="14.25" customHeight="1">
      <c r="A161" s="1"/>
      <c r="B161" s="173" t="s">
        <v>1</v>
      </c>
      <c r="C161" s="275">
        <v>10.0</v>
      </c>
      <c r="D161" s="179">
        <v>10.0</v>
      </c>
      <c r="E161" s="1689"/>
      <c r="F161" s="547" t="s">
        <v>5</v>
      </c>
      <c r="G161" s="1"/>
      <c r="H161" s="1"/>
      <c r="I161" s="1"/>
      <c r="J161" s="1"/>
      <c r="K161" s="1"/>
      <c r="L161" s="1"/>
      <c r="M161" s="1"/>
      <c r="N161" s="1"/>
      <c r="O161" s="1"/>
      <c r="P161" s="1"/>
      <c r="Q161" s="1"/>
      <c r="R161" s="1"/>
      <c r="S161" s="1"/>
    </row>
    <row r="162" ht="14.25" customHeight="1">
      <c r="A162" s="1"/>
      <c r="B162" s="68" t="s">
        <v>2449</v>
      </c>
      <c r="C162" s="145">
        <v>5.0</v>
      </c>
      <c r="D162" s="155">
        <f t="shared" ref="D162:D166" si="12">(C162*D161)/C161</f>
        <v>5</v>
      </c>
      <c r="E162" s="899"/>
      <c r="F162" s="216" t="s">
        <v>14</v>
      </c>
      <c r="G162" s="1"/>
      <c r="H162" s="1"/>
      <c r="I162" s="1"/>
      <c r="J162" s="1"/>
      <c r="K162" s="1"/>
      <c r="L162" s="1"/>
      <c r="M162" s="1"/>
      <c r="N162" s="1"/>
      <c r="O162" s="1"/>
      <c r="P162" s="1"/>
      <c r="Q162" s="1"/>
      <c r="R162" s="1"/>
      <c r="S162" s="1"/>
    </row>
    <row r="163" ht="14.25" customHeight="1">
      <c r="A163" s="1"/>
      <c r="B163" s="105" t="s">
        <v>2634</v>
      </c>
      <c r="C163" s="200">
        <v>200.0</v>
      </c>
      <c r="D163" s="56">
        <f t="shared" si="12"/>
        <v>200</v>
      </c>
      <c r="E163" s="1604"/>
      <c r="F163" s="518" t="s">
        <v>18</v>
      </c>
      <c r="G163" s="1"/>
      <c r="H163" s="1"/>
      <c r="I163" s="1"/>
      <c r="J163" s="1"/>
      <c r="K163" s="1"/>
      <c r="L163" s="1"/>
      <c r="M163" s="1"/>
      <c r="N163" s="1"/>
      <c r="O163" s="1"/>
      <c r="P163" s="1"/>
      <c r="Q163" s="1"/>
      <c r="R163" s="1"/>
      <c r="S163" s="1"/>
    </row>
    <row r="164" ht="14.25" customHeight="1">
      <c r="A164" s="2296"/>
      <c r="B164" s="119" t="s">
        <v>1582</v>
      </c>
      <c r="C164" s="238">
        <v>0.06</v>
      </c>
      <c r="D164" s="129">
        <f t="shared" si="12"/>
        <v>0.06</v>
      </c>
      <c r="E164" s="1583"/>
      <c r="F164" s="520" t="s">
        <v>5</v>
      </c>
      <c r="G164" s="1"/>
      <c r="H164" s="1"/>
      <c r="I164" s="1"/>
      <c r="J164" s="1"/>
      <c r="K164" s="1"/>
      <c r="L164" s="1"/>
      <c r="M164" s="1"/>
      <c r="N164" s="1"/>
      <c r="O164" s="1"/>
      <c r="P164" s="1"/>
      <c r="Q164" s="1"/>
      <c r="R164" s="1"/>
      <c r="S164" s="1"/>
    </row>
    <row r="165" ht="14.25" customHeight="1">
      <c r="A165" s="2296"/>
      <c r="B165" s="93" t="s">
        <v>2638</v>
      </c>
      <c r="C165" s="195">
        <v>0.1</v>
      </c>
      <c r="D165" s="78">
        <f t="shared" si="12"/>
        <v>0.1</v>
      </c>
      <c r="E165" s="900"/>
      <c r="F165" s="249" t="s">
        <v>14</v>
      </c>
      <c r="G165" s="1"/>
      <c r="H165" s="1"/>
      <c r="I165" s="1"/>
      <c r="J165" s="1"/>
      <c r="K165" s="1"/>
      <c r="L165" s="1"/>
      <c r="M165" s="1"/>
      <c r="N165" s="1"/>
      <c r="O165" s="1"/>
      <c r="P165" s="1"/>
      <c r="Q165" s="1"/>
      <c r="R165" s="1"/>
      <c r="S165" s="1"/>
    </row>
    <row r="166" ht="14.25" customHeight="1">
      <c r="A166" s="2296"/>
      <c r="B166" s="93" t="s">
        <v>2646</v>
      </c>
      <c r="C166" s="195">
        <v>50.0</v>
      </c>
      <c r="D166" s="78">
        <f t="shared" si="12"/>
        <v>50</v>
      </c>
      <c r="E166" s="900"/>
      <c r="F166" s="249" t="s">
        <v>18</v>
      </c>
      <c r="G166" s="1"/>
      <c r="H166" s="1"/>
      <c r="I166" s="1"/>
      <c r="J166" s="1"/>
      <c r="K166" s="1"/>
      <c r="L166" s="1"/>
      <c r="M166" s="1"/>
      <c r="N166" s="1"/>
      <c r="O166" s="1"/>
      <c r="P166" s="1"/>
      <c r="Q166" s="1"/>
      <c r="R166" s="1"/>
      <c r="S166" s="1"/>
    </row>
    <row r="167" ht="14.25" customHeight="1">
      <c r="A167" s="2296"/>
      <c r="B167" s="2252" t="s">
        <v>2649</v>
      </c>
      <c r="C167" s="238">
        <v>0.5</v>
      </c>
      <c r="D167" s="2375">
        <f>(C167*D168)/C168</f>
        <v>0.5</v>
      </c>
      <c r="E167" s="2376"/>
      <c r="F167" s="1457" t="s">
        <v>14</v>
      </c>
      <c r="G167" s="770" t="s">
        <v>2650</v>
      </c>
      <c r="H167" s="1"/>
      <c r="I167" s="1"/>
      <c r="J167" s="1"/>
      <c r="K167" s="1"/>
      <c r="L167" s="1"/>
      <c r="M167" s="1"/>
      <c r="N167" s="1"/>
      <c r="O167" s="1"/>
      <c r="P167" s="1"/>
      <c r="Q167" s="1"/>
      <c r="R167" s="1"/>
      <c r="S167" s="1"/>
    </row>
    <row r="168" ht="14.25" customHeight="1">
      <c r="A168" s="1112"/>
      <c r="B168" s="2252" t="s">
        <v>858</v>
      </c>
      <c r="C168" s="238">
        <v>2.0</v>
      </c>
      <c r="D168" s="2375">
        <f t="shared" ref="D168:D169" si="13">(C168*D166)/C166</f>
        <v>2</v>
      </c>
      <c r="E168" s="2376"/>
      <c r="F168" s="1457" t="s">
        <v>741</v>
      </c>
      <c r="G168" s="47"/>
      <c r="H168" s="1"/>
      <c r="I168" s="1"/>
      <c r="J168" s="1"/>
      <c r="K168" s="1"/>
      <c r="L168" s="1"/>
      <c r="M168" s="1"/>
      <c r="N168" s="1"/>
      <c r="O168" s="1"/>
      <c r="P168" s="1"/>
      <c r="Q168" s="1"/>
      <c r="R168" s="1"/>
      <c r="S168" s="1"/>
    </row>
    <row r="169" ht="14.25" customHeight="1">
      <c r="A169" s="1112"/>
      <c r="B169" s="93" t="s">
        <v>60</v>
      </c>
      <c r="C169" s="195">
        <v>0.5</v>
      </c>
      <c r="D169" s="78">
        <f t="shared" si="13"/>
        <v>0.5</v>
      </c>
      <c r="E169" s="900"/>
      <c r="F169" s="249" t="s">
        <v>14</v>
      </c>
      <c r="G169" s="47"/>
      <c r="H169" s="1"/>
      <c r="I169" s="1"/>
      <c r="J169" s="1"/>
      <c r="K169" s="1"/>
      <c r="L169" s="1"/>
      <c r="M169" s="1"/>
      <c r="N169" s="1"/>
      <c r="O169" s="1"/>
      <c r="P169" s="1"/>
      <c r="Q169" s="1"/>
      <c r="R169" s="1"/>
      <c r="S169" s="1"/>
    </row>
    <row r="170" ht="14.25" customHeight="1">
      <c r="A170" s="1112"/>
      <c r="B170" s="105" t="s">
        <v>80</v>
      </c>
      <c r="C170" s="200">
        <v>0.5</v>
      </c>
      <c r="D170" s="56">
        <f>(C170*D169)/C169</f>
        <v>0.5</v>
      </c>
      <c r="E170" s="1604"/>
      <c r="F170" s="518" t="s">
        <v>14</v>
      </c>
      <c r="G170" s="76"/>
      <c r="H170" s="1"/>
      <c r="I170" s="1"/>
      <c r="J170" s="1"/>
      <c r="K170" s="1"/>
      <c r="L170" s="1"/>
      <c r="M170" s="1"/>
      <c r="N170" s="1"/>
      <c r="O170" s="1"/>
      <c r="P170" s="1"/>
      <c r="Q170" s="1"/>
      <c r="R170" s="1"/>
      <c r="S170" s="1"/>
    </row>
    <row r="171" ht="14.25" customHeight="1">
      <c r="A171" s="1112"/>
      <c r="B171" s="2275" t="s">
        <v>119</v>
      </c>
      <c r="C171" s="1446" t="s">
        <v>47</v>
      </c>
      <c r="D171" s="184"/>
      <c r="E171" s="184"/>
      <c r="F171" s="1"/>
      <c r="G171" s="1"/>
      <c r="H171" s="1"/>
      <c r="I171" s="1"/>
      <c r="J171" s="1"/>
      <c r="K171" s="1"/>
      <c r="L171" s="1"/>
      <c r="M171" s="1"/>
      <c r="N171" s="1"/>
      <c r="O171" s="1"/>
      <c r="P171" s="1"/>
      <c r="Q171" s="1"/>
      <c r="R171" s="1"/>
      <c r="S171" s="1"/>
    </row>
    <row r="172" ht="14.25" customHeight="1">
      <c r="A172" s="1112"/>
      <c r="B172" s="90" t="s">
        <v>120</v>
      </c>
      <c r="C172" s="1188">
        <v>42755.0</v>
      </c>
      <c r="D172" s="184"/>
      <c r="E172" s="184"/>
      <c r="F172" s="1"/>
      <c r="G172" s="1"/>
      <c r="H172" s="1"/>
      <c r="I172" s="1"/>
      <c r="J172" s="1"/>
      <c r="K172" s="1"/>
      <c r="L172" s="1"/>
      <c r="M172" s="1"/>
      <c r="N172" s="1"/>
      <c r="O172" s="1"/>
      <c r="P172" s="1"/>
      <c r="Q172" s="1"/>
      <c r="R172" s="1"/>
      <c r="S172" s="1"/>
    </row>
    <row r="173" ht="14.25" customHeight="1">
      <c r="A173" s="1112"/>
      <c r="B173" s="305" t="s">
        <v>50</v>
      </c>
      <c r="C173" s="1188"/>
      <c r="D173" s="184"/>
      <c r="E173" s="184"/>
      <c r="F173" s="1"/>
      <c r="G173" s="1"/>
      <c r="H173" s="1"/>
      <c r="I173" s="1"/>
      <c r="J173" s="1"/>
      <c r="K173" s="1"/>
      <c r="L173" s="1"/>
      <c r="M173" s="1"/>
      <c r="N173" s="1"/>
      <c r="O173" s="1"/>
      <c r="P173" s="1"/>
      <c r="Q173" s="1"/>
      <c r="R173" s="1"/>
      <c r="S173" s="1"/>
    </row>
    <row r="174" ht="14.25" customHeight="1">
      <c r="A174" s="1112"/>
      <c r="B174" s="1"/>
      <c r="C174" s="107"/>
      <c r="D174" s="184"/>
      <c r="E174" s="184"/>
      <c r="F174" s="1"/>
      <c r="G174" s="1"/>
      <c r="H174" s="1"/>
      <c r="I174" s="1"/>
      <c r="J174" s="1"/>
      <c r="K174" s="1"/>
      <c r="L174" s="1"/>
      <c r="M174" s="1"/>
      <c r="N174" s="1"/>
      <c r="O174" s="1"/>
      <c r="P174" s="1"/>
      <c r="Q174" s="1"/>
      <c r="R174" s="1"/>
      <c r="S174" s="1"/>
    </row>
    <row r="175" ht="14.25" customHeight="1">
      <c r="A175" s="1112"/>
      <c r="B175" s="206" t="s">
        <v>680</v>
      </c>
      <c r="C175" s="5"/>
      <c r="D175" s="5"/>
      <c r="E175" s="5"/>
      <c r="F175" s="6"/>
      <c r="G175" s="2379" t="s">
        <v>2657</v>
      </c>
      <c r="H175" s="1"/>
      <c r="I175" s="1"/>
      <c r="J175" s="1"/>
      <c r="K175" s="1"/>
      <c r="L175" s="1"/>
      <c r="M175" s="1"/>
      <c r="N175" s="1"/>
      <c r="O175" s="1"/>
      <c r="P175" s="1"/>
      <c r="Q175" s="1"/>
      <c r="R175" s="1"/>
      <c r="S175" s="1"/>
    </row>
    <row r="176" ht="14.25" customHeight="1">
      <c r="A176" s="1112"/>
      <c r="B176" s="51" t="s">
        <v>1</v>
      </c>
      <c r="C176" s="190">
        <v>6.0</v>
      </c>
      <c r="D176" s="2380">
        <v>43.2</v>
      </c>
      <c r="E176" s="2381"/>
      <c r="F176" s="514" t="s">
        <v>5</v>
      </c>
      <c r="G176" s="2383"/>
      <c r="H176" s="1"/>
      <c r="I176" s="1"/>
      <c r="J176" s="1"/>
      <c r="K176" s="1"/>
      <c r="L176" s="1"/>
      <c r="M176" s="1"/>
      <c r="N176" s="1"/>
      <c r="O176" s="1"/>
      <c r="P176" s="1"/>
      <c r="Q176" s="1"/>
      <c r="R176" s="1"/>
      <c r="S176" s="1"/>
    </row>
    <row r="177" ht="14.25" customHeight="1">
      <c r="A177" s="1112"/>
      <c r="B177" s="68" t="s">
        <v>1167</v>
      </c>
      <c r="C177" s="145">
        <v>1.5</v>
      </c>
      <c r="D177" s="2385">
        <f t="shared" ref="D177:D182" si="14">(C177*D176)/C176</f>
        <v>10.8</v>
      </c>
      <c r="E177" s="2386"/>
      <c r="F177" s="216" t="s">
        <v>14</v>
      </c>
      <c r="G177" s="637"/>
      <c r="H177" s="1"/>
      <c r="I177" s="1"/>
      <c r="J177" s="1"/>
      <c r="K177" s="1"/>
      <c r="L177" s="1"/>
      <c r="M177" s="1"/>
      <c r="N177" s="1"/>
      <c r="O177" s="1"/>
      <c r="P177" s="1"/>
      <c r="Q177" s="1"/>
      <c r="R177" s="1"/>
      <c r="S177" s="1"/>
    </row>
    <row r="178" ht="14.25" customHeight="1">
      <c r="A178" s="1112"/>
      <c r="B178" s="93" t="s">
        <v>2440</v>
      </c>
      <c r="C178" s="195">
        <v>1.5</v>
      </c>
      <c r="D178" s="1420">
        <f t="shared" si="14"/>
        <v>10.8</v>
      </c>
      <c r="E178" s="1886"/>
      <c r="F178" s="249" t="s">
        <v>14</v>
      </c>
      <c r="G178" s="637"/>
      <c r="H178" s="1"/>
      <c r="I178" s="1"/>
      <c r="J178" s="1"/>
      <c r="K178" s="1"/>
      <c r="L178" s="1"/>
      <c r="M178" s="1"/>
      <c r="N178" s="1"/>
      <c r="O178" s="1"/>
      <c r="P178" s="1"/>
      <c r="Q178" s="1"/>
      <c r="R178" s="1"/>
      <c r="S178" s="1"/>
    </row>
    <row r="179" ht="14.25" customHeight="1">
      <c r="A179" s="1112"/>
      <c r="B179" s="93" t="s">
        <v>1246</v>
      </c>
      <c r="C179" s="195">
        <v>1.0</v>
      </c>
      <c r="D179" s="1420">
        <f t="shared" si="14"/>
        <v>7.2</v>
      </c>
      <c r="E179" s="1886"/>
      <c r="F179" s="249" t="s">
        <v>14</v>
      </c>
      <c r="G179" s="2389"/>
      <c r="H179" s="1"/>
      <c r="I179" s="1"/>
      <c r="J179" s="1"/>
      <c r="K179" s="1"/>
      <c r="L179" s="1"/>
      <c r="M179" s="1"/>
      <c r="N179" s="1"/>
      <c r="O179" s="1"/>
      <c r="P179" s="1"/>
      <c r="Q179" s="1"/>
      <c r="R179" s="1"/>
      <c r="S179" s="1"/>
    </row>
    <row r="180" ht="14.25" customHeight="1">
      <c r="A180" s="1112"/>
      <c r="B180" s="93" t="s">
        <v>2664</v>
      </c>
      <c r="C180" s="195">
        <v>1.0</v>
      </c>
      <c r="D180" s="1420">
        <f t="shared" si="14"/>
        <v>7.2</v>
      </c>
      <c r="E180" s="1886"/>
      <c r="F180" s="249" t="s">
        <v>14</v>
      </c>
      <c r="G180" s="2389"/>
      <c r="H180" s="1"/>
      <c r="I180" s="1"/>
      <c r="J180" s="1"/>
      <c r="K180" s="1"/>
      <c r="L180" s="1"/>
      <c r="M180" s="1"/>
      <c r="N180" s="1"/>
      <c r="O180" s="1"/>
      <c r="P180" s="1"/>
      <c r="Q180" s="1"/>
      <c r="R180" s="1"/>
      <c r="S180" s="1"/>
    </row>
    <row r="181" ht="14.25" customHeight="1">
      <c r="A181" s="1112"/>
      <c r="B181" s="138" t="s">
        <v>2668</v>
      </c>
      <c r="C181" s="279">
        <v>20.0</v>
      </c>
      <c r="D181" s="1887">
        <f t="shared" si="14"/>
        <v>144</v>
      </c>
      <c r="E181" s="1889"/>
      <c r="F181" s="242" t="s">
        <v>18</v>
      </c>
      <c r="G181" s="2389"/>
      <c r="H181" s="1"/>
      <c r="I181" s="1"/>
      <c r="J181" s="1"/>
      <c r="K181" s="1"/>
      <c r="L181" s="1"/>
      <c r="M181" s="1"/>
      <c r="N181" s="1"/>
      <c r="O181" s="1"/>
      <c r="P181" s="1"/>
      <c r="Q181" s="1"/>
      <c r="R181" s="1"/>
      <c r="S181" s="1"/>
    </row>
    <row r="182" ht="14.25" customHeight="1">
      <c r="A182" s="1112"/>
      <c r="B182" s="138" t="s">
        <v>2672</v>
      </c>
      <c r="C182" s="279">
        <v>0.3</v>
      </c>
      <c r="D182" s="146">
        <f t="shared" si="14"/>
        <v>2.16</v>
      </c>
      <c r="E182" s="1607"/>
      <c r="F182" s="242" t="s">
        <v>14</v>
      </c>
      <c r="G182" s="2389"/>
      <c r="H182" s="1"/>
      <c r="I182" s="1"/>
      <c r="J182" s="1"/>
      <c r="K182" s="1"/>
      <c r="L182" s="1"/>
      <c r="M182" s="1"/>
      <c r="N182" s="1"/>
      <c r="O182" s="1"/>
      <c r="P182" s="1"/>
      <c r="Q182" s="1"/>
      <c r="R182" s="1"/>
      <c r="S182" s="1"/>
    </row>
    <row r="183" ht="14.25" customHeight="1">
      <c r="A183" s="1112"/>
      <c r="B183" s="68" t="s">
        <v>491</v>
      </c>
      <c r="C183" s="145">
        <v>0.2</v>
      </c>
      <c r="D183" s="155">
        <f>(C183*D178)/C178</f>
        <v>1.44</v>
      </c>
      <c r="E183" s="899"/>
      <c r="F183" s="216" t="s">
        <v>5</v>
      </c>
      <c r="G183" s="2389"/>
      <c r="H183" s="1"/>
      <c r="I183" s="1"/>
      <c r="J183" s="1"/>
      <c r="K183" s="1"/>
      <c r="L183" s="1"/>
      <c r="M183" s="1"/>
      <c r="N183" s="1"/>
      <c r="O183" s="1"/>
      <c r="P183" s="1"/>
      <c r="Q183" s="1"/>
      <c r="R183" s="1"/>
      <c r="S183" s="1"/>
    </row>
    <row r="184" ht="14.25" customHeight="1">
      <c r="A184" s="1"/>
      <c r="B184" s="93" t="s">
        <v>39</v>
      </c>
      <c r="C184" s="195">
        <v>30.0</v>
      </c>
      <c r="D184" s="78">
        <f t="shared" ref="D184:D186" si="15">(C184*D180)/C180</f>
        <v>216</v>
      </c>
      <c r="E184" s="900"/>
      <c r="F184" s="249" t="s">
        <v>18</v>
      </c>
      <c r="G184" s="2389"/>
      <c r="H184" s="1"/>
      <c r="I184" s="1"/>
      <c r="J184" s="1"/>
      <c r="K184" s="1"/>
      <c r="L184" s="1"/>
      <c r="M184" s="1"/>
      <c r="N184" s="1"/>
      <c r="O184" s="1"/>
      <c r="P184" s="1"/>
      <c r="Q184" s="1"/>
      <c r="R184" s="1"/>
      <c r="S184" s="1"/>
    </row>
    <row r="185" ht="14.25" customHeight="1">
      <c r="A185" s="1"/>
      <c r="B185" s="93" t="s">
        <v>149</v>
      </c>
      <c r="C185" s="195">
        <v>42.0</v>
      </c>
      <c r="D185" s="78">
        <f t="shared" si="15"/>
        <v>302.4</v>
      </c>
      <c r="E185" s="900"/>
      <c r="F185" s="249" t="s">
        <v>18</v>
      </c>
      <c r="G185" s="2389"/>
      <c r="H185" s="1"/>
      <c r="I185" s="1"/>
      <c r="J185" s="1"/>
      <c r="K185" s="1"/>
      <c r="L185" s="1"/>
      <c r="M185" s="1"/>
      <c r="N185" s="1"/>
      <c r="O185" s="1"/>
      <c r="P185" s="1"/>
      <c r="Q185" s="1"/>
      <c r="R185" s="1"/>
      <c r="S185" s="1"/>
    </row>
    <row r="186" ht="14.25" customHeight="1">
      <c r="A186" s="1"/>
      <c r="B186" s="93" t="s">
        <v>1899</v>
      </c>
      <c r="C186" s="195">
        <v>0.08</v>
      </c>
      <c r="D186" s="78">
        <f t="shared" si="15"/>
        <v>0.576</v>
      </c>
      <c r="E186" s="900"/>
      <c r="F186" s="249" t="s">
        <v>5</v>
      </c>
      <c r="G186" s="2389"/>
      <c r="H186" s="1"/>
      <c r="I186" s="1"/>
      <c r="J186" s="1"/>
      <c r="K186" s="1"/>
      <c r="L186" s="1"/>
      <c r="M186" s="1"/>
      <c r="N186" s="1"/>
      <c r="O186" s="1"/>
      <c r="P186" s="1"/>
      <c r="Q186" s="1"/>
      <c r="R186" s="1"/>
      <c r="S186" s="1"/>
    </row>
    <row r="187" ht="14.25" customHeight="1">
      <c r="A187" s="1"/>
      <c r="B187" s="93" t="s">
        <v>52</v>
      </c>
      <c r="C187" s="195">
        <v>15.0</v>
      </c>
      <c r="D187" s="78">
        <f t="shared" ref="D187:D192" si="16">(C187*D186)/C186</f>
        <v>108</v>
      </c>
      <c r="E187" s="900"/>
      <c r="F187" s="249" t="s">
        <v>18</v>
      </c>
      <c r="G187" s="2389"/>
      <c r="H187" s="1"/>
      <c r="I187" s="1"/>
      <c r="J187" s="1"/>
      <c r="K187" s="1"/>
      <c r="L187" s="1"/>
      <c r="M187" s="1"/>
      <c r="N187" s="1"/>
      <c r="O187" s="1"/>
      <c r="P187" s="1"/>
      <c r="Q187" s="1"/>
      <c r="R187" s="1"/>
      <c r="S187" s="1"/>
    </row>
    <row r="188" ht="14.25" customHeight="1">
      <c r="A188" s="1"/>
      <c r="B188" s="93" t="s">
        <v>2685</v>
      </c>
      <c r="C188" s="195">
        <v>20.0</v>
      </c>
      <c r="D188" s="78">
        <f t="shared" si="16"/>
        <v>144</v>
      </c>
      <c r="E188" s="900"/>
      <c r="F188" s="249" t="s">
        <v>18</v>
      </c>
      <c r="G188" s="2389"/>
      <c r="H188" s="1"/>
      <c r="I188" s="1"/>
      <c r="J188" s="1"/>
      <c r="K188" s="1"/>
      <c r="L188" s="1"/>
      <c r="M188" s="1"/>
      <c r="N188" s="1"/>
      <c r="O188" s="1"/>
      <c r="P188" s="1"/>
      <c r="Q188" s="1"/>
      <c r="R188" s="1"/>
      <c r="S188" s="1"/>
    </row>
    <row r="189" ht="14.25" customHeight="1">
      <c r="A189" s="1"/>
      <c r="B189" s="93" t="s">
        <v>2687</v>
      </c>
      <c r="C189" s="195">
        <v>15.0</v>
      </c>
      <c r="D189" s="78">
        <f t="shared" si="16"/>
        <v>108</v>
      </c>
      <c r="E189" s="900"/>
      <c r="F189" s="249" t="s">
        <v>18</v>
      </c>
      <c r="G189" s="2389"/>
      <c r="H189" s="1"/>
      <c r="I189" s="1"/>
      <c r="J189" s="1"/>
      <c r="K189" s="1"/>
      <c r="L189" s="1"/>
      <c r="M189" s="1"/>
      <c r="N189" s="1"/>
      <c r="O189" s="1"/>
      <c r="P189" s="1"/>
      <c r="Q189" s="1"/>
      <c r="R189" s="1"/>
      <c r="S189" s="1"/>
    </row>
    <row r="190" ht="14.25" customHeight="1">
      <c r="A190" s="1"/>
      <c r="B190" s="105" t="s">
        <v>31</v>
      </c>
      <c r="C190" s="200">
        <v>70.0</v>
      </c>
      <c r="D190" s="56">
        <f t="shared" si="16"/>
        <v>504</v>
      </c>
      <c r="E190" s="1604"/>
      <c r="F190" s="518" t="s">
        <v>18</v>
      </c>
      <c r="G190" s="2389"/>
      <c r="H190" s="1"/>
      <c r="I190" s="1"/>
      <c r="J190" s="1"/>
      <c r="K190" s="1"/>
      <c r="L190" s="1"/>
      <c r="M190" s="1"/>
      <c r="N190" s="1"/>
      <c r="O190" s="1"/>
      <c r="P190" s="1"/>
      <c r="Q190" s="1"/>
      <c r="R190" s="1"/>
      <c r="S190" s="1"/>
    </row>
    <row r="191" ht="14.25" customHeight="1">
      <c r="A191" s="1112"/>
      <c r="B191" s="149" t="s">
        <v>2292</v>
      </c>
      <c r="C191" s="152">
        <v>0.25</v>
      </c>
      <c r="D191" s="274">
        <f t="shared" si="16"/>
        <v>1.8</v>
      </c>
      <c r="E191" s="1690"/>
      <c r="F191" s="288" t="s">
        <v>5</v>
      </c>
      <c r="G191" s="2389"/>
      <c r="H191" s="1"/>
      <c r="I191" s="1"/>
      <c r="J191" s="1"/>
      <c r="K191" s="1"/>
      <c r="L191" s="1"/>
      <c r="M191" s="1"/>
      <c r="N191" s="1"/>
      <c r="O191" s="1"/>
      <c r="P191" s="1"/>
      <c r="Q191" s="1"/>
      <c r="R191" s="1"/>
      <c r="S191" s="1"/>
    </row>
    <row r="192" ht="14.25" customHeight="1">
      <c r="A192" s="1112"/>
      <c r="B192" s="173" t="s">
        <v>114</v>
      </c>
      <c r="C192" s="275">
        <v>0.2</v>
      </c>
      <c r="D192" s="179">
        <f t="shared" si="16"/>
        <v>1.44</v>
      </c>
      <c r="E192" s="1689"/>
      <c r="F192" s="547" t="s">
        <v>5</v>
      </c>
      <c r="G192" s="2389"/>
      <c r="H192" s="1"/>
      <c r="I192" s="1"/>
      <c r="J192" s="1"/>
      <c r="K192" s="1"/>
      <c r="L192" s="1"/>
      <c r="M192" s="1"/>
      <c r="N192" s="1"/>
      <c r="O192" s="1"/>
      <c r="P192" s="1"/>
      <c r="Q192" s="1"/>
      <c r="R192" s="1"/>
      <c r="S192" s="1"/>
    </row>
    <row r="193" ht="14.25" customHeight="1">
      <c r="A193" s="1112"/>
      <c r="B193" s="1640" t="s">
        <v>119</v>
      </c>
      <c r="C193" s="183" t="s">
        <v>47</v>
      </c>
      <c r="D193" s="184"/>
      <c r="E193" s="184"/>
      <c r="F193" s="1"/>
      <c r="G193" s="847" t="s">
        <v>314</v>
      </c>
      <c r="H193" s="1"/>
      <c r="I193" s="1"/>
      <c r="J193" s="1"/>
      <c r="K193" s="1"/>
      <c r="L193" s="1"/>
      <c r="M193" s="1"/>
      <c r="N193" s="1"/>
      <c r="O193" s="1"/>
      <c r="P193" s="1"/>
      <c r="Q193" s="1"/>
      <c r="R193" s="1"/>
      <c r="S193" s="1"/>
    </row>
    <row r="194" ht="14.25" customHeight="1">
      <c r="A194" s="1112"/>
      <c r="B194" s="1"/>
      <c r="C194" s="107"/>
      <c r="D194" s="184"/>
      <c r="E194" s="184"/>
      <c r="F194" s="1"/>
      <c r="G194" s="1"/>
      <c r="H194" s="1"/>
      <c r="I194" s="1"/>
      <c r="J194" s="1"/>
      <c r="K194" s="1"/>
      <c r="L194" s="1"/>
      <c r="M194" s="1"/>
      <c r="N194" s="1"/>
      <c r="O194" s="1"/>
      <c r="P194" s="1"/>
      <c r="Q194" s="1"/>
      <c r="R194" s="1"/>
      <c r="S194" s="1"/>
    </row>
    <row r="195" ht="14.25" customHeight="1">
      <c r="A195" s="1112"/>
      <c r="B195" s="1326" t="s">
        <v>820</v>
      </c>
      <c r="C195" s="18"/>
      <c r="D195" s="18"/>
      <c r="E195" s="18"/>
      <c r="F195" s="19"/>
      <c r="G195" s="1"/>
      <c r="H195" s="1"/>
      <c r="I195" s="1"/>
      <c r="J195" s="1"/>
      <c r="K195" s="1"/>
      <c r="L195" s="1"/>
      <c r="M195" s="1"/>
      <c r="N195" s="1"/>
      <c r="O195" s="1"/>
      <c r="P195" s="1"/>
      <c r="Q195" s="1"/>
      <c r="R195" s="1"/>
      <c r="S195" s="1"/>
    </row>
    <row r="196" ht="14.25" customHeight="1">
      <c r="A196" s="1112"/>
      <c r="B196" s="68" t="s">
        <v>1</v>
      </c>
      <c r="C196" s="145">
        <v>45.0</v>
      </c>
      <c r="D196" s="155">
        <v>30.0</v>
      </c>
      <c r="E196" s="899"/>
      <c r="F196" s="216" t="s">
        <v>5</v>
      </c>
      <c r="G196" s="1"/>
      <c r="H196" s="1"/>
      <c r="I196" s="1"/>
      <c r="J196" s="1"/>
      <c r="K196" s="1"/>
      <c r="L196" s="1"/>
      <c r="M196" s="1"/>
      <c r="N196" s="1"/>
      <c r="O196" s="1"/>
      <c r="P196" s="1"/>
      <c r="Q196" s="1"/>
      <c r="R196" s="1"/>
      <c r="S196" s="1"/>
    </row>
    <row r="197" ht="14.25" customHeight="1">
      <c r="A197" s="1112"/>
      <c r="B197" s="93" t="s">
        <v>2696</v>
      </c>
      <c r="C197" s="195">
        <v>15.0</v>
      </c>
      <c r="D197" s="201">
        <f t="shared" ref="D197:D208" si="17">(C197*D196)/C196</f>
        <v>10</v>
      </c>
      <c r="E197" s="1735"/>
      <c r="F197" s="249" t="s">
        <v>14</v>
      </c>
      <c r="G197" s="1"/>
      <c r="H197" s="1"/>
      <c r="I197" s="1"/>
      <c r="J197" s="1"/>
      <c r="K197" s="1"/>
      <c r="L197" s="1"/>
      <c r="M197" s="1"/>
      <c r="N197" s="1"/>
      <c r="O197" s="1"/>
      <c r="P197" s="1"/>
      <c r="Q197" s="1"/>
      <c r="R197" s="1"/>
      <c r="S197" s="1"/>
    </row>
    <row r="198" ht="14.25" customHeight="1">
      <c r="A198" s="1"/>
      <c r="B198" s="93" t="s">
        <v>2697</v>
      </c>
      <c r="C198" s="195">
        <v>375.0</v>
      </c>
      <c r="D198" s="201">
        <f t="shared" si="17"/>
        <v>250</v>
      </c>
      <c r="E198" s="1735"/>
      <c r="F198" s="249" t="s">
        <v>18</v>
      </c>
      <c r="G198" s="1"/>
      <c r="H198" s="1"/>
      <c r="I198" s="1"/>
      <c r="J198" s="1"/>
      <c r="K198" s="1"/>
      <c r="L198" s="1"/>
      <c r="M198" s="1"/>
      <c r="N198" s="1"/>
      <c r="O198" s="1"/>
      <c r="P198" s="1"/>
      <c r="Q198" s="1"/>
      <c r="R198" s="1"/>
      <c r="S198" s="1"/>
    </row>
    <row r="199" ht="14.25" customHeight="1">
      <c r="A199" s="1"/>
      <c r="B199" s="93" t="s">
        <v>91</v>
      </c>
      <c r="C199" s="195">
        <v>0.75</v>
      </c>
      <c r="D199" s="201">
        <f t="shared" si="17"/>
        <v>0.5</v>
      </c>
      <c r="E199" s="1735"/>
      <c r="F199" s="249" t="s">
        <v>5</v>
      </c>
      <c r="G199" s="1"/>
      <c r="H199" s="1"/>
      <c r="I199" s="1"/>
      <c r="J199" s="1"/>
      <c r="K199" s="1"/>
      <c r="L199" s="1"/>
      <c r="M199" s="1"/>
      <c r="N199" s="1"/>
      <c r="O199" s="1"/>
      <c r="P199" s="1"/>
      <c r="Q199" s="1"/>
      <c r="R199" s="1"/>
      <c r="S199" s="1"/>
    </row>
    <row r="200" ht="14.25" customHeight="1">
      <c r="A200" s="1"/>
      <c r="B200" s="93" t="s">
        <v>97</v>
      </c>
      <c r="C200" s="195">
        <v>45.0</v>
      </c>
      <c r="D200" s="201">
        <f t="shared" si="17"/>
        <v>30</v>
      </c>
      <c r="E200" s="1735"/>
      <c r="F200" s="249" t="s">
        <v>18</v>
      </c>
      <c r="G200" s="1"/>
      <c r="H200" s="1"/>
      <c r="I200" s="1"/>
      <c r="J200" s="1"/>
      <c r="K200" s="1"/>
      <c r="L200" s="1"/>
      <c r="M200" s="1"/>
      <c r="N200" s="1"/>
      <c r="O200" s="1"/>
      <c r="P200" s="1"/>
      <c r="Q200" s="1"/>
      <c r="R200" s="1"/>
      <c r="S200" s="1"/>
    </row>
    <row r="201" ht="14.25" customHeight="1">
      <c r="A201" s="1"/>
      <c r="B201" s="93" t="s">
        <v>98</v>
      </c>
      <c r="C201" s="195">
        <v>60.0</v>
      </c>
      <c r="D201" s="201">
        <f t="shared" si="17"/>
        <v>40</v>
      </c>
      <c r="E201" s="1735"/>
      <c r="F201" s="249" t="s">
        <v>18</v>
      </c>
      <c r="G201" s="1"/>
      <c r="H201" s="1"/>
      <c r="I201" s="1"/>
      <c r="J201" s="1"/>
      <c r="K201" s="1"/>
      <c r="L201" s="1"/>
      <c r="M201" s="1"/>
      <c r="N201" s="1"/>
      <c r="O201" s="1"/>
      <c r="P201" s="1"/>
      <c r="Q201" s="1"/>
      <c r="R201" s="1"/>
      <c r="S201" s="1"/>
    </row>
    <row r="202" ht="14.25" customHeight="1">
      <c r="A202" s="1"/>
      <c r="B202" s="93" t="s">
        <v>39</v>
      </c>
      <c r="C202" s="195">
        <v>250.0</v>
      </c>
      <c r="D202" s="201">
        <f t="shared" si="17"/>
        <v>166.6666667</v>
      </c>
      <c r="E202" s="1735"/>
      <c r="F202" s="249" t="s">
        <v>18</v>
      </c>
      <c r="G202" s="1"/>
      <c r="H202" s="1"/>
      <c r="I202" s="1"/>
      <c r="J202" s="1"/>
      <c r="K202" s="1"/>
      <c r="L202" s="1"/>
      <c r="M202" s="1"/>
      <c r="N202" s="1"/>
      <c r="O202" s="1"/>
      <c r="P202" s="1"/>
      <c r="Q202" s="1"/>
      <c r="R202" s="1"/>
      <c r="S202" s="1"/>
    </row>
    <row r="203" ht="14.25" customHeight="1">
      <c r="A203" s="1112"/>
      <c r="B203" s="93" t="s">
        <v>149</v>
      </c>
      <c r="C203" s="195">
        <v>200.0</v>
      </c>
      <c r="D203" s="201">
        <f t="shared" si="17"/>
        <v>133.3333333</v>
      </c>
      <c r="E203" s="1735"/>
      <c r="F203" s="249" t="s">
        <v>18</v>
      </c>
      <c r="G203" s="1"/>
      <c r="H203" s="1"/>
      <c r="I203" s="1"/>
      <c r="J203" s="1"/>
      <c r="K203" s="1"/>
      <c r="L203" s="1"/>
      <c r="M203" s="1"/>
      <c r="N203" s="1"/>
      <c r="O203" s="1"/>
      <c r="P203" s="1"/>
      <c r="Q203" s="1"/>
      <c r="R203" s="1"/>
      <c r="S203" s="1"/>
    </row>
    <row r="204" ht="14.25" customHeight="1">
      <c r="A204" s="1112"/>
      <c r="B204" s="93" t="s">
        <v>103</v>
      </c>
      <c r="C204" s="195">
        <v>45.0</v>
      </c>
      <c r="D204" s="201">
        <f t="shared" si="17"/>
        <v>30</v>
      </c>
      <c r="E204" s="1735"/>
      <c r="F204" s="249" t="s">
        <v>18</v>
      </c>
      <c r="G204" s="1"/>
      <c r="H204" s="1"/>
      <c r="I204" s="1"/>
      <c r="J204" s="1"/>
      <c r="K204" s="1"/>
      <c r="L204" s="1"/>
      <c r="M204" s="1"/>
      <c r="N204" s="1"/>
      <c r="O204" s="1"/>
      <c r="P204" s="1"/>
      <c r="Q204" s="1"/>
      <c r="R204" s="1"/>
      <c r="S204" s="1"/>
    </row>
    <row r="205" ht="14.25" customHeight="1">
      <c r="A205" s="1112"/>
      <c r="B205" s="138" t="s">
        <v>101</v>
      </c>
      <c r="C205" s="279">
        <v>0.09</v>
      </c>
      <c r="D205" s="265">
        <f t="shared" si="17"/>
        <v>0.06</v>
      </c>
      <c r="E205" s="2164"/>
      <c r="F205" s="242" t="s">
        <v>5</v>
      </c>
      <c r="G205" s="1"/>
      <c r="H205" s="1"/>
      <c r="I205" s="1"/>
      <c r="J205" s="1"/>
      <c r="K205" s="1"/>
      <c r="L205" s="1"/>
      <c r="M205" s="1"/>
      <c r="N205" s="1"/>
      <c r="O205" s="1"/>
      <c r="P205" s="1"/>
      <c r="Q205" s="1"/>
      <c r="R205" s="1"/>
      <c r="S205" s="1"/>
    </row>
    <row r="206" ht="14.25" customHeight="1">
      <c r="A206" s="1112"/>
      <c r="B206" s="68" t="s">
        <v>958</v>
      </c>
      <c r="C206" s="145">
        <v>1.5</v>
      </c>
      <c r="D206" s="164">
        <f t="shared" si="17"/>
        <v>1</v>
      </c>
      <c r="E206" s="1731"/>
      <c r="F206" s="216" t="s">
        <v>5</v>
      </c>
      <c r="G206" s="770" t="s">
        <v>2709</v>
      </c>
      <c r="H206" s="1"/>
      <c r="I206" s="1"/>
      <c r="J206" s="1"/>
      <c r="K206" s="1"/>
      <c r="L206" s="1"/>
      <c r="M206" s="1"/>
      <c r="N206" s="1"/>
      <c r="O206" s="1"/>
      <c r="P206" s="1"/>
      <c r="Q206" s="1"/>
      <c r="R206" s="1"/>
      <c r="S206" s="1"/>
    </row>
    <row r="207" ht="14.25" customHeight="1">
      <c r="A207" s="1112"/>
      <c r="B207" s="93" t="s">
        <v>149</v>
      </c>
      <c r="C207" s="195">
        <v>200.0</v>
      </c>
      <c r="D207" s="201">
        <f t="shared" si="17"/>
        <v>133.3333333</v>
      </c>
      <c r="E207" s="1735"/>
      <c r="F207" s="249" t="s">
        <v>18</v>
      </c>
      <c r="G207" s="47"/>
      <c r="H207" s="1"/>
      <c r="I207" s="1"/>
      <c r="J207" s="1"/>
      <c r="K207" s="1"/>
      <c r="L207" s="1"/>
      <c r="M207" s="1"/>
      <c r="N207" s="1"/>
      <c r="O207" s="1"/>
      <c r="P207" s="1"/>
      <c r="Q207" s="1"/>
      <c r="R207" s="1"/>
      <c r="S207" s="1"/>
    </row>
    <row r="208" ht="14.25" customHeight="1">
      <c r="A208" s="2400" t="s">
        <v>2502</v>
      </c>
      <c r="B208" s="105" t="s">
        <v>79</v>
      </c>
      <c r="C208" s="200">
        <v>8.0</v>
      </c>
      <c r="D208" s="257">
        <f t="shared" si="17"/>
        <v>5.333333333</v>
      </c>
      <c r="E208" s="1738"/>
      <c r="F208" s="518" t="s">
        <v>14</v>
      </c>
      <c r="G208" s="76"/>
      <c r="H208" s="1"/>
      <c r="I208" s="1"/>
      <c r="J208" s="1"/>
      <c r="K208" s="1"/>
      <c r="L208" s="1"/>
      <c r="M208" s="1"/>
      <c r="N208" s="1"/>
      <c r="O208" s="1"/>
      <c r="P208" s="1"/>
      <c r="Q208" s="1"/>
      <c r="R208" s="1"/>
      <c r="S208" s="1"/>
    </row>
    <row r="209" ht="14.25" customHeight="1">
      <c r="A209" s="63"/>
      <c r="B209" s="2252" t="s">
        <v>2649</v>
      </c>
      <c r="C209" s="238">
        <v>1.5</v>
      </c>
      <c r="D209" s="2375">
        <f>(C209*D210)/C210</f>
        <v>1</v>
      </c>
      <c r="E209" s="2376"/>
      <c r="F209" s="1457" t="s">
        <v>14</v>
      </c>
      <c r="G209" s="638" t="s">
        <v>2714</v>
      </c>
      <c r="H209" s="1"/>
      <c r="I209" s="1"/>
      <c r="J209" s="1"/>
      <c r="K209" s="1"/>
      <c r="L209" s="1"/>
      <c r="M209" s="1"/>
      <c r="N209" s="1"/>
      <c r="O209" s="1"/>
      <c r="P209" s="1"/>
      <c r="Q209" s="1"/>
      <c r="R209" s="1"/>
      <c r="S209" s="1"/>
    </row>
    <row r="210" ht="14.25" customHeight="1">
      <c r="A210" s="63"/>
      <c r="B210" s="2252" t="s">
        <v>858</v>
      </c>
      <c r="C210" s="238">
        <v>6.0</v>
      </c>
      <c r="D210" s="2375">
        <f t="shared" ref="D210:D211" si="18">(C210*D208)/C208</f>
        <v>4</v>
      </c>
      <c r="E210" s="2376"/>
      <c r="F210" s="1457" t="s">
        <v>741</v>
      </c>
      <c r="G210" s="47"/>
      <c r="H210" s="1"/>
      <c r="I210" s="1"/>
      <c r="J210" s="1"/>
      <c r="K210" s="1"/>
      <c r="L210" s="1"/>
      <c r="M210" s="1"/>
      <c r="N210" s="1"/>
      <c r="O210" s="1"/>
      <c r="P210" s="1"/>
      <c r="Q210" s="1"/>
      <c r="R210" s="1"/>
      <c r="S210" s="1"/>
    </row>
    <row r="211" ht="14.25" customHeight="1">
      <c r="A211" s="102"/>
      <c r="B211" s="105" t="s">
        <v>2716</v>
      </c>
      <c r="C211" s="200">
        <v>1.0</v>
      </c>
      <c r="D211" s="257">
        <f t="shared" si="18"/>
        <v>0.6666666667</v>
      </c>
      <c r="E211" s="1738"/>
      <c r="F211" s="518" t="s">
        <v>14</v>
      </c>
      <c r="G211" s="76"/>
      <c r="H211" s="1"/>
      <c r="I211" s="1"/>
      <c r="J211" s="1"/>
      <c r="K211" s="1"/>
      <c r="L211" s="1"/>
      <c r="M211" s="1"/>
      <c r="N211" s="1"/>
      <c r="O211" s="1"/>
      <c r="P211" s="1"/>
      <c r="Q211" s="1"/>
      <c r="R211" s="1"/>
      <c r="S211" s="1"/>
    </row>
    <row r="212" ht="14.25" customHeight="1">
      <c r="A212" s="1112"/>
      <c r="B212" s="119" t="s">
        <v>31</v>
      </c>
      <c r="C212" s="238">
        <v>320.0</v>
      </c>
      <c r="D212" s="158">
        <f t="shared" ref="D212:D213" si="19">(C212*D211)/C211</f>
        <v>213.3333333</v>
      </c>
      <c r="E212" s="1998"/>
      <c r="F212" s="520" t="s">
        <v>18</v>
      </c>
      <c r="G212" s="1"/>
      <c r="H212" s="1"/>
      <c r="I212" s="1"/>
      <c r="J212" s="1"/>
      <c r="K212" s="1"/>
      <c r="L212" s="1"/>
      <c r="M212" s="1"/>
      <c r="N212" s="1"/>
      <c r="O212" s="1"/>
      <c r="P212" s="1"/>
      <c r="Q212" s="1"/>
      <c r="R212" s="1"/>
      <c r="S212" s="1"/>
    </row>
    <row r="213" ht="14.25" customHeight="1">
      <c r="A213" s="1112"/>
      <c r="B213" s="105" t="s">
        <v>1030</v>
      </c>
      <c r="C213" s="200">
        <v>160.0</v>
      </c>
      <c r="D213" s="257">
        <f t="shared" si="19"/>
        <v>106.6666667</v>
      </c>
      <c r="E213" s="1738"/>
      <c r="F213" s="518" t="s">
        <v>18</v>
      </c>
      <c r="G213" s="1"/>
      <c r="H213" s="1"/>
      <c r="I213" s="1"/>
      <c r="J213" s="1"/>
      <c r="K213" s="1"/>
      <c r="L213" s="1"/>
      <c r="M213" s="1"/>
      <c r="N213" s="1"/>
      <c r="O213" s="1"/>
      <c r="P213" s="1"/>
      <c r="Q213" s="1"/>
      <c r="R213" s="1"/>
      <c r="S213" s="1"/>
    </row>
    <row r="214" ht="14.25" customHeight="1">
      <c r="A214" s="1112"/>
      <c r="B214" s="2275" t="s">
        <v>119</v>
      </c>
      <c r="C214" s="1446" t="s">
        <v>47</v>
      </c>
      <c r="D214" s="1127"/>
      <c r="E214" s="1127"/>
      <c r="F214" s="1"/>
      <c r="G214" s="1"/>
      <c r="H214" s="1"/>
      <c r="I214" s="1"/>
      <c r="J214" s="1"/>
      <c r="K214" s="1"/>
      <c r="L214" s="1"/>
      <c r="M214" s="1"/>
      <c r="N214" s="1"/>
      <c r="O214" s="1"/>
      <c r="P214" s="1"/>
      <c r="Q214" s="1"/>
      <c r="R214" s="1"/>
      <c r="S214" s="1"/>
    </row>
    <row r="215" ht="14.25" customHeight="1">
      <c r="A215" s="1112"/>
      <c r="B215" s="550" t="s">
        <v>1583</v>
      </c>
      <c r="C215" s="1363">
        <v>42653.0</v>
      </c>
      <c r="D215" s="1127"/>
      <c r="E215" s="1127"/>
      <c r="F215" s="1"/>
      <c r="G215" s="1"/>
      <c r="H215" s="1"/>
      <c r="I215" s="1"/>
      <c r="J215" s="1"/>
      <c r="K215" s="1"/>
      <c r="L215" s="1"/>
      <c r="M215" s="1"/>
      <c r="N215" s="1"/>
      <c r="O215" s="1"/>
      <c r="P215" s="1"/>
      <c r="Q215" s="1"/>
      <c r="R215" s="1"/>
      <c r="S215" s="1"/>
    </row>
    <row r="216" ht="14.25" customHeight="1">
      <c r="A216" s="1112"/>
      <c r="B216" s="342" t="s">
        <v>1585</v>
      </c>
      <c r="C216" s="1363"/>
      <c r="D216" s="1127"/>
      <c r="E216" s="1127"/>
      <c r="F216" s="1"/>
      <c r="G216" s="1"/>
      <c r="H216" s="1"/>
      <c r="I216" s="1"/>
      <c r="J216" s="1"/>
      <c r="K216" s="1"/>
      <c r="L216" s="1"/>
      <c r="M216" s="1"/>
      <c r="N216" s="1"/>
      <c r="O216" s="1"/>
      <c r="P216" s="1"/>
      <c r="Q216" s="1"/>
      <c r="R216" s="1"/>
      <c r="S216" s="1"/>
    </row>
    <row r="217" ht="14.25" customHeight="1">
      <c r="A217" s="1112"/>
      <c r="B217" s="1"/>
      <c r="C217" s="107"/>
      <c r="D217" s="184"/>
      <c r="E217" s="184"/>
      <c r="F217" s="1"/>
      <c r="G217" s="1"/>
      <c r="H217" s="1"/>
      <c r="I217" s="1"/>
      <c r="J217" s="1"/>
      <c r="K217" s="1"/>
      <c r="L217" s="1"/>
      <c r="M217" s="1"/>
      <c r="N217" s="1"/>
      <c r="O217" s="1"/>
      <c r="P217" s="1"/>
      <c r="Q217" s="1"/>
      <c r="R217" s="1"/>
      <c r="S217" s="1"/>
    </row>
    <row r="218" ht="14.25" customHeight="1">
      <c r="A218" s="1112"/>
      <c r="B218" s="511" t="s">
        <v>832</v>
      </c>
      <c r="C218" s="18"/>
      <c r="D218" s="18"/>
      <c r="E218" s="18"/>
      <c r="F218" s="19"/>
      <c r="G218" s="1"/>
      <c r="H218" s="1"/>
      <c r="I218" s="1"/>
      <c r="J218" s="1"/>
      <c r="K218" s="1"/>
      <c r="L218" s="1"/>
      <c r="M218" s="1"/>
      <c r="N218" s="1"/>
      <c r="O218" s="1"/>
      <c r="P218" s="1"/>
      <c r="Q218" s="1"/>
      <c r="R218" s="1"/>
      <c r="S218" s="1"/>
    </row>
    <row r="219" ht="14.25" customHeight="1">
      <c r="A219" s="1112"/>
      <c r="B219" s="119" t="s">
        <v>1</v>
      </c>
      <c r="C219" s="238">
        <v>52.0</v>
      </c>
      <c r="D219" s="129">
        <v>100.0</v>
      </c>
      <c r="E219" s="1583"/>
      <c r="F219" s="520" t="s">
        <v>5</v>
      </c>
      <c r="G219" s="1"/>
      <c r="H219" s="1"/>
      <c r="I219" s="1"/>
      <c r="J219" s="1"/>
      <c r="K219" s="1"/>
      <c r="L219" s="1"/>
      <c r="M219" s="1"/>
      <c r="N219" s="1"/>
      <c r="O219" s="1"/>
      <c r="P219" s="1"/>
      <c r="Q219" s="1"/>
      <c r="R219" s="1"/>
      <c r="S219" s="1"/>
    </row>
    <row r="220" ht="14.25" customHeight="1">
      <c r="A220" s="1112"/>
      <c r="B220" s="93" t="s">
        <v>2722</v>
      </c>
      <c r="C220" s="195">
        <v>10.8</v>
      </c>
      <c r="D220" s="78">
        <f t="shared" ref="D220:D223" si="20">(C220*D219)/C219</f>
        <v>20.76923077</v>
      </c>
      <c r="E220" s="900"/>
      <c r="F220" s="249" t="s">
        <v>14</v>
      </c>
      <c r="G220" s="1"/>
      <c r="H220" s="1"/>
      <c r="I220" s="1"/>
      <c r="J220" s="1"/>
      <c r="K220" s="1"/>
      <c r="L220" s="1"/>
      <c r="M220" s="1"/>
      <c r="N220" s="1"/>
      <c r="O220" s="1"/>
      <c r="P220" s="1"/>
      <c r="Q220" s="1"/>
      <c r="R220" s="1"/>
      <c r="S220" s="1"/>
    </row>
    <row r="221" ht="14.25" customHeight="1">
      <c r="A221" s="1112"/>
      <c r="B221" s="93" t="s">
        <v>31</v>
      </c>
      <c r="C221" s="195">
        <v>336.0</v>
      </c>
      <c r="D221" s="78">
        <f t="shared" si="20"/>
        <v>646.1538462</v>
      </c>
      <c r="E221" s="900"/>
      <c r="F221" s="249" t="s">
        <v>18</v>
      </c>
      <c r="G221" s="1"/>
      <c r="H221" s="1"/>
      <c r="I221" s="1"/>
      <c r="J221" s="1"/>
      <c r="K221" s="1"/>
      <c r="L221" s="1"/>
      <c r="M221" s="1"/>
      <c r="N221" s="1"/>
      <c r="O221" s="1"/>
      <c r="P221" s="1"/>
      <c r="Q221" s="1"/>
      <c r="R221" s="1"/>
      <c r="S221" s="1"/>
    </row>
    <row r="222" ht="14.25" customHeight="1">
      <c r="A222" s="1112"/>
      <c r="B222" s="105" t="s">
        <v>1321</v>
      </c>
      <c r="C222" s="200">
        <v>60.0</v>
      </c>
      <c r="D222" s="56">
        <f t="shared" si="20"/>
        <v>115.3846154</v>
      </c>
      <c r="E222" s="1604"/>
      <c r="F222" s="518" t="s">
        <v>18</v>
      </c>
      <c r="G222" s="1"/>
      <c r="H222" s="1"/>
      <c r="I222" s="1"/>
      <c r="J222" s="1"/>
      <c r="K222" s="1"/>
      <c r="L222" s="1"/>
      <c r="M222" s="1"/>
      <c r="N222" s="1"/>
      <c r="O222" s="1"/>
      <c r="P222" s="1"/>
      <c r="Q222" s="1"/>
      <c r="R222" s="1"/>
      <c r="S222" s="1"/>
    </row>
    <row r="223" ht="14.25" customHeight="1">
      <c r="A223" s="1112"/>
      <c r="B223" s="173" t="s">
        <v>2590</v>
      </c>
      <c r="C223" s="275">
        <v>6.0</v>
      </c>
      <c r="D223" s="179">
        <f t="shared" si="20"/>
        <v>11.53846154</v>
      </c>
      <c r="E223" s="1689"/>
      <c r="F223" s="547" t="s">
        <v>14</v>
      </c>
      <c r="G223" s="1"/>
      <c r="H223" s="1"/>
      <c r="I223" s="1"/>
      <c r="J223" s="1"/>
      <c r="K223" s="1"/>
      <c r="L223" s="1"/>
      <c r="M223" s="1"/>
      <c r="N223" s="1"/>
      <c r="O223" s="1"/>
      <c r="P223" s="1"/>
      <c r="Q223" s="1"/>
      <c r="R223" s="1"/>
      <c r="S223" s="1"/>
    </row>
    <row r="224" ht="14.25" customHeight="1">
      <c r="A224" s="1112"/>
      <c r="B224" s="68" t="s">
        <v>2726</v>
      </c>
      <c r="C224" s="145">
        <v>1.44</v>
      </c>
      <c r="D224" s="155">
        <f t="shared" ref="D224:D226" si="21">(C224*D222)/C222</f>
        <v>2.769230769</v>
      </c>
      <c r="E224" s="899"/>
      <c r="F224" s="216" t="s">
        <v>14</v>
      </c>
      <c r="G224" s="770" t="s">
        <v>2599</v>
      </c>
      <c r="H224" s="1"/>
      <c r="I224" s="1"/>
      <c r="J224" s="1"/>
      <c r="K224" s="1"/>
      <c r="L224" s="1"/>
      <c r="M224" s="1"/>
      <c r="N224" s="1"/>
      <c r="O224" s="1"/>
      <c r="P224" s="1"/>
      <c r="Q224" s="1"/>
      <c r="R224" s="1"/>
      <c r="S224" s="1"/>
    </row>
    <row r="225" ht="14.25" customHeight="1">
      <c r="A225" s="1112"/>
      <c r="B225" s="93" t="s">
        <v>2728</v>
      </c>
      <c r="C225" s="195">
        <v>7.2</v>
      </c>
      <c r="D225" s="78">
        <f t="shared" si="21"/>
        <v>13.84615385</v>
      </c>
      <c r="E225" s="900"/>
      <c r="F225" s="249" t="s">
        <v>741</v>
      </c>
      <c r="G225" s="47"/>
      <c r="H225" s="1"/>
      <c r="I225" s="1"/>
      <c r="J225" s="1"/>
      <c r="K225" s="1"/>
      <c r="L225" s="1"/>
      <c r="M225" s="1"/>
      <c r="N225" s="1"/>
      <c r="O225" s="1"/>
      <c r="P225" s="1"/>
      <c r="Q225" s="1"/>
      <c r="R225" s="1"/>
      <c r="S225" s="1"/>
    </row>
    <row r="226" ht="14.25" customHeight="1">
      <c r="A226" s="1112"/>
      <c r="B226" s="93" t="s">
        <v>1132</v>
      </c>
      <c r="C226" s="195">
        <v>600.0</v>
      </c>
      <c r="D226" s="78">
        <f t="shared" si="21"/>
        <v>1153.846154</v>
      </c>
      <c r="E226" s="900"/>
      <c r="F226" s="249" t="s">
        <v>18</v>
      </c>
      <c r="G226" s="47"/>
      <c r="H226" s="1"/>
      <c r="I226" s="1"/>
      <c r="J226" s="1"/>
      <c r="K226" s="1"/>
      <c r="L226" s="1"/>
      <c r="M226" s="1"/>
      <c r="N226" s="1"/>
      <c r="O226" s="1"/>
      <c r="P226" s="1"/>
      <c r="Q226" s="1"/>
      <c r="R226" s="1"/>
      <c r="S226" s="1"/>
    </row>
    <row r="227" ht="14.25" customHeight="1">
      <c r="A227" s="1112"/>
      <c r="B227" s="93" t="s">
        <v>2731</v>
      </c>
      <c r="C227" s="195">
        <v>0.576</v>
      </c>
      <c r="D227" s="78">
        <f t="shared" ref="D227:D236" si="22">(C227*D226)/C226</f>
        <v>1.107692308</v>
      </c>
      <c r="E227" s="900"/>
      <c r="F227" s="249" t="s">
        <v>14</v>
      </c>
      <c r="G227" s="47"/>
      <c r="H227" s="1"/>
      <c r="I227" s="1"/>
      <c r="J227" s="1"/>
      <c r="K227" s="1"/>
      <c r="L227" s="1"/>
      <c r="M227" s="1"/>
      <c r="N227" s="1"/>
      <c r="O227" s="1"/>
      <c r="P227" s="1"/>
      <c r="Q227" s="1"/>
      <c r="R227" s="1"/>
      <c r="S227" s="1"/>
    </row>
    <row r="228" ht="14.25" customHeight="1">
      <c r="A228" s="1112"/>
      <c r="B228" s="105" t="s">
        <v>2734</v>
      </c>
      <c r="C228" s="200">
        <v>287.99999999999994</v>
      </c>
      <c r="D228" s="56">
        <f t="shared" si="22"/>
        <v>553.8461538</v>
      </c>
      <c r="E228" s="1604"/>
      <c r="F228" s="518" t="s">
        <v>18</v>
      </c>
      <c r="G228" s="76"/>
      <c r="H228" s="1"/>
      <c r="I228" s="1"/>
      <c r="J228" s="1"/>
      <c r="K228" s="1"/>
      <c r="L228" s="1"/>
      <c r="M228" s="1"/>
      <c r="N228" s="1"/>
      <c r="O228" s="1"/>
      <c r="P228" s="1"/>
      <c r="Q228" s="1"/>
      <c r="R228" s="1"/>
      <c r="S228" s="1"/>
    </row>
    <row r="229" ht="14.25" customHeight="1">
      <c r="A229" s="1112"/>
      <c r="B229" s="68" t="s">
        <v>91</v>
      </c>
      <c r="C229" s="145">
        <v>1.0799999999999996</v>
      </c>
      <c r="D229" s="155">
        <f t="shared" si="22"/>
        <v>2.076923077</v>
      </c>
      <c r="E229" s="899"/>
      <c r="F229" s="216" t="s">
        <v>5</v>
      </c>
      <c r="G229" s="770" t="s">
        <v>1881</v>
      </c>
      <c r="H229" s="1"/>
      <c r="I229" s="1"/>
      <c r="J229" s="1"/>
      <c r="K229" s="1"/>
      <c r="L229" s="1"/>
      <c r="M229" s="1"/>
      <c r="N229" s="1"/>
      <c r="O229" s="1"/>
      <c r="P229" s="1"/>
      <c r="Q229" s="1"/>
      <c r="R229" s="1"/>
      <c r="S229" s="1"/>
    </row>
    <row r="230" ht="14.25" customHeight="1">
      <c r="A230" s="1112"/>
      <c r="B230" s="93" t="s">
        <v>98</v>
      </c>
      <c r="C230" s="195">
        <v>59.99999999999997</v>
      </c>
      <c r="D230" s="78">
        <f t="shared" si="22"/>
        <v>115.3846154</v>
      </c>
      <c r="E230" s="900"/>
      <c r="F230" s="249" t="s">
        <v>18</v>
      </c>
      <c r="G230" s="47"/>
      <c r="H230" s="1"/>
      <c r="I230" s="1"/>
      <c r="J230" s="1"/>
      <c r="K230" s="1"/>
      <c r="L230" s="1"/>
      <c r="M230" s="1"/>
      <c r="N230" s="1"/>
      <c r="O230" s="1"/>
      <c r="P230" s="1"/>
      <c r="Q230" s="1"/>
      <c r="R230" s="1"/>
      <c r="S230" s="1"/>
    </row>
    <row r="231" ht="14.25" customHeight="1">
      <c r="A231" s="1112"/>
      <c r="B231" s="93" t="s">
        <v>103</v>
      </c>
      <c r="C231" s="195">
        <v>29.999999999999986</v>
      </c>
      <c r="D231" s="78">
        <f t="shared" si="22"/>
        <v>57.69230769</v>
      </c>
      <c r="E231" s="900"/>
      <c r="F231" s="249" t="s">
        <v>18</v>
      </c>
      <c r="G231" s="47"/>
      <c r="H231" s="1"/>
      <c r="I231" s="1"/>
      <c r="J231" s="1"/>
      <c r="K231" s="1"/>
      <c r="L231" s="1"/>
      <c r="M231" s="1"/>
      <c r="N231" s="1"/>
      <c r="O231" s="1"/>
      <c r="P231" s="1"/>
      <c r="Q231" s="1"/>
      <c r="R231" s="1"/>
      <c r="S231" s="1"/>
    </row>
    <row r="232" ht="14.25" customHeight="1">
      <c r="A232" s="1112"/>
      <c r="B232" s="93" t="s">
        <v>112</v>
      </c>
      <c r="C232" s="195">
        <v>95.99999999999996</v>
      </c>
      <c r="D232" s="78">
        <f t="shared" si="22"/>
        <v>184.6153846</v>
      </c>
      <c r="E232" s="900"/>
      <c r="F232" s="249" t="s">
        <v>18</v>
      </c>
      <c r="G232" s="47"/>
      <c r="H232" s="1"/>
      <c r="I232" s="1"/>
      <c r="J232" s="1"/>
      <c r="K232" s="1"/>
      <c r="L232" s="1"/>
      <c r="M232" s="1"/>
      <c r="N232" s="1"/>
      <c r="O232" s="1"/>
      <c r="P232" s="1"/>
      <c r="Q232" s="1"/>
      <c r="R232" s="1"/>
      <c r="S232" s="1"/>
    </row>
    <row r="233" ht="14.25" customHeight="1">
      <c r="A233" s="1112"/>
      <c r="B233" s="93" t="s">
        <v>80</v>
      </c>
      <c r="C233" s="195">
        <v>0.5999999999999998</v>
      </c>
      <c r="D233" s="78">
        <f t="shared" si="22"/>
        <v>1.153846154</v>
      </c>
      <c r="E233" s="900"/>
      <c r="F233" s="249" t="s">
        <v>14</v>
      </c>
      <c r="G233" s="47"/>
      <c r="H233" s="1"/>
      <c r="I233" s="1"/>
      <c r="J233" s="1"/>
      <c r="K233" s="1"/>
      <c r="L233" s="1"/>
      <c r="M233" s="1"/>
      <c r="N233" s="1"/>
      <c r="O233" s="1"/>
      <c r="P233" s="1"/>
      <c r="Q233" s="1"/>
      <c r="R233" s="1"/>
      <c r="S233" s="1"/>
    </row>
    <row r="234" ht="14.25" customHeight="1">
      <c r="A234" s="1112"/>
      <c r="B234" s="93" t="s">
        <v>2741</v>
      </c>
      <c r="C234" s="195">
        <v>167.99999999999994</v>
      </c>
      <c r="D234" s="78">
        <f t="shared" si="22"/>
        <v>323.0769231</v>
      </c>
      <c r="E234" s="900"/>
      <c r="F234" s="249" t="s">
        <v>18</v>
      </c>
      <c r="G234" s="47"/>
      <c r="H234" s="1"/>
      <c r="I234" s="1"/>
      <c r="J234" s="1"/>
      <c r="K234" s="1"/>
      <c r="L234" s="1"/>
      <c r="M234" s="1"/>
      <c r="N234" s="1"/>
      <c r="O234" s="1"/>
      <c r="P234" s="1"/>
      <c r="Q234" s="1"/>
      <c r="R234" s="1"/>
      <c r="S234" s="1"/>
    </row>
    <row r="235" ht="14.25" customHeight="1">
      <c r="A235" s="2262" t="s">
        <v>2502</v>
      </c>
      <c r="B235" s="105" t="s">
        <v>31</v>
      </c>
      <c r="C235" s="200">
        <v>359.9999999999999</v>
      </c>
      <c r="D235" s="56">
        <f t="shared" si="22"/>
        <v>692.3076923</v>
      </c>
      <c r="E235" s="1604"/>
      <c r="F235" s="518" t="s">
        <v>18</v>
      </c>
      <c r="G235" s="76"/>
      <c r="H235" s="1"/>
      <c r="I235" s="1"/>
      <c r="J235" s="1"/>
      <c r="K235" s="1"/>
      <c r="L235" s="1"/>
      <c r="M235" s="1"/>
      <c r="N235" s="1"/>
      <c r="O235" s="1"/>
      <c r="P235" s="1"/>
      <c r="Q235" s="1"/>
      <c r="R235" s="1"/>
      <c r="S235" s="1"/>
    </row>
    <row r="236" ht="14.25" customHeight="1">
      <c r="A236" s="63"/>
      <c r="B236" s="1726" t="s">
        <v>2742</v>
      </c>
      <c r="C236" s="238">
        <v>2.399999999999999</v>
      </c>
      <c r="D236" s="129">
        <f t="shared" si="22"/>
        <v>4.615384615</v>
      </c>
      <c r="E236" s="1583"/>
      <c r="F236" s="520" t="s">
        <v>5</v>
      </c>
      <c r="G236" s="2"/>
      <c r="H236" s="1"/>
      <c r="I236" s="1"/>
      <c r="J236" s="1"/>
      <c r="K236" s="1"/>
      <c r="L236" s="1"/>
      <c r="M236" s="1"/>
      <c r="N236" s="1"/>
      <c r="O236" s="1"/>
      <c r="P236" s="1"/>
      <c r="Q236" s="1"/>
      <c r="R236" s="1"/>
      <c r="S236" s="1"/>
    </row>
    <row r="237" ht="14.25" customHeight="1">
      <c r="A237" s="63"/>
      <c r="B237" s="105" t="s">
        <v>114</v>
      </c>
      <c r="C237" s="200">
        <v>0.7199999999999998</v>
      </c>
      <c r="D237" s="56">
        <f>(C237*D235)/C235</f>
        <v>1.384615385</v>
      </c>
      <c r="E237" s="1604"/>
      <c r="F237" s="518" t="s">
        <v>5</v>
      </c>
      <c r="G237" s="1"/>
      <c r="H237" s="1"/>
      <c r="I237" s="1"/>
      <c r="J237" s="1"/>
      <c r="K237" s="1"/>
      <c r="L237" s="1"/>
      <c r="M237" s="1"/>
      <c r="N237" s="1"/>
      <c r="O237" s="1"/>
      <c r="P237" s="1"/>
      <c r="Q237" s="1"/>
      <c r="R237" s="1"/>
      <c r="S237" s="1"/>
    </row>
    <row r="238" ht="14.25" customHeight="1">
      <c r="A238" s="102"/>
      <c r="B238" s="2275" t="s">
        <v>119</v>
      </c>
      <c r="C238" s="1446" t="s">
        <v>47</v>
      </c>
      <c r="D238" s="184"/>
      <c r="E238" s="184"/>
      <c r="F238" s="1"/>
      <c r="G238" s="1"/>
      <c r="H238" s="1"/>
      <c r="I238" s="1"/>
      <c r="J238" s="1"/>
      <c r="K238" s="1"/>
      <c r="L238" s="1"/>
      <c r="M238" s="1"/>
      <c r="N238" s="1"/>
      <c r="O238" s="1"/>
      <c r="P238" s="1"/>
      <c r="Q238" s="1"/>
      <c r="R238" s="1"/>
      <c r="S238" s="1"/>
    </row>
    <row r="239" ht="14.25" customHeight="1">
      <c r="A239" s="1112"/>
      <c r="B239" s="550" t="s">
        <v>1583</v>
      </c>
      <c r="C239" s="1363">
        <v>42828.0</v>
      </c>
      <c r="D239" s="184"/>
      <c r="E239" s="184"/>
      <c r="F239" s="1"/>
      <c r="G239" s="1"/>
      <c r="H239" s="1"/>
      <c r="I239" s="1"/>
      <c r="J239" s="1"/>
      <c r="K239" s="1"/>
      <c r="L239" s="1"/>
      <c r="M239" s="1"/>
      <c r="N239" s="1"/>
      <c r="O239" s="1"/>
      <c r="P239" s="1"/>
      <c r="Q239" s="1"/>
      <c r="R239" s="1"/>
      <c r="S239" s="1"/>
    </row>
    <row r="240" ht="14.25" customHeight="1">
      <c r="A240" s="1112"/>
      <c r="B240" s="342" t="s">
        <v>1585</v>
      </c>
      <c r="C240" s="1363"/>
      <c r="D240" s="184"/>
      <c r="E240" s="184"/>
      <c r="F240" s="1"/>
      <c r="G240" s="1"/>
      <c r="H240" s="1"/>
      <c r="I240" s="1"/>
      <c r="J240" s="1"/>
      <c r="K240" s="1"/>
      <c r="L240" s="1"/>
      <c r="M240" s="1"/>
      <c r="N240" s="1"/>
      <c r="O240" s="1"/>
      <c r="P240" s="1"/>
      <c r="Q240" s="1"/>
      <c r="R240" s="1"/>
      <c r="S240" s="1"/>
    </row>
    <row r="241" ht="14.25" customHeight="1">
      <c r="A241" s="1112"/>
      <c r="B241" s="1"/>
      <c r="C241" s="107"/>
      <c r="D241" s="184"/>
      <c r="E241" s="184"/>
      <c r="F241" s="1"/>
      <c r="G241" s="1"/>
      <c r="H241" s="1"/>
      <c r="I241" s="1"/>
      <c r="J241" s="1"/>
      <c r="K241" s="1"/>
      <c r="L241" s="1"/>
      <c r="M241" s="1"/>
      <c r="N241" s="1"/>
      <c r="O241" s="1"/>
      <c r="P241" s="1"/>
      <c r="Q241" s="1"/>
      <c r="R241" s="1"/>
      <c r="S241" s="1"/>
    </row>
    <row r="242" ht="14.25" customHeight="1">
      <c r="A242" s="1112"/>
      <c r="B242" s="766" t="s">
        <v>1082</v>
      </c>
      <c r="C242" s="18"/>
      <c r="D242" s="18"/>
      <c r="E242" s="18"/>
      <c r="F242" s="19"/>
      <c r="G242" s="1"/>
      <c r="H242" s="1"/>
      <c r="I242" s="1"/>
      <c r="J242" s="1"/>
      <c r="K242" s="1"/>
      <c r="L242" s="1"/>
      <c r="M242" s="1"/>
      <c r="N242" s="1"/>
      <c r="O242" s="1"/>
      <c r="P242" s="1"/>
      <c r="Q242" s="1"/>
      <c r="R242" s="1"/>
      <c r="S242" s="1"/>
    </row>
    <row r="243" ht="14.25" customHeight="1">
      <c r="A243" s="1112"/>
      <c r="B243" s="751" t="s">
        <v>1</v>
      </c>
      <c r="C243" s="1700">
        <v>100.0</v>
      </c>
      <c r="D243" s="753">
        <v>10.0</v>
      </c>
      <c r="E243" s="2426"/>
      <c r="F243" s="754" t="s">
        <v>5</v>
      </c>
      <c r="G243" s="1"/>
      <c r="H243" s="1"/>
      <c r="I243" s="1"/>
      <c r="J243" s="1"/>
      <c r="K243" s="1"/>
      <c r="L243" s="1"/>
      <c r="M243" s="1"/>
      <c r="N243" s="1"/>
      <c r="O243" s="1"/>
      <c r="P243" s="1"/>
      <c r="Q243" s="1"/>
      <c r="R243" s="1"/>
      <c r="S243" s="1"/>
    </row>
    <row r="244" ht="14.25" customHeight="1">
      <c r="A244" s="1112"/>
      <c r="B244" s="119" t="s">
        <v>805</v>
      </c>
      <c r="C244" s="238">
        <v>30.0</v>
      </c>
      <c r="D244" s="129">
        <f t="shared" ref="D244:D253" si="23">(C244*D243)/C243</f>
        <v>3</v>
      </c>
      <c r="E244" s="1583"/>
      <c r="F244" s="520" t="s">
        <v>14</v>
      </c>
      <c r="G244" s="1" t="s">
        <v>2758</v>
      </c>
      <c r="H244" s="1"/>
      <c r="I244" s="1"/>
      <c r="J244" s="1"/>
      <c r="K244" s="1"/>
      <c r="L244" s="1"/>
      <c r="M244" s="1"/>
      <c r="N244" s="1"/>
      <c r="O244" s="1"/>
      <c r="P244" s="1"/>
      <c r="Q244" s="1"/>
      <c r="R244" s="1"/>
      <c r="S244" s="1"/>
    </row>
    <row r="245" ht="14.25" customHeight="1">
      <c r="A245" s="1112"/>
      <c r="B245" s="93" t="s">
        <v>91</v>
      </c>
      <c r="C245" s="195">
        <v>2.5</v>
      </c>
      <c r="D245" s="78">
        <f t="shared" si="23"/>
        <v>0.25</v>
      </c>
      <c r="E245" s="900"/>
      <c r="F245" s="249" t="s">
        <v>5</v>
      </c>
      <c r="G245" s="1"/>
      <c r="H245" s="1"/>
      <c r="I245" s="1"/>
      <c r="J245" s="1"/>
      <c r="K245" s="1"/>
      <c r="L245" s="1"/>
      <c r="M245" s="1"/>
      <c r="N245" s="1"/>
      <c r="O245" s="1"/>
      <c r="P245" s="1"/>
      <c r="Q245" s="1"/>
      <c r="R245" s="1"/>
      <c r="S245" s="1"/>
    </row>
    <row r="246" ht="14.25" customHeight="1">
      <c r="A246" s="1112"/>
      <c r="B246" s="93" t="s">
        <v>97</v>
      </c>
      <c r="C246" s="195">
        <v>125.0</v>
      </c>
      <c r="D246" s="78">
        <f t="shared" si="23"/>
        <v>12.5</v>
      </c>
      <c r="E246" s="900"/>
      <c r="F246" s="249" t="s">
        <v>18</v>
      </c>
      <c r="G246" s="1"/>
      <c r="H246" s="1"/>
      <c r="I246" s="1"/>
      <c r="J246" s="1"/>
      <c r="K246" s="1"/>
      <c r="L246" s="1"/>
      <c r="M246" s="1"/>
      <c r="N246" s="1"/>
      <c r="O246" s="1"/>
      <c r="P246" s="1"/>
      <c r="Q246" s="1"/>
      <c r="R246" s="1"/>
      <c r="S246" s="1"/>
    </row>
    <row r="247" ht="14.25" customHeight="1">
      <c r="A247" s="1112"/>
      <c r="B247" s="93" t="s">
        <v>98</v>
      </c>
      <c r="C247" s="195">
        <v>125.0</v>
      </c>
      <c r="D247" s="78">
        <f t="shared" si="23"/>
        <v>12.5</v>
      </c>
      <c r="E247" s="900"/>
      <c r="F247" s="249" t="s">
        <v>18</v>
      </c>
      <c r="G247" s="1"/>
      <c r="H247" s="1"/>
      <c r="I247" s="1"/>
      <c r="J247" s="1"/>
      <c r="K247" s="1"/>
      <c r="L247" s="1"/>
      <c r="M247" s="1"/>
      <c r="N247" s="1"/>
      <c r="O247" s="1"/>
      <c r="P247" s="1"/>
      <c r="Q247" s="1"/>
      <c r="R247" s="1"/>
      <c r="S247" s="1"/>
    </row>
    <row r="248" ht="14.25" customHeight="1">
      <c r="A248" s="1112"/>
      <c r="B248" s="93" t="s">
        <v>39</v>
      </c>
      <c r="C248" s="195">
        <v>525.0</v>
      </c>
      <c r="D248" s="78">
        <f t="shared" si="23"/>
        <v>52.5</v>
      </c>
      <c r="E248" s="900"/>
      <c r="F248" s="249" t="s">
        <v>18</v>
      </c>
      <c r="G248" s="1"/>
      <c r="H248" s="1"/>
      <c r="I248" s="1"/>
      <c r="J248" s="1"/>
      <c r="K248" s="1"/>
      <c r="L248" s="1"/>
      <c r="M248" s="1"/>
      <c r="N248" s="1"/>
      <c r="O248" s="1"/>
      <c r="P248" s="1"/>
      <c r="Q248" s="1"/>
      <c r="R248" s="1"/>
      <c r="S248" s="1"/>
    </row>
    <row r="249" ht="14.25" customHeight="1">
      <c r="A249" s="1112"/>
      <c r="B249" s="93" t="s">
        <v>31</v>
      </c>
      <c r="C249" s="195">
        <v>875.0</v>
      </c>
      <c r="D249" s="78">
        <f t="shared" si="23"/>
        <v>87.5</v>
      </c>
      <c r="E249" s="900"/>
      <c r="F249" s="249" t="s">
        <v>18</v>
      </c>
      <c r="G249" s="1"/>
      <c r="H249" s="1"/>
      <c r="I249" s="1"/>
      <c r="J249" s="1"/>
      <c r="K249" s="1"/>
      <c r="L249" s="1"/>
      <c r="M249" s="1"/>
      <c r="N249" s="1"/>
      <c r="O249" s="1"/>
      <c r="P249" s="1"/>
      <c r="Q249" s="1"/>
      <c r="R249" s="1"/>
      <c r="S249" s="1"/>
    </row>
    <row r="250" ht="14.25" customHeight="1">
      <c r="A250" s="1112"/>
      <c r="B250" s="93" t="s">
        <v>2762</v>
      </c>
      <c r="C250" s="195">
        <v>22.5</v>
      </c>
      <c r="D250" s="78">
        <f t="shared" si="23"/>
        <v>2.25</v>
      </c>
      <c r="E250" s="900"/>
      <c r="F250" s="249" t="s">
        <v>14</v>
      </c>
      <c r="G250" s="1"/>
      <c r="H250" s="1"/>
      <c r="I250" s="1"/>
      <c r="J250" s="1"/>
      <c r="K250" s="1"/>
      <c r="L250" s="1"/>
      <c r="M250" s="1"/>
      <c r="N250" s="1"/>
      <c r="O250" s="1"/>
      <c r="P250" s="1"/>
      <c r="Q250" s="1"/>
      <c r="R250" s="1"/>
      <c r="S250" s="1"/>
    </row>
    <row r="251" ht="14.25" customHeight="1">
      <c r="A251" s="1112"/>
      <c r="B251" s="93" t="s">
        <v>112</v>
      </c>
      <c r="C251" s="195">
        <v>65.0</v>
      </c>
      <c r="D251" s="78">
        <f t="shared" si="23"/>
        <v>6.5</v>
      </c>
      <c r="E251" s="900"/>
      <c r="F251" s="249" t="s">
        <v>18</v>
      </c>
      <c r="G251" s="1"/>
      <c r="H251" s="1"/>
      <c r="I251" s="1"/>
      <c r="J251" s="1"/>
      <c r="K251" s="1"/>
      <c r="L251" s="1"/>
      <c r="M251" s="1"/>
      <c r="N251" s="1"/>
      <c r="O251" s="1"/>
      <c r="P251" s="1"/>
      <c r="Q251" s="1"/>
      <c r="R251" s="1"/>
      <c r="S251" s="1"/>
    </row>
    <row r="252" ht="14.25" customHeight="1">
      <c r="A252" s="1112"/>
      <c r="B252" s="93" t="s">
        <v>2763</v>
      </c>
      <c r="C252" s="195">
        <v>22.5</v>
      </c>
      <c r="D252" s="78">
        <f t="shared" si="23"/>
        <v>2.25</v>
      </c>
      <c r="E252" s="900"/>
      <c r="F252" s="249" t="s">
        <v>93</v>
      </c>
      <c r="G252" s="1"/>
      <c r="H252" s="1"/>
      <c r="I252" s="1"/>
      <c r="J252" s="1"/>
      <c r="K252" s="1"/>
      <c r="L252" s="1"/>
      <c r="M252" s="1"/>
      <c r="N252" s="1"/>
      <c r="O252" s="1"/>
      <c r="P252" s="1"/>
      <c r="Q252" s="1"/>
      <c r="R252" s="1"/>
      <c r="S252" s="1"/>
    </row>
    <row r="253" ht="14.25" customHeight="1">
      <c r="A253" s="1112"/>
      <c r="B253" s="105" t="s">
        <v>114</v>
      </c>
      <c r="C253" s="200">
        <v>2.0</v>
      </c>
      <c r="D253" s="56">
        <f t="shared" si="23"/>
        <v>0.2</v>
      </c>
      <c r="E253" s="1604"/>
      <c r="F253" s="518" t="s">
        <v>5</v>
      </c>
      <c r="G253" s="1"/>
      <c r="H253" s="1"/>
      <c r="I253" s="1"/>
      <c r="J253" s="1"/>
      <c r="K253" s="1"/>
      <c r="L253" s="1"/>
      <c r="M253" s="1"/>
      <c r="N253" s="1"/>
      <c r="O253" s="1"/>
      <c r="P253" s="1"/>
      <c r="Q253" s="1"/>
      <c r="R253" s="1"/>
      <c r="S253" s="1"/>
    </row>
    <row r="254" ht="14.25" customHeight="1">
      <c r="A254" s="1112"/>
      <c r="B254" s="2275" t="s">
        <v>119</v>
      </c>
      <c r="C254" s="1446" t="s">
        <v>47</v>
      </c>
      <c r="D254" s="184"/>
      <c r="E254" s="184"/>
      <c r="F254" s="1"/>
      <c r="G254" s="847"/>
      <c r="H254" s="1"/>
      <c r="I254" s="1"/>
      <c r="J254" s="1"/>
      <c r="K254" s="1"/>
      <c r="L254" s="1"/>
      <c r="M254" s="1"/>
      <c r="N254" s="1"/>
      <c r="O254" s="1"/>
      <c r="P254" s="1"/>
      <c r="Q254" s="1"/>
      <c r="R254" s="1"/>
      <c r="S254" s="1"/>
    </row>
    <row r="255" ht="14.25" customHeight="1">
      <c r="A255" s="1112"/>
      <c r="B255" s="1"/>
      <c r="C255" s="107"/>
      <c r="D255" s="184"/>
      <c r="E255" s="184"/>
      <c r="F255" s="1"/>
      <c r="G255" s="1"/>
      <c r="H255" s="1"/>
      <c r="I255" s="1"/>
      <c r="J255" s="1"/>
      <c r="K255" s="1"/>
      <c r="L255" s="1"/>
      <c r="M255" s="1"/>
      <c r="N255" s="1"/>
      <c r="O255" s="1"/>
      <c r="P255" s="1"/>
      <c r="Q255" s="1"/>
      <c r="R255" s="1"/>
      <c r="S255" s="1"/>
    </row>
    <row r="256" ht="14.25" customHeight="1">
      <c r="A256" s="1112"/>
      <c r="B256" s="511" t="s">
        <v>1085</v>
      </c>
      <c r="C256" s="18"/>
      <c r="D256" s="18"/>
      <c r="E256" s="18"/>
      <c r="F256" s="19"/>
      <c r="G256" s="1"/>
      <c r="H256" s="1"/>
      <c r="I256" s="1"/>
      <c r="J256" s="1"/>
      <c r="K256" s="1"/>
      <c r="L256" s="1"/>
      <c r="M256" s="1"/>
      <c r="N256" s="1"/>
      <c r="O256" s="1"/>
      <c r="P256" s="1"/>
      <c r="Q256" s="1"/>
      <c r="R256" s="1"/>
      <c r="S256" s="1"/>
    </row>
    <row r="257" ht="14.25" customHeight="1">
      <c r="A257" s="1112"/>
      <c r="B257" s="51" t="s">
        <v>1</v>
      </c>
      <c r="C257" s="190">
        <v>30.0</v>
      </c>
      <c r="D257" s="513">
        <v>80.0</v>
      </c>
      <c r="E257" s="1576"/>
      <c r="F257" s="514" t="s">
        <v>5</v>
      </c>
      <c r="G257" s="1"/>
      <c r="H257" s="1"/>
      <c r="I257" s="1"/>
      <c r="J257" s="1"/>
      <c r="K257" s="1"/>
      <c r="L257" s="1"/>
      <c r="M257" s="1"/>
      <c r="N257" s="1"/>
      <c r="O257" s="1"/>
      <c r="P257" s="1"/>
      <c r="Q257" s="1"/>
      <c r="R257" s="1"/>
      <c r="S257" s="1"/>
    </row>
    <row r="258" ht="14.25" customHeight="1">
      <c r="A258" s="1112"/>
      <c r="B258" s="68" t="s">
        <v>2766</v>
      </c>
      <c r="C258" s="145">
        <v>4.4</v>
      </c>
      <c r="D258" s="155">
        <f t="shared" ref="D258:D276" si="24">(C258*D257)/C257</f>
        <v>11.73333333</v>
      </c>
      <c r="E258" s="899"/>
      <c r="F258" s="216" t="s">
        <v>14</v>
      </c>
      <c r="G258" s="1"/>
      <c r="H258" s="1"/>
      <c r="I258" s="1"/>
      <c r="J258" s="1"/>
      <c r="K258" s="1"/>
      <c r="L258" s="1"/>
      <c r="M258" s="1"/>
      <c r="N258" s="1"/>
      <c r="O258" s="1"/>
      <c r="P258" s="1"/>
      <c r="Q258" s="1"/>
      <c r="R258" s="1"/>
      <c r="S258" s="1"/>
    </row>
    <row r="259" ht="14.25" customHeight="1">
      <c r="A259" s="1112"/>
      <c r="B259" s="105" t="s">
        <v>2767</v>
      </c>
      <c r="C259" s="200">
        <v>80.00000000000001</v>
      </c>
      <c r="D259" s="56">
        <f t="shared" si="24"/>
        <v>213.3333333</v>
      </c>
      <c r="E259" s="1604"/>
      <c r="F259" s="518" t="s">
        <v>18</v>
      </c>
      <c r="G259" s="1"/>
      <c r="H259" s="1"/>
      <c r="I259" s="1"/>
      <c r="J259" s="1"/>
      <c r="K259" s="1"/>
      <c r="L259" s="1"/>
      <c r="M259" s="1"/>
      <c r="N259" s="1"/>
      <c r="O259" s="1"/>
      <c r="P259" s="1"/>
      <c r="Q259" s="1"/>
      <c r="R259" s="1"/>
      <c r="S259" s="1"/>
    </row>
    <row r="260" ht="14.25" customHeight="1">
      <c r="A260" s="1112"/>
      <c r="B260" s="68" t="s">
        <v>91</v>
      </c>
      <c r="C260" s="145">
        <v>0.8</v>
      </c>
      <c r="D260" s="155">
        <f t="shared" si="24"/>
        <v>2.133333333</v>
      </c>
      <c r="E260" s="899"/>
      <c r="F260" s="216" t="s">
        <v>5</v>
      </c>
      <c r="G260" s="1"/>
      <c r="H260" s="1"/>
      <c r="I260" s="1"/>
      <c r="J260" s="1"/>
      <c r="K260" s="1"/>
      <c r="L260" s="1"/>
      <c r="M260" s="1"/>
      <c r="N260" s="1"/>
      <c r="O260" s="1"/>
      <c r="P260" s="1"/>
      <c r="Q260" s="1"/>
      <c r="R260" s="1"/>
      <c r="S260" s="1"/>
    </row>
    <row r="261" ht="14.25" customHeight="1">
      <c r="A261" s="1112"/>
      <c r="B261" s="93" t="s">
        <v>97</v>
      </c>
      <c r="C261" s="195">
        <v>56.0</v>
      </c>
      <c r="D261" s="78">
        <f t="shared" si="24"/>
        <v>149.3333333</v>
      </c>
      <c r="E261" s="900"/>
      <c r="F261" s="249" t="s">
        <v>18</v>
      </c>
      <c r="G261" s="1"/>
      <c r="H261" s="1"/>
      <c r="I261" s="1"/>
      <c r="J261" s="1"/>
      <c r="K261" s="1"/>
      <c r="L261" s="1"/>
      <c r="M261" s="1"/>
      <c r="N261" s="1"/>
      <c r="O261" s="1"/>
      <c r="P261" s="1"/>
      <c r="Q261" s="1"/>
      <c r="R261" s="1"/>
      <c r="S261" s="1"/>
    </row>
    <row r="262" ht="14.25" customHeight="1">
      <c r="A262" s="1112"/>
      <c r="B262" s="149" t="s">
        <v>98</v>
      </c>
      <c r="C262" s="152">
        <v>96.0</v>
      </c>
      <c r="D262" s="274">
        <f t="shared" si="24"/>
        <v>256</v>
      </c>
      <c r="E262" s="1690"/>
      <c r="F262" s="288" t="s">
        <v>18</v>
      </c>
      <c r="G262" s="1"/>
      <c r="H262" s="1"/>
      <c r="I262" s="1"/>
      <c r="J262" s="1"/>
      <c r="K262" s="1"/>
      <c r="L262" s="1"/>
      <c r="M262" s="1"/>
      <c r="N262" s="1"/>
      <c r="O262" s="1"/>
      <c r="P262" s="1"/>
      <c r="Q262" s="1"/>
      <c r="R262" s="1"/>
      <c r="S262" s="1"/>
    </row>
    <row r="263" ht="14.25" customHeight="1">
      <c r="A263" s="1112"/>
      <c r="B263" s="138" t="s">
        <v>101</v>
      </c>
      <c r="C263" s="279">
        <v>0.32</v>
      </c>
      <c r="D263" s="542">
        <f t="shared" si="24"/>
        <v>0.8533333333</v>
      </c>
      <c r="E263" s="1614"/>
      <c r="F263" s="242" t="s">
        <v>5</v>
      </c>
      <c r="G263" s="1"/>
      <c r="H263" s="1"/>
      <c r="I263" s="1"/>
      <c r="J263" s="1"/>
      <c r="K263" s="1"/>
      <c r="L263" s="1"/>
      <c r="M263" s="1"/>
      <c r="N263" s="1"/>
      <c r="O263" s="1"/>
      <c r="P263" s="1"/>
      <c r="Q263" s="1"/>
      <c r="R263" s="1"/>
      <c r="S263" s="1"/>
    </row>
    <row r="264" ht="14.25" customHeight="1">
      <c r="A264" s="1112"/>
      <c r="B264" s="68" t="s">
        <v>103</v>
      </c>
      <c r="C264" s="145">
        <v>40.0</v>
      </c>
      <c r="D264" s="155">
        <f t="shared" si="24"/>
        <v>106.6666667</v>
      </c>
      <c r="E264" s="899"/>
      <c r="F264" s="216" t="s">
        <v>18</v>
      </c>
      <c r="G264" s="1"/>
      <c r="H264" s="1"/>
      <c r="I264" s="1"/>
      <c r="J264" s="1"/>
      <c r="K264" s="1"/>
      <c r="L264" s="1"/>
      <c r="M264" s="1"/>
      <c r="N264" s="1"/>
      <c r="O264" s="1"/>
      <c r="P264" s="1"/>
      <c r="Q264" s="1"/>
      <c r="R264" s="1"/>
      <c r="S264" s="1"/>
    </row>
    <row r="265" ht="14.25" customHeight="1">
      <c r="A265" s="1112"/>
      <c r="B265" s="93" t="s">
        <v>427</v>
      </c>
      <c r="C265" s="195">
        <v>280.0</v>
      </c>
      <c r="D265" s="78">
        <f t="shared" si="24"/>
        <v>746.6666667</v>
      </c>
      <c r="E265" s="900"/>
      <c r="F265" s="249" t="s">
        <v>18</v>
      </c>
      <c r="G265" s="1"/>
      <c r="H265" s="1"/>
      <c r="I265" s="1"/>
      <c r="J265" s="1"/>
      <c r="K265" s="1"/>
      <c r="L265" s="1"/>
      <c r="M265" s="1"/>
      <c r="N265" s="1"/>
      <c r="O265" s="1"/>
      <c r="P265" s="1"/>
      <c r="Q265" s="1"/>
      <c r="R265" s="1"/>
      <c r="S265" s="1"/>
    </row>
    <row r="266" ht="14.25" customHeight="1">
      <c r="A266" s="1112"/>
      <c r="B266" s="93" t="s">
        <v>208</v>
      </c>
      <c r="C266" s="195">
        <v>96.0</v>
      </c>
      <c r="D266" s="78">
        <f t="shared" si="24"/>
        <v>256</v>
      </c>
      <c r="E266" s="900"/>
      <c r="F266" s="249" t="s">
        <v>18</v>
      </c>
      <c r="G266" s="1"/>
      <c r="H266" s="1"/>
      <c r="I266" s="1"/>
      <c r="J266" s="1"/>
      <c r="K266" s="1"/>
      <c r="L266" s="1"/>
      <c r="M266" s="1"/>
      <c r="N266" s="1"/>
      <c r="O266" s="1"/>
      <c r="P266" s="1"/>
      <c r="Q266" s="1"/>
      <c r="R266" s="1"/>
      <c r="S266" s="1"/>
    </row>
    <row r="267" ht="14.25" customHeight="1">
      <c r="A267" s="1112"/>
      <c r="B267" s="377" t="s">
        <v>112</v>
      </c>
      <c r="C267" s="195">
        <v>32.0</v>
      </c>
      <c r="D267" s="78">
        <f t="shared" si="24"/>
        <v>85.33333333</v>
      </c>
      <c r="E267" s="900"/>
      <c r="F267" s="249" t="s">
        <v>18</v>
      </c>
      <c r="G267" s="1"/>
      <c r="H267" s="1"/>
      <c r="I267" s="1"/>
      <c r="J267" s="1"/>
      <c r="K267" s="1"/>
      <c r="L267" s="1"/>
      <c r="M267" s="1"/>
      <c r="N267" s="1"/>
      <c r="O267" s="1"/>
      <c r="P267" s="1"/>
      <c r="Q267" s="1"/>
      <c r="R267" s="1"/>
      <c r="S267" s="1"/>
    </row>
    <row r="268" ht="14.25" customHeight="1">
      <c r="A268" s="1112"/>
      <c r="B268" s="105" t="s">
        <v>149</v>
      </c>
      <c r="C268" s="200">
        <v>96.0</v>
      </c>
      <c r="D268" s="56">
        <f t="shared" si="24"/>
        <v>256</v>
      </c>
      <c r="E268" s="1604"/>
      <c r="F268" s="518" t="s">
        <v>82</v>
      </c>
      <c r="G268" s="1"/>
      <c r="H268" s="1"/>
      <c r="I268" s="1"/>
      <c r="J268" s="1"/>
      <c r="K268" s="1"/>
      <c r="L268" s="1"/>
      <c r="M268" s="1"/>
      <c r="N268" s="1"/>
      <c r="O268" s="1"/>
      <c r="P268" s="1"/>
      <c r="Q268" s="1"/>
      <c r="R268" s="1"/>
      <c r="S268" s="1"/>
    </row>
    <row r="269" ht="14.25" customHeight="1">
      <c r="A269" s="1112"/>
      <c r="B269" s="119" t="s">
        <v>1091</v>
      </c>
      <c r="C269" s="238">
        <v>80.0</v>
      </c>
      <c r="D269" s="129">
        <f t="shared" si="24"/>
        <v>213.3333333</v>
      </c>
      <c r="E269" s="1583"/>
      <c r="F269" s="520" t="s">
        <v>18</v>
      </c>
      <c r="G269" s="1"/>
      <c r="H269" s="1"/>
      <c r="I269" s="1"/>
      <c r="J269" s="1"/>
      <c r="K269" s="1"/>
      <c r="L269" s="1"/>
      <c r="M269" s="1"/>
      <c r="N269" s="1"/>
      <c r="O269" s="1"/>
      <c r="P269" s="1"/>
      <c r="Q269" s="1"/>
      <c r="R269" s="1"/>
      <c r="S269" s="1"/>
    </row>
    <row r="270" ht="14.25" customHeight="1">
      <c r="A270" s="1112"/>
      <c r="B270" s="93" t="s">
        <v>31</v>
      </c>
      <c r="C270" s="195">
        <v>200.0</v>
      </c>
      <c r="D270" s="78">
        <f t="shared" si="24"/>
        <v>533.3333333</v>
      </c>
      <c r="E270" s="900"/>
      <c r="F270" s="249" t="s">
        <v>18</v>
      </c>
      <c r="G270" s="1"/>
      <c r="H270" s="1"/>
      <c r="I270" s="1"/>
      <c r="J270" s="1"/>
      <c r="K270" s="1"/>
      <c r="L270" s="1"/>
      <c r="M270" s="1"/>
      <c r="N270" s="1"/>
      <c r="O270" s="1"/>
      <c r="P270" s="1"/>
      <c r="Q270" s="1"/>
      <c r="R270" s="1"/>
      <c r="S270" s="1"/>
    </row>
    <row r="271" ht="14.25" customHeight="1">
      <c r="A271" s="1112"/>
      <c r="B271" s="93" t="s">
        <v>1366</v>
      </c>
      <c r="C271" s="195">
        <v>4.4</v>
      </c>
      <c r="D271" s="78">
        <f t="shared" si="24"/>
        <v>11.73333333</v>
      </c>
      <c r="E271" s="900"/>
      <c r="F271" s="249" t="s">
        <v>14</v>
      </c>
      <c r="G271" s="1"/>
      <c r="H271" s="1"/>
      <c r="I271" s="1"/>
      <c r="J271" s="1"/>
      <c r="K271" s="1"/>
      <c r="L271" s="1"/>
      <c r="M271" s="1"/>
      <c r="N271" s="1"/>
      <c r="O271" s="1"/>
      <c r="P271" s="1"/>
      <c r="Q271" s="1"/>
      <c r="R271" s="1"/>
      <c r="S271" s="1"/>
    </row>
    <row r="272" ht="14.25" customHeight="1">
      <c r="A272" s="1112"/>
      <c r="B272" s="93" t="s">
        <v>2775</v>
      </c>
      <c r="C272" s="195">
        <v>1.2000000000000002</v>
      </c>
      <c r="D272" s="78">
        <f t="shared" si="24"/>
        <v>3.2</v>
      </c>
      <c r="E272" s="900"/>
      <c r="F272" s="249" t="s">
        <v>14</v>
      </c>
      <c r="G272" s="1"/>
      <c r="H272" s="1"/>
      <c r="I272" s="1"/>
      <c r="J272" s="1"/>
      <c r="K272" s="1"/>
      <c r="L272" s="1"/>
      <c r="M272" s="1"/>
      <c r="N272" s="1"/>
      <c r="O272" s="1"/>
      <c r="P272" s="1"/>
      <c r="Q272" s="1"/>
      <c r="R272" s="1"/>
      <c r="S272" s="1"/>
    </row>
    <row r="273" ht="14.25" customHeight="1">
      <c r="A273" s="1112"/>
      <c r="B273" s="93" t="s">
        <v>2778</v>
      </c>
      <c r="C273" s="195">
        <v>5.0</v>
      </c>
      <c r="D273" s="78">
        <f t="shared" si="24"/>
        <v>13.33333333</v>
      </c>
      <c r="E273" s="900"/>
      <c r="F273" s="249" t="s">
        <v>741</v>
      </c>
      <c r="G273" s="1"/>
      <c r="H273" s="1"/>
      <c r="I273" s="1"/>
      <c r="J273" s="1"/>
      <c r="K273" s="1"/>
      <c r="L273" s="1"/>
      <c r="M273" s="1"/>
      <c r="N273" s="1"/>
      <c r="O273" s="1"/>
      <c r="P273" s="1"/>
      <c r="Q273" s="1"/>
      <c r="R273" s="1"/>
      <c r="S273" s="1"/>
    </row>
    <row r="274" ht="14.25" customHeight="1">
      <c r="A274" s="1112"/>
      <c r="B274" s="93" t="s">
        <v>1163</v>
      </c>
      <c r="C274" s="195">
        <v>1.0000000000000002</v>
      </c>
      <c r="D274" s="78">
        <f t="shared" si="24"/>
        <v>2.666666667</v>
      </c>
      <c r="E274" s="900"/>
      <c r="F274" s="249" t="s">
        <v>14</v>
      </c>
      <c r="G274" s="1"/>
      <c r="H274" s="1"/>
      <c r="I274" s="1"/>
      <c r="J274" s="1"/>
      <c r="K274" s="1"/>
      <c r="L274" s="1"/>
      <c r="M274" s="1"/>
      <c r="N274" s="1"/>
      <c r="O274" s="1"/>
      <c r="P274" s="1"/>
      <c r="Q274" s="1"/>
      <c r="R274" s="1"/>
      <c r="S274" s="1"/>
    </row>
    <row r="275" ht="14.25" customHeight="1">
      <c r="A275" s="1112"/>
      <c r="B275" s="1153" t="s">
        <v>114</v>
      </c>
      <c r="C275" s="275">
        <v>1.2000000000000002</v>
      </c>
      <c r="D275" s="179">
        <f t="shared" si="24"/>
        <v>3.2</v>
      </c>
      <c r="E275" s="1689"/>
      <c r="F275" s="547" t="s">
        <v>5</v>
      </c>
      <c r="G275" s="1"/>
      <c r="H275" s="1"/>
      <c r="I275" s="1"/>
      <c r="J275" s="1"/>
      <c r="K275" s="1"/>
      <c r="L275" s="1"/>
      <c r="M275" s="1"/>
      <c r="N275" s="1"/>
      <c r="O275" s="1"/>
      <c r="P275" s="1"/>
      <c r="Q275" s="1"/>
      <c r="R275" s="1"/>
      <c r="S275" s="1"/>
    </row>
    <row r="276" ht="14.25" customHeight="1">
      <c r="A276" s="1112"/>
      <c r="B276" s="173" t="s">
        <v>59</v>
      </c>
      <c r="C276" s="275">
        <v>6.400000000000001</v>
      </c>
      <c r="D276" s="179">
        <f t="shared" si="24"/>
        <v>17.06666667</v>
      </c>
      <c r="E276" s="1689"/>
      <c r="F276" s="547" t="s">
        <v>18</v>
      </c>
      <c r="G276" s="1"/>
      <c r="H276" s="1"/>
      <c r="I276" s="1"/>
      <c r="J276" s="1"/>
      <c r="K276" s="1"/>
      <c r="L276" s="1"/>
      <c r="M276" s="1"/>
      <c r="N276" s="1"/>
      <c r="O276" s="1"/>
      <c r="P276" s="1"/>
      <c r="Q276" s="1"/>
      <c r="R276" s="1"/>
      <c r="S276" s="1"/>
    </row>
    <row r="277" ht="14.25" customHeight="1">
      <c r="A277" s="1112"/>
      <c r="B277" s="2275" t="s">
        <v>119</v>
      </c>
      <c r="C277" s="1446" t="s">
        <v>47</v>
      </c>
      <c r="D277" s="184"/>
      <c r="E277" s="184"/>
      <c r="F277" s="1"/>
      <c r="G277" s="1"/>
      <c r="H277" s="1"/>
      <c r="I277" s="1"/>
      <c r="J277" s="1"/>
      <c r="K277" s="1"/>
      <c r="L277" s="1"/>
      <c r="M277" s="1"/>
      <c r="N277" s="1"/>
      <c r="O277" s="1"/>
      <c r="P277" s="1"/>
      <c r="Q277" s="1"/>
      <c r="R277" s="1"/>
      <c r="S277" s="1"/>
    </row>
    <row r="278" ht="14.25" customHeight="1">
      <c r="A278" s="1112"/>
      <c r="B278" s="203" t="s">
        <v>49</v>
      </c>
      <c r="C278" s="340">
        <v>42511.0</v>
      </c>
      <c r="D278" s="184"/>
      <c r="E278" s="184"/>
      <c r="F278" s="1"/>
      <c r="G278" s="1"/>
      <c r="H278" s="1"/>
      <c r="I278" s="1"/>
      <c r="J278" s="1"/>
      <c r="K278" s="1"/>
      <c r="L278" s="1"/>
      <c r="M278" s="1"/>
      <c r="N278" s="1"/>
      <c r="O278" s="1"/>
      <c r="P278" s="1"/>
      <c r="Q278" s="1"/>
      <c r="R278" s="1"/>
      <c r="S278" s="1"/>
    </row>
    <row r="279" ht="14.25" customHeight="1">
      <c r="A279" s="1112"/>
      <c r="B279" s="664" t="s">
        <v>50</v>
      </c>
      <c r="C279" s="340">
        <v>42904.0</v>
      </c>
      <c r="D279" s="184"/>
      <c r="E279" s="184"/>
      <c r="F279" s="1"/>
      <c r="G279" s="1"/>
      <c r="H279" s="1"/>
      <c r="I279" s="1"/>
      <c r="J279" s="1"/>
      <c r="K279" s="1"/>
      <c r="L279" s="1"/>
      <c r="M279" s="1"/>
      <c r="N279" s="1"/>
      <c r="O279" s="1"/>
      <c r="P279" s="1"/>
      <c r="Q279" s="1"/>
      <c r="R279" s="1"/>
      <c r="S279" s="1"/>
    </row>
    <row r="280" ht="14.25" customHeight="1">
      <c r="A280" s="1112"/>
      <c r="B280" s="1"/>
      <c r="C280" s="107"/>
      <c r="D280" s="184"/>
      <c r="E280" s="184"/>
      <c r="F280" s="1"/>
      <c r="G280" s="1"/>
      <c r="H280" s="1"/>
      <c r="I280" s="1"/>
      <c r="J280" s="1"/>
      <c r="K280" s="1"/>
      <c r="L280" s="1"/>
      <c r="M280" s="1"/>
      <c r="N280" s="1"/>
      <c r="O280" s="1"/>
      <c r="P280" s="1"/>
      <c r="Q280" s="1"/>
      <c r="R280" s="1"/>
      <c r="S280" s="1"/>
    </row>
    <row r="281" ht="14.25" customHeight="1">
      <c r="A281" s="1112"/>
      <c r="B281" s="656" t="s">
        <v>291</v>
      </c>
      <c r="C281" s="18"/>
      <c r="D281" s="18"/>
      <c r="E281" s="18"/>
      <c r="F281" s="19"/>
      <c r="G281" s="141"/>
      <c r="H281" s="1"/>
      <c r="I281" s="1"/>
      <c r="J281" s="1"/>
      <c r="K281" s="1"/>
      <c r="L281" s="1"/>
      <c r="M281" s="1"/>
      <c r="N281" s="1"/>
      <c r="O281" s="1"/>
      <c r="P281" s="1"/>
      <c r="Q281" s="1"/>
      <c r="R281" s="1"/>
      <c r="S281" s="1"/>
    </row>
    <row r="282" ht="14.25" customHeight="1">
      <c r="A282" s="1112"/>
      <c r="B282" s="25" t="s">
        <v>1</v>
      </c>
      <c r="C282" s="410">
        <v>100.0</v>
      </c>
      <c r="D282" s="2444">
        <v>530.0</v>
      </c>
      <c r="E282" s="2144"/>
      <c r="F282" s="28" t="s">
        <v>5</v>
      </c>
      <c r="G282" s="141"/>
      <c r="H282" s="1"/>
      <c r="I282" s="1"/>
      <c r="J282" s="1"/>
      <c r="K282" s="1"/>
      <c r="L282" s="1"/>
      <c r="M282" s="1"/>
      <c r="N282" s="1"/>
      <c r="O282" s="1"/>
      <c r="P282" s="1"/>
      <c r="Q282" s="1"/>
      <c r="R282" s="1"/>
      <c r="S282" s="1"/>
    </row>
    <row r="283" ht="14.25" customHeight="1">
      <c r="A283" s="1112"/>
      <c r="B283" s="163" t="s">
        <v>2427</v>
      </c>
      <c r="C283" s="131">
        <v>20.0</v>
      </c>
      <c r="D283" s="164">
        <f t="shared" ref="D283:D312" si="25">(C283*D282)/C282</f>
        <v>106</v>
      </c>
      <c r="E283" s="1731"/>
      <c r="F283" s="169" t="s">
        <v>14</v>
      </c>
      <c r="G283" s="194" t="s">
        <v>2512</v>
      </c>
      <c r="H283" s="1"/>
      <c r="I283" s="1"/>
      <c r="J283" s="1"/>
      <c r="K283" s="1"/>
      <c r="L283" s="1"/>
      <c r="M283" s="1"/>
      <c r="N283" s="1"/>
      <c r="O283" s="1"/>
      <c r="P283" s="1"/>
      <c r="Q283" s="1"/>
      <c r="R283" s="1"/>
      <c r="S283" s="1"/>
    </row>
    <row r="284" ht="14.25" customHeight="1">
      <c r="A284" s="1112"/>
      <c r="B284" s="177" t="s">
        <v>2514</v>
      </c>
      <c r="C284" s="160">
        <v>10.0</v>
      </c>
      <c r="D284" s="201">
        <f t="shared" si="25"/>
        <v>53</v>
      </c>
      <c r="E284" s="1735"/>
      <c r="F284" s="204" t="s">
        <v>14</v>
      </c>
      <c r="G284" s="63"/>
      <c r="H284" s="1"/>
      <c r="I284" s="1"/>
      <c r="J284" s="1"/>
      <c r="K284" s="1"/>
      <c r="L284" s="1"/>
      <c r="M284" s="1"/>
      <c r="N284" s="1"/>
      <c r="O284" s="1"/>
      <c r="P284" s="1"/>
      <c r="Q284" s="1"/>
      <c r="R284" s="1"/>
      <c r="S284" s="1"/>
    </row>
    <row r="285" ht="14.25" customHeight="1">
      <c r="A285" s="1112"/>
      <c r="B285" s="177" t="s">
        <v>2515</v>
      </c>
      <c r="C285" s="160">
        <v>10.0</v>
      </c>
      <c r="D285" s="201">
        <f t="shared" si="25"/>
        <v>53</v>
      </c>
      <c r="E285" s="1735"/>
      <c r="F285" s="204" t="s">
        <v>14</v>
      </c>
      <c r="G285" s="63"/>
      <c r="H285" s="1"/>
      <c r="I285" s="1"/>
      <c r="J285" s="1"/>
      <c r="K285" s="1"/>
      <c r="L285" s="1"/>
      <c r="M285" s="1"/>
      <c r="N285" s="1"/>
      <c r="O285" s="1"/>
      <c r="P285" s="1"/>
      <c r="Q285" s="1"/>
      <c r="R285" s="1"/>
      <c r="S285" s="1"/>
    </row>
    <row r="286" ht="14.25" customHeight="1">
      <c r="A286" s="1112"/>
      <c r="B286" s="177" t="s">
        <v>2569</v>
      </c>
      <c r="C286" s="160">
        <v>10.0</v>
      </c>
      <c r="D286" s="201">
        <f t="shared" si="25"/>
        <v>53</v>
      </c>
      <c r="E286" s="1735"/>
      <c r="F286" s="204" t="s">
        <v>14</v>
      </c>
      <c r="G286" s="63"/>
      <c r="H286" s="1"/>
      <c r="I286" s="1"/>
      <c r="J286" s="1"/>
      <c r="K286" s="1"/>
      <c r="L286" s="1"/>
      <c r="M286" s="1"/>
      <c r="N286" s="1"/>
      <c r="O286" s="1"/>
      <c r="P286" s="1"/>
      <c r="Q286" s="1"/>
      <c r="R286" s="1"/>
      <c r="S286" s="1"/>
    </row>
    <row r="287" ht="14.25" customHeight="1">
      <c r="A287" s="1112"/>
      <c r="B287" s="177" t="s">
        <v>329</v>
      </c>
      <c r="C287" s="160">
        <v>10.0</v>
      </c>
      <c r="D287" s="201">
        <f t="shared" si="25"/>
        <v>53</v>
      </c>
      <c r="E287" s="1735"/>
      <c r="F287" s="204" t="s">
        <v>14</v>
      </c>
      <c r="G287" s="63"/>
      <c r="H287" s="1"/>
      <c r="I287" s="1"/>
      <c r="J287" s="1"/>
      <c r="K287" s="1"/>
      <c r="L287" s="1"/>
      <c r="M287" s="1"/>
      <c r="N287" s="1"/>
      <c r="O287" s="1"/>
      <c r="P287" s="1"/>
      <c r="Q287" s="1"/>
      <c r="R287" s="1"/>
      <c r="S287" s="1"/>
    </row>
    <row r="288" ht="14.25" customHeight="1">
      <c r="A288" s="1112"/>
      <c r="B288" s="262" t="s">
        <v>1023</v>
      </c>
      <c r="C288" s="1360">
        <v>15.0</v>
      </c>
      <c r="D288" s="265">
        <f t="shared" si="25"/>
        <v>79.5</v>
      </c>
      <c r="E288" s="2164"/>
      <c r="F288" s="267" t="s">
        <v>14</v>
      </c>
      <c r="G288" s="102"/>
      <c r="H288" s="1"/>
      <c r="I288" s="1"/>
      <c r="J288" s="1"/>
      <c r="K288" s="1"/>
      <c r="L288" s="1"/>
      <c r="M288" s="1"/>
      <c r="N288" s="1"/>
      <c r="O288" s="1"/>
      <c r="P288" s="1"/>
      <c r="Q288" s="1"/>
      <c r="R288" s="1"/>
      <c r="S288" s="1"/>
    </row>
    <row r="289" ht="14.25" customHeight="1">
      <c r="A289" s="1112"/>
      <c r="B289" s="163" t="s">
        <v>91</v>
      </c>
      <c r="C289" s="131">
        <v>3.0</v>
      </c>
      <c r="D289" s="164">
        <f t="shared" si="25"/>
        <v>15.9</v>
      </c>
      <c r="E289" s="1731"/>
      <c r="F289" s="169" t="s">
        <v>5</v>
      </c>
      <c r="G289" s="194" t="s">
        <v>2520</v>
      </c>
      <c r="H289" s="1"/>
      <c r="I289" s="1"/>
      <c r="J289" s="1"/>
      <c r="K289" s="1"/>
      <c r="L289" s="1"/>
      <c r="M289" s="1"/>
      <c r="N289" s="1"/>
      <c r="O289" s="1"/>
      <c r="P289" s="1"/>
      <c r="Q289" s="1"/>
      <c r="R289" s="1"/>
      <c r="S289" s="1"/>
    </row>
    <row r="290" ht="14.25" customHeight="1">
      <c r="A290" s="1112"/>
      <c r="B290" s="177" t="s">
        <v>2793</v>
      </c>
      <c r="C290" s="160">
        <v>200.0</v>
      </c>
      <c r="D290" s="201">
        <f t="shared" si="25"/>
        <v>1060</v>
      </c>
      <c r="E290" s="1735"/>
      <c r="F290" s="204" t="s">
        <v>18</v>
      </c>
      <c r="G290" s="63"/>
      <c r="H290" s="1"/>
      <c r="I290" s="1"/>
      <c r="J290" s="1"/>
      <c r="K290" s="1"/>
      <c r="L290" s="1"/>
      <c r="M290" s="1"/>
      <c r="N290" s="1"/>
      <c r="O290" s="1"/>
      <c r="P290" s="1"/>
      <c r="Q290" s="1"/>
      <c r="R290" s="1"/>
      <c r="S290" s="1"/>
    </row>
    <row r="291" ht="14.25" customHeight="1">
      <c r="A291" s="1112"/>
      <c r="B291" s="177" t="s">
        <v>103</v>
      </c>
      <c r="C291" s="160">
        <v>100.0</v>
      </c>
      <c r="D291" s="201">
        <f t="shared" si="25"/>
        <v>530</v>
      </c>
      <c r="E291" s="1735"/>
      <c r="F291" s="204" t="s">
        <v>18</v>
      </c>
      <c r="G291" s="63"/>
      <c r="H291" s="1"/>
      <c r="I291" s="1"/>
      <c r="J291" s="1"/>
      <c r="K291" s="1"/>
      <c r="L291" s="1"/>
      <c r="M291" s="1"/>
      <c r="N291" s="1"/>
      <c r="O291" s="1"/>
      <c r="P291" s="1"/>
      <c r="Q291" s="1"/>
      <c r="R291" s="1"/>
      <c r="S291" s="1"/>
    </row>
    <row r="292" ht="14.25" customHeight="1">
      <c r="A292" s="1112"/>
      <c r="B292" s="177" t="s">
        <v>101</v>
      </c>
      <c r="C292" s="160">
        <v>1.25</v>
      </c>
      <c r="D292" s="201">
        <f t="shared" si="25"/>
        <v>6.625</v>
      </c>
      <c r="E292" s="1735"/>
      <c r="F292" s="204" t="s">
        <v>5</v>
      </c>
      <c r="G292" s="63"/>
      <c r="H292" s="1"/>
      <c r="I292" s="1"/>
      <c r="J292" s="1"/>
      <c r="K292" s="1"/>
      <c r="L292" s="1"/>
      <c r="M292" s="1"/>
      <c r="N292" s="1"/>
      <c r="O292" s="1"/>
      <c r="P292" s="1"/>
      <c r="Q292" s="1"/>
      <c r="R292" s="1"/>
      <c r="S292" s="1"/>
    </row>
    <row r="293" ht="14.25" customHeight="1">
      <c r="A293" s="1112"/>
      <c r="B293" s="177" t="s">
        <v>2522</v>
      </c>
      <c r="C293" s="160">
        <v>500.0</v>
      </c>
      <c r="D293" s="201">
        <f t="shared" si="25"/>
        <v>2650</v>
      </c>
      <c r="E293" s="1735"/>
      <c r="F293" s="204" t="s">
        <v>18</v>
      </c>
      <c r="G293" s="63"/>
      <c r="H293" s="1"/>
      <c r="I293" s="1"/>
      <c r="J293" s="1"/>
      <c r="K293" s="1"/>
      <c r="L293" s="1"/>
      <c r="M293" s="1"/>
      <c r="N293" s="1"/>
      <c r="O293" s="1"/>
      <c r="P293" s="1"/>
      <c r="Q293" s="1"/>
      <c r="R293" s="1"/>
      <c r="S293" s="1"/>
    </row>
    <row r="294" ht="14.25" customHeight="1">
      <c r="A294" s="1112"/>
      <c r="B294" s="177" t="s">
        <v>92</v>
      </c>
      <c r="C294" s="160">
        <v>750.0</v>
      </c>
      <c r="D294" s="201">
        <f t="shared" si="25"/>
        <v>3975</v>
      </c>
      <c r="E294" s="1735"/>
      <c r="F294" s="204" t="s">
        <v>18</v>
      </c>
      <c r="G294" s="63"/>
      <c r="H294" s="1"/>
      <c r="I294" s="1"/>
      <c r="J294" s="1"/>
      <c r="K294" s="1"/>
      <c r="L294" s="1"/>
      <c r="M294" s="1"/>
      <c r="N294" s="1"/>
      <c r="O294" s="1"/>
      <c r="P294" s="1"/>
      <c r="Q294" s="1"/>
      <c r="R294" s="1"/>
      <c r="S294" s="1"/>
    </row>
    <row r="295" ht="14.25" customHeight="1">
      <c r="A295" s="1112"/>
      <c r="B295" s="262" t="s">
        <v>52</v>
      </c>
      <c r="C295" s="1360">
        <v>200.0</v>
      </c>
      <c r="D295" s="265">
        <f t="shared" si="25"/>
        <v>1060</v>
      </c>
      <c r="E295" s="2164"/>
      <c r="F295" s="267" t="s">
        <v>18</v>
      </c>
      <c r="G295" s="102"/>
      <c r="H295" s="1"/>
      <c r="I295" s="1"/>
      <c r="J295" s="1"/>
      <c r="K295" s="1"/>
      <c r="L295" s="1"/>
      <c r="M295" s="1"/>
      <c r="N295" s="1"/>
      <c r="O295" s="1"/>
      <c r="P295" s="1"/>
      <c r="Q295" s="1"/>
      <c r="R295" s="1"/>
      <c r="S295" s="1"/>
    </row>
    <row r="296" ht="14.25" customHeight="1">
      <c r="A296" s="1112"/>
      <c r="B296" s="163" t="s">
        <v>321</v>
      </c>
      <c r="C296" s="131">
        <v>300.0</v>
      </c>
      <c r="D296" s="164">
        <f t="shared" si="25"/>
        <v>1590</v>
      </c>
      <c r="E296" s="1731"/>
      <c r="F296" s="169" t="s">
        <v>18</v>
      </c>
      <c r="G296" s="140" t="s">
        <v>2524</v>
      </c>
      <c r="H296" s="1"/>
      <c r="I296" s="1"/>
      <c r="J296" s="1"/>
      <c r="K296" s="1"/>
      <c r="L296" s="1"/>
      <c r="M296" s="1"/>
      <c r="N296" s="1"/>
      <c r="O296" s="1"/>
      <c r="P296" s="1"/>
      <c r="Q296" s="1"/>
      <c r="R296" s="1"/>
      <c r="S296" s="1"/>
    </row>
    <row r="297" ht="14.25" customHeight="1">
      <c r="A297" s="1"/>
      <c r="B297" s="177" t="s">
        <v>2525</v>
      </c>
      <c r="C297" s="160">
        <v>30.0</v>
      </c>
      <c r="D297" s="201">
        <f t="shared" si="25"/>
        <v>159</v>
      </c>
      <c r="E297" s="1735"/>
      <c r="F297" s="204" t="s">
        <v>18</v>
      </c>
      <c r="H297" s="1"/>
      <c r="I297" s="1"/>
      <c r="J297" s="1"/>
      <c r="K297" s="1"/>
      <c r="L297" s="1"/>
      <c r="M297" s="1"/>
      <c r="N297" s="1"/>
      <c r="O297" s="1"/>
      <c r="P297" s="1"/>
      <c r="Q297" s="1"/>
      <c r="R297" s="1"/>
      <c r="S297" s="1"/>
    </row>
    <row r="298" ht="14.25" customHeight="1">
      <c r="A298" s="1"/>
      <c r="B298" s="177" t="s">
        <v>2526</v>
      </c>
      <c r="C298" s="160">
        <v>25.0</v>
      </c>
      <c r="D298" s="201">
        <f t="shared" si="25"/>
        <v>132.5</v>
      </c>
      <c r="E298" s="1735"/>
      <c r="F298" s="204" t="s">
        <v>18</v>
      </c>
      <c r="H298" s="1"/>
      <c r="I298" s="1"/>
      <c r="J298" s="1"/>
      <c r="K298" s="1"/>
      <c r="L298" s="1"/>
      <c r="M298" s="1"/>
      <c r="N298" s="1"/>
      <c r="O298" s="1"/>
      <c r="P298" s="1"/>
      <c r="Q298" s="1"/>
      <c r="R298" s="1"/>
      <c r="S298" s="1"/>
    </row>
    <row r="299" ht="14.25" customHeight="1">
      <c r="A299" s="1"/>
      <c r="B299" s="177" t="s">
        <v>2528</v>
      </c>
      <c r="C299" s="160">
        <v>50.0</v>
      </c>
      <c r="D299" s="201">
        <f t="shared" si="25"/>
        <v>265</v>
      </c>
      <c r="E299" s="1735"/>
      <c r="F299" s="204" t="s">
        <v>18</v>
      </c>
      <c r="H299" s="1"/>
      <c r="I299" s="1"/>
      <c r="J299" s="1"/>
      <c r="K299" s="1"/>
      <c r="L299" s="1"/>
      <c r="M299" s="1"/>
      <c r="N299" s="1"/>
      <c r="O299" s="1"/>
      <c r="P299" s="1"/>
      <c r="Q299" s="1"/>
      <c r="R299" s="1"/>
      <c r="S299" s="1"/>
    </row>
    <row r="300" ht="14.25" customHeight="1">
      <c r="A300" s="1"/>
      <c r="B300" s="177" t="s">
        <v>350</v>
      </c>
      <c r="C300" s="160">
        <v>3.0</v>
      </c>
      <c r="D300" s="201">
        <f t="shared" si="25"/>
        <v>15.9</v>
      </c>
      <c r="E300" s="1735"/>
      <c r="F300" s="2274" t="s">
        <v>14</v>
      </c>
      <c r="H300" s="1"/>
      <c r="I300" s="1"/>
      <c r="J300" s="1"/>
      <c r="K300" s="1"/>
      <c r="L300" s="1"/>
      <c r="M300" s="1"/>
      <c r="N300" s="1"/>
      <c r="O300" s="1"/>
      <c r="P300" s="1"/>
      <c r="Q300" s="1"/>
      <c r="R300" s="1"/>
      <c r="S300" s="1"/>
    </row>
    <row r="301" ht="14.25" customHeight="1">
      <c r="A301" s="1112"/>
      <c r="B301" s="177" t="s">
        <v>2796</v>
      </c>
      <c r="C301" s="160">
        <v>12.0</v>
      </c>
      <c r="D301" s="201">
        <f t="shared" si="25"/>
        <v>63.6</v>
      </c>
      <c r="E301" s="1735"/>
      <c r="F301" s="2274" t="s">
        <v>9</v>
      </c>
      <c r="H301" s="1"/>
      <c r="I301" s="1"/>
      <c r="J301" s="1"/>
      <c r="K301" s="1"/>
      <c r="L301" s="1"/>
      <c r="M301" s="1"/>
      <c r="N301" s="1"/>
      <c r="O301" s="1"/>
      <c r="P301" s="1"/>
      <c r="Q301" s="1"/>
      <c r="R301" s="1"/>
      <c r="S301" s="1"/>
    </row>
    <row r="302" ht="14.25" customHeight="1">
      <c r="A302" s="1112"/>
      <c r="B302" s="177" t="s">
        <v>2530</v>
      </c>
      <c r="C302" s="160">
        <v>1000.0</v>
      </c>
      <c r="D302" s="201">
        <f t="shared" si="25"/>
        <v>5300</v>
      </c>
      <c r="E302" s="1735"/>
      <c r="F302" s="204" t="s">
        <v>18</v>
      </c>
      <c r="H302" s="1"/>
      <c r="I302" s="1"/>
      <c r="J302" s="1"/>
      <c r="K302" s="1"/>
      <c r="L302" s="1"/>
      <c r="M302" s="1"/>
      <c r="N302" s="1"/>
      <c r="O302" s="1"/>
      <c r="P302" s="1"/>
      <c r="Q302" s="1"/>
      <c r="R302" s="1"/>
      <c r="S302" s="1"/>
    </row>
    <row r="303" ht="14.25" customHeight="1">
      <c r="A303" s="1112"/>
      <c r="B303" s="208" t="s">
        <v>2531</v>
      </c>
      <c r="C303" s="167">
        <v>500.0</v>
      </c>
      <c r="D303" s="257">
        <f t="shared" si="25"/>
        <v>2650</v>
      </c>
      <c r="E303" s="1738"/>
      <c r="F303" s="212" t="s">
        <v>18</v>
      </c>
      <c r="G303" s="104"/>
      <c r="H303" s="1"/>
      <c r="I303" s="1"/>
      <c r="J303" s="1"/>
      <c r="K303" s="1"/>
      <c r="L303" s="1"/>
      <c r="M303" s="1"/>
      <c r="N303" s="1"/>
      <c r="O303" s="1"/>
      <c r="P303" s="1"/>
      <c r="Q303" s="1"/>
      <c r="R303" s="1"/>
      <c r="S303" s="1"/>
    </row>
    <row r="304" ht="14.25" customHeight="1">
      <c r="A304" s="1112"/>
      <c r="B304" s="325" t="s">
        <v>2533</v>
      </c>
      <c r="C304" s="368">
        <v>15.0</v>
      </c>
      <c r="D304" s="1362">
        <f t="shared" si="25"/>
        <v>79.5</v>
      </c>
      <c r="E304" s="2186"/>
      <c r="F304" s="338" t="s">
        <v>14</v>
      </c>
      <c r="G304" s="493"/>
      <c r="H304" s="1"/>
      <c r="I304" s="1"/>
      <c r="J304" s="1"/>
      <c r="K304" s="1"/>
      <c r="L304" s="1"/>
      <c r="M304" s="1"/>
      <c r="N304" s="1"/>
      <c r="O304" s="1"/>
      <c r="P304" s="1"/>
      <c r="Q304" s="1"/>
      <c r="R304" s="1"/>
      <c r="S304" s="1"/>
    </row>
    <row r="305" ht="14.25" customHeight="1">
      <c r="A305" s="1112"/>
      <c r="B305" s="157" t="s">
        <v>1027</v>
      </c>
      <c r="C305" s="174">
        <v>150.0</v>
      </c>
      <c r="D305" s="158">
        <f t="shared" si="25"/>
        <v>795</v>
      </c>
      <c r="E305" s="1998"/>
      <c r="F305" s="159" t="s">
        <v>18</v>
      </c>
      <c r="G305" s="194" t="s">
        <v>2797</v>
      </c>
      <c r="H305" s="1"/>
      <c r="I305" s="1"/>
      <c r="J305" s="1"/>
      <c r="K305" s="1"/>
      <c r="L305" s="1"/>
      <c r="M305" s="1"/>
      <c r="N305" s="1"/>
      <c r="O305" s="1"/>
      <c r="P305" s="1"/>
      <c r="Q305" s="1"/>
      <c r="R305" s="1"/>
      <c r="S305" s="1"/>
    </row>
    <row r="306" ht="14.25" customHeight="1">
      <c r="A306" s="1112"/>
      <c r="B306" s="177" t="s">
        <v>105</v>
      </c>
      <c r="C306" s="160">
        <v>100.0</v>
      </c>
      <c r="D306" s="158">
        <f t="shared" si="25"/>
        <v>530</v>
      </c>
      <c r="E306" s="1998"/>
      <c r="F306" s="204" t="s">
        <v>18</v>
      </c>
      <c r="G306" s="63"/>
      <c r="H306" s="1"/>
      <c r="I306" s="1"/>
      <c r="J306" s="1"/>
      <c r="K306" s="1"/>
      <c r="L306" s="1"/>
      <c r="M306" s="1"/>
      <c r="N306" s="1"/>
      <c r="O306" s="1"/>
      <c r="P306" s="1"/>
      <c r="Q306" s="1"/>
      <c r="R306" s="1"/>
      <c r="S306" s="1"/>
    </row>
    <row r="307" ht="14.25" customHeight="1">
      <c r="A307" s="1112"/>
      <c r="B307" s="177" t="s">
        <v>160</v>
      </c>
      <c r="C307" s="160">
        <v>100.0</v>
      </c>
      <c r="D307" s="158">
        <f t="shared" si="25"/>
        <v>530</v>
      </c>
      <c r="E307" s="1998"/>
      <c r="F307" s="204" t="s">
        <v>18</v>
      </c>
      <c r="G307" s="63"/>
      <c r="H307" s="1"/>
      <c r="I307" s="1"/>
      <c r="J307" s="1"/>
      <c r="K307" s="1"/>
      <c r="L307" s="1"/>
      <c r="M307" s="1"/>
      <c r="N307" s="1"/>
      <c r="O307" s="1"/>
      <c r="P307" s="1"/>
      <c r="Q307" s="1"/>
      <c r="R307" s="1"/>
      <c r="S307" s="1"/>
    </row>
    <row r="308" ht="14.25" customHeight="1">
      <c r="A308" s="1112"/>
      <c r="B308" s="177" t="s">
        <v>13</v>
      </c>
      <c r="C308" s="160">
        <v>1.5</v>
      </c>
      <c r="D308" s="158">
        <f t="shared" si="25"/>
        <v>7.95</v>
      </c>
      <c r="E308" s="1998"/>
      <c r="F308" s="204" t="s">
        <v>14</v>
      </c>
      <c r="G308" s="63"/>
      <c r="H308" s="1"/>
      <c r="I308" s="1"/>
      <c r="J308" s="1"/>
      <c r="K308" s="1"/>
      <c r="L308" s="1"/>
      <c r="M308" s="1"/>
      <c r="N308" s="1"/>
      <c r="O308" s="1"/>
      <c r="P308" s="1"/>
      <c r="Q308" s="1"/>
      <c r="R308" s="1"/>
      <c r="S308" s="1"/>
    </row>
    <row r="309" ht="14.25" customHeight="1">
      <c r="A309" s="1112"/>
      <c r="B309" s="177" t="s">
        <v>31</v>
      </c>
      <c r="C309" s="160">
        <v>1200.0</v>
      </c>
      <c r="D309" s="201">
        <f t="shared" si="25"/>
        <v>6360</v>
      </c>
      <c r="E309" s="1735"/>
      <c r="F309" s="204" t="s">
        <v>18</v>
      </c>
      <c r="G309" s="63"/>
      <c r="H309" s="1"/>
      <c r="I309" s="1"/>
      <c r="J309" s="1"/>
      <c r="K309" s="1"/>
      <c r="L309" s="1"/>
      <c r="M309" s="1"/>
      <c r="N309" s="1"/>
      <c r="O309" s="1"/>
      <c r="P309" s="1"/>
      <c r="Q309" s="1"/>
      <c r="R309" s="1"/>
      <c r="S309" s="1"/>
    </row>
    <row r="310" ht="14.25" customHeight="1">
      <c r="A310" s="1112"/>
      <c r="B310" s="262" t="s">
        <v>288</v>
      </c>
      <c r="C310" s="1360">
        <v>100.0</v>
      </c>
      <c r="D310" s="253">
        <f t="shared" si="25"/>
        <v>530</v>
      </c>
      <c r="E310" s="1760"/>
      <c r="F310" s="267" t="s">
        <v>18</v>
      </c>
      <c r="G310" s="102"/>
      <c r="H310" s="2475"/>
      <c r="I310" s="1"/>
      <c r="J310" s="1"/>
      <c r="K310" s="1"/>
      <c r="L310" s="1"/>
      <c r="M310" s="1"/>
      <c r="N310" s="1"/>
      <c r="O310" s="1"/>
      <c r="P310" s="1"/>
      <c r="Q310" s="1"/>
      <c r="R310" s="1"/>
      <c r="S310" s="1"/>
    </row>
    <row r="311" ht="14.25" customHeight="1">
      <c r="A311" s="1112"/>
      <c r="B311" s="126" t="s">
        <v>1481</v>
      </c>
      <c r="C311" s="2315">
        <v>5.0</v>
      </c>
      <c r="D311" s="128">
        <f t="shared" si="25"/>
        <v>26.5</v>
      </c>
      <c r="E311" s="2319"/>
      <c r="F311" s="130" t="s">
        <v>5</v>
      </c>
      <c r="G311" s="1862"/>
      <c r="H311" s="1"/>
      <c r="I311" s="1"/>
      <c r="J311" s="1"/>
      <c r="K311" s="1"/>
      <c r="L311" s="1"/>
      <c r="M311" s="1"/>
      <c r="N311" s="1"/>
      <c r="O311" s="1"/>
      <c r="P311" s="1"/>
      <c r="Q311" s="1"/>
      <c r="R311" s="1"/>
      <c r="S311" s="1"/>
    </row>
    <row r="312" ht="14.25" customHeight="1">
      <c r="A312" s="1112"/>
      <c r="B312" s="208" t="s">
        <v>213</v>
      </c>
      <c r="C312" s="167">
        <v>3.0</v>
      </c>
      <c r="D312" s="257">
        <f t="shared" si="25"/>
        <v>15.9</v>
      </c>
      <c r="E312" s="1738"/>
      <c r="F312" s="212" t="s">
        <v>5</v>
      </c>
      <c r="G312" s="1946"/>
      <c r="H312" s="1"/>
      <c r="I312" s="1"/>
      <c r="J312" s="1"/>
      <c r="K312" s="1"/>
      <c r="L312" s="1"/>
      <c r="M312" s="1"/>
      <c r="N312" s="1"/>
      <c r="O312" s="1"/>
      <c r="P312" s="1"/>
      <c r="Q312" s="1"/>
      <c r="R312" s="1"/>
      <c r="S312" s="1"/>
    </row>
    <row r="313" ht="14.25" customHeight="1">
      <c r="A313" s="1112"/>
      <c r="B313" s="2275" t="s">
        <v>119</v>
      </c>
      <c r="C313" s="1446" t="s">
        <v>47</v>
      </c>
      <c r="D313" s="184"/>
      <c r="E313" s="184"/>
      <c r="F313" s="1"/>
      <c r="G313" s="1"/>
      <c r="H313" s="1"/>
      <c r="I313" s="1"/>
      <c r="J313" s="1"/>
      <c r="K313" s="1"/>
      <c r="L313" s="1"/>
      <c r="M313" s="1"/>
      <c r="N313" s="1"/>
      <c r="O313" s="1"/>
      <c r="P313" s="1"/>
      <c r="Q313" s="1"/>
      <c r="R313" s="1"/>
      <c r="S313" s="1"/>
    </row>
    <row r="314" ht="14.25" customHeight="1">
      <c r="A314" s="1112"/>
      <c r="B314" s="663" t="s">
        <v>502</v>
      </c>
      <c r="C314" s="625">
        <v>40756.0</v>
      </c>
      <c r="D314" s="184"/>
      <c r="E314" s="184"/>
      <c r="F314" s="1"/>
      <c r="G314" s="1"/>
      <c r="H314" s="1"/>
      <c r="I314" s="1"/>
      <c r="J314" s="1"/>
      <c r="K314" s="1"/>
      <c r="L314" s="1"/>
      <c r="M314" s="1"/>
      <c r="N314" s="1"/>
      <c r="O314" s="1"/>
      <c r="P314" s="1"/>
      <c r="Q314" s="1"/>
      <c r="R314" s="1"/>
      <c r="S314" s="1"/>
    </row>
    <row r="315" ht="14.25" customHeight="1">
      <c r="A315" s="1112"/>
      <c r="B315" s="2325"/>
      <c r="C315" s="2326"/>
      <c r="D315" s="184"/>
      <c r="E315" s="184"/>
      <c r="F315" s="1"/>
      <c r="G315" s="1"/>
      <c r="H315" s="1"/>
      <c r="I315" s="1"/>
      <c r="J315" s="1"/>
      <c r="K315" s="1"/>
      <c r="L315" s="1"/>
      <c r="M315" s="1"/>
      <c r="N315" s="1"/>
      <c r="O315" s="1"/>
      <c r="P315" s="1"/>
      <c r="Q315" s="1"/>
      <c r="R315" s="1"/>
      <c r="S315" s="1"/>
    </row>
    <row r="316" ht="14.25" customHeight="1">
      <c r="A316" s="1112"/>
      <c r="B316" s="1"/>
      <c r="C316" s="107"/>
      <c r="D316" s="184"/>
      <c r="E316" s="184"/>
      <c r="F316" s="1"/>
      <c r="G316" s="1112"/>
      <c r="H316" s="1"/>
      <c r="I316" s="1"/>
      <c r="J316" s="1"/>
      <c r="K316" s="1"/>
      <c r="L316" s="1"/>
      <c r="M316" s="1"/>
      <c r="N316" s="1"/>
      <c r="O316" s="1"/>
      <c r="P316" s="1"/>
      <c r="Q316" s="1"/>
      <c r="R316" s="1"/>
      <c r="S316" s="1"/>
    </row>
    <row r="317" ht="14.25" customHeight="1">
      <c r="A317" s="1112"/>
      <c r="B317" s="511" t="s">
        <v>2801</v>
      </c>
      <c r="C317" s="18"/>
      <c r="D317" s="18"/>
      <c r="E317" s="18"/>
      <c r="F317" s="19"/>
      <c r="G317" s="2484" t="s">
        <v>661</v>
      </c>
      <c r="H317" s="1"/>
      <c r="I317" s="1"/>
      <c r="J317" s="1"/>
      <c r="K317" s="1"/>
      <c r="L317" s="1"/>
      <c r="M317" s="1"/>
      <c r="N317" s="1"/>
      <c r="O317" s="1"/>
      <c r="P317" s="1"/>
      <c r="Q317" s="1"/>
      <c r="R317" s="1"/>
      <c r="S317" s="1"/>
    </row>
    <row r="318" ht="14.25" customHeight="1">
      <c r="A318" s="1112"/>
      <c r="B318" s="68" t="s">
        <v>2804</v>
      </c>
      <c r="C318" s="145">
        <v>18.0</v>
      </c>
      <c r="D318" s="155">
        <v>5.0</v>
      </c>
      <c r="E318" s="899"/>
      <c r="F318" s="216" t="s">
        <v>14</v>
      </c>
      <c r="G318" s="44" t="s">
        <v>2805</v>
      </c>
      <c r="H318" s="1"/>
      <c r="I318" s="1"/>
      <c r="J318" s="1"/>
      <c r="K318" s="1"/>
      <c r="L318" s="1"/>
      <c r="M318" s="1"/>
      <c r="N318" s="1"/>
      <c r="O318" s="1"/>
      <c r="P318" s="1"/>
      <c r="Q318" s="1"/>
      <c r="R318" s="1"/>
      <c r="S318" s="1"/>
    </row>
    <row r="319" ht="14.25" customHeight="1">
      <c r="A319" s="1112"/>
      <c r="B319" s="93" t="s">
        <v>329</v>
      </c>
      <c r="C319" s="195">
        <v>8.0</v>
      </c>
      <c r="D319" s="78">
        <v>0.0</v>
      </c>
      <c r="E319" s="900"/>
      <c r="F319" s="249" t="s">
        <v>14</v>
      </c>
      <c r="G319" s="47"/>
      <c r="H319" s="1"/>
      <c r="I319" s="1"/>
      <c r="J319" s="1"/>
      <c r="K319" s="1"/>
      <c r="L319" s="1"/>
      <c r="M319" s="1"/>
      <c r="N319" s="1"/>
      <c r="O319" s="1"/>
      <c r="P319" s="1"/>
      <c r="Q319" s="1"/>
      <c r="R319" s="1"/>
      <c r="S319" s="1"/>
    </row>
    <row r="320" ht="14.25" customHeight="1">
      <c r="A320" s="1112"/>
      <c r="B320" s="93" t="s">
        <v>1161</v>
      </c>
      <c r="C320" s="195">
        <v>10.0</v>
      </c>
      <c r="D320" s="78">
        <v>8.0</v>
      </c>
      <c r="E320" s="900"/>
      <c r="F320" s="249" t="s">
        <v>14</v>
      </c>
      <c r="G320" s="47"/>
      <c r="H320" s="1"/>
      <c r="I320" s="1"/>
      <c r="J320" s="1"/>
      <c r="K320" s="1"/>
      <c r="L320" s="1"/>
      <c r="M320" s="1"/>
      <c r="N320" s="1"/>
      <c r="O320" s="1"/>
      <c r="P320" s="1"/>
      <c r="Q320" s="1"/>
      <c r="R320" s="1"/>
      <c r="S320" s="1"/>
    </row>
    <row r="321" ht="14.25" customHeight="1">
      <c r="A321" s="1112"/>
      <c r="B321" s="105" t="s">
        <v>2811</v>
      </c>
      <c r="C321" s="200">
        <f t="shared" ref="C321:D321" si="26">+C318+C319*1.25+C320*0.85</f>
        <v>36.5</v>
      </c>
      <c r="D321" s="56">
        <f t="shared" si="26"/>
        <v>11.8</v>
      </c>
      <c r="E321" s="1604"/>
      <c r="F321" s="518" t="s">
        <v>14</v>
      </c>
      <c r="G321" s="76"/>
      <c r="H321" s="1"/>
      <c r="I321" s="1"/>
      <c r="J321" s="1"/>
      <c r="K321" s="1"/>
      <c r="L321" s="1"/>
      <c r="M321" s="1"/>
      <c r="N321" s="1"/>
      <c r="O321" s="1"/>
      <c r="P321" s="1"/>
      <c r="Q321" s="1"/>
      <c r="R321" s="1"/>
      <c r="S321" s="1"/>
    </row>
    <row r="322" ht="14.25" customHeight="1">
      <c r="A322" s="1112"/>
      <c r="B322" s="1356" t="s">
        <v>1</v>
      </c>
      <c r="C322" s="2501">
        <v>100.0</v>
      </c>
      <c r="D322" s="2502">
        <v>48.0</v>
      </c>
      <c r="E322" s="2503"/>
      <c r="F322" s="1358" t="s">
        <v>5</v>
      </c>
      <c r="G322" s="922"/>
      <c r="H322" s="1"/>
      <c r="I322" s="1"/>
      <c r="J322" s="1"/>
      <c r="K322" s="1"/>
      <c r="L322" s="1"/>
      <c r="M322" s="1"/>
      <c r="N322" s="1"/>
      <c r="O322" s="1"/>
      <c r="P322" s="1"/>
      <c r="Q322" s="1"/>
      <c r="R322" s="1"/>
      <c r="S322" s="1"/>
    </row>
    <row r="323" ht="14.25" customHeight="1">
      <c r="A323" s="1112"/>
      <c r="B323" s="68" t="s">
        <v>91</v>
      </c>
      <c r="C323" s="145">
        <v>2.0</v>
      </c>
      <c r="D323" s="155">
        <f t="shared" ref="D323:D342" si="27">(C323*D322)/C322</f>
        <v>0.96</v>
      </c>
      <c r="E323" s="899"/>
      <c r="F323" s="216" t="s">
        <v>5</v>
      </c>
      <c r="G323" s="44" t="s">
        <v>2822</v>
      </c>
      <c r="H323" s="1"/>
      <c r="I323" s="1"/>
      <c r="J323" s="1"/>
      <c r="K323" s="1"/>
      <c r="L323" s="1"/>
      <c r="M323" s="1"/>
      <c r="N323" s="1"/>
      <c r="O323" s="1"/>
      <c r="P323" s="1"/>
      <c r="Q323" s="1"/>
      <c r="R323" s="1"/>
      <c r="S323" s="1"/>
    </row>
    <row r="324" ht="14.25" customHeight="1">
      <c r="A324" s="1112"/>
      <c r="B324" s="93" t="s">
        <v>97</v>
      </c>
      <c r="C324" s="195">
        <v>125.0</v>
      </c>
      <c r="D324" s="78">
        <f t="shared" si="27"/>
        <v>60</v>
      </c>
      <c r="E324" s="900"/>
      <c r="F324" s="249" t="s">
        <v>18</v>
      </c>
      <c r="G324" s="47"/>
      <c r="H324" s="1"/>
      <c r="I324" s="1"/>
      <c r="J324" s="1"/>
      <c r="K324" s="1"/>
      <c r="L324" s="1"/>
      <c r="M324" s="1"/>
      <c r="N324" s="1"/>
      <c r="O324" s="1"/>
      <c r="P324" s="1"/>
      <c r="Q324" s="1"/>
      <c r="R324" s="1"/>
      <c r="S324" s="1"/>
    </row>
    <row r="325" ht="14.25" customHeight="1">
      <c r="A325" s="1112"/>
      <c r="B325" s="93" t="s">
        <v>98</v>
      </c>
      <c r="C325" s="195">
        <v>200.0</v>
      </c>
      <c r="D325" s="78">
        <f t="shared" si="27"/>
        <v>96</v>
      </c>
      <c r="E325" s="900"/>
      <c r="F325" s="249" t="s">
        <v>18</v>
      </c>
      <c r="G325" s="47"/>
      <c r="H325" s="1"/>
      <c r="I325" s="1"/>
      <c r="J325" s="1"/>
      <c r="K325" s="1"/>
      <c r="L325" s="1"/>
      <c r="M325" s="1"/>
      <c r="N325" s="1"/>
      <c r="O325" s="1"/>
      <c r="P325" s="1"/>
      <c r="Q325" s="1"/>
      <c r="R325" s="1"/>
      <c r="S325" s="1"/>
    </row>
    <row r="326" ht="14.25" customHeight="1">
      <c r="A326" s="1112"/>
      <c r="B326" s="138" t="s">
        <v>103</v>
      </c>
      <c r="C326" s="279">
        <v>125.0</v>
      </c>
      <c r="D326" s="146">
        <f t="shared" si="27"/>
        <v>60</v>
      </c>
      <c r="E326" s="1607"/>
      <c r="F326" s="242" t="s">
        <v>18</v>
      </c>
      <c r="G326" s="47"/>
      <c r="H326" s="1"/>
      <c r="I326" s="1"/>
      <c r="J326" s="1"/>
      <c r="K326" s="1"/>
      <c r="L326" s="1"/>
      <c r="M326" s="1"/>
      <c r="N326" s="1"/>
      <c r="O326" s="1"/>
      <c r="P326" s="1"/>
      <c r="Q326" s="1"/>
      <c r="R326" s="1"/>
      <c r="S326" s="1"/>
    </row>
    <row r="327" ht="14.25" customHeight="1">
      <c r="A327" s="1112"/>
      <c r="B327" s="138" t="s">
        <v>84</v>
      </c>
      <c r="C327" s="279">
        <v>750.0</v>
      </c>
      <c r="D327" s="146">
        <f t="shared" si="27"/>
        <v>360</v>
      </c>
      <c r="E327" s="1607"/>
      <c r="F327" s="242" t="s">
        <v>18</v>
      </c>
      <c r="G327" s="47"/>
      <c r="H327" s="1"/>
      <c r="I327" s="1"/>
      <c r="J327" s="1"/>
      <c r="K327" s="1"/>
      <c r="L327" s="1"/>
      <c r="M327" s="1"/>
      <c r="N327" s="1"/>
      <c r="O327" s="1"/>
      <c r="P327" s="1"/>
      <c r="Q327" s="1"/>
      <c r="R327" s="1"/>
      <c r="S327" s="1"/>
    </row>
    <row r="328" ht="14.25" customHeight="1">
      <c r="A328" s="1112"/>
      <c r="B328" s="138" t="s">
        <v>148</v>
      </c>
      <c r="C328" s="279">
        <v>250.0</v>
      </c>
      <c r="D328" s="146">
        <f t="shared" si="27"/>
        <v>120</v>
      </c>
      <c r="E328" s="1607"/>
      <c r="F328" s="242" t="s">
        <v>18</v>
      </c>
      <c r="G328" s="47"/>
      <c r="H328" s="1"/>
      <c r="I328" s="1"/>
      <c r="J328" s="1"/>
      <c r="K328" s="1"/>
      <c r="L328" s="1"/>
      <c r="M328" s="1"/>
      <c r="N328" s="1"/>
      <c r="O328" s="1"/>
      <c r="P328" s="1"/>
      <c r="Q328" s="1"/>
      <c r="R328" s="1"/>
      <c r="S328" s="1"/>
    </row>
    <row r="329" ht="14.25" customHeight="1">
      <c r="A329" s="1112"/>
      <c r="B329" s="68" t="s">
        <v>52</v>
      </c>
      <c r="C329" s="145">
        <v>200.0</v>
      </c>
      <c r="D329" s="155">
        <f t="shared" si="27"/>
        <v>96</v>
      </c>
      <c r="E329" s="899"/>
      <c r="F329" s="216" t="s">
        <v>18</v>
      </c>
      <c r="G329" s="47"/>
      <c r="H329" s="1"/>
      <c r="I329" s="1"/>
      <c r="J329" s="1"/>
      <c r="K329" s="1"/>
      <c r="L329" s="1"/>
      <c r="M329" s="1"/>
      <c r="N329" s="1"/>
      <c r="O329" s="1"/>
      <c r="P329" s="1"/>
      <c r="Q329" s="1"/>
      <c r="R329" s="1"/>
      <c r="S329" s="1"/>
    </row>
    <row r="330" ht="14.25" customHeight="1">
      <c r="A330" s="1112"/>
      <c r="B330" s="177" t="s">
        <v>154</v>
      </c>
      <c r="C330" s="195">
        <v>5.0</v>
      </c>
      <c r="D330" s="78">
        <f t="shared" si="27"/>
        <v>2.4</v>
      </c>
      <c r="E330" s="900"/>
      <c r="F330" s="249" t="s">
        <v>14</v>
      </c>
      <c r="G330" s="47"/>
      <c r="H330" s="1"/>
      <c r="I330" s="1"/>
      <c r="J330" s="1"/>
      <c r="K330" s="1"/>
      <c r="L330" s="1"/>
      <c r="M330" s="1"/>
      <c r="N330" s="1"/>
      <c r="O330" s="1"/>
      <c r="P330" s="1"/>
      <c r="Q330" s="1"/>
      <c r="R330" s="1"/>
      <c r="S330" s="1"/>
    </row>
    <row r="331" ht="14.25" customHeight="1">
      <c r="A331" s="1112"/>
      <c r="B331" s="93" t="s">
        <v>2829</v>
      </c>
      <c r="C331" s="195">
        <v>500.0</v>
      </c>
      <c r="D331" s="78">
        <f t="shared" si="27"/>
        <v>240</v>
      </c>
      <c r="E331" s="900"/>
      <c r="F331" s="249" t="s">
        <v>18</v>
      </c>
      <c r="G331" s="76"/>
      <c r="H331" s="1"/>
      <c r="I331" s="1"/>
      <c r="J331" s="1"/>
      <c r="K331" s="1"/>
      <c r="L331" s="1"/>
      <c r="M331" s="1"/>
      <c r="N331" s="1"/>
      <c r="O331" s="1"/>
      <c r="P331" s="1"/>
      <c r="Q331" s="1"/>
      <c r="R331" s="1"/>
      <c r="S331" s="1"/>
    </row>
    <row r="332" ht="14.25" customHeight="1">
      <c r="A332" s="1112"/>
      <c r="B332" s="105" t="s">
        <v>2471</v>
      </c>
      <c r="C332" s="200">
        <v>15.0</v>
      </c>
      <c r="D332" s="56">
        <f t="shared" si="27"/>
        <v>7.2</v>
      </c>
      <c r="E332" s="1604"/>
      <c r="F332" s="518" t="s">
        <v>14</v>
      </c>
      <c r="G332" s="144"/>
      <c r="H332" s="1"/>
      <c r="I332" s="1"/>
      <c r="J332" s="1"/>
      <c r="K332" s="1"/>
      <c r="L332" s="1"/>
      <c r="M332" s="1"/>
      <c r="N332" s="1"/>
      <c r="O332" s="1"/>
      <c r="P332" s="1"/>
      <c r="Q332" s="1"/>
      <c r="R332" s="1"/>
      <c r="S332" s="1"/>
    </row>
    <row r="333" ht="14.25" customHeight="1">
      <c r="A333" s="1112"/>
      <c r="B333" s="417" t="s">
        <v>2834</v>
      </c>
      <c r="C333" s="418">
        <v>1.0</v>
      </c>
      <c r="D333" s="542">
        <f t="shared" si="27"/>
        <v>0.48</v>
      </c>
      <c r="E333" s="1614"/>
      <c r="F333" s="543" t="s">
        <v>14</v>
      </c>
      <c r="G333" s="44" t="s">
        <v>2835</v>
      </c>
      <c r="H333" s="1"/>
      <c r="I333" s="1"/>
      <c r="J333" s="1"/>
      <c r="K333" s="1"/>
      <c r="L333" s="1"/>
      <c r="M333" s="1"/>
      <c r="N333" s="1"/>
      <c r="O333" s="1"/>
      <c r="P333" s="1"/>
      <c r="Q333" s="1"/>
      <c r="R333" s="1"/>
      <c r="S333" s="1"/>
    </row>
    <row r="334" ht="14.25" customHeight="1">
      <c r="A334" s="1"/>
      <c r="B334" s="68" t="s">
        <v>2837</v>
      </c>
      <c r="C334" s="145">
        <v>1.0</v>
      </c>
      <c r="D334" s="155">
        <f t="shared" si="27"/>
        <v>0.48</v>
      </c>
      <c r="E334" s="899"/>
      <c r="F334" s="216" t="s">
        <v>14</v>
      </c>
      <c r="G334" s="264" t="s">
        <v>2838</v>
      </c>
      <c r="H334" s="1"/>
      <c r="I334" s="1"/>
      <c r="J334" s="1"/>
      <c r="K334" s="1"/>
      <c r="L334" s="1"/>
      <c r="M334" s="1"/>
      <c r="N334" s="1"/>
      <c r="O334" s="1"/>
      <c r="P334" s="1"/>
      <c r="Q334" s="1"/>
      <c r="R334" s="1"/>
      <c r="S334" s="1"/>
    </row>
    <row r="335" ht="14.25" customHeight="1">
      <c r="A335" s="1112"/>
      <c r="B335" s="119" t="s">
        <v>350</v>
      </c>
      <c r="C335" s="238">
        <v>2.5</v>
      </c>
      <c r="D335" s="129">
        <f t="shared" si="27"/>
        <v>1.2</v>
      </c>
      <c r="E335" s="1583"/>
      <c r="F335" s="520" t="s">
        <v>14</v>
      </c>
      <c r="G335" s="66"/>
      <c r="H335" s="1"/>
      <c r="I335" s="1"/>
      <c r="J335" s="1"/>
      <c r="K335" s="1"/>
      <c r="L335" s="1"/>
      <c r="M335" s="1"/>
      <c r="N335" s="1"/>
      <c r="O335" s="1"/>
      <c r="P335" s="1"/>
      <c r="Q335" s="1"/>
      <c r="R335" s="1"/>
      <c r="S335" s="1"/>
    </row>
    <row r="336" ht="14.25" customHeight="1">
      <c r="A336" s="1112"/>
      <c r="B336" s="119" t="s">
        <v>858</v>
      </c>
      <c r="C336" s="238">
        <v>10.0</v>
      </c>
      <c r="D336" s="129">
        <f t="shared" si="27"/>
        <v>4.8</v>
      </c>
      <c r="E336" s="1583"/>
      <c r="F336" s="520" t="s">
        <v>999</v>
      </c>
      <c r="G336" s="66"/>
      <c r="H336" s="1"/>
      <c r="I336" s="1"/>
      <c r="J336" s="1"/>
      <c r="K336" s="1"/>
      <c r="L336" s="1"/>
      <c r="M336" s="1"/>
      <c r="N336" s="1"/>
      <c r="O336" s="1"/>
      <c r="P336" s="1"/>
      <c r="Q336" s="1"/>
      <c r="R336" s="1"/>
      <c r="S336" s="1"/>
    </row>
    <row r="337" ht="14.25" customHeight="1">
      <c r="A337" s="1112"/>
      <c r="B337" s="93" t="s">
        <v>2834</v>
      </c>
      <c r="C337" s="195">
        <v>1.0</v>
      </c>
      <c r="D337" s="78">
        <f t="shared" si="27"/>
        <v>0.48</v>
      </c>
      <c r="E337" s="900"/>
      <c r="F337" s="249" t="s">
        <v>14</v>
      </c>
      <c r="G337" s="66"/>
      <c r="H337" s="1"/>
      <c r="I337" s="1"/>
      <c r="J337" s="1"/>
      <c r="K337" s="1"/>
      <c r="L337" s="1"/>
      <c r="M337" s="1"/>
      <c r="N337" s="1"/>
      <c r="O337" s="1"/>
      <c r="P337" s="1"/>
      <c r="Q337" s="1"/>
      <c r="R337" s="1"/>
      <c r="S337" s="1"/>
    </row>
    <row r="338" ht="14.25" customHeight="1">
      <c r="A338" s="1112"/>
      <c r="B338" s="105" t="s">
        <v>162</v>
      </c>
      <c r="C338" s="200">
        <v>200.0</v>
      </c>
      <c r="D338" s="56">
        <f t="shared" si="27"/>
        <v>96</v>
      </c>
      <c r="E338" s="1604"/>
      <c r="F338" s="518" t="s">
        <v>18</v>
      </c>
      <c r="G338" s="106"/>
      <c r="H338" s="1"/>
      <c r="I338" s="1"/>
      <c r="J338" s="1"/>
      <c r="K338" s="1"/>
      <c r="L338" s="1"/>
      <c r="M338" s="1"/>
      <c r="N338" s="1"/>
      <c r="O338" s="1"/>
      <c r="P338" s="1"/>
      <c r="Q338" s="1"/>
      <c r="R338" s="1"/>
      <c r="S338" s="1"/>
    </row>
    <row r="339" ht="14.25" customHeight="1">
      <c r="A339" s="1112"/>
      <c r="B339" s="68" t="s">
        <v>243</v>
      </c>
      <c r="C339" s="145">
        <v>20.0</v>
      </c>
      <c r="D339" s="56">
        <f t="shared" si="27"/>
        <v>9.6</v>
      </c>
      <c r="E339" s="1614"/>
      <c r="F339" s="216" t="s">
        <v>5</v>
      </c>
      <c r="G339" s="141"/>
      <c r="H339" s="1"/>
      <c r="I339" s="1"/>
      <c r="J339" s="1"/>
      <c r="K339" s="1"/>
      <c r="L339" s="1"/>
      <c r="M339" s="1"/>
      <c r="N339" s="1"/>
      <c r="O339" s="1"/>
      <c r="P339" s="1"/>
      <c r="Q339" s="1"/>
      <c r="R339" s="1"/>
      <c r="S339" s="1"/>
    </row>
    <row r="340" ht="14.25" customHeight="1">
      <c r="A340" s="1112"/>
      <c r="B340" s="138" t="s">
        <v>31</v>
      </c>
      <c r="C340" s="279">
        <v>1350.0</v>
      </c>
      <c r="D340" s="146">
        <f t="shared" si="27"/>
        <v>648</v>
      </c>
      <c r="E340" s="1607"/>
      <c r="F340" s="242" t="s">
        <v>18</v>
      </c>
      <c r="G340" s="270"/>
      <c r="H340" s="1"/>
      <c r="I340" s="1"/>
      <c r="J340" s="1"/>
      <c r="K340" s="1"/>
      <c r="L340" s="1"/>
      <c r="M340" s="1"/>
      <c r="N340" s="1"/>
      <c r="O340" s="1"/>
      <c r="P340" s="1"/>
      <c r="Q340" s="1"/>
      <c r="R340" s="1"/>
      <c r="S340" s="1"/>
    </row>
    <row r="341" ht="14.25" customHeight="1">
      <c r="A341" s="1112"/>
      <c r="B341" s="68" t="s">
        <v>167</v>
      </c>
      <c r="C341" s="145">
        <v>0.5</v>
      </c>
      <c r="D341" s="155">
        <f t="shared" si="27"/>
        <v>0.24</v>
      </c>
      <c r="E341" s="899"/>
      <c r="F341" s="216" t="s">
        <v>5</v>
      </c>
      <c r="G341" s="44" t="s">
        <v>204</v>
      </c>
      <c r="H341" s="1"/>
      <c r="I341" s="1"/>
      <c r="J341" s="1"/>
      <c r="K341" s="1"/>
      <c r="L341" s="1"/>
      <c r="M341" s="1"/>
      <c r="N341" s="1"/>
      <c r="O341" s="1"/>
      <c r="P341" s="1"/>
      <c r="Q341" s="1"/>
      <c r="R341" s="1"/>
      <c r="S341" s="1"/>
    </row>
    <row r="342" ht="14.25" customHeight="1">
      <c r="A342" s="1112"/>
      <c r="B342" s="105" t="s">
        <v>114</v>
      </c>
      <c r="C342" s="200">
        <v>4.0</v>
      </c>
      <c r="D342" s="56">
        <f t="shared" si="27"/>
        <v>1.92</v>
      </c>
      <c r="E342" s="1604"/>
      <c r="F342" s="518" t="s">
        <v>5</v>
      </c>
      <c r="G342" s="76"/>
      <c r="H342" s="1"/>
      <c r="I342" s="1"/>
      <c r="J342" s="1"/>
      <c r="K342" s="1"/>
      <c r="L342" s="1"/>
      <c r="M342" s="1"/>
      <c r="N342" s="1"/>
      <c r="O342" s="1"/>
      <c r="P342" s="1"/>
      <c r="Q342" s="1"/>
      <c r="R342" s="1"/>
      <c r="S342" s="1"/>
    </row>
    <row r="343" ht="14.25" customHeight="1">
      <c r="A343" s="1112"/>
      <c r="B343" s="299" t="s">
        <v>119</v>
      </c>
      <c r="C343" s="183" t="s">
        <v>47</v>
      </c>
      <c r="D343" s="184"/>
      <c r="E343" s="184"/>
      <c r="F343" s="1"/>
      <c r="G343" s="1"/>
      <c r="H343" s="1"/>
      <c r="I343" s="1"/>
      <c r="J343" s="1"/>
      <c r="K343" s="1"/>
      <c r="L343" s="1"/>
      <c r="M343" s="1"/>
      <c r="N343" s="1"/>
      <c r="O343" s="1"/>
      <c r="P343" s="1"/>
      <c r="Q343" s="1"/>
      <c r="R343" s="1"/>
      <c r="S343" s="1"/>
    </row>
    <row r="344" ht="14.25" customHeight="1">
      <c r="A344" s="1112"/>
      <c r="B344" s="381" t="s">
        <v>120</v>
      </c>
      <c r="C344" s="1198">
        <v>41063.0</v>
      </c>
      <c r="D344" s="184"/>
      <c r="E344" s="184"/>
      <c r="F344" s="1"/>
      <c r="G344" s="1"/>
      <c r="H344" s="1"/>
      <c r="I344" s="1"/>
      <c r="J344" s="1"/>
      <c r="K344" s="1"/>
      <c r="L344" s="1"/>
      <c r="M344" s="1"/>
      <c r="N344" s="1"/>
      <c r="O344" s="1"/>
      <c r="P344" s="1"/>
      <c r="Q344" s="1"/>
      <c r="R344" s="1"/>
      <c r="S344" s="1"/>
    </row>
    <row r="345" ht="14.25" customHeight="1">
      <c r="A345" s="1112"/>
      <c r="B345" s="381" t="s">
        <v>50</v>
      </c>
      <c r="C345" s="1198">
        <v>41646.0</v>
      </c>
      <c r="D345" s="184"/>
      <c r="E345" s="184"/>
      <c r="F345" s="1"/>
      <c r="G345" s="1"/>
      <c r="H345" s="1"/>
      <c r="I345" s="1"/>
      <c r="J345" s="1"/>
      <c r="K345" s="1"/>
      <c r="L345" s="1"/>
      <c r="M345" s="1"/>
      <c r="N345" s="1"/>
      <c r="O345" s="1"/>
      <c r="P345" s="1"/>
      <c r="Q345" s="1"/>
      <c r="R345" s="1"/>
      <c r="S345" s="1"/>
    </row>
    <row r="346" ht="14.25" customHeight="1">
      <c r="A346" s="1112"/>
      <c r="B346" s="1"/>
      <c r="C346" s="107"/>
      <c r="D346" s="184"/>
      <c r="E346" s="184"/>
      <c r="F346" s="1"/>
      <c r="G346" s="1112"/>
      <c r="H346" s="1"/>
      <c r="I346" s="1"/>
      <c r="J346" s="1"/>
      <c r="K346" s="1"/>
      <c r="L346" s="1"/>
      <c r="M346" s="1"/>
      <c r="N346" s="1"/>
      <c r="O346" s="1"/>
      <c r="P346" s="1"/>
      <c r="Q346" s="1"/>
      <c r="R346" s="1"/>
      <c r="S346" s="1"/>
    </row>
    <row r="347" ht="14.25" customHeight="1">
      <c r="A347" s="1112"/>
      <c r="B347" s="511" t="s">
        <v>521</v>
      </c>
      <c r="C347" s="18"/>
      <c r="D347" s="18"/>
      <c r="E347" s="18"/>
      <c r="F347" s="19"/>
      <c r="G347" s="2532" t="s">
        <v>2851</v>
      </c>
      <c r="H347" s="1"/>
      <c r="I347" s="1"/>
      <c r="J347" s="1"/>
      <c r="K347" s="1"/>
      <c r="L347" s="1"/>
      <c r="M347" s="1"/>
      <c r="N347" s="1"/>
      <c r="O347" s="1"/>
      <c r="P347" s="1"/>
      <c r="Q347" s="1"/>
      <c r="R347" s="1"/>
      <c r="S347" s="1"/>
    </row>
    <row r="348" ht="14.25" customHeight="1">
      <c r="A348" s="1112"/>
      <c r="B348" s="68" t="s">
        <v>1161</v>
      </c>
      <c r="C348" s="145">
        <v>28.0</v>
      </c>
      <c r="D348" s="1791">
        <v>365.0</v>
      </c>
      <c r="E348" s="899"/>
      <c r="F348" s="216" t="s">
        <v>14</v>
      </c>
      <c r="G348" s="2535"/>
      <c r="H348" s="1"/>
      <c r="I348" s="1"/>
      <c r="J348" s="1"/>
      <c r="K348" s="1"/>
      <c r="L348" s="1"/>
      <c r="M348" s="1"/>
      <c r="N348" s="1"/>
      <c r="O348" s="1"/>
      <c r="P348" s="1"/>
      <c r="Q348" s="1"/>
      <c r="R348" s="1"/>
      <c r="S348" s="1"/>
    </row>
    <row r="349" ht="14.25" customHeight="1">
      <c r="A349" s="1112"/>
      <c r="B349" s="105" t="s">
        <v>2854</v>
      </c>
      <c r="C349" s="200">
        <v>20.4</v>
      </c>
      <c r="D349" s="2439">
        <v>26.0</v>
      </c>
      <c r="E349" s="1604"/>
      <c r="F349" s="518" t="s">
        <v>14</v>
      </c>
      <c r="G349" s="270"/>
      <c r="H349" s="1"/>
      <c r="I349" s="1"/>
      <c r="J349" s="1"/>
      <c r="K349" s="1"/>
      <c r="L349" s="1"/>
      <c r="M349" s="1"/>
      <c r="N349" s="1"/>
      <c r="O349" s="1"/>
      <c r="P349" s="1"/>
      <c r="Q349" s="1"/>
      <c r="R349" s="1"/>
      <c r="S349" s="1"/>
    </row>
    <row r="350" ht="14.25" customHeight="1">
      <c r="A350" s="1112"/>
      <c r="B350" s="2039" t="s">
        <v>1</v>
      </c>
      <c r="C350" s="418">
        <f t="shared" ref="C350:D350" si="28">C348*1.75 + C349*2.5</f>
        <v>100</v>
      </c>
      <c r="D350" s="542">
        <f t="shared" si="28"/>
        <v>703.75</v>
      </c>
      <c r="E350" s="1614"/>
      <c r="F350" s="543" t="s">
        <v>5</v>
      </c>
      <c r="G350" s="270"/>
      <c r="H350" s="1"/>
      <c r="I350" s="1"/>
      <c r="J350" s="1"/>
      <c r="K350" s="1"/>
      <c r="L350" s="1"/>
      <c r="M350" s="1"/>
      <c r="N350" s="1"/>
      <c r="O350" s="1"/>
      <c r="P350" s="1"/>
      <c r="Q350" s="1"/>
      <c r="R350" s="1"/>
      <c r="S350" s="1"/>
    </row>
    <row r="351" ht="14.25" customHeight="1">
      <c r="A351" s="1112"/>
      <c r="B351" s="68" t="s">
        <v>91</v>
      </c>
      <c r="C351" s="145">
        <v>2.5</v>
      </c>
      <c r="D351" s="155">
        <f t="shared" ref="D351:D366" si="29">(C351*D350)/C350</f>
        <v>17.59375</v>
      </c>
      <c r="E351" s="899"/>
      <c r="F351" s="216" t="s">
        <v>5</v>
      </c>
      <c r="G351" s="2544" t="s">
        <v>2861</v>
      </c>
      <c r="H351" s="1"/>
      <c r="I351" s="1"/>
      <c r="J351" s="1"/>
      <c r="K351" s="1"/>
      <c r="L351" s="1"/>
      <c r="M351" s="1"/>
      <c r="N351" s="1"/>
      <c r="O351" s="1"/>
      <c r="P351" s="1"/>
      <c r="Q351" s="1"/>
      <c r="R351" s="1"/>
      <c r="S351" s="1"/>
    </row>
    <row r="352" ht="14.25" customHeight="1">
      <c r="A352" s="1112"/>
      <c r="B352" s="93" t="s">
        <v>113</v>
      </c>
      <c r="C352" s="195">
        <v>50.0</v>
      </c>
      <c r="D352" s="78">
        <f t="shared" si="29"/>
        <v>351.875</v>
      </c>
      <c r="E352" s="900"/>
      <c r="F352" s="249" t="s">
        <v>18</v>
      </c>
      <c r="G352" s="47"/>
      <c r="H352" s="1"/>
      <c r="I352" s="1"/>
      <c r="J352" s="1"/>
      <c r="K352" s="1"/>
      <c r="L352" s="1"/>
      <c r="M352" s="1"/>
      <c r="N352" s="1"/>
      <c r="O352" s="1"/>
      <c r="P352" s="1"/>
      <c r="Q352" s="1"/>
      <c r="R352" s="1"/>
      <c r="S352" s="1"/>
    </row>
    <row r="353" ht="14.25" customHeight="1">
      <c r="A353" s="1112"/>
      <c r="B353" s="93" t="s">
        <v>148</v>
      </c>
      <c r="C353" s="195">
        <v>400.0</v>
      </c>
      <c r="D353" s="78">
        <f t="shared" si="29"/>
        <v>2815</v>
      </c>
      <c r="E353" s="900"/>
      <c r="F353" s="249" t="s">
        <v>18</v>
      </c>
      <c r="G353" s="47"/>
      <c r="H353" s="1"/>
      <c r="I353" s="1"/>
      <c r="J353" s="1"/>
      <c r="K353" s="1"/>
      <c r="L353" s="1"/>
      <c r="M353" s="1"/>
      <c r="N353" s="1"/>
      <c r="O353" s="1"/>
      <c r="P353" s="1"/>
      <c r="Q353" s="1"/>
      <c r="R353" s="1"/>
      <c r="S353" s="1"/>
    </row>
    <row r="354" ht="14.25" customHeight="1">
      <c r="A354" s="1112"/>
      <c r="B354" s="93" t="s">
        <v>753</v>
      </c>
      <c r="C354" s="195">
        <v>750.0</v>
      </c>
      <c r="D354" s="78">
        <f t="shared" si="29"/>
        <v>5278.125</v>
      </c>
      <c r="E354" s="900"/>
      <c r="F354" s="249" t="s">
        <v>18</v>
      </c>
      <c r="G354" s="47"/>
      <c r="H354" s="1"/>
      <c r="I354" s="1"/>
      <c r="J354" s="1"/>
      <c r="K354" s="1"/>
      <c r="L354" s="1"/>
      <c r="M354" s="1"/>
      <c r="N354" s="1"/>
      <c r="O354" s="1"/>
      <c r="P354" s="1"/>
      <c r="Q354" s="1"/>
      <c r="R354" s="1"/>
      <c r="S354" s="1"/>
    </row>
    <row r="355" ht="14.25" customHeight="1">
      <c r="A355" s="1112"/>
      <c r="B355" s="93" t="s">
        <v>103</v>
      </c>
      <c r="C355" s="195">
        <v>125.0</v>
      </c>
      <c r="D355" s="78">
        <f t="shared" si="29"/>
        <v>879.6875</v>
      </c>
      <c r="E355" s="900"/>
      <c r="F355" s="249" t="s">
        <v>18</v>
      </c>
      <c r="G355" s="47"/>
      <c r="H355" s="1"/>
      <c r="I355" s="1"/>
      <c r="J355" s="1"/>
      <c r="K355" s="1"/>
      <c r="L355" s="1"/>
      <c r="M355" s="1"/>
      <c r="N355" s="1"/>
      <c r="O355" s="1"/>
      <c r="P355" s="1"/>
      <c r="Q355" s="1"/>
      <c r="R355" s="1"/>
      <c r="S355" s="1"/>
    </row>
    <row r="356" ht="14.25" customHeight="1">
      <c r="A356" s="1112"/>
      <c r="B356" s="138" t="s">
        <v>1657</v>
      </c>
      <c r="C356" s="279">
        <v>150.0</v>
      </c>
      <c r="D356" s="146">
        <f t="shared" si="29"/>
        <v>1055.625</v>
      </c>
      <c r="E356" s="1607"/>
      <c r="F356" s="242" t="s">
        <v>18</v>
      </c>
      <c r="G356" s="76"/>
      <c r="H356" s="1"/>
      <c r="I356" s="1"/>
      <c r="J356" s="1"/>
      <c r="K356" s="1"/>
      <c r="L356" s="1"/>
      <c r="M356" s="1"/>
      <c r="N356" s="1"/>
      <c r="O356" s="1"/>
      <c r="P356" s="1"/>
      <c r="Q356" s="1"/>
      <c r="R356" s="1"/>
      <c r="S356" s="1"/>
    </row>
    <row r="357" ht="14.25" customHeight="1">
      <c r="A357" s="1112"/>
      <c r="B357" s="2225" t="s">
        <v>2864</v>
      </c>
      <c r="C357" s="145">
        <v>5.0</v>
      </c>
      <c r="D357" s="155">
        <f t="shared" si="29"/>
        <v>35.1875</v>
      </c>
      <c r="E357" s="899"/>
      <c r="F357" s="216" t="s">
        <v>14</v>
      </c>
      <c r="G357" s="2136" t="s">
        <v>2866</v>
      </c>
      <c r="H357" s="1"/>
      <c r="I357" s="1"/>
      <c r="J357" s="1"/>
      <c r="K357" s="1"/>
      <c r="L357" s="1"/>
      <c r="M357" s="1"/>
      <c r="N357" s="1"/>
      <c r="O357" s="1"/>
      <c r="P357" s="1"/>
      <c r="Q357" s="1"/>
      <c r="R357" s="1"/>
      <c r="S357" s="1"/>
    </row>
    <row r="358" ht="14.25" customHeight="1">
      <c r="A358" s="1"/>
      <c r="B358" s="1421" t="s">
        <v>2867</v>
      </c>
      <c r="C358" s="195">
        <v>5.0</v>
      </c>
      <c r="D358" s="78">
        <f t="shared" si="29"/>
        <v>35.1875</v>
      </c>
      <c r="E358" s="900"/>
      <c r="F358" s="249" t="s">
        <v>14</v>
      </c>
      <c r="G358" s="66"/>
      <c r="H358" s="1"/>
      <c r="I358" s="1"/>
      <c r="J358" s="1"/>
      <c r="K358" s="1"/>
      <c r="L358" s="1"/>
      <c r="M358" s="1"/>
      <c r="N358" s="1"/>
      <c r="O358" s="1"/>
      <c r="P358" s="1"/>
      <c r="Q358" s="1"/>
      <c r="R358" s="1"/>
      <c r="S358" s="1"/>
    </row>
    <row r="359" ht="14.25" customHeight="1">
      <c r="A359" s="1"/>
      <c r="B359" s="1421" t="s">
        <v>850</v>
      </c>
      <c r="C359" s="195">
        <v>5.0</v>
      </c>
      <c r="D359" s="2231">
        <f t="shared" si="29"/>
        <v>35.1875</v>
      </c>
      <c r="E359" s="2232"/>
      <c r="F359" s="352" t="s">
        <v>14</v>
      </c>
      <c r="G359" s="66"/>
      <c r="H359" s="1"/>
      <c r="I359" s="1"/>
      <c r="J359" s="1"/>
      <c r="K359" s="1"/>
      <c r="L359" s="1"/>
      <c r="M359" s="1"/>
      <c r="N359" s="1"/>
      <c r="O359" s="1"/>
      <c r="P359" s="1"/>
      <c r="Q359" s="1"/>
      <c r="R359" s="1"/>
      <c r="S359" s="1"/>
    </row>
    <row r="360" ht="14.25" customHeight="1">
      <c r="A360" s="1"/>
      <c r="B360" s="93" t="s">
        <v>2493</v>
      </c>
      <c r="C360" s="195">
        <v>500.0</v>
      </c>
      <c r="D360" s="78">
        <f t="shared" si="29"/>
        <v>3518.75</v>
      </c>
      <c r="E360" s="900"/>
      <c r="F360" s="249" t="s">
        <v>18</v>
      </c>
      <c r="G360" s="66"/>
      <c r="H360" s="1"/>
      <c r="I360" s="1"/>
      <c r="J360" s="1"/>
      <c r="K360" s="1"/>
      <c r="L360" s="1"/>
      <c r="M360" s="1"/>
      <c r="N360" s="1"/>
      <c r="O360" s="1"/>
      <c r="P360" s="1"/>
      <c r="Q360" s="1"/>
      <c r="R360" s="1"/>
      <c r="S360" s="1"/>
    </row>
    <row r="361" ht="14.25" customHeight="1">
      <c r="A361" s="1"/>
      <c r="B361" s="93" t="s">
        <v>52</v>
      </c>
      <c r="C361" s="195">
        <v>50.0</v>
      </c>
      <c r="D361" s="78">
        <f t="shared" si="29"/>
        <v>351.875</v>
      </c>
      <c r="E361" s="900"/>
      <c r="F361" s="249" t="s">
        <v>18</v>
      </c>
      <c r="G361" s="66"/>
      <c r="H361" s="1"/>
      <c r="I361" s="1"/>
      <c r="J361" s="1"/>
      <c r="K361" s="1"/>
      <c r="L361" s="1"/>
      <c r="M361" s="1"/>
      <c r="N361" s="1"/>
      <c r="O361" s="1"/>
      <c r="P361" s="1"/>
      <c r="Q361" s="1"/>
      <c r="R361" s="1"/>
      <c r="S361" s="1"/>
    </row>
    <row r="362" ht="14.25" customHeight="1">
      <c r="A362" s="1"/>
      <c r="B362" s="1421" t="s">
        <v>2533</v>
      </c>
      <c r="C362" s="195">
        <v>10.0</v>
      </c>
      <c r="D362" s="78">
        <f t="shared" si="29"/>
        <v>70.375</v>
      </c>
      <c r="E362" s="900"/>
      <c r="F362" s="352" t="s">
        <v>14</v>
      </c>
      <c r="G362" s="66"/>
      <c r="H362" s="1"/>
      <c r="I362" s="1"/>
      <c r="J362" s="1"/>
      <c r="K362" s="1"/>
      <c r="L362" s="1"/>
      <c r="M362" s="1"/>
      <c r="N362" s="1"/>
      <c r="O362" s="1"/>
      <c r="P362" s="1"/>
      <c r="Q362" s="1"/>
      <c r="R362" s="1"/>
      <c r="S362" s="1"/>
    </row>
    <row r="363" ht="14.25" customHeight="1">
      <c r="A363" s="1"/>
      <c r="B363" s="93" t="s">
        <v>31</v>
      </c>
      <c r="C363" s="195">
        <v>1250.0</v>
      </c>
      <c r="D363" s="78">
        <f t="shared" si="29"/>
        <v>8796.875</v>
      </c>
      <c r="E363" s="900"/>
      <c r="F363" s="249" t="s">
        <v>18</v>
      </c>
      <c r="G363" s="66"/>
      <c r="H363" s="1"/>
      <c r="I363" s="1"/>
      <c r="J363" s="1"/>
      <c r="K363" s="1"/>
      <c r="L363" s="1"/>
      <c r="M363" s="1"/>
      <c r="N363" s="1"/>
      <c r="O363" s="1"/>
      <c r="P363" s="1"/>
      <c r="Q363" s="1"/>
      <c r="R363" s="1"/>
      <c r="S363" s="1"/>
    </row>
    <row r="364" ht="14.25" customHeight="1">
      <c r="A364" s="1112"/>
      <c r="B364" s="1786" t="s">
        <v>13</v>
      </c>
      <c r="C364" s="980">
        <v>1.0</v>
      </c>
      <c r="D364" s="1639">
        <f t="shared" si="29"/>
        <v>7.0375</v>
      </c>
      <c r="E364" s="2237"/>
      <c r="F364" s="518" t="s">
        <v>14</v>
      </c>
      <c r="G364" s="66"/>
      <c r="H364" s="1"/>
      <c r="I364" s="1"/>
      <c r="J364" s="1"/>
      <c r="K364" s="1"/>
      <c r="L364" s="1"/>
      <c r="M364" s="1"/>
      <c r="N364" s="1"/>
      <c r="O364" s="1"/>
      <c r="P364" s="1"/>
      <c r="Q364" s="1"/>
      <c r="R364" s="1"/>
      <c r="S364" s="1"/>
    </row>
    <row r="365" ht="14.25" customHeight="1">
      <c r="A365" s="1112"/>
      <c r="B365" s="1782" t="s">
        <v>335</v>
      </c>
      <c r="C365" s="982">
        <v>2.5</v>
      </c>
      <c r="D365" s="519">
        <f t="shared" si="29"/>
        <v>17.59375</v>
      </c>
      <c r="E365" s="1657"/>
      <c r="F365" s="520" t="s">
        <v>5</v>
      </c>
      <c r="G365" s="44" t="s">
        <v>2874</v>
      </c>
      <c r="H365" s="1"/>
      <c r="I365" s="1"/>
      <c r="J365" s="1"/>
      <c r="K365" s="1"/>
      <c r="L365" s="1"/>
      <c r="M365" s="1"/>
      <c r="N365" s="1"/>
      <c r="O365" s="1"/>
      <c r="P365" s="1"/>
      <c r="Q365" s="1"/>
      <c r="R365" s="1"/>
      <c r="S365" s="1"/>
    </row>
    <row r="366" ht="14.25" customHeight="1">
      <c r="A366" s="1112"/>
      <c r="B366" s="1786" t="s">
        <v>2504</v>
      </c>
      <c r="C366" s="980">
        <v>1.0</v>
      </c>
      <c r="D366" s="517">
        <f t="shared" si="29"/>
        <v>7.0375</v>
      </c>
      <c r="E366" s="1656"/>
      <c r="F366" s="518" t="s">
        <v>14</v>
      </c>
      <c r="G366" s="76"/>
      <c r="H366" s="1"/>
      <c r="I366" s="1"/>
      <c r="J366" s="1"/>
      <c r="K366" s="1"/>
      <c r="L366" s="1"/>
      <c r="M366" s="1"/>
      <c r="N366" s="1"/>
      <c r="O366" s="1"/>
      <c r="P366" s="1"/>
      <c r="Q366" s="1"/>
      <c r="R366" s="1"/>
      <c r="S366" s="1"/>
    </row>
    <row r="367" ht="14.25" customHeight="1">
      <c r="A367" s="1112"/>
      <c r="B367" s="1640" t="s">
        <v>119</v>
      </c>
      <c r="C367" s="183" t="s">
        <v>47</v>
      </c>
      <c r="D367" s="184"/>
      <c r="E367" s="184"/>
      <c r="F367" s="1"/>
      <c r="G367" s="1"/>
      <c r="H367" s="1"/>
      <c r="I367" s="1"/>
      <c r="J367" s="1"/>
      <c r="K367" s="1"/>
      <c r="L367" s="1"/>
      <c r="M367" s="1"/>
      <c r="N367" s="1"/>
      <c r="O367" s="1"/>
      <c r="P367" s="1"/>
      <c r="Q367" s="1"/>
      <c r="R367" s="1"/>
      <c r="S367" s="1"/>
    </row>
    <row r="368" ht="14.25" customHeight="1">
      <c r="A368" s="1112"/>
      <c r="B368" s="203" t="s">
        <v>120</v>
      </c>
      <c r="C368" s="1309">
        <v>40824.0</v>
      </c>
      <c r="D368" s="1838"/>
      <c r="E368" s="1838"/>
      <c r="F368" s="1"/>
      <c r="G368" s="1"/>
      <c r="H368" s="1"/>
      <c r="I368" s="1"/>
      <c r="J368" s="1"/>
      <c r="K368" s="1"/>
      <c r="L368" s="1"/>
      <c r="M368" s="1"/>
      <c r="N368" s="1"/>
      <c r="O368" s="1"/>
      <c r="P368" s="1"/>
      <c r="Q368" s="1"/>
      <c r="R368" s="1"/>
      <c r="S368" s="1"/>
    </row>
    <row r="369" ht="14.25" customHeight="1">
      <c r="A369" s="1"/>
      <c r="B369" s="203" t="s">
        <v>50</v>
      </c>
      <c r="C369" s="1309">
        <v>41795.0</v>
      </c>
      <c r="D369" s="1838"/>
      <c r="E369" s="1838"/>
      <c r="F369" s="1"/>
      <c r="G369" s="1"/>
      <c r="H369" s="1"/>
      <c r="I369" s="1"/>
      <c r="J369" s="1"/>
      <c r="K369" s="1"/>
      <c r="L369" s="1"/>
      <c r="M369" s="1"/>
      <c r="N369" s="1"/>
      <c r="O369" s="1"/>
      <c r="P369" s="1"/>
      <c r="Q369" s="1"/>
      <c r="R369" s="1"/>
      <c r="S369" s="1"/>
    </row>
    <row r="370" ht="14.25" customHeight="1">
      <c r="A370" s="193"/>
      <c r="B370" s="1"/>
      <c r="C370" s="107"/>
      <c r="D370" s="184"/>
      <c r="E370" s="184"/>
      <c r="F370" s="1"/>
      <c r="G370" s="1112"/>
      <c r="H370" s="1"/>
      <c r="I370" s="1"/>
      <c r="J370" s="1"/>
      <c r="K370" s="1"/>
      <c r="L370" s="1"/>
      <c r="M370" s="1"/>
      <c r="N370" s="1"/>
      <c r="O370" s="1"/>
      <c r="P370" s="1"/>
      <c r="Q370" s="1"/>
      <c r="R370" s="1"/>
      <c r="S370" s="1"/>
    </row>
    <row r="371" ht="14.25" customHeight="1">
      <c r="A371" s="193"/>
      <c r="B371" s="16" t="s">
        <v>556</v>
      </c>
      <c r="C371" s="18"/>
      <c r="D371" s="18"/>
      <c r="E371" s="18"/>
      <c r="F371" s="19"/>
      <c r="G371" s="141"/>
      <c r="H371" s="1"/>
      <c r="I371" s="1"/>
      <c r="J371" s="1"/>
      <c r="K371" s="1"/>
      <c r="L371" s="1"/>
      <c r="M371" s="1"/>
      <c r="N371" s="1"/>
      <c r="O371" s="1"/>
      <c r="P371" s="1"/>
      <c r="Q371" s="1"/>
      <c r="R371" s="1"/>
      <c r="S371" s="1"/>
    </row>
    <row r="372" ht="14.25" customHeight="1">
      <c r="A372" s="1112"/>
      <c r="B372" s="25" t="s">
        <v>1</v>
      </c>
      <c r="C372" s="218">
        <v>100.0</v>
      </c>
      <c r="D372" s="526">
        <v>10.0</v>
      </c>
      <c r="E372" s="2144"/>
      <c r="F372" s="28" t="s">
        <v>5</v>
      </c>
      <c r="G372" s="141"/>
      <c r="H372" s="1"/>
      <c r="I372" s="1"/>
      <c r="J372" s="1"/>
      <c r="K372" s="1"/>
      <c r="L372" s="1"/>
      <c r="M372" s="1"/>
      <c r="N372" s="1"/>
      <c r="O372" s="1"/>
      <c r="P372" s="1"/>
      <c r="Q372" s="1"/>
      <c r="R372" s="1"/>
      <c r="S372" s="1"/>
    </row>
    <row r="373" ht="14.25" customHeight="1">
      <c r="A373" s="1112"/>
      <c r="B373" s="163" t="s">
        <v>2384</v>
      </c>
      <c r="C373" s="221">
        <v>5.0</v>
      </c>
      <c r="D373" s="164">
        <f t="shared" ref="D373:D398" si="30">(C373*D372)/C372</f>
        <v>0.5</v>
      </c>
      <c r="E373" s="1731"/>
      <c r="F373" s="169" t="s">
        <v>14</v>
      </c>
      <c r="G373" s="194" t="s">
        <v>2879</v>
      </c>
      <c r="H373" s="1"/>
      <c r="I373" s="1"/>
      <c r="J373" s="1"/>
      <c r="K373" s="1"/>
      <c r="L373" s="1"/>
      <c r="M373" s="1"/>
      <c r="N373" s="1"/>
      <c r="O373" s="1"/>
      <c r="P373" s="1"/>
      <c r="Q373" s="1"/>
      <c r="R373" s="1"/>
      <c r="S373" s="1"/>
    </row>
    <row r="374" ht="14.25" customHeight="1">
      <c r="A374" s="1112"/>
      <c r="B374" s="177" t="s">
        <v>31</v>
      </c>
      <c r="C374" s="27">
        <v>500.0</v>
      </c>
      <c r="D374" s="201">
        <f t="shared" si="30"/>
        <v>50</v>
      </c>
      <c r="E374" s="1735"/>
      <c r="F374" s="204" t="s">
        <v>14</v>
      </c>
      <c r="G374" s="63"/>
      <c r="H374" s="1"/>
      <c r="I374" s="1"/>
      <c r="J374" s="1"/>
      <c r="K374" s="1"/>
      <c r="L374" s="1"/>
      <c r="M374" s="1"/>
      <c r="N374" s="1"/>
      <c r="O374" s="1"/>
      <c r="P374" s="1"/>
      <c r="Q374" s="1"/>
      <c r="R374" s="1"/>
      <c r="S374" s="1"/>
    </row>
    <row r="375" ht="14.25" customHeight="1">
      <c r="A375" s="1112"/>
      <c r="B375" s="208" t="s">
        <v>52</v>
      </c>
      <c r="C375" s="236">
        <v>50.0</v>
      </c>
      <c r="D375" s="257">
        <f t="shared" si="30"/>
        <v>5</v>
      </c>
      <c r="E375" s="1738"/>
      <c r="F375" s="212" t="s">
        <v>18</v>
      </c>
      <c r="G375" s="102"/>
      <c r="H375" s="1"/>
      <c r="I375" s="1"/>
      <c r="J375" s="1"/>
      <c r="K375" s="1"/>
      <c r="L375" s="1"/>
      <c r="M375" s="1"/>
      <c r="N375" s="1"/>
      <c r="O375" s="1"/>
      <c r="P375" s="1"/>
      <c r="Q375" s="1"/>
      <c r="R375" s="1"/>
      <c r="S375" s="1"/>
    </row>
    <row r="376" ht="14.25" customHeight="1">
      <c r="A376" s="1112"/>
      <c r="B376" s="157" t="s">
        <v>91</v>
      </c>
      <c r="C376" s="244">
        <v>2.0</v>
      </c>
      <c r="D376" s="158">
        <f t="shared" si="30"/>
        <v>0.2</v>
      </c>
      <c r="E376" s="1998"/>
      <c r="F376" s="159" t="s">
        <v>5</v>
      </c>
      <c r="G376" s="194" t="s">
        <v>2883</v>
      </c>
      <c r="H376" s="1"/>
      <c r="I376" s="1"/>
      <c r="J376" s="1"/>
      <c r="K376" s="1"/>
      <c r="L376" s="1"/>
      <c r="M376" s="1"/>
      <c r="N376" s="1"/>
      <c r="O376" s="1"/>
      <c r="P376" s="1"/>
      <c r="Q376" s="1"/>
      <c r="R376" s="1"/>
      <c r="S376" s="1"/>
    </row>
    <row r="377" ht="14.25" customHeight="1">
      <c r="A377" s="1112"/>
      <c r="B377" s="177" t="s">
        <v>98</v>
      </c>
      <c r="C377" s="27">
        <v>50.0</v>
      </c>
      <c r="D377" s="201">
        <f t="shared" si="30"/>
        <v>5</v>
      </c>
      <c r="E377" s="1735"/>
      <c r="F377" s="204" t="s">
        <v>18</v>
      </c>
      <c r="G377" s="63"/>
      <c r="H377" s="1"/>
      <c r="I377" s="1"/>
      <c r="J377" s="1"/>
      <c r="K377" s="1"/>
      <c r="L377" s="1"/>
      <c r="M377" s="1"/>
      <c r="N377" s="1"/>
      <c r="O377" s="1"/>
      <c r="P377" s="1"/>
      <c r="Q377" s="1"/>
      <c r="R377" s="1"/>
      <c r="S377" s="1"/>
    </row>
    <row r="378" ht="14.25" customHeight="1">
      <c r="A378" s="1112"/>
      <c r="B378" s="177" t="s">
        <v>2886</v>
      </c>
      <c r="C378" s="27">
        <v>70.0</v>
      </c>
      <c r="D378" s="201">
        <f t="shared" si="30"/>
        <v>7</v>
      </c>
      <c r="E378" s="1735"/>
      <c r="F378" s="204" t="s">
        <v>14</v>
      </c>
      <c r="G378" s="63"/>
      <c r="H378" s="1"/>
      <c r="I378" s="1"/>
      <c r="J378" s="1"/>
      <c r="K378" s="1"/>
      <c r="L378" s="1"/>
      <c r="M378" s="1"/>
      <c r="N378" s="1"/>
      <c r="O378" s="1"/>
      <c r="P378" s="1"/>
      <c r="Q378" s="1"/>
      <c r="R378" s="1"/>
      <c r="S378" s="1"/>
    </row>
    <row r="379" ht="14.25" customHeight="1">
      <c r="A379" s="1112"/>
      <c r="B379" s="208" t="s">
        <v>31</v>
      </c>
      <c r="C379" s="236">
        <v>500.0</v>
      </c>
      <c r="D379" s="257">
        <f t="shared" si="30"/>
        <v>50</v>
      </c>
      <c r="E379" s="1738"/>
      <c r="F379" s="212" t="s">
        <v>18</v>
      </c>
      <c r="G379" s="102"/>
      <c r="H379" s="1"/>
      <c r="I379" s="1"/>
      <c r="J379" s="1"/>
      <c r="K379" s="1"/>
      <c r="L379" s="1"/>
      <c r="M379" s="1"/>
      <c r="N379" s="1"/>
      <c r="O379" s="1"/>
      <c r="P379" s="1"/>
      <c r="Q379" s="1"/>
      <c r="R379" s="1"/>
      <c r="S379" s="1"/>
    </row>
    <row r="380" ht="14.25" customHeight="1">
      <c r="A380" s="1112"/>
      <c r="B380" s="157" t="s">
        <v>91</v>
      </c>
      <c r="C380" s="244">
        <v>1.5</v>
      </c>
      <c r="D380" s="158">
        <f t="shared" si="30"/>
        <v>0.15</v>
      </c>
      <c r="E380" s="1998"/>
      <c r="F380" s="159" t="s">
        <v>5</v>
      </c>
      <c r="G380" s="194" t="s">
        <v>2888</v>
      </c>
      <c r="H380" s="1"/>
      <c r="I380" s="1"/>
      <c r="J380" s="1"/>
      <c r="K380" s="1"/>
      <c r="L380" s="1"/>
      <c r="M380" s="1"/>
      <c r="N380" s="1"/>
      <c r="O380" s="1"/>
      <c r="P380" s="1"/>
      <c r="Q380" s="1"/>
      <c r="R380" s="1"/>
      <c r="S380" s="1"/>
    </row>
    <row r="381" ht="14.25" customHeight="1">
      <c r="A381" s="1112"/>
      <c r="B381" s="177" t="s">
        <v>98</v>
      </c>
      <c r="C381" s="27">
        <v>200.0</v>
      </c>
      <c r="D381" s="201">
        <f t="shared" si="30"/>
        <v>20</v>
      </c>
      <c r="E381" s="1735"/>
      <c r="F381" s="204" t="s">
        <v>18</v>
      </c>
      <c r="G381" s="63"/>
      <c r="H381" s="1"/>
      <c r="I381" s="1"/>
      <c r="J381" s="1"/>
      <c r="K381" s="1"/>
      <c r="L381" s="1"/>
      <c r="M381" s="1"/>
      <c r="N381" s="1"/>
      <c r="O381" s="1"/>
      <c r="P381" s="1"/>
      <c r="Q381" s="1"/>
      <c r="R381" s="1"/>
      <c r="S381" s="1"/>
    </row>
    <row r="382" ht="14.25" customHeight="1">
      <c r="A382" s="1112"/>
      <c r="B382" s="177" t="s">
        <v>753</v>
      </c>
      <c r="C382" s="27">
        <v>600.0</v>
      </c>
      <c r="D382" s="201">
        <f t="shared" si="30"/>
        <v>60</v>
      </c>
      <c r="E382" s="1735"/>
      <c r="F382" s="204" t="s">
        <v>18</v>
      </c>
      <c r="G382" s="63"/>
      <c r="H382" s="1"/>
      <c r="I382" s="1"/>
      <c r="J382" s="1"/>
      <c r="K382" s="1"/>
      <c r="L382" s="1"/>
      <c r="M382" s="1"/>
      <c r="N382" s="1"/>
      <c r="O382" s="1"/>
      <c r="P382" s="1"/>
      <c r="Q382" s="1"/>
      <c r="R382" s="1"/>
      <c r="S382" s="1"/>
    </row>
    <row r="383" ht="14.25" customHeight="1">
      <c r="A383" s="1112"/>
      <c r="B383" s="177" t="s">
        <v>148</v>
      </c>
      <c r="C383" s="27">
        <v>400.0</v>
      </c>
      <c r="D383" s="201">
        <f t="shared" si="30"/>
        <v>40</v>
      </c>
      <c r="E383" s="1735"/>
      <c r="F383" s="204" t="s">
        <v>18</v>
      </c>
      <c r="G383" s="63"/>
      <c r="H383" s="1"/>
      <c r="I383" s="1"/>
      <c r="J383" s="1"/>
      <c r="K383" s="1"/>
      <c r="L383" s="1"/>
      <c r="M383" s="1"/>
      <c r="N383" s="1"/>
      <c r="O383" s="1"/>
      <c r="P383" s="1"/>
      <c r="Q383" s="1"/>
      <c r="R383" s="1"/>
      <c r="S383" s="1"/>
    </row>
    <row r="384" ht="14.25" customHeight="1">
      <c r="A384" s="1112"/>
      <c r="B384" s="177" t="s">
        <v>103</v>
      </c>
      <c r="C384" s="27">
        <v>100.0</v>
      </c>
      <c r="D384" s="201">
        <f t="shared" si="30"/>
        <v>10</v>
      </c>
      <c r="E384" s="1735"/>
      <c r="F384" s="204" t="s">
        <v>18</v>
      </c>
      <c r="G384" s="63"/>
      <c r="H384" s="1"/>
      <c r="I384" s="1"/>
      <c r="J384" s="1"/>
      <c r="K384" s="1"/>
      <c r="L384" s="1"/>
      <c r="M384" s="1"/>
      <c r="N384" s="1"/>
      <c r="O384" s="1"/>
      <c r="P384" s="1"/>
      <c r="Q384" s="1"/>
      <c r="R384" s="1"/>
      <c r="S384" s="1"/>
    </row>
    <row r="385" ht="14.25" customHeight="1">
      <c r="A385" s="1112"/>
      <c r="B385" s="177" t="s">
        <v>101</v>
      </c>
      <c r="C385" s="27">
        <v>1.0</v>
      </c>
      <c r="D385" s="201">
        <f t="shared" si="30"/>
        <v>0.1</v>
      </c>
      <c r="E385" s="1735"/>
      <c r="F385" s="204" t="s">
        <v>5</v>
      </c>
      <c r="G385" s="63"/>
      <c r="H385" s="1"/>
      <c r="I385" s="1"/>
      <c r="J385" s="1"/>
      <c r="K385" s="1"/>
      <c r="L385" s="1"/>
      <c r="M385" s="1"/>
      <c r="N385" s="1"/>
      <c r="O385" s="1"/>
      <c r="P385" s="1"/>
      <c r="Q385" s="1"/>
      <c r="R385" s="1"/>
      <c r="S385" s="1"/>
    </row>
    <row r="386" ht="14.25" customHeight="1">
      <c r="A386" s="1"/>
      <c r="B386" s="262" t="s">
        <v>52</v>
      </c>
      <c r="C386" s="50">
        <v>200.0</v>
      </c>
      <c r="D386" s="265">
        <f t="shared" si="30"/>
        <v>20</v>
      </c>
      <c r="E386" s="2164"/>
      <c r="F386" s="267" t="s">
        <v>18</v>
      </c>
      <c r="G386" s="102"/>
      <c r="H386" s="1"/>
      <c r="I386" s="1"/>
      <c r="J386" s="1"/>
      <c r="K386" s="1"/>
      <c r="L386" s="1"/>
      <c r="M386" s="1"/>
      <c r="N386" s="1"/>
      <c r="O386" s="1"/>
      <c r="P386" s="1"/>
      <c r="Q386" s="1"/>
      <c r="R386" s="1"/>
      <c r="S386" s="1"/>
    </row>
    <row r="387" ht="14.25" customHeight="1">
      <c r="A387" s="1"/>
      <c r="B387" s="163" t="s">
        <v>350</v>
      </c>
      <c r="C387" s="221">
        <v>5.0</v>
      </c>
      <c r="D387" s="164">
        <f t="shared" si="30"/>
        <v>0.5</v>
      </c>
      <c r="E387" s="1731"/>
      <c r="F387" s="169" t="s">
        <v>14</v>
      </c>
      <c r="G387" s="194" t="s">
        <v>2900</v>
      </c>
      <c r="H387" s="1"/>
      <c r="I387" s="1"/>
      <c r="J387" s="1"/>
      <c r="K387" s="1"/>
      <c r="L387" s="1"/>
      <c r="M387" s="1"/>
      <c r="N387" s="1"/>
      <c r="O387" s="1"/>
      <c r="P387" s="1"/>
      <c r="Q387" s="1"/>
      <c r="R387" s="1"/>
      <c r="S387" s="1"/>
    </row>
    <row r="388" ht="14.25" customHeight="1">
      <c r="A388" s="1112"/>
      <c r="B388" s="262" t="s">
        <v>2333</v>
      </c>
      <c r="C388" s="50">
        <v>20.0</v>
      </c>
      <c r="D388" s="265">
        <f t="shared" si="30"/>
        <v>2</v>
      </c>
      <c r="E388" s="2164"/>
      <c r="F388" s="267" t="s">
        <v>999</v>
      </c>
      <c r="G388" s="63"/>
      <c r="H388" s="1"/>
      <c r="I388" s="1"/>
      <c r="J388" s="1"/>
      <c r="K388" s="1"/>
      <c r="L388" s="1"/>
      <c r="M388" s="1"/>
      <c r="N388" s="1"/>
      <c r="O388" s="1"/>
      <c r="P388" s="1"/>
      <c r="Q388" s="1"/>
      <c r="R388" s="1"/>
      <c r="S388" s="1"/>
    </row>
    <row r="389" ht="14.25" customHeight="1">
      <c r="A389" s="1112"/>
      <c r="B389" s="163" t="s">
        <v>102</v>
      </c>
      <c r="C389" s="221">
        <v>40.0</v>
      </c>
      <c r="D389" s="164">
        <f t="shared" si="30"/>
        <v>4</v>
      </c>
      <c r="E389" s="1731"/>
      <c r="F389" s="169" t="s">
        <v>18</v>
      </c>
      <c r="G389" s="63"/>
      <c r="H389" s="1"/>
      <c r="I389" s="1"/>
      <c r="J389" s="1"/>
      <c r="K389" s="1"/>
      <c r="L389" s="1"/>
      <c r="M389" s="1"/>
      <c r="N389" s="1"/>
      <c r="O389" s="1"/>
      <c r="P389" s="1"/>
      <c r="Q389" s="1"/>
      <c r="R389" s="1"/>
      <c r="S389" s="1"/>
    </row>
    <row r="390" ht="14.25" customHeight="1">
      <c r="A390" s="1112"/>
      <c r="B390" s="177" t="s">
        <v>210</v>
      </c>
      <c r="C390" s="27">
        <v>20.0</v>
      </c>
      <c r="D390" s="201">
        <f t="shared" si="30"/>
        <v>2</v>
      </c>
      <c r="E390" s="1735"/>
      <c r="F390" s="204" t="s">
        <v>18</v>
      </c>
      <c r="G390" s="63"/>
      <c r="H390" s="1"/>
      <c r="I390" s="1"/>
      <c r="J390" s="1"/>
      <c r="K390" s="1"/>
      <c r="L390" s="1"/>
      <c r="M390" s="1"/>
      <c r="N390" s="1"/>
      <c r="O390" s="1"/>
      <c r="P390" s="1"/>
      <c r="Q390" s="1"/>
      <c r="R390" s="1"/>
      <c r="S390" s="1"/>
    </row>
    <row r="391" ht="14.25" customHeight="1">
      <c r="A391" s="1112"/>
      <c r="B391" s="177" t="s">
        <v>884</v>
      </c>
      <c r="C391" s="27">
        <v>50.0</v>
      </c>
      <c r="D391" s="201">
        <f t="shared" si="30"/>
        <v>5</v>
      </c>
      <c r="E391" s="1735"/>
      <c r="F391" s="204" t="s">
        <v>18</v>
      </c>
      <c r="G391" s="63"/>
      <c r="H391" s="1"/>
      <c r="I391" s="1"/>
      <c r="J391" s="1"/>
      <c r="K391" s="1"/>
      <c r="L391" s="1"/>
      <c r="M391" s="1"/>
      <c r="N391" s="1"/>
      <c r="O391" s="1"/>
      <c r="P391" s="1"/>
      <c r="Q391" s="1"/>
      <c r="R391" s="1"/>
      <c r="S391" s="1"/>
    </row>
    <row r="392" ht="14.25" customHeight="1">
      <c r="A392" s="1112"/>
      <c r="B392" s="177" t="s">
        <v>162</v>
      </c>
      <c r="C392" s="27">
        <v>100.0</v>
      </c>
      <c r="D392" s="201">
        <f t="shared" si="30"/>
        <v>10</v>
      </c>
      <c r="E392" s="1735"/>
      <c r="F392" s="204" t="s">
        <v>18</v>
      </c>
      <c r="G392" s="63"/>
      <c r="H392" s="1"/>
      <c r="I392" s="1"/>
      <c r="J392" s="1"/>
      <c r="K392" s="1"/>
      <c r="L392" s="1"/>
      <c r="M392" s="1"/>
      <c r="N392" s="1"/>
      <c r="O392" s="1"/>
      <c r="P392" s="1"/>
      <c r="Q392" s="1"/>
      <c r="R392" s="1"/>
      <c r="S392" s="1"/>
    </row>
    <row r="393" ht="14.25" customHeight="1">
      <c r="A393" s="1112"/>
      <c r="B393" s="177" t="s">
        <v>95</v>
      </c>
      <c r="C393" s="27">
        <v>25.0</v>
      </c>
      <c r="D393" s="201">
        <f t="shared" si="30"/>
        <v>2.5</v>
      </c>
      <c r="E393" s="1735"/>
      <c r="F393" s="204" t="s">
        <v>18</v>
      </c>
      <c r="G393" s="63"/>
      <c r="H393" s="1"/>
      <c r="I393" s="1"/>
      <c r="J393" s="1"/>
      <c r="K393" s="1"/>
      <c r="L393" s="1"/>
      <c r="M393" s="1"/>
      <c r="N393" s="1"/>
      <c r="O393" s="1"/>
      <c r="P393" s="1"/>
      <c r="Q393" s="1"/>
      <c r="R393" s="1"/>
      <c r="S393" s="1"/>
    </row>
    <row r="394" ht="14.25" customHeight="1">
      <c r="A394" s="1112"/>
      <c r="B394" s="208" t="s">
        <v>2467</v>
      </c>
      <c r="C394" s="236">
        <v>1.2</v>
      </c>
      <c r="D394" s="257">
        <f t="shared" si="30"/>
        <v>0.12</v>
      </c>
      <c r="E394" s="1738"/>
      <c r="F394" s="212" t="s">
        <v>14</v>
      </c>
      <c r="G394" s="102"/>
      <c r="H394" s="1"/>
      <c r="I394" s="1"/>
      <c r="J394" s="1"/>
      <c r="K394" s="1"/>
      <c r="L394" s="1"/>
      <c r="M394" s="1"/>
      <c r="N394" s="1"/>
      <c r="O394" s="1"/>
      <c r="P394" s="1"/>
      <c r="Q394" s="1"/>
      <c r="R394" s="1"/>
      <c r="S394" s="1"/>
    </row>
    <row r="395" ht="14.25" customHeight="1">
      <c r="A395" s="1112"/>
      <c r="B395" s="157" t="s">
        <v>2533</v>
      </c>
      <c r="C395" s="244">
        <v>15.0</v>
      </c>
      <c r="D395" s="158">
        <f t="shared" si="30"/>
        <v>1.5</v>
      </c>
      <c r="E395" s="1998"/>
      <c r="F395" s="159" t="s">
        <v>14</v>
      </c>
      <c r="G395" s="2554"/>
      <c r="H395" s="1"/>
      <c r="I395" s="1"/>
      <c r="J395" s="1"/>
      <c r="K395" s="1"/>
      <c r="L395" s="1"/>
      <c r="M395" s="1"/>
      <c r="N395" s="1"/>
      <c r="O395" s="1"/>
      <c r="P395" s="1"/>
      <c r="Q395" s="1"/>
      <c r="R395" s="1"/>
      <c r="S395" s="1"/>
    </row>
    <row r="396" ht="14.25" customHeight="1">
      <c r="A396" s="1112"/>
      <c r="B396" s="163" t="s">
        <v>31</v>
      </c>
      <c r="C396" s="221">
        <v>500.0</v>
      </c>
      <c r="D396" s="164">
        <f t="shared" si="30"/>
        <v>50</v>
      </c>
      <c r="E396" s="1731"/>
      <c r="F396" s="169" t="s">
        <v>18</v>
      </c>
      <c r="G396" s="141"/>
      <c r="H396" s="1"/>
      <c r="I396" s="1"/>
      <c r="J396" s="1"/>
      <c r="K396" s="1"/>
      <c r="L396" s="1"/>
      <c r="M396" s="1"/>
      <c r="N396" s="1"/>
      <c r="O396" s="1"/>
      <c r="P396" s="1"/>
      <c r="Q396" s="1"/>
      <c r="R396" s="1"/>
      <c r="S396" s="1"/>
    </row>
    <row r="397" ht="14.25" customHeight="1">
      <c r="A397" s="1112"/>
      <c r="B397" s="262" t="s">
        <v>13</v>
      </c>
      <c r="C397" s="50">
        <v>1.0</v>
      </c>
      <c r="D397" s="253">
        <f t="shared" si="30"/>
        <v>0.1</v>
      </c>
      <c r="E397" s="1760"/>
      <c r="F397" s="267" t="s">
        <v>14</v>
      </c>
      <c r="G397" s="141"/>
      <c r="H397" s="1"/>
      <c r="I397" s="1"/>
      <c r="J397" s="1"/>
      <c r="K397" s="1"/>
      <c r="L397" s="1"/>
      <c r="M397" s="1"/>
      <c r="N397" s="1"/>
      <c r="O397" s="1"/>
      <c r="P397" s="1"/>
      <c r="Q397" s="1"/>
      <c r="R397" s="1"/>
      <c r="S397" s="1"/>
    </row>
    <row r="398" ht="14.25" customHeight="1">
      <c r="A398" s="1112"/>
      <c r="B398" s="458" t="s">
        <v>335</v>
      </c>
      <c r="C398" s="71">
        <v>2.5</v>
      </c>
      <c r="D398" s="608">
        <f t="shared" si="30"/>
        <v>0.25</v>
      </c>
      <c r="E398" s="2150"/>
      <c r="F398" s="463" t="s">
        <v>5</v>
      </c>
      <c r="G398" s="2092" t="s">
        <v>204</v>
      </c>
      <c r="H398" s="1"/>
      <c r="I398" s="1"/>
      <c r="J398" s="1"/>
      <c r="K398" s="1"/>
      <c r="L398" s="1"/>
      <c r="M398" s="1"/>
      <c r="N398" s="1"/>
      <c r="O398" s="1"/>
      <c r="P398" s="1"/>
      <c r="Q398" s="1"/>
      <c r="R398" s="1"/>
      <c r="S398" s="1"/>
    </row>
    <row r="399" ht="14.25" customHeight="1">
      <c r="A399" s="1112"/>
      <c r="B399" s="1640" t="s">
        <v>119</v>
      </c>
      <c r="C399" s="183" t="s">
        <v>47</v>
      </c>
      <c r="D399" s="184"/>
      <c r="E399" s="184"/>
      <c r="F399" s="1"/>
      <c r="G399" s="1"/>
      <c r="H399" s="1"/>
      <c r="I399" s="1"/>
      <c r="J399" s="1"/>
      <c r="K399" s="1"/>
      <c r="L399" s="1"/>
      <c r="M399" s="1"/>
      <c r="N399" s="1"/>
      <c r="O399" s="1"/>
      <c r="P399" s="1"/>
      <c r="Q399" s="1"/>
      <c r="R399" s="1"/>
      <c r="S399" s="1"/>
    </row>
    <row r="400" ht="14.25" customHeight="1">
      <c r="A400" s="1112"/>
      <c r="B400" s="90" t="s">
        <v>120</v>
      </c>
      <c r="C400" s="1188">
        <v>41004.0</v>
      </c>
      <c r="D400" s="184"/>
      <c r="E400" s="184"/>
      <c r="F400" s="1"/>
      <c r="G400" s="1"/>
      <c r="H400" s="1"/>
      <c r="I400" s="1"/>
      <c r="J400" s="1"/>
      <c r="K400" s="1"/>
      <c r="L400" s="1"/>
      <c r="M400" s="1"/>
      <c r="N400" s="1"/>
      <c r="O400" s="1"/>
      <c r="P400" s="1"/>
      <c r="Q400" s="1"/>
      <c r="R400" s="1"/>
      <c r="S400" s="1"/>
    </row>
    <row r="401" ht="14.25" customHeight="1">
      <c r="A401" s="1112"/>
      <c r="B401" s="305" t="s">
        <v>50</v>
      </c>
      <c r="C401" s="1363">
        <v>41795.0</v>
      </c>
      <c r="D401" s="184"/>
      <c r="E401" s="184"/>
      <c r="F401" s="1"/>
      <c r="G401" s="1"/>
      <c r="H401" s="1"/>
      <c r="I401" s="1"/>
      <c r="J401" s="1"/>
      <c r="K401" s="1"/>
      <c r="L401" s="1"/>
      <c r="M401" s="1"/>
      <c r="N401" s="1"/>
      <c r="O401" s="1"/>
      <c r="P401" s="1"/>
      <c r="Q401" s="1"/>
      <c r="R401" s="1"/>
      <c r="S401" s="1"/>
    </row>
    <row r="402" ht="14.25" customHeight="1">
      <c r="A402" s="1112"/>
      <c r="B402" s="1"/>
      <c r="C402" s="107"/>
      <c r="D402" s="184"/>
      <c r="E402" s="184"/>
      <c r="F402" s="1"/>
      <c r="G402" s="1112"/>
      <c r="H402" s="1"/>
      <c r="I402" s="1"/>
      <c r="J402" s="1"/>
      <c r="K402" s="1"/>
      <c r="L402" s="1"/>
      <c r="M402" s="1"/>
      <c r="N402" s="1"/>
      <c r="O402" s="1"/>
      <c r="P402" s="1"/>
      <c r="Q402" s="1"/>
      <c r="R402" s="1"/>
      <c r="S402" s="1"/>
    </row>
    <row r="403" ht="14.25" customHeight="1">
      <c r="A403" s="1112"/>
      <c r="B403" s="511" t="s">
        <v>2914</v>
      </c>
      <c r="C403" s="18"/>
      <c r="D403" s="18"/>
      <c r="E403" s="18"/>
      <c r="F403" s="19"/>
      <c r="G403" s="336"/>
      <c r="H403" s="1"/>
      <c r="I403" s="1"/>
      <c r="J403" s="1"/>
      <c r="K403" s="1"/>
      <c r="L403" s="1"/>
      <c r="M403" s="1"/>
      <c r="N403" s="1"/>
      <c r="O403" s="1"/>
      <c r="P403" s="1"/>
      <c r="Q403" s="1"/>
      <c r="R403" s="1"/>
      <c r="S403" s="1"/>
    </row>
    <row r="404" ht="14.25" customHeight="1">
      <c r="A404" s="1112"/>
      <c r="B404" s="51" t="s">
        <v>1</v>
      </c>
      <c r="C404" s="190">
        <v>100.0</v>
      </c>
      <c r="D404" s="513">
        <v>60.0</v>
      </c>
      <c r="E404" s="1576"/>
      <c r="F404" s="514" t="s">
        <v>5</v>
      </c>
      <c r="G404" s="336"/>
      <c r="H404" s="1"/>
      <c r="I404" s="1"/>
      <c r="J404" s="1"/>
      <c r="K404" s="1"/>
      <c r="L404" s="1"/>
      <c r="M404" s="1"/>
      <c r="N404" s="1"/>
      <c r="O404" s="1"/>
      <c r="P404" s="1"/>
      <c r="Q404" s="1"/>
      <c r="R404" s="1"/>
      <c r="S404" s="1"/>
    </row>
    <row r="405" ht="14.25" customHeight="1">
      <c r="A405" s="1112"/>
      <c r="B405" s="68" t="s">
        <v>2916</v>
      </c>
      <c r="C405" s="145">
        <v>400.0</v>
      </c>
      <c r="D405" s="155">
        <f t="shared" ref="D405:D418" si="31">(C405*D404)/C404</f>
        <v>240</v>
      </c>
      <c r="E405" s="899"/>
      <c r="F405" s="216" t="s">
        <v>526</v>
      </c>
      <c r="G405" s="194" t="s">
        <v>2918</v>
      </c>
      <c r="H405" s="1"/>
      <c r="I405" s="1"/>
      <c r="J405" s="1"/>
      <c r="K405" s="1"/>
      <c r="L405" s="1"/>
      <c r="M405" s="1"/>
      <c r="N405" s="1"/>
      <c r="O405" s="1"/>
      <c r="P405" s="1"/>
      <c r="Q405" s="1"/>
      <c r="R405" s="1"/>
      <c r="S405" s="1"/>
    </row>
    <row r="406" ht="14.25" customHeight="1">
      <c r="A406" s="1112"/>
      <c r="B406" s="93" t="s">
        <v>59</v>
      </c>
      <c r="C406" s="195">
        <v>25.0</v>
      </c>
      <c r="D406" s="78">
        <f t="shared" si="31"/>
        <v>15</v>
      </c>
      <c r="E406" s="900"/>
      <c r="F406" s="249" t="s">
        <v>5</v>
      </c>
      <c r="G406" s="63"/>
      <c r="H406" s="1"/>
      <c r="I406" s="1"/>
      <c r="J406" s="1"/>
      <c r="K406" s="1"/>
      <c r="L406" s="1"/>
      <c r="M406" s="1"/>
      <c r="N406" s="1"/>
      <c r="O406" s="1"/>
      <c r="P406" s="1"/>
      <c r="Q406" s="1"/>
      <c r="R406" s="1"/>
      <c r="S406" s="1"/>
    </row>
    <row r="407" ht="14.25" customHeight="1">
      <c r="A407" s="1112"/>
      <c r="B407" s="93" t="s">
        <v>1274</v>
      </c>
      <c r="C407" s="195">
        <v>2.5</v>
      </c>
      <c r="D407" s="78">
        <f t="shared" si="31"/>
        <v>1.5</v>
      </c>
      <c r="E407" s="900"/>
      <c r="F407" s="249" t="s">
        <v>14</v>
      </c>
      <c r="G407" s="63"/>
      <c r="H407" s="1"/>
      <c r="I407" s="1"/>
      <c r="J407" s="1"/>
      <c r="K407" s="1"/>
      <c r="L407" s="1"/>
      <c r="M407" s="1"/>
      <c r="N407" s="1"/>
      <c r="O407" s="1"/>
      <c r="P407" s="1"/>
      <c r="Q407" s="1"/>
      <c r="R407" s="1"/>
      <c r="S407" s="1"/>
    </row>
    <row r="408" ht="14.25" customHeight="1">
      <c r="A408" s="1112"/>
      <c r="B408" s="2559" t="s">
        <v>173</v>
      </c>
      <c r="C408" s="2560">
        <v>3000.0</v>
      </c>
      <c r="D408" s="2561">
        <f t="shared" si="31"/>
        <v>1800</v>
      </c>
      <c r="E408" s="2562"/>
      <c r="F408" s="2563" t="s">
        <v>18</v>
      </c>
      <c r="G408" s="102"/>
      <c r="H408" s="1"/>
      <c r="I408" s="1"/>
      <c r="J408" s="1"/>
      <c r="K408" s="1"/>
      <c r="L408" s="1"/>
      <c r="M408" s="1"/>
      <c r="N408" s="1"/>
      <c r="O408" s="1"/>
      <c r="P408" s="1"/>
      <c r="Q408" s="1"/>
      <c r="R408" s="1"/>
      <c r="S408" s="1"/>
    </row>
    <row r="409" ht="14.25" customHeight="1">
      <c r="A409" s="1112"/>
      <c r="B409" s="119" t="s">
        <v>142</v>
      </c>
      <c r="C409" s="238">
        <v>20.0</v>
      </c>
      <c r="D409" s="129">
        <f t="shared" si="31"/>
        <v>12</v>
      </c>
      <c r="E409" s="1583"/>
      <c r="F409" s="520" t="s">
        <v>9</v>
      </c>
      <c r="G409" s="194" t="s">
        <v>2922</v>
      </c>
      <c r="H409" s="1"/>
      <c r="I409" s="1"/>
      <c r="J409" s="1"/>
      <c r="K409" s="1"/>
      <c r="L409" s="1"/>
      <c r="M409" s="1"/>
      <c r="N409" s="1"/>
      <c r="O409" s="1"/>
      <c r="P409" s="1"/>
      <c r="Q409" s="1"/>
      <c r="R409" s="1"/>
      <c r="S409" s="1"/>
    </row>
    <row r="410" ht="14.25" customHeight="1">
      <c r="A410" s="1"/>
      <c r="B410" s="93" t="s">
        <v>60</v>
      </c>
      <c r="C410" s="195">
        <v>2.5</v>
      </c>
      <c r="D410" s="78">
        <f t="shared" si="31"/>
        <v>1.5</v>
      </c>
      <c r="E410" s="900"/>
      <c r="F410" s="249" t="s">
        <v>14</v>
      </c>
      <c r="G410" s="63"/>
      <c r="H410" s="1"/>
      <c r="I410" s="1"/>
      <c r="J410" s="1"/>
      <c r="K410" s="1"/>
      <c r="L410" s="1"/>
      <c r="M410" s="1"/>
      <c r="N410" s="1"/>
      <c r="O410" s="1"/>
      <c r="P410" s="1"/>
      <c r="Q410" s="1"/>
      <c r="R410" s="1"/>
      <c r="S410" s="1"/>
    </row>
    <row r="411" ht="14.25" customHeight="1">
      <c r="A411" s="1112"/>
      <c r="B411" s="93" t="s">
        <v>2925</v>
      </c>
      <c r="C411" s="195">
        <v>5.0</v>
      </c>
      <c r="D411" s="78">
        <f t="shared" si="31"/>
        <v>3</v>
      </c>
      <c r="E411" s="900"/>
      <c r="F411" s="249" t="s">
        <v>14</v>
      </c>
      <c r="G411" s="63"/>
      <c r="H411" s="1"/>
      <c r="I411" s="1"/>
      <c r="J411" s="1"/>
      <c r="K411" s="1"/>
      <c r="L411" s="1"/>
      <c r="M411" s="1"/>
      <c r="N411" s="1"/>
      <c r="O411" s="1"/>
      <c r="P411" s="1"/>
      <c r="Q411" s="1"/>
      <c r="R411" s="1"/>
      <c r="S411" s="1"/>
    </row>
    <row r="412" ht="14.25" customHeight="1">
      <c r="A412" s="1112"/>
      <c r="B412" s="93" t="s">
        <v>31</v>
      </c>
      <c r="C412" s="195">
        <v>1000.0</v>
      </c>
      <c r="D412" s="78">
        <f t="shared" si="31"/>
        <v>600</v>
      </c>
      <c r="E412" s="900"/>
      <c r="F412" s="249" t="s">
        <v>18</v>
      </c>
      <c r="G412" s="63"/>
      <c r="H412" s="1"/>
      <c r="I412" s="1"/>
      <c r="J412" s="1"/>
      <c r="K412" s="1"/>
      <c r="L412" s="1"/>
      <c r="M412" s="1"/>
      <c r="N412" s="1"/>
      <c r="O412" s="1"/>
      <c r="P412" s="1"/>
      <c r="Q412" s="1"/>
      <c r="R412" s="1"/>
      <c r="S412" s="1"/>
    </row>
    <row r="413" ht="14.25" customHeight="1">
      <c r="A413" s="1112"/>
      <c r="B413" s="105" t="s">
        <v>52</v>
      </c>
      <c r="C413" s="200">
        <v>125.0</v>
      </c>
      <c r="D413" s="56">
        <f t="shared" si="31"/>
        <v>75</v>
      </c>
      <c r="E413" s="1604"/>
      <c r="F413" s="518" t="s">
        <v>18</v>
      </c>
      <c r="G413" s="102"/>
      <c r="H413" s="1"/>
      <c r="I413" s="1"/>
      <c r="J413" s="1"/>
      <c r="K413" s="1"/>
      <c r="L413" s="1"/>
      <c r="M413" s="1"/>
      <c r="N413" s="1"/>
      <c r="O413" s="1"/>
      <c r="P413" s="1"/>
      <c r="Q413" s="1"/>
      <c r="R413" s="1"/>
      <c r="S413" s="1"/>
    </row>
    <row r="414" ht="14.25" customHeight="1">
      <c r="A414" s="1112"/>
      <c r="B414" s="149" t="s">
        <v>80</v>
      </c>
      <c r="C414" s="152">
        <v>6.25</v>
      </c>
      <c r="D414" s="274">
        <f t="shared" si="31"/>
        <v>3.75</v>
      </c>
      <c r="E414" s="1690"/>
      <c r="F414" s="288" t="s">
        <v>14</v>
      </c>
      <c r="G414" s="549" t="s">
        <v>2928</v>
      </c>
      <c r="H414" s="1"/>
      <c r="I414" s="1"/>
      <c r="J414" s="1"/>
      <c r="K414" s="1"/>
      <c r="L414" s="1"/>
      <c r="M414" s="1"/>
      <c r="N414" s="1"/>
      <c r="O414" s="1"/>
      <c r="P414" s="1"/>
      <c r="Q414" s="1"/>
      <c r="R414" s="1"/>
      <c r="S414" s="1"/>
    </row>
    <row r="415" ht="14.25" customHeight="1">
      <c r="A415" s="1112"/>
      <c r="B415" s="119" t="s">
        <v>91</v>
      </c>
      <c r="C415" s="238">
        <v>2.5</v>
      </c>
      <c r="D415" s="129">
        <f t="shared" si="31"/>
        <v>1.5</v>
      </c>
      <c r="E415" s="1583"/>
      <c r="F415" s="520" t="s">
        <v>5</v>
      </c>
      <c r="G415" s="194" t="s">
        <v>94</v>
      </c>
      <c r="H415" s="1"/>
      <c r="I415" s="1"/>
      <c r="J415" s="1"/>
      <c r="K415" s="1"/>
      <c r="L415" s="1"/>
      <c r="M415" s="1"/>
      <c r="N415" s="1"/>
      <c r="O415" s="1"/>
      <c r="P415" s="1"/>
      <c r="Q415" s="1"/>
      <c r="R415" s="1"/>
      <c r="S415" s="1"/>
    </row>
    <row r="416" ht="14.25" customHeight="1">
      <c r="A416" s="1112"/>
      <c r="B416" s="93" t="s">
        <v>97</v>
      </c>
      <c r="C416" s="195">
        <v>250.0</v>
      </c>
      <c r="D416" s="78">
        <f t="shared" si="31"/>
        <v>150</v>
      </c>
      <c r="E416" s="900"/>
      <c r="F416" s="249" t="s">
        <v>18</v>
      </c>
      <c r="G416" s="63"/>
      <c r="H416" s="1"/>
      <c r="I416" s="1"/>
      <c r="J416" s="1"/>
      <c r="K416" s="1"/>
      <c r="L416" s="1"/>
      <c r="M416" s="1"/>
      <c r="N416" s="1"/>
      <c r="O416" s="1"/>
      <c r="P416" s="1"/>
      <c r="Q416" s="1"/>
      <c r="R416" s="1"/>
      <c r="S416" s="1"/>
    </row>
    <row r="417" ht="14.25" customHeight="1">
      <c r="A417" s="1112"/>
      <c r="B417" s="93" t="s">
        <v>126</v>
      </c>
      <c r="C417" s="195">
        <v>250.0</v>
      </c>
      <c r="D417" s="78">
        <f t="shared" si="31"/>
        <v>150</v>
      </c>
      <c r="E417" s="900"/>
      <c r="F417" s="249" t="s">
        <v>18</v>
      </c>
      <c r="G417" s="63"/>
      <c r="H417" s="1"/>
      <c r="I417" s="1"/>
      <c r="J417" s="1"/>
      <c r="K417" s="1"/>
      <c r="L417" s="1"/>
      <c r="M417" s="1"/>
      <c r="N417" s="1"/>
      <c r="O417" s="1"/>
      <c r="P417" s="1"/>
      <c r="Q417" s="1"/>
      <c r="R417" s="1"/>
      <c r="S417" s="1"/>
    </row>
    <row r="418" ht="14.25" customHeight="1">
      <c r="A418" s="1112"/>
      <c r="B418" s="105" t="s">
        <v>103</v>
      </c>
      <c r="C418" s="200">
        <v>100.0</v>
      </c>
      <c r="D418" s="56">
        <f t="shared" si="31"/>
        <v>60</v>
      </c>
      <c r="E418" s="1604"/>
      <c r="F418" s="518" t="s">
        <v>18</v>
      </c>
      <c r="G418" s="102"/>
      <c r="H418" s="1"/>
      <c r="I418" s="1"/>
      <c r="J418" s="1"/>
      <c r="K418" s="1"/>
      <c r="L418" s="1"/>
      <c r="M418" s="1"/>
      <c r="N418" s="1"/>
      <c r="O418" s="1"/>
      <c r="P418" s="1"/>
      <c r="Q418" s="1"/>
      <c r="R418" s="1"/>
      <c r="S418" s="1"/>
    </row>
    <row r="419" ht="14.25" customHeight="1">
      <c r="A419" s="1112"/>
      <c r="B419" s="1640" t="s">
        <v>119</v>
      </c>
      <c r="C419" s="183" t="s">
        <v>47</v>
      </c>
      <c r="D419" s="184"/>
      <c r="E419" s="184"/>
      <c r="F419" s="1"/>
      <c r="G419" s="1"/>
      <c r="H419" s="1"/>
      <c r="I419" s="1"/>
      <c r="J419" s="1"/>
      <c r="K419" s="1"/>
      <c r="L419" s="1"/>
      <c r="M419" s="1"/>
      <c r="N419" s="1"/>
      <c r="O419" s="1"/>
      <c r="P419" s="1"/>
      <c r="Q419" s="1"/>
      <c r="R419" s="1"/>
      <c r="S419" s="1"/>
    </row>
    <row r="420" ht="14.25" customHeight="1">
      <c r="A420" s="1112"/>
      <c r="B420" s="203" t="s">
        <v>502</v>
      </c>
      <c r="C420" s="1309">
        <v>40801.0</v>
      </c>
      <c r="D420" s="1838"/>
      <c r="E420" s="1838"/>
      <c r="F420" s="1"/>
      <c r="G420" s="1"/>
      <c r="H420" s="1"/>
      <c r="I420" s="1"/>
      <c r="J420" s="1"/>
      <c r="K420" s="1"/>
      <c r="L420" s="1"/>
      <c r="M420" s="1"/>
      <c r="N420" s="1"/>
      <c r="O420" s="1"/>
      <c r="P420" s="1"/>
      <c r="Q420" s="1"/>
      <c r="R420" s="1"/>
      <c r="S420" s="1"/>
    </row>
    <row r="421" ht="14.25" customHeight="1">
      <c r="A421" s="1112"/>
      <c r="B421" s="203" t="s">
        <v>50</v>
      </c>
      <c r="C421" s="1309">
        <v>41527.0</v>
      </c>
      <c r="D421" s="1838"/>
      <c r="E421" s="1838"/>
      <c r="F421" s="1"/>
      <c r="G421" s="1"/>
      <c r="H421" s="1"/>
      <c r="I421" s="1"/>
      <c r="J421" s="1"/>
      <c r="K421" s="1"/>
      <c r="L421" s="1"/>
      <c r="M421" s="1"/>
      <c r="N421" s="1"/>
      <c r="O421" s="1"/>
      <c r="P421" s="1"/>
      <c r="Q421" s="1"/>
      <c r="R421" s="1"/>
      <c r="S421" s="1"/>
    </row>
    <row r="422" ht="14.25" customHeight="1">
      <c r="A422" s="1112"/>
      <c r="B422" s="2574" t="s">
        <v>2931</v>
      </c>
      <c r="C422" s="2576"/>
      <c r="D422" s="2578"/>
      <c r="E422" s="2579"/>
      <c r="F422" s="1"/>
      <c r="G422" s="1"/>
      <c r="H422" s="1"/>
      <c r="I422" s="1"/>
      <c r="J422" s="1"/>
      <c r="K422" s="1"/>
      <c r="L422" s="1"/>
      <c r="M422" s="1"/>
      <c r="N422" s="1"/>
      <c r="O422" s="1"/>
      <c r="P422" s="1"/>
      <c r="Q422" s="1"/>
      <c r="R422" s="1"/>
      <c r="S422" s="1"/>
    </row>
    <row r="423" ht="14.25" customHeight="1">
      <c r="A423" s="1112"/>
      <c r="B423" s="1"/>
      <c r="C423" s="107"/>
      <c r="D423" s="184"/>
      <c r="E423" s="184"/>
      <c r="F423" s="1"/>
      <c r="G423" s="1112"/>
      <c r="H423" s="1"/>
      <c r="I423" s="1"/>
      <c r="J423" s="1"/>
      <c r="K423" s="1"/>
      <c r="L423" s="1"/>
      <c r="M423" s="1"/>
      <c r="N423" s="1"/>
      <c r="O423" s="1"/>
      <c r="P423" s="1"/>
      <c r="Q423" s="1"/>
      <c r="R423" s="1"/>
      <c r="S423" s="1"/>
    </row>
    <row r="424" ht="14.25" customHeight="1">
      <c r="A424" s="2262" t="s">
        <v>2502</v>
      </c>
      <c r="B424" s="209" t="s">
        <v>637</v>
      </c>
      <c r="C424" s="18"/>
      <c r="D424" s="18"/>
      <c r="E424" s="18"/>
      <c r="F424" s="19"/>
      <c r="G424" s="2582" t="s">
        <v>2935</v>
      </c>
      <c r="H424" s="1"/>
      <c r="I424" s="1"/>
      <c r="J424" s="1"/>
      <c r="K424" s="1"/>
      <c r="L424" s="1"/>
      <c r="M424" s="1"/>
      <c r="N424" s="1"/>
      <c r="O424" s="1"/>
      <c r="P424" s="1"/>
      <c r="Q424" s="1"/>
      <c r="R424" s="1"/>
      <c r="S424" s="1"/>
    </row>
    <row r="425" ht="14.25" customHeight="1">
      <c r="A425" s="63"/>
      <c r="B425" s="163" t="s">
        <v>1</v>
      </c>
      <c r="C425" s="221">
        <v>100.0</v>
      </c>
      <c r="D425" s="2584">
        <v>15.0</v>
      </c>
      <c r="E425" s="2585"/>
      <c r="F425" s="1714" t="s">
        <v>5</v>
      </c>
      <c r="G425" s="1112"/>
      <c r="H425" s="1"/>
      <c r="I425" s="1"/>
      <c r="J425" s="1"/>
      <c r="K425" s="1"/>
      <c r="L425" s="1"/>
      <c r="M425" s="1"/>
      <c r="N425" s="1"/>
      <c r="O425" s="1"/>
      <c r="P425" s="1"/>
      <c r="Q425" s="1"/>
      <c r="R425" s="1"/>
      <c r="S425" s="1"/>
    </row>
    <row r="426" ht="14.25" customHeight="1">
      <c r="A426" s="63"/>
      <c r="B426" s="262" t="s">
        <v>314</v>
      </c>
      <c r="C426" s="50">
        <v>75.0</v>
      </c>
      <c r="D426" s="2587">
        <f t="shared" ref="D426:D441" si="32">(C426*D425)/C425</f>
        <v>11.25</v>
      </c>
      <c r="E426" s="2588"/>
      <c r="F426" s="1303" t="s">
        <v>14</v>
      </c>
      <c r="G426" s="637"/>
      <c r="H426" s="1"/>
      <c r="I426" s="1"/>
      <c r="J426" s="1"/>
      <c r="K426" s="1"/>
      <c r="L426" s="1"/>
      <c r="M426" s="1"/>
      <c r="N426" s="1"/>
      <c r="O426" s="1"/>
      <c r="P426" s="1"/>
      <c r="Q426" s="1"/>
      <c r="R426" s="1"/>
      <c r="S426" s="1"/>
    </row>
    <row r="427" ht="14.25" customHeight="1">
      <c r="A427" s="102"/>
      <c r="B427" s="163" t="s">
        <v>1531</v>
      </c>
      <c r="C427" s="221">
        <v>12.5</v>
      </c>
      <c r="D427" s="2584">
        <f t="shared" si="32"/>
        <v>1.875</v>
      </c>
      <c r="E427" s="2585"/>
      <c r="F427" s="1714" t="s">
        <v>14</v>
      </c>
      <c r="G427" s="194" t="s">
        <v>2943</v>
      </c>
      <c r="H427" s="1"/>
      <c r="I427" s="1"/>
      <c r="J427" s="1"/>
      <c r="K427" s="1"/>
      <c r="L427" s="1"/>
      <c r="M427" s="1"/>
      <c r="N427" s="1"/>
      <c r="O427" s="1"/>
      <c r="P427" s="1"/>
      <c r="Q427" s="1"/>
      <c r="R427" s="1"/>
      <c r="S427" s="1"/>
    </row>
    <row r="428" ht="14.25" customHeight="1">
      <c r="A428" s="1112"/>
      <c r="B428" s="177" t="s">
        <v>1252</v>
      </c>
      <c r="C428" s="27">
        <v>25.0</v>
      </c>
      <c r="D428" s="2590">
        <f t="shared" si="32"/>
        <v>3.75</v>
      </c>
      <c r="E428" s="2591"/>
      <c r="F428" s="1302" t="s">
        <v>14</v>
      </c>
      <c r="G428" s="63"/>
      <c r="H428" s="1"/>
      <c r="I428" s="1"/>
      <c r="J428" s="1"/>
      <c r="K428" s="1"/>
      <c r="L428" s="1"/>
      <c r="M428" s="1"/>
      <c r="N428" s="1"/>
      <c r="O428" s="1"/>
      <c r="P428" s="1"/>
      <c r="Q428" s="1"/>
      <c r="R428" s="1"/>
      <c r="S428" s="1"/>
    </row>
    <row r="429" ht="14.25" customHeight="1">
      <c r="A429" s="1112"/>
      <c r="B429" s="177" t="s">
        <v>1551</v>
      </c>
      <c r="C429" s="27">
        <v>25.0</v>
      </c>
      <c r="D429" s="2590">
        <f t="shared" si="32"/>
        <v>3.75</v>
      </c>
      <c r="E429" s="2591"/>
      <c r="F429" s="1302" t="s">
        <v>14</v>
      </c>
      <c r="G429" s="63"/>
      <c r="H429" s="1"/>
      <c r="I429" s="1"/>
      <c r="J429" s="1"/>
      <c r="K429" s="1"/>
      <c r="L429" s="1"/>
      <c r="M429" s="1"/>
      <c r="N429" s="1"/>
      <c r="O429" s="1"/>
      <c r="P429" s="1"/>
      <c r="Q429" s="1"/>
      <c r="R429" s="1"/>
      <c r="S429" s="1"/>
    </row>
    <row r="430" ht="14.25" customHeight="1">
      <c r="A430" s="1112"/>
      <c r="B430" s="177" t="s">
        <v>2828</v>
      </c>
      <c r="C430" s="27">
        <v>75.0</v>
      </c>
      <c r="D430" s="2590">
        <f t="shared" si="32"/>
        <v>11.25</v>
      </c>
      <c r="E430" s="2591"/>
      <c r="F430" s="1302" t="s">
        <v>9</v>
      </c>
      <c r="G430" s="63"/>
      <c r="H430" s="1"/>
      <c r="I430" s="1"/>
      <c r="J430" s="1"/>
      <c r="K430" s="1"/>
      <c r="L430" s="1"/>
      <c r="M430" s="1"/>
      <c r="N430" s="1"/>
      <c r="O430" s="1"/>
      <c r="P430" s="1"/>
      <c r="Q430" s="1"/>
      <c r="R430" s="1"/>
      <c r="S430" s="1"/>
    </row>
    <row r="431" ht="14.25" customHeight="1">
      <c r="A431" s="1112"/>
      <c r="B431" s="208" t="s">
        <v>1250</v>
      </c>
      <c r="C431" s="236">
        <v>10.0</v>
      </c>
      <c r="D431" s="2593">
        <f t="shared" si="32"/>
        <v>1.5</v>
      </c>
      <c r="E431" s="2594"/>
      <c r="F431" s="1722" t="s">
        <v>14</v>
      </c>
      <c r="G431" s="102"/>
      <c r="H431" s="1"/>
      <c r="I431" s="1"/>
      <c r="J431" s="1"/>
      <c r="K431" s="1"/>
      <c r="L431" s="1"/>
      <c r="M431" s="1"/>
      <c r="N431" s="1"/>
      <c r="O431" s="1"/>
      <c r="P431" s="1"/>
      <c r="Q431" s="1"/>
      <c r="R431" s="1"/>
      <c r="S431" s="1"/>
    </row>
    <row r="432" ht="14.25" customHeight="1">
      <c r="A432" s="1112"/>
      <c r="B432" s="157" t="s">
        <v>31</v>
      </c>
      <c r="C432" s="244">
        <v>1500.0</v>
      </c>
      <c r="D432" s="2595">
        <f t="shared" si="32"/>
        <v>225</v>
      </c>
      <c r="E432" s="2596"/>
      <c r="F432" s="1734" t="s">
        <v>18</v>
      </c>
      <c r="G432" s="141"/>
      <c r="H432" s="1"/>
      <c r="I432" s="1"/>
      <c r="J432" s="1"/>
      <c r="K432" s="1"/>
      <c r="L432" s="1"/>
      <c r="M432" s="1"/>
      <c r="N432" s="1"/>
      <c r="O432" s="1"/>
      <c r="P432" s="1"/>
      <c r="Q432" s="1"/>
      <c r="R432" s="1"/>
      <c r="S432" s="1"/>
    </row>
    <row r="433" ht="14.25" customHeight="1">
      <c r="A433" s="1112"/>
      <c r="B433" s="177" t="s">
        <v>52</v>
      </c>
      <c r="C433" s="27">
        <v>50.0</v>
      </c>
      <c r="D433" s="2590">
        <f t="shared" si="32"/>
        <v>7.5</v>
      </c>
      <c r="E433" s="2591"/>
      <c r="F433" s="1302" t="s">
        <v>18</v>
      </c>
      <c r="G433" s="141"/>
      <c r="H433" s="1"/>
      <c r="I433" s="1"/>
      <c r="J433" s="1"/>
      <c r="K433" s="1"/>
      <c r="L433" s="1"/>
      <c r="M433" s="1"/>
      <c r="N433" s="1"/>
      <c r="O433" s="1"/>
      <c r="P433" s="1"/>
      <c r="Q433" s="1"/>
      <c r="R433" s="1"/>
      <c r="S433" s="1"/>
    </row>
    <row r="434" ht="14.25" customHeight="1">
      <c r="A434" s="1112"/>
      <c r="B434" s="262" t="s">
        <v>101</v>
      </c>
      <c r="C434" s="50">
        <v>2.0</v>
      </c>
      <c r="D434" s="2587">
        <f t="shared" si="32"/>
        <v>0.3</v>
      </c>
      <c r="E434" s="2588"/>
      <c r="F434" s="1303" t="s">
        <v>5</v>
      </c>
      <c r="G434" s="141"/>
      <c r="H434" s="1"/>
      <c r="I434" s="1"/>
      <c r="J434" s="1"/>
      <c r="K434" s="1"/>
      <c r="L434" s="1"/>
      <c r="M434" s="1" t="s">
        <v>76</v>
      </c>
      <c r="N434" s="1"/>
      <c r="O434" s="1"/>
      <c r="P434" s="1"/>
      <c r="Q434" s="1"/>
      <c r="R434" s="1"/>
      <c r="S434" s="1"/>
    </row>
    <row r="435" ht="14.25" customHeight="1">
      <c r="A435" s="1112"/>
      <c r="B435" s="163" t="s">
        <v>101</v>
      </c>
      <c r="C435" s="221">
        <v>2.5</v>
      </c>
      <c r="D435" s="2584">
        <f t="shared" si="32"/>
        <v>0.375</v>
      </c>
      <c r="E435" s="2585"/>
      <c r="F435" s="1714" t="s">
        <v>5</v>
      </c>
      <c r="G435" s="194" t="s">
        <v>2959</v>
      </c>
      <c r="H435" s="1"/>
      <c r="I435" s="1"/>
      <c r="J435" s="1"/>
      <c r="K435" s="1"/>
      <c r="L435" s="1"/>
      <c r="M435" s="1"/>
      <c r="N435" s="1"/>
      <c r="O435" s="1"/>
      <c r="P435" s="1"/>
      <c r="Q435" s="1"/>
      <c r="R435" s="1"/>
      <c r="S435" s="1"/>
    </row>
    <row r="436" ht="14.25" customHeight="1">
      <c r="A436" s="1112"/>
      <c r="B436" s="177" t="s">
        <v>142</v>
      </c>
      <c r="C436" s="27">
        <v>9.5</v>
      </c>
      <c r="D436" s="2590">
        <f t="shared" si="32"/>
        <v>1.425</v>
      </c>
      <c r="E436" s="2591"/>
      <c r="F436" s="1302" t="s">
        <v>14</v>
      </c>
      <c r="G436" s="63"/>
      <c r="H436" s="1"/>
      <c r="I436" s="1"/>
      <c r="J436" s="1"/>
      <c r="K436" s="1"/>
      <c r="L436" s="1"/>
      <c r="M436" s="1"/>
      <c r="N436" s="1"/>
      <c r="O436" s="1"/>
      <c r="P436" s="1"/>
      <c r="Q436" s="1"/>
      <c r="R436" s="1"/>
      <c r="S436" s="1"/>
    </row>
    <row r="437" ht="14.25" customHeight="1">
      <c r="A437" s="1112"/>
      <c r="B437" s="177" t="s">
        <v>858</v>
      </c>
      <c r="C437" s="27">
        <v>32.0</v>
      </c>
      <c r="D437" s="2590">
        <f t="shared" si="32"/>
        <v>4.8</v>
      </c>
      <c r="E437" s="2591"/>
      <c r="F437" s="1302" t="s">
        <v>9</v>
      </c>
      <c r="G437" s="63"/>
      <c r="H437" s="1"/>
      <c r="I437" s="1"/>
      <c r="J437" s="1"/>
      <c r="K437" s="1"/>
      <c r="L437" s="1"/>
      <c r="M437" s="1"/>
      <c r="N437" s="1"/>
      <c r="O437" s="1"/>
      <c r="P437" s="1"/>
      <c r="Q437" s="1"/>
      <c r="R437" s="1"/>
      <c r="S437" s="1"/>
    </row>
    <row r="438" ht="14.25" customHeight="1">
      <c r="A438" s="1112"/>
      <c r="B438" s="177" t="s">
        <v>2962</v>
      </c>
      <c r="C438" s="27">
        <v>15.0</v>
      </c>
      <c r="D438" s="2590">
        <f t="shared" si="32"/>
        <v>2.25</v>
      </c>
      <c r="E438" s="2591"/>
      <c r="F438" s="1302" t="s">
        <v>5</v>
      </c>
      <c r="G438" s="63"/>
      <c r="H438" s="1"/>
      <c r="I438" s="1"/>
      <c r="J438" s="1"/>
      <c r="K438" s="1"/>
      <c r="L438" s="1"/>
      <c r="M438" s="1"/>
      <c r="N438" s="1"/>
      <c r="O438" s="1"/>
      <c r="P438" s="1"/>
      <c r="Q438" s="1"/>
      <c r="R438" s="1"/>
      <c r="S438" s="1"/>
    </row>
    <row r="439" ht="14.25" customHeight="1">
      <c r="A439" s="1112"/>
      <c r="B439" s="177" t="s">
        <v>98</v>
      </c>
      <c r="C439" s="27">
        <v>150.0</v>
      </c>
      <c r="D439" s="2590">
        <f t="shared" si="32"/>
        <v>22.5</v>
      </c>
      <c r="E439" s="2591"/>
      <c r="F439" s="1302" t="s">
        <v>18</v>
      </c>
      <c r="G439" s="63"/>
      <c r="H439" s="1"/>
      <c r="I439" s="1"/>
      <c r="J439" s="1"/>
      <c r="K439" s="1"/>
      <c r="L439" s="1"/>
      <c r="M439" s="1"/>
      <c r="N439" s="1"/>
      <c r="O439" s="1"/>
      <c r="P439" s="1"/>
      <c r="Q439" s="1"/>
      <c r="R439" s="1"/>
      <c r="S439" s="1"/>
    </row>
    <row r="440" ht="14.25" customHeight="1">
      <c r="A440" s="1112"/>
      <c r="B440" s="208" t="s">
        <v>39</v>
      </c>
      <c r="C440" s="236">
        <v>500.0</v>
      </c>
      <c r="D440" s="2593">
        <f t="shared" si="32"/>
        <v>75</v>
      </c>
      <c r="E440" s="2594"/>
      <c r="F440" s="1722" t="s">
        <v>18</v>
      </c>
      <c r="G440" s="102"/>
      <c r="H440" s="1"/>
      <c r="I440" s="1"/>
      <c r="J440" s="1"/>
      <c r="K440" s="1"/>
      <c r="L440" s="1"/>
      <c r="M440" s="1"/>
      <c r="N440" s="1"/>
      <c r="O440" s="1"/>
      <c r="P440" s="1"/>
      <c r="Q440" s="1"/>
      <c r="R440" s="1"/>
      <c r="S440" s="1"/>
    </row>
    <row r="441" ht="14.25" customHeight="1">
      <c r="A441" s="1112"/>
      <c r="B441" s="325" t="s">
        <v>34</v>
      </c>
      <c r="C441" s="370">
        <v>3.0</v>
      </c>
      <c r="D441" s="2600">
        <f t="shared" si="32"/>
        <v>0.45</v>
      </c>
      <c r="E441" s="2601"/>
      <c r="F441" s="1755" t="s">
        <v>5</v>
      </c>
      <c r="G441" s="2092" t="s">
        <v>204</v>
      </c>
      <c r="H441" s="1"/>
      <c r="I441" s="1"/>
      <c r="J441" s="1"/>
      <c r="K441" s="1"/>
      <c r="L441" s="1"/>
      <c r="M441" s="1"/>
      <c r="N441" s="1"/>
      <c r="O441" s="1"/>
      <c r="P441" s="1"/>
      <c r="Q441" s="1"/>
      <c r="R441" s="1"/>
      <c r="S441" s="1"/>
    </row>
    <row r="442" ht="14.25" customHeight="1">
      <c r="A442" s="1"/>
      <c r="B442" s="1640" t="s">
        <v>119</v>
      </c>
      <c r="C442" s="183" t="s">
        <v>47</v>
      </c>
      <c r="D442" s="184"/>
      <c r="E442" s="184"/>
      <c r="F442" s="1"/>
      <c r="G442" s="1"/>
      <c r="H442" s="1"/>
      <c r="I442" s="1"/>
      <c r="J442" s="1"/>
      <c r="K442" s="1"/>
      <c r="L442" s="1"/>
      <c r="M442" s="1"/>
      <c r="N442" s="1"/>
      <c r="O442" s="1"/>
      <c r="P442" s="1"/>
      <c r="Q442" s="1"/>
      <c r="R442" s="1"/>
      <c r="S442" s="1"/>
    </row>
    <row r="443" ht="14.25" customHeight="1">
      <c r="A443" s="1"/>
      <c r="B443" s="2603" t="s">
        <v>120</v>
      </c>
      <c r="C443" s="2606">
        <v>40752.0</v>
      </c>
      <c r="D443" s="184"/>
      <c r="E443" s="184"/>
      <c r="F443" s="1"/>
      <c r="G443" s="1"/>
      <c r="H443" s="1"/>
      <c r="I443" s="1"/>
      <c r="J443" s="1"/>
      <c r="K443" s="1"/>
      <c r="L443" s="1"/>
      <c r="M443" s="1"/>
      <c r="N443" s="1"/>
      <c r="O443" s="1"/>
      <c r="P443" s="1"/>
      <c r="Q443" s="1"/>
      <c r="R443" s="1"/>
      <c r="S443" s="1"/>
    </row>
    <row r="444" ht="14.25" customHeight="1">
      <c r="A444" s="1"/>
      <c r="B444" s="302" t="s">
        <v>1486</v>
      </c>
      <c r="C444" s="625">
        <v>41407.0</v>
      </c>
      <c r="D444" s="184"/>
      <c r="E444" s="184"/>
      <c r="F444" s="1"/>
      <c r="G444" s="1"/>
      <c r="H444" s="1"/>
      <c r="I444" s="1"/>
      <c r="J444" s="1"/>
      <c r="K444" s="1"/>
      <c r="L444" s="1"/>
      <c r="M444" s="1"/>
      <c r="N444" s="1"/>
      <c r="O444" s="1"/>
      <c r="P444" s="1"/>
      <c r="Q444" s="1"/>
      <c r="R444" s="1"/>
      <c r="S444" s="1"/>
    </row>
    <row r="445" ht="14.25" customHeight="1">
      <c r="A445" s="1"/>
      <c r="B445" s="1"/>
      <c r="C445" s="107"/>
      <c r="D445" s="184"/>
      <c r="E445" s="184"/>
      <c r="F445" s="1"/>
      <c r="G445" s="1"/>
      <c r="H445" s="1"/>
      <c r="I445" s="1"/>
      <c r="J445" s="1"/>
      <c r="K445" s="1"/>
      <c r="L445" s="1"/>
      <c r="M445" s="1"/>
      <c r="N445" s="1"/>
      <c r="O445" s="1"/>
      <c r="P445" s="1"/>
      <c r="Q445" s="1"/>
      <c r="R445" s="1"/>
      <c r="S445" s="1"/>
    </row>
    <row r="446" ht="14.25" customHeight="1">
      <c r="A446" s="1"/>
      <c r="B446" s="511" t="s">
        <v>2973</v>
      </c>
      <c r="C446" s="18"/>
      <c r="D446" s="18"/>
      <c r="E446" s="18"/>
      <c r="F446" s="19"/>
      <c r="G446" s="284"/>
      <c r="H446" s="1"/>
      <c r="I446" s="1"/>
      <c r="J446" s="1"/>
      <c r="K446" s="1"/>
      <c r="L446" s="1"/>
      <c r="M446" s="1"/>
      <c r="N446" s="1"/>
      <c r="O446" s="1"/>
      <c r="P446" s="1"/>
      <c r="Q446" s="1"/>
      <c r="R446" s="1"/>
      <c r="S446" s="1"/>
    </row>
    <row r="447" ht="14.25" customHeight="1">
      <c r="A447" s="1"/>
      <c r="B447" s="51" t="s">
        <v>1</v>
      </c>
      <c r="C447" s="190">
        <v>100.0</v>
      </c>
      <c r="D447" s="513">
        <v>10.0</v>
      </c>
      <c r="E447" s="1576"/>
      <c r="F447" s="514" t="s">
        <v>5</v>
      </c>
      <c r="G447" s="284"/>
      <c r="H447" s="1"/>
      <c r="I447" s="1"/>
      <c r="J447" s="1"/>
      <c r="K447" s="1"/>
      <c r="L447" s="1"/>
      <c r="M447" s="1"/>
      <c r="N447" s="1"/>
      <c r="O447" s="1"/>
      <c r="P447" s="1"/>
      <c r="Q447" s="1"/>
      <c r="R447" s="1"/>
      <c r="S447" s="1"/>
    </row>
    <row r="448" ht="14.25" customHeight="1">
      <c r="A448" s="1"/>
      <c r="B448" s="68" t="s">
        <v>2975</v>
      </c>
      <c r="C448" s="145">
        <v>7.5</v>
      </c>
      <c r="D448" s="155">
        <f t="shared" ref="D448:D466" si="33">(C448*D447)/C447</f>
        <v>0.75</v>
      </c>
      <c r="E448" s="899"/>
      <c r="F448" s="216" t="s">
        <v>14</v>
      </c>
      <c r="G448" s="264" t="s">
        <v>2977</v>
      </c>
      <c r="H448" s="1"/>
      <c r="I448" s="1"/>
      <c r="J448" s="1"/>
      <c r="K448" s="1"/>
      <c r="L448" s="1"/>
      <c r="M448" s="1"/>
      <c r="N448" s="1"/>
      <c r="O448" s="1"/>
      <c r="P448" s="1"/>
      <c r="Q448" s="1"/>
      <c r="R448" s="1"/>
      <c r="S448" s="1"/>
    </row>
    <row r="449" ht="14.25" customHeight="1">
      <c r="A449" s="1"/>
      <c r="B449" s="2612" t="s">
        <v>122</v>
      </c>
      <c r="C449" s="2613">
        <v>10.0</v>
      </c>
      <c r="D449" s="2617">
        <f t="shared" si="33"/>
        <v>1</v>
      </c>
      <c r="E449" s="2620"/>
      <c r="F449" s="2622" t="s">
        <v>5</v>
      </c>
      <c r="G449" s="66"/>
      <c r="H449" s="1"/>
      <c r="I449" s="1"/>
      <c r="J449" s="1"/>
      <c r="K449" s="1"/>
      <c r="L449" s="1"/>
      <c r="M449" s="1"/>
      <c r="N449" s="1"/>
      <c r="O449" s="1"/>
      <c r="P449" s="1"/>
      <c r="Q449" s="1"/>
      <c r="R449" s="1"/>
      <c r="S449" s="1"/>
    </row>
    <row r="450" ht="14.25" customHeight="1">
      <c r="A450" s="1"/>
      <c r="B450" s="2612" t="s">
        <v>59</v>
      </c>
      <c r="C450" s="2613">
        <v>10.0</v>
      </c>
      <c r="D450" s="2617">
        <f t="shared" si="33"/>
        <v>1</v>
      </c>
      <c r="E450" s="2620"/>
      <c r="F450" s="2622" t="s">
        <v>5</v>
      </c>
      <c r="G450" s="66"/>
      <c r="H450" s="1"/>
      <c r="I450" s="1"/>
      <c r="J450" s="1"/>
      <c r="K450" s="1"/>
      <c r="L450" s="1"/>
      <c r="M450" s="1"/>
      <c r="N450" s="1"/>
      <c r="O450" s="1"/>
      <c r="P450" s="1"/>
      <c r="Q450" s="1"/>
      <c r="R450" s="1"/>
      <c r="S450" s="1"/>
    </row>
    <row r="451" ht="14.25" customHeight="1">
      <c r="A451" s="1"/>
      <c r="B451" s="2559" t="s">
        <v>59</v>
      </c>
      <c r="C451" s="2560">
        <v>20.0</v>
      </c>
      <c r="D451" s="2561">
        <f t="shared" si="33"/>
        <v>2</v>
      </c>
      <c r="E451" s="2562"/>
      <c r="F451" s="2563" t="s">
        <v>5</v>
      </c>
      <c r="G451" s="106"/>
      <c r="H451" s="1"/>
      <c r="I451" s="1"/>
      <c r="J451" s="1"/>
      <c r="K451" s="1"/>
      <c r="L451" s="1"/>
      <c r="M451" s="1"/>
      <c r="N451" s="1"/>
      <c r="O451" s="1"/>
      <c r="P451" s="1"/>
      <c r="Q451" s="1"/>
      <c r="R451" s="1"/>
      <c r="S451" s="1"/>
    </row>
    <row r="452" ht="14.25" customHeight="1">
      <c r="A452" s="1"/>
      <c r="B452" s="119" t="s">
        <v>91</v>
      </c>
      <c r="C452" s="238">
        <v>3.0</v>
      </c>
      <c r="D452" s="129">
        <f t="shared" si="33"/>
        <v>0.3</v>
      </c>
      <c r="E452" s="1583"/>
      <c r="F452" s="520" t="s">
        <v>82</v>
      </c>
      <c r="G452" s="44" t="s">
        <v>2981</v>
      </c>
      <c r="H452" s="1"/>
      <c r="I452" s="1"/>
      <c r="J452" s="1"/>
      <c r="K452" s="1"/>
      <c r="L452" s="1"/>
      <c r="M452" s="1"/>
      <c r="N452" s="1"/>
      <c r="O452" s="1"/>
      <c r="P452" s="1"/>
      <c r="Q452" s="1"/>
      <c r="R452" s="1"/>
      <c r="S452" s="1"/>
    </row>
    <row r="453" ht="14.25" customHeight="1">
      <c r="A453" s="1"/>
      <c r="B453" s="93" t="s">
        <v>97</v>
      </c>
      <c r="C453" s="195">
        <v>150.0</v>
      </c>
      <c r="D453" s="78">
        <f t="shared" si="33"/>
        <v>15</v>
      </c>
      <c r="E453" s="900"/>
      <c r="F453" s="249" t="s">
        <v>18</v>
      </c>
      <c r="G453" s="47"/>
      <c r="H453" s="1"/>
      <c r="I453" s="1"/>
      <c r="J453" s="1"/>
      <c r="K453" s="1"/>
      <c r="L453" s="1"/>
      <c r="M453" s="1"/>
      <c r="N453" s="1"/>
      <c r="O453" s="1"/>
      <c r="P453" s="1"/>
      <c r="Q453" s="1"/>
      <c r="R453" s="1"/>
      <c r="S453" s="1"/>
    </row>
    <row r="454" ht="14.25" customHeight="1">
      <c r="A454" s="1"/>
      <c r="B454" s="93" t="s">
        <v>98</v>
      </c>
      <c r="C454" s="195">
        <v>125.0</v>
      </c>
      <c r="D454" s="78">
        <f t="shared" si="33"/>
        <v>12.5</v>
      </c>
      <c r="E454" s="900"/>
      <c r="F454" s="249" t="s">
        <v>18</v>
      </c>
      <c r="G454" s="47"/>
      <c r="H454" s="1"/>
      <c r="I454" s="1"/>
      <c r="J454" s="1"/>
      <c r="K454" s="1"/>
      <c r="L454" s="1"/>
      <c r="M454" s="1"/>
      <c r="N454" s="1"/>
      <c r="O454" s="1"/>
      <c r="P454" s="1"/>
      <c r="Q454" s="1"/>
      <c r="R454" s="1"/>
      <c r="S454" s="1"/>
    </row>
    <row r="455" ht="14.25" customHeight="1">
      <c r="A455" s="1"/>
      <c r="B455" s="93" t="s">
        <v>103</v>
      </c>
      <c r="C455" s="195">
        <v>100.0</v>
      </c>
      <c r="D455" s="78">
        <f t="shared" si="33"/>
        <v>10</v>
      </c>
      <c r="E455" s="900"/>
      <c r="F455" s="249" t="s">
        <v>18</v>
      </c>
      <c r="G455" s="47"/>
      <c r="H455" s="1"/>
      <c r="I455" s="1"/>
      <c r="J455" s="1"/>
      <c r="K455" s="1"/>
      <c r="L455" s="1"/>
      <c r="M455" s="1"/>
      <c r="N455" s="1"/>
      <c r="O455" s="1"/>
      <c r="P455" s="1"/>
      <c r="Q455" s="1"/>
      <c r="R455" s="1"/>
      <c r="S455" s="1"/>
    </row>
    <row r="456" ht="14.25" customHeight="1">
      <c r="A456" s="1"/>
      <c r="B456" s="93" t="s">
        <v>179</v>
      </c>
      <c r="C456" s="195">
        <v>1000.0</v>
      </c>
      <c r="D456" s="78">
        <f t="shared" si="33"/>
        <v>100</v>
      </c>
      <c r="E456" s="900"/>
      <c r="F456" s="249" t="s">
        <v>82</v>
      </c>
      <c r="G456" s="47"/>
      <c r="H456" s="1"/>
      <c r="I456" s="1"/>
      <c r="J456" s="1"/>
      <c r="K456" s="1"/>
      <c r="L456" s="1"/>
      <c r="M456" s="1"/>
      <c r="N456" s="1"/>
      <c r="O456" s="1"/>
      <c r="P456" s="1"/>
      <c r="Q456" s="1"/>
      <c r="R456" s="1"/>
      <c r="S456" s="1"/>
    </row>
    <row r="457" ht="14.25" customHeight="1">
      <c r="A457" s="1"/>
      <c r="B457" s="138" t="s">
        <v>101</v>
      </c>
      <c r="C457" s="279">
        <v>1.5</v>
      </c>
      <c r="D457" s="146">
        <f t="shared" si="33"/>
        <v>0.15</v>
      </c>
      <c r="E457" s="1607"/>
      <c r="F457" s="242" t="s">
        <v>5</v>
      </c>
      <c r="G457" s="47"/>
      <c r="H457" s="1"/>
      <c r="I457" s="1"/>
      <c r="J457" s="1"/>
      <c r="K457" s="1"/>
      <c r="L457" s="1"/>
      <c r="M457" s="1"/>
      <c r="N457" s="1"/>
      <c r="O457" s="1"/>
      <c r="P457" s="1"/>
      <c r="Q457" s="1"/>
      <c r="R457" s="1"/>
      <c r="S457" s="1"/>
    </row>
    <row r="458" ht="14.25" customHeight="1">
      <c r="A458" s="1112"/>
      <c r="B458" s="2627" t="s">
        <v>2986</v>
      </c>
      <c r="C458" s="2628">
        <v>30.0</v>
      </c>
      <c r="D458" s="2629">
        <f t="shared" si="33"/>
        <v>3</v>
      </c>
      <c r="E458" s="2630"/>
      <c r="F458" s="2631" t="s">
        <v>5</v>
      </c>
      <c r="G458" s="47"/>
      <c r="H458" s="1"/>
      <c r="I458" s="1"/>
      <c r="J458" s="1"/>
      <c r="K458" s="1"/>
      <c r="L458" s="1"/>
      <c r="M458" s="1"/>
      <c r="N458" s="1"/>
      <c r="O458" s="1"/>
      <c r="P458" s="1"/>
      <c r="Q458" s="1"/>
      <c r="R458" s="1"/>
      <c r="S458" s="1"/>
    </row>
    <row r="459" ht="14.25" customHeight="1">
      <c r="A459" s="1112"/>
      <c r="B459" s="2230" t="s">
        <v>2989</v>
      </c>
      <c r="C459" s="2233">
        <v>15.0</v>
      </c>
      <c r="D459" s="2234">
        <f t="shared" si="33"/>
        <v>1.5</v>
      </c>
      <c r="E459" s="2236"/>
      <c r="F459" s="2632" t="s">
        <v>93</v>
      </c>
      <c r="G459" s="47"/>
      <c r="H459" s="1"/>
      <c r="I459" s="1"/>
      <c r="J459" s="1"/>
      <c r="K459" s="1"/>
      <c r="L459" s="1"/>
      <c r="M459" s="1"/>
      <c r="N459" s="1"/>
      <c r="O459" s="1"/>
      <c r="P459" s="1"/>
      <c r="Q459" s="1"/>
      <c r="R459" s="1"/>
      <c r="S459" s="1"/>
    </row>
    <row r="460" ht="14.25" customHeight="1">
      <c r="A460" s="1112"/>
      <c r="B460" s="2633" t="s">
        <v>2990</v>
      </c>
      <c r="C460" s="2634">
        <v>30.0</v>
      </c>
      <c r="D460" s="2635">
        <f t="shared" si="33"/>
        <v>3</v>
      </c>
      <c r="E460" s="2636"/>
      <c r="F460" s="2637" t="s">
        <v>5</v>
      </c>
      <c r="G460" s="47"/>
      <c r="H460" s="1"/>
      <c r="I460" s="1"/>
      <c r="J460" s="1"/>
      <c r="K460" s="1"/>
      <c r="L460" s="1"/>
      <c r="M460" s="1"/>
      <c r="N460" s="1"/>
      <c r="O460" s="1"/>
      <c r="P460" s="1"/>
      <c r="Q460" s="1"/>
      <c r="R460" s="1"/>
      <c r="S460" s="1"/>
    </row>
    <row r="461" ht="14.25" customHeight="1">
      <c r="A461" s="1112"/>
      <c r="B461" s="2449" t="s">
        <v>2991</v>
      </c>
      <c r="C461" s="2450">
        <v>90.0</v>
      </c>
      <c r="D461" s="2451">
        <f t="shared" si="33"/>
        <v>9</v>
      </c>
      <c r="E461" s="2452"/>
      <c r="F461" s="2639" t="s">
        <v>93</v>
      </c>
      <c r="G461" s="47"/>
      <c r="H461" s="1"/>
      <c r="I461" s="1"/>
      <c r="J461" s="1"/>
      <c r="K461" s="1"/>
      <c r="L461" s="1"/>
      <c r="M461" s="1"/>
      <c r="N461" s="1"/>
      <c r="O461" s="1"/>
      <c r="P461" s="1"/>
      <c r="Q461" s="1"/>
      <c r="R461" s="1"/>
      <c r="S461" s="1"/>
    </row>
    <row r="462" ht="14.25" customHeight="1">
      <c r="A462" s="1112"/>
      <c r="B462" s="2642" t="s">
        <v>490</v>
      </c>
      <c r="C462" s="2643">
        <v>7.5</v>
      </c>
      <c r="D462" s="2644">
        <f t="shared" si="33"/>
        <v>0.75</v>
      </c>
      <c r="E462" s="2645"/>
      <c r="F462" s="2646" t="s">
        <v>14</v>
      </c>
      <c r="G462" s="47"/>
      <c r="H462" s="1"/>
      <c r="I462" s="1"/>
      <c r="J462" s="1"/>
      <c r="K462" s="1"/>
      <c r="L462" s="1"/>
      <c r="M462" s="1"/>
      <c r="N462" s="1"/>
      <c r="O462" s="1"/>
      <c r="P462" s="1"/>
      <c r="Q462" s="1"/>
      <c r="R462" s="1"/>
      <c r="S462" s="1"/>
    </row>
    <row r="463" ht="14.25" customHeight="1">
      <c r="A463" s="1112"/>
      <c r="B463" s="149" t="s">
        <v>52</v>
      </c>
      <c r="C463" s="152">
        <v>150.0</v>
      </c>
      <c r="D463" s="274">
        <f t="shared" si="33"/>
        <v>15</v>
      </c>
      <c r="E463" s="1690"/>
      <c r="F463" s="288" t="s">
        <v>18</v>
      </c>
      <c r="G463" s="76"/>
      <c r="H463" s="1"/>
      <c r="I463" s="1"/>
      <c r="J463" s="1"/>
      <c r="K463" s="1"/>
      <c r="L463" s="1"/>
      <c r="M463" s="1"/>
      <c r="N463" s="1"/>
      <c r="O463" s="1"/>
      <c r="P463" s="1"/>
      <c r="Q463" s="1"/>
      <c r="R463" s="1"/>
      <c r="S463" s="1"/>
    </row>
    <row r="464" ht="14.25" customHeight="1">
      <c r="A464" s="1112"/>
      <c r="B464" s="68" t="s">
        <v>31</v>
      </c>
      <c r="C464" s="145">
        <v>1000.0</v>
      </c>
      <c r="D464" s="155">
        <f t="shared" si="33"/>
        <v>100</v>
      </c>
      <c r="E464" s="899"/>
      <c r="F464" s="216" t="s">
        <v>18</v>
      </c>
      <c r="G464" s="284"/>
      <c r="H464" s="1"/>
      <c r="I464" s="1"/>
      <c r="J464" s="1"/>
      <c r="K464" s="1"/>
      <c r="L464" s="1"/>
      <c r="M464" s="1"/>
      <c r="N464" s="1"/>
      <c r="O464" s="1"/>
      <c r="P464" s="1"/>
      <c r="Q464" s="1"/>
      <c r="R464" s="1"/>
      <c r="S464" s="1"/>
    </row>
    <row r="465" ht="14.25" customHeight="1">
      <c r="A465" s="1112"/>
      <c r="B465" s="105" t="s">
        <v>59</v>
      </c>
      <c r="C465" s="200">
        <v>62.5</v>
      </c>
      <c r="D465" s="56">
        <f t="shared" si="33"/>
        <v>6.25</v>
      </c>
      <c r="E465" s="1604"/>
      <c r="F465" s="518" t="s">
        <v>5</v>
      </c>
      <c r="G465" s="284"/>
      <c r="H465" s="1"/>
      <c r="I465" s="1"/>
      <c r="J465" s="1"/>
      <c r="K465" s="1"/>
      <c r="L465" s="1"/>
      <c r="M465" s="1"/>
      <c r="N465" s="1"/>
      <c r="O465" s="1"/>
      <c r="P465" s="1"/>
      <c r="Q465" s="1"/>
      <c r="R465" s="1"/>
      <c r="S465" s="1"/>
    </row>
    <row r="466" ht="14.25" customHeight="1">
      <c r="A466" s="1112"/>
      <c r="B466" s="149" t="s">
        <v>2995</v>
      </c>
      <c r="C466" s="152">
        <v>4.0</v>
      </c>
      <c r="D466" s="274">
        <f t="shared" si="33"/>
        <v>0.4</v>
      </c>
      <c r="E466" s="1690"/>
      <c r="F466" s="288" t="s">
        <v>5</v>
      </c>
      <c r="G466" s="2647" t="s">
        <v>1562</v>
      </c>
      <c r="H466" s="1"/>
      <c r="I466" s="1"/>
      <c r="J466" s="1"/>
      <c r="K466" s="1"/>
      <c r="L466" s="1"/>
      <c r="M466" s="1"/>
      <c r="N466" s="1"/>
      <c r="O466" s="1"/>
      <c r="P466" s="1"/>
      <c r="Q466" s="1"/>
      <c r="R466" s="1"/>
      <c r="S466" s="1"/>
    </row>
    <row r="467" ht="14.25" customHeight="1">
      <c r="A467" s="1112"/>
      <c r="B467" s="2648" t="s">
        <v>2996</v>
      </c>
      <c r="C467" s="107"/>
      <c r="D467" s="184"/>
      <c r="E467" s="184"/>
      <c r="F467" s="1"/>
      <c r="G467" s="1"/>
      <c r="H467" s="1"/>
      <c r="I467" s="1"/>
      <c r="J467" s="1"/>
      <c r="K467" s="1"/>
      <c r="L467" s="1"/>
      <c r="M467" s="1"/>
      <c r="N467" s="1"/>
      <c r="O467" s="1"/>
      <c r="P467" s="1"/>
      <c r="Q467" s="1"/>
      <c r="R467" s="1"/>
      <c r="S467" s="1"/>
    </row>
    <row r="468" ht="14.25" customHeight="1">
      <c r="A468" s="1112"/>
      <c r="B468" s="1640" t="s">
        <v>119</v>
      </c>
      <c r="C468" s="183" t="s">
        <v>47</v>
      </c>
      <c r="D468" s="184"/>
      <c r="E468" s="184"/>
      <c r="F468" s="1"/>
      <c r="G468" s="1"/>
      <c r="H468" s="1"/>
      <c r="I468" s="1"/>
      <c r="J468" s="1"/>
      <c r="K468" s="1"/>
      <c r="L468" s="1"/>
      <c r="M468" s="1"/>
      <c r="N468" s="1"/>
      <c r="O468" s="1"/>
      <c r="P468" s="1"/>
      <c r="Q468" s="1"/>
      <c r="R468" s="1"/>
      <c r="S468" s="1"/>
    </row>
    <row r="469" ht="14.25" customHeight="1">
      <c r="A469" s="1112"/>
      <c r="B469" s="2649" t="s">
        <v>120</v>
      </c>
      <c r="C469" s="376">
        <v>40934.0</v>
      </c>
      <c r="D469" s="184"/>
      <c r="E469" s="184"/>
      <c r="F469" s="1"/>
      <c r="G469" s="1"/>
      <c r="H469" s="1"/>
      <c r="I469" s="1"/>
      <c r="J469" s="1"/>
      <c r="K469" s="1"/>
      <c r="L469" s="1"/>
      <c r="M469" s="1"/>
      <c r="N469" s="1"/>
      <c r="O469" s="1"/>
      <c r="P469" s="1"/>
      <c r="Q469" s="1"/>
      <c r="R469" s="1"/>
      <c r="S469" s="1"/>
    </row>
    <row r="470" ht="14.25" customHeight="1">
      <c r="A470" s="1112"/>
      <c r="B470" s="2650" t="s">
        <v>50</v>
      </c>
      <c r="C470" s="376">
        <v>41518.0</v>
      </c>
      <c r="D470" s="184"/>
      <c r="E470" s="184"/>
      <c r="F470" s="1"/>
      <c r="G470" s="1"/>
      <c r="H470" s="1"/>
      <c r="I470" s="1"/>
      <c r="J470" s="1"/>
      <c r="K470" s="1"/>
      <c r="L470" s="1"/>
      <c r="M470" s="1"/>
      <c r="N470" s="1"/>
      <c r="O470" s="1"/>
      <c r="P470" s="1"/>
      <c r="Q470" s="1"/>
      <c r="R470" s="1"/>
      <c r="S470" s="1"/>
    </row>
    <row r="471" ht="14.25" customHeight="1">
      <c r="A471" s="1112"/>
      <c r="B471" s="1"/>
      <c r="C471" s="107"/>
      <c r="D471" s="184"/>
      <c r="E471" s="184"/>
      <c r="F471" s="1"/>
      <c r="G471" s="1112"/>
      <c r="H471" s="1"/>
      <c r="I471" s="1"/>
      <c r="J471" s="1"/>
      <c r="K471" s="1"/>
      <c r="L471" s="1"/>
      <c r="M471" s="1"/>
      <c r="N471" s="1"/>
      <c r="O471" s="1"/>
      <c r="P471" s="1"/>
      <c r="Q471" s="1"/>
      <c r="R471" s="1"/>
      <c r="S471" s="1"/>
    </row>
    <row r="472" ht="14.25" customHeight="1">
      <c r="A472" s="1112"/>
      <c r="B472" s="505" t="s">
        <v>769</v>
      </c>
      <c r="C472" s="18"/>
      <c r="D472" s="18"/>
      <c r="E472" s="18"/>
      <c r="F472" s="19"/>
      <c r="G472" s="2654"/>
      <c r="H472" s="1"/>
      <c r="I472" s="1"/>
      <c r="J472" s="1"/>
      <c r="K472" s="1"/>
      <c r="L472" s="1"/>
      <c r="M472" s="1"/>
      <c r="N472" s="1"/>
      <c r="O472" s="1"/>
      <c r="P472" s="1"/>
      <c r="Q472" s="1"/>
      <c r="R472" s="1"/>
      <c r="S472" s="1"/>
    </row>
    <row r="473" ht="14.25" customHeight="1">
      <c r="A473" s="1112"/>
      <c r="B473" s="345" t="s">
        <v>1</v>
      </c>
      <c r="C473" s="10">
        <v>100.0</v>
      </c>
      <c r="D473" s="2655">
        <v>20.0</v>
      </c>
      <c r="E473" s="2656"/>
      <c r="F473" s="348" t="s">
        <v>5</v>
      </c>
      <c r="G473" s="2658"/>
      <c r="H473" s="1"/>
      <c r="I473" s="1"/>
      <c r="J473" s="1"/>
      <c r="K473" s="1"/>
      <c r="L473" s="1"/>
      <c r="M473" s="1"/>
      <c r="N473" s="1"/>
      <c r="O473" s="1"/>
      <c r="P473" s="1"/>
      <c r="Q473" s="1"/>
      <c r="R473" s="1"/>
      <c r="S473" s="1"/>
    </row>
    <row r="474" ht="14.25" customHeight="1">
      <c r="A474" s="1112"/>
      <c r="B474" s="350" t="s">
        <v>1327</v>
      </c>
      <c r="C474" s="2659">
        <v>65.0</v>
      </c>
      <c r="D474" s="2660">
        <f t="shared" ref="D474:D487" si="34">(C474*D473)/C473</f>
        <v>13</v>
      </c>
      <c r="E474" s="2661"/>
      <c r="F474" s="352" t="s">
        <v>14</v>
      </c>
      <c r="G474" s="2658"/>
      <c r="H474" s="1"/>
      <c r="I474" s="1"/>
      <c r="J474" s="1"/>
      <c r="K474" s="1"/>
      <c r="L474" s="1"/>
      <c r="M474" s="1"/>
      <c r="N474" s="1"/>
      <c r="O474" s="1"/>
      <c r="P474" s="1"/>
      <c r="Q474" s="1"/>
      <c r="R474" s="1"/>
      <c r="S474" s="1"/>
    </row>
    <row r="475" ht="14.25" customHeight="1">
      <c r="A475" s="1112"/>
      <c r="B475" s="350" t="s">
        <v>1161</v>
      </c>
      <c r="C475" s="2659">
        <v>25.0</v>
      </c>
      <c r="D475" s="2660">
        <f t="shared" si="34"/>
        <v>5</v>
      </c>
      <c r="E475" s="2661"/>
      <c r="F475" s="352" t="s">
        <v>14</v>
      </c>
      <c r="G475" s="2658"/>
      <c r="H475" s="1"/>
      <c r="I475" s="1"/>
      <c r="J475" s="1"/>
      <c r="K475" s="1"/>
      <c r="L475" s="1"/>
      <c r="M475" s="1"/>
      <c r="N475" s="1"/>
      <c r="O475" s="1"/>
      <c r="P475" s="1"/>
      <c r="Q475" s="1"/>
      <c r="R475" s="1"/>
      <c r="S475" s="1"/>
    </row>
    <row r="476" ht="14.25" customHeight="1">
      <c r="A476" s="1112"/>
      <c r="B476" s="350" t="s">
        <v>79</v>
      </c>
      <c r="C476" s="2659">
        <v>30.0</v>
      </c>
      <c r="D476" s="2660">
        <f t="shared" si="34"/>
        <v>6</v>
      </c>
      <c r="E476" s="2661"/>
      <c r="F476" s="352" t="s">
        <v>14</v>
      </c>
      <c r="G476" s="2658"/>
      <c r="H476" s="1"/>
      <c r="I476" s="1"/>
      <c r="J476" s="1"/>
      <c r="K476" s="1"/>
      <c r="L476" s="1"/>
      <c r="M476" s="1"/>
      <c r="N476" s="1"/>
      <c r="O476" s="1"/>
      <c r="P476" s="1"/>
      <c r="Q476" s="1"/>
      <c r="R476" s="1"/>
      <c r="S476" s="1"/>
    </row>
    <row r="477" ht="14.25" customHeight="1">
      <c r="A477" s="1112"/>
      <c r="B477" s="350" t="s">
        <v>2606</v>
      </c>
      <c r="C477" s="23">
        <v>5.0</v>
      </c>
      <c r="D477" s="2660">
        <f t="shared" si="34"/>
        <v>1</v>
      </c>
      <c r="E477" s="2661"/>
      <c r="F477" s="352" t="s">
        <v>14</v>
      </c>
      <c r="G477" s="2658"/>
      <c r="H477" s="1"/>
      <c r="I477" s="1"/>
      <c r="J477" s="1"/>
      <c r="K477" s="1"/>
      <c r="L477" s="1"/>
      <c r="M477" s="1"/>
      <c r="N477" s="1"/>
      <c r="O477" s="1"/>
      <c r="P477" s="1"/>
      <c r="Q477" s="1"/>
      <c r="R477" s="1"/>
      <c r="S477" s="1"/>
    </row>
    <row r="478" ht="14.25" customHeight="1">
      <c r="A478" s="1112"/>
      <c r="B478" s="350" t="s">
        <v>3001</v>
      </c>
      <c r="C478" s="33">
        <v>650.0</v>
      </c>
      <c r="D478" s="2662">
        <f t="shared" si="34"/>
        <v>130</v>
      </c>
      <c r="E478" s="2663"/>
      <c r="F478" s="352" t="s">
        <v>18</v>
      </c>
      <c r="G478" s="2658"/>
      <c r="H478" s="1"/>
      <c r="I478" s="1"/>
      <c r="J478" s="1"/>
      <c r="K478" s="1"/>
      <c r="L478" s="1"/>
      <c r="M478" s="1"/>
      <c r="N478" s="1"/>
      <c r="O478" s="1"/>
      <c r="P478" s="1"/>
      <c r="Q478" s="1"/>
      <c r="R478" s="1"/>
      <c r="S478" s="1"/>
    </row>
    <row r="479" ht="14.25" customHeight="1">
      <c r="A479" s="1112"/>
      <c r="B479" s="350" t="s">
        <v>60</v>
      </c>
      <c r="C479" s="23">
        <v>7.0</v>
      </c>
      <c r="D479" s="2660">
        <f t="shared" si="34"/>
        <v>1.4</v>
      </c>
      <c r="E479" s="2661"/>
      <c r="F479" s="352" t="s">
        <v>14</v>
      </c>
      <c r="G479" s="2658"/>
      <c r="H479" s="1"/>
      <c r="I479" s="1"/>
      <c r="J479" s="1"/>
      <c r="K479" s="1"/>
      <c r="L479" s="1"/>
      <c r="M479" s="1"/>
      <c r="N479" s="1"/>
      <c r="O479" s="1"/>
      <c r="P479" s="1"/>
      <c r="Q479" s="1"/>
      <c r="R479" s="1"/>
      <c r="S479" s="1"/>
    </row>
    <row r="480" ht="14.25" customHeight="1">
      <c r="A480" s="1112"/>
      <c r="B480" s="350" t="s">
        <v>746</v>
      </c>
      <c r="C480" s="23">
        <v>1400.0</v>
      </c>
      <c r="D480" s="2660">
        <f t="shared" si="34"/>
        <v>280</v>
      </c>
      <c r="E480" s="2661"/>
      <c r="F480" s="352" t="s">
        <v>18</v>
      </c>
      <c r="G480" s="2658"/>
      <c r="H480" s="1"/>
      <c r="I480" s="1"/>
      <c r="J480" s="1"/>
      <c r="K480" s="1"/>
      <c r="L480" s="1"/>
      <c r="M480" s="1"/>
      <c r="N480" s="1"/>
      <c r="O480" s="1"/>
      <c r="P480" s="1"/>
      <c r="Q480" s="1"/>
      <c r="R480" s="1"/>
      <c r="S480" s="1"/>
    </row>
    <row r="481" ht="14.25" customHeight="1">
      <c r="A481" s="1112"/>
      <c r="B481" s="350" t="s">
        <v>1132</v>
      </c>
      <c r="C481" s="23">
        <v>700.0</v>
      </c>
      <c r="D481" s="2660">
        <f t="shared" si="34"/>
        <v>140</v>
      </c>
      <c r="E481" s="2661"/>
      <c r="F481" s="352" t="s">
        <v>18</v>
      </c>
      <c r="G481" s="2658"/>
      <c r="H481" s="1"/>
      <c r="I481" s="1"/>
      <c r="J481" s="1"/>
      <c r="K481" s="1"/>
      <c r="L481" s="1"/>
      <c r="M481" s="1"/>
      <c r="N481" s="1"/>
      <c r="O481" s="1"/>
      <c r="P481" s="1"/>
      <c r="Q481" s="1"/>
      <c r="R481" s="1"/>
      <c r="S481" s="1"/>
    </row>
    <row r="482" ht="14.25" customHeight="1">
      <c r="A482" s="1112"/>
      <c r="B482" s="350" t="s">
        <v>39</v>
      </c>
      <c r="C482" s="23">
        <v>650.0</v>
      </c>
      <c r="D482" s="2662">
        <f t="shared" si="34"/>
        <v>130</v>
      </c>
      <c r="E482" s="2663"/>
      <c r="F482" s="352" t="s">
        <v>18</v>
      </c>
      <c r="G482" s="2658"/>
      <c r="H482" s="1"/>
      <c r="I482" s="1"/>
      <c r="J482" s="1"/>
      <c r="K482" s="1"/>
      <c r="L482" s="1"/>
      <c r="M482" s="1"/>
      <c r="N482" s="1"/>
      <c r="O482" s="1"/>
      <c r="P482" s="1"/>
      <c r="Q482" s="1"/>
      <c r="R482" s="1"/>
      <c r="S482" s="1"/>
    </row>
    <row r="483" ht="14.25" customHeight="1">
      <c r="A483" s="1112"/>
      <c r="B483" s="350" t="s">
        <v>95</v>
      </c>
      <c r="C483" s="2659">
        <v>35.0</v>
      </c>
      <c r="D483" s="2662">
        <f t="shared" si="34"/>
        <v>7</v>
      </c>
      <c r="E483" s="2663"/>
      <c r="F483" s="352" t="s">
        <v>18</v>
      </c>
      <c r="G483" s="2658"/>
      <c r="H483" s="1"/>
      <c r="I483" s="1"/>
      <c r="J483" s="1"/>
      <c r="K483" s="1"/>
      <c r="L483" s="1"/>
      <c r="M483" s="1"/>
      <c r="N483" s="1"/>
      <c r="O483" s="1"/>
      <c r="P483" s="1"/>
      <c r="Q483" s="1"/>
      <c r="R483" s="1"/>
      <c r="S483" s="1"/>
    </row>
    <row r="484" ht="15.0" customHeight="1">
      <c r="A484" s="1112"/>
      <c r="B484" s="350" t="s">
        <v>96</v>
      </c>
      <c r="C484" s="2659">
        <v>35.0</v>
      </c>
      <c r="D484" s="2662">
        <f t="shared" si="34"/>
        <v>7</v>
      </c>
      <c r="E484" s="2663"/>
      <c r="F484" s="352" t="s">
        <v>18</v>
      </c>
      <c r="G484" s="2658"/>
      <c r="H484" s="1"/>
      <c r="I484" s="1"/>
      <c r="J484" s="1"/>
      <c r="K484" s="1"/>
      <c r="L484" s="1"/>
      <c r="M484" s="1"/>
      <c r="N484" s="1"/>
      <c r="O484" s="1"/>
      <c r="P484" s="1"/>
      <c r="Q484" s="1"/>
      <c r="R484" s="1"/>
      <c r="S484" s="1"/>
    </row>
    <row r="485" ht="14.25" customHeight="1">
      <c r="A485" s="1112"/>
      <c r="B485" s="350" t="s">
        <v>102</v>
      </c>
      <c r="C485" s="2659">
        <v>35.0</v>
      </c>
      <c r="D485" s="2662">
        <f t="shared" si="34"/>
        <v>7</v>
      </c>
      <c r="E485" s="2663"/>
      <c r="F485" s="352" t="s">
        <v>18</v>
      </c>
      <c r="G485" s="2658"/>
      <c r="H485" s="1"/>
      <c r="I485" s="1"/>
      <c r="J485" s="1"/>
      <c r="K485" s="1"/>
      <c r="L485" s="1"/>
      <c r="M485" s="1"/>
      <c r="N485" s="1"/>
      <c r="O485" s="1"/>
      <c r="P485" s="1"/>
      <c r="Q485" s="1"/>
      <c r="R485" s="1"/>
      <c r="S485" s="1"/>
    </row>
    <row r="486" ht="14.25" customHeight="1">
      <c r="A486" s="1112"/>
      <c r="B486" s="350" t="s">
        <v>1176</v>
      </c>
      <c r="C486" s="2659">
        <v>35.0</v>
      </c>
      <c r="D486" s="2662">
        <f t="shared" si="34"/>
        <v>7</v>
      </c>
      <c r="E486" s="2663"/>
      <c r="F486" s="352" t="s">
        <v>18</v>
      </c>
      <c r="G486" s="2658"/>
      <c r="H486" s="1"/>
      <c r="I486" s="1"/>
      <c r="J486" s="1"/>
      <c r="K486" s="1"/>
      <c r="L486" s="1"/>
      <c r="M486" s="1"/>
      <c r="N486" s="1"/>
      <c r="O486" s="1"/>
      <c r="P486" s="1"/>
      <c r="Q486" s="1"/>
      <c r="R486" s="1"/>
      <c r="S486" s="1"/>
    </row>
    <row r="487" ht="14.25" customHeight="1">
      <c r="A487" s="1112"/>
      <c r="B487" s="606" t="s">
        <v>1179</v>
      </c>
      <c r="C487" s="2664">
        <v>35.0</v>
      </c>
      <c r="D487" s="2665">
        <f t="shared" si="34"/>
        <v>7</v>
      </c>
      <c r="E487" s="2666"/>
      <c r="F487" s="1475" t="s">
        <v>18</v>
      </c>
      <c r="G487" s="2667"/>
      <c r="H487" s="1"/>
      <c r="I487" s="1"/>
      <c r="J487" s="1"/>
      <c r="K487" s="1"/>
      <c r="L487" s="1"/>
      <c r="M487" s="1"/>
      <c r="N487" s="1"/>
      <c r="O487" s="1"/>
      <c r="P487" s="1"/>
      <c r="Q487" s="1"/>
      <c r="R487" s="1"/>
      <c r="S487" s="1"/>
    </row>
    <row r="488" ht="14.25" customHeight="1">
      <c r="A488" s="1"/>
      <c r="B488" s="2670" t="s">
        <v>119</v>
      </c>
      <c r="C488" s="1446" t="s">
        <v>47</v>
      </c>
      <c r="D488" s="2672"/>
      <c r="E488" s="2672"/>
      <c r="F488" s="7"/>
      <c r="G488" s="847"/>
      <c r="H488" s="1"/>
      <c r="I488" s="1"/>
      <c r="J488" s="1"/>
      <c r="K488" s="1"/>
      <c r="L488" s="1"/>
      <c r="M488" s="1"/>
      <c r="N488" s="1"/>
      <c r="O488" s="1"/>
      <c r="P488" s="1"/>
      <c r="Q488" s="1"/>
      <c r="R488" s="1"/>
      <c r="S488" s="1"/>
    </row>
    <row r="489" ht="14.25" customHeight="1">
      <c r="A489" s="1"/>
      <c r="B489" s="90" t="s">
        <v>120</v>
      </c>
      <c r="C489" s="1188">
        <v>41826.0</v>
      </c>
      <c r="D489" s="453"/>
      <c r="E489" s="453"/>
      <c r="F489" s="1"/>
      <c r="G489" s="1"/>
      <c r="H489" s="1"/>
      <c r="I489" s="1"/>
      <c r="J489" s="1"/>
      <c r="K489" s="1"/>
      <c r="L489" s="1"/>
      <c r="M489" s="1"/>
      <c r="N489" s="1"/>
      <c r="O489" s="1"/>
      <c r="P489" s="1"/>
      <c r="Q489" s="1"/>
      <c r="R489" s="1"/>
      <c r="S489" s="1"/>
    </row>
    <row r="490" ht="14.25" customHeight="1">
      <c r="A490" s="1112"/>
      <c r="B490" s="305" t="s">
        <v>50</v>
      </c>
      <c r="C490" s="1188">
        <v>41827.0</v>
      </c>
      <c r="D490" s="453"/>
      <c r="E490" s="453"/>
      <c r="F490" s="1"/>
      <c r="G490" s="1"/>
      <c r="H490" s="1"/>
      <c r="I490" s="1"/>
      <c r="J490" s="1"/>
      <c r="K490" s="1"/>
      <c r="L490" s="1"/>
      <c r="M490" s="1"/>
      <c r="N490" s="1"/>
      <c r="O490" s="1"/>
      <c r="P490" s="1"/>
      <c r="Q490" s="1"/>
      <c r="R490" s="1"/>
      <c r="S490" s="1"/>
    </row>
    <row r="491" ht="14.25" customHeight="1">
      <c r="A491" s="1112"/>
      <c r="B491" s="1"/>
      <c r="C491" s="107"/>
      <c r="D491" s="184"/>
      <c r="E491" s="184"/>
      <c r="F491" s="1"/>
      <c r="G491" s="1"/>
      <c r="H491" s="1"/>
      <c r="I491" s="1"/>
      <c r="J491" s="1"/>
      <c r="K491" s="1"/>
      <c r="L491" s="1"/>
      <c r="M491" s="1"/>
      <c r="N491" s="1"/>
      <c r="O491" s="1"/>
      <c r="P491" s="1"/>
      <c r="Q491" s="1"/>
      <c r="R491" s="1"/>
      <c r="S491" s="1"/>
    </row>
    <row r="492" ht="14.25" customHeight="1">
      <c r="A492" s="1112"/>
      <c r="B492" s="511" t="s">
        <v>811</v>
      </c>
      <c r="C492" s="18"/>
      <c r="D492" s="18"/>
      <c r="E492" s="18"/>
      <c r="F492" s="19"/>
      <c r="G492" s="2277"/>
      <c r="H492" s="1"/>
      <c r="I492" s="1"/>
      <c r="J492" s="1"/>
      <c r="K492" s="1"/>
      <c r="L492" s="1"/>
      <c r="M492" s="1"/>
      <c r="N492" s="1"/>
      <c r="O492" s="1"/>
      <c r="P492" s="1"/>
      <c r="Q492" s="1"/>
      <c r="R492" s="1"/>
      <c r="S492" s="1"/>
    </row>
    <row r="493" ht="14.25" customHeight="1">
      <c r="A493" s="1112"/>
      <c r="B493" s="68" t="s">
        <v>1</v>
      </c>
      <c r="C493" s="145">
        <v>17.0</v>
      </c>
      <c r="D493" s="155">
        <v>8.0</v>
      </c>
      <c r="E493" s="899"/>
      <c r="F493" s="216" t="s">
        <v>5</v>
      </c>
      <c r="G493" s="193"/>
      <c r="H493" s="1"/>
      <c r="I493" s="1"/>
      <c r="J493" s="1"/>
      <c r="K493" s="1"/>
      <c r="L493" s="1"/>
      <c r="M493" s="1"/>
      <c r="N493" s="1"/>
      <c r="O493" s="1"/>
      <c r="P493" s="1"/>
      <c r="Q493" s="1"/>
      <c r="R493" s="1"/>
      <c r="S493" s="1"/>
    </row>
    <row r="494" ht="14.25" customHeight="1">
      <c r="A494" s="1112"/>
      <c r="B494" s="93" t="s">
        <v>3030</v>
      </c>
      <c r="C494" s="195">
        <v>8.0</v>
      </c>
      <c r="D494" s="521">
        <f t="shared" ref="D494:D514" si="35">(C494*D493)/C493</f>
        <v>3.764705882</v>
      </c>
      <c r="E494" s="1653"/>
      <c r="F494" s="249" t="s">
        <v>14</v>
      </c>
      <c r="G494" s="193"/>
      <c r="H494" s="1"/>
      <c r="I494" s="1"/>
      <c r="J494" s="1"/>
      <c r="K494" s="1"/>
      <c r="L494" s="1"/>
      <c r="M494" s="1"/>
      <c r="N494" s="1"/>
      <c r="O494" s="1"/>
      <c r="P494" s="1"/>
      <c r="Q494" s="1"/>
      <c r="R494" s="1"/>
      <c r="S494" s="1"/>
    </row>
    <row r="495" ht="14.25" customHeight="1">
      <c r="A495" s="1112"/>
      <c r="B495" s="138" t="s">
        <v>3047</v>
      </c>
      <c r="C495" s="279">
        <v>0.2</v>
      </c>
      <c r="D495" s="842">
        <f t="shared" si="35"/>
        <v>0.09411764706</v>
      </c>
      <c r="E495" s="1655"/>
      <c r="F495" s="242" t="s">
        <v>5</v>
      </c>
      <c r="G495" s="193"/>
      <c r="H495" s="1"/>
      <c r="I495" s="1"/>
      <c r="J495" s="1"/>
      <c r="K495" s="1"/>
      <c r="L495" s="1"/>
      <c r="M495" s="1"/>
      <c r="N495" s="1"/>
      <c r="O495" s="1"/>
      <c r="P495" s="1"/>
      <c r="Q495" s="1"/>
      <c r="R495" s="1"/>
      <c r="S495" s="1"/>
    </row>
    <row r="496" ht="14.25" customHeight="1">
      <c r="A496" s="1112"/>
      <c r="B496" s="68" t="s">
        <v>91</v>
      </c>
      <c r="C496" s="145">
        <v>0.4</v>
      </c>
      <c r="D496" s="516">
        <f t="shared" si="35"/>
        <v>0.1882352941</v>
      </c>
      <c r="E496" s="1652"/>
      <c r="F496" s="216" t="s">
        <v>5</v>
      </c>
      <c r="G496" s="2690" t="s">
        <v>3062</v>
      </c>
      <c r="H496" s="1"/>
      <c r="I496" s="1"/>
      <c r="J496" s="1"/>
      <c r="K496" s="1"/>
      <c r="L496" s="1"/>
      <c r="M496" s="1"/>
      <c r="N496" s="1"/>
      <c r="O496" s="1"/>
      <c r="P496" s="1"/>
      <c r="Q496" s="1"/>
      <c r="R496" s="1"/>
      <c r="S496" s="1"/>
    </row>
    <row r="497" ht="14.25" customHeight="1">
      <c r="A497" s="1112"/>
      <c r="B497" s="93" t="s">
        <v>148</v>
      </c>
      <c r="C497" s="195">
        <v>70.0</v>
      </c>
      <c r="D497" s="521">
        <f t="shared" si="35"/>
        <v>32.94117647</v>
      </c>
      <c r="E497" s="1653"/>
      <c r="F497" s="249" t="s">
        <v>18</v>
      </c>
      <c r="G497" s="66"/>
      <c r="H497" s="1"/>
      <c r="I497" s="1"/>
      <c r="J497" s="1"/>
      <c r="K497" s="1"/>
      <c r="L497" s="1"/>
      <c r="M497" s="1"/>
      <c r="N497" s="1"/>
      <c r="O497" s="1"/>
      <c r="P497" s="1"/>
      <c r="Q497" s="1"/>
      <c r="R497" s="1"/>
      <c r="S497" s="1"/>
    </row>
    <row r="498" ht="14.25" customHeight="1">
      <c r="A498" s="1112"/>
      <c r="B498" s="93" t="s">
        <v>753</v>
      </c>
      <c r="C498" s="195">
        <v>60.0</v>
      </c>
      <c r="D498" s="521">
        <f t="shared" si="35"/>
        <v>28.23529412</v>
      </c>
      <c r="E498" s="1653"/>
      <c r="F498" s="249" t="s">
        <v>18</v>
      </c>
      <c r="G498" s="66"/>
      <c r="H498" s="1"/>
      <c r="I498" s="1"/>
      <c r="J498" s="1"/>
      <c r="K498" s="1"/>
      <c r="L498" s="1"/>
      <c r="M498" s="1"/>
      <c r="N498" s="1"/>
      <c r="O498" s="1"/>
      <c r="P498" s="1"/>
      <c r="Q498" s="1"/>
      <c r="R498" s="1"/>
      <c r="S498" s="1"/>
    </row>
    <row r="499" ht="14.25" customHeight="1">
      <c r="A499" s="1112"/>
      <c r="B499" s="93" t="s">
        <v>52</v>
      </c>
      <c r="C499" s="195">
        <v>10.0</v>
      </c>
      <c r="D499" s="521">
        <f t="shared" si="35"/>
        <v>4.705882353</v>
      </c>
      <c r="E499" s="1653"/>
      <c r="F499" s="249" t="s">
        <v>18</v>
      </c>
      <c r="G499" s="66"/>
      <c r="H499" s="1"/>
      <c r="I499" s="1"/>
      <c r="J499" s="1"/>
      <c r="K499" s="1"/>
      <c r="L499" s="1"/>
      <c r="M499" s="1"/>
      <c r="N499" s="1"/>
      <c r="O499" s="1"/>
      <c r="P499" s="1"/>
      <c r="Q499" s="1"/>
      <c r="R499" s="1"/>
      <c r="S499" s="1"/>
    </row>
    <row r="500" ht="14.25" customHeight="1">
      <c r="A500" s="1112"/>
      <c r="B500" s="93" t="s">
        <v>3064</v>
      </c>
      <c r="C500" s="195">
        <v>25.0</v>
      </c>
      <c r="D500" s="521">
        <f t="shared" si="35"/>
        <v>11.76470588</v>
      </c>
      <c r="E500" s="1653"/>
      <c r="F500" s="249" t="s">
        <v>18</v>
      </c>
      <c r="G500" s="66"/>
      <c r="H500" s="1"/>
      <c r="I500" s="1"/>
      <c r="J500" s="1"/>
      <c r="K500" s="1"/>
      <c r="L500" s="1"/>
      <c r="M500" s="1"/>
      <c r="N500" s="1"/>
      <c r="O500" s="1"/>
      <c r="P500" s="1"/>
      <c r="Q500" s="1"/>
      <c r="R500" s="1"/>
      <c r="S500" s="1"/>
    </row>
    <row r="501" ht="14.25" customHeight="1">
      <c r="A501" s="1112"/>
      <c r="B501" s="93" t="s">
        <v>101</v>
      </c>
      <c r="C501" s="195">
        <v>0.2</v>
      </c>
      <c r="D501" s="521">
        <f t="shared" si="35"/>
        <v>0.09411764706</v>
      </c>
      <c r="E501" s="1653"/>
      <c r="F501" s="249" t="s">
        <v>5</v>
      </c>
      <c r="G501" s="66"/>
      <c r="H501" s="1"/>
      <c r="I501" s="1"/>
      <c r="J501" s="1"/>
      <c r="K501" s="1"/>
      <c r="L501" s="1"/>
      <c r="M501" s="1"/>
      <c r="N501" s="1"/>
      <c r="O501" s="1"/>
      <c r="P501" s="1"/>
      <c r="Q501" s="1"/>
      <c r="R501" s="1"/>
      <c r="S501" s="1"/>
    </row>
    <row r="502" ht="14.25" customHeight="1">
      <c r="A502" s="1112"/>
      <c r="B502" s="105" t="s">
        <v>3033</v>
      </c>
      <c r="C502" s="200">
        <v>1.0</v>
      </c>
      <c r="D502" s="517">
        <f t="shared" si="35"/>
        <v>0.4705882353</v>
      </c>
      <c r="E502" s="1656"/>
      <c r="F502" s="518" t="s">
        <v>14</v>
      </c>
      <c r="G502" s="106"/>
      <c r="H502" s="1"/>
      <c r="I502" s="1"/>
      <c r="J502" s="1"/>
      <c r="K502" s="1"/>
      <c r="L502" s="1"/>
      <c r="M502" s="1"/>
      <c r="N502" s="1"/>
      <c r="O502" s="1"/>
      <c r="P502" s="1"/>
      <c r="Q502" s="1"/>
      <c r="R502" s="1"/>
      <c r="S502" s="1"/>
    </row>
    <row r="503" ht="14.25" customHeight="1">
      <c r="A503" s="1112"/>
      <c r="B503" s="2225" t="s">
        <v>60</v>
      </c>
      <c r="C503" s="145">
        <v>0.6</v>
      </c>
      <c r="D503" s="516">
        <f t="shared" si="35"/>
        <v>0.2823529412</v>
      </c>
      <c r="E503" s="1652"/>
      <c r="F503" s="348" t="s">
        <v>14</v>
      </c>
      <c r="G503" s="2696" t="s">
        <v>2599</v>
      </c>
      <c r="H503" s="1"/>
      <c r="I503" s="1"/>
      <c r="J503" s="1"/>
      <c r="K503" s="1"/>
      <c r="L503" s="1"/>
      <c r="M503" s="1"/>
      <c r="N503" s="1"/>
      <c r="O503" s="1"/>
      <c r="P503" s="1"/>
      <c r="Q503" s="1"/>
      <c r="R503" s="1"/>
      <c r="S503" s="1"/>
    </row>
    <row r="504" ht="14.25" customHeight="1">
      <c r="A504" s="1112"/>
      <c r="B504" s="1421" t="s">
        <v>858</v>
      </c>
      <c r="C504" s="195">
        <v>4.0</v>
      </c>
      <c r="D504" s="521">
        <f t="shared" si="35"/>
        <v>1.882352941</v>
      </c>
      <c r="E504" s="1653"/>
      <c r="F504" s="352" t="s">
        <v>741</v>
      </c>
      <c r="G504" s="66"/>
      <c r="H504" s="1"/>
      <c r="I504" s="1"/>
      <c r="J504" s="1"/>
      <c r="K504" s="1"/>
      <c r="L504" s="1"/>
      <c r="M504" s="1"/>
      <c r="N504" s="1"/>
      <c r="O504" s="1"/>
      <c r="P504" s="1"/>
      <c r="Q504" s="1"/>
      <c r="R504" s="1"/>
      <c r="S504" s="1"/>
    </row>
    <row r="505" ht="14.25" customHeight="1">
      <c r="A505" s="1112"/>
      <c r="B505" s="1421" t="s">
        <v>2649</v>
      </c>
      <c r="C505" s="195">
        <v>1.0</v>
      </c>
      <c r="D505" s="521">
        <f t="shared" si="35"/>
        <v>0.4705882353</v>
      </c>
      <c r="E505" s="1653"/>
      <c r="F505" s="352" t="s">
        <v>14</v>
      </c>
      <c r="G505" s="66"/>
      <c r="H505" s="1"/>
      <c r="I505" s="1"/>
      <c r="J505" s="1"/>
      <c r="K505" s="1"/>
      <c r="L505" s="1"/>
      <c r="M505" s="1"/>
      <c r="N505" s="1"/>
      <c r="O505" s="1"/>
      <c r="P505" s="1"/>
      <c r="Q505" s="1"/>
      <c r="R505" s="1"/>
      <c r="S505" s="1"/>
    </row>
    <row r="506" ht="14.25" customHeight="1">
      <c r="A506" s="1112"/>
      <c r="B506" s="1421" t="s">
        <v>3065</v>
      </c>
      <c r="C506" s="195">
        <v>0.75</v>
      </c>
      <c r="D506" s="521">
        <f t="shared" si="35"/>
        <v>0.3529411765</v>
      </c>
      <c r="E506" s="1653"/>
      <c r="F506" s="352" t="s">
        <v>14</v>
      </c>
      <c r="G506" s="66"/>
      <c r="H506" s="1"/>
      <c r="I506" s="1"/>
      <c r="J506" s="1"/>
      <c r="K506" s="1"/>
      <c r="L506" s="1"/>
      <c r="M506" s="1"/>
      <c r="N506" s="1"/>
      <c r="O506" s="1"/>
      <c r="P506" s="1"/>
      <c r="Q506" s="1"/>
      <c r="R506" s="1"/>
      <c r="S506" s="1"/>
    </row>
    <row r="507" ht="14.25" customHeight="1">
      <c r="A507" s="1112"/>
      <c r="B507" s="93" t="s">
        <v>2462</v>
      </c>
      <c r="C507" s="195">
        <v>100.0</v>
      </c>
      <c r="D507" s="521">
        <f t="shared" si="35"/>
        <v>47.05882353</v>
      </c>
      <c r="E507" s="1653"/>
      <c r="F507" s="249" t="s">
        <v>18</v>
      </c>
      <c r="G507" s="66"/>
      <c r="H507" s="1"/>
      <c r="I507" s="1"/>
      <c r="J507" s="1"/>
      <c r="K507" s="1"/>
      <c r="L507" s="1"/>
      <c r="M507" s="1"/>
      <c r="N507" s="1"/>
      <c r="O507" s="1"/>
      <c r="P507" s="1"/>
      <c r="Q507" s="1"/>
      <c r="R507" s="1"/>
      <c r="S507" s="1"/>
    </row>
    <row r="508" ht="14.25" customHeight="1">
      <c r="A508" s="1112"/>
      <c r="B508" s="93" t="s">
        <v>469</v>
      </c>
      <c r="C508" s="195">
        <v>5.0</v>
      </c>
      <c r="D508" s="521">
        <f t="shared" si="35"/>
        <v>2.352941176</v>
      </c>
      <c r="E508" s="1653"/>
      <c r="F508" s="249" t="s">
        <v>5</v>
      </c>
      <c r="G508" s="66"/>
      <c r="H508" s="1"/>
      <c r="I508" s="1"/>
      <c r="J508" s="1"/>
      <c r="K508" s="1"/>
      <c r="L508" s="1"/>
      <c r="M508" s="1"/>
      <c r="N508" s="1"/>
      <c r="O508" s="1"/>
      <c r="P508" s="1"/>
      <c r="Q508" s="1"/>
      <c r="R508" s="1"/>
      <c r="S508" s="1"/>
    </row>
    <row r="509" ht="14.25" customHeight="1">
      <c r="A509" s="1112"/>
      <c r="B509" s="105" t="s">
        <v>31</v>
      </c>
      <c r="C509" s="200">
        <v>150.0</v>
      </c>
      <c r="D509" s="517">
        <f t="shared" si="35"/>
        <v>70.58823529</v>
      </c>
      <c r="E509" s="1656"/>
      <c r="F509" s="518" t="s">
        <v>18</v>
      </c>
      <c r="G509" s="106"/>
      <c r="H509" s="1"/>
      <c r="I509" s="1"/>
      <c r="J509" s="1"/>
      <c r="K509" s="1"/>
      <c r="L509" s="1"/>
      <c r="M509" s="1"/>
      <c r="N509" s="1"/>
      <c r="O509" s="1"/>
      <c r="P509" s="1"/>
      <c r="Q509" s="1"/>
      <c r="R509" s="1"/>
      <c r="S509" s="1"/>
    </row>
    <row r="510" ht="14.25" customHeight="1">
      <c r="A510" s="1112"/>
      <c r="B510" s="119" t="s">
        <v>87</v>
      </c>
      <c r="C510" s="238">
        <v>100.0</v>
      </c>
      <c r="D510" s="519">
        <f t="shared" si="35"/>
        <v>47.05882353</v>
      </c>
      <c r="E510" s="1657"/>
      <c r="F510" s="520" t="s">
        <v>156</v>
      </c>
      <c r="G510" s="144" t="s">
        <v>3067</v>
      </c>
      <c r="H510" s="1"/>
      <c r="I510" s="1"/>
      <c r="J510" s="1"/>
      <c r="K510" s="1"/>
      <c r="L510" s="1"/>
      <c r="M510" s="1"/>
      <c r="N510" s="1"/>
      <c r="O510" s="1"/>
      <c r="P510" s="1"/>
      <c r="Q510" s="1"/>
      <c r="R510" s="1"/>
      <c r="S510" s="1"/>
    </row>
    <row r="511" ht="14.25" customHeight="1">
      <c r="A511" s="1112"/>
      <c r="B511" s="119" t="s">
        <v>3068</v>
      </c>
      <c r="C511" s="238">
        <v>2.0</v>
      </c>
      <c r="D511" s="519">
        <f t="shared" si="35"/>
        <v>0.9411764706</v>
      </c>
      <c r="E511" s="1657"/>
      <c r="F511" s="520" t="s">
        <v>93</v>
      </c>
      <c r="G511" s="66"/>
      <c r="H511" s="1"/>
      <c r="I511" s="1"/>
      <c r="J511" s="1"/>
      <c r="K511" s="1"/>
      <c r="L511" s="1"/>
      <c r="M511" s="1"/>
      <c r="N511" s="1"/>
      <c r="O511" s="1"/>
      <c r="P511" s="1"/>
      <c r="Q511" s="1"/>
      <c r="R511" s="1"/>
      <c r="S511" s="1"/>
    </row>
    <row r="512" ht="14.25" customHeight="1">
      <c r="A512" s="1112"/>
      <c r="B512" s="93" t="s">
        <v>105</v>
      </c>
      <c r="C512" s="195">
        <v>50.0</v>
      </c>
      <c r="D512" s="521">
        <f t="shared" si="35"/>
        <v>23.52941176</v>
      </c>
      <c r="E512" s="1653"/>
      <c r="F512" s="249" t="s">
        <v>156</v>
      </c>
      <c r="G512" s="66"/>
      <c r="H512" s="1"/>
      <c r="I512" s="1"/>
      <c r="J512" s="1"/>
      <c r="K512" s="1"/>
      <c r="L512" s="1"/>
      <c r="M512" s="1"/>
      <c r="N512" s="1"/>
      <c r="O512" s="1"/>
      <c r="P512" s="1"/>
      <c r="Q512" s="1"/>
      <c r="R512" s="1"/>
      <c r="S512" s="1"/>
    </row>
    <row r="513" ht="14.25" customHeight="1">
      <c r="A513" s="1112"/>
      <c r="B513" s="93" t="s">
        <v>1027</v>
      </c>
      <c r="C513" s="195">
        <v>50.0</v>
      </c>
      <c r="D513" s="521">
        <f t="shared" si="35"/>
        <v>23.52941176</v>
      </c>
      <c r="E513" s="1653"/>
      <c r="F513" s="249" t="s">
        <v>18</v>
      </c>
      <c r="G513" s="66"/>
      <c r="H513" s="1"/>
      <c r="I513" s="1"/>
      <c r="J513" s="1"/>
      <c r="K513" s="1"/>
      <c r="L513" s="1"/>
      <c r="M513" s="1"/>
      <c r="N513" s="1"/>
      <c r="O513" s="1"/>
      <c r="P513" s="1"/>
      <c r="Q513" s="1"/>
      <c r="R513" s="1"/>
      <c r="S513" s="1"/>
    </row>
    <row r="514" ht="14.25" customHeight="1">
      <c r="A514" s="1112"/>
      <c r="B514" s="1786" t="s">
        <v>335</v>
      </c>
      <c r="C514" s="980">
        <v>0.3</v>
      </c>
      <c r="D514" s="517">
        <f t="shared" si="35"/>
        <v>0.1411764706</v>
      </c>
      <c r="E514" s="1656"/>
      <c r="F514" s="518" t="s">
        <v>5</v>
      </c>
      <c r="G514" s="106"/>
      <c r="H514" s="1"/>
      <c r="I514" s="1"/>
      <c r="J514" s="1"/>
      <c r="K514" s="1"/>
      <c r="L514" s="1"/>
      <c r="M514" s="1"/>
      <c r="N514" s="1"/>
      <c r="O514" s="1"/>
      <c r="P514" s="1"/>
      <c r="Q514" s="1"/>
      <c r="R514" s="1"/>
      <c r="S514" s="1"/>
    </row>
    <row r="515" ht="14.25" customHeight="1">
      <c r="A515" s="1112"/>
      <c r="B515" s="2275" t="s">
        <v>119</v>
      </c>
      <c r="C515" s="1446" t="s">
        <v>47</v>
      </c>
      <c r="D515" s="184"/>
      <c r="E515" s="184"/>
      <c r="F515" s="1"/>
      <c r="G515" s="1"/>
      <c r="H515" s="1"/>
      <c r="I515" s="1"/>
      <c r="J515" s="1"/>
      <c r="K515" s="1"/>
      <c r="L515" s="1"/>
      <c r="M515" s="1"/>
      <c r="N515" s="1"/>
      <c r="O515" s="1"/>
      <c r="P515" s="1"/>
      <c r="Q515" s="1"/>
      <c r="R515" s="1"/>
      <c r="S515" s="1"/>
    </row>
    <row r="516" ht="14.25" customHeight="1">
      <c r="A516" s="1112"/>
      <c r="B516" s="90" t="s">
        <v>120</v>
      </c>
      <c r="C516" s="1188">
        <v>41883.0</v>
      </c>
      <c r="D516" s="184"/>
      <c r="E516" s="184"/>
      <c r="F516" s="1"/>
      <c r="G516" s="1"/>
      <c r="H516" s="1"/>
      <c r="I516" s="1"/>
      <c r="J516" s="1"/>
      <c r="K516" s="1"/>
      <c r="L516" s="1"/>
      <c r="M516" s="1"/>
      <c r="N516" s="1"/>
      <c r="O516" s="1"/>
      <c r="P516" s="1"/>
      <c r="Q516" s="1"/>
      <c r="R516" s="1"/>
      <c r="S516" s="1"/>
    </row>
    <row r="517" ht="14.25" customHeight="1">
      <c r="A517" s="1112"/>
      <c r="B517" s="305" t="s">
        <v>50</v>
      </c>
      <c r="C517" s="1188"/>
      <c r="D517" s="184"/>
      <c r="E517" s="184"/>
      <c r="F517" s="1"/>
      <c r="G517" s="1"/>
      <c r="H517" s="1"/>
      <c r="I517" s="1"/>
      <c r="J517" s="1"/>
      <c r="K517" s="1"/>
      <c r="L517" s="1"/>
      <c r="M517" s="1"/>
      <c r="N517" s="1"/>
      <c r="O517" s="1"/>
      <c r="P517" s="1"/>
      <c r="Q517" s="1"/>
      <c r="R517" s="1"/>
      <c r="S517" s="1"/>
    </row>
    <row r="518" ht="14.25" customHeight="1">
      <c r="A518" s="1112"/>
      <c r="B518" s="1"/>
      <c r="C518" s="107"/>
      <c r="D518" s="184"/>
      <c r="E518" s="184"/>
      <c r="F518" s="1"/>
      <c r="G518" s="1"/>
      <c r="H518" s="1"/>
      <c r="I518" s="1"/>
      <c r="J518" s="1"/>
      <c r="K518" s="1"/>
      <c r="L518" s="1"/>
      <c r="M518" s="1"/>
      <c r="N518" s="1"/>
      <c r="O518" s="1"/>
      <c r="P518" s="1"/>
      <c r="Q518" s="1"/>
      <c r="R518" s="1"/>
      <c r="S518" s="1"/>
    </row>
    <row r="519" ht="14.25" customHeight="1">
      <c r="A519" s="1112"/>
      <c r="B519" s="511" t="s">
        <v>3071</v>
      </c>
      <c r="C519" s="18"/>
      <c r="D519" s="18"/>
      <c r="E519" s="18"/>
      <c r="F519" s="19"/>
      <c r="G519" s="1"/>
      <c r="H519" s="1"/>
      <c r="I519" s="1"/>
      <c r="J519" s="1"/>
      <c r="K519" s="1"/>
      <c r="L519" s="1"/>
      <c r="M519" s="1"/>
      <c r="N519" s="1"/>
      <c r="O519" s="1"/>
      <c r="P519" s="1"/>
      <c r="Q519" s="1"/>
      <c r="R519" s="1"/>
      <c r="S519" s="1"/>
    </row>
    <row r="520" ht="14.25" customHeight="1">
      <c r="A520" s="1112"/>
      <c r="B520" s="163" t="s">
        <v>2722</v>
      </c>
      <c r="C520" s="131">
        <v>20.0</v>
      </c>
      <c r="D520" s="316">
        <v>65.0</v>
      </c>
      <c r="E520" s="2091"/>
      <c r="F520" s="169" t="s">
        <v>14</v>
      </c>
      <c r="G520" s="44" t="s">
        <v>3072</v>
      </c>
      <c r="H520" s="1"/>
      <c r="I520" s="1"/>
      <c r="J520" s="1"/>
      <c r="K520" s="1"/>
      <c r="L520" s="1"/>
      <c r="M520" s="1"/>
      <c r="N520" s="1"/>
      <c r="O520" s="1"/>
      <c r="P520" s="1"/>
      <c r="Q520" s="1"/>
      <c r="R520" s="1"/>
      <c r="S520" s="1"/>
    </row>
    <row r="521" ht="14.25" customHeight="1">
      <c r="A521" s="1112"/>
      <c r="B521" s="898" t="s">
        <v>1161</v>
      </c>
      <c r="C521" s="160">
        <v>0.0</v>
      </c>
      <c r="D521" s="321">
        <v>0.0</v>
      </c>
      <c r="E521" s="2095"/>
      <c r="F521" s="204" t="s">
        <v>14</v>
      </c>
      <c r="G521" s="76"/>
      <c r="H521" s="1"/>
      <c r="I521" s="1"/>
      <c r="J521" s="1"/>
      <c r="K521" s="1"/>
      <c r="L521" s="1"/>
      <c r="M521" s="1"/>
      <c r="N521" s="1"/>
      <c r="O521" s="1"/>
      <c r="P521" s="1"/>
      <c r="Q521" s="1"/>
      <c r="R521" s="1"/>
      <c r="S521" s="1"/>
    </row>
    <row r="522" ht="14.25" customHeight="1">
      <c r="A522" s="1112"/>
      <c r="B522" s="2713" t="s">
        <v>3073</v>
      </c>
      <c r="C522" s="1072">
        <f t="shared" ref="C522:D522" si="36">(C520*1.25+C521/2.5)</f>
        <v>25</v>
      </c>
      <c r="D522" s="1329">
        <f t="shared" si="36"/>
        <v>81.25</v>
      </c>
      <c r="E522" s="2717"/>
      <c r="F522" s="1330" t="s">
        <v>14</v>
      </c>
      <c r="G522" s="1186"/>
      <c r="H522" s="1"/>
      <c r="I522" s="1"/>
      <c r="J522" s="1"/>
      <c r="K522" s="1"/>
      <c r="L522" s="1"/>
      <c r="M522" s="1"/>
      <c r="N522" s="1"/>
      <c r="O522" s="1"/>
      <c r="P522" s="1"/>
      <c r="Q522" s="1"/>
      <c r="R522" s="1"/>
      <c r="S522" s="1"/>
    </row>
    <row r="523" ht="14.25" customHeight="1">
      <c r="A523" s="1"/>
      <c r="B523" s="1144" t="s">
        <v>437</v>
      </c>
      <c r="C523" s="131">
        <f t="shared" ref="C523:D523" si="37">+C521*12</f>
        <v>0</v>
      </c>
      <c r="D523" s="316">
        <f t="shared" si="37"/>
        <v>0</v>
      </c>
      <c r="E523" s="2091"/>
      <c r="F523" s="169" t="s">
        <v>18</v>
      </c>
      <c r="G523" s="194" t="s">
        <v>3074</v>
      </c>
      <c r="H523" s="1"/>
      <c r="I523" s="1"/>
      <c r="J523" s="1"/>
      <c r="K523" s="1"/>
      <c r="L523" s="1"/>
      <c r="M523" s="1"/>
      <c r="N523" s="1"/>
      <c r="O523" s="1"/>
      <c r="P523" s="1"/>
      <c r="Q523" s="1"/>
      <c r="R523" s="1"/>
      <c r="S523" s="1"/>
    </row>
    <row r="524" ht="14.25" customHeight="1">
      <c r="A524" s="1"/>
      <c r="B524" s="1151" t="s">
        <v>3075</v>
      </c>
      <c r="C524" s="167">
        <f t="shared" ref="C524:D524" si="38">+C521*5</f>
        <v>0</v>
      </c>
      <c r="D524" s="318">
        <f t="shared" si="38"/>
        <v>0</v>
      </c>
      <c r="E524" s="2109"/>
      <c r="F524" s="212" t="s">
        <v>18</v>
      </c>
      <c r="G524" s="102"/>
      <c r="H524" s="1"/>
      <c r="I524" s="1"/>
      <c r="J524" s="1"/>
      <c r="K524" s="1"/>
      <c r="L524" s="1"/>
      <c r="M524" s="1"/>
      <c r="N524" s="1"/>
      <c r="O524" s="1"/>
      <c r="P524" s="1"/>
      <c r="Q524" s="1"/>
      <c r="R524" s="1"/>
      <c r="S524" s="1"/>
    </row>
    <row r="525" ht="14.25" customHeight="1">
      <c r="A525" s="1"/>
      <c r="B525" s="1151" t="s">
        <v>3076</v>
      </c>
      <c r="C525" s="167">
        <f t="shared" ref="C525:D525" si="39">50*C520</f>
        <v>1000</v>
      </c>
      <c r="D525" s="318">
        <f t="shared" si="39"/>
        <v>3250</v>
      </c>
      <c r="E525" s="2109"/>
      <c r="F525" s="212" t="s">
        <v>18</v>
      </c>
      <c r="G525" s="1862"/>
      <c r="H525" s="1"/>
      <c r="I525" s="1"/>
      <c r="J525" s="1"/>
      <c r="K525" s="1"/>
      <c r="L525" s="1"/>
      <c r="M525" s="1"/>
      <c r="N525" s="1"/>
      <c r="O525" s="1"/>
      <c r="P525" s="1"/>
      <c r="Q525" s="1"/>
      <c r="R525" s="1"/>
      <c r="S525" s="1"/>
    </row>
    <row r="526" ht="14.25" customHeight="1">
      <c r="A526" s="1112"/>
      <c r="B526" s="2731" t="s">
        <v>1</v>
      </c>
      <c r="C526" s="2733">
        <v>100.0</v>
      </c>
      <c r="D526" s="2738">
        <f>(C526*D522)/C522</f>
        <v>325</v>
      </c>
      <c r="E526" s="2740"/>
      <c r="F526" s="2743" t="s">
        <v>5</v>
      </c>
      <c r="G526" s="925"/>
      <c r="H526" s="1"/>
      <c r="I526" s="1"/>
      <c r="J526" s="1"/>
      <c r="K526" s="1"/>
      <c r="L526" s="1"/>
      <c r="M526" s="1"/>
      <c r="N526" s="1"/>
      <c r="O526" s="1"/>
      <c r="P526" s="1"/>
      <c r="Q526" s="1"/>
      <c r="R526" s="1"/>
      <c r="S526" s="1"/>
    </row>
    <row r="527" ht="14.25" customHeight="1">
      <c r="A527" s="1112"/>
      <c r="B527" s="119" t="s">
        <v>184</v>
      </c>
      <c r="C527" s="238">
        <v>2.5</v>
      </c>
      <c r="D527" s="129">
        <f t="shared" ref="D527:D552" si="40">(C527*D526)/C526</f>
        <v>8.125</v>
      </c>
      <c r="E527" s="1583"/>
      <c r="F527" s="520" t="s">
        <v>5</v>
      </c>
      <c r="G527" s="194" t="s">
        <v>3077</v>
      </c>
      <c r="H527" s="1"/>
      <c r="I527" s="1"/>
      <c r="J527" s="1"/>
      <c r="K527" s="1"/>
      <c r="L527" s="1"/>
      <c r="M527" s="1"/>
      <c r="N527" s="1"/>
      <c r="O527" s="1"/>
      <c r="P527" s="1"/>
      <c r="Q527" s="1"/>
      <c r="R527" s="1"/>
      <c r="S527" s="1"/>
    </row>
    <row r="528" ht="14.25" customHeight="1">
      <c r="A528" s="1112"/>
      <c r="B528" s="93" t="s">
        <v>98</v>
      </c>
      <c r="C528" s="195">
        <v>200.0</v>
      </c>
      <c r="D528" s="78">
        <f t="shared" si="40"/>
        <v>650</v>
      </c>
      <c r="E528" s="900"/>
      <c r="F528" s="249" t="s">
        <v>18</v>
      </c>
      <c r="G528" s="63"/>
      <c r="H528" s="1"/>
      <c r="I528" s="1"/>
      <c r="J528" s="1"/>
      <c r="K528" s="1"/>
      <c r="L528" s="1"/>
      <c r="M528" s="1"/>
      <c r="N528" s="1"/>
      <c r="O528" s="1"/>
      <c r="P528" s="1"/>
      <c r="Q528" s="1"/>
      <c r="R528" s="1"/>
      <c r="S528" s="1"/>
    </row>
    <row r="529" ht="14.25" customHeight="1">
      <c r="A529" s="1112"/>
      <c r="B529" s="93" t="s">
        <v>113</v>
      </c>
      <c r="C529" s="195">
        <v>50.0</v>
      </c>
      <c r="D529" s="78">
        <f t="shared" si="40"/>
        <v>162.5</v>
      </c>
      <c r="E529" s="900"/>
      <c r="F529" s="249" t="s">
        <v>18</v>
      </c>
      <c r="G529" s="63"/>
      <c r="H529" s="1"/>
      <c r="I529" s="1"/>
      <c r="J529" s="1"/>
      <c r="K529" s="1"/>
      <c r="L529" s="1"/>
      <c r="M529" s="1"/>
      <c r="N529" s="1"/>
      <c r="O529" s="1"/>
      <c r="P529" s="1"/>
      <c r="Q529" s="1"/>
      <c r="R529" s="1"/>
      <c r="S529" s="1"/>
    </row>
    <row r="530" ht="14.25" customHeight="1">
      <c r="A530" s="1112"/>
      <c r="B530" s="93" t="s">
        <v>96</v>
      </c>
      <c r="C530" s="195">
        <v>6.0</v>
      </c>
      <c r="D530" s="78">
        <f t="shared" si="40"/>
        <v>19.5</v>
      </c>
      <c r="E530" s="900"/>
      <c r="F530" s="249" t="s">
        <v>18</v>
      </c>
      <c r="G530" s="63"/>
      <c r="H530" s="1"/>
      <c r="I530" s="1"/>
      <c r="J530" s="1"/>
      <c r="K530" s="1"/>
      <c r="L530" s="1"/>
      <c r="M530" s="1"/>
      <c r="N530" s="1"/>
      <c r="O530" s="1"/>
      <c r="P530" s="1"/>
      <c r="Q530" s="1"/>
      <c r="R530" s="1"/>
      <c r="S530" s="1"/>
    </row>
    <row r="531" ht="14.25" customHeight="1">
      <c r="A531" s="1112"/>
      <c r="B531" s="93" t="s">
        <v>66</v>
      </c>
      <c r="C531" s="195">
        <v>20.0</v>
      </c>
      <c r="D531" s="78">
        <f t="shared" si="40"/>
        <v>65</v>
      </c>
      <c r="E531" s="900"/>
      <c r="F531" s="249" t="s">
        <v>18</v>
      </c>
      <c r="G531" s="63"/>
      <c r="H531" s="1"/>
      <c r="I531" s="1"/>
      <c r="J531" s="1"/>
      <c r="K531" s="1"/>
      <c r="L531" s="1"/>
      <c r="M531" s="1"/>
      <c r="N531" s="1"/>
      <c r="O531" s="1"/>
      <c r="P531" s="1"/>
      <c r="Q531" s="1"/>
      <c r="R531" s="1"/>
      <c r="S531" s="1"/>
    </row>
    <row r="532" ht="14.25" customHeight="1">
      <c r="A532" s="1112"/>
      <c r="B532" s="138" t="s">
        <v>103</v>
      </c>
      <c r="C532" s="279">
        <v>150.0</v>
      </c>
      <c r="D532" s="146">
        <f t="shared" si="40"/>
        <v>487.5</v>
      </c>
      <c r="E532" s="1607"/>
      <c r="F532" s="242" t="s">
        <v>18</v>
      </c>
      <c r="G532" s="102"/>
      <c r="H532" s="1"/>
      <c r="I532" s="1"/>
      <c r="J532" s="1"/>
      <c r="K532" s="1"/>
      <c r="L532" s="1"/>
      <c r="M532" s="1"/>
      <c r="N532" s="1"/>
      <c r="O532" s="1"/>
      <c r="P532" s="1"/>
      <c r="Q532" s="1"/>
      <c r="R532" s="1"/>
      <c r="S532" s="1"/>
    </row>
    <row r="533" ht="14.25" customHeight="1">
      <c r="A533" s="1112"/>
      <c r="B533" s="68" t="s">
        <v>84</v>
      </c>
      <c r="C533" s="145">
        <v>800.0</v>
      </c>
      <c r="D533" s="155">
        <f t="shared" si="40"/>
        <v>2600</v>
      </c>
      <c r="E533" s="899"/>
      <c r="F533" s="216" t="s">
        <v>18</v>
      </c>
      <c r="G533" s="493"/>
      <c r="H533" s="1"/>
      <c r="I533" s="1"/>
      <c r="J533" s="1"/>
      <c r="K533" s="1"/>
      <c r="L533" s="1"/>
      <c r="M533" s="1"/>
      <c r="N533" s="1"/>
      <c r="O533" s="1"/>
      <c r="P533" s="1"/>
      <c r="Q533" s="1"/>
      <c r="R533" s="1"/>
      <c r="S533" s="1"/>
    </row>
    <row r="534" ht="14.25" customHeight="1">
      <c r="A534" s="1112"/>
      <c r="B534" s="138" t="s">
        <v>148</v>
      </c>
      <c r="C534" s="279">
        <v>400.0</v>
      </c>
      <c r="D534" s="146">
        <f t="shared" si="40"/>
        <v>1300</v>
      </c>
      <c r="E534" s="1607"/>
      <c r="F534" s="242" t="s">
        <v>18</v>
      </c>
      <c r="G534" s="493"/>
      <c r="H534" s="1"/>
      <c r="I534" s="1"/>
      <c r="J534" s="1"/>
      <c r="K534" s="1"/>
      <c r="L534" s="1"/>
      <c r="M534" s="1"/>
      <c r="N534" s="1"/>
      <c r="O534" s="1"/>
      <c r="P534" s="1"/>
      <c r="Q534" s="1"/>
      <c r="R534" s="1"/>
      <c r="S534" s="1"/>
    </row>
    <row r="535" ht="14.25" customHeight="1">
      <c r="A535" s="1112"/>
      <c r="B535" s="68" t="s">
        <v>162</v>
      </c>
      <c r="C535" s="145">
        <v>200.0</v>
      </c>
      <c r="D535" s="155">
        <f t="shared" si="40"/>
        <v>650</v>
      </c>
      <c r="E535" s="899"/>
      <c r="F535" s="216" t="s">
        <v>18</v>
      </c>
      <c r="G535" s="194" t="s">
        <v>3079</v>
      </c>
      <c r="H535" s="1"/>
      <c r="I535" s="1"/>
      <c r="J535" s="1"/>
      <c r="K535" s="1"/>
      <c r="L535" s="1"/>
      <c r="M535" s="1"/>
      <c r="N535" s="1"/>
      <c r="O535" s="1"/>
      <c r="P535" s="1"/>
      <c r="Q535" s="1"/>
      <c r="R535" s="1"/>
      <c r="S535" s="1"/>
    </row>
    <row r="536" ht="14.25" customHeight="1">
      <c r="A536" s="1112"/>
      <c r="B536" s="898" t="s">
        <v>2150</v>
      </c>
      <c r="C536" s="2759">
        <v>100.0</v>
      </c>
      <c r="D536" s="2590">
        <f t="shared" si="40"/>
        <v>325</v>
      </c>
      <c r="E536" s="2591"/>
      <c r="F536" s="1302" t="s">
        <v>18</v>
      </c>
      <c r="G536" s="63"/>
      <c r="H536" s="1"/>
      <c r="I536" s="1"/>
      <c r="J536" s="1"/>
      <c r="K536" s="1"/>
      <c r="L536" s="1"/>
      <c r="M536" s="1"/>
      <c r="N536" s="1"/>
      <c r="O536" s="1"/>
      <c r="P536" s="1"/>
      <c r="Q536" s="1"/>
      <c r="R536" s="1"/>
      <c r="S536" s="1"/>
    </row>
    <row r="537" ht="14.25" customHeight="1">
      <c r="A537" s="1112"/>
      <c r="B537" s="898" t="s">
        <v>884</v>
      </c>
      <c r="C537" s="2759">
        <v>25.0</v>
      </c>
      <c r="D537" s="2590">
        <f t="shared" si="40"/>
        <v>81.25</v>
      </c>
      <c r="E537" s="2591"/>
      <c r="F537" s="1302" t="s">
        <v>18</v>
      </c>
      <c r="G537" s="63"/>
      <c r="H537" s="1"/>
      <c r="I537" s="1"/>
      <c r="J537" s="1"/>
      <c r="K537" s="1"/>
      <c r="L537" s="1"/>
      <c r="M537" s="1"/>
      <c r="N537" s="1"/>
      <c r="O537" s="1"/>
      <c r="P537" s="1"/>
      <c r="Q537" s="1"/>
      <c r="R537" s="1"/>
      <c r="S537" s="1"/>
    </row>
    <row r="538" ht="14.25" customHeight="1">
      <c r="A538" s="1112"/>
      <c r="B538" s="898" t="s">
        <v>102</v>
      </c>
      <c r="C538" s="2759">
        <v>25.0</v>
      </c>
      <c r="D538" s="2590">
        <f t="shared" si="40"/>
        <v>81.25</v>
      </c>
      <c r="E538" s="2591"/>
      <c r="F538" s="1302" t="s">
        <v>18</v>
      </c>
      <c r="G538" s="63"/>
      <c r="H538" s="1"/>
      <c r="I538" s="1"/>
      <c r="J538" s="1"/>
      <c r="K538" s="1"/>
      <c r="L538" s="1"/>
      <c r="M538" s="1"/>
      <c r="N538" s="1"/>
      <c r="O538" s="1"/>
      <c r="P538" s="1"/>
      <c r="Q538" s="1"/>
      <c r="R538" s="1"/>
      <c r="S538" s="1"/>
    </row>
    <row r="539" ht="14.25" customHeight="1">
      <c r="A539" s="1"/>
      <c r="B539" s="898" t="s">
        <v>210</v>
      </c>
      <c r="C539" s="2759">
        <v>25.0</v>
      </c>
      <c r="D539" s="2590">
        <f t="shared" si="40"/>
        <v>81.25</v>
      </c>
      <c r="E539" s="2591"/>
      <c r="F539" s="1302" t="s">
        <v>18</v>
      </c>
      <c r="G539" s="63"/>
      <c r="H539" s="1"/>
      <c r="I539" s="1"/>
      <c r="J539" s="1"/>
      <c r="K539" s="1"/>
      <c r="L539" s="1"/>
      <c r="M539" s="1"/>
      <c r="N539" s="1"/>
      <c r="O539" s="1"/>
      <c r="P539" s="1"/>
      <c r="Q539" s="1"/>
      <c r="R539" s="1"/>
      <c r="S539" s="1"/>
    </row>
    <row r="540" ht="14.25" customHeight="1">
      <c r="A540" s="1112"/>
      <c r="B540" s="898" t="s">
        <v>96</v>
      </c>
      <c r="C540" s="2759">
        <v>6.0</v>
      </c>
      <c r="D540" s="2590">
        <f t="shared" si="40"/>
        <v>19.5</v>
      </c>
      <c r="E540" s="2591"/>
      <c r="F540" s="1302" t="s">
        <v>18</v>
      </c>
      <c r="G540" s="63"/>
      <c r="H540" s="1"/>
      <c r="I540" s="1"/>
      <c r="J540" s="1"/>
      <c r="K540" s="1"/>
      <c r="L540" s="1"/>
      <c r="M540" s="1"/>
      <c r="N540" s="1"/>
      <c r="O540" s="1"/>
      <c r="P540" s="1"/>
      <c r="Q540" s="1"/>
      <c r="R540" s="1"/>
      <c r="S540" s="1"/>
    </row>
    <row r="541" ht="14.25" customHeight="1">
      <c r="A541" s="1112"/>
      <c r="B541" s="1151" t="s">
        <v>95</v>
      </c>
      <c r="C541" s="2762">
        <v>20.0</v>
      </c>
      <c r="D541" s="2593">
        <f t="shared" si="40"/>
        <v>65</v>
      </c>
      <c r="E541" s="2594"/>
      <c r="F541" s="1722" t="s">
        <v>18</v>
      </c>
      <c r="G541" s="102"/>
      <c r="H541" s="1"/>
      <c r="I541" s="1"/>
      <c r="J541" s="1"/>
      <c r="K541" s="1"/>
      <c r="L541" s="1"/>
      <c r="M541" s="1"/>
      <c r="N541" s="1"/>
      <c r="O541" s="1"/>
      <c r="P541" s="1"/>
      <c r="Q541" s="1"/>
      <c r="R541" s="1"/>
      <c r="S541" s="1"/>
    </row>
    <row r="542" ht="14.25" customHeight="1">
      <c r="A542" s="1112"/>
      <c r="B542" s="119" t="s">
        <v>1091</v>
      </c>
      <c r="C542" s="238">
        <v>200.0</v>
      </c>
      <c r="D542" s="2595">
        <f t="shared" si="40"/>
        <v>650</v>
      </c>
      <c r="E542" s="2596"/>
      <c r="F542" s="520" t="s">
        <v>18</v>
      </c>
      <c r="G542" s="194"/>
      <c r="H542" s="1"/>
      <c r="I542" s="1"/>
      <c r="J542" s="1"/>
      <c r="K542" s="1"/>
      <c r="L542" s="1"/>
      <c r="M542" s="1"/>
      <c r="N542" s="1"/>
      <c r="O542" s="1"/>
      <c r="P542" s="1"/>
      <c r="Q542" s="1"/>
      <c r="R542" s="1"/>
      <c r="S542" s="1"/>
    </row>
    <row r="543" ht="14.25" customHeight="1">
      <c r="A543" s="1112"/>
      <c r="B543" s="93" t="s">
        <v>1092</v>
      </c>
      <c r="C543" s="195">
        <v>30.0</v>
      </c>
      <c r="D543" s="2590">
        <f t="shared" si="40"/>
        <v>97.5</v>
      </c>
      <c r="E543" s="2591"/>
      <c r="F543" s="249" t="s">
        <v>14</v>
      </c>
      <c r="G543" s="63"/>
      <c r="H543" s="1"/>
      <c r="I543" s="1"/>
      <c r="J543" s="1"/>
      <c r="K543" s="1"/>
      <c r="L543" s="1"/>
      <c r="M543" s="1"/>
      <c r="N543" s="1"/>
      <c r="O543" s="1"/>
      <c r="P543" s="1"/>
      <c r="Q543" s="1"/>
      <c r="R543" s="1"/>
      <c r="S543" s="1"/>
    </row>
    <row r="544" ht="14.25" customHeight="1">
      <c r="A544" s="1112"/>
      <c r="B544" s="138" t="s">
        <v>3083</v>
      </c>
      <c r="C544" s="279">
        <v>200.0</v>
      </c>
      <c r="D544" s="2587">
        <f t="shared" si="40"/>
        <v>650</v>
      </c>
      <c r="E544" s="2588"/>
      <c r="F544" s="242" t="s">
        <v>18</v>
      </c>
      <c r="G544" s="102"/>
      <c r="H544" s="1"/>
      <c r="I544" s="1"/>
      <c r="J544" s="1"/>
      <c r="K544" s="1"/>
      <c r="L544" s="1"/>
      <c r="M544" s="1"/>
      <c r="N544" s="1"/>
      <c r="O544" s="1"/>
      <c r="P544" s="1"/>
      <c r="Q544" s="1"/>
      <c r="R544" s="1"/>
      <c r="S544" s="1"/>
    </row>
    <row r="545" ht="14.25" customHeight="1">
      <c r="A545" s="1112"/>
      <c r="B545" s="68" t="s">
        <v>1027</v>
      </c>
      <c r="C545" s="145">
        <v>150.0</v>
      </c>
      <c r="D545" s="2584">
        <f t="shared" si="40"/>
        <v>487.5</v>
      </c>
      <c r="E545" s="2585"/>
      <c r="F545" s="216" t="s">
        <v>18</v>
      </c>
      <c r="G545" s="44" t="s">
        <v>3085</v>
      </c>
      <c r="H545" s="1"/>
      <c r="I545" s="1"/>
      <c r="J545" s="1"/>
      <c r="K545" s="1"/>
      <c r="L545" s="1"/>
      <c r="M545" s="1"/>
      <c r="N545" s="1"/>
      <c r="O545" s="1"/>
      <c r="P545" s="1"/>
      <c r="Q545" s="1"/>
      <c r="R545" s="1"/>
      <c r="S545" s="1"/>
    </row>
    <row r="546" ht="14.25" customHeight="1">
      <c r="A546" s="1112"/>
      <c r="B546" s="93" t="s">
        <v>105</v>
      </c>
      <c r="C546" s="195">
        <v>100.0</v>
      </c>
      <c r="D546" s="2590">
        <f t="shared" si="40"/>
        <v>325</v>
      </c>
      <c r="E546" s="2591"/>
      <c r="F546" s="249" t="s">
        <v>18</v>
      </c>
      <c r="G546" s="47"/>
      <c r="H546" s="1"/>
      <c r="I546" s="1"/>
      <c r="J546" s="1"/>
      <c r="K546" s="1"/>
      <c r="L546" s="1"/>
      <c r="M546" s="1"/>
      <c r="N546" s="1"/>
      <c r="O546" s="1"/>
      <c r="P546" s="1"/>
      <c r="Q546" s="1"/>
      <c r="R546" s="1"/>
      <c r="S546" s="1"/>
    </row>
    <row r="547" ht="14.25" customHeight="1">
      <c r="A547" s="1112"/>
      <c r="B547" s="93" t="s">
        <v>80</v>
      </c>
      <c r="C547" s="195">
        <v>2.0</v>
      </c>
      <c r="D547" s="2590">
        <f t="shared" si="40"/>
        <v>6.5</v>
      </c>
      <c r="E547" s="2591"/>
      <c r="F547" s="249" t="s">
        <v>14</v>
      </c>
      <c r="G547" s="47"/>
      <c r="H547" s="1"/>
      <c r="I547" s="1"/>
      <c r="J547" s="1"/>
      <c r="K547" s="1"/>
      <c r="L547" s="1"/>
      <c r="M547" s="1"/>
      <c r="N547" s="1"/>
      <c r="O547" s="1"/>
      <c r="P547" s="1"/>
      <c r="Q547" s="1"/>
      <c r="R547" s="1"/>
      <c r="S547" s="1"/>
    </row>
    <row r="548" ht="14.25" customHeight="1">
      <c r="A548" s="1112"/>
      <c r="B548" s="93" t="s">
        <v>31</v>
      </c>
      <c r="C548" s="195">
        <v>250.0</v>
      </c>
      <c r="D548" s="2590">
        <f t="shared" si="40"/>
        <v>812.5</v>
      </c>
      <c r="E548" s="2591"/>
      <c r="F548" s="249" t="s">
        <v>18</v>
      </c>
      <c r="G548" s="47"/>
      <c r="H548" s="1"/>
      <c r="I548" s="1"/>
      <c r="J548" s="1"/>
      <c r="K548" s="1"/>
      <c r="L548" s="1"/>
      <c r="M548" s="1"/>
      <c r="N548" s="1"/>
      <c r="O548" s="1"/>
      <c r="P548" s="1"/>
      <c r="Q548" s="1"/>
      <c r="R548" s="1"/>
      <c r="S548" s="1"/>
    </row>
    <row r="549" ht="14.25" customHeight="1">
      <c r="A549" s="1112"/>
      <c r="B549" s="93" t="s">
        <v>834</v>
      </c>
      <c r="C549" s="195">
        <v>250.0</v>
      </c>
      <c r="D549" s="2590">
        <f t="shared" si="40"/>
        <v>812.5</v>
      </c>
      <c r="E549" s="2591"/>
      <c r="F549" s="249" t="s">
        <v>18</v>
      </c>
      <c r="G549" s="47"/>
      <c r="H549" s="1"/>
      <c r="I549" s="1"/>
      <c r="J549" s="1"/>
      <c r="K549" s="1"/>
      <c r="L549" s="1"/>
      <c r="M549" s="1"/>
      <c r="N549" s="1"/>
      <c r="O549" s="1"/>
      <c r="P549" s="1"/>
      <c r="Q549" s="1"/>
      <c r="R549" s="1"/>
      <c r="S549" s="1"/>
    </row>
    <row r="550" ht="14.25" customHeight="1">
      <c r="A550" s="1112"/>
      <c r="B550" s="105" t="s">
        <v>1570</v>
      </c>
      <c r="C550" s="200">
        <v>100.0</v>
      </c>
      <c r="D550" s="2593">
        <f t="shared" si="40"/>
        <v>325</v>
      </c>
      <c r="E550" s="2594"/>
      <c r="F550" s="518" t="s">
        <v>18</v>
      </c>
      <c r="G550" s="76"/>
      <c r="H550" s="1"/>
      <c r="I550" s="1"/>
      <c r="J550" s="1"/>
      <c r="K550" s="1"/>
      <c r="L550" s="1"/>
      <c r="M550" s="1"/>
      <c r="N550" s="1"/>
      <c r="O550" s="1"/>
      <c r="P550" s="1"/>
      <c r="Q550" s="1"/>
      <c r="R550" s="1"/>
      <c r="S550" s="1"/>
    </row>
    <row r="551" ht="14.25" customHeight="1">
      <c r="A551" s="1112"/>
      <c r="B551" s="119" t="s">
        <v>288</v>
      </c>
      <c r="C551" s="238">
        <v>100.0</v>
      </c>
      <c r="D551" s="2595">
        <f t="shared" si="40"/>
        <v>325</v>
      </c>
      <c r="E551" s="2596"/>
      <c r="F551" s="520" t="s">
        <v>18</v>
      </c>
      <c r="G551" s="194" t="s">
        <v>3088</v>
      </c>
      <c r="H551" s="1"/>
      <c r="I551" s="1"/>
      <c r="J551" s="1"/>
      <c r="K551" s="1"/>
      <c r="L551" s="1"/>
      <c r="M551" s="1"/>
      <c r="N551" s="1"/>
      <c r="O551" s="1"/>
      <c r="P551" s="1"/>
      <c r="Q551" s="1"/>
      <c r="R551" s="1"/>
      <c r="S551" s="1"/>
    </row>
    <row r="552" ht="14.25" customHeight="1">
      <c r="A552" s="1112"/>
      <c r="B552" s="105" t="s">
        <v>1588</v>
      </c>
      <c r="C552" s="200">
        <v>2.5</v>
      </c>
      <c r="D552" s="2593">
        <f t="shared" si="40"/>
        <v>8.125</v>
      </c>
      <c r="E552" s="2594"/>
      <c r="F552" s="518" t="s">
        <v>5</v>
      </c>
      <c r="G552" s="63"/>
      <c r="H552" s="1"/>
      <c r="I552" s="1"/>
      <c r="J552" s="1"/>
      <c r="K552" s="1"/>
      <c r="L552" s="1"/>
      <c r="M552" s="1"/>
      <c r="N552" s="1"/>
      <c r="O552" s="1"/>
      <c r="P552" s="1"/>
      <c r="Q552" s="1"/>
      <c r="R552" s="1"/>
      <c r="S552" s="1"/>
    </row>
    <row r="553" ht="14.25" customHeight="1">
      <c r="A553" s="1112"/>
      <c r="B553" s="1640" t="s">
        <v>119</v>
      </c>
      <c r="C553" s="183" t="s">
        <v>47</v>
      </c>
      <c r="D553" s="184"/>
      <c r="E553" s="184"/>
      <c r="F553" s="1"/>
      <c r="G553" s="1"/>
      <c r="H553" s="1"/>
      <c r="I553" s="1"/>
      <c r="J553" s="1"/>
      <c r="K553" s="1"/>
      <c r="L553" s="1"/>
      <c r="M553" s="1"/>
      <c r="N553" s="1"/>
      <c r="O553" s="1"/>
      <c r="P553" s="1"/>
      <c r="Q553" s="1"/>
      <c r="R553" s="1"/>
      <c r="S553" s="1"/>
    </row>
    <row r="554" ht="14.25" customHeight="1">
      <c r="A554" s="1112"/>
      <c r="B554" s="90" t="s">
        <v>120</v>
      </c>
      <c r="C554" s="1188">
        <v>41549.0</v>
      </c>
      <c r="D554" s="184"/>
      <c r="E554" s="184"/>
      <c r="F554" s="1"/>
      <c r="G554" s="1"/>
      <c r="H554" s="1"/>
      <c r="I554" s="1"/>
      <c r="J554" s="1"/>
      <c r="K554" s="1"/>
      <c r="L554" s="1"/>
      <c r="M554" s="1"/>
      <c r="N554" s="1"/>
      <c r="O554" s="1"/>
      <c r="P554" s="1"/>
      <c r="Q554" s="1"/>
      <c r="R554" s="1"/>
      <c r="S554" s="1"/>
    </row>
    <row r="555" ht="14.25" customHeight="1">
      <c r="A555" s="1112"/>
      <c r="B555" s="305" t="s">
        <v>50</v>
      </c>
      <c r="C555" s="1188">
        <v>41760.0</v>
      </c>
      <c r="D555" s="184"/>
      <c r="E555" s="184"/>
      <c r="F555" s="1"/>
      <c r="G555" s="1"/>
      <c r="H555" s="1"/>
      <c r="I555" s="1"/>
      <c r="J555" s="1"/>
      <c r="K555" s="1"/>
      <c r="L555" s="1"/>
      <c r="M555" s="1"/>
      <c r="N555" s="1"/>
      <c r="O555" s="1"/>
      <c r="P555" s="1"/>
      <c r="Q555" s="1"/>
      <c r="R555" s="1"/>
      <c r="S555" s="1"/>
    </row>
    <row r="556" ht="14.25" customHeight="1">
      <c r="A556" s="1112"/>
      <c r="B556" s="1"/>
      <c r="C556" s="107"/>
      <c r="D556" s="184"/>
      <c r="E556" s="184"/>
      <c r="F556" s="1"/>
      <c r="G556" s="1"/>
      <c r="H556" s="1"/>
      <c r="I556" s="1"/>
      <c r="J556" s="1"/>
      <c r="K556" s="1"/>
      <c r="L556" s="1"/>
      <c r="M556" s="1"/>
      <c r="N556" s="1"/>
      <c r="O556" s="1"/>
      <c r="P556" s="1"/>
      <c r="Q556" s="1"/>
      <c r="R556" s="1"/>
      <c r="S556" s="1"/>
    </row>
    <row r="557" ht="14.25" customHeight="1">
      <c r="A557" s="1112"/>
      <c r="B557" s="511" t="s">
        <v>3097</v>
      </c>
      <c r="C557" s="18"/>
      <c r="D557" s="18"/>
      <c r="E557" s="18"/>
      <c r="F557" s="19"/>
      <c r="G557" s="1491"/>
      <c r="H557" s="1"/>
      <c r="I557" s="1"/>
      <c r="J557" s="1"/>
      <c r="K557" s="1"/>
      <c r="L557" s="1"/>
      <c r="M557" s="1"/>
      <c r="N557" s="1"/>
      <c r="O557" s="1"/>
      <c r="P557" s="1"/>
      <c r="Q557" s="1"/>
      <c r="R557" s="1"/>
      <c r="S557" s="1"/>
    </row>
    <row r="558" ht="14.25" customHeight="1">
      <c r="A558" s="1112"/>
      <c r="B558" s="51" t="s">
        <v>1</v>
      </c>
      <c r="C558" s="190">
        <v>100.0</v>
      </c>
      <c r="D558" s="1274">
        <v>108.0</v>
      </c>
      <c r="E558" s="1571"/>
      <c r="F558" s="514" t="s">
        <v>5</v>
      </c>
      <c r="G558" s="47"/>
      <c r="H558" s="1"/>
      <c r="I558" s="1"/>
      <c r="J558" s="1"/>
      <c r="K558" s="1"/>
      <c r="L558" s="1"/>
      <c r="M558" s="1"/>
      <c r="N558" s="1"/>
      <c r="O558" s="1"/>
      <c r="P558" s="1"/>
      <c r="Q558" s="1"/>
      <c r="R558" s="1"/>
      <c r="S558" s="1"/>
    </row>
    <row r="559" ht="14.25" customHeight="1">
      <c r="A559" s="1112"/>
      <c r="B559" s="173" t="s">
        <v>1024</v>
      </c>
      <c r="C559" s="275">
        <v>25.0</v>
      </c>
      <c r="D559" s="179">
        <f>(C559*D560)/C560</f>
        <v>27</v>
      </c>
      <c r="E559" s="1689"/>
      <c r="F559" s="547" t="s">
        <v>14</v>
      </c>
      <c r="G559" s="47"/>
      <c r="H559" s="1"/>
      <c r="I559" s="1"/>
      <c r="J559" s="1"/>
      <c r="K559" s="1"/>
      <c r="L559" s="1"/>
      <c r="M559" s="1"/>
      <c r="N559" s="1"/>
      <c r="O559" s="1"/>
      <c r="P559" s="1"/>
      <c r="Q559" s="1"/>
      <c r="R559" s="1"/>
      <c r="S559" s="1"/>
    </row>
    <row r="560" ht="14.25" customHeight="1">
      <c r="A560" s="1112"/>
      <c r="B560" s="68" t="s">
        <v>2722</v>
      </c>
      <c r="C560" s="145">
        <v>12.5</v>
      </c>
      <c r="D560" s="155">
        <f t="shared" ref="D560:D561" si="41">(C560*D558)/C558</f>
        <v>13.5</v>
      </c>
      <c r="E560" s="899"/>
      <c r="F560" s="216" t="s">
        <v>14</v>
      </c>
      <c r="G560" s="47"/>
      <c r="H560" s="1"/>
      <c r="I560" s="1"/>
      <c r="J560" s="1"/>
      <c r="K560" s="1"/>
      <c r="L560" s="1"/>
      <c r="M560" s="1"/>
      <c r="N560" s="1"/>
      <c r="O560" s="1"/>
      <c r="P560" s="1"/>
      <c r="Q560" s="1"/>
      <c r="R560" s="1"/>
      <c r="S560" s="1"/>
    </row>
    <row r="561" ht="14.25" customHeight="1">
      <c r="A561" s="1112"/>
      <c r="B561" s="93" t="s">
        <v>31</v>
      </c>
      <c r="C561" s="195">
        <v>650.0</v>
      </c>
      <c r="D561" s="78">
        <f t="shared" si="41"/>
        <v>702</v>
      </c>
      <c r="E561" s="900"/>
      <c r="F561" s="249" t="s">
        <v>18</v>
      </c>
      <c r="G561" s="47"/>
      <c r="H561" s="1"/>
      <c r="I561" s="1"/>
      <c r="J561" s="1"/>
      <c r="K561" s="1"/>
      <c r="L561" s="1"/>
      <c r="M561" s="1"/>
      <c r="N561" s="1"/>
      <c r="O561" s="1"/>
      <c r="P561" s="1"/>
      <c r="Q561" s="1"/>
      <c r="R561" s="1"/>
      <c r="S561" s="1"/>
    </row>
    <row r="562" ht="14.25" customHeight="1">
      <c r="A562" s="1112"/>
      <c r="B562" s="149" t="s">
        <v>1321</v>
      </c>
      <c r="C562" s="152">
        <v>125.0</v>
      </c>
      <c r="D562" s="274">
        <f t="shared" ref="D562:D581" si="42">(C562*D561)/C561</f>
        <v>135</v>
      </c>
      <c r="E562" s="1690"/>
      <c r="F562" s="288" t="s">
        <v>18</v>
      </c>
      <c r="G562" s="47"/>
      <c r="H562" s="1"/>
      <c r="I562" s="1"/>
      <c r="J562" s="1"/>
      <c r="K562" s="1"/>
      <c r="L562" s="1"/>
      <c r="M562" s="1"/>
      <c r="N562" s="1"/>
      <c r="O562" s="1"/>
      <c r="P562" s="1"/>
      <c r="Q562" s="1"/>
      <c r="R562" s="1"/>
      <c r="S562" s="1"/>
    </row>
    <row r="563" ht="14.25" customHeight="1">
      <c r="A563" s="1112"/>
      <c r="B563" s="138" t="s">
        <v>1217</v>
      </c>
      <c r="C563" s="279">
        <v>40.0</v>
      </c>
      <c r="D563" s="274">
        <f t="shared" si="42"/>
        <v>43.2</v>
      </c>
      <c r="E563" s="1614"/>
      <c r="F563" s="242" t="s">
        <v>14</v>
      </c>
      <c r="G563" s="47"/>
      <c r="H563" s="1"/>
      <c r="I563" s="1"/>
      <c r="J563" s="1"/>
      <c r="K563" s="1"/>
      <c r="L563" s="1"/>
      <c r="M563" s="1"/>
      <c r="N563" s="1"/>
      <c r="O563" s="1"/>
      <c r="P563" s="1"/>
      <c r="Q563" s="1"/>
      <c r="R563" s="1"/>
      <c r="S563" s="1"/>
    </row>
    <row r="564" ht="14.25" customHeight="1">
      <c r="A564" s="1112"/>
      <c r="B564" s="68" t="s">
        <v>746</v>
      </c>
      <c r="C564" s="145">
        <v>2500.0</v>
      </c>
      <c r="D564" s="155">
        <f t="shared" si="42"/>
        <v>2700</v>
      </c>
      <c r="E564" s="899"/>
      <c r="F564" s="216" t="s">
        <v>18</v>
      </c>
      <c r="G564" s="47"/>
      <c r="H564" s="1"/>
      <c r="I564" s="1"/>
      <c r="J564" s="1"/>
      <c r="K564" s="1"/>
      <c r="L564" s="1"/>
      <c r="M564" s="1"/>
      <c r="N564" s="1"/>
      <c r="O564" s="1"/>
      <c r="P564" s="1"/>
      <c r="Q564" s="1"/>
      <c r="R564" s="1"/>
      <c r="S564" s="1"/>
    </row>
    <row r="565" ht="14.25" customHeight="1">
      <c r="A565" s="1112"/>
      <c r="B565" s="93" t="s">
        <v>1132</v>
      </c>
      <c r="C565" s="195">
        <v>1500.0</v>
      </c>
      <c r="D565" s="78">
        <f t="shared" si="42"/>
        <v>1620</v>
      </c>
      <c r="E565" s="900"/>
      <c r="F565" s="249" t="s">
        <v>18</v>
      </c>
      <c r="G565" s="47"/>
      <c r="H565" s="1"/>
      <c r="I565" s="1"/>
      <c r="J565" s="1"/>
      <c r="K565" s="1"/>
      <c r="L565" s="1"/>
      <c r="M565" s="1"/>
      <c r="N565" s="1"/>
      <c r="O565" s="1"/>
      <c r="P565" s="1"/>
      <c r="Q565" s="1"/>
      <c r="R565" s="1"/>
      <c r="S565" s="1"/>
    </row>
    <row r="566" ht="14.25" customHeight="1">
      <c r="A566" s="1112"/>
      <c r="B566" s="105" t="s">
        <v>52</v>
      </c>
      <c r="C566" s="200">
        <v>100.0</v>
      </c>
      <c r="D566" s="56">
        <f t="shared" si="42"/>
        <v>108</v>
      </c>
      <c r="E566" s="1604"/>
      <c r="F566" s="518" t="s">
        <v>18</v>
      </c>
      <c r="G566" s="47"/>
      <c r="H566" s="1"/>
      <c r="I566" s="1"/>
      <c r="J566" s="1"/>
      <c r="K566" s="1"/>
      <c r="L566" s="1"/>
      <c r="M566" s="1"/>
      <c r="N566" s="1"/>
      <c r="O566" s="1"/>
      <c r="P566" s="1"/>
      <c r="Q566" s="1"/>
      <c r="R566" s="1"/>
      <c r="S566" s="1"/>
    </row>
    <row r="567" ht="14.25" customHeight="1">
      <c r="A567" s="1112"/>
      <c r="B567" s="119" t="s">
        <v>91</v>
      </c>
      <c r="C567" s="238">
        <v>3.5</v>
      </c>
      <c r="D567" s="129">
        <f t="shared" si="42"/>
        <v>3.78</v>
      </c>
      <c r="E567" s="1583"/>
      <c r="F567" s="520" t="s">
        <v>5</v>
      </c>
      <c r="G567" s="47"/>
      <c r="H567" s="1"/>
      <c r="I567" s="1"/>
      <c r="J567" s="1"/>
      <c r="K567" s="1"/>
      <c r="L567" s="1"/>
      <c r="M567" s="1"/>
      <c r="N567" s="1"/>
      <c r="O567" s="1"/>
      <c r="P567" s="1"/>
      <c r="Q567" s="1"/>
      <c r="R567" s="1"/>
      <c r="S567" s="1"/>
    </row>
    <row r="568" ht="14.25" customHeight="1">
      <c r="A568" s="1112"/>
      <c r="B568" s="93" t="s">
        <v>98</v>
      </c>
      <c r="C568" s="195">
        <v>200.0</v>
      </c>
      <c r="D568" s="78">
        <f t="shared" si="42"/>
        <v>216</v>
      </c>
      <c r="E568" s="900"/>
      <c r="F568" s="249" t="s">
        <v>18</v>
      </c>
      <c r="G568" s="47"/>
      <c r="H568" s="1"/>
      <c r="I568" s="1"/>
      <c r="J568" s="1"/>
      <c r="K568" s="1"/>
      <c r="L568" s="1"/>
      <c r="M568" s="1"/>
      <c r="N568" s="1"/>
      <c r="O568" s="1"/>
      <c r="P568" s="1"/>
      <c r="Q568" s="1"/>
      <c r="R568" s="1"/>
      <c r="S568" s="1"/>
    </row>
    <row r="569" ht="17.25" customHeight="1">
      <c r="A569" s="1112"/>
      <c r="B569" s="93" t="s">
        <v>148</v>
      </c>
      <c r="C569" s="195">
        <v>500.0</v>
      </c>
      <c r="D569" s="78">
        <f t="shared" si="42"/>
        <v>540</v>
      </c>
      <c r="E569" s="900"/>
      <c r="F569" s="249" t="s">
        <v>18</v>
      </c>
      <c r="G569" s="47"/>
      <c r="H569" s="1"/>
      <c r="I569" s="1"/>
      <c r="J569" s="1"/>
      <c r="K569" s="1"/>
      <c r="L569" s="1"/>
      <c r="M569" s="1"/>
      <c r="N569" s="1"/>
      <c r="O569" s="1"/>
      <c r="P569" s="1"/>
      <c r="Q569" s="1"/>
      <c r="R569" s="1"/>
      <c r="S569" s="1"/>
    </row>
    <row r="570" ht="14.25" customHeight="1">
      <c r="A570" s="1112"/>
      <c r="B570" s="93" t="s">
        <v>1177</v>
      </c>
      <c r="C570" s="195">
        <v>750.0</v>
      </c>
      <c r="D570" s="78">
        <f t="shared" si="42"/>
        <v>810</v>
      </c>
      <c r="E570" s="900"/>
      <c r="F570" s="249" t="s">
        <v>18</v>
      </c>
      <c r="G570" s="47"/>
      <c r="H570" s="1"/>
      <c r="I570" s="1"/>
      <c r="J570" s="1"/>
      <c r="K570" s="1"/>
      <c r="L570" s="1"/>
      <c r="M570" s="1"/>
      <c r="N570" s="1"/>
      <c r="O570" s="1"/>
      <c r="P570" s="1"/>
      <c r="Q570" s="1"/>
      <c r="R570" s="1"/>
      <c r="S570" s="1"/>
    </row>
    <row r="571" ht="14.25" customHeight="1">
      <c r="A571" s="1112"/>
      <c r="B571" s="93" t="s">
        <v>103</v>
      </c>
      <c r="C571" s="195">
        <v>150.0</v>
      </c>
      <c r="D571" s="78">
        <f t="shared" si="42"/>
        <v>162</v>
      </c>
      <c r="E571" s="900"/>
      <c r="F571" s="249" t="s">
        <v>18</v>
      </c>
      <c r="G571" s="47"/>
      <c r="H571" s="1"/>
      <c r="I571" s="1"/>
      <c r="J571" s="1"/>
      <c r="K571" s="1"/>
      <c r="L571" s="1"/>
      <c r="M571" s="1"/>
      <c r="N571" s="1"/>
      <c r="O571" s="1"/>
      <c r="P571" s="1"/>
      <c r="Q571" s="1"/>
      <c r="R571" s="1"/>
      <c r="S571" s="1"/>
    </row>
    <row r="572" ht="14.25" customHeight="1">
      <c r="A572" s="1112"/>
      <c r="B572" s="93" t="s">
        <v>66</v>
      </c>
      <c r="C572" s="195">
        <v>40.0</v>
      </c>
      <c r="D572" s="78">
        <f t="shared" si="42"/>
        <v>43.2</v>
      </c>
      <c r="E572" s="900"/>
      <c r="F572" s="249" t="s">
        <v>18</v>
      </c>
      <c r="G572" s="47"/>
      <c r="H572" s="1"/>
      <c r="I572" s="1"/>
      <c r="J572" s="1"/>
      <c r="K572" s="1"/>
      <c r="L572" s="1"/>
      <c r="M572" s="1"/>
      <c r="N572" s="1"/>
      <c r="O572" s="1"/>
      <c r="P572" s="1"/>
      <c r="Q572" s="1"/>
      <c r="R572" s="1"/>
      <c r="S572" s="1"/>
    </row>
    <row r="573" ht="14.25" customHeight="1">
      <c r="A573" s="1112"/>
      <c r="B573" s="138" t="s">
        <v>31</v>
      </c>
      <c r="C573" s="279">
        <v>1000.0</v>
      </c>
      <c r="D573" s="78">
        <f t="shared" si="42"/>
        <v>1080</v>
      </c>
      <c r="E573" s="1607"/>
      <c r="F573" s="242" t="s">
        <v>18</v>
      </c>
      <c r="G573" s="47"/>
      <c r="H573" s="1"/>
      <c r="I573" s="1"/>
      <c r="J573" s="1"/>
      <c r="K573" s="1"/>
      <c r="L573" s="1"/>
      <c r="M573" s="1"/>
      <c r="N573" s="1"/>
      <c r="O573" s="1"/>
      <c r="P573" s="1"/>
      <c r="Q573" s="1"/>
      <c r="R573" s="1"/>
      <c r="S573" s="1"/>
    </row>
    <row r="574" ht="14.25" customHeight="1">
      <c r="A574" s="1112"/>
      <c r="B574" s="68" t="s">
        <v>105</v>
      </c>
      <c r="C574" s="145">
        <v>100.0</v>
      </c>
      <c r="D574" s="155">
        <f t="shared" si="42"/>
        <v>108</v>
      </c>
      <c r="E574" s="899"/>
      <c r="F574" s="216" t="s">
        <v>18</v>
      </c>
      <c r="G574" s="47"/>
      <c r="H574" s="1"/>
      <c r="I574" s="1"/>
      <c r="J574" s="1"/>
      <c r="K574" s="1"/>
      <c r="L574" s="1"/>
      <c r="M574" s="1"/>
      <c r="N574" s="1"/>
      <c r="O574" s="1"/>
      <c r="P574" s="1"/>
      <c r="Q574" s="1"/>
      <c r="R574" s="1"/>
      <c r="S574" s="1"/>
    </row>
    <row r="575" ht="14.25" customHeight="1">
      <c r="A575" s="1112"/>
      <c r="B575" s="93" t="s">
        <v>1027</v>
      </c>
      <c r="C575" s="195">
        <v>150.0</v>
      </c>
      <c r="D575" s="78">
        <f t="shared" si="42"/>
        <v>162</v>
      </c>
      <c r="E575" s="900"/>
      <c r="F575" s="249" t="s">
        <v>18</v>
      </c>
      <c r="G575" s="47"/>
      <c r="H575" s="1"/>
      <c r="I575" s="1"/>
      <c r="J575" s="1"/>
      <c r="K575" s="1"/>
      <c r="L575" s="1"/>
      <c r="M575" s="1"/>
      <c r="N575" s="1"/>
      <c r="O575" s="1"/>
      <c r="P575" s="1"/>
      <c r="Q575" s="1"/>
      <c r="R575" s="1"/>
      <c r="S575" s="1"/>
    </row>
    <row r="576" ht="14.25" customHeight="1">
      <c r="A576" s="1112"/>
      <c r="B576" s="93" t="s">
        <v>1657</v>
      </c>
      <c r="C576" s="195">
        <v>250.0</v>
      </c>
      <c r="D576" s="78">
        <f t="shared" si="42"/>
        <v>270</v>
      </c>
      <c r="E576" s="900"/>
      <c r="F576" s="249" t="s">
        <v>18</v>
      </c>
      <c r="G576" s="47"/>
      <c r="H576" s="1"/>
      <c r="I576" s="1"/>
      <c r="J576" s="1"/>
      <c r="K576" s="1"/>
      <c r="L576" s="1"/>
      <c r="M576" s="1"/>
      <c r="N576" s="1"/>
      <c r="O576" s="1"/>
      <c r="P576" s="1"/>
      <c r="Q576" s="1"/>
      <c r="R576" s="1"/>
      <c r="S576" s="1"/>
    </row>
    <row r="577" ht="14.25" customHeight="1">
      <c r="A577" s="1112"/>
      <c r="B577" s="138" t="s">
        <v>3116</v>
      </c>
      <c r="C577" s="279">
        <v>350.0</v>
      </c>
      <c r="D577" s="78">
        <f t="shared" si="42"/>
        <v>378</v>
      </c>
      <c r="E577" s="1607"/>
      <c r="F577" s="242" t="s">
        <v>18</v>
      </c>
      <c r="G577" s="47"/>
      <c r="H577" s="1"/>
      <c r="I577" s="1"/>
      <c r="J577" s="1"/>
      <c r="K577" s="1"/>
      <c r="L577" s="1"/>
      <c r="M577" s="1"/>
      <c r="N577" s="1"/>
      <c r="O577" s="1"/>
      <c r="P577" s="1"/>
      <c r="Q577" s="1"/>
      <c r="R577" s="1"/>
      <c r="S577" s="1"/>
    </row>
    <row r="578" ht="14.25" customHeight="1">
      <c r="A578" s="1112"/>
      <c r="B578" s="138" t="s">
        <v>288</v>
      </c>
      <c r="C578" s="279">
        <v>200.0</v>
      </c>
      <c r="D578" s="146">
        <f t="shared" si="42"/>
        <v>216</v>
      </c>
      <c r="E578" s="1607"/>
      <c r="F578" s="242" t="s">
        <v>18</v>
      </c>
      <c r="G578" s="47"/>
      <c r="H578" s="1"/>
      <c r="I578" s="1"/>
      <c r="J578" s="1"/>
      <c r="K578" s="1"/>
      <c r="L578" s="1"/>
      <c r="M578" s="1"/>
      <c r="N578" s="1"/>
      <c r="O578" s="1"/>
      <c r="P578" s="1"/>
      <c r="Q578" s="1"/>
      <c r="R578" s="1"/>
      <c r="S578" s="1"/>
    </row>
    <row r="579" ht="14.25" customHeight="1">
      <c r="A579" s="1112"/>
      <c r="B579" s="68" t="s">
        <v>13</v>
      </c>
      <c r="C579" s="145">
        <v>1.0</v>
      </c>
      <c r="D579" s="155">
        <f t="shared" si="42"/>
        <v>1.08</v>
      </c>
      <c r="E579" s="899"/>
      <c r="F579" s="216" t="s">
        <v>14</v>
      </c>
      <c r="G579" s="47"/>
      <c r="H579" s="1"/>
      <c r="I579" s="1"/>
      <c r="J579" s="1"/>
      <c r="K579" s="1"/>
      <c r="L579" s="1"/>
      <c r="M579" s="1"/>
      <c r="N579" s="1"/>
      <c r="O579" s="1"/>
      <c r="P579" s="1"/>
      <c r="Q579" s="1"/>
      <c r="R579" s="1"/>
      <c r="S579" s="1"/>
    </row>
    <row r="580" ht="14.25" customHeight="1">
      <c r="A580" s="1112"/>
      <c r="B580" s="105" t="s">
        <v>3115</v>
      </c>
      <c r="C580" s="200">
        <v>3.5</v>
      </c>
      <c r="D580" s="56">
        <f t="shared" si="42"/>
        <v>3.78</v>
      </c>
      <c r="E580" s="1604"/>
      <c r="F580" s="518" t="s">
        <v>5</v>
      </c>
      <c r="G580" s="47"/>
      <c r="H580" s="1"/>
      <c r="I580" s="1"/>
      <c r="J580" s="1"/>
      <c r="K580" s="1"/>
      <c r="L580" s="1"/>
      <c r="M580" s="1"/>
      <c r="N580" s="1"/>
      <c r="O580" s="1"/>
      <c r="P580" s="1"/>
      <c r="Q580" s="1"/>
      <c r="R580" s="1"/>
      <c r="S580" s="1"/>
    </row>
    <row r="581" ht="14.25" customHeight="1">
      <c r="A581" s="1112"/>
      <c r="B581" s="173" t="s">
        <v>2292</v>
      </c>
      <c r="C581" s="275">
        <v>4.0</v>
      </c>
      <c r="D581" s="179">
        <f t="shared" si="42"/>
        <v>4.32</v>
      </c>
      <c r="E581" s="1689"/>
      <c r="F581" s="547" t="s">
        <v>5</v>
      </c>
      <c r="G581" s="76"/>
      <c r="H581" s="1"/>
      <c r="I581" s="1"/>
      <c r="J581" s="1"/>
      <c r="K581" s="1"/>
      <c r="L581" s="1"/>
      <c r="M581" s="1"/>
      <c r="N581" s="1"/>
      <c r="O581" s="1"/>
      <c r="P581" s="1"/>
      <c r="Q581" s="1"/>
      <c r="R581" s="1"/>
      <c r="S581" s="1"/>
    </row>
    <row r="582" ht="14.25" customHeight="1">
      <c r="A582" s="1112"/>
      <c r="B582" s="2275" t="s">
        <v>119</v>
      </c>
      <c r="C582" s="1446" t="s">
        <v>47</v>
      </c>
      <c r="D582" s="184"/>
      <c r="E582" s="184"/>
      <c r="F582" s="1"/>
      <c r="G582" s="1"/>
      <c r="H582" s="1"/>
      <c r="I582" s="1"/>
      <c r="J582" s="1"/>
      <c r="K582" s="1"/>
      <c r="L582" s="1"/>
      <c r="M582" s="1"/>
      <c r="N582" s="1"/>
      <c r="O582" s="1"/>
      <c r="P582" s="1"/>
      <c r="Q582" s="1"/>
      <c r="R582" s="1"/>
      <c r="S582" s="1"/>
    </row>
    <row r="583" ht="14.25" customHeight="1">
      <c r="A583" s="1112"/>
      <c r="B583" s="1"/>
      <c r="C583" s="107"/>
      <c r="D583" s="184"/>
      <c r="E583" s="184"/>
      <c r="F583" s="1"/>
      <c r="G583" s="1"/>
      <c r="H583" s="1"/>
      <c r="I583" s="1"/>
      <c r="J583" s="1"/>
      <c r="K583" s="1"/>
      <c r="L583" s="1"/>
      <c r="M583" s="1"/>
      <c r="N583" s="1"/>
      <c r="O583" s="1"/>
      <c r="P583" s="1"/>
      <c r="Q583" s="1"/>
      <c r="R583" s="1"/>
      <c r="S583" s="1"/>
    </row>
    <row r="584" ht="14.25" customHeight="1">
      <c r="A584" s="1112"/>
      <c r="B584" s="209" t="s">
        <v>872</v>
      </c>
      <c r="C584" s="18"/>
      <c r="D584" s="18"/>
      <c r="E584" s="18"/>
      <c r="F584" s="19"/>
      <c r="G584" s="2379"/>
      <c r="H584" s="1"/>
      <c r="I584" s="1"/>
      <c r="J584" s="1"/>
      <c r="K584" s="1"/>
      <c r="L584" s="1"/>
      <c r="M584" s="1"/>
      <c r="N584" s="1"/>
      <c r="O584" s="1"/>
      <c r="P584" s="1"/>
      <c r="Q584" s="1"/>
      <c r="R584" s="1"/>
      <c r="S584" s="1"/>
    </row>
    <row r="585" ht="14.25" customHeight="1">
      <c r="A585" s="1112"/>
      <c r="B585" s="25" t="s">
        <v>1</v>
      </c>
      <c r="C585" s="410">
        <v>100.0</v>
      </c>
      <c r="D585" s="26">
        <v>22.0</v>
      </c>
      <c r="E585" s="2088"/>
      <c r="F585" s="28" t="s">
        <v>5</v>
      </c>
      <c r="G585" s="2383"/>
      <c r="H585" s="1"/>
      <c r="I585" s="1"/>
      <c r="J585" s="1"/>
      <c r="K585" s="1"/>
      <c r="L585" s="1"/>
      <c r="M585" s="1"/>
      <c r="N585" s="1"/>
      <c r="O585" s="1"/>
      <c r="P585" s="1"/>
      <c r="Q585" s="1"/>
      <c r="R585" s="1"/>
      <c r="S585" s="1"/>
    </row>
    <row r="586" ht="14.25" customHeight="1">
      <c r="A586" s="1112"/>
      <c r="B586" s="163" t="s">
        <v>91</v>
      </c>
      <c r="C586" s="131">
        <v>4.0</v>
      </c>
      <c r="D586" s="316">
        <f>(C586*D601)/C601</f>
        <v>0.88</v>
      </c>
      <c r="E586" s="2091"/>
      <c r="F586" s="169" t="s">
        <v>5</v>
      </c>
      <c r="G586" s="44" t="s">
        <v>3131</v>
      </c>
      <c r="H586" s="1"/>
      <c r="I586" s="1"/>
      <c r="J586" s="1"/>
      <c r="K586" s="1"/>
      <c r="L586" s="1"/>
      <c r="M586" s="1"/>
      <c r="N586" s="1"/>
      <c r="O586" s="1"/>
      <c r="P586" s="1"/>
      <c r="Q586" s="1"/>
      <c r="R586" s="1"/>
      <c r="S586" s="1"/>
    </row>
    <row r="587" ht="14.25" customHeight="1">
      <c r="A587" s="1112"/>
      <c r="B587" s="177" t="s">
        <v>97</v>
      </c>
      <c r="C587" s="160">
        <v>100.0</v>
      </c>
      <c r="D587" s="321">
        <f t="shared" ref="D587:D588" si="43">(C587*D586)/C586</f>
        <v>22</v>
      </c>
      <c r="E587" s="2095"/>
      <c r="F587" s="204" t="s">
        <v>18</v>
      </c>
      <c r="G587" s="47"/>
      <c r="H587" s="1"/>
      <c r="I587" s="1"/>
      <c r="J587" s="1"/>
      <c r="K587" s="1"/>
      <c r="L587" s="1"/>
      <c r="M587" s="1"/>
      <c r="N587" s="1"/>
      <c r="O587" s="1"/>
      <c r="P587" s="1"/>
      <c r="Q587" s="1"/>
      <c r="R587" s="1"/>
      <c r="S587" s="1"/>
    </row>
    <row r="588" ht="14.25" customHeight="1">
      <c r="A588" s="1112"/>
      <c r="B588" s="177" t="s">
        <v>98</v>
      </c>
      <c r="C588" s="160">
        <v>100.0</v>
      </c>
      <c r="D588" s="321">
        <f t="shared" si="43"/>
        <v>22</v>
      </c>
      <c r="E588" s="2095"/>
      <c r="F588" s="204" t="s">
        <v>18</v>
      </c>
      <c r="G588" s="47"/>
      <c r="H588" s="1"/>
      <c r="I588" s="1"/>
      <c r="J588" s="1"/>
      <c r="K588" s="1"/>
      <c r="L588" s="1"/>
      <c r="M588" s="1"/>
      <c r="N588" s="1"/>
      <c r="O588" s="1"/>
      <c r="P588" s="1"/>
      <c r="Q588" s="1"/>
      <c r="R588" s="1"/>
      <c r="S588" s="1"/>
    </row>
    <row r="589" ht="14.25" customHeight="1">
      <c r="A589" s="1112"/>
      <c r="B589" s="262" t="s">
        <v>3132</v>
      </c>
      <c r="C589" s="1360">
        <v>70.0</v>
      </c>
      <c r="D589" s="355">
        <f>(C589*D585)/C585</f>
        <v>15.4</v>
      </c>
      <c r="E589" s="2101"/>
      <c r="F589" s="267" t="s">
        <v>14</v>
      </c>
      <c r="G589" s="47"/>
      <c r="H589" s="1"/>
      <c r="I589" s="1"/>
      <c r="J589" s="1"/>
      <c r="K589" s="1"/>
      <c r="L589" s="1"/>
      <c r="M589" s="1"/>
      <c r="N589" s="1"/>
      <c r="O589" s="1"/>
      <c r="P589" s="1"/>
      <c r="Q589" s="1"/>
      <c r="R589" s="1"/>
      <c r="S589" s="1"/>
    </row>
    <row r="590" ht="14.25" customHeight="1">
      <c r="A590" s="1112"/>
      <c r="B590" s="262" t="s">
        <v>31</v>
      </c>
      <c r="C590" s="1360">
        <v>800.0</v>
      </c>
      <c r="D590" s="355">
        <f>(C590*D588)/C588</f>
        <v>176</v>
      </c>
      <c r="E590" s="2101"/>
      <c r="F590" s="267" t="s">
        <v>18</v>
      </c>
      <c r="G590" s="76"/>
      <c r="H590" s="1"/>
      <c r="I590" s="1"/>
      <c r="J590" s="1"/>
      <c r="K590" s="1"/>
      <c r="L590" s="1"/>
      <c r="M590" s="1"/>
      <c r="N590" s="1"/>
      <c r="O590" s="1"/>
      <c r="P590" s="1"/>
      <c r="Q590" s="1"/>
      <c r="R590" s="1"/>
      <c r="S590" s="1"/>
    </row>
    <row r="591" ht="14.25" customHeight="1">
      <c r="A591" s="1112"/>
      <c r="B591" s="163" t="s">
        <v>91</v>
      </c>
      <c r="C591" s="131">
        <v>1.0</v>
      </c>
      <c r="D591" s="316">
        <f t="shared" ref="D591:D597" si="44">(C591*D590)/C590</f>
        <v>0.22</v>
      </c>
      <c r="E591" s="2091"/>
      <c r="F591" s="169" t="s">
        <v>5</v>
      </c>
      <c r="G591" s="44" t="s">
        <v>3137</v>
      </c>
      <c r="H591" s="1"/>
      <c r="I591" s="1"/>
      <c r="J591" s="1"/>
      <c r="K591" s="1"/>
      <c r="L591" s="1"/>
      <c r="M591" s="1"/>
      <c r="N591" s="1"/>
      <c r="O591" s="1"/>
      <c r="P591" s="1"/>
      <c r="Q591" s="1"/>
      <c r="R591" s="1"/>
      <c r="S591" s="1"/>
    </row>
    <row r="592" ht="14.25" customHeight="1">
      <c r="A592" s="1112"/>
      <c r="B592" s="177" t="s">
        <v>97</v>
      </c>
      <c r="C592" s="160">
        <v>100.0</v>
      </c>
      <c r="D592" s="321">
        <f t="shared" si="44"/>
        <v>22</v>
      </c>
      <c r="E592" s="2095"/>
      <c r="F592" s="204" t="s">
        <v>18</v>
      </c>
      <c r="G592" s="47"/>
      <c r="H592" s="1"/>
      <c r="I592" s="1"/>
      <c r="J592" s="1"/>
      <c r="K592" s="1"/>
      <c r="L592" s="1"/>
      <c r="M592" s="1"/>
      <c r="N592" s="1"/>
      <c r="O592" s="1"/>
      <c r="P592" s="1"/>
      <c r="Q592" s="1"/>
      <c r="R592" s="1"/>
      <c r="S592" s="1"/>
    </row>
    <row r="593" ht="14.25" customHeight="1">
      <c r="A593" s="1112"/>
      <c r="B593" s="177" t="s">
        <v>98</v>
      </c>
      <c r="C593" s="160">
        <v>100.0</v>
      </c>
      <c r="D593" s="321">
        <f t="shared" si="44"/>
        <v>22</v>
      </c>
      <c r="E593" s="2095"/>
      <c r="F593" s="204" t="s">
        <v>18</v>
      </c>
      <c r="G593" s="47"/>
      <c r="H593" s="1"/>
      <c r="I593" s="1"/>
      <c r="J593" s="1"/>
      <c r="K593" s="1"/>
      <c r="L593" s="1"/>
      <c r="M593" s="1"/>
      <c r="N593" s="1"/>
      <c r="O593" s="1"/>
      <c r="P593" s="1"/>
      <c r="Q593" s="1"/>
      <c r="R593" s="1"/>
      <c r="S593" s="1"/>
    </row>
    <row r="594" ht="14.25" customHeight="1">
      <c r="A594" s="1112"/>
      <c r="B594" s="177" t="s">
        <v>847</v>
      </c>
      <c r="C594" s="160">
        <v>100.0</v>
      </c>
      <c r="D594" s="321">
        <f t="shared" si="44"/>
        <v>22</v>
      </c>
      <c r="E594" s="2095"/>
      <c r="F594" s="204" t="s">
        <v>18</v>
      </c>
      <c r="G594" s="47"/>
      <c r="H594" s="1"/>
      <c r="I594" s="1"/>
      <c r="J594" s="1"/>
      <c r="K594" s="1"/>
      <c r="L594" s="1"/>
      <c r="M594" s="1"/>
      <c r="N594" s="1"/>
      <c r="O594" s="1"/>
      <c r="P594" s="1"/>
      <c r="Q594" s="1"/>
      <c r="R594" s="1"/>
      <c r="S594" s="1"/>
    </row>
    <row r="595" ht="14.25" customHeight="1">
      <c r="A595" s="1112"/>
      <c r="B595" s="177" t="s">
        <v>101</v>
      </c>
      <c r="C595" s="160">
        <v>1.0</v>
      </c>
      <c r="D595" s="321">
        <f t="shared" si="44"/>
        <v>0.22</v>
      </c>
      <c r="E595" s="2095"/>
      <c r="F595" s="204" t="s">
        <v>5</v>
      </c>
      <c r="G595" s="47"/>
      <c r="H595" s="1"/>
      <c r="I595" s="1"/>
      <c r="J595" s="1"/>
      <c r="K595" s="1"/>
      <c r="L595" s="1"/>
      <c r="M595" s="1"/>
      <c r="N595" s="1"/>
      <c r="O595" s="1"/>
      <c r="P595" s="1"/>
      <c r="Q595" s="1"/>
      <c r="R595" s="1"/>
      <c r="S595" s="1"/>
    </row>
    <row r="596" ht="14.25" customHeight="1">
      <c r="A596" s="1112"/>
      <c r="B596" s="177" t="s">
        <v>179</v>
      </c>
      <c r="C596" s="160">
        <v>400.0</v>
      </c>
      <c r="D596" s="321">
        <f t="shared" si="44"/>
        <v>88</v>
      </c>
      <c r="E596" s="2095"/>
      <c r="F596" s="204" t="s">
        <v>18</v>
      </c>
      <c r="G596" s="47"/>
      <c r="H596" s="1"/>
      <c r="I596" s="1"/>
      <c r="J596" s="1"/>
      <c r="K596" s="1"/>
      <c r="L596" s="1"/>
      <c r="M596" s="1"/>
      <c r="N596" s="1"/>
      <c r="O596" s="1"/>
      <c r="P596" s="1"/>
      <c r="Q596" s="1"/>
      <c r="R596" s="1"/>
      <c r="S596" s="1"/>
    </row>
    <row r="597" ht="14.25" customHeight="1">
      <c r="A597" s="1112"/>
      <c r="B597" s="177" t="s">
        <v>92</v>
      </c>
      <c r="C597" s="160">
        <v>400.0</v>
      </c>
      <c r="D597" s="321">
        <f t="shared" si="44"/>
        <v>88</v>
      </c>
      <c r="E597" s="2095"/>
      <c r="F597" s="204" t="s">
        <v>18</v>
      </c>
      <c r="G597" s="47"/>
      <c r="H597" s="1"/>
      <c r="I597" s="1"/>
      <c r="J597" s="1"/>
      <c r="K597" s="1"/>
      <c r="L597" s="1"/>
      <c r="M597" s="1"/>
      <c r="N597" s="1"/>
      <c r="O597" s="1"/>
      <c r="P597" s="1"/>
      <c r="Q597" s="1"/>
      <c r="R597" s="1"/>
      <c r="S597" s="1"/>
    </row>
    <row r="598" ht="14.25" customHeight="1">
      <c r="A598" s="1112"/>
      <c r="B598" s="163" t="s">
        <v>3141</v>
      </c>
      <c r="C598" s="131">
        <v>60.0</v>
      </c>
      <c r="D598" s="316">
        <f t="shared" ref="D598:D599" si="45">(C598*D589)/C589</f>
        <v>13.2</v>
      </c>
      <c r="E598" s="2091"/>
      <c r="F598" s="169" t="s">
        <v>5</v>
      </c>
      <c r="G598" s="47"/>
      <c r="H598" s="1"/>
      <c r="I598" s="1"/>
      <c r="J598" s="1"/>
      <c r="K598" s="1"/>
      <c r="L598" s="1"/>
      <c r="M598" s="1"/>
      <c r="N598" s="1"/>
      <c r="O598" s="1"/>
      <c r="P598" s="1"/>
      <c r="Q598" s="1"/>
      <c r="R598" s="1"/>
      <c r="S598" s="1"/>
    </row>
    <row r="599" ht="14.25" customHeight="1">
      <c r="A599" s="1112"/>
      <c r="B599" s="177" t="s">
        <v>13</v>
      </c>
      <c r="C599" s="160">
        <v>1.2</v>
      </c>
      <c r="D599" s="321">
        <f t="shared" si="45"/>
        <v>0.264</v>
      </c>
      <c r="E599" s="2095"/>
      <c r="F599" s="204" t="s">
        <v>14</v>
      </c>
      <c r="G599" s="47"/>
      <c r="H599" s="1"/>
      <c r="I599" s="1"/>
      <c r="J599" s="1"/>
      <c r="K599" s="1"/>
      <c r="L599" s="1"/>
      <c r="M599" s="1"/>
      <c r="N599" s="1"/>
      <c r="O599" s="1"/>
      <c r="P599" s="1"/>
      <c r="Q599" s="1"/>
      <c r="R599" s="1"/>
      <c r="S599" s="1"/>
    </row>
    <row r="600" ht="14.25" customHeight="1">
      <c r="A600" s="1112"/>
      <c r="B600" s="208" t="s">
        <v>31</v>
      </c>
      <c r="C600" s="167">
        <v>400.0</v>
      </c>
      <c r="D600" s="318">
        <f>(C600*D599)/C599</f>
        <v>88</v>
      </c>
      <c r="E600" s="2109"/>
      <c r="F600" s="212" t="s">
        <v>18</v>
      </c>
      <c r="G600" s="76"/>
      <c r="H600" s="1"/>
      <c r="I600" s="1"/>
      <c r="J600" s="1"/>
      <c r="K600" s="1"/>
      <c r="L600" s="1"/>
      <c r="M600" s="1"/>
      <c r="N600" s="1"/>
      <c r="O600" s="1"/>
      <c r="P600" s="1"/>
      <c r="Q600" s="1"/>
      <c r="R600" s="1"/>
      <c r="S600" s="1"/>
    </row>
    <row r="601" ht="14.25" customHeight="1">
      <c r="A601" s="1112"/>
      <c r="B601" s="458" t="s">
        <v>350</v>
      </c>
      <c r="C601" s="2803">
        <v>10.0</v>
      </c>
      <c r="D601" s="363">
        <f>(C601*D598)/C598</f>
        <v>2.2</v>
      </c>
      <c r="E601" s="2805"/>
      <c r="F601" s="463" t="s">
        <v>9</v>
      </c>
      <c r="G601" s="1703" t="s">
        <v>3145</v>
      </c>
      <c r="H601" s="1"/>
      <c r="I601" s="1"/>
      <c r="J601" s="1"/>
      <c r="K601" s="1"/>
      <c r="L601" s="1"/>
      <c r="M601" s="1"/>
      <c r="N601" s="1"/>
      <c r="O601" s="1"/>
      <c r="P601" s="1"/>
      <c r="Q601" s="1"/>
      <c r="R601" s="1"/>
      <c r="S601" s="1"/>
    </row>
    <row r="602" ht="14.25" customHeight="1">
      <c r="A602" s="1112"/>
      <c r="B602" s="1640" t="s">
        <v>119</v>
      </c>
      <c r="C602" s="183" t="s">
        <v>47</v>
      </c>
      <c r="D602" s="184"/>
      <c r="E602" s="184"/>
      <c r="F602" s="107"/>
      <c r="G602" s="1"/>
      <c r="H602" s="1"/>
      <c r="I602" s="1"/>
      <c r="J602" s="1"/>
      <c r="K602" s="1"/>
      <c r="L602" s="1"/>
      <c r="M602" s="1"/>
      <c r="N602" s="1"/>
      <c r="O602" s="1"/>
      <c r="P602" s="1"/>
      <c r="Q602" s="1"/>
      <c r="R602" s="1"/>
      <c r="S602" s="1"/>
    </row>
    <row r="603" ht="14.25" customHeight="1">
      <c r="A603" s="1112"/>
      <c r="B603" s="1499" t="s">
        <v>49</v>
      </c>
      <c r="C603" s="2806">
        <v>41236.0</v>
      </c>
      <c r="D603" s="184"/>
      <c r="E603" s="184"/>
      <c r="F603" s="1"/>
      <c r="G603" s="1"/>
      <c r="H603" s="1"/>
      <c r="I603" s="1"/>
      <c r="J603" s="1"/>
      <c r="K603" s="1"/>
      <c r="L603" s="1"/>
      <c r="M603" s="1"/>
      <c r="N603" s="1"/>
      <c r="O603" s="1"/>
      <c r="P603" s="1"/>
      <c r="Q603" s="1"/>
      <c r="R603" s="1"/>
      <c r="S603" s="1"/>
    </row>
    <row r="604" ht="14.25" customHeight="1">
      <c r="A604" s="1112"/>
      <c r="B604" s="664" t="s">
        <v>1486</v>
      </c>
      <c r="C604" s="2806">
        <v>41290.0</v>
      </c>
      <c r="D604" s="184"/>
      <c r="E604" s="184"/>
      <c r="F604" s="1"/>
      <c r="G604" s="1"/>
      <c r="H604" s="1"/>
      <c r="I604" s="1"/>
      <c r="J604" s="1"/>
      <c r="K604" s="1"/>
      <c r="L604" s="1"/>
      <c r="M604" s="1"/>
      <c r="N604" s="1"/>
      <c r="O604" s="1"/>
      <c r="P604" s="1"/>
      <c r="Q604" s="1"/>
      <c r="R604" s="1"/>
      <c r="S604" s="1"/>
    </row>
    <row r="605" ht="14.25" customHeight="1">
      <c r="A605" s="1112"/>
      <c r="B605" s="1"/>
      <c r="C605" s="107"/>
      <c r="D605" s="184"/>
      <c r="E605" s="184"/>
      <c r="F605" s="1"/>
      <c r="G605" s="1112"/>
      <c r="H605" s="1"/>
      <c r="I605" s="1"/>
      <c r="J605" s="1"/>
      <c r="K605" s="1"/>
      <c r="L605" s="1"/>
      <c r="M605" s="1"/>
      <c r="N605" s="1"/>
      <c r="O605" s="1"/>
      <c r="P605" s="1"/>
      <c r="Q605" s="1"/>
      <c r="R605" s="1"/>
      <c r="S605" s="1"/>
    </row>
    <row r="606" ht="14.25" customHeight="1">
      <c r="A606" s="1112"/>
      <c r="B606" s="656" t="s">
        <v>886</v>
      </c>
      <c r="C606" s="18"/>
      <c r="D606" s="18"/>
      <c r="E606" s="18"/>
      <c r="F606" s="19"/>
      <c r="G606" s="141"/>
      <c r="H606" s="656" t="s">
        <v>3147</v>
      </c>
      <c r="I606" s="18"/>
      <c r="J606" s="18"/>
      <c r="K606" s="19"/>
      <c r="R606" s="1"/>
      <c r="S606" s="1"/>
    </row>
    <row r="607" ht="14.25" customHeight="1">
      <c r="A607" s="1112"/>
      <c r="B607" s="262" t="s">
        <v>1</v>
      </c>
      <c r="C607" s="1360">
        <v>100.0</v>
      </c>
      <c r="D607" s="2808">
        <v>14.0</v>
      </c>
      <c r="E607" s="2164"/>
      <c r="F607" s="267" t="s">
        <v>5</v>
      </c>
      <c r="G607" s="141"/>
      <c r="H607" s="262" t="s">
        <v>1</v>
      </c>
      <c r="I607" s="1360">
        <v>100.0</v>
      </c>
      <c r="J607" s="265">
        <v>30.0</v>
      </c>
      <c r="K607" s="267" t="s">
        <v>5</v>
      </c>
      <c r="R607" s="1"/>
      <c r="S607" s="1"/>
    </row>
    <row r="608" ht="14.25" customHeight="1">
      <c r="A608" s="1112"/>
      <c r="B608" s="25" t="s">
        <v>3038</v>
      </c>
      <c r="C608" s="410">
        <v>110.0</v>
      </c>
      <c r="D608" s="526">
        <f t="shared" ref="D608:D612" si="46">(C608*D607)/C607</f>
        <v>15.4</v>
      </c>
      <c r="E608" s="2144"/>
      <c r="F608" s="28" t="s">
        <v>14</v>
      </c>
      <c r="G608" s="141"/>
      <c r="H608" s="2809" t="s">
        <v>3149</v>
      </c>
      <c r="I608" s="2810">
        <v>120.0</v>
      </c>
      <c r="J608" s="2811">
        <f t="shared" ref="J608:J612" si="47">(I608*J607)/I607</f>
        <v>36</v>
      </c>
      <c r="K608" s="2812" t="s">
        <v>14</v>
      </c>
      <c r="R608" s="1"/>
      <c r="S608" s="1"/>
    </row>
    <row r="609" ht="14.25" customHeight="1">
      <c r="A609" s="1112"/>
      <c r="B609" s="25" t="s">
        <v>3151</v>
      </c>
      <c r="C609" s="410">
        <v>2.5</v>
      </c>
      <c r="D609" s="526">
        <f t="shared" si="46"/>
        <v>0.35</v>
      </c>
      <c r="E609" s="2144"/>
      <c r="F609" s="28" t="s">
        <v>14</v>
      </c>
      <c r="G609" s="784" t="s">
        <v>1501</v>
      </c>
      <c r="H609" s="25" t="s">
        <v>3151</v>
      </c>
      <c r="I609" s="410">
        <v>2.5</v>
      </c>
      <c r="J609" s="526">
        <f t="shared" si="47"/>
        <v>0.75</v>
      </c>
      <c r="K609" s="28" t="s">
        <v>14</v>
      </c>
      <c r="R609" s="1"/>
      <c r="S609" s="1"/>
    </row>
    <row r="610" ht="14.25" customHeight="1">
      <c r="A610" s="1112"/>
      <c r="B610" s="163" t="s">
        <v>91</v>
      </c>
      <c r="C610" s="131">
        <v>2.5</v>
      </c>
      <c r="D610" s="164">
        <f t="shared" si="46"/>
        <v>0.35</v>
      </c>
      <c r="E610" s="1731"/>
      <c r="F610" s="169" t="s">
        <v>5</v>
      </c>
      <c r="G610" s="44" t="s">
        <v>3153</v>
      </c>
      <c r="H610" s="163" t="s">
        <v>91</v>
      </c>
      <c r="I610" s="131">
        <v>2.5</v>
      </c>
      <c r="J610" s="164">
        <f t="shared" si="47"/>
        <v>0.75</v>
      </c>
      <c r="K610" s="169" t="s">
        <v>5</v>
      </c>
      <c r="R610" s="1"/>
      <c r="S610" s="1"/>
    </row>
    <row r="611" ht="14.25" customHeight="1">
      <c r="A611" s="1112"/>
      <c r="B611" s="177" t="s">
        <v>98</v>
      </c>
      <c r="C611" s="160">
        <v>250.0</v>
      </c>
      <c r="D611" s="201">
        <f t="shared" si="46"/>
        <v>35</v>
      </c>
      <c r="E611" s="1735"/>
      <c r="F611" s="204" t="s">
        <v>18</v>
      </c>
      <c r="G611" s="47"/>
      <c r="H611" s="177" t="s">
        <v>98</v>
      </c>
      <c r="I611" s="160">
        <v>250.0</v>
      </c>
      <c r="J611" s="201">
        <f t="shared" si="47"/>
        <v>75</v>
      </c>
      <c r="K611" s="204" t="s">
        <v>18</v>
      </c>
      <c r="R611" s="1"/>
      <c r="S611" s="1"/>
    </row>
    <row r="612" ht="14.25" customHeight="1">
      <c r="A612" s="1112"/>
      <c r="B612" s="177" t="s">
        <v>148</v>
      </c>
      <c r="C612" s="160">
        <v>250.0</v>
      </c>
      <c r="D612" s="201">
        <f t="shared" si="46"/>
        <v>35</v>
      </c>
      <c r="E612" s="1735"/>
      <c r="F612" s="204" t="s">
        <v>18</v>
      </c>
      <c r="G612" s="47"/>
      <c r="H612" s="177" t="s">
        <v>148</v>
      </c>
      <c r="I612" s="160">
        <v>250.0</v>
      </c>
      <c r="J612" s="201">
        <f t="shared" si="47"/>
        <v>75</v>
      </c>
      <c r="K612" s="204" t="s">
        <v>18</v>
      </c>
      <c r="R612" s="1"/>
      <c r="S612" s="1"/>
    </row>
    <row r="613" ht="14.25" customHeight="1">
      <c r="A613" s="1112"/>
      <c r="B613" s="262" t="s">
        <v>753</v>
      </c>
      <c r="C613" s="1360">
        <v>500.0</v>
      </c>
      <c r="D613" s="265">
        <f t="shared" ref="D613:D614" si="48">(C613*D614)/C614</f>
        <v>70</v>
      </c>
      <c r="E613" s="2164"/>
      <c r="F613" s="267" t="s">
        <v>18</v>
      </c>
      <c r="G613" s="47"/>
      <c r="H613" s="262" t="s">
        <v>753</v>
      </c>
      <c r="I613" s="1360">
        <v>500.0</v>
      </c>
      <c r="J613" s="265">
        <f t="shared" ref="J613:J614" si="49">(I613*J614)/I614</f>
        <v>150</v>
      </c>
      <c r="K613" s="267" t="s">
        <v>18</v>
      </c>
      <c r="R613" s="1"/>
      <c r="S613" s="1"/>
    </row>
    <row r="614" ht="14.25" customHeight="1">
      <c r="A614" s="1112"/>
      <c r="B614" s="177" t="s">
        <v>103</v>
      </c>
      <c r="C614" s="160">
        <v>75.0</v>
      </c>
      <c r="D614" s="201">
        <f t="shared" si="48"/>
        <v>10.5</v>
      </c>
      <c r="E614" s="1735"/>
      <c r="F614" s="204" t="s">
        <v>18</v>
      </c>
      <c r="G614" s="47"/>
      <c r="H614" s="177" t="s">
        <v>103</v>
      </c>
      <c r="I614" s="160">
        <v>75.0</v>
      </c>
      <c r="J614" s="201">
        <f t="shared" si="49"/>
        <v>22.5</v>
      </c>
      <c r="K614" s="204" t="s">
        <v>18</v>
      </c>
      <c r="R614" s="1"/>
      <c r="S614" s="1"/>
    </row>
    <row r="615" ht="14.25" customHeight="1">
      <c r="A615" s="1"/>
      <c r="B615" s="177" t="s">
        <v>52</v>
      </c>
      <c r="C615" s="160">
        <v>250.0</v>
      </c>
      <c r="D615" s="201">
        <f t="shared" ref="D615:D616" si="50">(C615*D612)/C612</f>
        <v>35</v>
      </c>
      <c r="E615" s="1735"/>
      <c r="F615" s="204" t="s">
        <v>18</v>
      </c>
      <c r="G615" s="76"/>
      <c r="H615" s="177" t="s">
        <v>52</v>
      </c>
      <c r="I615" s="160">
        <v>250.0</v>
      </c>
      <c r="J615" s="201">
        <f t="shared" ref="J615:J616" si="51">(I615*J612)/I612</f>
        <v>75</v>
      </c>
      <c r="K615" s="204" t="s">
        <v>18</v>
      </c>
      <c r="R615" s="1"/>
      <c r="S615" s="1"/>
    </row>
    <row r="616" ht="14.25" customHeight="1">
      <c r="A616" s="1"/>
      <c r="B616" s="163" t="s">
        <v>3115</v>
      </c>
      <c r="C616" s="131">
        <v>150.0</v>
      </c>
      <c r="D616" s="164">
        <f t="shared" si="50"/>
        <v>21</v>
      </c>
      <c r="E616" s="1731"/>
      <c r="F616" s="169" t="s">
        <v>18</v>
      </c>
      <c r="G616" s="44" t="s">
        <v>3155</v>
      </c>
      <c r="H616" s="163" t="s">
        <v>3115</v>
      </c>
      <c r="I616" s="131">
        <v>150.0</v>
      </c>
      <c r="J616" s="164">
        <f t="shared" si="51"/>
        <v>45</v>
      </c>
      <c r="K616" s="169" t="s">
        <v>18</v>
      </c>
      <c r="R616" s="1"/>
      <c r="S616" s="1"/>
    </row>
    <row r="617" ht="14.25" customHeight="1">
      <c r="A617" s="1"/>
      <c r="B617" s="177" t="s">
        <v>98</v>
      </c>
      <c r="C617" s="160">
        <v>100.0</v>
      </c>
      <c r="D617" s="201">
        <f t="shared" ref="D617:D623" si="52">(C617*D616)/C616</f>
        <v>14</v>
      </c>
      <c r="E617" s="1735"/>
      <c r="F617" s="204" t="s">
        <v>18</v>
      </c>
      <c r="G617" s="47"/>
      <c r="H617" s="177" t="s">
        <v>98</v>
      </c>
      <c r="I617" s="160">
        <v>100.0</v>
      </c>
      <c r="J617" s="201">
        <f t="shared" ref="J617:J623" si="53">(I617*J616)/I616</f>
        <v>30</v>
      </c>
      <c r="K617" s="204" t="s">
        <v>18</v>
      </c>
      <c r="R617" s="1"/>
      <c r="S617" s="1"/>
    </row>
    <row r="618" ht="14.25" customHeight="1">
      <c r="A618" s="1112"/>
      <c r="B618" s="177" t="s">
        <v>162</v>
      </c>
      <c r="C618" s="160">
        <v>150.0</v>
      </c>
      <c r="D618" s="201">
        <f t="shared" si="52"/>
        <v>21</v>
      </c>
      <c r="E618" s="1735"/>
      <c r="F618" s="204" t="s">
        <v>18</v>
      </c>
      <c r="G618" s="47"/>
      <c r="H618" s="177" t="s">
        <v>162</v>
      </c>
      <c r="I618" s="160">
        <v>150.0</v>
      </c>
      <c r="J618" s="201">
        <f t="shared" si="53"/>
        <v>45</v>
      </c>
      <c r="K618" s="204" t="s">
        <v>18</v>
      </c>
      <c r="R618" s="1"/>
      <c r="S618" s="1"/>
    </row>
    <row r="619" ht="14.25" customHeight="1">
      <c r="A619" s="1112"/>
      <c r="B619" s="177" t="s">
        <v>350</v>
      </c>
      <c r="C619" s="27">
        <v>5.0</v>
      </c>
      <c r="D619" s="201">
        <f t="shared" si="52"/>
        <v>0.7</v>
      </c>
      <c r="E619" s="1735"/>
      <c r="F619" s="204" t="s">
        <v>14</v>
      </c>
      <c r="G619" s="47"/>
      <c r="H619" s="177" t="s">
        <v>350</v>
      </c>
      <c r="I619" s="27">
        <v>5.0</v>
      </c>
      <c r="J619" s="201">
        <f t="shared" si="53"/>
        <v>1.5</v>
      </c>
      <c r="K619" s="204" t="s">
        <v>14</v>
      </c>
      <c r="R619" s="1"/>
      <c r="S619" s="1"/>
    </row>
    <row r="620" ht="14.25" customHeight="1">
      <c r="A620" s="1112"/>
      <c r="B620" s="208" t="s">
        <v>2333</v>
      </c>
      <c r="C620" s="236">
        <v>20.0</v>
      </c>
      <c r="D620" s="257">
        <f t="shared" si="52"/>
        <v>2.8</v>
      </c>
      <c r="E620" s="1738"/>
      <c r="F620" s="212" t="s">
        <v>9</v>
      </c>
      <c r="G620" s="76"/>
      <c r="H620" s="208" t="s">
        <v>2333</v>
      </c>
      <c r="I620" s="236">
        <v>20.0</v>
      </c>
      <c r="J620" s="257">
        <f t="shared" si="53"/>
        <v>6</v>
      </c>
      <c r="K620" s="212" t="s">
        <v>9</v>
      </c>
      <c r="R620" s="1"/>
      <c r="S620" s="1"/>
    </row>
    <row r="621" ht="14.25" customHeight="1">
      <c r="A621" s="1112"/>
      <c r="B621" s="157" t="s">
        <v>31</v>
      </c>
      <c r="C621" s="174">
        <v>1150.0</v>
      </c>
      <c r="D621" s="158">
        <f t="shared" si="52"/>
        <v>161</v>
      </c>
      <c r="E621" s="1998"/>
      <c r="F621" s="159" t="s">
        <v>18</v>
      </c>
      <c r="G621" s="141"/>
      <c r="H621" s="157" t="s">
        <v>31</v>
      </c>
      <c r="I621" s="174">
        <v>1150.0</v>
      </c>
      <c r="J621" s="158">
        <f t="shared" si="53"/>
        <v>345</v>
      </c>
      <c r="K621" s="159" t="s">
        <v>18</v>
      </c>
      <c r="R621" s="1"/>
      <c r="S621" s="1"/>
    </row>
    <row r="622" ht="14.25" customHeight="1">
      <c r="A622" s="1112"/>
      <c r="B622" s="177" t="s">
        <v>13</v>
      </c>
      <c r="C622" s="160">
        <v>0.75</v>
      </c>
      <c r="D622" s="201">
        <f t="shared" si="52"/>
        <v>0.105</v>
      </c>
      <c r="E622" s="1735"/>
      <c r="F622" s="204" t="s">
        <v>14</v>
      </c>
      <c r="G622" s="141"/>
      <c r="H622" s="177" t="s">
        <v>13</v>
      </c>
      <c r="I622" s="160">
        <v>0.75</v>
      </c>
      <c r="J622" s="201">
        <f t="shared" si="53"/>
        <v>0.225</v>
      </c>
      <c r="K622" s="204" t="s">
        <v>14</v>
      </c>
      <c r="R622" s="1"/>
      <c r="S622" s="1"/>
    </row>
    <row r="623" ht="14.25" customHeight="1">
      <c r="A623" s="1112"/>
      <c r="B623" s="208" t="s">
        <v>114</v>
      </c>
      <c r="C623" s="236">
        <v>4.0</v>
      </c>
      <c r="D623" s="257">
        <f t="shared" si="52"/>
        <v>0.56</v>
      </c>
      <c r="E623" s="1738"/>
      <c r="F623" s="212" t="s">
        <v>5</v>
      </c>
      <c r="G623" s="141"/>
      <c r="H623" s="208" t="s">
        <v>114</v>
      </c>
      <c r="I623" s="236">
        <v>4.0</v>
      </c>
      <c r="J623" s="257">
        <f t="shared" si="53"/>
        <v>1.2</v>
      </c>
      <c r="K623" s="212" t="s">
        <v>5</v>
      </c>
      <c r="R623" s="1"/>
      <c r="S623" s="1"/>
    </row>
    <row r="624" ht="14.25" customHeight="1">
      <c r="A624" s="1112"/>
      <c r="B624" s="1640" t="s">
        <v>119</v>
      </c>
      <c r="C624" s="183" t="s">
        <v>47</v>
      </c>
      <c r="D624" s="184"/>
      <c r="E624" s="184"/>
      <c r="F624" s="1"/>
      <c r="G624" s="1"/>
      <c r="H624" s="1640" t="s">
        <v>119</v>
      </c>
      <c r="I624" s="183" t="s">
        <v>47</v>
      </c>
      <c r="J624" s="1"/>
      <c r="K624" s="1"/>
      <c r="L624" s="1"/>
      <c r="M624" s="1"/>
      <c r="N624" s="1"/>
      <c r="O624" s="1"/>
      <c r="P624" s="1"/>
      <c r="Q624" s="1"/>
      <c r="R624" s="1"/>
      <c r="S624" s="1"/>
    </row>
    <row r="625" ht="14.25" customHeight="1">
      <c r="A625" s="1112"/>
      <c r="B625" s="550" t="s">
        <v>120</v>
      </c>
      <c r="C625" s="2806">
        <v>40749.0</v>
      </c>
      <c r="D625" s="184"/>
      <c r="E625" s="184"/>
      <c r="F625" s="1"/>
      <c r="G625" s="1"/>
      <c r="H625" s="550" t="s">
        <v>120</v>
      </c>
      <c r="I625" s="2806">
        <v>40749.0</v>
      </c>
      <c r="J625" s="1"/>
      <c r="K625" s="1"/>
      <c r="L625" s="1"/>
      <c r="M625" s="1"/>
      <c r="N625" s="1"/>
      <c r="O625" s="1"/>
      <c r="P625" s="1"/>
      <c r="Q625" s="1"/>
      <c r="R625" s="1"/>
      <c r="S625" s="1"/>
    </row>
    <row r="626" ht="14.25" customHeight="1">
      <c r="A626" s="1112"/>
      <c r="B626" s="342" t="s">
        <v>1486</v>
      </c>
      <c r="C626" s="2823">
        <v>41807.0</v>
      </c>
      <c r="D626" s="184"/>
      <c r="E626" s="184"/>
      <c r="F626" s="1"/>
      <c r="G626" s="1"/>
      <c r="H626" s="342" t="s">
        <v>1486</v>
      </c>
      <c r="I626" s="2823">
        <v>43672.0</v>
      </c>
      <c r="J626" s="1"/>
      <c r="K626" s="1"/>
      <c r="L626" s="1"/>
      <c r="M626" s="1"/>
      <c r="N626" s="1"/>
      <c r="O626" s="1"/>
      <c r="P626" s="1"/>
      <c r="Q626" s="1"/>
      <c r="R626" s="1"/>
      <c r="S626" s="1"/>
    </row>
    <row r="627" ht="14.25" customHeight="1">
      <c r="A627" s="1112"/>
      <c r="B627" s="1"/>
      <c r="C627" s="107"/>
      <c r="D627" s="184"/>
      <c r="E627" s="184"/>
      <c r="F627" s="1"/>
      <c r="G627" s="1112"/>
      <c r="H627" s="1"/>
      <c r="I627" s="1"/>
      <c r="J627" s="1"/>
      <c r="K627" s="1"/>
      <c r="L627" s="1"/>
      <c r="M627" s="1"/>
      <c r="N627" s="1"/>
      <c r="O627" s="1"/>
      <c r="P627" s="1"/>
      <c r="Q627" s="1"/>
      <c r="R627" s="1"/>
      <c r="S627" s="1"/>
    </row>
    <row r="628" ht="14.25" customHeight="1">
      <c r="A628" s="1112"/>
      <c r="B628" s="511" t="s">
        <v>3161</v>
      </c>
      <c r="C628" s="18"/>
      <c r="D628" s="18"/>
      <c r="E628" s="18"/>
      <c r="F628" s="19"/>
      <c r="G628" s="270"/>
      <c r="H628" s="1"/>
      <c r="I628" s="1"/>
      <c r="J628" s="1"/>
      <c r="K628" s="1"/>
      <c r="L628" s="1"/>
      <c r="M628" s="1"/>
      <c r="N628" s="1"/>
      <c r="O628" s="1"/>
      <c r="P628" s="1"/>
      <c r="Q628" s="1"/>
      <c r="R628" s="1"/>
      <c r="S628" s="1"/>
    </row>
    <row r="629" ht="14.25" customHeight="1">
      <c r="A629" s="1112"/>
      <c r="B629" s="512" t="s">
        <v>1</v>
      </c>
      <c r="C629" s="190">
        <v>100.0</v>
      </c>
      <c r="D629" s="513">
        <v>30.0</v>
      </c>
      <c r="E629" s="1576"/>
      <c r="F629" s="514" t="s">
        <v>5</v>
      </c>
      <c r="G629" s="270"/>
      <c r="H629" s="1"/>
      <c r="I629" s="1"/>
      <c r="J629" s="1"/>
      <c r="K629" s="1"/>
      <c r="L629" s="1"/>
      <c r="M629" s="1"/>
      <c r="N629" s="1"/>
      <c r="O629" s="1"/>
      <c r="P629" s="1"/>
      <c r="Q629" s="1"/>
      <c r="R629" s="1"/>
      <c r="S629" s="1"/>
    </row>
    <row r="630" ht="14.25" customHeight="1">
      <c r="A630" s="1112"/>
      <c r="B630" s="51" t="s">
        <v>3162</v>
      </c>
      <c r="C630" s="121">
        <v>50.0</v>
      </c>
      <c r="D630" s="1247">
        <f t="shared" ref="D630:D648" si="54">(C630*D629)/C629</f>
        <v>15</v>
      </c>
      <c r="E630" s="2827"/>
      <c r="F630" s="514" t="s">
        <v>14</v>
      </c>
      <c r="G630" s="44" t="s">
        <v>3163</v>
      </c>
      <c r="H630" s="1"/>
      <c r="I630" s="1"/>
      <c r="J630" s="1"/>
      <c r="K630" s="1"/>
      <c r="L630" s="1"/>
      <c r="M630" s="1"/>
      <c r="N630" s="1"/>
      <c r="O630" s="1"/>
      <c r="P630" s="1"/>
      <c r="Q630" s="1"/>
      <c r="R630" s="1"/>
      <c r="S630" s="1"/>
    </row>
    <row r="631" ht="14.25" customHeight="1">
      <c r="A631" s="1112"/>
      <c r="B631" s="68" t="s">
        <v>91</v>
      </c>
      <c r="C631" s="1202">
        <v>2.5</v>
      </c>
      <c r="D631" s="73">
        <f t="shared" si="54"/>
        <v>0.75</v>
      </c>
      <c r="E631" s="1620"/>
      <c r="F631" s="216" t="s">
        <v>5</v>
      </c>
      <c r="G631" s="47"/>
      <c r="H631" s="1"/>
      <c r="I631" s="1"/>
      <c r="J631" s="1"/>
      <c r="K631" s="1"/>
      <c r="L631" s="1"/>
      <c r="M631" s="1"/>
      <c r="N631" s="1"/>
      <c r="O631" s="1"/>
      <c r="P631" s="1"/>
      <c r="Q631" s="1"/>
      <c r="R631" s="1"/>
      <c r="S631" s="1"/>
    </row>
    <row r="632" ht="14.25" customHeight="1">
      <c r="A632" s="1112"/>
      <c r="B632" s="177" t="s">
        <v>66</v>
      </c>
      <c r="C632" s="1213">
        <v>100.0</v>
      </c>
      <c r="D632" s="94">
        <f t="shared" si="54"/>
        <v>30</v>
      </c>
      <c r="E632" s="1586"/>
      <c r="F632" s="249" t="s">
        <v>18</v>
      </c>
      <c r="G632" s="47"/>
      <c r="H632" s="1"/>
      <c r="I632" s="1"/>
      <c r="J632" s="1"/>
      <c r="K632" s="1"/>
      <c r="L632" s="1"/>
      <c r="M632" s="1"/>
      <c r="N632" s="1"/>
      <c r="O632" s="1"/>
      <c r="P632" s="1"/>
      <c r="Q632" s="1"/>
      <c r="R632" s="1"/>
      <c r="S632" s="1"/>
    </row>
    <row r="633" ht="14.25" customHeight="1">
      <c r="A633" s="1112"/>
      <c r="B633" s="177" t="s">
        <v>210</v>
      </c>
      <c r="C633" s="1213">
        <v>50.0</v>
      </c>
      <c r="D633" s="94">
        <f t="shared" si="54"/>
        <v>15</v>
      </c>
      <c r="E633" s="1586"/>
      <c r="F633" s="249" t="s">
        <v>18</v>
      </c>
      <c r="G633" s="47"/>
      <c r="H633" s="1"/>
      <c r="I633" s="1"/>
      <c r="J633" s="1"/>
      <c r="K633" s="1"/>
      <c r="L633" s="1"/>
      <c r="M633" s="1"/>
      <c r="N633" s="1"/>
      <c r="O633" s="1"/>
      <c r="P633" s="1"/>
      <c r="Q633" s="1"/>
      <c r="R633" s="1"/>
      <c r="S633" s="1"/>
    </row>
    <row r="634" ht="14.25" customHeight="1">
      <c r="A634" s="1112"/>
      <c r="B634" s="93" t="s">
        <v>747</v>
      </c>
      <c r="C634" s="1213">
        <v>250.0</v>
      </c>
      <c r="D634" s="94">
        <f t="shared" si="54"/>
        <v>75</v>
      </c>
      <c r="E634" s="1586"/>
      <c r="F634" s="249" t="s">
        <v>18</v>
      </c>
      <c r="G634" s="47"/>
      <c r="H634" s="1"/>
      <c r="I634" s="1"/>
      <c r="J634" s="1"/>
      <c r="K634" s="1"/>
      <c r="L634" s="1"/>
      <c r="M634" s="1"/>
      <c r="N634" s="1"/>
      <c r="O634" s="1"/>
      <c r="P634" s="1"/>
      <c r="Q634" s="1"/>
      <c r="R634" s="1"/>
      <c r="S634" s="1"/>
    </row>
    <row r="635" ht="14.25" customHeight="1">
      <c r="A635" s="2279"/>
      <c r="B635" s="93" t="s">
        <v>126</v>
      </c>
      <c r="C635" s="1213">
        <v>100.0</v>
      </c>
      <c r="D635" s="94">
        <f t="shared" si="54"/>
        <v>30</v>
      </c>
      <c r="E635" s="1586"/>
      <c r="F635" s="249" t="s">
        <v>18</v>
      </c>
      <c r="G635" s="47"/>
      <c r="H635" s="1"/>
      <c r="I635" s="1"/>
      <c r="J635" s="1"/>
      <c r="K635" s="1"/>
      <c r="L635" s="1"/>
      <c r="M635" s="1"/>
      <c r="N635" s="1"/>
      <c r="O635" s="1"/>
      <c r="P635" s="1"/>
      <c r="Q635" s="1"/>
      <c r="R635" s="1"/>
      <c r="S635" s="1"/>
    </row>
    <row r="636" ht="14.25" customHeight="1">
      <c r="A636" s="2279"/>
      <c r="B636" s="93" t="s">
        <v>103</v>
      </c>
      <c r="C636" s="1213">
        <v>50.0</v>
      </c>
      <c r="D636" s="94">
        <f t="shared" si="54"/>
        <v>15</v>
      </c>
      <c r="E636" s="1586"/>
      <c r="F636" s="249" t="s">
        <v>18</v>
      </c>
      <c r="G636" s="47"/>
      <c r="H636" s="1"/>
      <c r="I636" s="1"/>
      <c r="J636" s="1"/>
      <c r="K636" s="1"/>
      <c r="L636" s="1"/>
      <c r="M636" s="1"/>
      <c r="N636" s="1"/>
      <c r="O636" s="1"/>
      <c r="P636" s="1"/>
      <c r="Q636" s="1"/>
      <c r="R636" s="1"/>
      <c r="S636" s="1"/>
    </row>
    <row r="637" ht="14.25" customHeight="1">
      <c r="A637" s="1112"/>
      <c r="B637" s="93" t="s">
        <v>52</v>
      </c>
      <c r="C637" s="1213">
        <v>200.0</v>
      </c>
      <c r="D637" s="94">
        <f t="shared" si="54"/>
        <v>60</v>
      </c>
      <c r="E637" s="1586"/>
      <c r="F637" s="249" t="s">
        <v>18</v>
      </c>
      <c r="G637" s="47"/>
      <c r="H637" s="1"/>
      <c r="I637" s="1"/>
      <c r="J637" s="1"/>
      <c r="K637" s="1"/>
      <c r="L637" s="1"/>
      <c r="M637" s="1"/>
      <c r="N637" s="1"/>
      <c r="O637" s="1"/>
      <c r="P637" s="1"/>
      <c r="Q637" s="1"/>
      <c r="R637" s="1"/>
      <c r="S637" s="1"/>
    </row>
    <row r="638" ht="14.25" customHeight="1">
      <c r="A638" s="1112"/>
      <c r="B638" s="105" t="s">
        <v>149</v>
      </c>
      <c r="C638" s="1216">
        <v>500.0</v>
      </c>
      <c r="D638" s="110">
        <f t="shared" si="54"/>
        <v>150</v>
      </c>
      <c r="E638" s="1959"/>
      <c r="F638" s="518" t="s">
        <v>82</v>
      </c>
      <c r="G638" s="47"/>
      <c r="H638" s="1"/>
      <c r="I638" s="1"/>
      <c r="J638" s="1"/>
      <c r="K638" s="1"/>
      <c r="L638" s="1"/>
      <c r="M638" s="1"/>
      <c r="N638" s="1"/>
      <c r="O638" s="1"/>
      <c r="P638" s="1"/>
      <c r="Q638" s="1"/>
      <c r="R638" s="1"/>
      <c r="S638" s="1"/>
    </row>
    <row r="639" ht="14.25" customHeight="1">
      <c r="A639" s="2279"/>
      <c r="B639" s="417" t="s">
        <v>3166</v>
      </c>
      <c r="C639" s="1285">
        <v>5.0</v>
      </c>
      <c r="D639" s="1253">
        <f t="shared" si="54"/>
        <v>1.5</v>
      </c>
      <c r="E639" s="2831"/>
      <c r="F639" s="543" t="s">
        <v>14</v>
      </c>
      <c r="G639" s="47"/>
      <c r="H639" s="1"/>
      <c r="I639" s="1"/>
      <c r="J639" s="1"/>
      <c r="K639" s="1"/>
      <c r="L639" s="1"/>
      <c r="M639" s="1"/>
      <c r="N639" s="1"/>
      <c r="O639" s="1"/>
      <c r="P639" s="1"/>
      <c r="Q639" s="1"/>
      <c r="R639" s="1"/>
      <c r="S639" s="1"/>
    </row>
    <row r="640" ht="14.25" customHeight="1">
      <c r="A640" s="2279"/>
      <c r="B640" s="173" t="s">
        <v>31</v>
      </c>
      <c r="C640" s="1234">
        <v>1250.0</v>
      </c>
      <c r="D640" s="178">
        <f t="shared" si="54"/>
        <v>375</v>
      </c>
      <c r="E640" s="2832"/>
      <c r="F640" s="547" t="s">
        <v>18</v>
      </c>
      <c r="G640" s="47"/>
      <c r="H640" s="1"/>
      <c r="I640" s="1"/>
      <c r="J640" s="1"/>
      <c r="K640" s="1"/>
      <c r="L640" s="1"/>
      <c r="M640" s="1"/>
      <c r="N640" s="1"/>
      <c r="O640" s="1"/>
      <c r="P640" s="1"/>
      <c r="Q640" s="1"/>
      <c r="R640" s="1"/>
      <c r="S640" s="1"/>
    </row>
    <row r="641" ht="14.25" customHeight="1">
      <c r="A641" s="2279"/>
      <c r="B641" s="149" t="s">
        <v>3169</v>
      </c>
      <c r="C641" s="1220">
        <v>50.0</v>
      </c>
      <c r="D641" s="880">
        <f t="shared" si="54"/>
        <v>15</v>
      </c>
      <c r="E641" s="2833"/>
      <c r="F641" s="288" t="s">
        <v>5</v>
      </c>
      <c r="G641" s="76"/>
      <c r="H641" s="1"/>
      <c r="I641" s="1"/>
      <c r="J641" s="1"/>
      <c r="K641" s="1"/>
      <c r="L641" s="1"/>
      <c r="M641" s="1"/>
      <c r="N641" s="1"/>
      <c r="O641" s="1"/>
      <c r="P641" s="1"/>
      <c r="Q641" s="1"/>
      <c r="R641" s="1"/>
      <c r="S641" s="1"/>
    </row>
    <row r="642" ht="14.25" customHeight="1">
      <c r="A642" s="2279"/>
      <c r="B642" s="417" t="s">
        <v>350</v>
      </c>
      <c r="C642" s="1285">
        <v>15.0</v>
      </c>
      <c r="D642" s="1253">
        <f t="shared" si="54"/>
        <v>4.5</v>
      </c>
      <c r="E642" s="2831"/>
      <c r="F642" s="543" t="s">
        <v>9</v>
      </c>
      <c r="G642" s="1099" t="s">
        <v>3172</v>
      </c>
      <c r="H642" s="1"/>
      <c r="I642" s="1"/>
      <c r="J642" s="1"/>
      <c r="K642" s="1"/>
      <c r="L642" s="1"/>
      <c r="M642" s="1"/>
      <c r="N642" s="1"/>
      <c r="O642" s="1"/>
      <c r="P642" s="1"/>
      <c r="Q642" s="1"/>
      <c r="R642" s="1"/>
      <c r="S642" s="1"/>
    </row>
    <row r="643" ht="14.25" customHeight="1">
      <c r="A643" s="1112"/>
      <c r="B643" s="68" t="s">
        <v>1027</v>
      </c>
      <c r="C643" s="1202">
        <v>200.0</v>
      </c>
      <c r="D643" s="73">
        <f t="shared" si="54"/>
        <v>60</v>
      </c>
      <c r="E643" s="1620"/>
      <c r="F643" s="216" t="s">
        <v>18</v>
      </c>
      <c r="G643" s="264" t="s">
        <v>1814</v>
      </c>
      <c r="H643" s="1"/>
      <c r="I643" s="1"/>
      <c r="J643" s="1"/>
      <c r="K643" s="1"/>
      <c r="L643" s="1"/>
      <c r="M643" s="1"/>
      <c r="N643" s="1"/>
      <c r="O643" s="1"/>
      <c r="P643" s="1"/>
      <c r="Q643" s="1"/>
      <c r="R643" s="1"/>
      <c r="S643" s="1"/>
    </row>
    <row r="644" ht="14.25" customHeight="1">
      <c r="A644" s="1112"/>
      <c r="B644" s="93" t="s">
        <v>1026</v>
      </c>
      <c r="C644" s="1213">
        <v>150.0</v>
      </c>
      <c r="D644" s="94">
        <f t="shared" si="54"/>
        <v>45</v>
      </c>
      <c r="E644" s="1586"/>
      <c r="F644" s="249" t="s">
        <v>18</v>
      </c>
      <c r="G644" s="66"/>
      <c r="H644" s="1"/>
      <c r="I644" s="1"/>
      <c r="J644" s="1"/>
      <c r="K644" s="1"/>
      <c r="L644" s="1"/>
      <c r="M644" s="1"/>
      <c r="N644" s="1"/>
      <c r="O644" s="1"/>
      <c r="P644" s="1"/>
      <c r="Q644" s="1"/>
      <c r="R644" s="1"/>
      <c r="S644" s="1"/>
    </row>
    <row r="645" ht="14.25" customHeight="1">
      <c r="A645" s="1112"/>
      <c r="B645" s="93" t="s">
        <v>2135</v>
      </c>
      <c r="C645" s="1213">
        <v>40.0</v>
      </c>
      <c r="D645" s="94">
        <f t="shared" si="54"/>
        <v>12</v>
      </c>
      <c r="E645" s="1586"/>
      <c r="F645" s="249" t="s">
        <v>18</v>
      </c>
      <c r="G645" s="66"/>
      <c r="H645" s="1"/>
      <c r="I645" s="1"/>
      <c r="J645" s="1"/>
      <c r="K645" s="1"/>
      <c r="L645" s="1"/>
      <c r="M645" s="1"/>
      <c r="N645" s="1"/>
      <c r="O645" s="1"/>
      <c r="P645" s="1"/>
      <c r="Q645" s="1"/>
      <c r="R645" s="1"/>
      <c r="S645" s="1"/>
    </row>
    <row r="646" ht="14.25" customHeight="1">
      <c r="A646" s="1112"/>
      <c r="B646" s="138" t="s">
        <v>1570</v>
      </c>
      <c r="C646" s="351">
        <v>150.0</v>
      </c>
      <c r="D646" s="94">
        <f t="shared" si="54"/>
        <v>45</v>
      </c>
      <c r="E646" s="1596"/>
      <c r="F646" s="242" t="s">
        <v>18</v>
      </c>
      <c r="G646" s="66"/>
      <c r="H646" s="1"/>
      <c r="I646" s="1"/>
      <c r="J646" s="1"/>
      <c r="K646" s="1"/>
      <c r="L646" s="1"/>
      <c r="M646" s="1"/>
      <c r="N646" s="1"/>
      <c r="O646" s="1"/>
      <c r="P646" s="1"/>
      <c r="Q646" s="1"/>
      <c r="R646" s="1"/>
      <c r="S646" s="1"/>
    </row>
    <row r="647" ht="14.25" customHeight="1">
      <c r="A647" s="1"/>
      <c r="B647" s="105" t="s">
        <v>856</v>
      </c>
      <c r="C647" s="1216">
        <v>1.0</v>
      </c>
      <c r="D647" s="110">
        <f t="shared" si="54"/>
        <v>0.3</v>
      </c>
      <c r="E647" s="1959"/>
      <c r="F647" s="518" t="s">
        <v>14</v>
      </c>
      <c r="G647" s="66"/>
      <c r="H647" s="1"/>
      <c r="I647" s="1"/>
      <c r="J647" s="1"/>
      <c r="K647" s="1"/>
      <c r="L647" s="1"/>
      <c r="M647" s="1"/>
      <c r="N647" s="1"/>
      <c r="O647" s="1"/>
      <c r="P647" s="1"/>
      <c r="Q647" s="1"/>
      <c r="R647" s="1"/>
      <c r="S647" s="1"/>
    </row>
    <row r="648" ht="14.25" customHeight="1">
      <c r="A648" s="1"/>
      <c r="B648" s="68" t="s">
        <v>743</v>
      </c>
      <c r="C648" s="1202">
        <v>0.5</v>
      </c>
      <c r="D648" s="73">
        <f t="shared" si="54"/>
        <v>0.15</v>
      </c>
      <c r="E648" s="1620"/>
      <c r="F648" s="216" t="s">
        <v>5</v>
      </c>
      <c r="G648" s="264" t="s">
        <v>3180</v>
      </c>
      <c r="H648" s="1"/>
      <c r="I648" s="1"/>
      <c r="J648" s="1"/>
      <c r="K648" s="1"/>
      <c r="L648" s="1"/>
      <c r="M648" s="1"/>
      <c r="N648" s="1"/>
      <c r="O648" s="1"/>
      <c r="P648" s="1"/>
      <c r="Q648" s="1"/>
      <c r="R648" s="1"/>
      <c r="S648" s="1"/>
    </row>
    <row r="649" ht="14.25" customHeight="1">
      <c r="A649" s="1"/>
      <c r="B649" s="93" t="s">
        <v>288</v>
      </c>
      <c r="C649" s="1213">
        <v>150.0</v>
      </c>
      <c r="D649" s="94">
        <f>(C649*D644)/C644</f>
        <v>45</v>
      </c>
      <c r="E649" s="1586"/>
      <c r="F649" s="249" t="s">
        <v>18</v>
      </c>
      <c r="G649" s="66"/>
      <c r="H649" s="1"/>
      <c r="I649" s="1"/>
      <c r="J649" s="1"/>
      <c r="K649" s="1"/>
      <c r="L649" s="1"/>
      <c r="M649" s="1"/>
      <c r="N649" s="1"/>
      <c r="O649" s="1"/>
      <c r="P649" s="1"/>
      <c r="Q649" s="1"/>
      <c r="R649" s="1"/>
      <c r="S649" s="1"/>
    </row>
    <row r="650" ht="14.25" customHeight="1">
      <c r="A650" s="1"/>
      <c r="B650" s="105" t="s">
        <v>114</v>
      </c>
      <c r="C650" s="1216">
        <v>2.5</v>
      </c>
      <c r="D650" s="110">
        <f>(C650*D648)/C648</f>
        <v>0.75</v>
      </c>
      <c r="E650" s="1959"/>
      <c r="F650" s="518" t="s">
        <v>190</v>
      </c>
      <c r="G650" s="66"/>
      <c r="H650" s="1"/>
      <c r="I650" s="1"/>
      <c r="J650" s="1"/>
      <c r="K650" s="1"/>
      <c r="L650" s="1"/>
      <c r="M650" s="1"/>
      <c r="N650" s="1"/>
      <c r="O650" s="1"/>
      <c r="P650" s="1"/>
      <c r="Q650" s="1"/>
      <c r="R650" s="1"/>
      <c r="S650" s="1"/>
    </row>
    <row r="651" ht="14.25" customHeight="1">
      <c r="A651" s="1112"/>
      <c r="B651" s="1640" t="s">
        <v>119</v>
      </c>
      <c r="C651" s="183" t="s">
        <v>47</v>
      </c>
      <c r="D651" s="184"/>
      <c r="E651" s="184"/>
      <c r="F651" s="1"/>
      <c r="G651" s="1"/>
      <c r="H651" s="1"/>
      <c r="I651" s="1"/>
      <c r="J651" s="1"/>
      <c r="K651" s="1"/>
      <c r="L651" s="1"/>
      <c r="M651" s="1"/>
      <c r="N651" s="1"/>
      <c r="O651" s="1"/>
      <c r="P651" s="1"/>
      <c r="Q651" s="1"/>
      <c r="R651" s="1"/>
      <c r="S651" s="1"/>
    </row>
    <row r="652" ht="14.25" customHeight="1">
      <c r="A652" s="1112"/>
      <c r="B652" s="381" t="s">
        <v>120</v>
      </c>
      <c r="C652" s="1198">
        <v>41157.0</v>
      </c>
      <c r="D652" s="184"/>
      <c r="E652" s="184"/>
      <c r="F652" s="1"/>
      <c r="G652" s="1"/>
      <c r="H652" s="1"/>
      <c r="I652" s="1"/>
      <c r="J652" s="1"/>
      <c r="K652" s="1"/>
      <c r="L652" s="1"/>
      <c r="M652" s="1"/>
      <c r="N652" s="1"/>
      <c r="O652" s="1"/>
      <c r="P652" s="1"/>
      <c r="Q652" s="1"/>
      <c r="R652" s="1"/>
      <c r="S652" s="1"/>
    </row>
    <row r="653" ht="14.25" customHeight="1">
      <c r="A653" s="1112"/>
      <c r="B653" s="381" t="s">
        <v>50</v>
      </c>
      <c r="C653" s="1198">
        <v>41160.0</v>
      </c>
      <c r="D653" s="184"/>
      <c r="E653" s="184"/>
      <c r="F653" s="1"/>
      <c r="G653" s="1"/>
      <c r="H653" s="1"/>
      <c r="I653" s="1"/>
      <c r="J653" s="1"/>
      <c r="K653" s="1"/>
      <c r="L653" s="1"/>
      <c r="M653" s="1"/>
      <c r="N653" s="1"/>
      <c r="O653" s="1"/>
      <c r="P653" s="1"/>
      <c r="Q653" s="1"/>
      <c r="R653" s="1"/>
      <c r="S653" s="1"/>
    </row>
    <row r="654" ht="14.25" customHeight="1">
      <c r="A654" s="1112"/>
      <c r="B654" s="1"/>
      <c r="C654" s="107"/>
      <c r="D654" s="184"/>
      <c r="E654" s="184"/>
      <c r="F654" s="1"/>
      <c r="G654" s="1"/>
      <c r="H654" s="1"/>
      <c r="I654" s="1"/>
      <c r="J654" s="1"/>
      <c r="K654" s="1"/>
      <c r="L654" s="1"/>
      <c r="M654" s="1"/>
      <c r="N654" s="1"/>
      <c r="O654" s="1"/>
      <c r="P654" s="1"/>
      <c r="Q654" s="1"/>
      <c r="R654" s="1"/>
      <c r="S654" s="1"/>
    </row>
    <row r="655" ht="14.25" customHeight="1">
      <c r="A655" s="1112"/>
      <c r="B655" s="511" t="s">
        <v>903</v>
      </c>
      <c r="C655" s="18"/>
      <c r="D655" s="18"/>
      <c r="E655" s="18"/>
      <c r="F655" s="19"/>
      <c r="G655" s="270"/>
      <c r="H655" s="1"/>
      <c r="I655" s="1"/>
      <c r="J655" s="1"/>
      <c r="K655" s="1"/>
      <c r="L655" s="1"/>
      <c r="M655" s="1"/>
      <c r="N655" s="1"/>
      <c r="O655" s="1"/>
      <c r="P655" s="1"/>
      <c r="Q655" s="1"/>
      <c r="R655" s="1"/>
      <c r="S655" s="1"/>
    </row>
    <row r="656" ht="14.25" customHeight="1">
      <c r="A656" s="1112"/>
      <c r="B656" s="512" t="s">
        <v>1</v>
      </c>
      <c r="C656" s="190">
        <v>100.0</v>
      </c>
      <c r="D656" s="513">
        <v>30.0</v>
      </c>
      <c r="E656" s="1576"/>
      <c r="F656" s="514" t="s">
        <v>5</v>
      </c>
      <c r="G656" s="270"/>
      <c r="H656" s="1"/>
      <c r="I656" s="1"/>
      <c r="J656" s="1"/>
      <c r="K656" s="1"/>
      <c r="L656" s="1"/>
      <c r="M656" s="1"/>
      <c r="N656" s="1"/>
      <c r="O656" s="1"/>
      <c r="P656" s="1"/>
      <c r="Q656" s="1"/>
      <c r="R656" s="1"/>
      <c r="S656" s="1"/>
    </row>
    <row r="657" ht="14.25" customHeight="1">
      <c r="A657" s="1112"/>
      <c r="B657" s="173" t="s">
        <v>3162</v>
      </c>
      <c r="C657" s="1234">
        <v>90.0</v>
      </c>
      <c r="D657" s="178">
        <f t="shared" ref="D657:D676" si="55">(C657*D656)/C656</f>
        <v>27</v>
      </c>
      <c r="E657" s="2832"/>
      <c r="F657" s="180" t="s">
        <v>14</v>
      </c>
      <c r="G657" s="44" t="s">
        <v>3181</v>
      </c>
      <c r="H657" s="1"/>
      <c r="I657" s="1"/>
      <c r="J657" s="1"/>
      <c r="K657" s="1"/>
      <c r="L657" s="1"/>
      <c r="M657" s="1"/>
      <c r="N657" s="1"/>
      <c r="O657" s="1"/>
      <c r="P657" s="1"/>
      <c r="Q657" s="1"/>
      <c r="R657" s="1"/>
      <c r="S657" s="1"/>
    </row>
    <row r="658" ht="14.25" customHeight="1">
      <c r="A658" s="1112"/>
      <c r="B658" s="68" t="s">
        <v>91</v>
      </c>
      <c r="C658" s="1202">
        <v>2.5</v>
      </c>
      <c r="D658" s="73">
        <f t="shared" si="55"/>
        <v>0.75</v>
      </c>
      <c r="E658" s="1620"/>
      <c r="F658" s="81" t="s">
        <v>5</v>
      </c>
      <c r="G658" s="47"/>
      <c r="H658" s="1"/>
      <c r="I658" s="1"/>
      <c r="J658" s="1"/>
      <c r="K658" s="1"/>
      <c r="L658" s="1"/>
      <c r="M658" s="1"/>
      <c r="N658" s="1"/>
      <c r="O658" s="1"/>
      <c r="P658" s="1"/>
      <c r="Q658" s="1"/>
      <c r="R658" s="1"/>
      <c r="S658" s="1"/>
    </row>
    <row r="659" ht="14.25" customHeight="1">
      <c r="A659" s="1112"/>
      <c r="B659" s="93" t="s">
        <v>66</v>
      </c>
      <c r="C659" s="1213">
        <v>75.0</v>
      </c>
      <c r="D659" s="94">
        <f t="shared" si="55"/>
        <v>22.5</v>
      </c>
      <c r="E659" s="1586"/>
      <c r="F659" s="95" t="s">
        <v>18</v>
      </c>
      <c r="G659" s="47"/>
      <c r="H659" s="1"/>
      <c r="I659" s="1"/>
      <c r="J659" s="1"/>
      <c r="K659" s="1"/>
      <c r="L659" s="1"/>
      <c r="M659" s="1"/>
      <c r="N659" s="1"/>
      <c r="O659" s="1"/>
      <c r="P659" s="1"/>
      <c r="Q659" s="1"/>
      <c r="R659" s="1"/>
      <c r="S659" s="1"/>
    </row>
    <row r="660" ht="14.25" customHeight="1">
      <c r="A660" s="1112"/>
      <c r="B660" s="93" t="s">
        <v>3187</v>
      </c>
      <c r="C660" s="1213">
        <v>50.0</v>
      </c>
      <c r="D660" s="94">
        <f t="shared" si="55"/>
        <v>15</v>
      </c>
      <c r="E660" s="1586"/>
      <c r="F660" s="95" t="s">
        <v>18</v>
      </c>
      <c r="G660" s="47"/>
      <c r="H660" s="1"/>
      <c r="I660" s="1"/>
      <c r="J660" s="1"/>
      <c r="K660" s="1"/>
      <c r="L660" s="1"/>
      <c r="M660" s="1"/>
      <c r="N660" s="1"/>
      <c r="O660" s="1"/>
      <c r="P660" s="1"/>
      <c r="Q660" s="1"/>
      <c r="R660" s="1"/>
      <c r="S660" s="1"/>
    </row>
    <row r="661" ht="14.25" customHeight="1">
      <c r="A661" s="1112"/>
      <c r="B661" s="93" t="s">
        <v>747</v>
      </c>
      <c r="C661" s="1213">
        <v>250.0</v>
      </c>
      <c r="D661" s="94">
        <f t="shared" si="55"/>
        <v>75</v>
      </c>
      <c r="E661" s="1586"/>
      <c r="F661" s="95" t="s">
        <v>18</v>
      </c>
      <c r="G661" s="47"/>
      <c r="H661" s="1"/>
      <c r="I661" s="1"/>
      <c r="J661" s="1"/>
      <c r="K661" s="1"/>
      <c r="L661" s="1"/>
      <c r="M661" s="1"/>
      <c r="N661" s="1"/>
      <c r="O661" s="1"/>
      <c r="P661" s="1"/>
      <c r="Q661" s="1"/>
      <c r="R661" s="1"/>
      <c r="S661" s="1"/>
    </row>
    <row r="662" ht="14.25" customHeight="1">
      <c r="A662" s="1"/>
      <c r="B662" s="93" t="s">
        <v>847</v>
      </c>
      <c r="C662" s="1213">
        <v>150.0</v>
      </c>
      <c r="D662" s="94">
        <f t="shared" si="55"/>
        <v>45</v>
      </c>
      <c r="E662" s="1586"/>
      <c r="F662" s="95" t="s">
        <v>18</v>
      </c>
      <c r="G662" s="47"/>
      <c r="H662" s="1"/>
      <c r="I662" s="1"/>
      <c r="J662" s="1"/>
      <c r="K662" s="1"/>
      <c r="L662" s="1"/>
      <c r="M662" s="1"/>
      <c r="N662" s="1"/>
      <c r="O662" s="1"/>
      <c r="P662" s="1"/>
      <c r="Q662" s="1"/>
      <c r="R662" s="1"/>
      <c r="S662" s="1"/>
    </row>
    <row r="663" ht="14.25" customHeight="1">
      <c r="A663" s="1112"/>
      <c r="B663" s="93" t="s">
        <v>103</v>
      </c>
      <c r="C663" s="1213">
        <v>50.0</v>
      </c>
      <c r="D663" s="94">
        <f t="shared" si="55"/>
        <v>15</v>
      </c>
      <c r="E663" s="1586"/>
      <c r="F663" s="95" t="s">
        <v>18</v>
      </c>
      <c r="G663" s="47"/>
      <c r="H663" s="1"/>
      <c r="I663" s="1"/>
      <c r="J663" s="1"/>
      <c r="K663" s="1"/>
      <c r="L663" s="1"/>
      <c r="M663" s="1"/>
      <c r="N663" s="1"/>
      <c r="O663" s="1"/>
      <c r="P663" s="1"/>
      <c r="Q663" s="1"/>
      <c r="R663" s="1"/>
      <c r="S663" s="1"/>
    </row>
    <row r="664" ht="14.25" customHeight="1">
      <c r="A664" s="1112"/>
      <c r="B664" s="93" t="s">
        <v>52</v>
      </c>
      <c r="C664" s="1213">
        <v>250.0</v>
      </c>
      <c r="D664" s="94">
        <f t="shared" si="55"/>
        <v>75</v>
      </c>
      <c r="E664" s="1586"/>
      <c r="F664" s="95" t="s">
        <v>18</v>
      </c>
      <c r="G664" s="47"/>
      <c r="H664" s="1"/>
      <c r="I664" s="1"/>
      <c r="J664" s="1"/>
      <c r="K664" s="1"/>
      <c r="L664" s="1"/>
      <c r="M664" s="1"/>
      <c r="N664" s="1"/>
      <c r="O664" s="1"/>
      <c r="P664" s="1"/>
      <c r="Q664" s="1"/>
      <c r="R664" s="1"/>
      <c r="S664" s="1"/>
    </row>
    <row r="665" ht="14.25" customHeight="1">
      <c r="A665" s="1112"/>
      <c r="B665" s="138" t="s">
        <v>92</v>
      </c>
      <c r="C665" s="351">
        <v>500.0</v>
      </c>
      <c r="D665" s="143">
        <f t="shared" si="55"/>
        <v>150</v>
      </c>
      <c r="E665" s="1596"/>
      <c r="F665" s="151" t="s">
        <v>82</v>
      </c>
      <c r="G665" s="47"/>
      <c r="H665" s="1"/>
      <c r="I665" s="1"/>
      <c r="J665" s="1"/>
      <c r="K665" s="1"/>
      <c r="L665" s="1"/>
      <c r="M665" s="1"/>
      <c r="N665" s="1"/>
      <c r="O665" s="1"/>
      <c r="P665" s="1"/>
      <c r="Q665" s="1"/>
      <c r="R665" s="1"/>
      <c r="S665" s="1"/>
    </row>
    <row r="666" ht="14.25" customHeight="1">
      <c r="A666" s="1112"/>
      <c r="B666" s="51" t="s">
        <v>1186</v>
      </c>
      <c r="C666" s="121">
        <v>4.5</v>
      </c>
      <c r="D666" s="1247">
        <f t="shared" si="55"/>
        <v>1.35</v>
      </c>
      <c r="E666" s="2827"/>
      <c r="F666" s="59" t="s">
        <v>14</v>
      </c>
      <c r="G666" s="47"/>
      <c r="H666" s="1"/>
      <c r="I666" s="1"/>
      <c r="J666" s="1"/>
      <c r="K666" s="1"/>
      <c r="L666" s="1"/>
      <c r="M666" s="1"/>
      <c r="N666" s="1"/>
      <c r="O666" s="1"/>
      <c r="P666" s="1"/>
      <c r="Q666" s="1"/>
      <c r="R666" s="1"/>
      <c r="S666" s="1"/>
    </row>
    <row r="667" ht="14.25" customHeight="1">
      <c r="A667" s="1112"/>
      <c r="B667" s="173" t="s">
        <v>31</v>
      </c>
      <c r="C667" s="1234">
        <v>1100.0</v>
      </c>
      <c r="D667" s="178">
        <f t="shared" si="55"/>
        <v>330</v>
      </c>
      <c r="E667" s="2832"/>
      <c r="F667" s="180" t="s">
        <v>18</v>
      </c>
      <c r="G667" s="47"/>
      <c r="H667" s="1"/>
      <c r="I667" s="1"/>
      <c r="J667" s="1"/>
      <c r="K667" s="1"/>
      <c r="L667" s="1"/>
      <c r="M667" s="1"/>
      <c r="N667" s="1"/>
      <c r="O667" s="1"/>
      <c r="P667" s="1"/>
      <c r="Q667" s="1"/>
      <c r="R667" s="1"/>
      <c r="S667" s="1"/>
    </row>
    <row r="668" ht="14.25" customHeight="1">
      <c r="A668" s="1112"/>
      <c r="B668" s="149" t="s">
        <v>3169</v>
      </c>
      <c r="C668" s="1220">
        <v>20.0</v>
      </c>
      <c r="D668" s="880">
        <f t="shared" si="55"/>
        <v>6</v>
      </c>
      <c r="E668" s="2833"/>
      <c r="F668" s="2851" t="s">
        <v>5</v>
      </c>
      <c r="G668" s="76"/>
      <c r="H668" s="1"/>
      <c r="I668" s="1"/>
      <c r="J668" s="1"/>
      <c r="K668" s="1"/>
      <c r="L668" s="1"/>
      <c r="M668" s="1"/>
      <c r="N668" s="1"/>
      <c r="O668" s="1"/>
      <c r="P668" s="1"/>
      <c r="Q668" s="1"/>
      <c r="R668" s="1"/>
      <c r="S668" s="1"/>
    </row>
    <row r="669" ht="14.25" customHeight="1">
      <c r="A669" s="1112"/>
      <c r="B669" s="149" t="s">
        <v>350</v>
      </c>
      <c r="C669" s="1220">
        <v>15.0</v>
      </c>
      <c r="D669" s="880">
        <f t="shared" si="55"/>
        <v>4.5</v>
      </c>
      <c r="E669" s="2833"/>
      <c r="F669" s="2851" t="s">
        <v>9</v>
      </c>
      <c r="G669" s="1099" t="s">
        <v>3172</v>
      </c>
      <c r="H669" s="1"/>
      <c r="I669" s="1"/>
      <c r="J669" s="1"/>
      <c r="K669" s="1"/>
      <c r="L669" s="1"/>
      <c r="M669" s="1"/>
      <c r="N669" s="1"/>
      <c r="O669" s="1"/>
      <c r="P669" s="1"/>
      <c r="Q669" s="1"/>
      <c r="R669" s="1"/>
      <c r="S669" s="1"/>
    </row>
    <row r="670" ht="14.25" customHeight="1">
      <c r="A670" s="1112"/>
      <c r="B670" s="119" t="s">
        <v>1027</v>
      </c>
      <c r="C670" s="1209">
        <v>200.0</v>
      </c>
      <c r="D670" s="122">
        <f t="shared" si="55"/>
        <v>60</v>
      </c>
      <c r="E670" s="1953"/>
      <c r="F670" s="132" t="s">
        <v>18</v>
      </c>
      <c r="G670" s="44" t="s">
        <v>1814</v>
      </c>
      <c r="H670" s="1"/>
      <c r="I670" s="1"/>
      <c r="J670" s="1"/>
      <c r="K670" s="1"/>
      <c r="L670" s="1"/>
      <c r="M670" s="1"/>
      <c r="N670" s="1"/>
      <c r="O670" s="1"/>
      <c r="P670" s="1"/>
      <c r="Q670" s="1"/>
      <c r="R670" s="1"/>
      <c r="S670" s="1"/>
    </row>
    <row r="671" ht="14.25" customHeight="1">
      <c r="A671" s="1112"/>
      <c r="B671" s="93" t="s">
        <v>1026</v>
      </c>
      <c r="C671" s="1213">
        <v>150.0</v>
      </c>
      <c r="D671" s="94">
        <f t="shared" si="55"/>
        <v>45</v>
      </c>
      <c r="E671" s="1586"/>
      <c r="F671" s="95" t="s">
        <v>18</v>
      </c>
      <c r="G671" s="47"/>
      <c r="H671" s="1"/>
      <c r="I671" s="1"/>
      <c r="J671" s="1"/>
      <c r="K671" s="1"/>
      <c r="L671" s="1"/>
      <c r="M671" s="1"/>
      <c r="N671" s="1"/>
      <c r="O671" s="1"/>
      <c r="P671" s="1"/>
      <c r="Q671" s="1"/>
      <c r="R671" s="1"/>
      <c r="S671" s="1"/>
    </row>
    <row r="672" ht="14.25" customHeight="1">
      <c r="A672" s="1112"/>
      <c r="B672" s="138" t="s">
        <v>3198</v>
      </c>
      <c r="C672" s="351">
        <v>100.0</v>
      </c>
      <c r="D672" s="143">
        <f t="shared" si="55"/>
        <v>30</v>
      </c>
      <c r="E672" s="1596"/>
      <c r="F672" s="151" t="s">
        <v>18</v>
      </c>
      <c r="G672" s="47"/>
      <c r="H672" s="1"/>
      <c r="I672" s="1"/>
      <c r="J672" s="1"/>
      <c r="K672" s="1"/>
      <c r="L672" s="1"/>
      <c r="M672" s="1"/>
      <c r="N672" s="1"/>
      <c r="O672" s="1"/>
      <c r="P672" s="1"/>
      <c r="Q672" s="1"/>
      <c r="R672" s="1"/>
      <c r="S672" s="1"/>
    </row>
    <row r="673" ht="14.25" customHeight="1">
      <c r="A673" s="1112"/>
      <c r="B673" s="138" t="s">
        <v>2135</v>
      </c>
      <c r="C673" s="351">
        <v>50.0</v>
      </c>
      <c r="D673" s="143">
        <f t="shared" si="55"/>
        <v>15</v>
      </c>
      <c r="E673" s="1596"/>
      <c r="F673" s="151" t="s">
        <v>18</v>
      </c>
      <c r="G673" s="47"/>
      <c r="H673" s="1"/>
      <c r="I673" s="1"/>
      <c r="J673" s="1"/>
      <c r="K673" s="1"/>
      <c r="L673" s="1"/>
      <c r="M673" s="1"/>
      <c r="N673" s="1"/>
      <c r="O673" s="1"/>
      <c r="P673" s="1"/>
      <c r="Q673" s="1"/>
      <c r="R673" s="1"/>
      <c r="S673" s="1"/>
    </row>
    <row r="674" ht="14.25" customHeight="1">
      <c r="A674" s="1112"/>
      <c r="B674" s="68" t="s">
        <v>856</v>
      </c>
      <c r="C674" s="1202">
        <v>1.0</v>
      </c>
      <c r="D674" s="73">
        <f t="shared" si="55"/>
        <v>0.3</v>
      </c>
      <c r="E674" s="1620"/>
      <c r="F674" s="81" t="s">
        <v>14</v>
      </c>
      <c r="G674" s="44" t="s">
        <v>3200</v>
      </c>
      <c r="H674" s="1"/>
      <c r="I674" s="1"/>
      <c r="J674" s="1"/>
      <c r="K674" s="1"/>
      <c r="L674" s="1"/>
      <c r="M674" s="1"/>
      <c r="N674" s="1"/>
      <c r="O674" s="1"/>
      <c r="P674" s="1"/>
      <c r="Q674" s="1"/>
      <c r="R674" s="1"/>
      <c r="S674" s="1"/>
    </row>
    <row r="675" ht="14.25" customHeight="1">
      <c r="A675" s="1112"/>
      <c r="B675" s="93" t="s">
        <v>1185</v>
      </c>
      <c r="C675" s="1213">
        <v>0.5</v>
      </c>
      <c r="D675" s="94">
        <f t="shared" si="55"/>
        <v>0.15</v>
      </c>
      <c r="E675" s="1586"/>
      <c r="F675" s="95" t="s">
        <v>5</v>
      </c>
      <c r="G675" s="47"/>
      <c r="H675" s="1"/>
      <c r="I675" s="1"/>
      <c r="J675" s="1"/>
      <c r="K675" s="1"/>
      <c r="L675" s="1"/>
      <c r="M675" s="1"/>
      <c r="N675" s="1"/>
      <c r="O675" s="1"/>
      <c r="P675" s="1"/>
      <c r="Q675" s="1"/>
      <c r="R675" s="1"/>
      <c r="S675" s="1"/>
    </row>
    <row r="676" ht="14.25" customHeight="1">
      <c r="A676" s="1112"/>
      <c r="B676" s="138" t="s">
        <v>114</v>
      </c>
      <c r="C676" s="351">
        <v>4.0</v>
      </c>
      <c r="D676" s="143">
        <f t="shared" si="55"/>
        <v>1.2</v>
      </c>
      <c r="E676" s="1596"/>
      <c r="F676" s="151" t="s">
        <v>190</v>
      </c>
      <c r="G676" s="47"/>
      <c r="H676" s="1"/>
      <c r="I676" s="1"/>
      <c r="J676" s="1"/>
      <c r="K676" s="1"/>
      <c r="L676" s="1"/>
      <c r="M676" s="1"/>
      <c r="N676" s="1"/>
      <c r="O676" s="1"/>
      <c r="P676" s="1"/>
      <c r="Q676" s="1"/>
      <c r="R676" s="1"/>
      <c r="S676" s="1"/>
    </row>
    <row r="677" ht="14.25" customHeight="1">
      <c r="A677" s="1112"/>
      <c r="B677" s="1640" t="s">
        <v>119</v>
      </c>
      <c r="C677" s="183" t="s">
        <v>47</v>
      </c>
      <c r="D677" s="184"/>
      <c r="E677" s="184"/>
      <c r="F677" s="1"/>
      <c r="G677" s="1"/>
      <c r="H677" s="1"/>
      <c r="I677" s="1"/>
      <c r="J677" s="1"/>
      <c r="K677" s="1"/>
      <c r="L677" s="1"/>
      <c r="M677" s="1"/>
      <c r="N677" s="1"/>
      <c r="O677" s="1"/>
      <c r="P677" s="1"/>
      <c r="Q677" s="1"/>
      <c r="R677" s="1"/>
      <c r="S677" s="1"/>
    </row>
    <row r="678" ht="14.25" customHeight="1">
      <c r="A678" s="1112"/>
      <c r="B678" s="381" t="s">
        <v>120</v>
      </c>
      <c r="C678" s="1198">
        <v>40938.0</v>
      </c>
      <c r="D678" s="184"/>
      <c r="E678" s="184"/>
      <c r="F678" s="1"/>
      <c r="G678" s="1"/>
      <c r="H678" s="1"/>
      <c r="I678" s="1"/>
      <c r="J678" s="1"/>
      <c r="K678" s="1"/>
      <c r="L678" s="1"/>
      <c r="M678" s="1"/>
      <c r="N678" s="1"/>
      <c r="O678" s="1"/>
      <c r="P678" s="1"/>
      <c r="Q678" s="1"/>
      <c r="R678" s="1"/>
      <c r="S678" s="1"/>
    </row>
    <row r="679" ht="14.25" customHeight="1">
      <c r="A679" s="1112"/>
      <c r="B679" s="381" t="s">
        <v>50</v>
      </c>
      <c r="C679" s="1198">
        <v>41366.0</v>
      </c>
      <c r="D679" s="184"/>
      <c r="E679" s="184"/>
      <c r="F679" s="1"/>
      <c r="G679" s="1"/>
      <c r="H679" s="1"/>
      <c r="I679" s="1"/>
      <c r="J679" s="1"/>
      <c r="K679" s="1"/>
      <c r="L679" s="1"/>
      <c r="M679" s="1"/>
      <c r="N679" s="1"/>
      <c r="O679" s="1"/>
      <c r="P679" s="1"/>
      <c r="Q679" s="1"/>
      <c r="R679" s="1"/>
      <c r="S679" s="1"/>
    </row>
    <row r="680" ht="14.25" customHeight="1">
      <c r="A680" s="1112"/>
      <c r="B680" s="1"/>
      <c r="C680" s="107"/>
      <c r="D680" s="184"/>
      <c r="E680" s="184"/>
      <c r="F680" s="1"/>
      <c r="G680" s="1112"/>
      <c r="H680" s="1"/>
      <c r="I680" s="1"/>
      <c r="J680" s="1"/>
      <c r="K680" s="1"/>
      <c r="L680" s="1"/>
      <c r="M680" s="1"/>
      <c r="N680" s="1"/>
      <c r="O680" s="1"/>
      <c r="P680" s="1"/>
      <c r="Q680" s="1"/>
      <c r="R680" s="1"/>
      <c r="S680" s="1"/>
    </row>
    <row r="681" ht="14.25" customHeight="1">
      <c r="A681" s="2400" t="s">
        <v>2502</v>
      </c>
      <c r="B681" s="209" t="s">
        <v>911</v>
      </c>
      <c r="C681" s="18"/>
      <c r="D681" s="18"/>
      <c r="E681" s="18"/>
      <c r="F681" s="19"/>
      <c r="G681" s="1663"/>
      <c r="H681" s="1"/>
      <c r="I681" s="1"/>
      <c r="J681" s="1"/>
      <c r="K681" s="1"/>
      <c r="L681" s="1"/>
      <c r="M681" s="1"/>
      <c r="N681" s="1"/>
      <c r="O681" s="1"/>
      <c r="P681" s="1"/>
      <c r="Q681" s="1"/>
      <c r="R681" s="1"/>
      <c r="S681" s="1"/>
    </row>
    <row r="682" ht="14.25" customHeight="1">
      <c r="A682" s="63"/>
      <c r="B682" s="51" t="s">
        <v>1</v>
      </c>
      <c r="C682" s="121">
        <v>100.0</v>
      </c>
      <c r="D682" s="513">
        <v>10.0</v>
      </c>
      <c r="E682" s="1576"/>
      <c r="F682" s="514" t="s">
        <v>5</v>
      </c>
      <c r="G682" s="270"/>
      <c r="H682" s="1"/>
      <c r="I682" s="1"/>
      <c r="J682" s="1"/>
      <c r="K682" s="1"/>
      <c r="L682" s="1"/>
      <c r="M682" s="1"/>
      <c r="N682" s="1"/>
      <c r="O682" s="1"/>
      <c r="P682" s="1"/>
      <c r="Q682" s="1"/>
      <c r="R682" s="1"/>
      <c r="S682" s="1"/>
    </row>
    <row r="683" ht="14.25" customHeight="1">
      <c r="A683" s="63"/>
      <c r="B683" s="68" t="s">
        <v>91</v>
      </c>
      <c r="C683" s="1202">
        <v>2.5</v>
      </c>
      <c r="D683" s="155">
        <f t="shared" ref="D683:D701" si="56">(C683*D682)/C682</f>
        <v>0.25</v>
      </c>
      <c r="E683" s="899"/>
      <c r="F683" s="216" t="s">
        <v>5</v>
      </c>
      <c r="G683" s="44" t="s">
        <v>3209</v>
      </c>
      <c r="H683" s="1"/>
      <c r="I683" s="1"/>
      <c r="J683" s="1"/>
      <c r="K683" s="1"/>
      <c r="L683" s="1"/>
      <c r="M683" s="1"/>
      <c r="N683" s="1"/>
      <c r="O683" s="1"/>
      <c r="P683" s="1"/>
      <c r="Q683" s="1"/>
      <c r="R683" s="1"/>
      <c r="S683" s="1"/>
    </row>
    <row r="684" ht="14.25" customHeight="1">
      <c r="A684" s="102"/>
      <c r="B684" s="93" t="s">
        <v>97</v>
      </c>
      <c r="C684" s="1213">
        <v>200.0</v>
      </c>
      <c r="D684" s="78">
        <f t="shared" si="56"/>
        <v>20</v>
      </c>
      <c r="E684" s="900"/>
      <c r="F684" s="249" t="s">
        <v>18</v>
      </c>
      <c r="G684" s="47"/>
      <c r="H684" s="1"/>
      <c r="I684" s="1"/>
      <c r="J684" s="1"/>
      <c r="K684" s="1"/>
      <c r="L684" s="1"/>
      <c r="M684" s="1"/>
      <c r="N684" s="1"/>
      <c r="O684" s="1"/>
      <c r="P684" s="1"/>
      <c r="Q684" s="1"/>
      <c r="R684" s="1"/>
      <c r="S684" s="1"/>
    </row>
    <row r="685" ht="14.25" customHeight="1">
      <c r="A685" s="1112"/>
      <c r="B685" s="93" t="s">
        <v>98</v>
      </c>
      <c r="C685" s="1213">
        <v>200.0</v>
      </c>
      <c r="D685" s="78">
        <f t="shared" si="56"/>
        <v>20</v>
      </c>
      <c r="E685" s="900"/>
      <c r="F685" s="249" t="s">
        <v>18</v>
      </c>
      <c r="G685" s="47"/>
      <c r="H685" s="1"/>
      <c r="I685" s="1"/>
      <c r="J685" s="1"/>
      <c r="K685" s="1"/>
      <c r="L685" s="1"/>
      <c r="M685" s="1"/>
      <c r="N685" s="1"/>
      <c r="O685" s="1"/>
      <c r="P685" s="1"/>
      <c r="Q685" s="1"/>
      <c r="R685" s="1"/>
      <c r="S685" s="1"/>
    </row>
    <row r="686" ht="14.25" customHeight="1">
      <c r="A686" s="1112"/>
      <c r="B686" s="93" t="s">
        <v>101</v>
      </c>
      <c r="C686" s="1213">
        <v>2.0</v>
      </c>
      <c r="D686" s="78">
        <f t="shared" si="56"/>
        <v>0.2</v>
      </c>
      <c r="E686" s="900"/>
      <c r="F686" s="249" t="s">
        <v>5</v>
      </c>
      <c r="G686" s="47"/>
      <c r="H686" s="1"/>
      <c r="I686" s="1"/>
      <c r="J686" s="1"/>
      <c r="K686" s="1"/>
      <c r="L686" s="1"/>
      <c r="M686" s="1"/>
      <c r="N686" s="1"/>
      <c r="O686" s="1"/>
      <c r="P686" s="1"/>
      <c r="Q686" s="1"/>
      <c r="R686" s="1"/>
      <c r="S686" s="1"/>
    </row>
    <row r="687" ht="14.25" customHeight="1">
      <c r="A687" s="1112"/>
      <c r="B687" s="93" t="s">
        <v>1877</v>
      </c>
      <c r="C687" s="1213">
        <v>250.0</v>
      </c>
      <c r="D687" s="78">
        <f t="shared" si="56"/>
        <v>25</v>
      </c>
      <c r="E687" s="900"/>
      <c r="F687" s="249" t="s">
        <v>18</v>
      </c>
      <c r="G687" s="47"/>
      <c r="H687" s="1"/>
      <c r="I687" s="1"/>
      <c r="J687" s="1"/>
      <c r="K687" s="1"/>
      <c r="L687" s="1"/>
      <c r="M687" s="1"/>
      <c r="N687" s="1"/>
      <c r="O687" s="1"/>
      <c r="P687" s="1"/>
      <c r="Q687" s="1"/>
      <c r="R687" s="1"/>
      <c r="S687" s="1"/>
    </row>
    <row r="688" ht="14.25" customHeight="1">
      <c r="A688" s="1112"/>
      <c r="B688" s="93" t="s">
        <v>753</v>
      </c>
      <c r="C688" s="1213">
        <v>500.0</v>
      </c>
      <c r="D688" s="78">
        <f t="shared" si="56"/>
        <v>50</v>
      </c>
      <c r="E688" s="900"/>
      <c r="F688" s="249" t="s">
        <v>18</v>
      </c>
      <c r="G688" s="47"/>
      <c r="H688" s="1"/>
      <c r="I688" s="1"/>
      <c r="J688" s="1"/>
      <c r="K688" s="1"/>
      <c r="L688" s="1"/>
      <c r="M688" s="1"/>
      <c r="N688" s="1"/>
      <c r="O688" s="1"/>
      <c r="P688" s="1"/>
      <c r="Q688" s="1"/>
      <c r="R688" s="1"/>
      <c r="S688" s="1"/>
    </row>
    <row r="689" ht="14.25" customHeight="1">
      <c r="A689" s="1112"/>
      <c r="B689" s="93" t="s">
        <v>103</v>
      </c>
      <c r="C689" s="1213">
        <v>100.0</v>
      </c>
      <c r="D689" s="78">
        <f t="shared" si="56"/>
        <v>10</v>
      </c>
      <c r="E689" s="900"/>
      <c r="F689" s="249" t="s">
        <v>18</v>
      </c>
      <c r="G689" s="47"/>
      <c r="H689" s="1"/>
      <c r="I689" s="1"/>
      <c r="J689" s="1"/>
      <c r="K689" s="1"/>
      <c r="L689" s="1"/>
      <c r="M689" s="1"/>
      <c r="N689" s="1"/>
      <c r="O689" s="1"/>
      <c r="P689" s="1"/>
      <c r="Q689" s="1"/>
      <c r="R689" s="1"/>
      <c r="S689" s="1"/>
    </row>
    <row r="690" ht="14.25" customHeight="1">
      <c r="A690" s="1112"/>
      <c r="B690" s="105" t="s">
        <v>52</v>
      </c>
      <c r="C690" s="1216">
        <v>250.0</v>
      </c>
      <c r="D690" s="56">
        <f t="shared" si="56"/>
        <v>25</v>
      </c>
      <c r="E690" s="1604"/>
      <c r="F690" s="518" t="s">
        <v>18</v>
      </c>
      <c r="G690" s="47"/>
      <c r="H690" s="1"/>
      <c r="I690" s="1"/>
      <c r="J690" s="1"/>
      <c r="K690" s="1"/>
      <c r="L690" s="1"/>
      <c r="M690" s="1"/>
      <c r="N690" s="1"/>
      <c r="O690" s="1"/>
      <c r="P690" s="1"/>
      <c r="Q690" s="1"/>
      <c r="R690" s="1"/>
      <c r="S690" s="1"/>
    </row>
    <row r="691" ht="14.25" customHeight="1">
      <c r="A691" s="1112"/>
      <c r="B691" s="68" t="s">
        <v>3213</v>
      </c>
      <c r="C691" s="1202">
        <v>75.0</v>
      </c>
      <c r="D691" s="155">
        <f t="shared" si="56"/>
        <v>7.5</v>
      </c>
      <c r="E691" s="899"/>
      <c r="F691" s="216" t="s">
        <v>14</v>
      </c>
      <c r="G691" s="44"/>
      <c r="H691" s="1"/>
      <c r="I691" s="1"/>
      <c r="J691" s="1"/>
      <c r="K691" s="1"/>
      <c r="L691" s="1"/>
      <c r="M691" s="1"/>
      <c r="N691" s="1"/>
      <c r="O691" s="1"/>
      <c r="P691" s="1"/>
      <c r="Q691" s="1"/>
      <c r="R691" s="1"/>
      <c r="S691" s="1"/>
    </row>
    <row r="692" ht="14.25" customHeight="1">
      <c r="A692" s="1112"/>
      <c r="B692" s="138" t="s">
        <v>31</v>
      </c>
      <c r="C692" s="351">
        <v>1350.0</v>
      </c>
      <c r="D692" s="155">
        <f t="shared" si="56"/>
        <v>135</v>
      </c>
      <c r="E692" s="1614"/>
      <c r="F692" s="242" t="s">
        <v>18</v>
      </c>
      <c r="G692" s="1186"/>
      <c r="H692" s="1"/>
      <c r="I692" s="1"/>
      <c r="J692" s="1"/>
      <c r="K692" s="1"/>
      <c r="L692" s="1"/>
      <c r="M692" s="1"/>
      <c r="N692" s="1"/>
      <c r="O692" s="1"/>
      <c r="P692" s="1"/>
      <c r="Q692" s="1"/>
      <c r="R692" s="1"/>
      <c r="S692" s="1"/>
    </row>
    <row r="693" ht="14.25" customHeight="1">
      <c r="A693" s="1112"/>
      <c r="B693" s="68" t="s">
        <v>850</v>
      </c>
      <c r="C693" s="1202">
        <v>20.0</v>
      </c>
      <c r="D693" s="155">
        <f t="shared" si="56"/>
        <v>2</v>
      </c>
      <c r="E693" s="899"/>
      <c r="F693" s="216" t="s">
        <v>14</v>
      </c>
      <c r="G693" s="44" t="s">
        <v>3214</v>
      </c>
      <c r="H693" s="1"/>
      <c r="I693" s="1"/>
      <c r="J693" s="1"/>
      <c r="K693" s="1"/>
      <c r="L693" s="1"/>
      <c r="M693" s="1"/>
      <c r="N693" s="1"/>
      <c r="O693" s="1"/>
      <c r="P693" s="1"/>
      <c r="Q693" s="1"/>
      <c r="R693" s="1"/>
      <c r="S693" s="1"/>
    </row>
    <row r="694" ht="14.25" customHeight="1">
      <c r="A694" s="1112"/>
      <c r="B694" s="105" t="s">
        <v>112</v>
      </c>
      <c r="C694" s="1216">
        <v>100.0</v>
      </c>
      <c r="D694" s="155">
        <f t="shared" si="56"/>
        <v>10</v>
      </c>
      <c r="E694" s="1614"/>
      <c r="F694" s="518" t="s">
        <v>18</v>
      </c>
      <c r="G694" s="47"/>
      <c r="H694" s="1"/>
      <c r="I694" s="1"/>
      <c r="J694" s="1"/>
      <c r="K694" s="1"/>
      <c r="L694" s="1"/>
      <c r="M694" s="1"/>
      <c r="N694" s="1"/>
      <c r="O694" s="1"/>
      <c r="P694" s="1"/>
      <c r="Q694" s="1"/>
      <c r="R694" s="1"/>
      <c r="S694" s="1"/>
    </row>
    <row r="695" ht="14.25" customHeight="1">
      <c r="A695" s="1112"/>
      <c r="B695" s="119" t="s">
        <v>984</v>
      </c>
      <c r="C695" s="1209">
        <v>20.0</v>
      </c>
      <c r="D695" s="155">
        <f t="shared" si="56"/>
        <v>2</v>
      </c>
      <c r="E695" s="1583"/>
      <c r="F695" s="520" t="s">
        <v>5</v>
      </c>
      <c r="G695" s="76"/>
      <c r="H695" s="1"/>
      <c r="I695" s="1"/>
      <c r="J695" s="1"/>
      <c r="K695" s="1"/>
      <c r="L695" s="1"/>
      <c r="M695" s="1"/>
      <c r="N695" s="1"/>
      <c r="O695" s="1"/>
      <c r="P695" s="1"/>
      <c r="Q695" s="1"/>
      <c r="R695" s="1"/>
      <c r="S695" s="1"/>
    </row>
    <row r="696" ht="14.25" customHeight="1">
      <c r="A696" s="1112"/>
      <c r="B696" s="93" t="s">
        <v>3218</v>
      </c>
      <c r="C696" s="1213">
        <v>2.0</v>
      </c>
      <c r="D696" s="155">
        <f t="shared" si="56"/>
        <v>0.2</v>
      </c>
      <c r="E696" s="1583"/>
      <c r="F696" s="249" t="s">
        <v>1908</v>
      </c>
      <c r="G696" s="264" t="s">
        <v>3219</v>
      </c>
      <c r="H696" s="1"/>
      <c r="I696" s="1"/>
      <c r="J696" s="1"/>
      <c r="K696" s="1"/>
      <c r="L696" s="1"/>
      <c r="M696" s="1"/>
      <c r="N696" s="1"/>
      <c r="O696" s="1"/>
      <c r="P696" s="1"/>
      <c r="Q696" s="1"/>
      <c r="R696" s="1"/>
      <c r="S696" s="1"/>
    </row>
    <row r="697" ht="14.25" customHeight="1">
      <c r="A697" s="1112"/>
      <c r="B697" s="93" t="s">
        <v>3221</v>
      </c>
      <c r="C697" s="1213">
        <v>2.0</v>
      </c>
      <c r="D697" s="155">
        <f t="shared" si="56"/>
        <v>0.2</v>
      </c>
      <c r="E697" s="1583"/>
      <c r="F697" s="249" t="s">
        <v>1908</v>
      </c>
      <c r="G697" s="66"/>
      <c r="H697" s="1"/>
      <c r="I697" s="1"/>
      <c r="J697" s="1"/>
      <c r="K697" s="1"/>
      <c r="L697" s="1"/>
      <c r="M697" s="1"/>
      <c r="N697" s="1"/>
      <c r="O697" s="1"/>
      <c r="P697" s="1"/>
      <c r="Q697" s="1"/>
      <c r="R697" s="1"/>
      <c r="S697" s="1"/>
    </row>
    <row r="698" ht="14.25" customHeight="1">
      <c r="A698" s="1112"/>
      <c r="B698" s="105" t="s">
        <v>13</v>
      </c>
      <c r="C698" s="1216">
        <v>1.0</v>
      </c>
      <c r="D698" s="155">
        <f t="shared" si="56"/>
        <v>0.1</v>
      </c>
      <c r="E698" s="1614"/>
      <c r="F698" s="518" t="s">
        <v>18</v>
      </c>
      <c r="G698" s="66"/>
      <c r="H698" s="1"/>
      <c r="I698" s="1"/>
      <c r="J698" s="1"/>
      <c r="K698" s="1"/>
      <c r="L698" s="1"/>
      <c r="M698" s="1"/>
      <c r="N698" s="1"/>
      <c r="O698" s="1"/>
      <c r="P698" s="1"/>
      <c r="Q698" s="1"/>
      <c r="R698" s="1"/>
      <c r="S698" s="1"/>
    </row>
    <row r="699" ht="14.25" customHeight="1">
      <c r="A699" s="1112"/>
      <c r="B699" s="119" t="s">
        <v>963</v>
      </c>
      <c r="C699" s="1209">
        <v>2.5</v>
      </c>
      <c r="D699" s="155">
        <f t="shared" si="56"/>
        <v>0.25</v>
      </c>
      <c r="E699" s="1583"/>
      <c r="F699" s="520" t="s">
        <v>14</v>
      </c>
      <c r="G699" s="106"/>
      <c r="H699" s="1"/>
      <c r="I699" s="1"/>
      <c r="J699" s="1"/>
      <c r="K699" s="1"/>
      <c r="L699" s="1"/>
      <c r="M699" s="1"/>
      <c r="N699" s="1"/>
      <c r="O699" s="1"/>
      <c r="P699" s="1"/>
      <c r="Q699" s="1"/>
      <c r="R699" s="1"/>
      <c r="S699" s="1"/>
    </row>
    <row r="700" ht="14.25" customHeight="1">
      <c r="A700" s="1112"/>
      <c r="B700" s="93" t="s">
        <v>858</v>
      </c>
      <c r="C700" s="1213">
        <v>10.0</v>
      </c>
      <c r="D700" s="155">
        <f t="shared" si="56"/>
        <v>1</v>
      </c>
      <c r="E700" s="1583"/>
      <c r="F700" s="249" t="s">
        <v>9</v>
      </c>
      <c r="G700" s="1587" t="s">
        <v>1562</v>
      </c>
      <c r="H700" s="1"/>
      <c r="I700" s="1"/>
      <c r="J700" s="1"/>
      <c r="K700" s="1"/>
      <c r="L700" s="1"/>
      <c r="M700" s="1"/>
      <c r="N700" s="1"/>
      <c r="O700" s="1"/>
      <c r="P700" s="1"/>
      <c r="Q700" s="1"/>
      <c r="R700" s="1"/>
      <c r="S700" s="1"/>
    </row>
    <row r="701" ht="14.25" customHeight="1">
      <c r="A701" s="1112"/>
      <c r="B701" s="105" t="s">
        <v>114</v>
      </c>
      <c r="C701" s="1216">
        <v>2.5</v>
      </c>
      <c r="D701" s="155">
        <f t="shared" si="56"/>
        <v>0.25</v>
      </c>
      <c r="E701" s="1614"/>
      <c r="F701" s="518" t="s">
        <v>5</v>
      </c>
      <c r="G701" s="47"/>
      <c r="H701" s="1"/>
      <c r="I701" s="1"/>
      <c r="J701" s="1"/>
      <c r="K701" s="1"/>
      <c r="L701" s="1"/>
      <c r="M701" s="1"/>
      <c r="N701" s="1"/>
      <c r="O701" s="1"/>
      <c r="P701" s="1"/>
      <c r="Q701" s="1"/>
      <c r="R701" s="1"/>
      <c r="S701" s="1"/>
    </row>
    <row r="702" ht="14.25" customHeight="1">
      <c r="A702" s="1112"/>
      <c r="B702" s="2275" t="s">
        <v>119</v>
      </c>
      <c r="C702" s="1446" t="s">
        <v>47</v>
      </c>
      <c r="D702" s="184"/>
      <c r="E702" s="184"/>
      <c r="F702" s="1"/>
      <c r="G702" s="76"/>
      <c r="H702" s="1"/>
      <c r="I702" s="1"/>
      <c r="J702" s="1"/>
      <c r="K702" s="1"/>
      <c r="L702" s="1"/>
      <c r="M702" s="1"/>
      <c r="N702" s="1"/>
      <c r="O702" s="1"/>
      <c r="P702" s="1"/>
      <c r="Q702" s="1"/>
      <c r="R702" s="1"/>
      <c r="S702" s="1"/>
    </row>
    <row r="703" ht="14.25" customHeight="1">
      <c r="A703" s="1112"/>
      <c r="B703" s="90" t="s">
        <v>120</v>
      </c>
      <c r="C703" s="1188">
        <v>41809.0</v>
      </c>
      <c r="D703" s="184"/>
      <c r="E703" s="184"/>
      <c r="F703" s="1"/>
      <c r="G703" s="1"/>
      <c r="H703" s="1"/>
      <c r="I703" s="1"/>
      <c r="J703" s="1"/>
      <c r="K703" s="1"/>
      <c r="L703" s="1"/>
      <c r="M703" s="1"/>
      <c r="N703" s="1"/>
      <c r="O703" s="1"/>
      <c r="P703" s="1"/>
      <c r="Q703" s="1"/>
      <c r="R703" s="1"/>
      <c r="S703" s="1"/>
    </row>
    <row r="704" ht="14.25" customHeight="1">
      <c r="A704" s="1112"/>
      <c r="B704" s="305" t="s">
        <v>50</v>
      </c>
      <c r="C704" s="1188">
        <v>41812.0</v>
      </c>
      <c r="D704" s="184"/>
      <c r="E704" s="184"/>
      <c r="F704" s="1"/>
      <c r="G704" s="1"/>
      <c r="H704" s="1"/>
      <c r="I704" s="1"/>
      <c r="J704" s="1"/>
      <c r="K704" s="1"/>
      <c r="L704" s="1"/>
      <c r="M704" s="1"/>
      <c r="N704" s="1"/>
      <c r="O704" s="1"/>
      <c r="P704" s="1"/>
      <c r="Q704" s="1"/>
      <c r="R704" s="1"/>
      <c r="S704" s="1"/>
    </row>
    <row r="705" ht="14.25" customHeight="1">
      <c r="A705" s="1112"/>
      <c r="B705" s="2869"/>
      <c r="C705" s="2871"/>
      <c r="D705" s="184"/>
      <c r="E705" s="184"/>
      <c r="F705" s="1"/>
      <c r="G705" s="1"/>
      <c r="H705" s="1"/>
      <c r="I705" s="1"/>
      <c r="J705" s="1"/>
      <c r="K705" s="1"/>
      <c r="L705" s="1"/>
      <c r="M705" s="1"/>
      <c r="N705" s="1"/>
      <c r="O705" s="1"/>
      <c r="P705" s="1"/>
      <c r="Q705" s="1"/>
      <c r="R705" s="1"/>
      <c r="S705" s="1"/>
    </row>
    <row r="706" ht="14.25" customHeight="1">
      <c r="A706" s="1112"/>
      <c r="B706" s="1"/>
      <c r="C706" s="107"/>
      <c r="D706" s="184"/>
      <c r="E706" s="184"/>
      <c r="F706" s="1"/>
      <c r="G706" s="1"/>
      <c r="H706" s="1"/>
      <c r="I706" s="1"/>
      <c r="J706" s="1"/>
      <c r="K706" s="1"/>
      <c r="L706" s="1"/>
      <c r="M706" s="1"/>
      <c r="N706" s="1"/>
      <c r="O706" s="1"/>
      <c r="P706" s="1"/>
      <c r="Q706" s="1"/>
      <c r="R706" s="1"/>
      <c r="S706" s="1"/>
    </row>
    <row r="707" ht="14.25" customHeight="1">
      <c r="A707" s="1"/>
      <c r="B707" s="505" t="s">
        <v>926</v>
      </c>
      <c r="C707" s="18"/>
      <c r="D707" s="18"/>
      <c r="E707" s="18"/>
      <c r="F707" s="19"/>
      <c r="G707" s="2875" t="s">
        <v>3227</v>
      </c>
      <c r="H707" s="1"/>
      <c r="I707" s="1"/>
      <c r="J707" s="1"/>
      <c r="K707" s="1"/>
      <c r="L707" s="1"/>
      <c r="M707" s="1"/>
      <c r="N707" s="1"/>
      <c r="O707" s="1"/>
      <c r="P707" s="1"/>
      <c r="Q707" s="1"/>
      <c r="R707" s="1"/>
      <c r="S707" s="1"/>
    </row>
    <row r="708" ht="14.25" customHeight="1">
      <c r="A708" s="1112"/>
      <c r="B708" s="324" t="s">
        <v>1</v>
      </c>
      <c r="C708" s="821">
        <v>100.0</v>
      </c>
      <c r="D708" s="2218">
        <v>10.0</v>
      </c>
      <c r="E708" s="2220"/>
      <c r="F708" s="329" t="s">
        <v>5</v>
      </c>
      <c r="G708" s="2878"/>
      <c r="H708" s="1"/>
      <c r="I708" s="1"/>
      <c r="J708" s="1"/>
      <c r="K708" s="1"/>
      <c r="L708" s="1"/>
      <c r="M708" s="1"/>
      <c r="N708" s="1"/>
      <c r="O708" s="1"/>
      <c r="P708" s="1"/>
      <c r="Q708" s="1"/>
      <c r="R708" s="1"/>
      <c r="S708" s="1"/>
    </row>
    <row r="709" ht="14.25" customHeight="1">
      <c r="A709" s="1112"/>
      <c r="B709" s="345" t="s">
        <v>487</v>
      </c>
      <c r="C709" s="10">
        <v>8.0</v>
      </c>
      <c r="D709" s="2880">
        <f t="shared" ref="D709:D713" si="57">(C709*D708)/C708</f>
        <v>0.8</v>
      </c>
      <c r="E709" s="2881"/>
      <c r="F709" s="348" t="s">
        <v>14</v>
      </c>
      <c r="G709" s="711" t="s">
        <v>3229</v>
      </c>
      <c r="H709" s="1"/>
      <c r="I709" s="1"/>
      <c r="J709" s="1"/>
      <c r="K709" s="1"/>
      <c r="L709" s="1"/>
      <c r="M709" s="1"/>
      <c r="N709" s="1"/>
      <c r="O709" s="1"/>
      <c r="P709" s="1"/>
      <c r="Q709" s="1"/>
      <c r="R709" s="1"/>
      <c r="S709" s="1"/>
    </row>
    <row r="710" ht="14.25" customHeight="1">
      <c r="A710" s="1112"/>
      <c r="B710" s="350" t="s">
        <v>327</v>
      </c>
      <c r="C710" s="23">
        <v>5.0</v>
      </c>
      <c r="D710" s="2660">
        <f t="shared" si="57"/>
        <v>0.5</v>
      </c>
      <c r="E710" s="2661"/>
      <c r="F710" s="352" t="s">
        <v>14</v>
      </c>
      <c r="G710" s="47"/>
      <c r="H710" s="1"/>
      <c r="I710" s="1"/>
      <c r="J710" s="1"/>
      <c r="K710" s="1"/>
      <c r="L710" s="1"/>
      <c r="M710" s="1"/>
      <c r="N710" s="1"/>
      <c r="O710" s="1"/>
      <c r="P710" s="1"/>
      <c r="Q710" s="1"/>
      <c r="R710" s="1"/>
      <c r="S710" s="1"/>
    </row>
    <row r="711" ht="14.25" customHeight="1">
      <c r="A711" s="1112"/>
      <c r="B711" s="354" t="s">
        <v>490</v>
      </c>
      <c r="C711" s="45">
        <v>5.0</v>
      </c>
      <c r="D711" s="2660">
        <f t="shared" si="57"/>
        <v>0.5</v>
      </c>
      <c r="E711" s="2885"/>
      <c r="F711" s="356" t="s">
        <v>14</v>
      </c>
      <c r="G711" s="47"/>
      <c r="H711" s="1"/>
      <c r="I711" s="1"/>
      <c r="J711" s="1"/>
      <c r="K711" s="1"/>
      <c r="L711" s="1"/>
      <c r="M711" s="1"/>
      <c r="N711" s="1"/>
      <c r="O711" s="1"/>
      <c r="P711" s="1"/>
      <c r="Q711" s="1"/>
      <c r="R711" s="1"/>
      <c r="S711" s="1"/>
    </row>
    <row r="712" ht="14.25" customHeight="1">
      <c r="A712" s="1112"/>
      <c r="B712" s="354" t="s">
        <v>850</v>
      </c>
      <c r="C712" s="45">
        <v>10.0</v>
      </c>
      <c r="D712" s="2660">
        <f t="shared" si="57"/>
        <v>1</v>
      </c>
      <c r="E712" s="2885"/>
      <c r="F712" s="356" t="s">
        <v>14</v>
      </c>
      <c r="G712" s="47"/>
      <c r="H712" s="1"/>
      <c r="I712" s="1"/>
      <c r="J712" s="1"/>
      <c r="K712" s="1"/>
      <c r="L712" s="1"/>
      <c r="M712" s="1"/>
      <c r="N712" s="1"/>
      <c r="O712" s="1"/>
      <c r="P712" s="1"/>
      <c r="Q712" s="1"/>
      <c r="R712" s="1"/>
      <c r="S712" s="1"/>
    </row>
    <row r="713" ht="14.25" customHeight="1">
      <c r="A713" s="1112"/>
      <c r="B713" s="350" t="s">
        <v>3231</v>
      </c>
      <c r="C713" s="23">
        <v>5.0</v>
      </c>
      <c r="D713" s="2660">
        <f t="shared" si="57"/>
        <v>0.5</v>
      </c>
      <c r="E713" s="2661"/>
      <c r="F713" s="352" t="s">
        <v>14</v>
      </c>
      <c r="G713" s="47"/>
      <c r="H713" s="1"/>
      <c r="I713" s="1"/>
      <c r="J713" s="1"/>
      <c r="K713" s="1"/>
      <c r="L713" s="1"/>
      <c r="M713" s="1"/>
      <c r="N713" s="1"/>
      <c r="O713" s="1"/>
      <c r="P713" s="1"/>
      <c r="Q713" s="1"/>
      <c r="R713" s="1"/>
      <c r="S713" s="1"/>
    </row>
    <row r="714" ht="14.25" customHeight="1">
      <c r="A714" s="1112"/>
      <c r="B714" s="606" t="s">
        <v>3232</v>
      </c>
      <c r="C714" s="709">
        <v>55.0</v>
      </c>
      <c r="D714" s="2887">
        <f>(C714*D708)/C708</f>
        <v>5.5</v>
      </c>
      <c r="E714" s="2888"/>
      <c r="F714" s="1475" t="s">
        <v>14</v>
      </c>
      <c r="G714" s="76"/>
      <c r="H714" s="1"/>
      <c r="I714" s="1"/>
      <c r="J714" s="1"/>
      <c r="K714" s="1"/>
      <c r="L714" s="1"/>
      <c r="M714" s="1"/>
      <c r="N714" s="1"/>
      <c r="O714" s="1"/>
      <c r="P714" s="1"/>
      <c r="Q714" s="1"/>
      <c r="R714" s="1"/>
      <c r="S714" s="1"/>
    </row>
    <row r="715" ht="14.25" customHeight="1">
      <c r="A715" s="1112"/>
      <c r="B715" s="345" t="s">
        <v>91</v>
      </c>
      <c r="C715" s="10">
        <v>3.0</v>
      </c>
      <c r="D715" s="2880">
        <f>(C715*D712)/C712</f>
        <v>0.3</v>
      </c>
      <c r="E715" s="2881"/>
      <c r="F715" s="348" t="s">
        <v>5</v>
      </c>
      <c r="G715" s="711" t="s">
        <v>3236</v>
      </c>
      <c r="H715" s="1"/>
      <c r="I715" s="1"/>
      <c r="J715" s="1"/>
      <c r="K715" s="1"/>
      <c r="L715" s="1"/>
      <c r="M715" s="1"/>
      <c r="N715" s="1"/>
      <c r="O715" s="1"/>
      <c r="P715" s="1"/>
      <c r="Q715" s="1"/>
      <c r="R715" s="1"/>
      <c r="S715" s="1"/>
    </row>
    <row r="716" ht="14.25" customHeight="1">
      <c r="A716" s="1112"/>
      <c r="B716" s="350" t="s">
        <v>97</v>
      </c>
      <c r="C716" s="23">
        <v>200.0</v>
      </c>
      <c r="D716" s="2660">
        <f t="shared" ref="D716:D728" si="58">(C716*D715)/C715</f>
        <v>20</v>
      </c>
      <c r="E716" s="2661"/>
      <c r="F716" s="352" t="s">
        <v>18</v>
      </c>
      <c r="G716" s="47"/>
      <c r="H716" s="1"/>
      <c r="I716" s="1"/>
      <c r="J716" s="1"/>
      <c r="K716" s="1"/>
      <c r="L716" s="1"/>
      <c r="M716" s="1"/>
      <c r="N716" s="1"/>
      <c r="O716" s="1"/>
      <c r="P716" s="1"/>
      <c r="Q716" s="1"/>
      <c r="R716" s="1"/>
      <c r="S716" s="1"/>
    </row>
    <row r="717" ht="14.25" customHeight="1">
      <c r="A717" s="1112"/>
      <c r="B717" s="350" t="s">
        <v>345</v>
      </c>
      <c r="C717" s="23">
        <v>0.4</v>
      </c>
      <c r="D717" s="2660">
        <f t="shared" si="58"/>
        <v>0.04</v>
      </c>
      <c r="E717" s="2661"/>
      <c r="F717" s="352" t="s">
        <v>14</v>
      </c>
      <c r="G717" s="47"/>
      <c r="H717" s="1"/>
      <c r="I717" s="1"/>
      <c r="J717" s="1"/>
      <c r="K717" s="1"/>
      <c r="L717" s="1"/>
      <c r="M717" s="1"/>
      <c r="N717" s="1"/>
      <c r="O717" s="1"/>
      <c r="P717" s="1"/>
      <c r="Q717" s="1"/>
      <c r="R717" s="1"/>
      <c r="S717" s="1"/>
    </row>
    <row r="718" ht="14.25" customHeight="1">
      <c r="A718" s="1112"/>
      <c r="B718" s="350" t="s">
        <v>311</v>
      </c>
      <c r="C718" s="23">
        <v>0.4</v>
      </c>
      <c r="D718" s="2660">
        <f t="shared" si="58"/>
        <v>0.04</v>
      </c>
      <c r="E718" s="2661"/>
      <c r="F718" s="352" t="s">
        <v>14</v>
      </c>
      <c r="G718" s="47"/>
      <c r="H718" s="1"/>
      <c r="I718" s="1"/>
      <c r="J718" s="1"/>
      <c r="K718" s="1"/>
      <c r="L718" s="1"/>
      <c r="M718" s="1"/>
      <c r="N718" s="1"/>
      <c r="O718" s="1"/>
      <c r="P718" s="1"/>
      <c r="Q718" s="1"/>
      <c r="R718" s="1"/>
      <c r="S718" s="1"/>
    </row>
    <row r="719" ht="14.25" customHeight="1">
      <c r="A719" s="1112"/>
      <c r="B719" s="350" t="s">
        <v>346</v>
      </c>
      <c r="C719" s="23">
        <v>400.0</v>
      </c>
      <c r="D719" s="2660">
        <f t="shared" si="58"/>
        <v>40</v>
      </c>
      <c r="E719" s="2661"/>
      <c r="F719" s="352" t="s">
        <v>18</v>
      </c>
      <c r="G719" s="47"/>
      <c r="H719" s="1"/>
      <c r="I719" s="1"/>
      <c r="J719" s="1"/>
      <c r="K719" s="1"/>
      <c r="L719" s="1"/>
      <c r="M719" s="1"/>
      <c r="N719" s="1"/>
      <c r="O719" s="1"/>
      <c r="P719" s="1"/>
      <c r="Q719" s="1"/>
      <c r="R719" s="1"/>
      <c r="S719" s="1"/>
    </row>
    <row r="720" ht="14.25" customHeight="1">
      <c r="A720" s="1112"/>
      <c r="B720" s="350" t="s">
        <v>101</v>
      </c>
      <c r="C720" s="23">
        <v>2.5</v>
      </c>
      <c r="D720" s="2660">
        <f t="shared" si="58"/>
        <v>0.25</v>
      </c>
      <c r="E720" s="2661"/>
      <c r="F720" s="352" t="s">
        <v>5</v>
      </c>
      <c r="G720" s="47"/>
      <c r="H720" s="1"/>
      <c r="I720" s="1"/>
      <c r="J720" s="1"/>
      <c r="K720" s="1"/>
      <c r="L720" s="1"/>
      <c r="M720" s="1"/>
      <c r="N720" s="1"/>
      <c r="O720" s="1"/>
      <c r="P720" s="1"/>
      <c r="Q720" s="1"/>
      <c r="R720" s="1"/>
      <c r="S720" s="1"/>
    </row>
    <row r="721" ht="14.25" customHeight="1">
      <c r="A721" s="1112"/>
      <c r="B721" s="350" t="s">
        <v>103</v>
      </c>
      <c r="C721" s="23">
        <v>50.0</v>
      </c>
      <c r="D721" s="2660">
        <f t="shared" si="58"/>
        <v>5</v>
      </c>
      <c r="E721" s="2661"/>
      <c r="F721" s="352" t="s">
        <v>18</v>
      </c>
      <c r="G721" s="47"/>
      <c r="H721" s="1"/>
      <c r="I721" s="1"/>
      <c r="J721" s="1"/>
      <c r="K721" s="1"/>
      <c r="L721" s="1"/>
      <c r="M721" s="1"/>
      <c r="N721" s="1"/>
      <c r="O721" s="1"/>
      <c r="P721" s="1"/>
      <c r="Q721" s="1"/>
      <c r="R721" s="1"/>
      <c r="S721" s="1"/>
    </row>
    <row r="722" ht="14.25" customHeight="1">
      <c r="A722" s="1112"/>
      <c r="B722" s="350" t="s">
        <v>52</v>
      </c>
      <c r="C722" s="23">
        <v>150.0</v>
      </c>
      <c r="D722" s="2660">
        <f t="shared" si="58"/>
        <v>15</v>
      </c>
      <c r="E722" s="2661"/>
      <c r="F722" s="352" t="s">
        <v>18</v>
      </c>
      <c r="G722" s="47"/>
      <c r="H722" s="1"/>
      <c r="I722" s="1"/>
      <c r="J722" s="1"/>
      <c r="K722" s="1"/>
      <c r="L722" s="1"/>
      <c r="M722" s="1"/>
      <c r="N722" s="1"/>
      <c r="O722" s="1"/>
      <c r="P722" s="1"/>
      <c r="Q722" s="1"/>
      <c r="R722" s="1"/>
      <c r="S722" s="1"/>
    </row>
    <row r="723" ht="14.25" customHeight="1">
      <c r="A723" s="1112"/>
      <c r="B723" s="350" t="s">
        <v>1261</v>
      </c>
      <c r="C723" s="23">
        <v>400.0</v>
      </c>
      <c r="D723" s="2660">
        <f t="shared" si="58"/>
        <v>40</v>
      </c>
      <c r="E723" s="2661"/>
      <c r="F723" s="352" t="s">
        <v>18</v>
      </c>
      <c r="G723" s="47"/>
      <c r="H723" s="1"/>
      <c r="I723" s="1"/>
      <c r="J723" s="1"/>
      <c r="K723" s="1"/>
      <c r="L723" s="1"/>
      <c r="M723" s="1"/>
      <c r="N723" s="1"/>
      <c r="O723" s="1"/>
      <c r="P723" s="1"/>
      <c r="Q723" s="1"/>
      <c r="R723" s="1"/>
      <c r="S723" s="1"/>
    </row>
    <row r="724" ht="14.25" customHeight="1">
      <c r="A724" s="1112"/>
      <c r="B724" s="606" t="s">
        <v>112</v>
      </c>
      <c r="C724" s="709">
        <v>50.0</v>
      </c>
      <c r="D724" s="2887">
        <f t="shared" si="58"/>
        <v>5</v>
      </c>
      <c r="E724" s="2888"/>
      <c r="F724" s="1475" t="s">
        <v>18</v>
      </c>
      <c r="G724" s="76"/>
      <c r="H724" s="1"/>
      <c r="I724" s="1"/>
      <c r="J724" s="1"/>
      <c r="K724" s="1"/>
      <c r="L724" s="1"/>
      <c r="M724" s="1"/>
      <c r="N724" s="1"/>
      <c r="O724" s="1"/>
      <c r="P724" s="1"/>
      <c r="Q724" s="1"/>
      <c r="R724" s="1"/>
      <c r="S724" s="1"/>
    </row>
    <row r="725" ht="14.25" customHeight="1">
      <c r="A725" s="1112"/>
      <c r="B725" s="345" t="s">
        <v>31</v>
      </c>
      <c r="C725" s="10">
        <v>1500.0</v>
      </c>
      <c r="D725" s="2880">
        <f t="shared" si="58"/>
        <v>150</v>
      </c>
      <c r="E725" s="2881"/>
      <c r="F725" s="348" t="s">
        <v>18</v>
      </c>
      <c r="G725" s="2890"/>
      <c r="H725" s="1"/>
      <c r="I725" s="1"/>
      <c r="J725" s="1"/>
      <c r="K725" s="1"/>
      <c r="L725" s="1"/>
      <c r="M725" s="1"/>
      <c r="N725" s="1"/>
      <c r="O725" s="1"/>
      <c r="P725" s="1"/>
      <c r="Q725" s="1"/>
      <c r="R725" s="1"/>
      <c r="S725" s="1"/>
    </row>
    <row r="726" ht="14.25" customHeight="1">
      <c r="A726" s="1112"/>
      <c r="B726" s="606" t="s">
        <v>3247</v>
      </c>
      <c r="C726" s="709">
        <v>35.0</v>
      </c>
      <c r="D726" s="2887">
        <f t="shared" si="58"/>
        <v>3.5</v>
      </c>
      <c r="E726" s="2888"/>
      <c r="F726" s="1475" t="s">
        <v>5</v>
      </c>
      <c r="G726" s="2890"/>
      <c r="H726" s="1"/>
      <c r="I726" s="1"/>
      <c r="J726" s="1"/>
      <c r="K726" s="1"/>
      <c r="L726" s="1"/>
      <c r="M726" s="1"/>
      <c r="N726" s="1"/>
      <c r="O726" s="1"/>
      <c r="P726" s="1"/>
      <c r="Q726" s="1"/>
      <c r="R726" s="1"/>
      <c r="S726" s="1"/>
    </row>
    <row r="727" ht="14.25" customHeight="1">
      <c r="A727" s="1112"/>
      <c r="B727" s="591" t="s">
        <v>114</v>
      </c>
      <c r="C727" s="1984">
        <v>4.0</v>
      </c>
      <c r="D727" s="2892">
        <f t="shared" si="58"/>
        <v>0.4</v>
      </c>
      <c r="E727" s="2893"/>
      <c r="F727" s="1457" t="s">
        <v>5</v>
      </c>
      <c r="G727" s="2894" t="s">
        <v>204</v>
      </c>
      <c r="H727" s="1"/>
      <c r="I727" s="1"/>
      <c r="J727" s="1"/>
      <c r="K727" s="1"/>
      <c r="L727" s="1"/>
      <c r="M727" s="1"/>
      <c r="N727" s="1"/>
      <c r="O727" s="1"/>
      <c r="P727" s="1"/>
      <c r="Q727" s="1"/>
      <c r="R727" s="1"/>
      <c r="S727" s="1"/>
    </row>
    <row r="728" ht="14.25" customHeight="1">
      <c r="A728" s="1112"/>
      <c r="B728" s="606" t="s">
        <v>167</v>
      </c>
      <c r="C728" s="709">
        <v>0.15</v>
      </c>
      <c r="D728" s="2887">
        <f t="shared" si="58"/>
        <v>0.015</v>
      </c>
      <c r="E728" s="2888"/>
      <c r="F728" s="1475" t="s">
        <v>5</v>
      </c>
      <c r="G728" s="76"/>
      <c r="H728" s="1"/>
      <c r="I728" s="1"/>
      <c r="J728" s="1"/>
      <c r="K728" s="1"/>
      <c r="L728" s="1"/>
      <c r="M728" s="1"/>
      <c r="N728" s="1"/>
      <c r="O728" s="1"/>
      <c r="P728" s="1"/>
      <c r="Q728" s="1"/>
      <c r="R728" s="1"/>
      <c r="S728" s="1"/>
    </row>
    <row r="729" ht="14.25" customHeight="1">
      <c r="A729" s="1112"/>
      <c r="B729" s="1640" t="s">
        <v>119</v>
      </c>
      <c r="C729" s="183" t="s">
        <v>47</v>
      </c>
      <c r="D729" s="184"/>
      <c r="E729" s="184"/>
      <c r="F729" s="1"/>
      <c r="G729" s="1"/>
      <c r="H729" s="1"/>
      <c r="I729" s="1"/>
      <c r="J729" s="1"/>
      <c r="K729" s="1"/>
      <c r="L729" s="1"/>
      <c r="M729" s="1"/>
      <c r="N729" s="1"/>
      <c r="O729" s="1"/>
      <c r="P729" s="1"/>
      <c r="Q729" s="1"/>
      <c r="R729" s="1"/>
      <c r="S729" s="1"/>
    </row>
    <row r="730" ht="14.25" customHeight="1">
      <c r="A730" s="1112"/>
      <c r="B730" s="1499" t="s">
        <v>49</v>
      </c>
      <c r="C730" s="2806">
        <v>41270.0</v>
      </c>
      <c r="D730" s="184"/>
      <c r="E730" s="184"/>
      <c r="F730" s="1"/>
      <c r="G730" s="1"/>
      <c r="H730" s="1"/>
      <c r="I730" s="1"/>
      <c r="J730" s="1"/>
      <c r="K730" s="1"/>
      <c r="L730" s="1"/>
      <c r="M730" s="1"/>
      <c r="N730" s="1"/>
      <c r="O730" s="1"/>
      <c r="P730" s="1"/>
      <c r="Q730" s="1"/>
      <c r="R730" s="1"/>
      <c r="S730" s="1"/>
    </row>
    <row r="731" ht="14.25" customHeight="1">
      <c r="A731" s="1112"/>
      <c r="B731" s="664" t="s">
        <v>1486</v>
      </c>
      <c r="C731" s="2806">
        <v>41780.0</v>
      </c>
      <c r="D731" s="184"/>
      <c r="E731" s="184"/>
      <c r="F731" s="1"/>
      <c r="G731" s="1"/>
      <c r="H731" s="1"/>
      <c r="I731" s="1"/>
      <c r="J731" s="1"/>
      <c r="K731" s="1"/>
      <c r="L731" s="1"/>
      <c r="M731" s="1"/>
      <c r="N731" s="1"/>
      <c r="O731" s="1"/>
      <c r="P731" s="1"/>
      <c r="Q731" s="1"/>
      <c r="R731" s="1"/>
      <c r="S731" s="1"/>
    </row>
    <row r="732" ht="14.25" customHeight="1">
      <c r="A732" s="1112"/>
      <c r="B732" s="1"/>
      <c r="C732" s="107"/>
      <c r="D732" s="184"/>
      <c r="E732" s="184"/>
      <c r="F732" s="1"/>
      <c r="G732" s="1"/>
      <c r="H732" s="1"/>
      <c r="I732" s="1"/>
      <c r="J732" s="1"/>
      <c r="K732" s="1"/>
      <c r="L732" s="1"/>
      <c r="M732" s="1"/>
      <c r="N732" s="1"/>
      <c r="O732" s="1"/>
      <c r="P732" s="1"/>
      <c r="Q732" s="1"/>
      <c r="R732" s="1"/>
      <c r="S732" s="1"/>
    </row>
    <row r="733" ht="14.25" customHeight="1">
      <c r="A733" s="1112"/>
      <c r="B733" s="511" t="s">
        <v>3258</v>
      </c>
      <c r="C733" s="18"/>
      <c r="D733" s="18"/>
      <c r="E733" s="18"/>
      <c r="F733" s="19"/>
      <c r="G733" s="264" t="s">
        <v>3259</v>
      </c>
      <c r="H733" s="1"/>
      <c r="I733" s="1"/>
      <c r="J733" s="1"/>
      <c r="K733" s="1"/>
      <c r="L733" s="1"/>
      <c r="M733" s="1"/>
      <c r="N733" s="1"/>
      <c r="O733" s="1"/>
      <c r="P733" s="1"/>
      <c r="Q733" s="1"/>
      <c r="R733" s="1"/>
      <c r="S733" s="1"/>
    </row>
    <row r="734" ht="14.25" customHeight="1">
      <c r="A734" s="1112"/>
      <c r="B734" s="68" t="s">
        <v>1</v>
      </c>
      <c r="C734" s="145">
        <v>100.0</v>
      </c>
      <c r="D734" s="155">
        <v>75.0</v>
      </c>
      <c r="E734" s="899"/>
      <c r="F734" s="216" t="s">
        <v>5</v>
      </c>
      <c r="G734" s="66"/>
      <c r="H734" s="1"/>
      <c r="I734" s="1"/>
      <c r="J734" s="1"/>
      <c r="K734" s="1"/>
      <c r="L734" s="1"/>
      <c r="M734" s="1"/>
      <c r="N734" s="1"/>
      <c r="O734" s="1"/>
      <c r="P734" s="1"/>
      <c r="Q734" s="1"/>
      <c r="R734" s="1"/>
      <c r="S734" s="1"/>
    </row>
    <row r="735" ht="14.25" customHeight="1">
      <c r="A735" s="1112"/>
      <c r="B735" s="1931" t="s">
        <v>3261</v>
      </c>
      <c r="C735" s="293">
        <v>50.0</v>
      </c>
      <c r="D735" s="2900">
        <f t="shared" ref="D735:D763" si="59">(C735*D734)/C734</f>
        <v>37.5</v>
      </c>
      <c r="E735" s="2901"/>
      <c r="F735" s="2902" t="s">
        <v>14</v>
      </c>
      <c r="G735" s="66"/>
      <c r="H735" s="1"/>
      <c r="I735" s="1"/>
      <c r="J735" s="1"/>
      <c r="K735" s="1"/>
      <c r="L735" s="1"/>
      <c r="M735" s="1"/>
      <c r="N735" s="1"/>
      <c r="O735" s="1"/>
      <c r="P735" s="1"/>
      <c r="Q735" s="1"/>
      <c r="R735" s="1"/>
      <c r="S735" s="1"/>
    </row>
    <row r="736" ht="14.25" customHeight="1">
      <c r="A736" s="1112"/>
      <c r="B736" s="2612" t="s">
        <v>3265</v>
      </c>
      <c r="C736" s="2903">
        <v>50.0</v>
      </c>
      <c r="D736" s="2617">
        <f t="shared" si="59"/>
        <v>37.5</v>
      </c>
      <c r="E736" s="2620"/>
      <c r="F736" s="2622" t="s">
        <v>14</v>
      </c>
      <c r="G736" s="66"/>
      <c r="H736" s="1"/>
      <c r="I736" s="1"/>
      <c r="J736" s="1"/>
      <c r="K736" s="1"/>
      <c r="L736" s="1"/>
      <c r="M736" s="1"/>
      <c r="N736" s="1"/>
      <c r="O736" s="1"/>
      <c r="P736" s="1"/>
      <c r="Q736" s="1"/>
      <c r="R736" s="1"/>
      <c r="S736" s="1"/>
    </row>
    <row r="737" ht="14.25" customHeight="1">
      <c r="A737" s="1112"/>
      <c r="B737" s="93" t="s">
        <v>31</v>
      </c>
      <c r="C737" s="195">
        <v>1250.0</v>
      </c>
      <c r="D737" s="2590">
        <f t="shared" si="59"/>
        <v>937.5</v>
      </c>
      <c r="E737" s="2591"/>
      <c r="F737" s="249" t="s">
        <v>18</v>
      </c>
      <c r="G737" s="66"/>
      <c r="H737" s="1"/>
      <c r="I737" s="1"/>
      <c r="J737" s="1"/>
      <c r="K737" s="1"/>
      <c r="L737" s="1"/>
      <c r="M737" s="1"/>
      <c r="N737" s="1"/>
      <c r="O737" s="1"/>
      <c r="P737" s="1"/>
      <c r="Q737" s="1"/>
      <c r="R737" s="1"/>
      <c r="S737" s="1"/>
    </row>
    <row r="738" ht="14.25" customHeight="1">
      <c r="A738" s="1112"/>
      <c r="B738" s="105" t="s">
        <v>52</v>
      </c>
      <c r="C738" s="200">
        <v>150.0</v>
      </c>
      <c r="D738" s="2593">
        <f t="shared" si="59"/>
        <v>112.5</v>
      </c>
      <c r="E738" s="2905"/>
      <c r="F738" s="518" t="s">
        <v>18</v>
      </c>
      <c r="G738" s="106"/>
      <c r="H738" s="1"/>
      <c r="I738" s="1"/>
      <c r="J738" s="1"/>
      <c r="K738" s="1"/>
      <c r="L738" s="1"/>
      <c r="M738" s="1"/>
      <c r="N738" s="1"/>
      <c r="O738" s="1"/>
      <c r="P738" s="1"/>
      <c r="Q738" s="1"/>
      <c r="R738" s="1"/>
      <c r="S738" s="1"/>
    </row>
    <row r="739" ht="14.25" customHeight="1">
      <c r="A739" s="1112"/>
      <c r="B739" s="68" t="s">
        <v>184</v>
      </c>
      <c r="C739" s="145">
        <v>5.0</v>
      </c>
      <c r="D739" s="155">
        <f t="shared" si="59"/>
        <v>3.75</v>
      </c>
      <c r="E739" s="899"/>
      <c r="F739" s="216" t="s">
        <v>5</v>
      </c>
      <c r="G739" s="44" t="s">
        <v>3272</v>
      </c>
      <c r="H739" s="1"/>
      <c r="I739" s="1"/>
      <c r="J739" s="1"/>
      <c r="K739" s="1"/>
      <c r="L739" s="1"/>
      <c r="M739" s="1"/>
      <c r="N739" s="1"/>
      <c r="O739" s="1"/>
      <c r="P739" s="1"/>
      <c r="Q739" s="1"/>
      <c r="R739" s="1"/>
      <c r="S739" s="1"/>
    </row>
    <row r="740" ht="14.25" customHeight="1">
      <c r="A740" s="1112"/>
      <c r="B740" s="93" t="s">
        <v>98</v>
      </c>
      <c r="C740" s="195">
        <v>200.0</v>
      </c>
      <c r="D740" s="78">
        <f t="shared" si="59"/>
        <v>150</v>
      </c>
      <c r="E740" s="900"/>
      <c r="F740" s="249" t="s">
        <v>18</v>
      </c>
      <c r="G740" s="47"/>
      <c r="H740" s="1"/>
      <c r="I740" s="1"/>
      <c r="J740" s="1"/>
      <c r="K740" s="1"/>
      <c r="L740" s="1"/>
      <c r="M740" s="1"/>
      <c r="N740" s="1"/>
      <c r="O740" s="1"/>
      <c r="P740" s="1"/>
      <c r="Q740" s="1"/>
      <c r="R740" s="1"/>
      <c r="S740" s="1"/>
    </row>
    <row r="741" ht="14.25" customHeight="1">
      <c r="A741" s="1112"/>
      <c r="B741" s="93" t="s">
        <v>113</v>
      </c>
      <c r="C741" s="195">
        <v>50.0</v>
      </c>
      <c r="D741" s="78">
        <f t="shared" si="59"/>
        <v>37.5</v>
      </c>
      <c r="E741" s="900"/>
      <c r="F741" s="249" t="s">
        <v>18</v>
      </c>
      <c r="G741" s="47"/>
      <c r="H741" s="1"/>
      <c r="I741" s="1"/>
      <c r="J741" s="1"/>
      <c r="K741" s="1"/>
      <c r="L741" s="1"/>
      <c r="M741" s="1"/>
      <c r="N741" s="1"/>
      <c r="O741" s="1"/>
      <c r="P741" s="1"/>
      <c r="Q741" s="1"/>
      <c r="R741" s="1"/>
      <c r="S741" s="1"/>
    </row>
    <row r="742" ht="14.25" customHeight="1">
      <c r="A742" s="1112"/>
      <c r="B742" s="93" t="s">
        <v>66</v>
      </c>
      <c r="C742" s="195">
        <v>20.0</v>
      </c>
      <c r="D742" s="78">
        <f t="shared" si="59"/>
        <v>15</v>
      </c>
      <c r="E742" s="900"/>
      <c r="F742" s="249" t="s">
        <v>18</v>
      </c>
      <c r="G742" s="47"/>
      <c r="H742" s="1"/>
      <c r="I742" s="1"/>
      <c r="J742" s="1"/>
      <c r="K742" s="1"/>
      <c r="L742" s="1"/>
      <c r="M742" s="1"/>
      <c r="N742" s="1"/>
      <c r="O742" s="1"/>
      <c r="P742" s="1"/>
      <c r="Q742" s="1"/>
      <c r="R742" s="1"/>
      <c r="S742" s="1"/>
    </row>
    <row r="743" ht="14.25" customHeight="1">
      <c r="A743" s="1112"/>
      <c r="B743" s="93" t="s">
        <v>84</v>
      </c>
      <c r="C743" s="195">
        <v>750.0</v>
      </c>
      <c r="D743" s="78">
        <f t="shared" si="59"/>
        <v>562.5</v>
      </c>
      <c r="E743" s="900"/>
      <c r="F743" s="249" t="s">
        <v>18</v>
      </c>
      <c r="G743" s="47"/>
      <c r="H743" s="1"/>
      <c r="I743" s="1"/>
      <c r="J743" s="1"/>
      <c r="K743" s="1"/>
      <c r="L743" s="1"/>
      <c r="M743" s="1"/>
      <c r="N743" s="1"/>
      <c r="O743" s="1"/>
      <c r="P743" s="1"/>
      <c r="Q743" s="1"/>
      <c r="R743" s="1"/>
      <c r="S743" s="1"/>
    </row>
    <row r="744" ht="14.25" customHeight="1">
      <c r="A744" s="1112"/>
      <c r="B744" s="93" t="s">
        <v>148</v>
      </c>
      <c r="C744" s="195">
        <v>500.0</v>
      </c>
      <c r="D744" s="78">
        <f t="shared" si="59"/>
        <v>375</v>
      </c>
      <c r="E744" s="900"/>
      <c r="F744" s="249" t="s">
        <v>18</v>
      </c>
      <c r="G744" s="47"/>
      <c r="H744" s="1"/>
      <c r="I744" s="1"/>
      <c r="J744" s="1"/>
      <c r="K744" s="1"/>
      <c r="L744" s="1"/>
      <c r="M744" s="1"/>
      <c r="N744" s="1"/>
      <c r="O744" s="1"/>
      <c r="P744" s="1"/>
      <c r="Q744" s="1"/>
      <c r="R744" s="1"/>
      <c r="S744" s="1"/>
    </row>
    <row r="745" ht="14.25" customHeight="1">
      <c r="A745" s="1112"/>
      <c r="B745" s="105" t="s">
        <v>103</v>
      </c>
      <c r="C745" s="200">
        <v>150.0</v>
      </c>
      <c r="D745" s="56">
        <f t="shared" si="59"/>
        <v>112.5</v>
      </c>
      <c r="E745" s="1604"/>
      <c r="F745" s="518" t="s">
        <v>18</v>
      </c>
      <c r="G745" s="76"/>
      <c r="H745" s="1"/>
      <c r="I745" s="1">
        <f>0.2*350</f>
        <v>70</v>
      </c>
      <c r="J745" s="1"/>
      <c r="K745" s="1"/>
      <c r="L745" s="1"/>
      <c r="M745" s="1"/>
      <c r="N745" s="1"/>
      <c r="O745" s="1"/>
      <c r="P745" s="1"/>
      <c r="Q745" s="1"/>
      <c r="R745" s="1"/>
      <c r="S745" s="1"/>
    </row>
    <row r="746" ht="14.25" customHeight="1">
      <c r="A746" s="1112"/>
      <c r="B746" s="1537" t="s">
        <v>3291</v>
      </c>
      <c r="C746" s="1954">
        <v>200.0</v>
      </c>
      <c r="D746" s="1956">
        <f t="shared" si="59"/>
        <v>150</v>
      </c>
      <c r="E746" s="1964"/>
      <c r="F746" s="1829" t="s">
        <v>18</v>
      </c>
      <c r="G746" s="2909" t="s">
        <v>3294</v>
      </c>
      <c r="H746" s="1"/>
      <c r="I746" s="1"/>
      <c r="J746" s="1"/>
      <c r="K746" s="1"/>
      <c r="L746" s="1"/>
      <c r="M746" s="1"/>
      <c r="N746" s="1"/>
      <c r="O746" s="1"/>
      <c r="P746" s="1"/>
      <c r="Q746" s="1"/>
      <c r="R746" s="1"/>
      <c r="S746" s="1"/>
    </row>
    <row r="747" ht="14.25" customHeight="1">
      <c r="A747" s="1112"/>
      <c r="B747" s="2910" t="s">
        <v>3298</v>
      </c>
      <c r="C747" s="2911">
        <v>400.0</v>
      </c>
      <c r="D747" s="2912">
        <f t="shared" si="59"/>
        <v>300</v>
      </c>
      <c r="E747" s="2913"/>
      <c r="F747" s="2914" t="s">
        <v>18</v>
      </c>
      <c r="H747" s="1"/>
      <c r="I747" s="1"/>
      <c r="J747" s="1"/>
      <c r="K747" s="1"/>
      <c r="L747" s="1"/>
      <c r="M747" s="1"/>
      <c r="N747" s="1"/>
      <c r="O747" s="1"/>
      <c r="P747" s="1"/>
      <c r="Q747" s="1"/>
      <c r="R747" s="1"/>
      <c r="S747" s="1"/>
    </row>
    <row r="748" ht="14.25" customHeight="1">
      <c r="A748" s="1112"/>
      <c r="B748" s="898" t="s">
        <v>2150</v>
      </c>
      <c r="C748" s="2759">
        <v>50.0</v>
      </c>
      <c r="D748" s="2590">
        <f t="shared" si="59"/>
        <v>37.5</v>
      </c>
      <c r="E748" s="2591"/>
      <c r="F748" s="1302" t="s">
        <v>18</v>
      </c>
      <c r="H748" s="1"/>
      <c r="I748" s="1"/>
      <c r="J748" s="1"/>
      <c r="K748" s="1"/>
      <c r="L748" s="1"/>
      <c r="M748" s="1"/>
      <c r="N748" s="1"/>
      <c r="O748" s="1"/>
      <c r="P748" s="1"/>
      <c r="Q748" s="1"/>
      <c r="R748" s="1"/>
      <c r="S748" s="1"/>
    </row>
    <row r="749" ht="14.25" customHeight="1">
      <c r="A749" s="1112"/>
      <c r="B749" s="898" t="s">
        <v>884</v>
      </c>
      <c r="C749" s="2759">
        <v>40.0</v>
      </c>
      <c r="D749" s="2590">
        <f t="shared" si="59"/>
        <v>30</v>
      </c>
      <c r="E749" s="2591"/>
      <c r="F749" s="1302" t="s">
        <v>18</v>
      </c>
      <c r="H749" s="1"/>
      <c r="I749" s="1"/>
      <c r="J749" s="1"/>
      <c r="K749" s="1"/>
      <c r="L749" s="1"/>
      <c r="M749" s="1"/>
      <c r="N749" s="1"/>
      <c r="O749" s="1"/>
      <c r="P749" s="1"/>
      <c r="Q749" s="1"/>
      <c r="R749" s="1"/>
      <c r="S749" s="1"/>
    </row>
    <row r="750" ht="14.25" customHeight="1">
      <c r="A750" s="1112"/>
      <c r="B750" s="898" t="s">
        <v>102</v>
      </c>
      <c r="C750" s="2759">
        <v>50.0</v>
      </c>
      <c r="D750" s="2590">
        <f t="shared" si="59"/>
        <v>37.5</v>
      </c>
      <c r="E750" s="2591"/>
      <c r="F750" s="1302" t="s">
        <v>18</v>
      </c>
      <c r="H750" s="1"/>
      <c r="I750" s="1"/>
      <c r="J750" s="1"/>
      <c r="K750" s="1"/>
      <c r="L750" s="1"/>
      <c r="M750" s="1"/>
      <c r="N750" s="1"/>
      <c r="O750" s="1"/>
      <c r="P750" s="1"/>
      <c r="Q750" s="1"/>
      <c r="R750" s="1"/>
      <c r="S750" s="1"/>
    </row>
    <row r="751" ht="14.25" customHeight="1">
      <c r="A751" s="1112"/>
      <c r="B751" s="898" t="s">
        <v>210</v>
      </c>
      <c r="C751" s="2759">
        <v>25.0</v>
      </c>
      <c r="D751" s="2590">
        <f t="shared" si="59"/>
        <v>18.75</v>
      </c>
      <c r="E751" s="2591"/>
      <c r="F751" s="1302" t="s">
        <v>18</v>
      </c>
      <c r="H751" s="1"/>
      <c r="I751" s="1"/>
      <c r="J751" s="1"/>
      <c r="K751" s="1"/>
      <c r="L751" s="1"/>
      <c r="M751" s="1"/>
      <c r="N751" s="1"/>
      <c r="O751" s="1"/>
      <c r="P751" s="1"/>
      <c r="Q751" s="1"/>
      <c r="R751" s="1"/>
      <c r="S751" s="1"/>
    </row>
    <row r="752" ht="14.25" customHeight="1">
      <c r="A752" s="1112"/>
      <c r="B752" s="898" t="s">
        <v>96</v>
      </c>
      <c r="C752" s="2759">
        <v>8.0</v>
      </c>
      <c r="D752" s="2590">
        <f t="shared" si="59"/>
        <v>6</v>
      </c>
      <c r="E752" s="2591"/>
      <c r="F752" s="1302" t="s">
        <v>18</v>
      </c>
      <c r="H752" s="1"/>
      <c r="I752" s="1"/>
      <c r="J752" s="1"/>
      <c r="K752" s="1"/>
      <c r="L752" s="1"/>
      <c r="M752" s="1"/>
      <c r="N752" s="1"/>
      <c r="O752" s="1"/>
      <c r="P752" s="1"/>
      <c r="Q752" s="1"/>
      <c r="R752" s="1"/>
      <c r="S752" s="1"/>
    </row>
    <row r="753" ht="14.25" customHeight="1">
      <c r="A753" s="1112"/>
      <c r="B753" s="1151" t="s">
        <v>95</v>
      </c>
      <c r="C753" s="2762">
        <v>25.0</v>
      </c>
      <c r="D753" s="2593">
        <f t="shared" si="59"/>
        <v>18.75</v>
      </c>
      <c r="E753" s="2594"/>
      <c r="F753" s="1722" t="s">
        <v>18</v>
      </c>
      <c r="G753" s="104"/>
      <c r="H753" s="1"/>
      <c r="I753" s="1"/>
      <c r="J753" s="1"/>
      <c r="K753" s="1"/>
      <c r="L753" s="1"/>
      <c r="M753" s="1"/>
      <c r="N753" s="1"/>
      <c r="O753" s="1"/>
      <c r="P753" s="1"/>
      <c r="Q753" s="1"/>
      <c r="R753" s="1"/>
      <c r="S753" s="1"/>
    </row>
    <row r="754" ht="14.25" customHeight="1">
      <c r="A754" s="1112"/>
      <c r="B754" s="119" t="s">
        <v>1091</v>
      </c>
      <c r="C754" s="238">
        <v>200.0</v>
      </c>
      <c r="D754" s="2595">
        <f t="shared" si="59"/>
        <v>150</v>
      </c>
      <c r="E754" s="2596"/>
      <c r="F754" s="520" t="s">
        <v>18</v>
      </c>
      <c r="G754" s="44" t="s">
        <v>3309</v>
      </c>
      <c r="H754" s="1"/>
      <c r="I754" s="1"/>
      <c r="J754" s="1"/>
      <c r="K754" s="1"/>
      <c r="L754" s="1"/>
      <c r="M754" s="1"/>
      <c r="N754" s="1"/>
      <c r="O754" s="1"/>
      <c r="P754" s="1"/>
      <c r="Q754" s="1"/>
      <c r="R754" s="1"/>
      <c r="S754" s="1"/>
    </row>
    <row r="755" ht="14.25" customHeight="1">
      <c r="A755" s="1112"/>
      <c r="B755" s="93" t="s">
        <v>1092</v>
      </c>
      <c r="C755" s="195">
        <v>50.0</v>
      </c>
      <c r="D755" s="2590">
        <f t="shared" si="59"/>
        <v>37.5</v>
      </c>
      <c r="E755" s="2591"/>
      <c r="F755" s="249" t="s">
        <v>14</v>
      </c>
      <c r="G755" s="47"/>
      <c r="H755" s="1"/>
      <c r="I755" s="1"/>
      <c r="J755" s="1"/>
      <c r="K755" s="1"/>
      <c r="L755" s="1"/>
      <c r="M755" s="1"/>
      <c r="N755" s="1"/>
      <c r="O755" s="1"/>
      <c r="P755" s="1"/>
      <c r="Q755" s="1"/>
      <c r="R755" s="1"/>
      <c r="S755" s="1"/>
    </row>
    <row r="756" ht="14.25" customHeight="1">
      <c r="A756" s="1112"/>
      <c r="B756" s="105" t="s">
        <v>3083</v>
      </c>
      <c r="C756" s="200">
        <v>200.0</v>
      </c>
      <c r="D756" s="2593">
        <f t="shared" si="59"/>
        <v>150</v>
      </c>
      <c r="E756" s="2594"/>
      <c r="F756" s="518" t="s">
        <v>18</v>
      </c>
      <c r="G756" s="76"/>
      <c r="H756" s="1"/>
      <c r="I756" s="1"/>
      <c r="J756" s="1"/>
      <c r="K756" s="1"/>
      <c r="L756" s="1"/>
      <c r="M756" s="1"/>
      <c r="N756" s="1"/>
      <c r="O756" s="1"/>
      <c r="P756" s="1"/>
      <c r="Q756" s="1"/>
      <c r="R756" s="1"/>
      <c r="S756" s="1"/>
    </row>
    <row r="757" ht="14.25" customHeight="1">
      <c r="A757" s="1112"/>
      <c r="B757" s="119" t="s">
        <v>1027</v>
      </c>
      <c r="C757" s="238">
        <v>250.0</v>
      </c>
      <c r="D757" s="2595">
        <f t="shared" si="59"/>
        <v>187.5</v>
      </c>
      <c r="E757" s="2596"/>
      <c r="F757" s="520" t="s">
        <v>18</v>
      </c>
      <c r="G757" s="44" t="s">
        <v>3310</v>
      </c>
      <c r="H757" s="1"/>
      <c r="I757" s="1"/>
      <c r="J757" s="1"/>
      <c r="K757" s="1"/>
      <c r="L757" s="1"/>
      <c r="M757" s="1"/>
      <c r="N757" s="1"/>
      <c r="O757" s="1"/>
      <c r="P757" s="1"/>
      <c r="Q757" s="1"/>
      <c r="R757" s="1"/>
      <c r="S757" s="1"/>
    </row>
    <row r="758" ht="14.25" customHeight="1">
      <c r="A758" s="1"/>
      <c r="B758" s="93" t="s">
        <v>105</v>
      </c>
      <c r="C758" s="195">
        <v>150.0</v>
      </c>
      <c r="D758" s="2595">
        <f t="shared" si="59"/>
        <v>112.5</v>
      </c>
      <c r="E758" s="2596"/>
      <c r="F758" s="249" t="s">
        <v>18</v>
      </c>
      <c r="G758" s="47"/>
      <c r="H758" s="1"/>
      <c r="I758" s="1"/>
      <c r="J758" s="1"/>
      <c r="K758" s="1"/>
      <c r="L758" s="1"/>
      <c r="M758" s="1"/>
      <c r="N758" s="1"/>
      <c r="O758" s="1"/>
      <c r="P758" s="1"/>
      <c r="Q758" s="1"/>
      <c r="R758" s="1"/>
      <c r="S758" s="1"/>
    </row>
    <row r="759" ht="14.25" customHeight="1">
      <c r="A759" s="1"/>
      <c r="B759" s="93" t="s">
        <v>13</v>
      </c>
      <c r="C759" s="195">
        <v>2.0</v>
      </c>
      <c r="D759" s="2595">
        <f t="shared" si="59"/>
        <v>1.5</v>
      </c>
      <c r="E759" s="2596"/>
      <c r="F759" s="249" t="s">
        <v>14</v>
      </c>
      <c r="G759" s="47"/>
      <c r="H759" s="1"/>
      <c r="I759" s="1"/>
      <c r="J759" s="1"/>
      <c r="K759" s="1"/>
      <c r="L759" s="1"/>
      <c r="M759" s="1"/>
      <c r="N759" s="1"/>
      <c r="O759" s="1"/>
      <c r="P759" s="1"/>
      <c r="Q759" s="1"/>
      <c r="R759" s="1"/>
      <c r="S759" s="1"/>
    </row>
    <row r="760" ht="14.25" customHeight="1">
      <c r="A760" s="2915"/>
      <c r="B760" s="138" t="s">
        <v>31</v>
      </c>
      <c r="C760" s="279">
        <v>600.0</v>
      </c>
      <c r="D760" s="2917">
        <f t="shared" si="59"/>
        <v>450</v>
      </c>
      <c r="E760" s="2918"/>
      <c r="F760" s="242" t="s">
        <v>18</v>
      </c>
      <c r="G760" s="76"/>
      <c r="H760" s="1"/>
      <c r="I760" s="1"/>
      <c r="J760" s="1"/>
      <c r="K760" s="1"/>
      <c r="L760" s="1"/>
      <c r="M760" s="1"/>
      <c r="N760" s="1"/>
      <c r="O760" s="1"/>
      <c r="P760" s="1"/>
      <c r="Q760" s="1"/>
      <c r="R760" s="1"/>
      <c r="S760" s="1"/>
    </row>
    <row r="761" ht="14.25" customHeight="1">
      <c r="A761" s="1112"/>
      <c r="B761" s="68" t="s">
        <v>288</v>
      </c>
      <c r="C761" s="145">
        <v>125.0</v>
      </c>
      <c r="D761" s="2584">
        <f t="shared" si="59"/>
        <v>93.75</v>
      </c>
      <c r="E761" s="2585"/>
      <c r="F761" s="216" t="s">
        <v>18</v>
      </c>
      <c r="G761" s="140" t="s">
        <v>3311</v>
      </c>
      <c r="H761" s="1"/>
      <c r="I761" s="1"/>
      <c r="J761" s="1"/>
      <c r="K761" s="1"/>
      <c r="L761" s="1"/>
      <c r="M761" s="1"/>
      <c r="N761" s="1"/>
      <c r="O761" s="1"/>
      <c r="P761" s="1"/>
      <c r="Q761" s="1"/>
      <c r="R761" s="1"/>
      <c r="S761" s="1"/>
    </row>
    <row r="762" ht="14.25" customHeight="1">
      <c r="A762" s="1112"/>
      <c r="B762" s="93" t="s">
        <v>1588</v>
      </c>
      <c r="C762" s="195">
        <v>3.0</v>
      </c>
      <c r="D762" s="2590">
        <f t="shared" si="59"/>
        <v>2.25</v>
      </c>
      <c r="E762" s="2591"/>
      <c r="F762" s="249" t="s">
        <v>5</v>
      </c>
      <c r="H762" s="1"/>
      <c r="I762" s="1"/>
      <c r="J762" s="1"/>
      <c r="K762" s="1"/>
      <c r="L762" s="1"/>
      <c r="M762" s="1"/>
      <c r="N762" s="1"/>
      <c r="O762" s="1"/>
      <c r="P762" s="1"/>
      <c r="Q762" s="1"/>
      <c r="R762" s="1"/>
      <c r="S762" s="1"/>
    </row>
    <row r="763" ht="14.25" customHeight="1">
      <c r="A763" s="1112"/>
      <c r="B763" s="1539" t="s">
        <v>3313</v>
      </c>
      <c r="C763" s="2458">
        <v>5.0</v>
      </c>
      <c r="D763" s="2921">
        <f t="shared" si="59"/>
        <v>3.75</v>
      </c>
      <c r="E763" s="2922"/>
      <c r="F763" s="2923" t="s">
        <v>5</v>
      </c>
      <c r="G763" s="104"/>
      <c r="H763" s="1"/>
      <c r="I763" s="1"/>
      <c r="J763" s="1"/>
      <c r="K763" s="1"/>
      <c r="L763" s="1"/>
      <c r="M763" s="1"/>
      <c r="N763" s="1"/>
      <c r="O763" s="1"/>
      <c r="P763" s="1"/>
      <c r="Q763" s="1"/>
      <c r="R763" s="1"/>
      <c r="S763" s="1"/>
    </row>
    <row r="764" ht="14.25" customHeight="1">
      <c r="A764" s="1112"/>
      <c r="B764" s="2331" t="s">
        <v>3314</v>
      </c>
      <c r="C764" s="5"/>
      <c r="D764" s="5"/>
      <c r="E764" s="5"/>
      <c r="F764" s="6"/>
      <c r="G764" s="1"/>
      <c r="H764" s="1"/>
      <c r="I764" s="1"/>
      <c r="J764" s="1"/>
      <c r="K764" s="1"/>
      <c r="L764" s="1"/>
      <c r="M764" s="1"/>
      <c r="N764" s="1"/>
      <c r="O764" s="1"/>
      <c r="P764" s="1"/>
      <c r="Q764" s="1"/>
      <c r="R764" s="1"/>
      <c r="S764" s="1"/>
    </row>
    <row r="765" ht="14.25" customHeight="1">
      <c r="A765" s="1112"/>
      <c r="B765" s="102"/>
      <c r="C765" s="104"/>
      <c r="D765" s="104"/>
      <c r="E765" s="104"/>
      <c r="F765" s="106"/>
      <c r="G765" s="1"/>
      <c r="H765" s="1"/>
      <c r="I765" s="1"/>
      <c r="J765" s="1"/>
      <c r="K765" s="1"/>
      <c r="L765" s="1"/>
      <c r="M765" s="1"/>
      <c r="N765" s="1"/>
      <c r="O765" s="1"/>
      <c r="P765" s="1"/>
      <c r="Q765" s="1"/>
      <c r="R765" s="1"/>
      <c r="S765" s="1"/>
    </row>
    <row r="766" ht="14.25" customHeight="1">
      <c r="A766" s="1112"/>
      <c r="B766" s="299" t="s">
        <v>119</v>
      </c>
      <c r="C766" s="183" t="s">
        <v>47</v>
      </c>
      <c r="D766" s="1127"/>
      <c r="E766" s="1127"/>
      <c r="F766" s="243"/>
      <c r="G766" s="1"/>
      <c r="H766" s="1"/>
      <c r="I766" s="1"/>
      <c r="J766" s="1"/>
      <c r="K766" s="1"/>
      <c r="L766" s="1"/>
      <c r="M766" s="1"/>
      <c r="N766" s="1"/>
      <c r="O766" s="1"/>
      <c r="P766" s="1"/>
      <c r="Q766" s="1"/>
      <c r="R766" s="1"/>
      <c r="S766" s="1"/>
    </row>
    <row r="767" ht="14.25" customHeight="1">
      <c r="A767" s="1112"/>
      <c r="B767" s="90" t="s">
        <v>120</v>
      </c>
      <c r="C767" s="1188">
        <v>41522.0</v>
      </c>
      <c r="D767" s="1838"/>
      <c r="E767" s="1838"/>
      <c r="F767" s="1"/>
      <c r="G767" s="1"/>
      <c r="H767" s="1"/>
      <c r="I767" s="1"/>
      <c r="J767" s="1"/>
      <c r="K767" s="1"/>
      <c r="L767" s="1"/>
      <c r="M767" s="1"/>
      <c r="N767" s="1"/>
      <c r="O767" s="1"/>
      <c r="P767" s="1"/>
      <c r="Q767" s="1"/>
      <c r="R767" s="1"/>
      <c r="S767" s="1"/>
    </row>
    <row r="768" ht="14.25" customHeight="1">
      <c r="A768" s="1112"/>
      <c r="B768" s="305" t="s">
        <v>50</v>
      </c>
      <c r="C768" s="1188">
        <v>41776.0</v>
      </c>
      <c r="D768" s="1838"/>
      <c r="E768" s="1838"/>
      <c r="F768" s="1"/>
      <c r="G768" s="1"/>
      <c r="H768" s="1"/>
      <c r="I768" s="1"/>
      <c r="J768" s="1"/>
      <c r="K768" s="1"/>
      <c r="L768" s="1"/>
      <c r="M768" s="1"/>
      <c r="N768" s="1"/>
      <c r="O768" s="1"/>
      <c r="P768" s="1"/>
      <c r="Q768" s="1"/>
      <c r="R768" s="1"/>
      <c r="S768" s="1"/>
    </row>
    <row r="769" ht="14.25" customHeight="1">
      <c r="A769" s="1112"/>
      <c r="B769" s="1"/>
      <c r="C769" s="107"/>
      <c r="D769" s="184"/>
      <c r="E769" s="184"/>
      <c r="F769" s="1"/>
      <c r="G769" s="1112"/>
      <c r="H769" s="1"/>
      <c r="I769" s="1"/>
      <c r="J769" s="1"/>
      <c r="K769" s="1"/>
      <c r="L769" s="1"/>
      <c r="M769" s="1"/>
      <c r="N769" s="1"/>
      <c r="O769" s="1"/>
      <c r="P769" s="1"/>
      <c r="Q769" s="1"/>
      <c r="R769" s="1"/>
      <c r="S769" s="1"/>
    </row>
    <row r="770" ht="14.25" customHeight="1">
      <c r="A770" s="1112"/>
      <c r="B770" s="511" t="s">
        <v>948</v>
      </c>
      <c r="C770" s="18"/>
      <c r="D770" s="18"/>
      <c r="E770" s="18"/>
      <c r="F770" s="19"/>
      <c r="G770" s="1"/>
      <c r="H770" s="1"/>
      <c r="I770" s="1"/>
      <c r="J770" s="1"/>
      <c r="K770" s="1"/>
      <c r="L770" s="1"/>
      <c r="M770" s="1"/>
      <c r="N770" s="1"/>
      <c r="O770" s="1"/>
      <c r="P770" s="1"/>
      <c r="Q770" s="1"/>
      <c r="R770" s="1"/>
      <c r="S770" s="1"/>
    </row>
    <row r="771" ht="14.25" customHeight="1">
      <c r="A771" s="1112"/>
      <c r="B771" s="2692" t="s">
        <v>1</v>
      </c>
      <c r="C771" s="2927">
        <v>100.0</v>
      </c>
      <c r="D771" s="2928">
        <v>365.0</v>
      </c>
      <c r="E771" s="2929"/>
      <c r="F771" s="547" t="s">
        <v>5</v>
      </c>
      <c r="G771" s="1"/>
      <c r="H771" s="1"/>
      <c r="I771" s="1"/>
      <c r="J771" s="1"/>
      <c r="K771" s="1"/>
      <c r="L771" s="1"/>
      <c r="M771" s="1"/>
      <c r="N771" s="1"/>
      <c r="O771" s="1"/>
      <c r="P771" s="1"/>
      <c r="Q771" s="1"/>
      <c r="R771" s="1"/>
      <c r="S771" s="1"/>
    </row>
    <row r="772" ht="14.25" customHeight="1">
      <c r="A772" s="1112"/>
      <c r="B772" s="119" t="s">
        <v>3319</v>
      </c>
      <c r="C772" s="238">
        <v>35.0</v>
      </c>
      <c r="D772" s="129">
        <f t="shared" ref="D772:D789" si="60">D771/C771*C772</f>
        <v>127.75</v>
      </c>
      <c r="E772" s="1583"/>
      <c r="F772" s="520" t="s">
        <v>14</v>
      </c>
      <c r="G772" s="1"/>
      <c r="H772" s="1"/>
      <c r="I772" s="1"/>
      <c r="J772" s="1"/>
      <c r="K772" s="1"/>
      <c r="L772" s="1"/>
      <c r="M772" s="1"/>
      <c r="N772" s="1"/>
      <c r="O772" s="1"/>
      <c r="P772" s="1"/>
      <c r="Q772" s="1"/>
      <c r="R772" s="1"/>
      <c r="S772" s="1"/>
    </row>
    <row r="773" ht="14.25" customHeight="1">
      <c r="A773" s="1112"/>
      <c r="B773" s="93" t="s">
        <v>329</v>
      </c>
      <c r="C773" s="195">
        <v>10.0</v>
      </c>
      <c r="D773" s="78">
        <f t="shared" si="60"/>
        <v>36.5</v>
      </c>
      <c r="E773" s="900"/>
      <c r="F773" s="249" t="s">
        <v>14</v>
      </c>
      <c r="G773" s="1"/>
      <c r="H773" s="1"/>
      <c r="I773" s="1"/>
      <c r="J773" s="1"/>
      <c r="K773" s="1"/>
      <c r="L773" s="1"/>
      <c r="M773" s="1"/>
      <c r="N773" s="1"/>
      <c r="O773" s="1"/>
      <c r="P773" s="1"/>
      <c r="Q773" s="1"/>
      <c r="R773" s="1"/>
      <c r="S773" s="1"/>
    </row>
    <row r="774" ht="14.25" customHeight="1">
      <c r="A774" s="1112"/>
      <c r="B774" s="93" t="s">
        <v>1024</v>
      </c>
      <c r="C774" s="195">
        <v>25.0</v>
      </c>
      <c r="D774" s="78">
        <f t="shared" si="60"/>
        <v>91.25</v>
      </c>
      <c r="E774" s="900"/>
      <c r="F774" s="249" t="s">
        <v>14</v>
      </c>
      <c r="G774" s="1"/>
      <c r="H774" s="1"/>
      <c r="I774" s="1"/>
      <c r="J774" s="1"/>
      <c r="K774" s="1"/>
      <c r="L774" s="1"/>
      <c r="M774" s="1"/>
      <c r="N774" s="1"/>
      <c r="O774" s="1"/>
      <c r="P774" s="1"/>
      <c r="Q774" s="1"/>
      <c r="R774" s="1"/>
      <c r="S774" s="1"/>
    </row>
    <row r="775" ht="14.25" customHeight="1">
      <c r="A775" s="1112"/>
      <c r="B775" s="93" t="s">
        <v>79</v>
      </c>
      <c r="C775" s="195">
        <v>35.0</v>
      </c>
      <c r="D775" s="78">
        <f t="shared" si="60"/>
        <v>127.75</v>
      </c>
      <c r="E775" s="900"/>
      <c r="F775" s="249" t="s">
        <v>14</v>
      </c>
      <c r="G775" s="1"/>
      <c r="H775" s="1"/>
      <c r="I775" s="1"/>
      <c r="J775" s="1"/>
      <c r="K775" s="1"/>
      <c r="L775" s="1"/>
      <c r="M775" s="1"/>
      <c r="N775" s="1"/>
      <c r="O775" s="1"/>
      <c r="P775" s="1"/>
      <c r="Q775" s="1"/>
      <c r="R775" s="1"/>
      <c r="S775" s="1"/>
    </row>
    <row r="776" ht="14.25" customHeight="1">
      <c r="A776" s="1112"/>
      <c r="B776" s="93" t="s">
        <v>2292</v>
      </c>
      <c r="C776" s="195">
        <v>3.5</v>
      </c>
      <c r="D776" s="78">
        <f t="shared" si="60"/>
        <v>12.775</v>
      </c>
      <c r="E776" s="900"/>
      <c r="F776" s="249" t="s">
        <v>5</v>
      </c>
      <c r="G776" s="1"/>
      <c r="H776" s="1"/>
      <c r="I776" s="1"/>
      <c r="J776" s="1"/>
      <c r="K776" s="1"/>
      <c r="L776" s="1"/>
      <c r="M776" s="1"/>
      <c r="N776" s="1"/>
      <c r="O776" s="1"/>
      <c r="P776" s="1"/>
      <c r="Q776" s="1"/>
      <c r="R776" s="1"/>
      <c r="S776" s="1"/>
    </row>
    <row r="777" ht="14.25" customHeight="1">
      <c r="A777" s="1112"/>
      <c r="B777" s="93" t="s">
        <v>2358</v>
      </c>
      <c r="C777" s="195">
        <v>160.0</v>
      </c>
      <c r="D777" s="78">
        <f t="shared" si="60"/>
        <v>584</v>
      </c>
      <c r="E777" s="900"/>
      <c r="F777" s="249" t="s">
        <v>18</v>
      </c>
      <c r="G777" s="1"/>
      <c r="H777" s="1"/>
      <c r="I777" s="1"/>
      <c r="J777" s="1"/>
      <c r="K777" s="1"/>
      <c r="L777" s="1"/>
      <c r="M777" s="1"/>
      <c r="N777" s="1"/>
      <c r="O777" s="1"/>
      <c r="P777" s="1"/>
      <c r="Q777" s="1"/>
      <c r="R777" s="1"/>
      <c r="S777" s="1"/>
    </row>
    <row r="778" ht="14.25" customHeight="1">
      <c r="A778" s="1112"/>
      <c r="B778" s="93" t="s">
        <v>636</v>
      </c>
      <c r="C778" s="279">
        <v>0.8</v>
      </c>
      <c r="D778" s="146">
        <f t="shared" si="60"/>
        <v>2.92</v>
      </c>
      <c r="E778" s="1607"/>
      <c r="F778" s="242" t="s">
        <v>14</v>
      </c>
      <c r="G778" s="1"/>
      <c r="H778" s="1"/>
      <c r="I778" s="1"/>
      <c r="J778" s="1"/>
      <c r="K778" s="1"/>
      <c r="L778" s="1"/>
      <c r="M778" s="1"/>
      <c r="N778" s="1"/>
      <c r="O778" s="1"/>
      <c r="P778" s="1"/>
      <c r="Q778" s="1"/>
      <c r="R778" s="1"/>
      <c r="S778" s="1"/>
    </row>
    <row r="779" ht="14.25" customHeight="1">
      <c r="A779" s="1112"/>
      <c r="B779" s="68" t="s">
        <v>91</v>
      </c>
      <c r="C779" s="145">
        <v>1.5</v>
      </c>
      <c r="D779" s="155">
        <f t="shared" si="60"/>
        <v>5.475</v>
      </c>
      <c r="E779" s="899"/>
      <c r="F779" s="216" t="s">
        <v>5</v>
      </c>
      <c r="G779" s="2931" t="s">
        <v>1943</v>
      </c>
      <c r="H779" s="1"/>
      <c r="I779" s="1"/>
      <c r="J779" s="1"/>
      <c r="K779" s="1"/>
      <c r="L779" s="1"/>
      <c r="M779" s="1"/>
      <c r="N779" s="1"/>
      <c r="O779" s="1"/>
      <c r="P779" s="1"/>
      <c r="Q779" s="1"/>
      <c r="R779" s="1"/>
      <c r="S779" s="1"/>
    </row>
    <row r="780" ht="14.25" customHeight="1">
      <c r="A780" s="1112"/>
      <c r="B780" s="93" t="s">
        <v>1853</v>
      </c>
      <c r="C780" s="195">
        <v>0.75</v>
      </c>
      <c r="D780" s="521">
        <f t="shared" si="60"/>
        <v>2.7375</v>
      </c>
      <c r="E780" s="1653"/>
      <c r="F780" s="249" t="s">
        <v>14</v>
      </c>
      <c r="G780" s="66"/>
      <c r="H780" s="1"/>
      <c r="I780" s="1"/>
      <c r="J780" s="1"/>
      <c r="K780" s="1"/>
      <c r="L780" s="1"/>
      <c r="M780" s="1"/>
      <c r="N780" s="1"/>
      <c r="O780" s="1"/>
      <c r="P780" s="1"/>
      <c r="Q780" s="1"/>
      <c r="R780" s="1"/>
      <c r="S780" s="1"/>
    </row>
    <row r="781" ht="14.25" customHeight="1">
      <c r="A781" s="1112"/>
      <c r="B781" s="93" t="s">
        <v>98</v>
      </c>
      <c r="C781" s="195">
        <v>216.0</v>
      </c>
      <c r="D781" s="2932">
        <f t="shared" si="60"/>
        <v>788.4</v>
      </c>
      <c r="E781" s="2933"/>
      <c r="F781" s="249" t="s">
        <v>18</v>
      </c>
      <c r="G781" s="66"/>
      <c r="H781" s="1"/>
      <c r="I781" s="1"/>
      <c r="J781" s="1"/>
      <c r="K781" s="1"/>
      <c r="L781" s="1"/>
      <c r="M781" s="1"/>
      <c r="N781" s="1"/>
      <c r="O781" s="1"/>
      <c r="P781" s="1"/>
      <c r="Q781" s="1"/>
      <c r="R781" s="1"/>
      <c r="S781" s="1"/>
    </row>
    <row r="782" ht="14.25" customHeight="1">
      <c r="A782" s="1112"/>
      <c r="B782" s="93" t="s">
        <v>103</v>
      </c>
      <c r="C782" s="195">
        <v>205.0</v>
      </c>
      <c r="D782" s="2932">
        <f t="shared" si="60"/>
        <v>748.25</v>
      </c>
      <c r="E782" s="2933"/>
      <c r="F782" s="249" t="s">
        <v>18</v>
      </c>
      <c r="G782" s="66"/>
      <c r="H782" s="1"/>
      <c r="I782" s="1"/>
      <c r="J782" s="1"/>
      <c r="K782" s="1"/>
      <c r="L782" s="1"/>
      <c r="M782" s="1"/>
      <c r="N782" s="1"/>
      <c r="O782" s="1"/>
      <c r="P782" s="1"/>
      <c r="Q782" s="1"/>
      <c r="R782" s="1"/>
      <c r="S782" s="1"/>
    </row>
    <row r="783" ht="14.25" customHeight="1">
      <c r="A783" s="1112"/>
      <c r="B783" s="93" t="s">
        <v>208</v>
      </c>
      <c r="C783" s="195">
        <v>145.0</v>
      </c>
      <c r="D783" s="2932">
        <f t="shared" si="60"/>
        <v>529.25</v>
      </c>
      <c r="E783" s="2933"/>
      <c r="F783" s="249" t="s">
        <v>18</v>
      </c>
      <c r="G783" s="66"/>
      <c r="H783" s="1"/>
      <c r="I783" s="1"/>
      <c r="J783" s="1"/>
      <c r="K783" s="1"/>
      <c r="L783" s="1"/>
      <c r="M783" s="1"/>
      <c r="N783" s="1"/>
      <c r="O783" s="1"/>
      <c r="P783" s="1"/>
      <c r="Q783" s="1"/>
      <c r="R783" s="1"/>
      <c r="S783" s="1"/>
    </row>
    <row r="784" ht="14.25" customHeight="1">
      <c r="A784" s="2296"/>
      <c r="B784" s="93" t="s">
        <v>149</v>
      </c>
      <c r="C784" s="195">
        <v>600.0</v>
      </c>
      <c r="D784" s="2932">
        <f t="shared" si="60"/>
        <v>2190</v>
      </c>
      <c r="E784" s="2933"/>
      <c r="F784" s="352" t="s">
        <v>18</v>
      </c>
      <c r="G784" s="66"/>
      <c r="H784" s="1"/>
      <c r="I784" s="1"/>
      <c r="J784" s="1"/>
      <c r="K784" s="1"/>
      <c r="L784" s="1"/>
      <c r="M784" s="1"/>
      <c r="N784" s="1"/>
      <c r="O784" s="1"/>
      <c r="P784" s="1"/>
      <c r="Q784" s="1"/>
      <c r="R784" s="1"/>
      <c r="S784" s="1"/>
    </row>
    <row r="785" ht="14.25" customHeight="1">
      <c r="A785" s="2296"/>
      <c r="B785" s="93" t="s">
        <v>148</v>
      </c>
      <c r="C785" s="195">
        <v>450.0</v>
      </c>
      <c r="D785" s="2932">
        <f t="shared" si="60"/>
        <v>1642.5</v>
      </c>
      <c r="E785" s="2933"/>
      <c r="F785" s="352" t="s">
        <v>18</v>
      </c>
      <c r="G785" s="66"/>
      <c r="H785" s="1"/>
      <c r="I785" s="1"/>
      <c r="J785" s="1"/>
      <c r="K785" s="1"/>
      <c r="L785" s="1"/>
      <c r="M785" s="1"/>
      <c r="N785" s="1"/>
      <c r="O785" s="1"/>
      <c r="P785" s="1"/>
      <c r="Q785" s="1"/>
      <c r="R785" s="1"/>
      <c r="S785" s="1"/>
    </row>
    <row r="786" ht="14.25" customHeight="1">
      <c r="A786" s="2296"/>
      <c r="B786" s="93" t="s">
        <v>52</v>
      </c>
      <c r="C786" s="195">
        <v>160.0</v>
      </c>
      <c r="D786" s="2932">
        <f t="shared" si="60"/>
        <v>584</v>
      </c>
      <c r="E786" s="2933"/>
      <c r="F786" s="352" t="s">
        <v>18</v>
      </c>
      <c r="G786" s="66"/>
      <c r="H786" s="1"/>
      <c r="I786" s="1"/>
      <c r="J786" s="1"/>
      <c r="K786" s="1"/>
      <c r="L786" s="1"/>
      <c r="M786" s="1"/>
      <c r="N786" s="1"/>
      <c r="O786" s="1"/>
      <c r="P786" s="1"/>
      <c r="Q786" s="1"/>
      <c r="R786" s="1"/>
      <c r="S786" s="1"/>
    </row>
    <row r="787" ht="14.25" customHeight="1">
      <c r="A787" s="2296"/>
      <c r="B787" s="93" t="s">
        <v>2032</v>
      </c>
      <c r="C787" s="195">
        <v>57.0</v>
      </c>
      <c r="D787" s="2932">
        <f t="shared" si="60"/>
        <v>208.05</v>
      </c>
      <c r="E787" s="2933"/>
      <c r="F787" s="352" t="s">
        <v>18</v>
      </c>
      <c r="G787" s="66"/>
      <c r="H787" s="1"/>
      <c r="I787" s="1"/>
      <c r="J787" s="1"/>
      <c r="K787" s="1"/>
      <c r="L787" s="1"/>
      <c r="M787" s="1"/>
      <c r="N787" s="1"/>
      <c r="O787" s="1"/>
      <c r="P787" s="1"/>
      <c r="Q787" s="1"/>
      <c r="R787" s="1"/>
      <c r="S787" s="1"/>
    </row>
    <row r="788" ht="14.25" customHeight="1">
      <c r="A788" s="2296"/>
      <c r="B788" s="93" t="s">
        <v>167</v>
      </c>
      <c r="C788" s="195">
        <v>0.16</v>
      </c>
      <c r="D788" s="521">
        <f t="shared" si="60"/>
        <v>0.584</v>
      </c>
      <c r="E788" s="1653"/>
      <c r="F788" s="249" t="s">
        <v>5</v>
      </c>
      <c r="G788" s="66"/>
      <c r="H788" s="1"/>
      <c r="I788" s="1"/>
      <c r="J788" s="1"/>
      <c r="K788" s="1"/>
      <c r="L788" s="1"/>
      <c r="M788" s="1"/>
      <c r="N788" s="1"/>
      <c r="O788" s="1"/>
      <c r="P788" s="1"/>
      <c r="Q788" s="1"/>
      <c r="R788" s="1"/>
      <c r="S788" s="1"/>
    </row>
    <row r="789" ht="14.25" customHeight="1">
      <c r="A789" s="2296"/>
      <c r="B789" s="105" t="s">
        <v>114</v>
      </c>
      <c r="C789" s="200">
        <v>2.0</v>
      </c>
      <c r="D789" s="56">
        <f t="shared" si="60"/>
        <v>7.3</v>
      </c>
      <c r="E789" s="1604"/>
      <c r="F789" s="1475" t="s">
        <v>5</v>
      </c>
      <c r="G789" s="106"/>
      <c r="H789" s="1"/>
      <c r="I789" s="1"/>
      <c r="J789" s="1"/>
      <c r="K789" s="1"/>
      <c r="L789" s="1"/>
      <c r="M789" s="1"/>
      <c r="N789" s="1"/>
      <c r="O789" s="1"/>
      <c r="P789" s="1"/>
      <c r="Q789" s="1"/>
      <c r="R789" s="1"/>
      <c r="S789" s="1"/>
    </row>
    <row r="790" ht="14.25" customHeight="1">
      <c r="A790" s="1112"/>
      <c r="B790" s="2275" t="s">
        <v>119</v>
      </c>
      <c r="C790" s="1446" t="s">
        <v>47</v>
      </c>
      <c r="D790" s="184"/>
      <c r="E790" s="184"/>
      <c r="F790" s="1"/>
      <c r="G790" s="1"/>
      <c r="H790" s="1"/>
      <c r="I790" s="1"/>
      <c r="J790" s="1"/>
      <c r="K790" s="1"/>
      <c r="L790" s="1"/>
      <c r="M790" s="1"/>
      <c r="N790" s="1"/>
      <c r="O790" s="1"/>
      <c r="P790" s="1"/>
      <c r="Q790" s="1"/>
      <c r="R790" s="1"/>
      <c r="S790" s="1"/>
    </row>
    <row r="791" ht="14.25" customHeight="1">
      <c r="A791" s="1112"/>
      <c r="B791" s="1270"/>
      <c r="C791" s="2271"/>
      <c r="D791" s="184"/>
      <c r="E791" s="184"/>
      <c r="F791" s="1"/>
      <c r="G791" s="1112"/>
      <c r="H791" s="1"/>
      <c r="I791" s="1"/>
      <c r="J791" s="1"/>
      <c r="K791" s="1"/>
      <c r="L791" s="1"/>
      <c r="M791" s="1"/>
      <c r="N791" s="1"/>
      <c r="O791" s="1"/>
      <c r="P791" s="1"/>
      <c r="Q791" s="1"/>
      <c r="R791" s="1"/>
      <c r="S791" s="1"/>
    </row>
    <row r="792" ht="14.25" customHeight="1">
      <c r="A792" s="1112"/>
      <c r="B792" s="511" t="s">
        <v>961</v>
      </c>
      <c r="C792" s="18"/>
      <c r="D792" s="18"/>
      <c r="E792" s="18"/>
      <c r="F792" s="19"/>
      <c r="G792" s="312"/>
      <c r="H792" s="1"/>
      <c r="I792" s="2891" t="s">
        <v>3328</v>
      </c>
      <c r="J792" s="18"/>
      <c r="K792" s="18"/>
      <c r="L792" s="19"/>
      <c r="M792" s="2935"/>
      <c r="O792" s="1"/>
      <c r="P792" s="1"/>
      <c r="Q792" s="1"/>
      <c r="R792" s="1"/>
      <c r="S792" s="1"/>
    </row>
    <row r="793" ht="14.25" customHeight="1">
      <c r="A793" s="1112"/>
      <c r="B793" s="51" t="s">
        <v>1</v>
      </c>
      <c r="C793" s="190">
        <v>100.0</v>
      </c>
      <c r="D793" s="1274">
        <v>280.0</v>
      </c>
      <c r="E793" s="1576"/>
      <c r="F793" s="514" t="s">
        <v>5</v>
      </c>
      <c r="G793" s="44" t="s">
        <v>3329</v>
      </c>
      <c r="H793" s="1"/>
      <c r="I793" s="51" t="s">
        <v>1</v>
      </c>
      <c r="J793" s="190">
        <v>100.0</v>
      </c>
      <c r="K793" s="513">
        <v>26.0</v>
      </c>
      <c r="L793" s="514" t="s">
        <v>5</v>
      </c>
      <c r="M793" s="1"/>
      <c r="N793" s="1"/>
      <c r="O793" s="1"/>
      <c r="P793" s="1"/>
      <c r="Q793" s="1"/>
      <c r="R793" s="1"/>
      <c r="S793" s="1"/>
    </row>
    <row r="794" ht="14.25" customHeight="1">
      <c r="A794" s="1112"/>
      <c r="B794" s="68" t="s">
        <v>91</v>
      </c>
      <c r="C794" s="145">
        <v>2.5</v>
      </c>
      <c r="D794" s="516">
        <f t="shared" ref="D794:D819" si="61">(C794*D793)/C793</f>
        <v>7</v>
      </c>
      <c r="E794" s="1652"/>
      <c r="F794" s="216" t="s">
        <v>5</v>
      </c>
      <c r="G794" s="47"/>
      <c r="H794" s="1"/>
      <c r="I794" s="68" t="s">
        <v>91</v>
      </c>
      <c r="J794" s="145">
        <v>2.5</v>
      </c>
      <c r="K794" s="516">
        <f t="shared" ref="K794:K818" si="62">(J794*K793)/J793</f>
        <v>0.65</v>
      </c>
      <c r="L794" s="216" t="s">
        <v>5</v>
      </c>
      <c r="M794" s="1"/>
      <c r="N794" s="1"/>
      <c r="O794" s="1"/>
      <c r="P794" s="1"/>
      <c r="Q794" s="1"/>
      <c r="R794" s="1"/>
      <c r="S794" s="1"/>
    </row>
    <row r="795" ht="14.25" customHeight="1">
      <c r="A795" s="1112"/>
      <c r="B795" s="93" t="s">
        <v>150</v>
      </c>
      <c r="C795" s="23">
        <v>10.0</v>
      </c>
      <c r="D795" s="521">
        <f t="shared" si="61"/>
        <v>28</v>
      </c>
      <c r="E795" s="1653"/>
      <c r="F795" s="249" t="s">
        <v>14</v>
      </c>
      <c r="G795" s="47"/>
      <c r="H795" s="1"/>
      <c r="I795" s="93" t="s">
        <v>150</v>
      </c>
      <c r="J795" s="23">
        <v>12.0</v>
      </c>
      <c r="K795" s="521">
        <f t="shared" si="62"/>
        <v>3.12</v>
      </c>
      <c r="L795" s="249" t="s">
        <v>14</v>
      </c>
      <c r="M795" s="1"/>
      <c r="N795" s="1"/>
      <c r="O795" s="1"/>
      <c r="P795" s="1"/>
      <c r="Q795" s="1"/>
      <c r="R795" s="1"/>
      <c r="S795" s="1"/>
    </row>
    <row r="796" ht="14.25" customHeight="1">
      <c r="A796" s="1112"/>
      <c r="B796" s="93" t="s">
        <v>2690</v>
      </c>
      <c r="C796" s="23">
        <v>10.0</v>
      </c>
      <c r="D796" s="521">
        <f t="shared" si="61"/>
        <v>28</v>
      </c>
      <c r="E796" s="1653"/>
      <c r="F796" s="249" t="s">
        <v>14</v>
      </c>
      <c r="G796" s="47"/>
      <c r="H796" s="1"/>
      <c r="I796" s="93" t="s">
        <v>2690</v>
      </c>
      <c r="J796" s="23">
        <v>15.0</v>
      </c>
      <c r="K796" s="521">
        <f t="shared" si="62"/>
        <v>3.9</v>
      </c>
      <c r="L796" s="249" t="s">
        <v>14</v>
      </c>
      <c r="M796" s="1"/>
      <c r="N796" s="1"/>
      <c r="O796" s="1"/>
      <c r="P796" s="1"/>
      <c r="Q796" s="1"/>
      <c r="R796" s="1"/>
      <c r="S796" s="1"/>
    </row>
    <row r="797" ht="14.25" customHeight="1">
      <c r="A797" s="1112"/>
      <c r="B797" s="93" t="s">
        <v>2683</v>
      </c>
      <c r="C797" s="23">
        <v>20.0</v>
      </c>
      <c r="D797" s="521">
        <f t="shared" si="61"/>
        <v>56</v>
      </c>
      <c r="E797" s="1653"/>
      <c r="F797" s="249" t="s">
        <v>14</v>
      </c>
      <c r="G797" s="47"/>
      <c r="H797" s="1"/>
      <c r="I797" s="93" t="s">
        <v>2683</v>
      </c>
      <c r="J797" s="23">
        <v>25.0</v>
      </c>
      <c r="K797" s="521">
        <f t="shared" si="62"/>
        <v>6.5</v>
      </c>
      <c r="L797" s="249" t="s">
        <v>14</v>
      </c>
      <c r="M797" s="1"/>
      <c r="N797" s="1"/>
      <c r="O797" s="1"/>
      <c r="P797" s="1"/>
      <c r="Q797" s="1"/>
      <c r="R797" s="1"/>
      <c r="S797" s="1"/>
    </row>
    <row r="798" ht="14.25" customHeight="1">
      <c r="A798" s="1112"/>
      <c r="B798" s="1626" t="s">
        <v>2317</v>
      </c>
      <c r="C798" s="23">
        <v>20.0</v>
      </c>
      <c r="D798" s="521">
        <f t="shared" si="61"/>
        <v>56</v>
      </c>
      <c r="E798" s="1653"/>
      <c r="F798" s="249" t="s">
        <v>14</v>
      </c>
      <c r="G798" s="47"/>
      <c r="H798" s="1"/>
      <c r="I798" s="93" t="s">
        <v>153</v>
      </c>
      <c r="J798" s="23">
        <v>13.0</v>
      </c>
      <c r="K798" s="521">
        <f t="shared" si="62"/>
        <v>3.38</v>
      </c>
      <c r="L798" s="249" t="s">
        <v>14</v>
      </c>
      <c r="M798" s="1"/>
      <c r="N798" s="1"/>
      <c r="O798" s="1"/>
      <c r="P798" s="1"/>
      <c r="Q798" s="1"/>
      <c r="R798" s="1"/>
      <c r="S798" s="1"/>
    </row>
    <row r="799" ht="14.25" customHeight="1">
      <c r="A799" s="1112"/>
      <c r="B799" s="93" t="s">
        <v>153</v>
      </c>
      <c r="C799" s="23">
        <v>10.0</v>
      </c>
      <c r="D799" s="521">
        <f t="shared" si="61"/>
        <v>28</v>
      </c>
      <c r="E799" s="1653"/>
      <c r="F799" s="249" t="s">
        <v>14</v>
      </c>
      <c r="G799" s="47"/>
      <c r="H799" s="1"/>
      <c r="I799" s="93" t="s">
        <v>628</v>
      </c>
      <c r="J799" s="2936">
        <v>7.0</v>
      </c>
      <c r="K799" s="521">
        <f t="shared" si="62"/>
        <v>1.82</v>
      </c>
      <c r="L799" s="249" t="s">
        <v>14</v>
      </c>
      <c r="M799" s="1"/>
      <c r="N799" s="1"/>
      <c r="O799" s="1"/>
      <c r="P799" s="1"/>
      <c r="Q799" s="1"/>
      <c r="R799" s="1"/>
      <c r="S799" s="1"/>
    </row>
    <row r="800" ht="14.25" customHeight="1">
      <c r="A800" s="1112"/>
      <c r="B800" s="93" t="s">
        <v>628</v>
      </c>
      <c r="C800" s="2936">
        <v>5.0</v>
      </c>
      <c r="D800" s="521">
        <f t="shared" si="61"/>
        <v>14</v>
      </c>
      <c r="E800" s="1653"/>
      <c r="F800" s="249" t="s">
        <v>14</v>
      </c>
      <c r="G800" s="47"/>
      <c r="H800" s="1"/>
      <c r="I800" s="105" t="s">
        <v>329</v>
      </c>
      <c r="J800" s="709">
        <v>13.0</v>
      </c>
      <c r="K800" s="517">
        <f t="shared" si="62"/>
        <v>3.38</v>
      </c>
      <c r="L800" s="518" t="s">
        <v>14</v>
      </c>
      <c r="M800" s="1"/>
      <c r="N800" s="1"/>
      <c r="O800" s="1"/>
      <c r="P800" s="1"/>
      <c r="Q800" s="1"/>
      <c r="R800" s="1"/>
      <c r="S800" s="1"/>
    </row>
    <row r="801" ht="14.25" customHeight="1">
      <c r="A801" s="1112"/>
      <c r="B801" s="105" t="s">
        <v>329</v>
      </c>
      <c r="C801" s="709">
        <v>10.0</v>
      </c>
      <c r="D801" s="517">
        <f t="shared" si="61"/>
        <v>28</v>
      </c>
      <c r="E801" s="1656"/>
      <c r="F801" s="518" t="s">
        <v>14</v>
      </c>
      <c r="G801" s="47"/>
      <c r="H801" s="1"/>
      <c r="I801" s="138" t="s">
        <v>31</v>
      </c>
      <c r="J801" s="279">
        <v>900.0</v>
      </c>
      <c r="K801" s="842">
        <f t="shared" si="62"/>
        <v>234</v>
      </c>
      <c r="L801" s="242" t="s">
        <v>18</v>
      </c>
      <c r="M801" s="1"/>
      <c r="N801" s="1"/>
      <c r="O801" s="1"/>
      <c r="P801" s="1"/>
      <c r="Q801" s="1"/>
      <c r="R801" s="1"/>
      <c r="S801" s="1"/>
    </row>
    <row r="802" ht="14.25" customHeight="1">
      <c r="A802" s="1112"/>
      <c r="B802" s="138" t="s">
        <v>31</v>
      </c>
      <c r="C802" s="279">
        <v>900.0</v>
      </c>
      <c r="D802" s="842">
        <f t="shared" si="61"/>
        <v>2520</v>
      </c>
      <c r="E802" s="1655"/>
      <c r="F802" s="242" t="s">
        <v>18</v>
      </c>
      <c r="G802" s="76"/>
      <c r="H802" s="1"/>
      <c r="I802" s="68" t="s">
        <v>91</v>
      </c>
      <c r="J802" s="145">
        <v>2.0</v>
      </c>
      <c r="K802" s="516">
        <f t="shared" si="62"/>
        <v>0.52</v>
      </c>
      <c r="L802" s="216" t="s">
        <v>5</v>
      </c>
      <c r="M802" s="1"/>
      <c r="N802" s="1"/>
      <c r="O802" s="1"/>
      <c r="P802" s="1"/>
      <c r="Q802" s="1"/>
      <c r="R802" s="1"/>
      <c r="S802" s="1"/>
    </row>
    <row r="803" ht="14.25" customHeight="1">
      <c r="A803" s="1112"/>
      <c r="B803" s="68" t="s">
        <v>91</v>
      </c>
      <c r="C803" s="145">
        <v>2.0</v>
      </c>
      <c r="D803" s="516">
        <f t="shared" si="61"/>
        <v>5.6</v>
      </c>
      <c r="E803" s="1652"/>
      <c r="F803" s="216" t="s">
        <v>5</v>
      </c>
      <c r="G803" s="44" t="s">
        <v>3333</v>
      </c>
      <c r="H803" s="1"/>
      <c r="I803" s="898" t="s">
        <v>97</v>
      </c>
      <c r="J803" s="195">
        <v>150.0</v>
      </c>
      <c r="K803" s="521">
        <f t="shared" si="62"/>
        <v>39</v>
      </c>
      <c r="L803" s="249" t="s">
        <v>18</v>
      </c>
      <c r="M803" s="1"/>
      <c r="N803" s="1"/>
      <c r="O803" s="1"/>
      <c r="P803" s="1"/>
      <c r="Q803" s="1"/>
      <c r="R803" s="1"/>
      <c r="S803" s="1"/>
    </row>
    <row r="804" ht="14.25" customHeight="1">
      <c r="A804" s="1112"/>
      <c r="B804" s="93" t="s">
        <v>97</v>
      </c>
      <c r="C804" s="195">
        <v>150.0</v>
      </c>
      <c r="D804" s="521">
        <f t="shared" si="61"/>
        <v>420</v>
      </c>
      <c r="E804" s="1653"/>
      <c r="F804" s="249" t="s">
        <v>18</v>
      </c>
      <c r="G804" s="47"/>
      <c r="H804" s="1"/>
      <c r="I804" s="2940" t="s">
        <v>103</v>
      </c>
      <c r="J804" s="279">
        <v>250.0</v>
      </c>
      <c r="K804" s="842">
        <f t="shared" si="62"/>
        <v>65</v>
      </c>
      <c r="L804" s="242" t="s">
        <v>18</v>
      </c>
      <c r="M804" s="1"/>
      <c r="N804" s="1"/>
      <c r="O804" s="1"/>
      <c r="P804" s="1"/>
      <c r="Q804" s="1"/>
      <c r="R804" s="1"/>
      <c r="S804" s="1"/>
    </row>
    <row r="805" ht="14.25" customHeight="1">
      <c r="A805" s="1112"/>
      <c r="B805" s="138" t="s">
        <v>103</v>
      </c>
      <c r="C805" s="279">
        <v>250.0</v>
      </c>
      <c r="D805" s="842">
        <f t="shared" si="61"/>
        <v>700</v>
      </c>
      <c r="E805" s="1655"/>
      <c r="F805" s="242" t="s">
        <v>18</v>
      </c>
      <c r="G805" s="76"/>
      <c r="H805" s="1"/>
      <c r="I805" s="345" t="s">
        <v>92</v>
      </c>
      <c r="J805" s="145">
        <v>600.0</v>
      </c>
      <c r="K805" s="516">
        <f t="shared" si="62"/>
        <v>156</v>
      </c>
      <c r="L805" s="216" t="s">
        <v>18</v>
      </c>
      <c r="M805" s="1"/>
      <c r="N805" s="1"/>
      <c r="O805" s="1"/>
      <c r="P805" s="1"/>
      <c r="Q805" s="1"/>
      <c r="R805" s="1"/>
      <c r="S805" s="1"/>
    </row>
    <row r="806" ht="14.25" customHeight="1">
      <c r="A806" s="1112"/>
      <c r="B806" s="1058" t="s">
        <v>92</v>
      </c>
      <c r="C806" s="145">
        <v>600.0</v>
      </c>
      <c r="D806" s="516">
        <f t="shared" si="61"/>
        <v>1680</v>
      </c>
      <c r="E806" s="1652"/>
      <c r="F806" s="216" t="s">
        <v>18</v>
      </c>
      <c r="G806" s="44" t="s">
        <v>3335</v>
      </c>
      <c r="H806" s="1"/>
      <c r="I806" s="350" t="s">
        <v>179</v>
      </c>
      <c r="J806" s="195">
        <v>400.0</v>
      </c>
      <c r="K806" s="521">
        <f t="shared" si="62"/>
        <v>104</v>
      </c>
      <c r="L806" s="249" t="s">
        <v>18</v>
      </c>
      <c r="M806" s="1"/>
      <c r="N806" s="1"/>
      <c r="O806" s="1"/>
      <c r="P806" s="1"/>
      <c r="Q806" s="1"/>
      <c r="R806" s="1"/>
      <c r="S806" s="1"/>
    </row>
    <row r="807" ht="14.25" customHeight="1">
      <c r="A807" s="1112"/>
      <c r="B807" s="1061" t="s">
        <v>179</v>
      </c>
      <c r="C807" s="195">
        <v>400.0</v>
      </c>
      <c r="D807" s="521">
        <f t="shared" si="61"/>
        <v>1120</v>
      </c>
      <c r="E807" s="1653"/>
      <c r="F807" s="249" t="s">
        <v>18</v>
      </c>
      <c r="G807" s="47"/>
      <c r="H807" s="1"/>
      <c r="I807" s="93" t="s">
        <v>321</v>
      </c>
      <c r="J807" s="195">
        <v>200.0</v>
      </c>
      <c r="K807" s="521">
        <f t="shared" si="62"/>
        <v>52</v>
      </c>
      <c r="L807" s="249" t="s">
        <v>18</v>
      </c>
      <c r="M807" s="1"/>
      <c r="N807" s="1"/>
      <c r="O807" s="1"/>
      <c r="P807" s="1"/>
      <c r="Q807" s="1"/>
      <c r="R807" s="1"/>
      <c r="S807" s="1"/>
    </row>
    <row r="808" ht="14.25" customHeight="1">
      <c r="A808" s="1112"/>
      <c r="B808" s="93" t="s">
        <v>321</v>
      </c>
      <c r="C808" s="195">
        <v>200.0</v>
      </c>
      <c r="D808" s="521">
        <f t="shared" si="61"/>
        <v>560</v>
      </c>
      <c r="E808" s="1653"/>
      <c r="F808" s="249" t="s">
        <v>18</v>
      </c>
      <c r="G808" s="47"/>
      <c r="H808" s="1"/>
      <c r="I808" s="105" t="s">
        <v>3337</v>
      </c>
      <c r="J808" s="200">
        <v>2500.0</v>
      </c>
      <c r="K808" s="517">
        <f t="shared" si="62"/>
        <v>650</v>
      </c>
      <c r="L808" s="518" t="s">
        <v>18</v>
      </c>
      <c r="M808" s="1"/>
      <c r="N808" s="1"/>
      <c r="O808" s="1"/>
      <c r="P808" s="1"/>
      <c r="Q808" s="1"/>
      <c r="R808" s="1"/>
      <c r="S808" s="1"/>
    </row>
    <row r="809" ht="14.25" customHeight="1">
      <c r="A809" s="1112"/>
      <c r="B809" s="105" t="s">
        <v>3337</v>
      </c>
      <c r="C809" s="200">
        <v>2500.0</v>
      </c>
      <c r="D809" s="517">
        <f t="shared" si="61"/>
        <v>7000</v>
      </c>
      <c r="E809" s="1656"/>
      <c r="F809" s="518" t="s">
        <v>18</v>
      </c>
      <c r="G809" s="76"/>
      <c r="H809" s="1"/>
      <c r="I809" s="119" t="s">
        <v>52</v>
      </c>
      <c r="J809" s="238">
        <v>200.0</v>
      </c>
      <c r="K809" s="519">
        <f t="shared" si="62"/>
        <v>52</v>
      </c>
      <c r="L809" s="520" t="s">
        <v>18</v>
      </c>
      <c r="M809" s="1"/>
      <c r="N809" s="1"/>
      <c r="O809" s="1"/>
      <c r="P809" s="1"/>
      <c r="Q809" s="1"/>
      <c r="R809" s="1"/>
      <c r="S809" s="1"/>
    </row>
    <row r="810" ht="14.25" customHeight="1">
      <c r="A810" s="1112"/>
      <c r="B810" s="119" t="s">
        <v>52</v>
      </c>
      <c r="C810" s="238">
        <v>200.0</v>
      </c>
      <c r="D810" s="519">
        <f t="shared" si="61"/>
        <v>560</v>
      </c>
      <c r="E810" s="1657"/>
      <c r="F810" s="520" t="s">
        <v>18</v>
      </c>
      <c r="G810" s="44" t="s">
        <v>3339</v>
      </c>
      <c r="H810" s="1"/>
      <c r="I810" s="138" t="s">
        <v>1092</v>
      </c>
      <c r="J810" s="279">
        <v>30.0</v>
      </c>
      <c r="K810" s="842">
        <f t="shared" si="62"/>
        <v>7.8</v>
      </c>
      <c r="L810" s="242" t="s">
        <v>14</v>
      </c>
      <c r="M810" s="1"/>
      <c r="N810" s="1"/>
      <c r="O810" s="1"/>
      <c r="P810" s="1"/>
      <c r="Q810" s="1"/>
      <c r="R810" s="1"/>
      <c r="S810" s="1"/>
    </row>
    <row r="811" ht="14.25" customHeight="1">
      <c r="A811" s="1112"/>
      <c r="B811" s="138" t="s">
        <v>1092</v>
      </c>
      <c r="C811" s="279">
        <v>30.0</v>
      </c>
      <c r="D811" s="842">
        <f t="shared" si="61"/>
        <v>84</v>
      </c>
      <c r="E811" s="1655"/>
      <c r="F811" s="242" t="s">
        <v>14</v>
      </c>
      <c r="G811" s="76"/>
      <c r="H811" s="1"/>
      <c r="I811" s="68" t="s">
        <v>3340</v>
      </c>
      <c r="J811" s="145">
        <v>200.0</v>
      </c>
      <c r="K811" s="516">
        <f t="shared" si="62"/>
        <v>52</v>
      </c>
      <c r="L811" s="216" t="s">
        <v>18</v>
      </c>
      <c r="M811" s="1"/>
      <c r="N811" s="1"/>
      <c r="O811" s="1"/>
      <c r="P811" s="1"/>
      <c r="Q811" s="1"/>
      <c r="R811" s="1"/>
      <c r="S811" s="1"/>
    </row>
    <row r="812" ht="14.25" customHeight="1">
      <c r="A812" s="1"/>
      <c r="B812" s="68" t="s">
        <v>3340</v>
      </c>
      <c r="C812" s="145">
        <v>200.0</v>
      </c>
      <c r="D812" s="516">
        <f t="shared" si="61"/>
        <v>560</v>
      </c>
      <c r="E812" s="1652"/>
      <c r="F812" s="216" t="s">
        <v>18</v>
      </c>
      <c r="G812" s="44" t="s">
        <v>3341</v>
      </c>
      <c r="H812" s="1"/>
      <c r="I812" s="93" t="s">
        <v>1027</v>
      </c>
      <c r="J812" s="195">
        <v>200.0</v>
      </c>
      <c r="K812" s="521">
        <f t="shared" si="62"/>
        <v>52</v>
      </c>
      <c r="L812" s="249" t="s">
        <v>18</v>
      </c>
      <c r="M812" s="1"/>
      <c r="N812" s="1"/>
      <c r="O812" s="1"/>
      <c r="P812" s="1"/>
      <c r="Q812" s="1"/>
      <c r="R812" s="1"/>
      <c r="S812" s="1"/>
    </row>
    <row r="813" ht="14.25" customHeight="1">
      <c r="A813" s="1"/>
      <c r="B813" s="93" t="s">
        <v>1027</v>
      </c>
      <c r="C813" s="195">
        <v>200.0</v>
      </c>
      <c r="D813" s="521">
        <f t="shared" si="61"/>
        <v>560</v>
      </c>
      <c r="E813" s="1653"/>
      <c r="F813" s="249" t="s">
        <v>18</v>
      </c>
      <c r="G813" s="47"/>
      <c r="H813" s="1"/>
      <c r="I813" s="93" t="s">
        <v>105</v>
      </c>
      <c r="J813" s="195">
        <v>150.0</v>
      </c>
      <c r="K813" s="521">
        <f t="shared" si="62"/>
        <v>39</v>
      </c>
      <c r="L813" s="249" t="s">
        <v>18</v>
      </c>
      <c r="M813" s="1"/>
      <c r="N813" s="1"/>
      <c r="O813" s="1"/>
      <c r="P813" s="1"/>
      <c r="Q813" s="1"/>
      <c r="R813" s="1"/>
      <c r="S813" s="1"/>
    </row>
    <row r="814" ht="14.25" customHeight="1">
      <c r="A814" s="1112"/>
      <c r="B814" s="93" t="s">
        <v>105</v>
      </c>
      <c r="C814" s="195">
        <v>150.0</v>
      </c>
      <c r="D814" s="521">
        <f t="shared" si="61"/>
        <v>420</v>
      </c>
      <c r="E814" s="1653"/>
      <c r="F814" s="249" t="s">
        <v>18</v>
      </c>
      <c r="G814" s="47"/>
      <c r="H814" s="1"/>
      <c r="I814" s="93" t="s">
        <v>856</v>
      </c>
      <c r="J814" s="195">
        <v>0.1</v>
      </c>
      <c r="K814" s="521">
        <f t="shared" si="62"/>
        <v>0.026</v>
      </c>
      <c r="L814" s="249" t="s">
        <v>14</v>
      </c>
      <c r="M814" s="1"/>
      <c r="N814" s="1"/>
      <c r="O814" s="1"/>
      <c r="P814" s="1"/>
      <c r="Q814" s="1"/>
      <c r="R814" s="1"/>
      <c r="S814" s="1"/>
    </row>
    <row r="815" ht="14.25" customHeight="1">
      <c r="A815" s="1112"/>
      <c r="B815" s="93" t="s">
        <v>856</v>
      </c>
      <c r="C815" s="195">
        <v>0.1</v>
      </c>
      <c r="D815" s="521">
        <f t="shared" si="61"/>
        <v>0.28</v>
      </c>
      <c r="E815" s="1653"/>
      <c r="F815" s="249" t="s">
        <v>14</v>
      </c>
      <c r="G815" s="47"/>
      <c r="H815" s="1"/>
      <c r="I815" s="105" t="s">
        <v>31</v>
      </c>
      <c r="J815" s="200">
        <v>300.0</v>
      </c>
      <c r="K815" s="517">
        <f t="shared" si="62"/>
        <v>78</v>
      </c>
      <c r="L815" s="518" t="s">
        <v>18</v>
      </c>
      <c r="M815" s="1"/>
      <c r="N815" s="1"/>
      <c r="O815" s="1"/>
      <c r="P815" s="1"/>
      <c r="Q815" s="1"/>
      <c r="R815" s="1"/>
      <c r="S815" s="1"/>
    </row>
    <row r="816" ht="14.25" customHeight="1">
      <c r="A816" s="1112"/>
      <c r="B816" s="105" t="s">
        <v>31</v>
      </c>
      <c r="C816" s="200">
        <v>300.0</v>
      </c>
      <c r="D816" s="517">
        <f t="shared" si="61"/>
        <v>840</v>
      </c>
      <c r="E816" s="1656"/>
      <c r="F816" s="518" t="s">
        <v>18</v>
      </c>
      <c r="G816" s="76"/>
      <c r="H816" s="1"/>
      <c r="I816" s="119" t="s">
        <v>288</v>
      </c>
      <c r="J816" s="238">
        <v>200.0</v>
      </c>
      <c r="K816" s="519">
        <f t="shared" si="62"/>
        <v>52</v>
      </c>
      <c r="L816" s="520" t="s">
        <v>18</v>
      </c>
      <c r="M816" s="1"/>
      <c r="N816" s="1"/>
      <c r="O816" s="1"/>
      <c r="P816" s="1"/>
      <c r="Q816" s="1"/>
      <c r="R816" s="1"/>
      <c r="S816" s="1"/>
    </row>
    <row r="817" ht="14.25" customHeight="1">
      <c r="A817" s="1112"/>
      <c r="B817" s="119" t="s">
        <v>288</v>
      </c>
      <c r="C817" s="238">
        <v>200.0</v>
      </c>
      <c r="D817" s="519">
        <f t="shared" si="61"/>
        <v>560</v>
      </c>
      <c r="E817" s="1657"/>
      <c r="F817" s="520" t="s">
        <v>18</v>
      </c>
      <c r="G817" s="44" t="s">
        <v>3342</v>
      </c>
      <c r="H817" s="1"/>
      <c r="I817" s="93" t="s">
        <v>1588</v>
      </c>
      <c r="J817" s="195">
        <v>4.0</v>
      </c>
      <c r="K817" s="519">
        <f t="shared" si="62"/>
        <v>1.04</v>
      </c>
      <c r="L817" s="249" t="s">
        <v>5</v>
      </c>
      <c r="M817" s="1"/>
      <c r="N817" s="1"/>
      <c r="O817" s="1"/>
      <c r="P817" s="1"/>
      <c r="Q817" s="1"/>
      <c r="R817" s="1"/>
      <c r="S817" s="1"/>
    </row>
    <row r="818" ht="14.25" customHeight="1">
      <c r="A818" s="1112"/>
      <c r="B818" s="93" t="s">
        <v>1588</v>
      </c>
      <c r="C818" s="195">
        <v>4.0</v>
      </c>
      <c r="D818" s="519">
        <f t="shared" si="61"/>
        <v>11.2</v>
      </c>
      <c r="E818" s="1657"/>
      <c r="F818" s="249" t="s">
        <v>5</v>
      </c>
      <c r="G818" s="47"/>
      <c r="H818" s="1"/>
      <c r="I818" s="105" t="s">
        <v>2715</v>
      </c>
      <c r="J818" s="200">
        <v>1.0</v>
      </c>
      <c r="K818" s="517">
        <f t="shared" si="62"/>
        <v>0.26</v>
      </c>
      <c r="L818" s="518" t="s">
        <v>14</v>
      </c>
      <c r="M818" s="1"/>
      <c r="N818" s="1"/>
      <c r="O818" s="1"/>
      <c r="P818" s="1"/>
      <c r="Q818" s="1"/>
      <c r="R818" s="1"/>
      <c r="S818" s="1"/>
    </row>
    <row r="819" ht="14.25" customHeight="1">
      <c r="A819" s="1112"/>
      <c r="B819" s="105" t="s">
        <v>2715</v>
      </c>
      <c r="C819" s="200">
        <v>1.0</v>
      </c>
      <c r="D819" s="517">
        <f t="shared" si="61"/>
        <v>2.8</v>
      </c>
      <c r="E819" s="1656"/>
      <c r="F819" s="518" t="s">
        <v>14</v>
      </c>
      <c r="G819" s="76"/>
      <c r="H819" s="1"/>
      <c r="I819" s="1"/>
      <c r="J819" s="1"/>
      <c r="K819" s="1"/>
      <c r="L819" s="1"/>
      <c r="M819" s="1"/>
      <c r="N819" s="1"/>
      <c r="O819" s="1"/>
      <c r="P819" s="1"/>
      <c r="Q819" s="1"/>
      <c r="R819" s="1"/>
      <c r="S819" s="1"/>
    </row>
    <row r="820" ht="14.25" customHeight="1">
      <c r="A820" s="1112"/>
      <c r="B820" s="1873" t="s">
        <v>119</v>
      </c>
      <c r="C820" s="258" t="s">
        <v>47</v>
      </c>
      <c r="D820" s="184"/>
      <c r="E820" s="184"/>
      <c r="F820" s="1"/>
      <c r="G820" s="1"/>
      <c r="H820" s="1"/>
      <c r="I820" s="1"/>
      <c r="J820" s="1"/>
      <c r="K820" s="1"/>
      <c r="L820" s="1"/>
      <c r="M820" s="1"/>
      <c r="N820" s="1"/>
      <c r="O820" s="1"/>
      <c r="P820" s="1"/>
      <c r="Q820" s="1"/>
      <c r="R820" s="1"/>
      <c r="S820" s="1"/>
    </row>
    <row r="821" ht="15.0" customHeight="1">
      <c r="A821" s="1112"/>
      <c r="B821" s="2944" t="s">
        <v>3344</v>
      </c>
      <c r="C821" s="5"/>
      <c r="D821" s="5"/>
      <c r="E821" s="5"/>
      <c r="F821" s="5"/>
      <c r="G821" s="6"/>
      <c r="H821" s="1"/>
      <c r="I821" s="1"/>
      <c r="J821" s="1"/>
      <c r="K821" s="1"/>
      <c r="L821" s="1"/>
      <c r="M821" s="1"/>
      <c r="N821" s="1"/>
      <c r="O821" s="1"/>
      <c r="P821" s="1"/>
      <c r="Q821" s="1"/>
      <c r="R821" s="1"/>
      <c r="S821" s="1"/>
    </row>
    <row r="822" ht="15.75" customHeight="1">
      <c r="A822" s="1112"/>
      <c r="B822" s="102"/>
      <c r="C822" s="104"/>
      <c r="D822" s="104"/>
      <c r="E822" s="104"/>
      <c r="F822" s="104"/>
      <c r="G822" s="106"/>
      <c r="H822" s="1"/>
      <c r="I822" s="1"/>
      <c r="J822" s="1"/>
      <c r="K822" s="1"/>
      <c r="L822" s="1"/>
      <c r="M822" s="1"/>
      <c r="N822" s="1"/>
      <c r="O822" s="1"/>
      <c r="P822" s="1"/>
      <c r="Q822" s="1"/>
      <c r="R822" s="1"/>
      <c r="S822" s="1"/>
    </row>
    <row r="823" ht="14.25" customHeight="1">
      <c r="A823" s="1112"/>
      <c r="B823" s="305" t="s">
        <v>120</v>
      </c>
      <c r="C823" s="804">
        <v>41347.0</v>
      </c>
      <c r="D823" s="1838"/>
      <c r="E823" s="1838"/>
      <c r="F823" s="1"/>
      <c r="G823" s="1"/>
      <c r="H823" s="1"/>
      <c r="I823" s="1"/>
      <c r="J823" s="1"/>
      <c r="K823" s="1"/>
      <c r="L823" s="1"/>
      <c r="M823" s="1"/>
      <c r="N823" s="1"/>
      <c r="O823" s="1"/>
      <c r="P823" s="1"/>
      <c r="Q823" s="1"/>
      <c r="R823" s="1"/>
      <c r="S823" s="1"/>
    </row>
    <row r="824" ht="14.25" customHeight="1">
      <c r="A824" s="1112"/>
      <c r="B824" s="305" t="s">
        <v>50</v>
      </c>
      <c r="C824" s="1188">
        <v>41786.0</v>
      </c>
      <c r="D824" s="1838"/>
      <c r="E824" s="1838"/>
      <c r="F824" s="1"/>
      <c r="G824" s="1"/>
      <c r="H824" s="1"/>
      <c r="I824" s="1"/>
      <c r="J824" s="1"/>
      <c r="K824" s="1"/>
      <c r="L824" s="1"/>
      <c r="M824" s="1"/>
      <c r="N824" s="1"/>
      <c r="O824" s="1"/>
      <c r="P824" s="1"/>
      <c r="Q824" s="1"/>
      <c r="R824" s="1"/>
      <c r="S824" s="1"/>
    </row>
    <row r="825" ht="14.25" customHeight="1">
      <c r="A825" s="1112"/>
      <c r="B825" s="1"/>
      <c r="C825" s="107"/>
      <c r="D825" s="184"/>
      <c r="E825" s="184"/>
      <c r="F825" s="1"/>
      <c r="G825" s="1"/>
      <c r="H825" s="1"/>
      <c r="I825" s="1"/>
      <c r="J825" s="1"/>
      <c r="K825" s="1"/>
      <c r="L825" s="1"/>
      <c r="M825" s="1"/>
      <c r="N825" s="1"/>
      <c r="O825" s="1"/>
      <c r="P825" s="1"/>
      <c r="Q825" s="1"/>
      <c r="R825" s="1"/>
      <c r="S825" s="1"/>
    </row>
    <row r="826" ht="14.25" customHeight="1">
      <c r="A826" s="1112"/>
      <c r="B826" s="2947" t="s">
        <v>967</v>
      </c>
      <c r="C826" s="18"/>
      <c r="D826" s="18"/>
      <c r="E826" s="18"/>
      <c r="F826" s="19"/>
      <c r="G826" s="1866"/>
      <c r="H826" s="1"/>
      <c r="I826" s="1"/>
      <c r="J826" s="1"/>
      <c r="K826" s="1"/>
      <c r="L826" s="1"/>
      <c r="M826" s="1"/>
      <c r="N826" s="1"/>
      <c r="O826" s="1"/>
      <c r="P826" s="1"/>
      <c r="Q826" s="1"/>
      <c r="R826" s="1"/>
      <c r="S826" s="1"/>
    </row>
    <row r="827" ht="14.25" customHeight="1">
      <c r="A827" s="1112"/>
      <c r="B827" s="2948" t="s">
        <v>1054</v>
      </c>
      <c r="C827" s="190">
        <v>100.0</v>
      </c>
      <c r="D827" s="513">
        <v>60.0</v>
      </c>
      <c r="E827" s="1576"/>
      <c r="F827" s="2949" t="s">
        <v>5</v>
      </c>
      <c r="G827" s="562"/>
      <c r="H827" s="1"/>
      <c r="I827" s="1"/>
      <c r="J827" s="1"/>
      <c r="K827" s="1"/>
      <c r="L827" s="1"/>
      <c r="M827" s="1"/>
      <c r="N827" s="1"/>
      <c r="O827" s="1"/>
      <c r="P827" s="1"/>
      <c r="Q827" s="1"/>
      <c r="R827" s="1"/>
      <c r="S827" s="1"/>
    </row>
    <row r="828" ht="14.25" customHeight="1">
      <c r="A828" s="1112"/>
      <c r="B828" s="2951" t="s">
        <v>3349</v>
      </c>
      <c r="C828" s="145">
        <v>21.0</v>
      </c>
      <c r="D828" s="155">
        <f t="shared" ref="D828:D845" si="63">(C828*D827)/C827</f>
        <v>12.6</v>
      </c>
      <c r="E828" s="899"/>
      <c r="F828" s="2952" t="s">
        <v>14</v>
      </c>
      <c r="G828" s="194" t="s">
        <v>3350</v>
      </c>
      <c r="H828" s="1"/>
      <c r="I828" s="1"/>
      <c r="J828" s="1"/>
      <c r="K828" s="1"/>
      <c r="L828" s="1"/>
      <c r="M828" s="1"/>
      <c r="N828" s="1"/>
      <c r="O828" s="1"/>
      <c r="P828" s="1"/>
      <c r="Q828" s="1"/>
      <c r="R828" s="1"/>
      <c r="S828" s="1"/>
    </row>
    <row r="829" ht="14.25" customHeight="1">
      <c r="A829" s="1112"/>
      <c r="B829" s="2953" t="s">
        <v>984</v>
      </c>
      <c r="C829" s="195">
        <v>15.0</v>
      </c>
      <c r="D829" s="78">
        <f t="shared" si="63"/>
        <v>9</v>
      </c>
      <c r="E829" s="900"/>
      <c r="F829" s="2954" t="s">
        <v>5</v>
      </c>
      <c r="G829" s="63"/>
      <c r="H829" s="1"/>
      <c r="I829" s="1"/>
      <c r="J829" s="1"/>
      <c r="K829" s="1"/>
      <c r="L829" s="1"/>
      <c r="M829" s="1"/>
      <c r="N829" s="1"/>
      <c r="O829" s="1"/>
      <c r="P829" s="1"/>
      <c r="Q829" s="1"/>
      <c r="R829" s="1"/>
      <c r="S829" s="1"/>
    </row>
    <row r="830" ht="14.25" customHeight="1">
      <c r="A830" s="1112"/>
      <c r="B830" s="2955" t="s">
        <v>31</v>
      </c>
      <c r="C830" s="200">
        <v>750.0</v>
      </c>
      <c r="D830" s="56">
        <f t="shared" si="63"/>
        <v>450</v>
      </c>
      <c r="E830" s="1604"/>
      <c r="F830" s="2956" t="s">
        <v>18</v>
      </c>
      <c r="G830" s="102"/>
      <c r="H830" s="1"/>
      <c r="I830" s="1"/>
      <c r="J830" s="1"/>
      <c r="K830" s="1"/>
      <c r="L830" s="1"/>
      <c r="M830" s="1"/>
      <c r="N830" s="1"/>
      <c r="O830" s="1"/>
      <c r="P830" s="1"/>
      <c r="Q830" s="1"/>
      <c r="R830" s="1"/>
      <c r="S830" s="1"/>
    </row>
    <row r="831" ht="14.25" customHeight="1">
      <c r="A831" s="1112"/>
      <c r="B831" s="2951" t="s">
        <v>3352</v>
      </c>
      <c r="C831" s="145">
        <v>2.5</v>
      </c>
      <c r="D831" s="155">
        <f t="shared" si="63"/>
        <v>1.5</v>
      </c>
      <c r="E831" s="899"/>
      <c r="F831" s="2952" t="s">
        <v>14</v>
      </c>
      <c r="G831" s="194" t="s">
        <v>3353</v>
      </c>
      <c r="H831" s="1"/>
      <c r="I831" s="1"/>
      <c r="J831" s="1"/>
      <c r="K831" s="1"/>
      <c r="L831" s="1"/>
      <c r="M831" s="1"/>
      <c r="N831" s="1"/>
      <c r="O831" s="1"/>
      <c r="P831" s="1"/>
      <c r="Q831" s="1"/>
      <c r="R831" s="1"/>
      <c r="S831" s="1"/>
    </row>
    <row r="832" ht="14.25" customHeight="1">
      <c r="A832" s="1112"/>
      <c r="B832" s="2958" t="s">
        <v>66</v>
      </c>
      <c r="C832" s="238">
        <v>20.0</v>
      </c>
      <c r="D832" s="129">
        <f t="shared" si="63"/>
        <v>12</v>
      </c>
      <c r="E832" s="1583"/>
      <c r="F832" s="2959" t="s">
        <v>18</v>
      </c>
      <c r="G832" s="63"/>
      <c r="H832" s="1"/>
      <c r="I832" s="1"/>
      <c r="J832" s="1"/>
      <c r="K832" s="1"/>
      <c r="L832" s="1"/>
      <c r="M832" s="1"/>
      <c r="N832" s="1"/>
      <c r="O832" s="1"/>
      <c r="P832" s="1"/>
      <c r="Q832" s="1"/>
      <c r="R832" s="1"/>
      <c r="S832" s="1"/>
    </row>
    <row r="833" ht="14.25" customHeight="1">
      <c r="A833" s="1112"/>
      <c r="B833" s="2953" t="s">
        <v>103</v>
      </c>
      <c r="C833" s="195">
        <v>150.0</v>
      </c>
      <c r="D833" s="78">
        <f t="shared" si="63"/>
        <v>90</v>
      </c>
      <c r="E833" s="900"/>
      <c r="F833" s="2954" t="s">
        <v>18</v>
      </c>
      <c r="G833" s="63"/>
      <c r="H833" s="1"/>
      <c r="I833" s="1"/>
      <c r="J833" s="1"/>
      <c r="K833" s="1"/>
      <c r="L833" s="1"/>
      <c r="M833" s="1"/>
      <c r="N833" s="1"/>
      <c r="O833" s="1"/>
      <c r="P833" s="1"/>
      <c r="Q833" s="1"/>
      <c r="R833" s="1"/>
      <c r="S833" s="1"/>
    </row>
    <row r="834" ht="14.25" customHeight="1">
      <c r="A834" s="1112"/>
      <c r="B834" s="2953" t="s">
        <v>1910</v>
      </c>
      <c r="C834" s="195">
        <v>150.0</v>
      </c>
      <c r="D834" s="78">
        <f t="shared" si="63"/>
        <v>90</v>
      </c>
      <c r="E834" s="900"/>
      <c r="F834" s="2954" t="s">
        <v>18</v>
      </c>
      <c r="G834" s="63"/>
      <c r="H834" s="1"/>
      <c r="I834" s="1"/>
      <c r="J834" s="1"/>
      <c r="K834" s="1"/>
      <c r="L834" s="1"/>
      <c r="M834" s="1"/>
      <c r="N834" s="1"/>
      <c r="O834" s="1"/>
      <c r="P834" s="1"/>
      <c r="Q834" s="1"/>
      <c r="R834" s="1"/>
      <c r="S834" s="1"/>
    </row>
    <row r="835" ht="14.25" customHeight="1">
      <c r="A835" s="1112"/>
      <c r="B835" s="2953" t="s">
        <v>52</v>
      </c>
      <c r="C835" s="195">
        <v>100.0</v>
      </c>
      <c r="D835" s="78">
        <f t="shared" si="63"/>
        <v>60</v>
      </c>
      <c r="E835" s="900"/>
      <c r="F835" s="2954" t="s">
        <v>18</v>
      </c>
      <c r="G835" s="63"/>
      <c r="H835" s="1"/>
      <c r="I835" s="1"/>
      <c r="J835" s="1"/>
      <c r="K835" s="1"/>
      <c r="L835" s="1"/>
      <c r="M835" s="1"/>
      <c r="N835" s="1"/>
      <c r="O835" s="1"/>
      <c r="P835" s="1"/>
      <c r="Q835" s="1"/>
      <c r="R835" s="1"/>
      <c r="S835" s="1"/>
    </row>
    <row r="836" ht="14.25" customHeight="1">
      <c r="A836" s="1112"/>
      <c r="B836" s="2955" t="s">
        <v>3356</v>
      </c>
      <c r="C836" s="200">
        <v>150.0</v>
      </c>
      <c r="D836" s="56">
        <f t="shared" si="63"/>
        <v>90</v>
      </c>
      <c r="E836" s="1604"/>
      <c r="F836" s="2956" t="s">
        <v>18</v>
      </c>
      <c r="G836" s="63"/>
      <c r="H836" s="1"/>
      <c r="I836" s="1"/>
      <c r="J836" s="1"/>
      <c r="K836" s="1"/>
      <c r="L836" s="1"/>
      <c r="M836" s="1"/>
      <c r="N836" s="1"/>
      <c r="O836" s="1"/>
      <c r="P836" s="1"/>
      <c r="Q836" s="1"/>
      <c r="R836" s="1"/>
      <c r="S836" s="1"/>
    </row>
    <row r="837" ht="14.25" customHeight="1">
      <c r="A837" s="1112"/>
      <c r="B837" s="2960" t="s">
        <v>3357</v>
      </c>
      <c r="C837" s="152">
        <v>35.0</v>
      </c>
      <c r="D837" s="274">
        <f t="shared" si="63"/>
        <v>21</v>
      </c>
      <c r="E837" s="1690"/>
      <c r="F837" s="2961" t="s">
        <v>14</v>
      </c>
      <c r="G837" s="102"/>
      <c r="H837" s="1"/>
      <c r="I837" s="1"/>
      <c r="J837" s="1"/>
      <c r="K837" s="1"/>
      <c r="L837" s="1"/>
      <c r="M837" s="1"/>
      <c r="N837" s="1"/>
      <c r="O837" s="1"/>
      <c r="P837" s="1"/>
      <c r="Q837" s="1"/>
      <c r="R837" s="1"/>
      <c r="S837" s="1"/>
    </row>
    <row r="838" ht="14.25" customHeight="1">
      <c r="A838" s="1112"/>
      <c r="B838" s="2951" t="s">
        <v>31</v>
      </c>
      <c r="C838" s="145">
        <v>500.0</v>
      </c>
      <c r="D838" s="155">
        <f t="shared" si="63"/>
        <v>300</v>
      </c>
      <c r="E838" s="899"/>
      <c r="F838" s="2952" t="s">
        <v>18</v>
      </c>
      <c r="G838" s="922" t="s">
        <v>3359</v>
      </c>
      <c r="H838" s="1"/>
      <c r="I838" s="1"/>
      <c r="J838" s="1"/>
      <c r="K838" s="1"/>
      <c r="L838" s="1"/>
      <c r="M838" s="1"/>
      <c r="N838" s="1"/>
      <c r="O838" s="1"/>
      <c r="P838" s="1"/>
      <c r="Q838" s="1"/>
      <c r="R838" s="1"/>
      <c r="S838" s="1"/>
    </row>
    <row r="839" ht="14.25" customHeight="1">
      <c r="A839" s="2964"/>
      <c r="B839" s="2953" t="s">
        <v>13</v>
      </c>
      <c r="C839" s="195">
        <v>1.6</v>
      </c>
      <c r="D839" s="78">
        <f t="shared" si="63"/>
        <v>0.96</v>
      </c>
      <c r="E839" s="900"/>
      <c r="F839" s="2954" t="s">
        <v>14</v>
      </c>
      <c r="G839" s="63"/>
      <c r="H839" s="1"/>
      <c r="I839" s="1"/>
      <c r="J839" s="1"/>
      <c r="K839" s="1"/>
      <c r="L839" s="1"/>
      <c r="M839" s="1"/>
      <c r="N839" s="1"/>
      <c r="O839" s="1"/>
      <c r="P839" s="1"/>
      <c r="Q839" s="1"/>
      <c r="R839" s="1"/>
      <c r="S839" s="1"/>
    </row>
    <row r="840" ht="14.25" customHeight="1">
      <c r="A840" s="1112"/>
      <c r="B840" s="2965" t="s">
        <v>3362</v>
      </c>
      <c r="C840" s="279">
        <v>100.0</v>
      </c>
      <c r="D840" s="146">
        <f t="shared" si="63"/>
        <v>60</v>
      </c>
      <c r="E840" s="1607"/>
      <c r="F840" s="2966" t="s">
        <v>18</v>
      </c>
      <c r="G840" s="63"/>
      <c r="H840" s="1"/>
      <c r="I840" s="1"/>
      <c r="J840" s="1"/>
      <c r="K840" s="1"/>
      <c r="L840" s="1"/>
      <c r="M840" s="1"/>
      <c r="N840" s="1"/>
      <c r="O840" s="1"/>
      <c r="P840" s="1"/>
      <c r="Q840" s="1"/>
      <c r="R840" s="1"/>
      <c r="S840" s="1"/>
    </row>
    <row r="841" ht="14.25" customHeight="1">
      <c r="A841" s="1112"/>
      <c r="B841" s="2955" t="s">
        <v>3364</v>
      </c>
      <c r="C841" s="200">
        <v>75.0</v>
      </c>
      <c r="D841" s="56">
        <f t="shared" si="63"/>
        <v>45</v>
      </c>
      <c r="E841" s="1604"/>
      <c r="F841" s="2956" t="s">
        <v>18</v>
      </c>
      <c r="G841" s="102"/>
      <c r="H841" s="1"/>
      <c r="I841" s="1"/>
      <c r="J841" s="1"/>
      <c r="K841" s="1"/>
      <c r="L841" s="1"/>
      <c r="M841" s="1"/>
      <c r="N841" s="1"/>
      <c r="O841" s="1"/>
      <c r="P841" s="1"/>
      <c r="Q841" s="1"/>
      <c r="R841" s="1"/>
      <c r="S841" s="1"/>
    </row>
    <row r="842" ht="14.25" customHeight="1">
      <c r="A842" s="1"/>
      <c r="B842" s="2967" t="s">
        <v>3365</v>
      </c>
      <c r="C842" s="418">
        <v>1500.0</v>
      </c>
      <c r="D842" s="542">
        <f t="shared" si="63"/>
        <v>900</v>
      </c>
      <c r="E842" s="1614"/>
      <c r="F842" s="2968" t="s">
        <v>18</v>
      </c>
      <c r="G842" s="1795" t="s">
        <v>3366</v>
      </c>
      <c r="H842" s="1"/>
      <c r="I842" s="1"/>
      <c r="J842" s="1"/>
      <c r="K842" s="1"/>
      <c r="L842" s="1"/>
      <c r="M842" s="1"/>
      <c r="N842" s="1"/>
      <c r="O842" s="1"/>
      <c r="P842" s="1"/>
      <c r="Q842" s="1"/>
      <c r="R842" s="1"/>
      <c r="S842" s="1"/>
    </row>
    <row r="843" ht="14.25" customHeight="1">
      <c r="A843" s="1"/>
      <c r="B843" s="2965" t="s">
        <v>3367</v>
      </c>
      <c r="C843" s="279">
        <v>3000.0</v>
      </c>
      <c r="D843" s="146">
        <f t="shared" si="63"/>
        <v>1800</v>
      </c>
      <c r="E843" s="1607"/>
      <c r="F843" s="2966" t="s">
        <v>18</v>
      </c>
      <c r="G843" s="102"/>
      <c r="H843" s="1"/>
      <c r="I843" s="1"/>
      <c r="J843" s="1"/>
      <c r="K843" s="1"/>
      <c r="L843" s="1"/>
      <c r="M843" s="1"/>
      <c r="N843" s="1"/>
      <c r="O843" s="1"/>
      <c r="P843" s="1"/>
      <c r="Q843" s="1"/>
      <c r="R843" s="1"/>
      <c r="S843" s="1"/>
    </row>
    <row r="844" ht="14.25" customHeight="1">
      <c r="A844" s="1"/>
      <c r="B844" s="2951" t="s">
        <v>3368</v>
      </c>
      <c r="C844" s="145">
        <v>2.0</v>
      </c>
      <c r="D844" s="155">
        <f t="shared" si="63"/>
        <v>1.2</v>
      </c>
      <c r="E844" s="899"/>
      <c r="F844" s="2952" t="s">
        <v>3369</v>
      </c>
      <c r="G844" s="1795" t="s">
        <v>3370</v>
      </c>
      <c r="H844" s="1"/>
      <c r="I844" s="1"/>
      <c r="J844" s="1"/>
      <c r="K844" s="1"/>
      <c r="L844" s="1"/>
      <c r="M844" s="1"/>
      <c r="N844" s="1"/>
      <c r="O844" s="1"/>
      <c r="P844" s="1"/>
      <c r="Q844" s="1"/>
      <c r="R844" s="1"/>
      <c r="S844" s="1"/>
    </row>
    <row r="845" ht="14.25" customHeight="1">
      <c r="A845" s="1"/>
      <c r="B845" s="2955" t="s">
        <v>1068</v>
      </c>
      <c r="C845" s="200">
        <v>0.5</v>
      </c>
      <c r="D845" s="56">
        <f t="shared" si="63"/>
        <v>0.3</v>
      </c>
      <c r="E845" s="1604"/>
      <c r="F845" s="2956" t="s">
        <v>5</v>
      </c>
      <c r="G845" s="102"/>
      <c r="H845" s="1"/>
      <c r="I845" s="1"/>
      <c r="J845" s="1"/>
      <c r="K845" s="1"/>
      <c r="L845" s="1"/>
      <c r="M845" s="1"/>
      <c r="N845" s="1"/>
      <c r="O845" s="1"/>
      <c r="P845" s="1"/>
      <c r="Q845" s="1"/>
      <c r="R845" s="1"/>
      <c r="S845" s="1"/>
    </row>
    <row r="846" ht="14.25" customHeight="1">
      <c r="A846" s="1"/>
      <c r="B846" s="1640" t="s">
        <v>119</v>
      </c>
      <c r="C846" s="183" t="s">
        <v>47</v>
      </c>
      <c r="D846" s="2969"/>
      <c r="E846" s="2969"/>
      <c r="F846" s="1"/>
      <c r="G846" s="1"/>
      <c r="H846" s="1"/>
      <c r="I846" s="1"/>
      <c r="J846" s="1"/>
      <c r="K846" s="1"/>
      <c r="L846" s="1"/>
      <c r="M846" s="1"/>
      <c r="N846" s="1"/>
      <c r="O846" s="1"/>
      <c r="P846" s="1"/>
      <c r="Q846" s="1"/>
      <c r="R846" s="1"/>
      <c r="S846" s="1"/>
    </row>
    <row r="847" ht="14.25" customHeight="1">
      <c r="A847" s="1"/>
      <c r="B847" s="1499" t="s">
        <v>49</v>
      </c>
      <c r="C847" s="2806">
        <v>41370.0</v>
      </c>
      <c r="D847" s="184"/>
      <c r="E847" s="184"/>
      <c r="F847" s="1"/>
      <c r="G847" s="1"/>
      <c r="H847" s="1"/>
      <c r="I847" s="1"/>
      <c r="J847" s="1"/>
      <c r="K847" s="1"/>
      <c r="L847" s="1"/>
      <c r="M847" s="1"/>
      <c r="N847" s="1"/>
      <c r="O847" s="1"/>
      <c r="P847" s="1"/>
      <c r="Q847" s="1"/>
      <c r="R847" s="1"/>
      <c r="S847" s="1"/>
    </row>
    <row r="848" ht="14.25" customHeight="1">
      <c r="A848" s="1"/>
      <c r="B848" s="664" t="s">
        <v>1486</v>
      </c>
      <c r="C848" s="2806">
        <v>41794.0</v>
      </c>
      <c r="D848" s="184"/>
      <c r="E848" s="184"/>
      <c r="F848" s="1"/>
      <c r="G848" s="1"/>
      <c r="H848" s="1"/>
      <c r="I848" s="1"/>
      <c r="J848" s="1"/>
      <c r="K848" s="1"/>
      <c r="L848" s="1"/>
      <c r="M848" s="1"/>
      <c r="N848" s="1"/>
      <c r="O848" s="1"/>
      <c r="P848" s="1"/>
      <c r="Q848" s="1"/>
      <c r="R848" s="1"/>
      <c r="S848" s="1"/>
    </row>
    <row r="849" ht="14.25" customHeight="1">
      <c r="A849" s="1"/>
      <c r="B849" s="1"/>
      <c r="C849" s="107"/>
      <c r="D849" s="184"/>
      <c r="E849" s="184"/>
      <c r="F849" s="1"/>
      <c r="G849" s="1"/>
      <c r="H849" s="1"/>
      <c r="I849" s="1"/>
      <c r="J849" s="1"/>
      <c r="K849" s="1"/>
      <c r="L849" s="1"/>
      <c r="M849" s="1"/>
      <c r="N849" s="1"/>
      <c r="O849" s="1"/>
      <c r="P849" s="1"/>
      <c r="Q849" s="1"/>
      <c r="R849" s="1"/>
      <c r="S849" s="1"/>
    </row>
    <row r="850" ht="14.25" customHeight="1">
      <c r="A850" s="1"/>
      <c r="B850" s="2973" t="s">
        <v>973</v>
      </c>
      <c r="C850" s="18"/>
      <c r="D850" s="18"/>
      <c r="E850" s="18"/>
      <c r="F850" s="19"/>
      <c r="G850" s="1866"/>
      <c r="H850" s="1"/>
      <c r="I850" s="1"/>
      <c r="J850" s="1"/>
      <c r="K850" s="1"/>
      <c r="L850" s="1"/>
      <c r="M850" s="1"/>
      <c r="N850" s="1"/>
      <c r="O850" s="1"/>
      <c r="P850" s="1"/>
      <c r="Q850" s="1"/>
      <c r="R850" s="1"/>
      <c r="S850" s="1"/>
    </row>
    <row r="851" ht="14.25" customHeight="1">
      <c r="A851" s="1"/>
      <c r="B851" s="2948" t="s">
        <v>1054</v>
      </c>
      <c r="C851" s="190">
        <v>100.0</v>
      </c>
      <c r="D851" s="513">
        <v>60.0</v>
      </c>
      <c r="E851" s="1576"/>
      <c r="F851" s="2949" t="s">
        <v>5</v>
      </c>
      <c r="G851" s="562"/>
      <c r="H851" s="1"/>
      <c r="I851" s="1"/>
      <c r="J851" s="1"/>
      <c r="K851" s="1"/>
      <c r="L851" s="1"/>
      <c r="M851" s="1"/>
      <c r="N851" s="1"/>
      <c r="O851" s="1"/>
      <c r="P851" s="1"/>
      <c r="Q851" s="1"/>
      <c r="R851" s="1"/>
      <c r="S851" s="1"/>
    </row>
    <row r="852" ht="14.25" customHeight="1">
      <c r="A852" s="1"/>
      <c r="B852" s="2951" t="s">
        <v>3349</v>
      </c>
      <c r="C852" s="145">
        <v>16.0</v>
      </c>
      <c r="D852" s="155">
        <f t="shared" ref="D852:D866" si="64">(C852*D851)/C851</f>
        <v>9.6</v>
      </c>
      <c r="E852" s="899"/>
      <c r="F852" s="2952" t="s">
        <v>14</v>
      </c>
      <c r="G852" s="44" t="s">
        <v>3350</v>
      </c>
      <c r="H852" s="1"/>
      <c r="I852" s="1"/>
      <c r="J852" s="1"/>
      <c r="K852" s="1"/>
      <c r="L852" s="1"/>
      <c r="M852" s="1"/>
      <c r="N852" s="1"/>
      <c r="O852" s="1"/>
      <c r="P852" s="1"/>
      <c r="Q852" s="1"/>
      <c r="R852" s="1"/>
      <c r="S852" s="1"/>
    </row>
    <row r="853" ht="14.25" customHeight="1">
      <c r="A853" s="1"/>
      <c r="B853" s="2953" t="s">
        <v>984</v>
      </c>
      <c r="C853" s="195">
        <v>10.0</v>
      </c>
      <c r="D853" s="78">
        <f t="shared" si="64"/>
        <v>6</v>
      </c>
      <c r="E853" s="900"/>
      <c r="F853" s="2954" t="s">
        <v>5</v>
      </c>
      <c r="G853" s="47"/>
      <c r="H853" s="1"/>
      <c r="I853" s="1"/>
      <c r="J853" s="1"/>
      <c r="K853" s="1"/>
      <c r="L853" s="1"/>
      <c r="M853" s="1"/>
      <c r="N853" s="1"/>
      <c r="O853" s="1"/>
      <c r="P853" s="1"/>
      <c r="Q853" s="1"/>
      <c r="R853" s="1"/>
      <c r="S853" s="1"/>
    </row>
    <row r="854" ht="14.25" customHeight="1">
      <c r="A854" s="1"/>
      <c r="B854" s="2955" t="s">
        <v>31</v>
      </c>
      <c r="C854" s="200">
        <v>600.0</v>
      </c>
      <c r="D854" s="56">
        <f t="shared" si="64"/>
        <v>360</v>
      </c>
      <c r="E854" s="1604"/>
      <c r="F854" s="2956" t="s">
        <v>18</v>
      </c>
      <c r="G854" s="76"/>
      <c r="H854" s="1"/>
      <c r="I854" s="1"/>
      <c r="J854" s="1"/>
      <c r="K854" s="1"/>
      <c r="L854" s="1"/>
      <c r="M854" s="1"/>
      <c r="N854" s="1"/>
      <c r="O854" s="1"/>
      <c r="P854" s="1"/>
      <c r="Q854" s="1"/>
      <c r="R854" s="1"/>
      <c r="S854" s="1"/>
    </row>
    <row r="855" ht="14.25" customHeight="1">
      <c r="A855" s="1"/>
      <c r="B855" s="2951" t="s">
        <v>3352</v>
      </c>
      <c r="C855" s="145">
        <v>2.5</v>
      </c>
      <c r="D855" s="155">
        <f t="shared" si="64"/>
        <v>1.5</v>
      </c>
      <c r="E855" s="899"/>
      <c r="F855" s="2952" t="s">
        <v>14</v>
      </c>
      <c r="G855" s="44" t="s">
        <v>3353</v>
      </c>
      <c r="H855" s="1"/>
      <c r="I855" s="1"/>
      <c r="J855" s="1"/>
      <c r="K855" s="1"/>
      <c r="L855" s="1"/>
      <c r="M855" s="1"/>
      <c r="N855" s="1"/>
      <c r="O855" s="1"/>
      <c r="P855" s="1"/>
      <c r="Q855" s="1"/>
      <c r="R855" s="1"/>
      <c r="S855" s="1"/>
    </row>
    <row r="856" ht="14.25" customHeight="1">
      <c r="A856" s="1"/>
      <c r="B856" s="2953" t="s">
        <v>103</v>
      </c>
      <c r="C856" s="195">
        <v>150.0</v>
      </c>
      <c r="D856" s="78">
        <f t="shared" si="64"/>
        <v>90</v>
      </c>
      <c r="E856" s="900"/>
      <c r="F856" s="2954" t="s">
        <v>18</v>
      </c>
      <c r="G856" s="47"/>
      <c r="H856" s="1"/>
      <c r="I856" s="1"/>
      <c r="J856" s="1"/>
      <c r="K856" s="1"/>
      <c r="L856" s="1"/>
      <c r="M856" s="1"/>
      <c r="N856" s="1"/>
      <c r="O856" s="1"/>
      <c r="P856" s="1"/>
      <c r="Q856" s="1"/>
      <c r="R856" s="1"/>
      <c r="S856" s="1"/>
    </row>
    <row r="857" ht="14.25" customHeight="1">
      <c r="A857" s="1"/>
      <c r="B857" s="2953" t="s">
        <v>1910</v>
      </c>
      <c r="C857" s="195">
        <v>150.0</v>
      </c>
      <c r="D857" s="78">
        <f t="shared" si="64"/>
        <v>90</v>
      </c>
      <c r="E857" s="900"/>
      <c r="F857" s="2954" t="s">
        <v>18</v>
      </c>
      <c r="G857" s="47"/>
      <c r="H857" s="1"/>
      <c r="I857" s="1"/>
      <c r="J857" s="1"/>
      <c r="K857" s="1"/>
      <c r="L857" s="1"/>
      <c r="M857" s="1"/>
      <c r="N857" s="1"/>
      <c r="O857" s="1"/>
      <c r="P857" s="1"/>
      <c r="Q857" s="1"/>
      <c r="R857" s="1"/>
      <c r="S857" s="1"/>
    </row>
    <row r="858" ht="14.25" customHeight="1">
      <c r="A858" s="1"/>
      <c r="B858" s="2953" t="s">
        <v>52</v>
      </c>
      <c r="C858" s="195">
        <v>125.0</v>
      </c>
      <c r="D858" s="78">
        <f t="shared" si="64"/>
        <v>75</v>
      </c>
      <c r="E858" s="900"/>
      <c r="F858" s="2954" t="s">
        <v>18</v>
      </c>
      <c r="G858" s="47"/>
      <c r="H858" s="1"/>
      <c r="I858" s="1"/>
      <c r="J858" s="1"/>
      <c r="K858" s="1"/>
      <c r="L858" s="1"/>
      <c r="M858" s="1"/>
      <c r="N858" s="1"/>
      <c r="O858" s="1"/>
      <c r="P858" s="1"/>
      <c r="Q858" s="1"/>
      <c r="R858" s="1"/>
      <c r="S858" s="1"/>
    </row>
    <row r="859" ht="14.25" customHeight="1">
      <c r="A859" s="1"/>
      <c r="B859" s="2955" t="s">
        <v>208</v>
      </c>
      <c r="C859" s="200">
        <v>250.0</v>
      </c>
      <c r="D859" s="56">
        <f t="shared" si="64"/>
        <v>150</v>
      </c>
      <c r="E859" s="1604"/>
      <c r="F859" s="2956" t="s">
        <v>18</v>
      </c>
      <c r="G859" s="47"/>
      <c r="H859" s="1"/>
      <c r="I859" s="1"/>
      <c r="J859" s="1"/>
      <c r="K859" s="1"/>
      <c r="L859" s="1"/>
      <c r="M859" s="1"/>
      <c r="N859" s="1"/>
      <c r="O859" s="1"/>
      <c r="P859" s="1"/>
      <c r="Q859" s="1"/>
      <c r="R859" s="1"/>
      <c r="S859" s="1"/>
    </row>
    <row r="860" ht="14.25" customHeight="1">
      <c r="A860" s="1"/>
      <c r="B860" s="2960" t="s">
        <v>3377</v>
      </c>
      <c r="C860" s="152">
        <v>25.0</v>
      </c>
      <c r="D860" s="274">
        <f t="shared" si="64"/>
        <v>15</v>
      </c>
      <c r="E860" s="1690"/>
      <c r="F860" s="2961" t="s">
        <v>14</v>
      </c>
      <c r="G860" s="76"/>
      <c r="H860" s="1"/>
      <c r="I860" s="1"/>
      <c r="J860" s="1"/>
      <c r="K860" s="1"/>
      <c r="L860" s="1"/>
      <c r="M860" s="1"/>
      <c r="N860" s="1"/>
      <c r="O860" s="1"/>
      <c r="P860" s="1"/>
      <c r="Q860" s="1"/>
      <c r="R860" s="1"/>
      <c r="S860" s="1"/>
    </row>
    <row r="861" ht="14.25" customHeight="1">
      <c r="A861" s="1"/>
      <c r="B861" s="2951" t="s">
        <v>31</v>
      </c>
      <c r="C861" s="145">
        <v>400.0</v>
      </c>
      <c r="D861" s="155">
        <f t="shared" si="64"/>
        <v>240</v>
      </c>
      <c r="E861" s="899"/>
      <c r="F861" s="2952" t="s">
        <v>18</v>
      </c>
      <c r="G861" s="269" t="s">
        <v>3379</v>
      </c>
      <c r="H861" s="1"/>
      <c r="I861" s="1"/>
      <c r="J861" s="1"/>
      <c r="K861" s="1"/>
      <c r="L861" s="1"/>
      <c r="M861" s="1"/>
      <c r="N861" s="1"/>
      <c r="O861" s="1"/>
      <c r="P861" s="1"/>
      <c r="Q861" s="1"/>
      <c r="R861" s="1"/>
      <c r="S861" s="1"/>
    </row>
    <row r="862" ht="14.25" customHeight="1">
      <c r="A862" s="1"/>
      <c r="B862" s="2953" t="s">
        <v>636</v>
      </c>
      <c r="C862" s="195">
        <v>1.0</v>
      </c>
      <c r="D862" s="78">
        <f t="shared" si="64"/>
        <v>0.6</v>
      </c>
      <c r="E862" s="900"/>
      <c r="F862" s="2954" t="s">
        <v>14</v>
      </c>
      <c r="G862" s="47"/>
      <c r="H862" s="1"/>
      <c r="I862" s="1"/>
      <c r="J862" s="1"/>
      <c r="K862" s="1"/>
      <c r="L862" s="1"/>
      <c r="M862" s="1"/>
      <c r="N862" s="1"/>
      <c r="O862" s="1"/>
      <c r="P862" s="1"/>
      <c r="Q862" s="1"/>
      <c r="R862" s="1"/>
      <c r="S862" s="1"/>
    </row>
    <row r="863" ht="14.25" customHeight="1">
      <c r="A863" s="1"/>
      <c r="B863" s="2955" t="s">
        <v>3380</v>
      </c>
      <c r="C863" s="200">
        <v>500.0</v>
      </c>
      <c r="D863" s="56">
        <f t="shared" si="64"/>
        <v>300</v>
      </c>
      <c r="E863" s="1604"/>
      <c r="F863" s="2956" t="s">
        <v>18</v>
      </c>
      <c r="G863" s="76"/>
      <c r="H863" s="1"/>
      <c r="I863" s="1"/>
      <c r="J863" s="1"/>
      <c r="K863" s="1"/>
      <c r="L863" s="1"/>
      <c r="M863" s="1"/>
      <c r="N863" s="1"/>
      <c r="O863" s="1"/>
      <c r="P863" s="1"/>
      <c r="Q863" s="1"/>
      <c r="R863" s="1"/>
      <c r="S863" s="1"/>
    </row>
    <row r="864" ht="14.25" customHeight="1">
      <c r="A864" s="1"/>
      <c r="B864" s="2958" t="s">
        <v>3381</v>
      </c>
      <c r="C864" s="238">
        <v>32.0</v>
      </c>
      <c r="D864" s="129">
        <f t="shared" si="64"/>
        <v>19.2</v>
      </c>
      <c r="E864" s="1583"/>
      <c r="F864" s="2959" t="s">
        <v>526</v>
      </c>
      <c r="G864" s="1729" t="s">
        <v>3382</v>
      </c>
      <c r="H864" s="1"/>
      <c r="I864" s="1"/>
      <c r="J864" s="1"/>
      <c r="K864" s="1"/>
      <c r="L864" s="1"/>
      <c r="M864" s="1"/>
      <c r="N864" s="1"/>
      <c r="O864" s="1"/>
      <c r="P864" s="1"/>
      <c r="Q864" s="1"/>
      <c r="R864" s="1"/>
      <c r="S864" s="1"/>
    </row>
    <row r="865" ht="14.25" customHeight="1">
      <c r="A865" s="1"/>
      <c r="B865" s="2951" t="s">
        <v>3383</v>
      </c>
      <c r="C865" s="145">
        <v>250.0</v>
      </c>
      <c r="D865" s="155">
        <f t="shared" si="64"/>
        <v>150</v>
      </c>
      <c r="E865" s="899"/>
      <c r="F865" s="2952" t="s">
        <v>18</v>
      </c>
      <c r="G865" s="999" t="s">
        <v>3385</v>
      </c>
      <c r="H865" s="1"/>
      <c r="I865" s="1"/>
      <c r="J865" s="1"/>
      <c r="K865" s="1"/>
      <c r="L865" s="1"/>
      <c r="M865" s="1"/>
      <c r="N865" s="1"/>
      <c r="O865" s="1"/>
      <c r="P865" s="1"/>
      <c r="Q865" s="1"/>
      <c r="R865" s="1"/>
      <c r="S865" s="1"/>
    </row>
    <row r="866" ht="14.25" customHeight="1">
      <c r="A866" s="1"/>
      <c r="B866" s="2955" t="s">
        <v>3387</v>
      </c>
      <c r="C866" s="200">
        <v>750.0</v>
      </c>
      <c r="D866" s="56">
        <f t="shared" si="64"/>
        <v>450</v>
      </c>
      <c r="E866" s="1604"/>
      <c r="F866" s="2956" t="s">
        <v>18</v>
      </c>
      <c r="G866" s="104"/>
      <c r="H866" s="1"/>
      <c r="I866" s="1"/>
      <c r="J866" s="1"/>
      <c r="K866" s="1"/>
      <c r="L866" s="1"/>
      <c r="M866" s="1"/>
      <c r="N866" s="1"/>
      <c r="O866" s="1"/>
      <c r="P866" s="1"/>
      <c r="Q866" s="1"/>
      <c r="R866" s="1"/>
      <c r="S866" s="1"/>
    </row>
    <row r="867" ht="14.25" customHeight="1">
      <c r="A867" s="1"/>
      <c r="B867" s="2967" t="s">
        <v>3365</v>
      </c>
      <c r="C867" s="418">
        <v>1500.0</v>
      </c>
      <c r="D867" s="542">
        <f t="shared" ref="D867:D869" si="65">(C867*D865)/C865</f>
        <v>900</v>
      </c>
      <c r="E867" s="1614"/>
      <c r="F867" s="2952" t="s">
        <v>18</v>
      </c>
      <c r="G867" s="1795" t="s">
        <v>3366</v>
      </c>
      <c r="H867" s="1"/>
      <c r="I867" s="1"/>
      <c r="J867" s="1"/>
      <c r="K867" s="1"/>
      <c r="L867" s="1"/>
      <c r="M867" s="1"/>
      <c r="N867" s="1"/>
      <c r="O867" s="1"/>
      <c r="P867" s="1"/>
      <c r="Q867" s="1"/>
      <c r="R867" s="1"/>
      <c r="S867" s="1"/>
    </row>
    <row r="868" ht="14.25" customHeight="1">
      <c r="A868" s="1"/>
      <c r="B868" s="2965" t="s">
        <v>3367</v>
      </c>
      <c r="C868" s="279">
        <v>3500.0</v>
      </c>
      <c r="D868" s="146">
        <f t="shared" si="65"/>
        <v>2100</v>
      </c>
      <c r="E868" s="1607"/>
      <c r="F868" s="2956" t="s">
        <v>18</v>
      </c>
      <c r="G868" s="102"/>
      <c r="H868" s="1"/>
      <c r="I868" s="1"/>
      <c r="J868" s="1"/>
      <c r="K868" s="1"/>
      <c r="L868" s="1"/>
      <c r="M868" s="1"/>
      <c r="N868" s="1"/>
      <c r="O868" s="1"/>
      <c r="P868" s="1"/>
      <c r="Q868" s="1"/>
      <c r="R868" s="1"/>
      <c r="S868" s="1"/>
    </row>
    <row r="869" ht="14.25" customHeight="1">
      <c r="A869" s="1"/>
      <c r="B869" s="2951" t="s">
        <v>3368</v>
      </c>
      <c r="C869" s="145">
        <v>1.25</v>
      </c>
      <c r="D869" s="155">
        <f t="shared" si="65"/>
        <v>0.75</v>
      </c>
      <c r="E869" s="899"/>
      <c r="F869" s="2952" t="s">
        <v>14</v>
      </c>
      <c r="G869" s="394" t="s">
        <v>3370</v>
      </c>
      <c r="H869" s="1"/>
      <c r="I869" s="1"/>
      <c r="J869" s="1"/>
      <c r="K869" s="1"/>
      <c r="L869" s="1"/>
      <c r="M869" s="1"/>
      <c r="N869" s="1"/>
      <c r="O869" s="1"/>
      <c r="P869" s="1"/>
      <c r="Q869" s="1"/>
      <c r="R869" s="1"/>
      <c r="S869" s="1"/>
    </row>
    <row r="870" ht="14.25" customHeight="1">
      <c r="A870" s="1"/>
      <c r="B870" s="2955" t="s">
        <v>1068</v>
      </c>
      <c r="C870" s="200">
        <v>0.5</v>
      </c>
      <c r="D870" s="56">
        <f>(C870*D869)/C869</f>
        <v>0.3</v>
      </c>
      <c r="E870" s="1604"/>
      <c r="F870" s="2956" t="s">
        <v>5</v>
      </c>
      <c r="G870" s="76"/>
      <c r="H870" s="1"/>
      <c r="I870" s="1"/>
      <c r="J870" s="1"/>
      <c r="K870" s="1"/>
      <c r="L870" s="1"/>
      <c r="M870" s="1"/>
      <c r="N870" s="1"/>
      <c r="O870" s="1"/>
      <c r="P870" s="1"/>
      <c r="Q870" s="1"/>
      <c r="R870" s="1"/>
      <c r="S870" s="1"/>
    </row>
    <row r="871" ht="14.25" customHeight="1">
      <c r="A871" s="1"/>
      <c r="B871" s="1640" t="s">
        <v>119</v>
      </c>
      <c r="C871" s="183" t="s">
        <v>47</v>
      </c>
      <c r="D871" s="2969"/>
      <c r="E871" s="2969"/>
      <c r="F871" s="1"/>
      <c r="G871" s="1"/>
      <c r="H871" s="1"/>
      <c r="I871" s="1"/>
      <c r="J871" s="1"/>
      <c r="K871" s="1"/>
      <c r="L871" s="1"/>
      <c r="M871" s="1"/>
      <c r="N871" s="1"/>
      <c r="O871" s="1"/>
      <c r="P871" s="1"/>
      <c r="Q871" s="1"/>
      <c r="R871" s="1"/>
      <c r="S871" s="1"/>
    </row>
    <row r="872" ht="14.25" customHeight="1">
      <c r="A872" s="1"/>
      <c r="B872" s="1499" t="s">
        <v>49</v>
      </c>
      <c r="C872" s="2806">
        <v>41338.0</v>
      </c>
      <c r="D872" s="184"/>
      <c r="E872" s="184"/>
      <c r="F872" s="1"/>
      <c r="G872" s="1"/>
      <c r="H872" s="1"/>
      <c r="I872" s="1"/>
      <c r="J872" s="1"/>
      <c r="K872" s="1"/>
      <c r="L872" s="1"/>
      <c r="M872" s="1"/>
      <c r="N872" s="1"/>
      <c r="O872" s="1"/>
      <c r="P872" s="1"/>
      <c r="Q872" s="1"/>
      <c r="R872" s="1"/>
      <c r="S872" s="1"/>
    </row>
    <row r="873" ht="14.25" customHeight="1">
      <c r="A873" s="1"/>
      <c r="B873" s="664" t="s">
        <v>1486</v>
      </c>
      <c r="C873" s="2806">
        <v>41437.0</v>
      </c>
      <c r="D873" s="184"/>
      <c r="E873" s="184"/>
      <c r="F873" s="1"/>
      <c r="G873" s="1"/>
      <c r="H873" s="1"/>
      <c r="I873" s="1"/>
      <c r="J873" s="1"/>
      <c r="K873" s="1"/>
      <c r="L873" s="1"/>
      <c r="M873" s="1"/>
      <c r="N873" s="1"/>
      <c r="O873" s="1"/>
      <c r="P873" s="1"/>
      <c r="Q873" s="1"/>
      <c r="R873" s="1"/>
      <c r="S873" s="1"/>
    </row>
    <row r="874" ht="14.25" customHeight="1">
      <c r="A874" s="1"/>
      <c r="B874" s="1112"/>
      <c r="C874" s="336"/>
      <c r="D874" s="2981"/>
      <c r="E874" s="2981"/>
      <c r="F874" s="1112"/>
      <c r="G874" s="1112"/>
      <c r="H874" s="1"/>
      <c r="I874" s="1"/>
      <c r="J874" s="1"/>
      <c r="K874" s="1"/>
      <c r="L874" s="1"/>
      <c r="M874" s="1"/>
      <c r="N874" s="1"/>
      <c r="O874" s="1"/>
      <c r="P874" s="1"/>
      <c r="Q874" s="1"/>
      <c r="R874" s="1"/>
      <c r="S874" s="1"/>
    </row>
    <row r="875" ht="14.25" customHeight="1">
      <c r="A875" s="1"/>
      <c r="B875" s="209" t="s">
        <v>3388</v>
      </c>
      <c r="C875" s="18"/>
      <c r="D875" s="18"/>
      <c r="E875" s="18"/>
      <c r="F875" s="19"/>
      <c r="G875" s="2982"/>
      <c r="H875" s="1"/>
      <c r="I875" s="1"/>
      <c r="J875" s="1"/>
      <c r="K875" s="1"/>
      <c r="L875" s="1"/>
      <c r="M875" s="1"/>
      <c r="N875" s="1"/>
      <c r="O875" s="1"/>
      <c r="P875" s="1"/>
      <c r="Q875" s="1"/>
      <c r="R875" s="1"/>
      <c r="S875" s="1"/>
    </row>
    <row r="876" ht="14.25" customHeight="1">
      <c r="A876" s="1"/>
      <c r="B876" s="149" t="s">
        <v>3389</v>
      </c>
      <c r="C876" s="152">
        <v>100.0</v>
      </c>
      <c r="D876" s="274">
        <v>20.0</v>
      </c>
      <c r="E876" s="1690"/>
      <c r="F876" s="288" t="s">
        <v>5</v>
      </c>
      <c r="G876" s="2983"/>
      <c r="H876" s="1"/>
      <c r="I876" s="1"/>
      <c r="J876" s="1"/>
      <c r="K876" s="1"/>
      <c r="L876" s="1"/>
      <c r="M876" s="1"/>
      <c r="N876" s="1"/>
      <c r="O876" s="1"/>
      <c r="P876" s="1"/>
      <c r="Q876" s="1"/>
      <c r="R876" s="1"/>
      <c r="S876" s="1"/>
    </row>
    <row r="877" ht="14.25" customHeight="1">
      <c r="A877" s="1"/>
      <c r="B877" s="68" t="s">
        <v>79</v>
      </c>
      <c r="C877" s="145">
        <v>45.0</v>
      </c>
      <c r="D877" s="155">
        <f t="shared" ref="D877:D888" si="66">C877*D876/C876</f>
        <v>9</v>
      </c>
      <c r="E877" s="899"/>
      <c r="F877" s="81" t="s">
        <v>14</v>
      </c>
      <c r="G877" s="610" t="s">
        <v>3390</v>
      </c>
      <c r="H877" s="1"/>
      <c r="I877" s="1"/>
      <c r="J877" s="1"/>
      <c r="K877" s="1"/>
      <c r="L877" s="1"/>
      <c r="M877" s="1"/>
      <c r="N877" s="1"/>
      <c r="O877" s="1"/>
      <c r="P877" s="1"/>
      <c r="Q877" s="1"/>
      <c r="R877" s="1"/>
      <c r="S877" s="1"/>
    </row>
    <row r="878" ht="14.25" customHeight="1">
      <c r="A878" s="1"/>
      <c r="B878" s="93" t="s">
        <v>971</v>
      </c>
      <c r="C878" s="195">
        <v>2250.0</v>
      </c>
      <c r="D878" s="78">
        <f t="shared" si="66"/>
        <v>450</v>
      </c>
      <c r="E878" s="900"/>
      <c r="F878" s="95" t="s">
        <v>18</v>
      </c>
      <c r="G878" s="47"/>
      <c r="H878" s="1"/>
      <c r="I878" s="1"/>
      <c r="J878" s="1"/>
      <c r="K878" s="1"/>
      <c r="L878" s="1"/>
      <c r="M878" s="1"/>
      <c r="N878" s="1"/>
      <c r="O878" s="1"/>
      <c r="P878" s="1"/>
      <c r="Q878" s="1"/>
      <c r="R878" s="1"/>
      <c r="S878" s="1"/>
    </row>
    <row r="879" ht="14.25" customHeight="1">
      <c r="A879" s="1112"/>
      <c r="B879" s="105" t="s">
        <v>1132</v>
      </c>
      <c r="C879" s="200">
        <v>2250.0</v>
      </c>
      <c r="D879" s="56">
        <f t="shared" si="66"/>
        <v>450</v>
      </c>
      <c r="E879" s="1604"/>
      <c r="F879" s="114" t="s">
        <v>18</v>
      </c>
      <c r="G879" s="76"/>
      <c r="H879" s="1"/>
      <c r="I879" s="1"/>
      <c r="J879" s="1"/>
      <c r="K879" s="1"/>
      <c r="L879" s="1"/>
      <c r="M879" s="1"/>
      <c r="N879" s="1"/>
      <c r="O879" s="1"/>
      <c r="P879" s="1"/>
      <c r="Q879" s="1"/>
      <c r="R879" s="1"/>
      <c r="S879" s="1"/>
    </row>
    <row r="880" ht="14.25" customHeight="1">
      <c r="A880" s="1112"/>
      <c r="B880" s="119" t="s">
        <v>491</v>
      </c>
      <c r="C880" s="238">
        <v>5.0</v>
      </c>
      <c r="D880" s="129">
        <f t="shared" si="66"/>
        <v>1</v>
      </c>
      <c r="E880" s="1583"/>
      <c r="F880" s="132" t="s">
        <v>5</v>
      </c>
      <c r="G880" s="610" t="s">
        <v>3391</v>
      </c>
      <c r="H880" s="1"/>
      <c r="I880" s="1"/>
      <c r="J880" s="1"/>
      <c r="K880" s="1"/>
      <c r="L880" s="1"/>
      <c r="M880" s="1"/>
      <c r="N880" s="1"/>
      <c r="O880" s="1"/>
      <c r="P880" s="1"/>
      <c r="Q880" s="1"/>
      <c r="R880" s="1"/>
      <c r="S880" s="1"/>
    </row>
    <row r="881" ht="15.75" customHeight="1">
      <c r="A881" s="1112"/>
      <c r="B881" s="93" t="s">
        <v>52</v>
      </c>
      <c r="C881" s="195">
        <v>225.0</v>
      </c>
      <c r="D881" s="78">
        <f t="shared" si="66"/>
        <v>45</v>
      </c>
      <c r="E881" s="900"/>
      <c r="F881" s="95" t="s">
        <v>18</v>
      </c>
      <c r="G881" s="47"/>
      <c r="H881" s="1"/>
      <c r="I881" s="1"/>
      <c r="J881" s="1"/>
      <c r="K881" s="1"/>
      <c r="L881" s="1"/>
      <c r="M881" s="1"/>
      <c r="N881" s="1"/>
      <c r="O881" s="1"/>
      <c r="P881" s="1"/>
      <c r="Q881" s="1"/>
      <c r="R881" s="1"/>
      <c r="S881" s="1"/>
    </row>
    <row r="882" ht="14.25" customHeight="1">
      <c r="A882" s="1112"/>
      <c r="B882" s="93" t="s">
        <v>103</v>
      </c>
      <c r="C882" s="195">
        <v>150.0</v>
      </c>
      <c r="D882" s="78">
        <f t="shared" si="66"/>
        <v>30</v>
      </c>
      <c r="E882" s="900"/>
      <c r="F882" s="95" t="s">
        <v>18</v>
      </c>
      <c r="G882" s="47"/>
      <c r="H882" s="1"/>
      <c r="I882" s="1"/>
      <c r="J882" s="1"/>
      <c r="K882" s="1"/>
      <c r="L882" s="1"/>
      <c r="M882" s="1"/>
      <c r="N882" s="1"/>
      <c r="O882" s="1"/>
      <c r="P882" s="1"/>
      <c r="Q882" s="1"/>
      <c r="R882" s="1"/>
      <c r="S882" s="1"/>
    </row>
    <row r="883" ht="14.25" customHeight="1">
      <c r="A883" s="1112"/>
      <c r="B883" s="93" t="s">
        <v>149</v>
      </c>
      <c r="C883" s="195">
        <v>900.0</v>
      </c>
      <c r="D883" s="78">
        <f t="shared" si="66"/>
        <v>180</v>
      </c>
      <c r="E883" s="900"/>
      <c r="F883" s="95" t="s">
        <v>18</v>
      </c>
      <c r="G883" s="47"/>
      <c r="H883" s="1"/>
      <c r="I883" s="1"/>
      <c r="J883" s="1"/>
      <c r="K883" s="1"/>
      <c r="L883" s="1"/>
      <c r="M883" s="1"/>
      <c r="N883" s="1"/>
      <c r="O883" s="1"/>
      <c r="P883" s="1"/>
      <c r="Q883" s="1"/>
      <c r="R883" s="1"/>
      <c r="S883" s="1"/>
    </row>
    <row r="884" ht="14.25" customHeight="1">
      <c r="A884" s="1112"/>
      <c r="B884" s="93" t="s">
        <v>39</v>
      </c>
      <c r="C884" s="195">
        <v>360.0</v>
      </c>
      <c r="D884" s="78">
        <f t="shared" si="66"/>
        <v>72</v>
      </c>
      <c r="E884" s="900"/>
      <c r="F884" s="95" t="s">
        <v>18</v>
      </c>
      <c r="G884" s="47"/>
      <c r="H884" s="1"/>
      <c r="I884" s="1"/>
      <c r="J884" s="1"/>
      <c r="K884" s="1"/>
      <c r="L884" s="1"/>
      <c r="M884" s="1"/>
      <c r="N884" s="1"/>
      <c r="O884" s="1"/>
      <c r="P884" s="1"/>
      <c r="Q884" s="1"/>
      <c r="R884" s="1"/>
      <c r="S884" s="1"/>
    </row>
    <row r="885" ht="14.25" customHeight="1">
      <c r="A885" s="1112"/>
      <c r="B885" s="93" t="s">
        <v>3392</v>
      </c>
      <c r="C885" s="195">
        <v>54.0</v>
      </c>
      <c r="D885" s="78">
        <f t="shared" si="66"/>
        <v>10.8</v>
      </c>
      <c r="E885" s="900"/>
      <c r="F885" s="95" t="s">
        <v>5</v>
      </c>
      <c r="G885" s="47"/>
      <c r="H885" s="1"/>
      <c r="I885" s="1"/>
      <c r="J885" s="1"/>
      <c r="K885" s="1"/>
      <c r="L885" s="1"/>
      <c r="M885" s="1"/>
      <c r="N885" s="1"/>
      <c r="O885" s="1"/>
      <c r="P885" s="1"/>
      <c r="Q885" s="1"/>
      <c r="R885" s="1"/>
      <c r="S885" s="1"/>
    </row>
    <row r="886" ht="14.25" customHeight="1">
      <c r="A886" s="1112"/>
      <c r="B886" s="93" t="s">
        <v>31</v>
      </c>
      <c r="C886" s="195">
        <v>800.0</v>
      </c>
      <c r="D886" s="78">
        <f t="shared" si="66"/>
        <v>160</v>
      </c>
      <c r="E886" s="900"/>
      <c r="F886" s="95" t="s">
        <v>18</v>
      </c>
      <c r="G886" s="47"/>
      <c r="H886" s="1"/>
      <c r="I886" s="1"/>
      <c r="J886" s="1"/>
      <c r="K886" s="1"/>
      <c r="L886" s="1"/>
      <c r="M886" s="1"/>
      <c r="N886" s="1"/>
      <c r="O886" s="1"/>
      <c r="P886" s="1"/>
      <c r="Q886" s="1"/>
      <c r="R886" s="1"/>
      <c r="S886" s="1"/>
    </row>
    <row r="887" ht="14.25" customHeight="1">
      <c r="A887" s="1112"/>
      <c r="B887" s="93" t="s">
        <v>13</v>
      </c>
      <c r="C887" s="195">
        <v>1.54</v>
      </c>
      <c r="D887" s="78">
        <f t="shared" si="66"/>
        <v>0.308</v>
      </c>
      <c r="E887" s="900"/>
      <c r="F887" s="95" t="s">
        <v>14</v>
      </c>
      <c r="G887" s="47"/>
      <c r="H887" s="1"/>
      <c r="I887" s="1"/>
      <c r="J887" s="1"/>
      <c r="K887" s="1"/>
      <c r="L887" s="1"/>
      <c r="M887" s="1"/>
      <c r="N887" s="1"/>
      <c r="O887" s="1"/>
      <c r="P887" s="1"/>
      <c r="Q887" s="1"/>
      <c r="R887" s="1"/>
      <c r="S887" s="1"/>
    </row>
    <row r="888" ht="14.25" customHeight="1">
      <c r="A888" s="1112"/>
      <c r="B888" s="105" t="s">
        <v>2292</v>
      </c>
      <c r="C888" s="200">
        <v>8.0</v>
      </c>
      <c r="D888" s="56">
        <f t="shared" si="66"/>
        <v>1.6</v>
      </c>
      <c r="E888" s="1604"/>
      <c r="F888" s="114" t="s">
        <v>5</v>
      </c>
      <c r="G888" s="76"/>
      <c r="H888" s="1"/>
      <c r="I888" s="1"/>
      <c r="J888" s="1"/>
      <c r="K888" s="1"/>
      <c r="L888" s="1"/>
      <c r="M888" s="1"/>
      <c r="N888" s="1"/>
      <c r="O888" s="1"/>
      <c r="P888" s="1"/>
      <c r="Q888" s="1"/>
      <c r="R888" s="1"/>
      <c r="S888" s="1"/>
    </row>
    <row r="889" ht="14.25" customHeight="1">
      <c r="A889" s="1112"/>
      <c r="B889" s="766" t="s">
        <v>3394</v>
      </c>
      <c r="C889" s="2984"/>
      <c r="D889" s="2985"/>
      <c r="E889" s="2985"/>
      <c r="F889" s="2984"/>
      <c r="G889" s="2986"/>
      <c r="H889" s="1"/>
      <c r="I889" s="1"/>
      <c r="J889" s="1"/>
      <c r="K889" s="1"/>
      <c r="L889" s="1"/>
      <c r="M889" s="1"/>
      <c r="N889" s="1"/>
      <c r="O889" s="1"/>
      <c r="P889" s="1"/>
      <c r="Q889" s="1"/>
      <c r="R889" s="1"/>
      <c r="S889" s="1"/>
    </row>
    <row r="890" ht="14.25" customHeight="1">
      <c r="A890" s="1112"/>
      <c r="B890" s="138" t="s">
        <v>1</v>
      </c>
      <c r="C890" s="279">
        <v>400.0</v>
      </c>
      <c r="D890" s="146">
        <v>360.0</v>
      </c>
      <c r="E890" s="1607"/>
      <c r="F890" s="151" t="s">
        <v>741</v>
      </c>
      <c r="G890" s="2113"/>
      <c r="H890" s="1"/>
      <c r="I890" s="1"/>
      <c r="J890" s="1"/>
      <c r="K890" s="1"/>
      <c r="L890" s="1"/>
      <c r="M890" s="1"/>
      <c r="N890" s="1"/>
      <c r="O890" s="1"/>
      <c r="P890" s="1"/>
      <c r="Q890" s="1"/>
      <c r="R890" s="1"/>
      <c r="S890" s="1"/>
    </row>
    <row r="891" ht="14.25" customHeight="1">
      <c r="A891" s="193"/>
      <c r="B891" s="68" t="s">
        <v>1165</v>
      </c>
      <c r="C891" s="145">
        <v>20.0</v>
      </c>
      <c r="D891" s="155">
        <f t="shared" ref="D891:D905" si="67">C891*D890/C890</f>
        <v>18</v>
      </c>
      <c r="E891" s="899"/>
      <c r="F891" s="81" t="s">
        <v>14</v>
      </c>
      <c r="G891" s="339" t="s">
        <v>3397</v>
      </c>
      <c r="H891" s="1"/>
      <c r="I891" s="1"/>
      <c r="J891" s="1"/>
      <c r="K891" s="1"/>
      <c r="L891" s="1"/>
      <c r="M891" s="1"/>
      <c r="N891" s="1"/>
      <c r="O891" s="1"/>
      <c r="P891" s="1"/>
      <c r="Q891" s="1"/>
      <c r="R891" s="1"/>
      <c r="S891" s="1"/>
    </row>
    <row r="892" ht="15.0" customHeight="1">
      <c r="A892" s="193"/>
      <c r="B892" s="105" t="s">
        <v>31</v>
      </c>
      <c r="C892" s="200">
        <v>350.0</v>
      </c>
      <c r="D892" s="56">
        <f t="shared" si="67"/>
        <v>315</v>
      </c>
      <c r="E892" s="1604"/>
      <c r="F892" s="114" t="s">
        <v>18</v>
      </c>
      <c r="G892" s="76"/>
      <c r="H892" s="1"/>
      <c r="I892" s="1"/>
      <c r="J892" s="1"/>
      <c r="K892" s="1"/>
      <c r="L892" s="1"/>
      <c r="M892" s="1"/>
      <c r="N892" s="1"/>
      <c r="O892" s="1"/>
      <c r="P892" s="1"/>
      <c r="Q892" s="1"/>
      <c r="R892" s="1"/>
      <c r="S892" s="1"/>
    </row>
    <row r="893" ht="14.25" customHeight="1">
      <c r="A893" s="193"/>
      <c r="B893" s="119" t="s">
        <v>105</v>
      </c>
      <c r="C893" s="238">
        <v>80.0</v>
      </c>
      <c r="D893" s="129">
        <f t="shared" si="67"/>
        <v>72</v>
      </c>
      <c r="E893" s="1583"/>
      <c r="F893" s="132" t="s">
        <v>18</v>
      </c>
      <c r="G893" s="610" t="s">
        <v>3399</v>
      </c>
      <c r="H893" s="1"/>
      <c r="I893" s="1"/>
      <c r="J893" s="1"/>
      <c r="K893" s="1"/>
      <c r="L893" s="1"/>
      <c r="M893" s="1"/>
      <c r="N893" s="1"/>
      <c r="O893" s="1"/>
      <c r="P893" s="1"/>
      <c r="Q893" s="1"/>
      <c r="R893" s="1"/>
      <c r="S893" s="1"/>
    </row>
    <row r="894" ht="15.0" customHeight="1">
      <c r="A894" s="193"/>
      <c r="B894" s="93" t="s">
        <v>1027</v>
      </c>
      <c r="C894" s="195">
        <v>70.0</v>
      </c>
      <c r="D894" s="2932">
        <f t="shared" si="67"/>
        <v>63</v>
      </c>
      <c r="E894" s="2933"/>
      <c r="F894" s="95" t="s">
        <v>18</v>
      </c>
      <c r="G894" s="47"/>
      <c r="H894" s="1"/>
      <c r="I894" s="1"/>
      <c r="J894" s="1"/>
      <c r="K894" s="1"/>
      <c r="L894" s="1"/>
      <c r="M894" s="1"/>
      <c r="N894" s="1"/>
      <c r="O894" s="1"/>
      <c r="P894" s="1"/>
      <c r="Q894" s="1"/>
      <c r="R894" s="1"/>
      <c r="S894" s="1"/>
    </row>
    <row r="895" ht="14.25" customHeight="1">
      <c r="A895" s="193"/>
      <c r="B895" s="93" t="s">
        <v>1941</v>
      </c>
      <c r="C895" s="195">
        <v>35.0</v>
      </c>
      <c r="D895" s="2932">
        <f t="shared" si="67"/>
        <v>31.5</v>
      </c>
      <c r="E895" s="2933"/>
      <c r="F895" s="95" t="s">
        <v>18</v>
      </c>
      <c r="G895" s="47"/>
      <c r="H895" s="1"/>
      <c r="I895" s="1"/>
      <c r="J895" s="1"/>
      <c r="K895" s="1"/>
      <c r="L895" s="1"/>
      <c r="M895" s="1"/>
      <c r="N895" s="1"/>
      <c r="O895" s="1"/>
      <c r="P895" s="1"/>
      <c r="Q895" s="1"/>
      <c r="R895" s="1"/>
      <c r="S895" s="1"/>
    </row>
    <row r="896" ht="14.25" customHeight="1">
      <c r="A896" s="193"/>
      <c r="B896" s="93" t="s">
        <v>2741</v>
      </c>
      <c r="C896" s="195">
        <v>35.0</v>
      </c>
      <c r="D896" s="2932">
        <f t="shared" si="67"/>
        <v>31.5</v>
      </c>
      <c r="E896" s="2933"/>
      <c r="F896" s="95" t="s">
        <v>18</v>
      </c>
      <c r="G896" s="47"/>
      <c r="H896" s="1"/>
      <c r="I896" s="1"/>
      <c r="J896" s="1"/>
      <c r="K896" s="1"/>
      <c r="L896" s="1"/>
      <c r="M896" s="1"/>
      <c r="N896" s="1"/>
      <c r="O896" s="1"/>
      <c r="P896" s="1"/>
      <c r="Q896" s="1"/>
      <c r="R896" s="1"/>
      <c r="S896" s="1"/>
    </row>
    <row r="897" ht="14.25" customHeight="1">
      <c r="A897" s="193"/>
      <c r="B897" s="93" t="s">
        <v>288</v>
      </c>
      <c r="C897" s="195">
        <v>20.0</v>
      </c>
      <c r="D897" s="78">
        <f t="shared" si="67"/>
        <v>18</v>
      </c>
      <c r="E897" s="900"/>
      <c r="F897" s="95" t="s">
        <v>18</v>
      </c>
      <c r="G897" s="47"/>
      <c r="H897" s="1"/>
      <c r="I897" s="1"/>
      <c r="J897" s="1"/>
      <c r="K897" s="1"/>
      <c r="L897" s="1"/>
      <c r="M897" s="1"/>
      <c r="N897" s="1"/>
      <c r="O897" s="1"/>
      <c r="P897" s="1"/>
      <c r="Q897" s="1"/>
      <c r="R897" s="1"/>
      <c r="S897" s="1"/>
    </row>
    <row r="898" ht="14.25" customHeight="1">
      <c r="A898" s="193"/>
      <c r="B898" s="93" t="s">
        <v>112</v>
      </c>
      <c r="C898" s="195">
        <v>50.0</v>
      </c>
      <c r="D898" s="2932">
        <f t="shared" si="67"/>
        <v>45</v>
      </c>
      <c r="E898" s="2933"/>
      <c r="F898" s="95" t="s">
        <v>18</v>
      </c>
      <c r="G898" s="47"/>
      <c r="H898" s="1"/>
      <c r="I898" s="1"/>
      <c r="J898" s="1"/>
      <c r="K898" s="1"/>
      <c r="L898" s="1"/>
      <c r="M898" s="1"/>
      <c r="N898" s="1"/>
      <c r="O898" s="1"/>
      <c r="P898" s="1"/>
      <c r="Q898" s="1"/>
      <c r="R898" s="1"/>
      <c r="S898" s="1"/>
    </row>
    <row r="899" ht="14.25" customHeight="1">
      <c r="A899" s="1112"/>
      <c r="B899" s="93" t="s">
        <v>31</v>
      </c>
      <c r="C899" s="195">
        <v>80.0</v>
      </c>
      <c r="D899" s="78">
        <f t="shared" si="67"/>
        <v>72</v>
      </c>
      <c r="E899" s="900"/>
      <c r="F899" s="95" t="s">
        <v>18</v>
      </c>
      <c r="G899" s="47"/>
      <c r="H899" s="1"/>
      <c r="I899" s="1"/>
      <c r="J899" s="1"/>
      <c r="K899" s="1"/>
      <c r="L899" s="1"/>
      <c r="M899" s="1"/>
      <c r="N899" s="1"/>
      <c r="O899" s="1"/>
      <c r="P899" s="1"/>
      <c r="Q899" s="1"/>
      <c r="R899" s="1"/>
      <c r="S899" s="1"/>
    </row>
    <row r="900" ht="14.25" customHeight="1">
      <c r="A900" s="1112"/>
      <c r="B900" s="93" t="s">
        <v>1321</v>
      </c>
      <c r="C900" s="195">
        <v>8.0</v>
      </c>
      <c r="D900" s="78">
        <f t="shared" si="67"/>
        <v>7.2</v>
      </c>
      <c r="E900" s="900"/>
      <c r="F900" s="95" t="s">
        <v>18</v>
      </c>
      <c r="G900" s="47"/>
      <c r="H900" s="1"/>
      <c r="I900" s="1"/>
      <c r="J900" s="1"/>
      <c r="K900" s="1"/>
      <c r="L900" s="1"/>
      <c r="M900" s="1"/>
      <c r="N900" s="1"/>
      <c r="O900" s="1"/>
      <c r="P900" s="1"/>
      <c r="Q900" s="1"/>
      <c r="R900" s="1"/>
      <c r="S900" s="1"/>
    </row>
    <row r="901" ht="14.25" customHeight="1">
      <c r="A901" s="1112"/>
      <c r="B901" s="93" t="s">
        <v>52</v>
      </c>
      <c r="C901" s="195">
        <v>60.0</v>
      </c>
      <c r="D901" s="78">
        <f t="shared" si="67"/>
        <v>54</v>
      </c>
      <c r="E901" s="900"/>
      <c r="F901" s="95" t="s">
        <v>18</v>
      </c>
      <c r="G901" s="47"/>
      <c r="H901" s="1"/>
      <c r="I901" s="1"/>
      <c r="J901" s="1"/>
      <c r="K901" s="1"/>
      <c r="L901" s="1"/>
      <c r="M901" s="1"/>
      <c r="N901" s="1"/>
      <c r="O901" s="1"/>
      <c r="P901" s="1"/>
      <c r="Q901" s="1"/>
      <c r="R901" s="1"/>
      <c r="S901" s="1"/>
    </row>
    <row r="902" ht="14.25" customHeight="1">
      <c r="A902" s="1112"/>
      <c r="B902" s="93" t="s">
        <v>103</v>
      </c>
      <c r="C902" s="195">
        <v>60.0</v>
      </c>
      <c r="D902" s="78">
        <f t="shared" si="67"/>
        <v>54</v>
      </c>
      <c r="E902" s="900"/>
      <c r="F902" s="95" t="s">
        <v>18</v>
      </c>
      <c r="G902" s="47"/>
      <c r="H902" s="1"/>
      <c r="I902" s="1"/>
      <c r="J902" s="1"/>
      <c r="K902" s="1"/>
      <c r="L902" s="1"/>
      <c r="M902" s="1"/>
      <c r="N902" s="1"/>
      <c r="O902" s="1"/>
      <c r="P902" s="1"/>
      <c r="Q902" s="1"/>
      <c r="R902" s="1"/>
      <c r="S902" s="1"/>
    </row>
    <row r="903" ht="14.25" customHeight="1">
      <c r="A903" s="1112"/>
      <c r="B903" s="93" t="s">
        <v>149</v>
      </c>
      <c r="C903" s="195">
        <v>80.0</v>
      </c>
      <c r="D903" s="78">
        <f t="shared" si="67"/>
        <v>72</v>
      </c>
      <c r="E903" s="900"/>
      <c r="F903" s="95" t="s">
        <v>18</v>
      </c>
      <c r="G903" s="47"/>
      <c r="H903" s="1"/>
      <c r="I903" s="1"/>
      <c r="J903" s="1"/>
      <c r="K903" s="1"/>
      <c r="L903" s="1"/>
      <c r="M903" s="1"/>
      <c r="N903" s="1"/>
      <c r="O903" s="1"/>
      <c r="P903" s="1"/>
      <c r="Q903" s="1"/>
      <c r="R903" s="1"/>
      <c r="S903" s="1"/>
    </row>
    <row r="904" ht="14.25" customHeight="1">
      <c r="A904" s="1112"/>
      <c r="B904" s="93" t="s">
        <v>39</v>
      </c>
      <c r="C904" s="195">
        <v>40.0</v>
      </c>
      <c r="D904" s="78">
        <f t="shared" si="67"/>
        <v>36</v>
      </c>
      <c r="E904" s="900"/>
      <c r="F904" s="95" t="s">
        <v>18</v>
      </c>
      <c r="G904" s="47"/>
      <c r="H904" s="1"/>
      <c r="I904" s="1"/>
      <c r="J904" s="1"/>
      <c r="K904" s="1"/>
      <c r="L904" s="1"/>
      <c r="M904" s="1"/>
      <c r="N904" s="1"/>
      <c r="O904" s="1"/>
      <c r="P904" s="1"/>
      <c r="Q904" s="1"/>
      <c r="R904" s="1"/>
      <c r="S904" s="1"/>
    </row>
    <row r="905" ht="14.25" customHeight="1">
      <c r="A905" s="1112"/>
      <c r="B905" s="105" t="s">
        <v>1274</v>
      </c>
      <c r="C905" s="200">
        <v>1.25</v>
      </c>
      <c r="D905" s="517">
        <f t="shared" si="67"/>
        <v>1.125</v>
      </c>
      <c r="E905" s="1656"/>
      <c r="F905" s="114" t="s">
        <v>14</v>
      </c>
      <c r="G905" s="76"/>
      <c r="H905" s="1"/>
      <c r="I905" s="1"/>
      <c r="J905" s="1"/>
      <c r="K905" s="1"/>
      <c r="L905" s="1"/>
      <c r="M905" s="1"/>
      <c r="N905" s="1"/>
      <c r="O905" s="1"/>
      <c r="P905" s="1"/>
      <c r="Q905" s="1"/>
      <c r="R905" s="1"/>
      <c r="S905" s="1"/>
    </row>
    <row r="906" ht="14.25" customHeight="1">
      <c r="A906" s="1112"/>
      <c r="B906" s="2367" t="s">
        <v>119</v>
      </c>
      <c r="C906" s="1446" t="s">
        <v>47</v>
      </c>
      <c r="D906" s="184"/>
      <c r="E906" s="184"/>
      <c r="F906" s="1"/>
      <c r="G906" s="1"/>
      <c r="H906" s="1"/>
      <c r="I906" s="1"/>
      <c r="J906" s="1"/>
      <c r="K906" s="1"/>
      <c r="L906" s="1"/>
      <c r="M906" s="1"/>
      <c r="N906" s="1"/>
      <c r="O906" s="1"/>
      <c r="P906" s="1"/>
      <c r="Q906" s="1"/>
      <c r="R906" s="1"/>
      <c r="S906" s="1"/>
    </row>
    <row r="907" ht="14.25" customHeight="1">
      <c r="A907" s="1112"/>
      <c r="B907" s="2987" t="s">
        <v>3402</v>
      </c>
      <c r="C907" s="5"/>
      <c r="D907" s="6"/>
      <c r="E907" s="2988"/>
      <c r="F907" s="1"/>
      <c r="G907" s="1"/>
      <c r="H907" s="1"/>
      <c r="I907" s="1"/>
      <c r="J907" s="1"/>
      <c r="K907" s="1"/>
      <c r="L907" s="1"/>
      <c r="M907" s="1"/>
      <c r="N907" s="1"/>
      <c r="O907" s="1"/>
      <c r="P907" s="1"/>
      <c r="Q907" s="1"/>
      <c r="R907" s="1"/>
      <c r="S907" s="1"/>
    </row>
    <row r="908" ht="14.25" customHeight="1">
      <c r="A908" s="1112"/>
      <c r="B908" s="63"/>
      <c r="D908" s="66"/>
      <c r="E908" s="2988"/>
      <c r="F908" s="1"/>
      <c r="G908" s="1"/>
      <c r="H908" s="1"/>
      <c r="I908" s="1"/>
      <c r="J908" s="1"/>
      <c r="K908" s="1"/>
      <c r="L908" s="1"/>
      <c r="M908" s="1"/>
      <c r="N908" s="1"/>
      <c r="O908" s="1"/>
      <c r="P908" s="1"/>
      <c r="Q908" s="1"/>
      <c r="R908" s="1"/>
      <c r="S908" s="1"/>
    </row>
    <row r="909" ht="14.25" customHeight="1">
      <c r="A909" s="1112"/>
      <c r="B909" s="102"/>
      <c r="C909" s="104"/>
      <c r="D909" s="106"/>
      <c r="E909" s="2988"/>
      <c r="F909" s="1"/>
      <c r="G909" s="1"/>
      <c r="H909" s="1"/>
      <c r="I909" s="1"/>
      <c r="J909" s="1"/>
      <c r="K909" s="1"/>
      <c r="L909" s="1"/>
      <c r="M909" s="1"/>
      <c r="N909" s="1"/>
      <c r="O909" s="1"/>
      <c r="P909" s="1"/>
      <c r="Q909" s="1"/>
      <c r="R909" s="1"/>
      <c r="S909" s="1"/>
    </row>
    <row r="910" ht="14.25" customHeight="1">
      <c r="A910" s="1"/>
      <c r="B910" s="1499" t="s">
        <v>49</v>
      </c>
      <c r="C910" s="2806">
        <v>42697.0</v>
      </c>
      <c r="D910" s="184"/>
      <c r="E910" s="184"/>
      <c r="F910" s="1"/>
      <c r="G910" s="1"/>
      <c r="H910" s="1"/>
      <c r="I910" s="1"/>
      <c r="J910" s="1"/>
      <c r="K910" s="1"/>
      <c r="L910" s="1"/>
      <c r="M910" s="1"/>
      <c r="N910" s="1"/>
      <c r="O910" s="1"/>
      <c r="P910" s="1"/>
      <c r="Q910" s="1"/>
      <c r="R910" s="1"/>
      <c r="S910" s="1"/>
    </row>
    <row r="911" ht="14.25" customHeight="1">
      <c r="A911" s="1"/>
      <c r="B911" s="664" t="s">
        <v>1486</v>
      </c>
      <c r="C911" s="2806">
        <v>42967.0</v>
      </c>
      <c r="D911" s="184"/>
      <c r="E911" s="184"/>
      <c r="F911" s="1"/>
      <c r="G911" s="1"/>
      <c r="H911" s="1"/>
      <c r="I911" s="1"/>
      <c r="J911" s="1"/>
      <c r="K911" s="1"/>
      <c r="L911" s="1"/>
      <c r="M911" s="1"/>
      <c r="N911" s="1"/>
      <c r="O911" s="1"/>
      <c r="P911" s="1"/>
      <c r="Q911" s="1"/>
      <c r="R911" s="1"/>
      <c r="S911" s="1"/>
    </row>
    <row r="912" ht="14.25" customHeight="1">
      <c r="A912" s="1112"/>
      <c r="B912" s="1"/>
      <c r="C912" s="107"/>
      <c r="D912" s="184"/>
      <c r="E912" s="184"/>
      <c r="F912" s="1"/>
      <c r="G912" s="1112"/>
      <c r="H912" s="1"/>
      <c r="I912" s="1"/>
      <c r="J912" s="1"/>
      <c r="K912" s="1"/>
      <c r="L912" s="1"/>
      <c r="M912" s="1"/>
      <c r="N912" s="1"/>
      <c r="O912" s="1"/>
      <c r="P912" s="1"/>
      <c r="Q912" s="1"/>
      <c r="R912" s="1"/>
      <c r="S912" s="1"/>
    </row>
    <row r="913" ht="14.25" customHeight="1">
      <c r="A913" s="1112"/>
      <c r="B913" s="2989" t="s">
        <v>993</v>
      </c>
      <c r="C913" s="18"/>
      <c r="D913" s="18"/>
      <c r="E913" s="18"/>
      <c r="F913" s="19"/>
      <c r="G913" s="2990"/>
      <c r="H913" s="1"/>
      <c r="I913" s="1"/>
      <c r="J913" s="1"/>
      <c r="K913" s="1"/>
      <c r="L913" s="1"/>
      <c r="M913" s="1"/>
      <c r="N913" s="1"/>
      <c r="O913" s="1"/>
      <c r="P913" s="1"/>
      <c r="Q913" s="1"/>
      <c r="R913" s="1"/>
      <c r="S913" s="1"/>
    </row>
    <row r="914" ht="14.25" customHeight="1">
      <c r="A914" s="1112"/>
      <c r="B914" s="1171" t="s">
        <v>1</v>
      </c>
      <c r="C914" s="275">
        <v>125.0</v>
      </c>
      <c r="D914" s="179">
        <v>12.0</v>
      </c>
      <c r="E914" s="1689"/>
      <c r="F914" s="1788" t="s">
        <v>5</v>
      </c>
      <c r="G914" s="44" t="s">
        <v>3403</v>
      </c>
      <c r="H914" s="1"/>
      <c r="I914" s="1"/>
      <c r="J914" s="1"/>
      <c r="K914" s="1"/>
      <c r="L914" s="1"/>
      <c r="M914" s="1"/>
      <c r="N914" s="1"/>
      <c r="O914" s="1"/>
      <c r="P914" s="1"/>
      <c r="Q914" s="1"/>
      <c r="R914" s="1"/>
      <c r="S914" s="1"/>
    </row>
    <row r="915" ht="14.25" customHeight="1">
      <c r="A915" s="1112"/>
      <c r="B915" s="1782" t="s">
        <v>3404</v>
      </c>
      <c r="C915" s="238">
        <v>20.0</v>
      </c>
      <c r="D915" s="129">
        <f t="shared" ref="D915:D960" si="68">(C915*D914)/C914</f>
        <v>1.92</v>
      </c>
      <c r="E915" s="1583"/>
      <c r="F915" s="1584" t="s">
        <v>14</v>
      </c>
      <c r="G915" s="47"/>
      <c r="H915" s="1"/>
      <c r="I915" s="1"/>
      <c r="J915" s="1"/>
      <c r="K915" s="1"/>
      <c r="L915" s="1"/>
      <c r="M915" s="1"/>
      <c r="N915" s="1"/>
      <c r="O915" s="1"/>
      <c r="P915" s="1"/>
      <c r="Q915" s="1"/>
      <c r="R915" s="1"/>
      <c r="S915" s="1"/>
    </row>
    <row r="916" ht="14.25" customHeight="1">
      <c r="A916" s="1112"/>
      <c r="B916" s="1783" t="s">
        <v>862</v>
      </c>
      <c r="C916" s="195">
        <v>15.0</v>
      </c>
      <c r="D916" s="78">
        <f t="shared" si="68"/>
        <v>1.44</v>
      </c>
      <c r="E916" s="900"/>
      <c r="F916" s="1588" t="s">
        <v>14</v>
      </c>
      <c r="G916" s="47"/>
      <c r="H916" s="1"/>
      <c r="I916" s="1"/>
      <c r="J916" s="1"/>
      <c r="K916" s="1"/>
      <c r="L916" s="1"/>
      <c r="M916" s="1"/>
      <c r="N916" s="1"/>
      <c r="O916" s="1"/>
      <c r="P916" s="1"/>
      <c r="Q916" s="1"/>
      <c r="R916" s="1"/>
      <c r="S916" s="1"/>
    </row>
    <row r="917" ht="14.25" customHeight="1">
      <c r="A917" s="1112"/>
      <c r="B917" s="1783" t="s">
        <v>1988</v>
      </c>
      <c r="C917" s="195">
        <v>5.0</v>
      </c>
      <c r="D917" s="78">
        <f t="shared" si="68"/>
        <v>0.48</v>
      </c>
      <c r="E917" s="900"/>
      <c r="F917" s="1588" t="s">
        <v>14</v>
      </c>
      <c r="G917" s="47"/>
      <c r="H917" s="1"/>
      <c r="I917" s="1"/>
      <c r="J917" s="1"/>
      <c r="K917" s="1"/>
      <c r="L917" s="1"/>
      <c r="M917" s="1"/>
      <c r="N917" s="1"/>
      <c r="O917" s="1"/>
      <c r="P917" s="1"/>
      <c r="Q917" s="1"/>
      <c r="R917" s="1"/>
      <c r="S917" s="1"/>
    </row>
    <row r="918" ht="14.25" customHeight="1">
      <c r="A918" s="1112"/>
      <c r="B918" s="1783" t="s">
        <v>822</v>
      </c>
      <c r="C918" s="195">
        <v>1000.0</v>
      </c>
      <c r="D918" s="78">
        <f t="shared" si="68"/>
        <v>96</v>
      </c>
      <c r="E918" s="900"/>
      <c r="F918" s="1588" t="s">
        <v>18</v>
      </c>
      <c r="G918" s="47"/>
      <c r="H918" s="1"/>
      <c r="I918" s="1"/>
      <c r="J918" s="1"/>
      <c r="K918" s="1"/>
      <c r="L918" s="1"/>
      <c r="M918" s="1"/>
      <c r="N918" s="1"/>
      <c r="O918" s="1"/>
      <c r="P918" s="1"/>
      <c r="Q918" s="1"/>
      <c r="R918" s="1"/>
      <c r="S918" s="1"/>
    </row>
    <row r="919" ht="14.25" customHeight="1">
      <c r="A919" s="1112"/>
      <c r="B919" s="1783" t="s">
        <v>346</v>
      </c>
      <c r="C919" s="195">
        <v>750.0</v>
      </c>
      <c r="D919" s="78">
        <f t="shared" si="68"/>
        <v>72</v>
      </c>
      <c r="E919" s="900"/>
      <c r="F919" s="1588" t="s">
        <v>18</v>
      </c>
      <c r="G919" s="47"/>
      <c r="H919" s="1"/>
      <c r="I919" s="1"/>
      <c r="J919" s="1"/>
      <c r="K919" s="1"/>
      <c r="L919" s="1"/>
      <c r="M919" s="1"/>
      <c r="N919" s="1"/>
      <c r="O919" s="1"/>
      <c r="P919" s="1"/>
      <c r="Q919" s="1"/>
      <c r="R919" s="1"/>
      <c r="S919" s="1"/>
    </row>
    <row r="920" ht="14.25" customHeight="1">
      <c r="A920" s="1112"/>
      <c r="B920" s="1783" t="s">
        <v>335</v>
      </c>
      <c r="C920" s="195">
        <v>4.0</v>
      </c>
      <c r="D920" s="78">
        <f t="shared" si="68"/>
        <v>0.384</v>
      </c>
      <c r="E920" s="900"/>
      <c r="F920" s="1588" t="s">
        <v>5</v>
      </c>
      <c r="G920" s="47"/>
      <c r="H920" s="1"/>
      <c r="I920" s="1"/>
      <c r="J920" s="1"/>
      <c r="K920" s="1"/>
      <c r="L920" s="1"/>
      <c r="M920" s="1"/>
      <c r="N920" s="1"/>
      <c r="O920" s="1"/>
      <c r="P920" s="1"/>
      <c r="Q920" s="1"/>
      <c r="R920" s="1"/>
      <c r="S920" s="1"/>
    </row>
    <row r="921" ht="14.25" customHeight="1">
      <c r="A921" s="1112"/>
      <c r="B921" s="2991" t="s">
        <v>31</v>
      </c>
      <c r="C921" s="279">
        <v>800.0</v>
      </c>
      <c r="D921" s="146">
        <f t="shared" si="68"/>
        <v>76.8</v>
      </c>
      <c r="E921" s="1607"/>
      <c r="F921" s="1599" t="s">
        <v>18</v>
      </c>
      <c r="G921" s="47"/>
      <c r="H921" s="1"/>
      <c r="I921" s="1"/>
      <c r="J921" s="1"/>
      <c r="K921" s="1"/>
      <c r="L921" s="1"/>
      <c r="M921" s="1"/>
      <c r="N921" s="1"/>
      <c r="O921" s="1"/>
      <c r="P921" s="1"/>
      <c r="Q921" s="1"/>
      <c r="R921" s="1"/>
      <c r="S921" s="1"/>
    </row>
    <row r="922" ht="14.25" customHeight="1">
      <c r="A922" s="1112"/>
      <c r="B922" s="1787" t="s">
        <v>2177</v>
      </c>
      <c r="C922" s="275">
        <v>2.5</v>
      </c>
      <c r="D922" s="179">
        <f t="shared" si="68"/>
        <v>0.24</v>
      </c>
      <c r="E922" s="1689"/>
      <c r="F922" s="1788" t="s">
        <v>14</v>
      </c>
      <c r="G922" s="76"/>
      <c r="H922" s="1"/>
      <c r="I922" s="1"/>
      <c r="J922" s="1"/>
      <c r="K922" s="1"/>
      <c r="L922" s="1"/>
      <c r="M922" s="1"/>
      <c r="N922" s="1"/>
      <c r="O922" s="1"/>
      <c r="P922" s="1"/>
      <c r="Q922" s="1"/>
      <c r="R922" s="1"/>
      <c r="S922" s="1"/>
    </row>
    <row r="923" ht="14.25" customHeight="1">
      <c r="A923" s="1112"/>
      <c r="B923" s="1779" t="s">
        <v>103</v>
      </c>
      <c r="C923" s="145">
        <v>100.0</v>
      </c>
      <c r="D923" s="155">
        <f t="shared" si="68"/>
        <v>9.6</v>
      </c>
      <c r="E923" s="899"/>
      <c r="F923" s="1579" t="s">
        <v>18</v>
      </c>
      <c r="G923" s="2992" t="s">
        <v>3406</v>
      </c>
      <c r="H923" s="1"/>
      <c r="I923" s="1"/>
      <c r="J923" s="1"/>
      <c r="K923" s="1"/>
      <c r="L923" s="1"/>
      <c r="M923" s="1"/>
      <c r="N923" s="1"/>
      <c r="O923" s="1"/>
      <c r="P923" s="1"/>
      <c r="Q923" s="1"/>
      <c r="R923" s="1"/>
      <c r="S923" s="1"/>
    </row>
    <row r="924" ht="14.25" customHeight="1">
      <c r="A924" s="1112"/>
      <c r="B924" s="1783" t="s">
        <v>31</v>
      </c>
      <c r="C924" s="195">
        <v>250.0</v>
      </c>
      <c r="D924" s="78">
        <f t="shared" si="68"/>
        <v>24</v>
      </c>
      <c r="E924" s="900"/>
      <c r="F924" s="1588" t="s">
        <v>18</v>
      </c>
      <c r="G924" s="47"/>
      <c r="H924" s="1"/>
      <c r="I924" s="1"/>
      <c r="J924" s="1"/>
      <c r="K924" s="1"/>
      <c r="L924" s="1"/>
      <c r="M924" s="1"/>
      <c r="N924" s="1"/>
      <c r="O924" s="1"/>
      <c r="P924" s="1"/>
      <c r="Q924" s="1"/>
      <c r="R924" s="1"/>
      <c r="S924" s="1"/>
    </row>
    <row r="925" ht="14.25" customHeight="1">
      <c r="A925" s="1112"/>
      <c r="B925" s="1783" t="s">
        <v>112</v>
      </c>
      <c r="C925" s="195">
        <v>100.0</v>
      </c>
      <c r="D925" s="78">
        <f t="shared" si="68"/>
        <v>9.6</v>
      </c>
      <c r="E925" s="900"/>
      <c r="F925" s="1588" t="s">
        <v>18</v>
      </c>
      <c r="G925" s="47"/>
      <c r="H925" s="1"/>
      <c r="I925" s="1"/>
      <c r="J925" s="1"/>
      <c r="K925" s="1"/>
      <c r="L925" s="1"/>
      <c r="M925" s="1"/>
      <c r="N925" s="1"/>
      <c r="O925" s="1"/>
      <c r="P925" s="1"/>
      <c r="Q925" s="1"/>
      <c r="R925" s="1"/>
      <c r="S925" s="1"/>
    </row>
    <row r="926" ht="14.25" customHeight="1">
      <c r="A926" s="1112"/>
      <c r="B926" s="1783" t="s">
        <v>252</v>
      </c>
      <c r="C926" s="195">
        <v>100.0</v>
      </c>
      <c r="D926" s="78">
        <f t="shared" si="68"/>
        <v>9.6</v>
      </c>
      <c r="E926" s="900"/>
      <c r="F926" s="1588" t="s">
        <v>18</v>
      </c>
      <c r="G926" s="47"/>
      <c r="H926" s="1"/>
      <c r="I926" s="1"/>
      <c r="J926" s="1"/>
      <c r="K926" s="1"/>
      <c r="L926" s="1"/>
      <c r="M926" s="1"/>
      <c r="N926" s="1"/>
      <c r="O926" s="1"/>
      <c r="P926" s="1"/>
      <c r="Q926" s="1"/>
      <c r="R926" s="1"/>
      <c r="S926" s="1"/>
    </row>
    <row r="927" ht="14.25" customHeight="1">
      <c r="A927" s="1112"/>
      <c r="B927" s="1783" t="s">
        <v>288</v>
      </c>
      <c r="C927" s="195">
        <v>200.0</v>
      </c>
      <c r="D927" s="78">
        <f t="shared" si="68"/>
        <v>19.2</v>
      </c>
      <c r="E927" s="900"/>
      <c r="F927" s="1588" t="s">
        <v>18</v>
      </c>
      <c r="G927" s="47"/>
      <c r="H927" s="1"/>
      <c r="I927" s="1"/>
      <c r="J927" s="1"/>
      <c r="K927" s="1"/>
      <c r="L927" s="1"/>
      <c r="M927" s="1"/>
      <c r="N927" s="1"/>
      <c r="O927" s="1"/>
      <c r="P927" s="1"/>
      <c r="Q927" s="1"/>
      <c r="R927" s="1"/>
      <c r="S927" s="1"/>
    </row>
    <row r="928" ht="14.25" customHeight="1">
      <c r="A928" s="1112"/>
      <c r="B928" s="1786" t="s">
        <v>1290</v>
      </c>
      <c r="C928" s="200">
        <v>250.0</v>
      </c>
      <c r="D928" s="56">
        <f t="shared" si="68"/>
        <v>24</v>
      </c>
      <c r="E928" s="1604"/>
      <c r="F928" s="1605" t="s">
        <v>18</v>
      </c>
      <c r="G928" s="76"/>
      <c r="H928" s="1"/>
      <c r="I928" s="1"/>
      <c r="J928" s="1"/>
      <c r="K928" s="1"/>
      <c r="L928" s="1"/>
      <c r="M928" s="1"/>
      <c r="N928" s="1"/>
      <c r="O928" s="1"/>
      <c r="P928" s="1"/>
      <c r="Q928" s="1"/>
      <c r="R928" s="1"/>
      <c r="S928" s="1"/>
    </row>
    <row r="929" ht="14.25" customHeight="1">
      <c r="A929" s="1112"/>
      <c r="B929" s="1779" t="s">
        <v>3407</v>
      </c>
      <c r="C929" s="145">
        <v>15.0</v>
      </c>
      <c r="D929" s="155">
        <f t="shared" si="68"/>
        <v>1.44</v>
      </c>
      <c r="E929" s="899"/>
      <c r="F929" s="1579" t="s">
        <v>14</v>
      </c>
      <c r="G929" s="44" t="s">
        <v>3408</v>
      </c>
      <c r="H929" s="1"/>
      <c r="I929" s="1"/>
      <c r="J929" s="1"/>
      <c r="K929" s="1"/>
      <c r="L929" s="1"/>
      <c r="M929" s="1"/>
      <c r="N929" s="1"/>
      <c r="O929" s="1"/>
      <c r="P929" s="1"/>
      <c r="Q929" s="1"/>
      <c r="R929" s="1"/>
      <c r="S929" s="1"/>
    </row>
    <row r="930" ht="14.25" customHeight="1">
      <c r="A930" s="1112"/>
      <c r="B930" s="2993" t="s">
        <v>3409</v>
      </c>
      <c r="C930" s="200">
        <v>7.5</v>
      </c>
      <c r="D930" s="56">
        <f t="shared" si="68"/>
        <v>0.72</v>
      </c>
      <c r="E930" s="1604"/>
      <c r="F930" s="1605" t="s">
        <v>14</v>
      </c>
      <c r="G930" s="76"/>
      <c r="H930" s="1"/>
      <c r="I930" s="1"/>
      <c r="J930" s="1"/>
      <c r="K930" s="1"/>
      <c r="L930" s="1"/>
      <c r="M930" s="1"/>
      <c r="N930" s="1"/>
      <c r="O930" s="1"/>
      <c r="P930" s="1"/>
      <c r="Q930" s="1"/>
      <c r="R930" s="1"/>
      <c r="S930" s="1"/>
    </row>
    <row r="931" ht="14.25" customHeight="1">
      <c r="A931" s="1"/>
      <c r="B931" s="1782" t="s">
        <v>1321</v>
      </c>
      <c r="C931" s="238">
        <v>150.0</v>
      </c>
      <c r="D931" s="129">
        <f t="shared" si="68"/>
        <v>14.4</v>
      </c>
      <c r="E931" s="1583"/>
      <c r="F931" s="1584" t="s">
        <v>18</v>
      </c>
      <c r="G931" s="44" t="s">
        <v>3410</v>
      </c>
      <c r="H931" s="1"/>
      <c r="I931" s="1"/>
      <c r="J931" s="1"/>
      <c r="K931" s="1"/>
      <c r="L931" s="1"/>
      <c r="M931" s="1"/>
      <c r="N931" s="1"/>
      <c r="O931" s="1"/>
      <c r="P931" s="1"/>
      <c r="Q931" s="1"/>
      <c r="R931" s="1"/>
      <c r="S931" s="1"/>
    </row>
    <row r="932" ht="14.25" customHeight="1">
      <c r="A932" s="1"/>
      <c r="B932" s="1780" t="s">
        <v>1274</v>
      </c>
      <c r="C932" s="152">
        <v>5.0</v>
      </c>
      <c r="D932" s="274">
        <f t="shared" si="68"/>
        <v>0.48</v>
      </c>
      <c r="E932" s="1690"/>
      <c r="F932" s="1781" t="s">
        <v>14</v>
      </c>
      <c r="G932" s="76"/>
      <c r="H932" s="1"/>
      <c r="I932" s="1"/>
      <c r="J932" s="1"/>
      <c r="K932" s="1"/>
      <c r="L932" s="1"/>
      <c r="M932" s="1"/>
      <c r="N932" s="1"/>
      <c r="O932" s="1"/>
      <c r="P932" s="1"/>
      <c r="Q932" s="1"/>
      <c r="R932" s="1"/>
      <c r="S932" s="1"/>
    </row>
    <row r="933" ht="14.25" customHeight="1">
      <c r="A933" s="2279"/>
      <c r="B933" s="1780" t="s">
        <v>1278</v>
      </c>
      <c r="C933" s="152">
        <v>10.0</v>
      </c>
      <c r="D933" s="274">
        <f t="shared" si="68"/>
        <v>0.96</v>
      </c>
      <c r="E933" s="1690"/>
      <c r="F933" s="1781" t="s">
        <v>5</v>
      </c>
      <c r="G933" s="2038"/>
      <c r="H933" s="1"/>
      <c r="I933" s="1"/>
      <c r="J933" s="1"/>
      <c r="K933" s="1"/>
      <c r="L933" s="1"/>
      <c r="M933" s="1"/>
      <c r="N933" s="1"/>
      <c r="O933" s="1"/>
      <c r="P933" s="1"/>
      <c r="Q933" s="1"/>
      <c r="R933" s="1"/>
      <c r="S933" s="1"/>
    </row>
    <row r="934" ht="14.25" customHeight="1">
      <c r="A934" s="2279"/>
      <c r="B934" s="2994" t="s">
        <v>3411</v>
      </c>
      <c r="C934" s="418">
        <v>2000.0</v>
      </c>
      <c r="D934" s="542">
        <f t="shared" si="68"/>
        <v>192</v>
      </c>
      <c r="E934" s="1614"/>
      <c r="F934" s="1616" t="s">
        <v>3412</v>
      </c>
      <c r="G934" s="2995"/>
      <c r="H934" s="1"/>
      <c r="I934" s="1"/>
      <c r="J934" s="1"/>
      <c r="K934" s="1"/>
      <c r="L934" s="1"/>
      <c r="M934" s="1"/>
      <c r="N934" s="1"/>
      <c r="O934" s="1"/>
      <c r="P934" s="1"/>
      <c r="Q934" s="1"/>
      <c r="R934" s="1"/>
      <c r="S934" s="1"/>
    </row>
    <row r="935" ht="14.25" customHeight="1">
      <c r="A935" s="2279"/>
      <c r="B935" s="2996" t="s">
        <v>3413</v>
      </c>
      <c r="C935" s="275">
        <v>100.0</v>
      </c>
      <c r="D935" s="179">
        <f t="shared" si="68"/>
        <v>9.6</v>
      </c>
      <c r="E935" s="1689"/>
      <c r="F935" s="1788" t="s">
        <v>5</v>
      </c>
      <c r="G935" s="284"/>
      <c r="H935" s="1"/>
      <c r="I935" s="1"/>
      <c r="J935" s="1"/>
      <c r="K935" s="1"/>
      <c r="L935" s="1"/>
      <c r="M935" s="1"/>
      <c r="N935" s="1"/>
      <c r="O935" s="1"/>
      <c r="P935" s="1"/>
      <c r="Q935" s="1"/>
      <c r="R935" s="1"/>
      <c r="S935" s="1"/>
    </row>
    <row r="936" ht="14.25" customHeight="1">
      <c r="A936" s="1112"/>
      <c r="B936" s="119" t="s">
        <v>91</v>
      </c>
      <c r="C936" s="238">
        <v>5.0</v>
      </c>
      <c r="D936" s="129">
        <f t="shared" si="68"/>
        <v>0.48</v>
      </c>
      <c r="E936" s="1583"/>
      <c r="F936" s="520" t="s">
        <v>5</v>
      </c>
      <c r="G936" s="194" t="s">
        <v>3077</v>
      </c>
      <c r="H936" s="1"/>
      <c r="I936" s="1"/>
      <c r="J936" s="1"/>
      <c r="K936" s="1"/>
      <c r="L936" s="1"/>
      <c r="M936" s="1"/>
      <c r="N936" s="1"/>
      <c r="O936" s="1"/>
      <c r="P936" s="1"/>
      <c r="Q936" s="1"/>
      <c r="R936" s="1"/>
      <c r="S936" s="1"/>
    </row>
    <row r="937" ht="14.25" customHeight="1">
      <c r="A937" s="1112"/>
      <c r="B937" s="93" t="s">
        <v>98</v>
      </c>
      <c r="C937" s="195">
        <v>250.0</v>
      </c>
      <c r="D937" s="78">
        <f t="shared" si="68"/>
        <v>24</v>
      </c>
      <c r="E937" s="900"/>
      <c r="F937" s="249" t="s">
        <v>18</v>
      </c>
      <c r="G937" s="63"/>
      <c r="H937" s="1"/>
      <c r="I937" s="1"/>
      <c r="J937" s="1"/>
      <c r="K937" s="1"/>
      <c r="L937" s="1"/>
      <c r="M937" s="1"/>
      <c r="N937" s="1"/>
      <c r="O937" s="1"/>
      <c r="P937" s="1"/>
      <c r="Q937" s="1"/>
      <c r="R937" s="1"/>
      <c r="S937" s="1"/>
    </row>
    <row r="938" ht="14.25" customHeight="1">
      <c r="A938" s="1112"/>
      <c r="B938" s="93" t="s">
        <v>113</v>
      </c>
      <c r="C938" s="195">
        <v>100.0</v>
      </c>
      <c r="D938" s="78">
        <f t="shared" si="68"/>
        <v>9.6</v>
      </c>
      <c r="E938" s="900"/>
      <c r="F938" s="249" t="s">
        <v>18</v>
      </c>
      <c r="G938" s="63"/>
      <c r="H938" s="1"/>
      <c r="I938" s="1"/>
      <c r="J938" s="1"/>
      <c r="K938" s="1"/>
      <c r="L938" s="1"/>
      <c r="M938" s="1"/>
      <c r="N938" s="1"/>
      <c r="O938" s="1"/>
      <c r="P938" s="1"/>
      <c r="Q938" s="1"/>
      <c r="R938" s="1"/>
      <c r="S938" s="1"/>
    </row>
    <row r="939" ht="14.25" customHeight="1">
      <c r="A939" s="1112"/>
      <c r="B939" s="93" t="s">
        <v>66</v>
      </c>
      <c r="C939" s="195">
        <v>25.0</v>
      </c>
      <c r="D939" s="78">
        <f t="shared" si="68"/>
        <v>2.4</v>
      </c>
      <c r="E939" s="900"/>
      <c r="F939" s="249" t="s">
        <v>18</v>
      </c>
      <c r="G939" s="63"/>
      <c r="H939" s="1"/>
      <c r="I939" s="1"/>
      <c r="J939" s="1"/>
      <c r="K939" s="1"/>
      <c r="L939" s="1"/>
      <c r="M939" s="1"/>
      <c r="N939" s="1"/>
      <c r="O939" s="1"/>
      <c r="P939" s="1"/>
      <c r="Q939" s="1"/>
      <c r="R939" s="1"/>
      <c r="S939" s="1"/>
    </row>
    <row r="940" ht="14.25" customHeight="1">
      <c r="A940" s="1112"/>
      <c r="B940" s="138" t="s">
        <v>103</v>
      </c>
      <c r="C940" s="279">
        <v>150.0</v>
      </c>
      <c r="D940" s="146">
        <f t="shared" si="68"/>
        <v>14.4</v>
      </c>
      <c r="E940" s="1607"/>
      <c r="F940" s="242" t="s">
        <v>18</v>
      </c>
      <c r="G940" s="102"/>
      <c r="H940" s="1"/>
      <c r="I940" s="1"/>
      <c r="J940" s="1"/>
      <c r="K940" s="1"/>
      <c r="L940" s="1"/>
      <c r="M940" s="1"/>
      <c r="N940" s="1"/>
      <c r="O940" s="1"/>
      <c r="P940" s="1"/>
      <c r="Q940" s="1"/>
      <c r="R940" s="1"/>
      <c r="S940" s="1"/>
    </row>
    <row r="941" ht="14.25" customHeight="1">
      <c r="A941" s="1112"/>
      <c r="B941" s="68" t="s">
        <v>149</v>
      </c>
      <c r="C941" s="145">
        <v>750.0</v>
      </c>
      <c r="D941" s="155">
        <f t="shared" si="68"/>
        <v>72</v>
      </c>
      <c r="E941" s="899"/>
      <c r="F941" s="216" t="s">
        <v>18</v>
      </c>
      <c r="G941" s="44" t="s">
        <v>3414</v>
      </c>
      <c r="H941" s="1"/>
      <c r="I941" s="1"/>
      <c r="J941" s="1"/>
      <c r="K941" s="1"/>
      <c r="L941" s="1"/>
      <c r="M941" s="1"/>
      <c r="N941" s="1"/>
      <c r="O941" s="1"/>
      <c r="P941" s="1"/>
      <c r="Q941" s="1"/>
      <c r="R941" s="1"/>
      <c r="S941" s="1"/>
    </row>
    <row r="942" ht="14.25" customHeight="1">
      <c r="A942" s="1112"/>
      <c r="B942" s="138" t="s">
        <v>39</v>
      </c>
      <c r="C942" s="279">
        <v>500.0</v>
      </c>
      <c r="D942" s="146">
        <f t="shared" si="68"/>
        <v>48</v>
      </c>
      <c r="E942" s="1607"/>
      <c r="F942" s="242" t="s">
        <v>18</v>
      </c>
      <c r="G942" s="47"/>
      <c r="H942" s="1"/>
      <c r="I942" s="1"/>
      <c r="J942" s="1"/>
      <c r="K942" s="1"/>
      <c r="L942" s="1"/>
      <c r="M942" s="1"/>
      <c r="N942" s="1"/>
      <c r="O942" s="1"/>
      <c r="P942" s="1"/>
      <c r="Q942" s="1"/>
      <c r="R942" s="1"/>
      <c r="S942" s="1"/>
    </row>
    <row r="943" ht="14.25" customHeight="1">
      <c r="A943" s="1112"/>
      <c r="B943" s="93" t="s">
        <v>162</v>
      </c>
      <c r="C943" s="195">
        <v>500.0</v>
      </c>
      <c r="D943" s="78">
        <f t="shared" si="68"/>
        <v>48</v>
      </c>
      <c r="E943" s="900"/>
      <c r="F943" s="249" t="s">
        <v>18</v>
      </c>
      <c r="G943" s="47"/>
      <c r="H943" s="1"/>
      <c r="I943" s="1"/>
      <c r="J943" s="1"/>
      <c r="K943" s="1"/>
      <c r="L943" s="1"/>
      <c r="M943" s="1"/>
      <c r="N943" s="1"/>
      <c r="O943" s="1"/>
      <c r="P943" s="1"/>
      <c r="Q943" s="1"/>
      <c r="R943" s="1"/>
      <c r="S943" s="1"/>
    </row>
    <row r="944" ht="14.25" customHeight="1">
      <c r="A944" s="1112"/>
      <c r="B944" s="898" t="s">
        <v>2150</v>
      </c>
      <c r="C944" s="195">
        <v>75.0</v>
      </c>
      <c r="D944" s="78">
        <f t="shared" si="68"/>
        <v>7.2</v>
      </c>
      <c r="E944" s="900"/>
      <c r="F944" s="1302" t="s">
        <v>18</v>
      </c>
      <c r="G944" s="47"/>
      <c r="H944" s="1"/>
      <c r="I944" s="1"/>
      <c r="J944" s="1"/>
      <c r="K944" s="1"/>
      <c r="L944" s="1"/>
      <c r="M944" s="1"/>
      <c r="N944" s="1"/>
      <c r="O944" s="1"/>
      <c r="P944" s="1"/>
      <c r="Q944" s="1"/>
      <c r="R944" s="1"/>
      <c r="S944" s="1"/>
    </row>
    <row r="945" ht="14.25" customHeight="1">
      <c r="A945" s="1112"/>
      <c r="B945" s="898" t="s">
        <v>884</v>
      </c>
      <c r="C945" s="195">
        <v>50.0</v>
      </c>
      <c r="D945" s="78">
        <f t="shared" si="68"/>
        <v>4.8</v>
      </c>
      <c r="E945" s="900"/>
      <c r="F945" s="1302" t="s">
        <v>18</v>
      </c>
      <c r="G945" s="47"/>
      <c r="H945" s="1"/>
      <c r="I945" s="1"/>
      <c r="J945" s="1"/>
      <c r="K945" s="1"/>
      <c r="L945" s="1"/>
      <c r="M945" s="1"/>
      <c r="N945" s="1"/>
      <c r="O945" s="1"/>
      <c r="P945" s="1"/>
      <c r="Q945" s="1"/>
      <c r="R945" s="1"/>
      <c r="S945" s="1"/>
    </row>
    <row r="946" ht="14.25" customHeight="1">
      <c r="A946" s="1112"/>
      <c r="B946" s="898" t="s">
        <v>102</v>
      </c>
      <c r="C946" s="195">
        <v>39.999999999999986</v>
      </c>
      <c r="D946" s="78">
        <f t="shared" si="68"/>
        <v>3.84</v>
      </c>
      <c r="E946" s="900"/>
      <c r="F946" s="1302" t="s">
        <v>18</v>
      </c>
      <c r="G946" s="47"/>
      <c r="H946" s="1"/>
      <c r="I946" s="1"/>
      <c r="J946" s="1"/>
      <c r="K946" s="1"/>
      <c r="L946" s="1"/>
      <c r="M946" s="1"/>
      <c r="N946" s="1"/>
      <c r="O946" s="1"/>
      <c r="P946" s="1"/>
      <c r="Q946" s="1"/>
      <c r="R946" s="1"/>
      <c r="S946" s="1"/>
    </row>
    <row r="947" ht="14.25" customHeight="1">
      <c r="A947" s="1112"/>
      <c r="B947" s="898" t="s">
        <v>210</v>
      </c>
      <c r="C947" s="195">
        <v>39.999999999999986</v>
      </c>
      <c r="D947" s="78">
        <f t="shared" si="68"/>
        <v>3.84</v>
      </c>
      <c r="E947" s="900"/>
      <c r="F947" s="1302" t="s">
        <v>18</v>
      </c>
      <c r="G947" s="47"/>
      <c r="H947" s="1"/>
      <c r="I947" s="1"/>
      <c r="J947" s="1"/>
      <c r="K947" s="1"/>
      <c r="L947" s="1"/>
      <c r="M947" s="1"/>
      <c r="N947" s="1"/>
      <c r="O947" s="1"/>
      <c r="P947" s="1"/>
      <c r="Q947" s="1"/>
      <c r="R947" s="1"/>
      <c r="S947" s="1"/>
    </row>
    <row r="948" ht="14.25" customHeight="1">
      <c r="A948" s="1112"/>
      <c r="B948" s="898" t="s">
        <v>96</v>
      </c>
      <c r="C948" s="195">
        <v>19.999999999999993</v>
      </c>
      <c r="D948" s="78">
        <f t="shared" si="68"/>
        <v>1.92</v>
      </c>
      <c r="E948" s="900"/>
      <c r="F948" s="1302" t="s">
        <v>18</v>
      </c>
      <c r="G948" s="47"/>
      <c r="H948" s="1"/>
      <c r="I948" s="1"/>
      <c r="J948" s="1"/>
      <c r="K948" s="1"/>
      <c r="L948" s="1"/>
      <c r="M948" s="1"/>
      <c r="N948" s="1"/>
      <c r="O948" s="1"/>
      <c r="P948" s="1"/>
      <c r="Q948" s="1"/>
      <c r="R948" s="1"/>
      <c r="S948" s="1"/>
    </row>
    <row r="949" ht="14.25" customHeight="1">
      <c r="A949" s="1112"/>
      <c r="B949" s="898" t="s">
        <v>95</v>
      </c>
      <c r="C949" s="195">
        <v>39.999999999999986</v>
      </c>
      <c r="D949" s="78">
        <f t="shared" si="68"/>
        <v>3.84</v>
      </c>
      <c r="E949" s="900"/>
      <c r="F949" s="1302" t="s">
        <v>18</v>
      </c>
      <c r="G949" s="47"/>
      <c r="H949" s="1"/>
      <c r="I949" s="1"/>
      <c r="J949" s="1"/>
      <c r="K949" s="1"/>
      <c r="L949" s="1"/>
      <c r="M949" s="1"/>
      <c r="N949" s="1"/>
      <c r="O949" s="1"/>
      <c r="P949" s="1"/>
      <c r="Q949" s="1"/>
      <c r="R949" s="1"/>
      <c r="S949" s="1"/>
    </row>
    <row r="950" ht="14.25" customHeight="1">
      <c r="A950" s="1112"/>
      <c r="B950" s="1151" t="s">
        <v>3415</v>
      </c>
      <c r="C950" s="200">
        <v>1.0</v>
      </c>
      <c r="D950" s="56">
        <f t="shared" si="68"/>
        <v>0.096</v>
      </c>
      <c r="E950" s="1604"/>
      <c r="F950" s="1722" t="s">
        <v>14</v>
      </c>
      <c r="G950" s="76"/>
      <c r="H950" s="1"/>
      <c r="I950" s="1"/>
      <c r="J950" s="1"/>
      <c r="K950" s="1"/>
      <c r="L950" s="1"/>
      <c r="M950" s="1"/>
      <c r="N950" s="1"/>
      <c r="O950" s="1"/>
      <c r="P950" s="1"/>
      <c r="Q950" s="1"/>
      <c r="R950" s="1"/>
      <c r="S950" s="1"/>
    </row>
    <row r="951" ht="14.25" customHeight="1">
      <c r="A951" s="1112"/>
      <c r="B951" s="119" t="s">
        <v>1091</v>
      </c>
      <c r="C951" s="238">
        <v>250.0</v>
      </c>
      <c r="D951" s="129">
        <f t="shared" si="68"/>
        <v>24</v>
      </c>
      <c r="E951" s="1583"/>
      <c r="F951" s="520" t="s">
        <v>18</v>
      </c>
      <c r="G951" s="194"/>
      <c r="H951" s="1"/>
      <c r="I951" s="1"/>
      <c r="J951" s="1"/>
      <c r="K951" s="1"/>
      <c r="L951" s="1"/>
      <c r="M951" s="1"/>
      <c r="N951" s="1"/>
      <c r="O951" s="1"/>
      <c r="P951" s="1"/>
      <c r="Q951" s="1"/>
      <c r="R951" s="1"/>
      <c r="S951" s="1"/>
    </row>
    <row r="952" ht="14.25" customHeight="1">
      <c r="A952" s="1112"/>
      <c r="B952" s="93" t="s">
        <v>1092</v>
      </c>
      <c r="C952" s="195">
        <v>75.0</v>
      </c>
      <c r="D952" s="78">
        <f t="shared" si="68"/>
        <v>7.2</v>
      </c>
      <c r="E952" s="900"/>
      <c r="F952" s="249" t="s">
        <v>14</v>
      </c>
      <c r="G952" s="63"/>
      <c r="H952" s="1"/>
      <c r="I952" s="1"/>
      <c r="J952" s="1"/>
      <c r="K952" s="1"/>
      <c r="L952" s="1"/>
      <c r="M952" s="1"/>
      <c r="N952" s="1"/>
      <c r="O952" s="1"/>
      <c r="P952" s="1"/>
      <c r="Q952" s="1"/>
      <c r="R952" s="1"/>
      <c r="S952" s="1"/>
    </row>
    <row r="953" ht="14.25" customHeight="1">
      <c r="A953" s="1112"/>
      <c r="B953" s="105" t="s">
        <v>3083</v>
      </c>
      <c r="C953" s="200">
        <v>300.0</v>
      </c>
      <c r="D953" s="56">
        <f t="shared" si="68"/>
        <v>28.8</v>
      </c>
      <c r="E953" s="1604"/>
      <c r="F953" s="518" t="s">
        <v>18</v>
      </c>
      <c r="G953" s="102"/>
      <c r="H953" s="1"/>
      <c r="I953" s="1"/>
      <c r="J953" s="1"/>
      <c r="K953" s="1"/>
      <c r="L953" s="1"/>
      <c r="M953" s="1"/>
      <c r="N953" s="1"/>
      <c r="O953" s="1"/>
      <c r="P953" s="1"/>
      <c r="Q953" s="1"/>
      <c r="R953" s="1"/>
      <c r="S953" s="1"/>
    </row>
    <row r="954" ht="14.25" customHeight="1">
      <c r="A954" s="1112"/>
      <c r="B954" s="119" t="s">
        <v>1027</v>
      </c>
      <c r="C954" s="238">
        <v>500.0</v>
      </c>
      <c r="D954" s="129">
        <f t="shared" si="68"/>
        <v>48</v>
      </c>
      <c r="E954" s="1583"/>
      <c r="F954" s="520" t="s">
        <v>18</v>
      </c>
      <c r="G954" s="194" t="s">
        <v>3416</v>
      </c>
      <c r="H954" s="1"/>
      <c r="I954" s="1"/>
      <c r="J954" s="1"/>
      <c r="K954" s="1"/>
      <c r="L954" s="1"/>
      <c r="M954" s="1"/>
      <c r="N954" s="1"/>
      <c r="O954" s="1"/>
      <c r="P954" s="1"/>
      <c r="Q954" s="1"/>
      <c r="R954" s="1"/>
      <c r="S954" s="1"/>
    </row>
    <row r="955" ht="14.25" customHeight="1">
      <c r="A955" s="1112"/>
      <c r="B955" s="93" t="s">
        <v>105</v>
      </c>
      <c r="C955" s="195">
        <v>250.0</v>
      </c>
      <c r="D955" s="78">
        <f t="shared" si="68"/>
        <v>24</v>
      </c>
      <c r="E955" s="900"/>
      <c r="F955" s="249" t="s">
        <v>18</v>
      </c>
      <c r="G955" s="63"/>
      <c r="H955" s="1"/>
      <c r="I955" s="1"/>
      <c r="J955" s="1"/>
      <c r="K955" s="1"/>
      <c r="L955" s="1"/>
      <c r="M955" s="1"/>
      <c r="N955" s="1"/>
      <c r="O955" s="1"/>
      <c r="P955" s="1"/>
      <c r="Q955" s="1"/>
      <c r="R955" s="1"/>
      <c r="S955" s="1"/>
    </row>
    <row r="956" ht="14.25" customHeight="1">
      <c r="A956" s="1112"/>
      <c r="B956" s="93" t="s">
        <v>13</v>
      </c>
      <c r="C956" s="195">
        <v>1.5</v>
      </c>
      <c r="D956" s="78">
        <f t="shared" si="68"/>
        <v>0.144</v>
      </c>
      <c r="E956" s="900"/>
      <c r="F956" s="249" t="s">
        <v>14</v>
      </c>
      <c r="G956" s="63"/>
      <c r="H956" s="1"/>
      <c r="I956" s="1"/>
      <c r="J956" s="1"/>
      <c r="K956" s="1"/>
      <c r="L956" s="1"/>
      <c r="M956" s="1"/>
      <c r="N956" s="1"/>
      <c r="O956" s="1"/>
      <c r="P956" s="1"/>
      <c r="Q956" s="1"/>
      <c r="R956" s="1"/>
      <c r="S956" s="1"/>
    </row>
    <row r="957" ht="14.25" customHeight="1">
      <c r="A957" s="1"/>
      <c r="B957" s="138" t="s">
        <v>31</v>
      </c>
      <c r="C957" s="279">
        <v>750.0</v>
      </c>
      <c r="D957" s="146">
        <f t="shared" si="68"/>
        <v>72</v>
      </c>
      <c r="E957" s="1607"/>
      <c r="F957" s="242" t="s">
        <v>18</v>
      </c>
      <c r="G957" s="102"/>
      <c r="H957" s="1"/>
      <c r="I957" s="1"/>
      <c r="J957" s="1"/>
      <c r="K957" s="1"/>
      <c r="L957" s="1"/>
      <c r="M957" s="1"/>
      <c r="N957" s="1"/>
      <c r="O957" s="1"/>
      <c r="P957" s="1"/>
      <c r="Q957" s="1"/>
      <c r="R957" s="1"/>
      <c r="S957" s="1"/>
    </row>
    <row r="958" ht="14.25" customHeight="1">
      <c r="A958" s="1"/>
      <c r="B958" s="173" t="s">
        <v>1274</v>
      </c>
      <c r="C958" s="275">
        <v>1.0</v>
      </c>
      <c r="D958" s="179">
        <f t="shared" si="68"/>
        <v>0.096</v>
      </c>
      <c r="E958" s="1689"/>
      <c r="F958" s="547" t="s">
        <v>14</v>
      </c>
      <c r="G958" s="207" t="s">
        <v>3417</v>
      </c>
      <c r="H958" s="1"/>
      <c r="I958" s="1"/>
      <c r="J958" s="1"/>
      <c r="K958" s="1"/>
      <c r="L958" s="1"/>
      <c r="M958" s="1"/>
      <c r="N958" s="1"/>
      <c r="O958" s="1"/>
      <c r="P958" s="1"/>
      <c r="Q958" s="1"/>
      <c r="R958" s="1"/>
      <c r="S958" s="1"/>
    </row>
    <row r="959" ht="14.25" customHeight="1">
      <c r="A959" s="1"/>
      <c r="B959" s="119" t="s">
        <v>288</v>
      </c>
      <c r="C959" s="238">
        <v>250.0</v>
      </c>
      <c r="D959" s="129">
        <f t="shared" si="68"/>
        <v>24</v>
      </c>
      <c r="E959" s="1583"/>
      <c r="F959" s="520" t="s">
        <v>18</v>
      </c>
      <c r="G959" s="194" t="s">
        <v>3311</v>
      </c>
      <c r="H959" s="1"/>
      <c r="I959" s="1"/>
      <c r="J959" s="1"/>
      <c r="K959" s="1"/>
      <c r="L959" s="1"/>
      <c r="M959" s="1"/>
      <c r="N959" s="1"/>
      <c r="O959" s="1"/>
      <c r="P959" s="1"/>
      <c r="Q959" s="1"/>
      <c r="R959" s="1"/>
      <c r="S959" s="1"/>
    </row>
    <row r="960" ht="14.25" customHeight="1">
      <c r="A960" s="1112"/>
      <c r="B960" s="105" t="s">
        <v>3418</v>
      </c>
      <c r="C960" s="200">
        <v>10.0</v>
      </c>
      <c r="D960" s="56">
        <f t="shared" si="68"/>
        <v>0.96</v>
      </c>
      <c r="E960" s="1604"/>
      <c r="F960" s="518" t="s">
        <v>5</v>
      </c>
      <c r="G960" s="102"/>
      <c r="H960" s="1"/>
      <c r="I960" s="1"/>
      <c r="J960" s="1"/>
      <c r="K960" s="1"/>
      <c r="L960" s="1"/>
      <c r="M960" s="1"/>
      <c r="N960" s="1"/>
      <c r="O960" s="1"/>
      <c r="P960" s="1"/>
      <c r="Q960" s="1"/>
      <c r="R960" s="1"/>
      <c r="S960" s="1"/>
    </row>
    <row r="961" ht="14.25" customHeight="1">
      <c r="A961" s="1112"/>
      <c r="B961" s="2367" t="s">
        <v>119</v>
      </c>
      <c r="C961" s="1446" t="s">
        <v>47</v>
      </c>
      <c r="D961" s="184"/>
      <c r="E961" s="184"/>
      <c r="F961" s="1"/>
      <c r="G961" s="1"/>
      <c r="H961" s="1"/>
      <c r="I961" s="1"/>
      <c r="J961" s="1"/>
      <c r="K961" s="1"/>
      <c r="L961" s="1"/>
      <c r="M961" s="1"/>
      <c r="N961" s="1"/>
      <c r="O961" s="1"/>
      <c r="P961" s="1"/>
      <c r="Q961" s="1"/>
      <c r="R961" s="1"/>
      <c r="S961" s="1"/>
    </row>
    <row r="962" ht="14.25" customHeight="1">
      <c r="A962" s="1112"/>
      <c r="B962" s="203" t="s">
        <v>120</v>
      </c>
      <c r="C962" s="1363">
        <v>41807.0</v>
      </c>
      <c r="D962" s="1838"/>
      <c r="E962" s="1838"/>
      <c r="F962" s="1"/>
      <c r="G962" s="1"/>
      <c r="H962" s="1"/>
      <c r="I962" s="1"/>
      <c r="J962" s="1"/>
      <c r="K962" s="1"/>
      <c r="L962" s="1"/>
      <c r="M962" s="1"/>
      <c r="N962" s="1"/>
      <c r="O962" s="1"/>
      <c r="P962" s="1"/>
      <c r="Q962" s="1"/>
      <c r="R962" s="1"/>
      <c r="S962" s="1"/>
    </row>
    <row r="963" ht="14.25" customHeight="1">
      <c r="A963" s="1112"/>
      <c r="B963" s="203" t="s">
        <v>50</v>
      </c>
      <c r="C963" s="1363">
        <v>41807.0</v>
      </c>
      <c r="D963" s="1838"/>
      <c r="E963" s="1838"/>
      <c r="F963" s="1"/>
      <c r="G963" s="1"/>
      <c r="H963" s="1"/>
      <c r="I963" s="1"/>
      <c r="J963" s="1"/>
      <c r="K963" s="1"/>
      <c r="L963" s="1"/>
      <c r="M963" s="1"/>
      <c r="N963" s="1"/>
      <c r="O963" s="1"/>
      <c r="P963" s="1"/>
      <c r="Q963" s="1"/>
      <c r="R963" s="1"/>
      <c r="S963" s="1"/>
    </row>
    <row r="964" ht="14.25" customHeight="1">
      <c r="A964" s="1112"/>
      <c r="B964" s="1"/>
      <c r="C964" s="107"/>
      <c r="D964" s="184"/>
      <c r="E964" s="184"/>
      <c r="F964" s="1"/>
      <c r="G964" s="1112"/>
      <c r="H964" s="1"/>
      <c r="I964" s="1"/>
      <c r="J964" s="1"/>
      <c r="K964" s="1"/>
      <c r="L964" s="1"/>
      <c r="M964" s="1"/>
      <c r="N964" s="1"/>
      <c r="O964" s="1"/>
      <c r="P964" s="1"/>
      <c r="Q964" s="1"/>
      <c r="R964" s="1"/>
      <c r="S964" s="1"/>
    </row>
    <row r="965" ht="14.25" customHeight="1">
      <c r="A965" s="1112"/>
      <c r="B965" s="505" t="s">
        <v>3419</v>
      </c>
      <c r="C965" s="18"/>
      <c r="D965" s="18"/>
      <c r="E965" s="18"/>
      <c r="F965" s="19"/>
      <c r="G965" s="141"/>
      <c r="H965" s="1"/>
      <c r="I965" s="1"/>
      <c r="J965" s="1"/>
      <c r="K965" s="1"/>
      <c r="L965" s="1"/>
      <c r="M965" s="1"/>
      <c r="N965" s="1"/>
      <c r="O965" s="107"/>
      <c r="P965" s="107"/>
      <c r="Q965" s="107"/>
      <c r="R965" s="1"/>
      <c r="S965" s="1"/>
    </row>
    <row r="966" ht="14.25" customHeight="1">
      <c r="A966" s="1112"/>
      <c r="B966" s="512" t="s">
        <v>1</v>
      </c>
      <c r="C966" s="190">
        <v>100.0</v>
      </c>
      <c r="D966" s="1274">
        <v>362.0</v>
      </c>
      <c r="E966" s="1576"/>
      <c r="F966" s="514" t="s">
        <v>190</v>
      </c>
      <c r="G966" s="1112"/>
      <c r="H966" s="1"/>
      <c r="I966" s="1"/>
      <c r="J966" s="1"/>
      <c r="K966" s="1"/>
      <c r="L966" s="1"/>
      <c r="M966" s="1"/>
      <c r="N966" s="2997" t="s">
        <v>3420</v>
      </c>
      <c r="O966" s="2998"/>
      <c r="P966" s="2998"/>
      <c r="Q966" s="2999"/>
      <c r="R966" s="994" t="s">
        <v>3421</v>
      </c>
      <c r="S966" s="994" t="s">
        <v>3422</v>
      </c>
    </row>
    <row r="967" ht="14.25" customHeight="1">
      <c r="A967" s="1112"/>
      <c r="B967" s="68" t="s">
        <v>91</v>
      </c>
      <c r="C967" s="1202">
        <v>5.0</v>
      </c>
      <c r="D967" s="73">
        <f t="shared" ref="D967:D1000" si="69">(C967*D966)/C966</f>
        <v>18.1</v>
      </c>
      <c r="E967" s="1620"/>
      <c r="F967" s="216" t="s">
        <v>5</v>
      </c>
      <c r="G967" s="44" t="s">
        <v>3423</v>
      </c>
      <c r="H967" s="1"/>
      <c r="I967" s="1"/>
      <c r="J967" s="1"/>
      <c r="K967" s="1"/>
      <c r="L967" s="1"/>
      <c r="M967" s="1"/>
      <c r="N967" s="3000" t="s">
        <v>1</v>
      </c>
      <c r="O967" s="3001">
        <v>20.0</v>
      </c>
      <c r="P967" s="3001">
        <v>10.0</v>
      </c>
      <c r="Q967" s="3002" t="s">
        <v>190</v>
      </c>
      <c r="R967" s="1"/>
      <c r="S967" s="1"/>
    </row>
    <row r="968" ht="14.25" customHeight="1">
      <c r="A968" s="1112"/>
      <c r="B968" s="93" t="s">
        <v>1746</v>
      </c>
      <c r="C968" s="1213">
        <v>25.0</v>
      </c>
      <c r="D968" s="78">
        <f t="shared" si="69"/>
        <v>90.5</v>
      </c>
      <c r="E968" s="1583"/>
      <c r="F968" s="520" t="s">
        <v>18</v>
      </c>
      <c r="G968" s="47"/>
      <c r="H968" s="1"/>
      <c r="I968" s="1"/>
      <c r="J968" s="1"/>
      <c r="K968" s="1"/>
      <c r="L968" s="1"/>
      <c r="M968" s="1"/>
      <c r="N968" s="3003" t="s">
        <v>3264</v>
      </c>
      <c r="O968" s="839">
        <v>8.0</v>
      </c>
      <c r="P968" s="839">
        <f t="shared" ref="P968:P969" si="70">(O968*P967)/O967</f>
        <v>4</v>
      </c>
      <c r="Q968" s="3004" t="s">
        <v>14</v>
      </c>
      <c r="R968" s="1"/>
      <c r="S968" s="1"/>
    </row>
    <row r="969" ht="14.25" customHeight="1">
      <c r="A969" s="1"/>
      <c r="B969" s="93" t="s">
        <v>3424</v>
      </c>
      <c r="C969" s="195">
        <v>15.0</v>
      </c>
      <c r="D969" s="78">
        <f t="shared" si="69"/>
        <v>54.3</v>
      </c>
      <c r="E969" s="900"/>
      <c r="F969" s="249" t="s">
        <v>18</v>
      </c>
      <c r="G969" s="47"/>
      <c r="H969" s="1"/>
      <c r="I969" s="1"/>
      <c r="J969" s="1"/>
      <c r="K969" s="1"/>
      <c r="L969" s="1"/>
      <c r="M969" s="1"/>
      <c r="N969" s="3005" t="s">
        <v>2639</v>
      </c>
      <c r="O969" s="321">
        <v>8.0</v>
      </c>
      <c r="P969" s="321">
        <f t="shared" si="70"/>
        <v>4</v>
      </c>
      <c r="Q969" s="3006" t="s">
        <v>14</v>
      </c>
      <c r="R969" s="1"/>
      <c r="S969" s="1"/>
    </row>
    <row r="970" ht="14.25" customHeight="1">
      <c r="A970" s="1"/>
      <c r="B970" s="93" t="s">
        <v>1176</v>
      </c>
      <c r="C970" s="195">
        <v>25.0</v>
      </c>
      <c r="D970" s="78">
        <f t="shared" si="69"/>
        <v>90.5</v>
      </c>
      <c r="E970" s="900"/>
      <c r="F970" s="249" t="s">
        <v>18</v>
      </c>
      <c r="G970" s="47"/>
      <c r="H970" s="1"/>
      <c r="I970" s="1"/>
      <c r="J970" s="1"/>
      <c r="K970" s="1"/>
      <c r="L970" s="1"/>
      <c r="M970" s="1"/>
      <c r="N970" s="3005" t="s">
        <v>3425</v>
      </c>
      <c r="O970" s="321">
        <v>6.5</v>
      </c>
      <c r="P970" s="321">
        <f>(O970*P968)/O968</f>
        <v>3.25</v>
      </c>
      <c r="Q970" s="3006" t="s">
        <v>14</v>
      </c>
      <c r="R970" s="1"/>
      <c r="S970" s="1"/>
    </row>
    <row r="971" ht="14.25" customHeight="1">
      <c r="A971" s="1112"/>
      <c r="B971" s="93" t="s">
        <v>3187</v>
      </c>
      <c r="C971" s="195">
        <v>30.0</v>
      </c>
      <c r="D971" s="78">
        <f t="shared" si="69"/>
        <v>108.6</v>
      </c>
      <c r="E971" s="900"/>
      <c r="F971" s="249" t="s">
        <v>18</v>
      </c>
      <c r="G971" s="47"/>
      <c r="H971" s="1"/>
      <c r="I971" s="1"/>
      <c r="J971" s="1"/>
      <c r="K971" s="1"/>
      <c r="L971" s="1"/>
      <c r="M971" s="1"/>
      <c r="N971" s="3005" t="s">
        <v>746</v>
      </c>
      <c r="O971" s="321">
        <v>0.4</v>
      </c>
      <c r="P971" s="321">
        <f t="shared" ref="P971:P978" si="71">(O971*P970)/O970</f>
        <v>0.2</v>
      </c>
      <c r="Q971" s="3006" t="s">
        <v>18</v>
      </c>
      <c r="R971" s="1"/>
      <c r="S971" s="1"/>
    </row>
    <row r="972" ht="14.25" customHeight="1">
      <c r="A972" s="1112"/>
      <c r="B972" s="93" t="s">
        <v>98</v>
      </c>
      <c r="C972" s="195">
        <v>200.0</v>
      </c>
      <c r="D972" s="78">
        <f t="shared" si="69"/>
        <v>724</v>
      </c>
      <c r="E972" s="900"/>
      <c r="F972" s="249" t="s">
        <v>18</v>
      </c>
      <c r="G972" s="47"/>
      <c r="H972" s="1"/>
      <c r="I972" s="1"/>
      <c r="J972" s="1"/>
      <c r="K972" s="1"/>
      <c r="L972" s="1"/>
      <c r="M972" s="1"/>
      <c r="N972" s="3005" t="s">
        <v>3426</v>
      </c>
      <c r="O972" s="321">
        <v>0.4</v>
      </c>
      <c r="P972" s="321">
        <f t="shared" si="71"/>
        <v>0.2</v>
      </c>
      <c r="Q972" s="3006" t="s">
        <v>18</v>
      </c>
      <c r="R972" s="1"/>
      <c r="S972" s="1"/>
    </row>
    <row r="973" ht="14.25" customHeight="1">
      <c r="A973" s="1112"/>
      <c r="B973" s="93" t="s">
        <v>1036</v>
      </c>
      <c r="C973" s="195">
        <v>25.0</v>
      </c>
      <c r="D973" s="78">
        <f t="shared" si="69"/>
        <v>90.5</v>
      </c>
      <c r="E973" s="900"/>
      <c r="F973" s="249" t="s">
        <v>18</v>
      </c>
      <c r="G973" s="47"/>
      <c r="H973" s="1"/>
      <c r="I973" s="1"/>
      <c r="J973" s="1"/>
      <c r="K973" s="1"/>
      <c r="L973" s="1"/>
      <c r="M973" s="1"/>
      <c r="N973" s="1142" t="s">
        <v>3427</v>
      </c>
      <c r="O973" s="321">
        <v>0.5</v>
      </c>
      <c r="P973" s="321">
        <f t="shared" si="71"/>
        <v>0.25</v>
      </c>
      <c r="Q973" s="3006" t="s">
        <v>1364</v>
      </c>
      <c r="R973" s="1" t="s">
        <v>3428</v>
      </c>
      <c r="S973" s="1"/>
    </row>
    <row r="974" ht="14.25" customHeight="1">
      <c r="A974" s="1112"/>
      <c r="B974" s="93" t="s">
        <v>96</v>
      </c>
      <c r="C974" s="195">
        <v>10.0</v>
      </c>
      <c r="D974" s="78">
        <f t="shared" si="69"/>
        <v>36.2</v>
      </c>
      <c r="E974" s="900"/>
      <c r="F974" s="249" t="s">
        <v>18</v>
      </c>
      <c r="G974" s="47"/>
      <c r="H974" s="1"/>
      <c r="I974" s="1"/>
      <c r="J974" s="1"/>
      <c r="K974" s="1"/>
      <c r="L974" s="1"/>
      <c r="M974" s="1"/>
      <c r="N974" s="1142" t="s">
        <v>2706</v>
      </c>
      <c r="O974" s="321">
        <v>0.5</v>
      </c>
      <c r="P974" s="321">
        <f t="shared" si="71"/>
        <v>0.25</v>
      </c>
      <c r="Q974" s="3006" t="s">
        <v>18</v>
      </c>
      <c r="R974" s="1" t="s">
        <v>3428</v>
      </c>
      <c r="S974" s="1"/>
    </row>
    <row r="975" ht="14.25" customHeight="1">
      <c r="A975" s="1112"/>
      <c r="B975" s="93" t="s">
        <v>2088</v>
      </c>
      <c r="C975" s="195">
        <v>20.0</v>
      </c>
      <c r="D975" s="78">
        <f t="shared" si="69"/>
        <v>72.4</v>
      </c>
      <c r="E975" s="900"/>
      <c r="F975" s="249" t="s">
        <v>18</v>
      </c>
      <c r="G975" s="47"/>
      <c r="H975" s="97" t="s">
        <v>51</v>
      </c>
      <c r="I975" s="20"/>
      <c r="J975" s="20"/>
      <c r="K975" s="1547"/>
      <c r="L975" s="1"/>
      <c r="M975" s="1"/>
      <c r="N975" s="1142" t="s">
        <v>3429</v>
      </c>
      <c r="O975" s="321">
        <v>0.5</v>
      </c>
      <c r="P975" s="321">
        <f t="shared" si="71"/>
        <v>0.25</v>
      </c>
      <c r="Q975" s="3006" t="s">
        <v>1364</v>
      </c>
      <c r="R975" s="1"/>
      <c r="S975" s="1"/>
    </row>
    <row r="976" ht="14.25" customHeight="1">
      <c r="A976" s="1112"/>
      <c r="B976" s="93" t="s">
        <v>1179</v>
      </c>
      <c r="C976" s="195">
        <v>25.0</v>
      </c>
      <c r="D976" s="78">
        <f t="shared" si="69"/>
        <v>90.5</v>
      </c>
      <c r="E976" s="900"/>
      <c r="F976" s="249" t="s">
        <v>18</v>
      </c>
      <c r="G976" s="47"/>
      <c r="H976" s="7" t="s">
        <v>3430</v>
      </c>
      <c r="I976" s="20"/>
      <c r="J976" s="20"/>
      <c r="K976" s="1547"/>
      <c r="L976" s="1"/>
      <c r="M976" s="1"/>
      <c r="N976" s="1142" t="s">
        <v>3431</v>
      </c>
      <c r="O976" s="321">
        <v>0.5</v>
      </c>
      <c r="P976" s="321">
        <f t="shared" si="71"/>
        <v>0.25</v>
      </c>
      <c r="Q976" s="3006" t="s">
        <v>1364</v>
      </c>
      <c r="R976" s="1"/>
      <c r="S976" s="1"/>
    </row>
    <row r="977" ht="14.25" customHeight="1">
      <c r="A977" s="1112"/>
      <c r="B977" s="93" t="s">
        <v>103</v>
      </c>
      <c r="C977" s="1213">
        <v>100.0</v>
      </c>
      <c r="D977" s="94">
        <f t="shared" si="69"/>
        <v>362</v>
      </c>
      <c r="E977" s="1586"/>
      <c r="F977" s="249" t="s">
        <v>18</v>
      </c>
      <c r="G977" s="47"/>
      <c r="H977" s="7" t="s">
        <v>3432</v>
      </c>
      <c r="I977" s="20"/>
      <c r="J977" s="20"/>
      <c r="K977" s="1547"/>
      <c r="L977" s="1"/>
      <c r="M977" s="1"/>
      <c r="N977" s="1142" t="s">
        <v>2711</v>
      </c>
      <c r="O977" s="321">
        <v>0.5</v>
      </c>
      <c r="P977" s="321">
        <f t="shared" si="71"/>
        <v>0.25</v>
      </c>
      <c r="Q977" s="3006" t="s">
        <v>1364</v>
      </c>
      <c r="R977" s="1"/>
      <c r="S977" s="1"/>
    </row>
    <row r="978" ht="14.25" customHeight="1">
      <c r="A978" s="1112"/>
      <c r="B978" s="93" t="s">
        <v>179</v>
      </c>
      <c r="C978" s="1213">
        <v>500.0</v>
      </c>
      <c r="D978" s="94">
        <f t="shared" si="69"/>
        <v>1810</v>
      </c>
      <c r="E978" s="1586"/>
      <c r="F978" s="249" t="s">
        <v>18</v>
      </c>
      <c r="G978" s="47"/>
      <c r="H978" s="7" t="s">
        <v>3433</v>
      </c>
      <c r="I978" s="20"/>
      <c r="J978" s="20"/>
      <c r="K978" s="1547"/>
      <c r="L978" s="1"/>
      <c r="M978" s="1"/>
      <c r="N978" s="1142" t="s">
        <v>52</v>
      </c>
      <c r="O978" s="321">
        <v>40.0</v>
      </c>
      <c r="P978" s="321">
        <f t="shared" si="71"/>
        <v>20</v>
      </c>
      <c r="Q978" s="3006" t="s">
        <v>18</v>
      </c>
      <c r="R978" s="1"/>
      <c r="S978" s="1"/>
    </row>
    <row r="979" ht="14.25" customHeight="1">
      <c r="A979" s="1112"/>
      <c r="B979" s="93" t="s">
        <v>3434</v>
      </c>
      <c r="C979" s="1213">
        <v>750.0</v>
      </c>
      <c r="D979" s="94">
        <f t="shared" si="69"/>
        <v>2715</v>
      </c>
      <c r="E979" s="1586"/>
      <c r="F979" s="249" t="s">
        <v>18</v>
      </c>
      <c r="G979" s="47"/>
      <c r="H979" s="7" t="s">
        <v>3435</v>
      </c>
      <c r="I979" s="20"/>
      <c r="J979" s="20"/>
      <c r="K979" s="1547"/>
      <c r="L979" s="1"/>
      <c r="M979" s="1"/>
      <c r="N979" s="1142" t="s">
        <v>98</v>
      </c>
      <c r="O979" s="321">
        <v>25.0</v>
      </c>
      <c r="P979" s="321">
        <f>(O979*P977)/O977</f>
        <v>12.5</v>
      </c>
      <c r="Q979" s="3006" t="s">
        <v>18</v>
      </c>
      <c r="R979" s="1"/>
      <c r="S979" s="1"/>
    </row>
    <row r="980" ht="14.25" customHeight="1">
      <c r="A980" s="1112"/>
      <c r="B980" s="3007" t="s">
        <v>52</v>
      </c>
      <c r="C980" s="3008">
        <v>125.0</v>
      </c>
      <c r="D980" s="3009">
        <f t="shared" si="69"/>
        <v>452.5</v>
      </c>
      <c r="E980" s="3010"/>
      <c r="F980" s="3011" t="s">
        <v>18</v>
      </c>
      <c r="G980" s="76"/>
      <c r="H980" s="7" t="s">
        <v>3436</v>
      </c>
      <c r="I980" s="20"/>
      <c r="J980" s="20"/>
      <c r="K980" s="1547"/>
      <c r="L980" s="1"/>
      <c r="M980" s="1"/>
      <c r="N980" s="1142" t="s">
        <v>2711</v>
      </c>
      <c r="O980" s="321">
        <v>0.5</v>
      </c>
      <c r="P980" s="321">
        <f>(O980*P977)/O977</f>
        <v>0.25</v>
      </c>
      <c r="Q980" s="3006" t="s">
        <v>1364</v>
      </c>
      <c r="R980" s="1"/>
      <c r="S980" s="1"/>
    </row>
    <row r="981" ht="14.25" customHeight="1">
      <c r="A981" s="1112"/>
      <c r="B981" s="68" t="s">
        <v>971</v>
      </c>
      <c r="C981" s="1202">
        <v>2000.0</v>
      </c>
      <c r="D981" s="73">
        <f t="shared" si="69"/>
        <v>7240</v>
      </c>
      <c r="E981" s="1620"/>
      <c r="F981" s="216" t="s">
        <v>18</v>
      </c>
      <c r="G981" s="44" t="s">
        <v>3437</v>
      </c>
      <c r="H981" s="7" t="s">
        <v>3438</v>
      </c>
      <c r="I981" s="20"/>
      <c r="J981" s="20"/>
      <c r="K981" s="1547"/>
      <c r="L981" s="1"/>
      <c r="M981" s="1"/>
      <c r="N981" s="1142" t="s">
        <v>3439</v>
      </c>
      <c r="O981" s="321">
        <v>20.0</v>
      </c>
      <c r="P981" s="321">
        <f t="shared" ref="P981:P986" si="72">(O981*P977)/O977</f>
        <v>10</v>
      </c>
      <c r="Q981" s="3006" t="s">
        <v>1364</v>
      </c>
      <c r="R981" s="1"/>
      <c r="S981" s="1"/>
    </row>
    <row r="982" ht="14.25" customHeight="1">
      <c r="A982" s="1112"/>
      <c r="B982" s="93" t="s">
        <v>1132</v>
      </c>
      <c r="C982" s="1213">
        <v>1000.0</v>
      </c>
      <c r="D982" s="94">
        <f t="shared" si="69"/>
        <v>3620</v>
      </c>
      <c r="E982" s="1586"/>
      <c r="F982" s="249" t="s">
        <v>18</v>
      </c>
      <c r="G982" s="47"/>
      <c r="H982" s="7" t="s">
        <v>3440</v>
      </c>
      <c r="I982" s="20"/>
      <c r="J982" s="20"/>
      <c r="K982" s="1547"/>
      <c r="L982" s="1"/>
      <c r="M982" s="1"/>
      <c r="N982" s="1142" t="s">
        <v>391</v>
      </c>
      <c r="O982" s="321">
        <v>50.0</v>
      </c>
      <c r="P982" s="321">
        <f t="shared" si="72"/>
        <v>25</v>
      </c>
      <c r="Q982" s="3006" t="s">
        <v>18</v>
      </c>
      <c r="R982" s="1"/>
      <c r="S982" s="1"/>
    </row>
    <row r="983" ht="14.25" customHeight="1">
      <c r="A983" s="1112"/>
      <c r="B983" s="138" t="s">
        <v>3441</v>
      </c>
      <c r="C983" s="351">
        <v>1000.0</v>
      </c>
      <c r="D983" s="94">
        <f t="shared" si="69"/>
        <v>3620</v>
      </c>
      <c r="E983" s="1596"/>
      <c r="F983" s="242" t="s">
        <v>18</v>
      </c>
      <c r="G983" s="47"/>
      <c r="H983" s="7" t="s">
        <v>3442</v>
      </c>
      <c r="I983" s="20"/>
      <c r="J983" s="20"/>
      <c r="K983" s="1547"/>
      <c r="L983" s="1"/>
      <c r="M983" s="1"/>
      <c r="N983" s="1142" t="s">
        <v>149</v>
      </c>
      <c r="O983" s="321">
        <v>100.0</v>
      </c>
      <c r="P983" s="321">
        <f t="shared" si="72"/>
        <v>50</v>
      </c>
      <c r="Q983" s="3006" t="s">
        <v>18</v>
      </c>
      <c r="R983" s="1"/>
      <c r="S983" s="1"/>
    </row>
    <row r="984" ht="14.25" customHeight="1">
      <c r="A984" s="1112"/>
      <c r="B984" s="138" t="s">
        <v>884</v>
      </c>
      <c r="C984" s="351">
        <v>25.0</v>
      </c>
      <c r="D984" s="143">
        <f t="shared" si="69"/>
        <v>90.5</v>
      </c>
      <c r="E984" s="1596"/>
      <c r="F984" s="242" t="s">
        <v>18</v>
      </c>
      <c r="G984" s="47"/>
      <c r="H984" s="7" t="s">
        <v>3443</v>
      </c>
      <c r="I984" s="20"/>
      <c r="J984" s="20"/>
      <c r="K984" s="1547"/>
      <c r="L984" s="1"/>
      <c r="M984" s="1"/>
      <c r="N984" s="1142" t="s">
        <v>3444</v>
      </c>
      <c r="O984" s="321">
        <v>20.0</v>
      </c>
      <c r="P984" s="321">
        <f t="shared" si="72"/>
        <v>10</v>
      </c>
      <c r="Q984" s="3006" t="s">
        <v>18</v>
      </c>
      <c r="R984" s="1"/>
      <c r="S984" s="1"/>
    </row>
    <row r="985" ht="14.25" customHeight="1">
      <c r="A985" s="1112"/>
      <c r="B985" s="3012" t="s">
        <v>39</v>
      </c>
      <c r="C985" s="3013">
        <v>100.0</v>
      </c>
      <c r="D985" s="3014">
        <f t="shared" si="69"/>
        <v>362</v>
      </c>
      <c r="E985" s="3015"/>
      <c r="F985" s="3016" t="s">
        <v>18</v>
      </c>
      <c r="G985" s="47"/>
      <c r="H985" s="7" t="s">
        <v>3445</v>
      </c>
      <c r="I985" s="20"/>
      <c r="J985" s="20"/>
      <c r="K985" s="1547"/>
      <c r="L985" s="1"/>
      <c r="M985" s="1"/>
      <c r="N985" s="1142" t="s">
        <v>31</v>
      </c>
      <c r="O985" s="321">
        <v>220.0</v>
      </c>
      <c r="P985" s="321">
        <f t="shared" si="72"/>
        <v>110</v>
      </c>
      <c r="Q985" s="3006" t="s">
        <v>18</v>
      </c>
      <c r="R985" s="1"/>
      <c r="S985" s="1"/>
    </row>
    <row r="986" ht="14.25" customHeight="1">
      <c r="A986" s="1112"/>
      <c r="B986" s="3007" t="s">
        <v>3446</v>
      </c>
      <c r="C986" s="3008">
        <v>300.0</v>
      </c>
      <c r="D986" s="3009">
        <f t="shared" si="69"/>
        <v>1086</v>
      </c>
      <c r="E986" s="3010"/>
      <c r="F986" s="3011" t="s">
        <v>18</v>
      </c>
      <c r="G986" s="76"/>
      <c r="H986" s="7" t="s">
        <v>3447</v>
      </c>
      <c r="I986" s="20"/>
      <c r="J986" s="20"/>
      <c r="K986" s="1547"/>
      <c r="L986" s="1"/>
      <c r="M986" s="1"/>
      <c r="N986" s="1142" t="s">
        <v>13</v>
      </c>
      <c r="O986" s="321">
        <v>150.0</v>
      </c>
      <c r="P986" s="321">
        <f t="shared" si="72"/>
        <v>75</v>
      </c>
      <c r="Q986" s="3006" t="s">
        <v>18</v>
      </c>
      <c r="R986" s="1"/>
      <c r="S986" s="1"/>
    </row>
    <row r="987" ht="14.25" customHeight="1">
      <c r="A987" s="1112"/>
      <c r="B987" s="68" t="s">
        <v>210</v>
      </c>
      <c r="C987" s="145">
        <v>25.0</v>
      </c>
      <c r="D987" s="155">
        <f t="shared" si="69"/>
        <v>90.5</v>
      </c>
      <c r="E987" s="899"/>
      <c r="F987" s="216" t="s">
        <v>18</v>
      </c>
      <c r="G987" s="44" t="s">
        <v>3448</v>
      </c>
      <c r="H987" s="7" t="s">
        <v>3449</v>
      </c>
      <c r="I987" s="20"/>
      <c r="J987" s="20"/>
      <c r="K987" s="1547"/>
      <c r="L987" s="1"/>
      <c r="M987" s="1"/>
      <c r="N987" s="2325" t="s">
        <v>186</v>
      </c>
      <c r="O987" s="2326"/>
      <c r="P987" s="2326">
        <v>43397.0</v>
      </c>
      <c r="Q987" s="1"/>
      <c r="R987" s="1"/>
      <c r="S987" s="1"/>
    </row>
    <row r="988" ht="14.25" customHeight="1">
      <c r="A988" s="1112"/>
      <c r="B988" s="93" t="s">
        <v>102</v>
      </c>
      <c r="C988" s="195">
        <v>25.0</v>
      </c>
      <c r="D988" s="78">
        <f t="shared" si="69"/>
        <v>90.5</v>
      </c>
      <c r="E988" s="900"/>
      <c r="F988" s="249" t="s">
        <v>18</v>
      </c>
      <c r="G988" s="47"/>
      <c r="H988" s="1"/>
      <c r="I988" s="1"/>
      <c r="J988" s="1"/>
      <c r="K988" s="1"/>
      <c r="L988" s="1"/>
      <c r="M988" s="1"/>
      <c r="N988" s="664" t="s">
        <v>50</v>
      </c>
      <c r="O988" s="2326"/>
      <c r="P988" s="2326">
        <v>43397.0</v>
      </c>
      <c r="Q988" s="1"/>
      <c r="R988" s="1"/>
      <c r="S988" s="1"/>
    </row>
    <row r="989" ht="14.25" customHeight="1">
      <c r="A989" s="1112"/>
      <c r="B989" s="93" t="s">
        <v>95</v>
      </c>
      <c r="C989" s="195">
        <v>15.0</v>
      </c>
      <c r="D989" s="78">
        <f t="shared" si="69"/>
        <v>54.3</v>
      </c>
      <c r="E989" s="900"/>
      <c r="F989" s="249" t="s">
        <v>18</v>
      </c>
      <c r="G989" s="47"/>
      <c r="H989" s="1"/>
      <c r="I989" s="1"/>
      <c r="J989" s="1"/>
      <c r="K989" s="1"/>
      <c r="L989" s="1"/>
      <c r="M989" s="1"/>
      <c r="N989" s="1"/>
      <c r="O989" s="1"/>
      <c r="P989" s="1"/>
      <c r="Q989" s="1"/>
      <c r="R989" s="1"/>
      <c r="S989" s="1"/>
    </row>
    <row r="990" ht="14.25" customHeight="1">
      <c r="A990" s="1112"/>
      <c r="B990" s="105" t="s">
        <v>79</v>
      </c>
      <c r="C990" s="1216">
        <v>55.0</v>
      </c>
      <c r="D990" s="110">
        <f t="shared" si="69"/>
        <v>199.1</v>
      </c>
      <c r="E990" s="1959"/>
      <c r="F990" s="518" t="s">
        <v>14</v>
      </c>
      <c r="G990" s="76"/>
      <c r="H990" s="1"/>
      <c r="I990" s="1"/>
      <c r="J990" s="1"/>
      <c r="K990" s="1"/>
      <c r="L990" s="1"/>
      <c r="M990" s="1"/>
      <c r="N990" s="299" t="s">
        <v>119</v>
      </c>
      <c r="O990" s="183" t="s">
        <v>47</v>
      </c>
      <c r="P990" s="1"/>
      <c r="Q990" s="1"/>
      <c r="R990" s="1"/>
      <c r="S990" s="1"/>
    </row>
    <row r="991" ht="14.25" customHeight="1">
      <c r="A991" s="1112"/>
      <c r="B991" s="119" t="s">
        <v>3450</v>
      </c>
      <c r="C991" s="1209">
        <v>200.0</v>
      </c>
      <c r="D991" s="122">
        <f t="shared" si="69"/>
        <v>724</v>
      </c>
      <c r="E991" s="1953"/>
      <c r="F991" s="520" t="s">
        <v>18</v>
      </c>
      <c r="G991" s="44" t="s">
        <v>3451</v>
      </c>
      <c r="H991" s="1"/>
      <c r="I991" s="1"/>
      <c r="J991" s="1"/>
      <c r="K991" s="1"/>
      <c r="L991" s="1"/>
      <c r="M991" s="1"/>
      <c r="N991" s="1"/>
      <c r="O991" s="1"/>
      <c r="P991" s="1"/>
      <c r="Q991" s="1"/>
      <c r="R991" s="1"/>
      <c r="S991" s="1"/>
    </row>
    <row r="992" ht="14.25" customHeight="1">
      <c r="A992" s="1112"/>
      <c r="B992" s="93" t="s">
        <v>31</v>
      </c>
      <c r="C992" s="1213">
        <v>850.0</v>
      </c>
      <c r="D992" s="94">
        <f t="shared" si="69"/>
        <v>3077</v>
      </c>
      <c r="E992" s="1586"/>
      <c r="F992" s="249" t="s">
        <v>18</v>
      </c>
      <c r="G992" s="47"/>
      <c r="H992" s="1"/>
      <c r="I992" s="1"/>
      <c r="J992" s="1"/>
      <c r="K992" s="1"/>
      <c r="L992" s="1"/>
      <c r="M992" s="1"/>
      <c r="N992" s="1"/>
      <c r="O992" s="1"/>
      <c r="P992" s="1"/>
      <c r="Q992" s="1"/>
      <c r="R992" s="1"/>
      <c r="S992" s="1"/>
    </row>
    <row r="993" ht="14.25" customHeight="1">
      <c r="A993" s="1112"/>
      <c r="B993" s="93" t="s">
        <v>13</v>
      </c>
      <c r="C993" s="1213">
        <v>1.5</v>
      </c>
      <c r="D993" s="94">
        <f t="shared" si="69"/>
        <v>5.43</v>
      </c>
      <c r="E993" s="1586"/>
      <c r="F993" s="249" t="s">
        <v>14</v>
      </c>
      <c r="G993" s="47"/>
      <c r="H993" s="1"/>
      <c r="I993" s="1"/>
      <c r="J993" s="1"/>
      <c r="K993" s="1"/>
      <c r="L993" s="1"/>
      <c r="M993" s="1"/>
      <c r="N993" s="1"/>
      <c r="O993" s="1"/>
      <c r="P993" s="1"/>
      <c r="Q993" s="1"/>
      <c r="R993" s="1"/>
      <c r="S993" s="1"/>
    </row>
    <row r="994" ht="14.25" customHeight="1">
      <c r="A994" s="1112"/>
      <c r="B994" s="138" t="s">
        <v>3083</v>
      </c>
      <c r="C994" s="351">
        <v>200.0</v>
      </c>
      <c r="D994" s="143">
        <f t="shared" si="69"/>
        <v>724</v>
      </c>
      <c r="E994" s="1596"/>
      <c r="F994" s="242" t="s">
        <v>18</v>
      </c>
      <c r="G994" s="76"/>
      <c r="H994" s="1"/>
      <c r="I994" s="1"/>
      <c r="J994" s="1"/>
      <c r="K994" s="1"/>
      <c r="L994" s="1"/>
      <c r="M994" s="1"/>
      <c r="N994" s="1"/>
      <c r="O994" s="1"/>
      <c r="P994" s="1"/>
      <c r="Q994" s="1"/>
      <c r="R994" s="1"/>
      <c r="S994" s="1"/>
    </row>
    <row r="995" ht="14.25" customHeight="1">
      <c r="A995" s="1112"/>
      <c r="B995" s="68" t="s">
        <v>329</v>
      </c>
      <c r="C995" s="1202">
        <v>25.0</v>
      </c>
      <c r="D995" s="73">
        <f t="shared" si="69"/>
        <v>90.5</v>
      </c>
      <c r="E995" s="1620"/>
      <c r="F995" s="216" t="s">
        <v>14</v>
      </c>
      <c r="G995" s="44" t="s">
        <v>3452</v>
      </c>
      <c r="H995" s="1"/>
      <c r="I995" s="1"/>
      <c r="J995" s="1"/>
      <c r="K995" s="1"/>
      <c r="L995" s="1"/>
      <c r="M995" s="1"/>
      <c r="N995" s="1"/>
      <c r="O995" s="1"/>
      <c r="P995" s="1"/>
      <c r="Q995" s="1"/>
      <c r="R995" s="1"/>
      <c r="S995" s="1"/>
    </row>
    <row r="996" ht="14.25" customHeight="1">
      <c r="A996" s="1112"/>
      <c r="B996" s="105" t="s">
        <v>3453</v>
      </c>
      <c r="C996" s="1216">
        <v>20.0</v>
      </c>
      <c r="D996" s="110">
        <f t="shared" si="69"/>
        <v>72.4</v>
      </c>
      <c r="E996" s="1959"/>
      <c r="F996" s="518" t="s">
        <v>14</v>
      </c>
      <c r="G996" s="76"/>
      <c r="H996" s="1"/>
      <c r="I996" s="1" t="s">
        <v>3454</v>
      </c>
      <c r="J996" s="1"/>
      <c r="K996" s="1"/>
      <c r="L996" s="1"/>
      <c r="M996" s="1"/>
      <c r="N996" s="1"/>
      <c r="O996" s="1"/>
      <c r="P996" s="1"/>
      <c r="Q996" s="1"/>
      <c r="R996" s="1"/>
      <c r="S996" s="1"/>
    </row>
    <row r="997" ht="14.25" customHeight="1">
      <c r="A997" s="1112"/>
      <c r="B997" s="93" t="s">
        <v>2292</v>
      </c>
      <c r="C997" s="1213">
        <v>10.0</v>
      </c>
      <c r="D997" s="94">
        <f t="shared" si="69"/>
        <v>36.2</v>
      </c>
      <c r="E997" s="1586"/>
      <c r="F997" s="249" t="s">
        <v>14</v>
      </c>
      <c r="G997" s="1587"/>
      <c r="H997" s="1"/>
      <c r="I997" s="1"/>
      <c r="J997" s="1"/>
      <c r="K997" s="1"/>
      <c r="L997" s="1"/>
      <c r="M997" s="1"/>
      <c r="N997" s="1"/>
      <c r="O997" s="1"/>
      <c r="P997" s="1"/>
      <c r="Q997" s="1"/>
      <c r="R997" s="1"/>
      <c r="S997" s="1"/>
    </row>
    <row r="998" ht="14.25" customHeight="1">
      <c r="A998" s="1112"/>
      <c r="B998" s="105" t="s">
        <v>2540</v>
      </c>
      <c r="C998" s="1216">
        <v>2.0</v>
      </c>
      <c r="D998" s="110">
        <f t="shared" si="69"/>
        <v>7.24</v>
      </c>
      <c r="E998" s="1959"/>
      <c r="F998" s="518" t="s">
        <v>14</v>
      </c>
      <c r="G998" s="76"/>
      <c r="H998" s="1"/>
      <c r="I998" s="1"/>
      <c r="J998" s="1"/>
      <c r="K998" s="1"/>
      <c r="L998" s="1"/>
      <c r="M998" s="1"/>
      <c r="N998" s="1"/>
      <c r="O998" s="1"/>
      <c r="P998" s="1"/>
      <c r="Q998" s="1"/>
      <c r="R998" s="1"/>
      <c r="S998" s="1"/>
    </row>
    <row r="999" ht="14.25" customHeight="1">
      <c r="A999" s="1112"/>
      <c r="B999" s="119" t="s">
        <v>335</v>
      </c>
      <c r="C999" s="1209">
        <v>2.5</v>
      </c>
      <c r="D999" s="122">
        <f t="shared" si="69"/>
        <v>9.05</v>
      </c>
      <c r="E999" s="1953"/>
      <c r="F999" s="520" t="s">
        <v>5</v>
      </c>
      <c r="G999" s="44" t="s">
        <v>3455</v>
      </c>
      <c r="H999" s="1"/>
      <c r="I999" s="1"/>
      <c r="J999" s="1"/>
      <c r="K999" s="1"/>
      <c r="L999" s="1"/>
      <c r="M999" s="1"/>
      <c r="N999" s="1"/>
      <c r="O999" s="1"/>
      <c r="P999" s="1"/>
      <c r="Q999" s="1"/>
      <c r="R999" s="1"/>
      <c r="S999" s="1"/>
    </row>
    <row r="1000" ht="14.25" customHeight="1">
      <c r="A1000" s="1112"/>
      <c r="B1000" s="105" t="s">
        <v>1853</v>
      </c>
      <c r="C1000" s="1216">
        <v>2.5</v>
      </c>
      <c r="D1000" s="110">
        <f t="shared" si="69"/>
        <v>9.05</v>
      </c>
      <c r="E1000" s="1959"/>
      <c r="F1000" s="518" t="s">
        <v>14</v>
      </c>
      <c r="G1000" s="76"/>
      <c r="H1000" s="1"/>
      <c r="I1000" s="1"/>
      <c r="J1000" s="1"/>
      <c r="K1000" s="1"/>
      <c r="L1000" s="1"/>
      <c r="M1000" s="1"/>
      <c r="N1000" s="1"/>
      <c r="O1000" s="1"/>
      <c r="P1000" s="1"/>
      <c r="Q1000" s="1"/>
      <c r="R1000" s="1"/>
      <c r="S1000" s="1"/>
    </row>
    <row r="1001" ht="14.25" customHeight="1">
      <c r="A1001" s="1112"/>
      <c r="B1001" s="299" t="s">
        <v>119</v>
      </c>
      <c r="C1001" s="183" t="s">
        <v>47</v>
      </c>
      <c r="D1001" s="184"/>
      <c r="E1001" s="184"/>
      <c r="F1001" s="1"/>
      <c r="G1001" s="1"/>
      <c r="H1001" s="1"/>
      <c r="I1001" s="1"/>
      <c r="J1001" s="1"/>
      <c r="K1001" s="1"/>
      <c r="L1001" s="1"/>
      <c r="M1001" s="1"/>
      <c r="N1001" s="1"/>
      <c r="O1001" s="1"/>
      <c r="P1001" s="1"/>
      <c r="Q1001" s="1"/>
      <c r="R1001" s="1"/>
      <c r="S1001" s="1"/>
    </row>
    <row r="1002" ht="14.25" customHeight="1">
      <c r="A1002" s="1112"/>
      <c r="B1002" s="3017" t="s">
        <v>120</v>
      </c>
      <c r="C1002" s="1375">
        <v>40862.0</v>
      </c>
      <c r="D1002" s="1838"/>
      <c r="E1002" s="1838"/>
      <c r="F1002" s="1"/>
      <c r="G1002" s="1"/>
      <c r="H1002" s="1"/>
      <c r="I1002" s="1"/>
      <c r="J1002" s="1"/>
      <c r="K1002" s="1"/>
      <c r="L1002" s="1"/>
      <c r="M1002" s="1"/>
      <c r="N1002" s="1"/>
      <c r="O1002" s="1"/>
      <c r="P1002" s="1"/>
      <c r="Q1002" s="1"/>
      <c r="R1002" s="1"/>
      <c r="S1002" s="1"/>
    </row>
    <row r="1003" ht="14.25" customHeight="1">
      <c r="A1003" s="1112"/>
      <c r="B1003" s="865" t="s">
        <v>1486</v>
      </c>
      <c r="C1003" s="1375">
        <v>41691.0</v>
      </c>
      <c r="D1003" s="1838"/>
      <c r="E1003" s="1838"/>
      <c r="F1003" s="1"/>
      <c r="G1003" s="1"/>
      <c r="H1003" s="1"/>
      <c r="I1003" s="1"/>
      <c r="J1003" s="1"/>
      <c r="K1003" s="1"/>
      <c r="L1003" s="1"/>
      <c r="M1003" s="1"/>
      <c r="N1003" s="1"/>
      <c r="O1003" s="1"/>
      <c r="P1003" s="1"/>
      <c r="Q1003" s="1"/>
      <c r="R1003" s="1"/>
      <c r="S1003" s="1"/>
    </row>
    <row r="1004" ht="14.25" customHeight="1">
      <c r="A1004" s="1112"/>
      <c r="B1004" s="2372"/>
      <c r="C1004" s="3018"/>
      <c r="D1004" s="184"/>
      <c r="E1004" s="184"/>
      <c r="F1004" s="1"/>
      <c r="G1004" s="1112"/>
      <c r="H1004" s="1"/>
      <c r="I1004" s="1"/>
      <c r="J1004" s="1"/>
      <c r="K1004" s="1"/>
      <c r="L1004" s="1"/>
      <c r="M1004" s="1"/>
      <c r="N1004" s="1"/>
      <c r="O1004" s="1"/>
      <c r="P1004" s="1"/>
      <c r="Q1004" s="1"/>
      <c r="R1004" s="1"/>
      <c r="S1004" s="1"/>
    </row>
    <row r="1005" ht="14.25" customHeight="1">
      <c r="A1005" s="1112"/>
      <c r="B1005" s="505" t="s">
        <v>1018</v>
      </c>
      <c r="C1005" s="18"/>
      <c r="D1005" s="18"/>
      <c r="E1005" s="18"/>
      <c r="F1005" s="19"/>
      <c r="G1005" s="427"/>
      <c r="H1005" s="1"/>
      <c r="I1005" s="1"/>
      <c r="J1005" s="1"/>
      <c r="K1005" s="1"/>
      <c r="L1005" s="1"/>
      <c r="M1005" s="1"/>
      <c r="N1005" s="1"/>
      <c r="O1005" s="1"/>
      <c r="P1005" s="1"/>
      <c r="Q1005" s="1"/>
      <c r="R1005" s="1"/>
      <c r="S1005" s="1"/>
    </row>
    <row r="1006" ht="14.25" customHeight="1">
      <c r="A1006" s="1112"/>
      <c r="B1006" s="3019" t="s">
        <v>1</v>
      </c>
      <c r="C1006" s="821">
        <v>100.0</v>
      </c>
      <c r="D1006" s="3020">
        <v>32.0</v>
      </c>
      <c r="E1006" s="3021"/>
      <c r="F1006" s="329" t="s">
        <v>190</v>
      </c>
      <c r="G1006" s="427"/>
      <c r="H1006" s="1"/>
      <c r="I1006" s="1"/>
      <c r="J1006" s="1"/>
      <c r="K1006" s="1"/>
      <c r="L1006" s="1"/>
      <c r="M1006" s="1"/>
      <c r="N1006" s="1"/>
      <c r="O1006" s="1"/>
      <c r="P1006" s="1"/>
      <c r="Q1006" s="1"/>
      <c r="R1006" s="1"/>
      <c r="S1006" s="1"/>
    </row>
    <row r="1007" ht="14.25" customHeight="1">
      <c r="A1007" s="1112"/>
      <c r="B1007" s="3022" t="s">
        <v>743</v>
      </c>
      <c r="C1007" s="10">
        <v>1.5</v>
      </c>
      <c r="D1007" s="2228">
        <f t="shared" ref="D1007:D1024" si="73">(C1007*D1006)/C1006</f>
        <v>0.48</v>
      </c>
      <c r="E1007" s="2229"/>
      <c r="F1007" s="348" t="s">
        <v>190</v>
      </c>
      <c r="G1007" s="711" t="s">
        <v>3456</v>
      </c>
      <c r="H1007" s="1"/>
      <c r="I1007" s="1"/>
      <c r="J1007" s="1"/>
      <c r="K1007" s="1"/>
      <c r="L1007" s="1"/>
      <c r="M1007" s="1"/>
      <c r="N1007" s="1"/>
      <c r="O1007" s="1"/>
      <c r="P1007" s="1"/>
      <c r="Q1007" s="1"/>
      <c r="R1007" s="1"/>
      <c r="S1007" s="1"/>
    </row>
    <row r="1008" ht="14.25" customHeight="1">
      <c r="A1008" s="1112"/>
      <c r="B1008" s="606" t="s">
        <v>3457</v>
      </c>
      <c r="C1008" s="709">
        <v>50.0</v>
      </c>
      <c r="D1008" s="1639">
        <f t="shared" si="73"/>
        <v>16</v>
      </c>
      <c r="E1008" s="2237"/>
      <c r="F1008" s="1475" t="s">
        <v>3458</v>
      </c>
      <c r="G1008" s="76"/>
      <c r="H1008" s="1"/>
      <c r="I1008" s="1"/>
      <c r="J1008" s="1"/>
      <c r="K1008" s="1"/>
      <c r="L1008" s="1"/>
      <c r="M1008" s="1"/>
      <c r="N1008" s="1"/>
      <c r="O1008" s="1"/>
      <c r="P1008" s="1"/>
      <c r="Q1008" s="1"/>
      <c r="R1008" s="1"/>
      <c r="S1008" s="1"/>
    </row>
    <row r="1009" ht="14.25" customHeight="1">
      <c r="A1009" s="1112"/>
      <c r="B1009" s="591" t="s">
        <v>3459</v>
      </c>
      <c r="C1009" s="1984">
        <v>20.0</v>
      </c>
      <c r="D1009" s="2257">
        <f t="shared" si="73"/>
        <v>6.4</v>
      </c>
      <c r="E1009" s="2259"/>
      <c r="F1009" s="1457" t="s">
        <v>14</v>
      </c>
      <c r="G1009" s="3023" t="s">
        <v>3460</v>
      </c>
      <c r="H1009" s="1"/>
      <c r="I1009" s="1"/>
      <c r="J1009" s="1"/>
      <c r="K1009" s="1"/>
      <c r="L1009" s="1"/>
      <c r="M1009" s="1"/>
      <c r="N1009" s="1"/>
      <c r="O1009" s="1"/>
      <c r="P1009" s="1"/>
      <c r="Q1009" s="1"/>
      <c r="R1009" s="1"/>
      <c r="S1009" s="1"/>
    </row>
    <row r="1010" ht="14.25" customHeight="1">
      <c r="A1010" s="1112"/>
      <c r="B1010" s="354" t="s">
        <v>3461</v>
      </c>
      <c r="C1010" s="45">
        <v>15.0</v>
      </c>
      <c r="D1010" s="3024">
        <f t="shared" si="73"/>
        <v>4.8</v>
      </c>
      <c r="E1010" s="3025"/>
      <c r="F1010" s="356" t="s">
        <v>14</v>
      </c>
      <c r="G1010" s="427"/>
      <c r="H1010" s="1"/>
      <c r="I1010" s="1"/>
      <c r="J1010" s="1"/>
      <c r="K1010" s="1"/>
      <c r="L1010" s="1"/>
      <c r="M1010" s="1"/>
      <c r="N1010" s="1"/>
      <c r="O1010" s="1"/>
      <c r="P1010" s="1"/>
      <c r="Q1010" s="1"/>
      <c r="R1010" s="1"/>
      <c r="S1010" s="1"/>
    </row>
    <row r="1011" ht="14.25" customHeight="1">
      <c r="A1011" s="1112"/>
      <c r="B1011" s="345" t="s">
        <v>971</v>
      </c>
      <c r="C1011" s="10">
        <v>4000.0</v>
      </c>
      <c r="D1011" s="2228">
        <f t="shared" si="73"/>
        <v>1280</v>
      </c>
      <c r="E1011" s="2229"/>
      <c r="F1011" s="348" t="s">
        <v>18</v>
      </c>
      <c r="G1011" s="711" t="s">
        <v>3462</v>
      </c>
      <c r="H1011" s="1"/>
      <c r="I1011" s="1"/>
      <c r="J1011" s="1"/>
      <c r="K1011" s="1"/>
      <c r="L1011" s="1"/>
      <c r="M1011" s="1"/>
      <c r="N1011" s="1"/>
      <c r="O1011" s="1"/>
      <c r="P1011" s="1"/>
      <c r="Q1011" s="1"/>
      <c r="R1011" s="1"/>
      <c r="S1011" s="1"/>
    </row>
    <row r="1012" ht="14.25" customHeight="1">
      <c r="A1012" s="1112"/>
      <c r="B1012" s="591" t="s">
        <v>13</v>
      </c>
      <c r="C1012" s="1984">
        <v>1.5</v>
      </c>
      <c r="D1012" s="2257">
        <f t="shared" si="73"/>
        <v>0.48</v>
      </c>
      <c r="E1012" s="2259"/>
      <c r="F1012" s="1457" t="s">
        <v>14</v>
      </c>
      <c r="G1012" s="47"/>
      <c r="H1012" s="1"/>
      <c r="I1012" s="1"/>
      <c r="J1012" s="1"/>
      <c r="K1012" s="1"/>
      <c r="L1012" s="1"/>
      <c r="M1012" s="1"/>
      <c r="N1012" s="1"/>
      <c r="O1012" s="1"/>
      <c r="P1012" s="1"/>
      <c r="Q1012" s="1"/>
      <c r="R1012" s="1"/>
      <c r="S1012" s="1"/>
    </row>
    <row r="1013" ht="14.25" customHeight="1">
      <c r="A1013" s="1112"/>
      <c r="B1013" s="350" t="s">
        <v>31</v>
      </c>
      <c r="C1013" s="23">
        <v>800.0</v>
      </c>
      <c r="D1013" s="2231">
        <f t="shared" si="73"/>
        <v>256</v>
      </c>
      <c r="E1013" s="2232"/>
      <c r="F1013" s="352" t="s">
        <v>18</v>
      </c>
      <c r="G1013" s="76"/>
      <c r="H1013" s="1"/>
      <c r="I1013" s="1"/>
      <c r="J1013" s="1"/>
      <c r="K1013" s="1"/>
      <c r="L1013" s="1"/>
      <c r="M1013" s="1"/>
      <c r="N1013" s="1"/>
      <c r="O1013" s="1"/>
      <c r="P1013" s="1"/>
      <c r="Q1013" s="1"/>
      <c r="R1013" s="1"/>
      <c r="S1013" s="1"/>
    </row>
    <row r="1014" ht="14.25" customHeight="1">
      <c r="A1014" s="1112"/>
      <c r="B1014" s="345" t="s">
        <v>15</v>
      </c>
      <c r="C1014" s="10">
        <v>30.0</v>
      </c>
      <c r="D1014" s="2228">
        <f t="shared" si="73"/>
        <v>9.6</v>
      </c>
      <c r="E1014" s="2229"/>
      <c r="F1014" s="348" t="s">
        <v>5</v>
      </c>
      <c r="G1014" s="3026" t="s">
        <v>3463</v>
      </c>
      <c r="H1014" s="1"/>
      <c r="I1014" s="1"/>
      <c r="J1014" s="1"/>
      <c r="K1014" s="1"/>
      <c r="L1014" s="1"/>
      <c r="M1014" s="1"/>
      <c r="N1014" s="1"/>
      <c r="O1014" s="1"/>
      <c r="P1014" s="1"/>
      <c r="Q1014" s="1"/>
      <c r="R1014" s="1"/>
      <c r="S1014" s="1"/>
    </row>
    <row r="1015" ht="14.25" customHeight="1">
      <c r="A1015" s="1"/>
      <c r="B1015" s="350" t="s">
        <v>1136</v>
      </c>
      <c r="C1015" s="23">
        <v>1.65</v>
      </c>
      <c r="D1015" s="2231">
        <f t="shared" si="73"/>
        <v>0.528</v>
      </c>
      <c r="E1015" s="2232"/>
      <c r="F1015" s="352" t="s">
        <v>14</v>
      </c>
      <c r="G1015" s="63"/>
      <c r="H1015" s="1"/>
      <c r="I1015" s="1"/>
      <c r="J1015" s="1"/>
      <c r="K1015" s="1"/>
      <c r="L1015" s="1"/>
      <c r="M1015" s="1"/>
      <c r="N1015" s="1"/>
      <c r="O1015" s="1"/>
      <c r="P1015" s="1"/>
      <c r="Q1015" s="1"/>
      <c r="R1015" s="1"/>
      <c r="S1015" s="1"/>
    </row>
    <row r="1016" ht="14.25" customHeight="1">
      <c r="A1016" s="1"/>
      <c r="B1016" s="606" t="s">
        <v>743</v>
      </c>
      <c r="C1016" s="709">
        <v>0.3</v>
      </c>
      <c r="D1016" s="1639">
        <f t="shared" si="73"/>
        <v>0.096</v>
      </c>
      <c r="E1016" s="2237"/>
      <c r="F1016" s="1475" t="s">
        <v>5</v>
      </c>
      <c r="G1016" s="102"/>
      <c r="H1016" s="1"/>
      <c r="I1016" s="1"/>
      <c r="J1016" s="1"/>
      <c r="K1016" s="1"/>
      <c r="L1016" s="1"/>
      <c r="M1016" s="1"/>
      <c r="N1016" s="1"/>
      <c r="O1016" s="1"/>
      <c r="P1016" s="1"/>
      <c r="Q1016" s="1"/>
      <c r="R1016" s="1"/>
      <c r="S1016" s="1"/>
    </row>
    <row r="1017" ht="14.25" customHeight="1">
      <c r="A1017" s="1"/>
      <c r="B1017" s="354" t="s">
        <v>3464</v>
      </c>
      <c r="C1017" s="45">
        <v>4.0</v>
      </c>
      <c r="D1017" s="3024">
        <f t="shared" si="73"/>
        <v>1.28</v>
      </c>
      <c r="E1017" s="3025"/>
      <c r="F1017" s="356" t="s">
        <v>14</v>
      </c>
      <c r="G1017" s="427"/>
      <c r="H1017" s="1"/>
      <c r="I1017" s="1"/>
      <c r="J1017" s="1"/>
      <c r="K1017" s="1"/>
      <c r="L1017" s="1"/>
      <c r="M1017" s="1"/>
      <c r="N1017" s="1"/>
      <c r="O1017" s="1"/>
      <c r="P1017" s="1"/>
      <c r="Q1017" s="1"/>
      <c r="R1017" s="1"/>
      <c r="S1017" s="1"/>
    </row>
    <row r="1018" ht="14.25" customHeight="1">
      <c r="A1018" s="1112"/>
      <c r="B1018" s="345" t="s">
        <v>743</v>
      </c>
      <c r="C1018" s="10">
        <v>1.5</v>
      </c>
      <c r="D1018" s="2228">
        <f t="shared" si="73"/>
        <v>0.48</v>
      </c>
      <c r="E1018" s="2229"/>
      <c r="F1018" s="348" t="s">
        <v>190</v>
      </c>
      <c r="G1018" s="1848" t="s">
        <v>3465</v>
      </c>
      <c r="H1018" s="1"/>
      <c r="I1018" s="1"/>
      <c r="J1018" s="1"/>
      <c r="K1018" s="1"/>
      <c r="L1018" s="1"/>
      <c r="M1018" s="1"/>
      <c r="N1018" s="1"/>
      <c r="O1018" s="1"/>
      <c r="P1018" s="1"/>
      <c r="Q1018" s="1"/>
      <c r="R1018" s="1"/>
      <c r="S1018" s="1"/>
    </row>
    <row r="1019" ht="14.25" customHeight="1">
      <c r="A1019" s="1112"/>
      <c r="B1019" s="350" t="s">
        <v>3466</v>
      </c>
      <c r="C1019" s="23">
        <v>500.0</v>
      </c>
      <c r="D1019" s="2231">
        <f t="shared" si="73"/>
        <v>160</v>
      </c>
      <c r="E1019" s="2232"/>
      <c r="F1019" s="352" t="s">
        <v>18</v>
      </c>
      <c r="G1019" s="66"/>
      <c r="H1019" s="1"/>
      <c r="I1019" s="1"/>
      <c r="J1019" s="1"/>
      <c r="K1019" s="1"/>
      <c r="L1019" s="1"/>
      <c r="M1019" s="1"/>
      <c r="N1019" s="1"/>
      <c r="O1019" s="1"/>
      <c r="P1019" s="1"/>
      <c r="Q1019" s="1"/>
      <c r="R1019" s="1"/>
      <c r="S1019" s="1"/>
    </row>
    <row r="1020" ht="14.25" customHeight="1">
      <c r="A1020" s="1112"/>
      <c r="B1020" s="350" t="s">
        <v>98</v>
      </c>
      <c r="C1020" s="23">
        <v>200.0</v>
      </c>
      <c r="D1020" s="2231">
        <f t="shared" si="73"/>
        <v>64</v>
      </c>
      <c r="E1020" s="2232"/>
      <c r="F1020" s="352" t="s">
        <v>18</v>
      </c>
      <c r="G1020" s="66"/>
      <c r="H1020" s="1"/>
      <c r="I1020" s="1"/>
      <c r="J1020" s="1"/>
      <c r="K1020" s="1"/>
      <c r="L1020" s="1"/>
      <c r="M1020" s="1"/>
      <c r="N1020" s="1"/>
      <c r="O1020" s="1"/>
      <c r="P1020" s="1"/>
      <c r="Q1020" s="1"/>
      <c r="R1020" s="1"/>
      <c r="S1020" s="1"/>
    </row>
    <row r="1021" ht="14.25" customHeight="1">
      <c r="A1021" s="1112"/>
      <c r="B1021" s="350" t="s">
        <v>3467</v>
      </c>
      <c r="C1021" s="23">
        <v>800.0</v>
      </c>
      <c r="D1021" s="2231">
        <f t="shared" si="73"/>
        <v>256</v>
      </c>
      <c r="E1021" s="2232"/>
      <c r="F1021" s="352" t="s">
        <v>18</v>
      </c>
      <c r="G1021" s="66"/>
      <c r="H1021" s="1"/>
      <c r="I1021" s="1"/>
      <c r="J1021" s="1"/>
      <c r="K1021" s="1"/>
      <c r="L1021" s="1"/>
      <c r="M1021" s="1"/>
      <c r="N1021" s="1"/>
      <c r="O1021" s="1"/>
      <c r="P1021" s="1"/>
      <c r="Q1021" s="1"/>
      <c r="R1021" s="1"/>
      <c r="S1021" s="1"/>
    </row>
    <row r="1022" ht="14.25" customHeight="1">
      <c r="A1022" s="1112"/>
      <c r="B1022" s="350" t="s">
        <v>52</v>
      </c>
      <c r="C1022" s="23">
        <v>50.0</v>
      </c>
      <c r="D1022" s="2231">
        <f t="shared" si="73"/>
        <v>16</v>
      </c>
      <c r="E1022" s="2232"/>
      <c r="F1022" s="352" t="s">
        <v>18</v>
      </c>
      <c r="G1022" s="66"/>
      <c r="H1022" s="1"/>
      <c r="I1022" s="1"/>
      <c r="J1022" s="1"/>
      <c r="K1022" s="1"/>
      <c r="L1022" s="1"/>
      <c r="M1022" s="1"/>
      <c r="N1022" s="1"/>
      <c r="O1022" s="1"/>
      <c r="P1022" s="1"/>
      <c r="Q1022" s="1"/>
      <c r="R1022" s="1"/>
      <c r="S1022" s="1"/>
    </row>
    <row r="1023" ht="14.25" customHeight="1">
      <c r="A1023" s="1112"/>
      <c r="B1023" s="606" t="s">
        <v>288</v>
      </c>
      <c r="C1023" s="709">
        <v>250.0</v>
      </c>
      <c r="D1023" s="1639">
        <f t="shared" si="73"/>
        <v>80</v>
      </c>
      <c r="E1023" s="2237"/>
      <c r="F1023" s="1475" t="s">
        <v>18</v>
      </c>
      <c r="G1023" s="106"/>
      <c r="H1023" s="1"/>
      <c r="I1023" s="1"/>
      <c r="J1023" s="1"/>
      <c r="K1023" s="1"/>
      <c r="L1023" s="1"/>
      <c r="M1023" s="1"/>
      <c r="N1023" s="1"/>
      <c r="O1023" s="1"/>
      <c r="P1023" s="1"/>
      <c r="Q1023" s="1"/>
      <c r="R1023" s="1"/>
      <c r="S1023" s="1"/>
    </row>
    <row r="1024" ht="14.25" customHeight="1">
      <c r="A1024" s="1112"/>
      <c r="B1024" s="1806" t="s">
        <v>1853</v>
      </c>
      <c r="C1024" s="2366">
        <v>1.0</v>
      </c>
      <c r="D1024" s="2368">
        <f t="shared" si="73"/>
        <v>0.32</v>
      </c>
      <c r="E1024" s="2370"/>
      <c r="F1024" s="1810" t="s">
        <v>14</v>
      </c>
      <c r="G1024" s="427"/>
      <c r="H1024" s="1"/>
      <c r="I1024" s="1"/>
      <c r="J1024" s="1"/>
      <c r="K1024" s="1"/>
      <c r="L1024" s="1"/>
      <c r="M1024" s="1"/>
      <c r="N1024" s="1"/>
      <c r="O1024" s="1"/>
      <c r="P1024" s="1"/>
      <c r="Q1024" s="1"/>
      <c r="R1024" s="1"/>
      <c r="S1024" s="1"/>
    </row>
    <row r="1025" ht="14.25" customHeight="1">
      <c r="A1025" s="1112"/>
      <c r="B1025" s="3027" t="s">
        <v>119</v>
      </c>
      <c r="C1025" s="85" t="s">
        <v>47</v>
      </c>
      <c r="D1025" s="2672"/>
      <c r="E1025" s="2672"/>
      <c r="F1025" s="1"/>
      <c r="G1025" s="1"/>
      <c r="H1025" s="1"/>
      <c r="I1025" s="1"/>
      <c r="J1025" s="1"/>
      <c r="K1025" s="1"/>
      <c r="L1025" s="1"/>
      <c r="M1025" s="1"/>
      <c r="N1025" s="1"/>
      <c r="O1025" s="1"/>
      <c r="P1025" s="1"/>
      <c r="Q1025" s="1"/>
      <c r="R1025" s="1"/>
      <c r="S1025" s="1"/>
    </row>
    <row r="1026" ht="14.25" customHeight="1">
      <c r="A1026" s="1112"/>
      <c r="B1026" s="685" t="s">
        <v>49</v>
      </c>
      <c r="C1026" s="1799">
        <v>41166.0</v>
      </c>
      <c r="D1026" s="453"/>
      <c r="E1026" s="453"/>
      <c r="F1026" s="1"/>
      <c r="G1026" s="1"/>
      <c r="H1026" s="1"/>
      <c r="I1026" s="1"/>
      <c r="J1026" s="1"/>
      <c r="K1026" s="1"/>
      <c r="L1026" s="1"/>
      <c r="M1026" s="1"/>
      <c r="N1026" s="1"/>
      <c r="O1026" s="1"/>
      <c r="P1026" s="1"/>
      <c r="Q1026" s="1"/>
      <c r="R1026" s="1"/>
      <c r="S1026" s="1"/>
    </row>
    <row r="1027" ht="14.25" customHeight="1">
      <c r="A1027" s="1112"/>
      <c r="B1027" s="692" t="s">
        <v>50</v>
      </c>
      <c r="C1027" s="3028"/>
      <c r="D1027" s="453"/>
      <c r="E1027" s="453"/>
      <c r="F1027" s="1"/>
      <c r="G1027" s="1"/>
      <c r="H1027" s="1"/>
      <c r="I1027" s="1"/>
      <c r="J1027" s="1"/>
      <c r="K1027" s="1"/>
      <c r="L1027" s="1"/>
      <c r="M1027" s="1"/>
      <c r="N1027" s="1"/>
      <c r="O1027" s="1"/>
      <c r="P1027" s="1"/>
      <c r="Q1027" s="1"/>
      <c r="R1027" s="1"/>
      <c r="S1027" s="1"/>
    </row>
    <row r="1028" ht="14.25" customHeight="1">
      <c r="A1028" s="1112"/>
      <c r="B1028" s="1"/>
      <c r="C1028" s="107"/>
      <c r="D1028" s="184"/>
      <c r="E1028" s="184"/>
      <c r="F1028" s="1"/>
      <c r="G1028" s="1"/>
      <c r="H1028" s="1"/>
      <c r="I1028" s="1"/>
      <c r="J1028" s="1"/>
      <c r="K1028" s="1"/>
      <c r="L1028" s="1"/>
      <c r="M1028" s="1"/>
      <c r="N1028" s="1"/>
      <c r="O1028" s="1"/>
      <c r="P1028" s="1"/>
      <c r="Q1028" s="1"/>
      <c r="R1028" s="1"/>
      <c r="S1028" s="1"/>
    </row>
    <row r="1029" ht="14.25" customHeight="1">
      <c r="A1029" s="1112"/>
      <c r="B1029" s="206" t="s">
        <v>1025</v>
      </c>
      <c r="C1029" s="5"/>
      <c r="D1029" s="5"/>
      <c r="E1029" s="5"/>
      <c r="F1029" s="6"/>
      <c r="G1029" s="1301" t="s">
        <v>1473</v>
      </c>
      <c r="H1029" s="1"/>
      <c r="I1029" s="1"/>
      <c r="J1029" s="1"/>
      <c r="K1029" s="1"/>
      <c r="L1029" s="1"/>
      <c r="M1029" s="1"/>
      <c r="N1029" s="1"/>
      <c r="O1029" s="1"/>
      <c r="P1029" s="1"/>
      <c r="Q1029" s="1"/>
      <c r="R1029" s="1"/>
      <c r="S1029" s="1"/>
    </row>
    <row r="1030" ht="14.25" customHeight="1">
      <c r="A1030" s="1112"/>
      <c r="B1030" s="173" t="s">
        <v>1</v>
      </c>
      <c r="C1030" s="275">
        <v>150.0</v>
      </c>
      <c r="D1030" s="179">
        <v>150.0</v>
      </c>
      <c r="E1030" s="1689"/>
      <c r="F1030" s="547" t="s">
        <v>5</v>
      </c>
      <c r="G1030" s="1"/>
      <c r="H1030" s="1"/>
      <c r="I1030" s="1"/>
      <c r="J1030" s="1"/>
      <c r="K1030" s="1"/>
      <c r="L1030" s="1"/>
      <c r="M1030" s="1"/>
      <c r="N1030" s="1"/>
      <c r="O1030" s="1"/>
      <c r="P1030" s="1"/>
      <c r="Q1030" s="1"/>
      <c r="R1030" s="1"/>
      <c r="S1030" s="1"/>
    </row>
    <row r="1031" ht="14.25" customHeight="1">
      <c r="A1031" s="1112"/>
      <c r="B1031" s="93" t="s">
        <v>3468</v>
      </c>
      <c r="C1031" s="195">
        <v>7.0</v>
      </c>
      <c r="D1031" s="201">
        <f t="shared" ref="D1031:D1043" si="74">(C1031*D1030)/C1030</f>
        <v>7</v>
      </c>
      <c r="E1031" s="1735"/>
      <c r="F1031" s="249" t="s">
        <v>14</v>
      </c>
      <c r="G1031" s="1"/>
      <c r="H1031" s="1"/>
      <c r="I1031" s="1"/>
      <c r="J1031" s="1"/>
      <c r="K1031" s="1"/>
      <c r="L1031" s="1"/>
      <c r="M1031" s="1"/>
      <c r="N1031" s="1"/>
      <c r="O1031" s="1"/>
      <c r="P1031" s="1"/>
      <c r="Q1031" s="1"/>
      <c r="R1031" s="1"/>
      <c r="S1031" s="1"/>
    </row>
    <row r="1032" ht="14.25" customHeight="1">
      <c r="A1032" s="1112"/>
      <c r="B1032" s="93" t="s">
        <v>3469</v>
      </c>
      <c r="C1032" s="195">
        <v>450.0</v>
      </c>
      <c r="D1032" s="201">
        <f t="shared" si="74"/>
        <v>450</v>
      </c>
      <c r="E1032" s="1735"/>
      <c r="F1032" s="249" t="s">
        <v>18</v>
      </c>
      <c r="G1032" s="1"/>
      <c r="H1032" s="1"/>
      <c r="I1032" s="1"/>
      <c r="J1032" s="1"/>
      <c r="K1032" s="1"/>
      <c r="L1032" s="1"/>
      <c r="M1032" s="1"/>
      <c r="N1032" s="1"/>
      <c r="O1032" s="1"/>
      <c r="P1032" s="1"/>
      <c r="Q1032" s="1"/>
      <c r="R1032" s="1"/>
      <c r="S1032" s="1"/>
    </row>
    <row r="1033" ht="14.25" customHeight="1">
      <c r="A1033" s="1112"/>
      <c r="B1033" s="93" t="s">
        <v>3470</v>
      </c>
      <c r="C1033" s="195">
        <v>1.5</v>
      </c>
      <c r="D1033" s="201">
        <f t="shared" si="74"/>
        <v>1.5</v>
      </c>
      <c r="E1033" s="1735"/>
      <c r="F1033" s="249" t="s">
        <v>14</v>
      </c>
      <c r="G1033" s="1"/>
      <c r="H1033" s="1"/>
      <c r="I1033" s="1"/>
      <c r="J1033" s="1"/>
      <c r="K1033" s="1"/>
      <c r="L1033" s="1"/>
      <c r="M1033" s="1"/>
      <c r="N1033" s="1"/>
      <c r="O1033" s="1"/>
      <c r="P1033" s="1"/>
      <c r="Q1033" s="1"/>
      <c r="R1033" s="1"/>
      <c r="S1033" s="1"/>
    </row>
    <row r="1034" ht="14.25" customHeight="1">
      <c r="A1034" s="1112"/>
      <c r="B1034" s="93" t="s">
        <v>3471</v>
      </c>
      <c r="C1034" s="195">
        <v>1.5</v>
      </c>
      <c r="D1034" s="201">
        <f t="shared" si="74"/>
        <v>1.5</v>
      </c>
      <c r="E1034" s="1735"/>
      <c r="F1034" s="249" t="s">
        <v>14</v>
      </c>
      <c r="G1034" s="1"/>
      <c r="H1034" s="1"/>
      <c r="I1034" s="1"/>
      <c r="J1034" s="1"/>
      <c r="K1034" s="1"/>
      <c r="L1034" s="1"/>
      <c r="M1034" s="1"/>
      <c r="N1034" s="1"/>
      <c r="O1034" s="1"/>
      <c r="P1034" s="1"/>
      <c r="Q1034" s="1"/>
      <c r="R1034" s="1"/>
      <c r="S1034" s="1"/>
    </row>
    <row r="1035" ht="14.25" customHeight="1">
      <c r="A1035" s="1112"/>
      <c r="B1035" s="93" t="s">
        <v>1366</v>
      </c>
      <c r="C1035" s="195">
        <v>40.0</v>
      </c>
      <c r="D1035" s="201">
        <f t="shared" si="74"/>
        <v>40</v>
      </c>
      <c r="E1035" s="1735"/>
      <c r="F1035" s="249" t="s">
        <v>14</v>
      </c>
      <c r="G1035" s="1"/>
      <c r="H1035" s="1"/>
      <c r="I1035" s="1"/>
      <c r="J1035" s="1"/>
      <c r="K1035" s="1"/>
      <c r="L1035" s="1"/>
      <c r="M1035" s="1"/>
      <c r="N1035" s="1"/>
      <c r="O1035" s="1"/>
      <c r="P1035" s="1"/>
      <c r="Q1035" s="1"/>
      <c r="R1035" s="1"/>
      <c r="S1035" s="1"/>
    </row>
    <row r="1036" ht="14.25" customHeight="1">
      <c r="A1036" s="1112"/>
      <c r="B1036" s="93" t="s">
        <v>91</v>
      </c>
      <c r="C1036" s="195">
        <v>2.0</v>
      </c>
      <c r="D1036" s="201">
        <f t="shared" si="74"/>
        <v>2</v>
      </c>
      <c r="E1036" s="1735"/>
      <c r="F1036" s="249" t="s">
        <v>5</v>
      </c>
      <c r="G1036" s="1"/>
      <c r="H1036" s="1"/>
      <c r="I1036" s="1"/>
      <c r="J1036" s="1"/>
      <c r="K1036" s="1"/>
      <c r="L1036" s="1"/>
      <c r="M1036" s="1"/>
      <c r="N1036" s="1"/>
      <c r="O1036" s="1"/>
      <c r="P1036" s="1"/>
      <c r="Q1036" s="1"/>
      <c r="R1036" s="1"/>
      <c r="S1036" s="1"/>
    </row>
    <row r="1037" ht="14.25" customHeight="1">
      <c r="A1037" s="1112"/>
      <c r="B1037" s="93" t="s">
        <v>97</v>
      </c>
      <c r="C1037" s="195">
        <v>150.0</v>
      </c>
      <c r="D1037" s="201">
        <f t="shared" si="74"/>
        <v>150</v>
      </c>
      <c r="E1037" s="1735"/>
      <c r="F1037" s="249" t="s">
        <v>18</v>
      </c>
      <c r="G1037" s="1"/>
      <c r="H1037" s="1"/>
      <c r="I1037" s="1"/>
      <c r="J1037" s="1"/>
      <c r="K1037" s="1"/>
      <c r="L1037" s="1"/>
      <c r="M1037" s="1"/>
      <c r="N1037" s="1"/>
      <c r="O1037" s="1"/>
      <c r="P1037" s="1"/>
      <c r="Q1037" s="1"/>
      <c r="R1037" s="1"/>
      <c r="S1037" s="1"/>
    </row>
    <row r="1038" ht="14.25" customHeight="1">
      <c r="A1038" s="1112"/>
      <c r="B1038" s="93" t="s">
        <v>103</v>
      </c>
      <c r="C1038" s="195">
        <v>150.0</v>
      </c>
      <c r="D1038" s="201">
        <f t="shared" si="74"/>
        <v>150</v>
      </c>
      <c r="E1038" s="1735"/>
      <c r="F1038" s="249" t="s">
        <v>18</v>
      </c>
      <c r="G1038" s="1"/>
      <c r="H1038" s="1"/>
      <c r="I1038" s="1"/>
      <c r="J1038" s="1"/>
      <c r="K1038" s="1"/>
      <c r="L1038" s="1"/>
      <c r="M1038" s="1"/>
      <c r="N1038" s="1"/>
      <c r="O1038" s="1"/>
      <c r="P1038" s="1"/>
      <c r="Q1038" s="1"/>
      <c r="R1038" s="1"/>
      <c r="S1038" s="1"/>
    </row>
    <row r="1039" ht="14.25" customHeight="1">
      <c r="A1039" s="1112"/>
      <c r="B1039" s="93" t="s">
        <v>101</v>
      </c>
      <c r="C1039" s="195">
        <v>0.3</v>
      </c>
      <c r="D1039" s="201">
        <f t="shared" si="74"/>
        <v>0.3</v>
      </c>
      <c r="E1039" s="1735"/>
      <c r="F1039" s="249" t="s">
        <v>5</v>
      </c>
      <c r="G1039" s="1"/>
      <c r="H1039" s="1"/>
      <c r="I1039" s="3029" t="s">
        <v>3472</v>
      </c>
      <c r="J1039" s="18"/>
      <c r="K1039" s="18"/>
      <c r="L1039" s="19"/>
      <c r="M1039" s="141"/>
      <c r="N1039" s="1"/>
      <c r="O1039" s="1"/>
      <c r="P1039" s="1"/>
      <c r="Q1039" s="1"/>
      <c r="R1039" s="1"/>
      <c r="S1039" s="1"/>
    </row>
    <row r="1040" ht="14.25" customHeight="1">
      <c r="A1040" s="1"/>
      <c r="B1040" s="93" t="s">
        <v>2606</v>
      </c>
      <c r="C1040" s="195">
        <v>3.0</v>
      </c>
      <c r="D1040" s="201">
        <f t="shared" si="74"/>
        <v>3</v>
      </c>
      <c r="E1040" s="1735"/>
      <c r="F1040" s="249" t="s">
        <v>14</v>
      </c>
      <c r="G1040" s="1"/>
      <c r="H1040" s="1"/>
      <c r="I1040" s="25" t="s">
        <v>1</v>
      </c>
      <c r="J1040" s="26">
        <v>100.0</v>
      </c>
      <c r="K1040" s="314">
        <v>540.0</v>
      </c>
      <c r="L1040" s="28" t="s">
        <v>5</v>
      </c>
      <c r="M1040" s="141"/>
      <c r="N1040" s="1"/>
      <c r="O1040" s="1"/>
      <c r="P1040" s="1"/>
      <c r="Q1040" s="1"/>
      <c r="R1040" s="1"/>
      <c r="S1040" s="1"/>
    </row>
    <row r="1041" ht="14.25" customHeight="1">
      <c r="A1041" s="1"/>
      <c r="B1041" s="93" t="s">
        <v>112</v>
      </c>
      <c r="C1041" s="195">
        <v>625.0</v>
      </c>
      <c r="D1041" s="201">
        <f t="shared" si="74"/>
        <v>625</v>
      </c>
      <c r="E1041" s="1735"/>
      <c r="F1041" s="249" t="s">
        <v>18</v>
      </c>
      <c r="G1041" s="1"/>
      <c r="H1041" s="1"/>
      <c r="I1041" s="163" t="s">
        <v>2427</v>
      </c>
      <c r="J1041" s="316">
        <v>20.0</v>
      </c>
      <c r="K1041" s="285">
        <f t="shared" ref="K1041:K1070" si="75">(J1041*K1040)/J1040</f>
        <v>108</v>
      </c>
      <c r="L1041" s="169" t="s">
        <v>14</v>
      </c>
      <c r="M1041" s="44" t="s">
        <v>2512</v>
      </c>
      <c r="N1041" s="1"/>
      <c r="O1041" s="1"/>
      <c r="P1041" s="1"/>
      <c r="Q1041" s="1"/>
      <c r="R1041" s="1"/>
      <c r="S1041" s="1"/>
    </row>
    <row r="1042" ht="14.25" customHeight="1">
      <c r="A1042" s="1"/>
      <c r="B1042" s="93" t="s">
        <v>3473</v>
      </c>
      <c r="C1042" s="195">
        <v>1500.0</v>
      </c>
      <c r="D1042" s="201">
        <f t="shared" si="74"/>
        <v>1500</v>
      </c>
      <c r="E1042" s="1735"/>
      <c r="F1042" s="249" t="s">
        <v>18</v>
      </c>
      <c r="G1042" s="1"/>
      <c r="H1042" s="1"/>
      <c r="I1042" s="177" t="s">
        <v>2514</v>
      </c>
      <c r="J1042" s="321">
        <v>10.0</v>
      </c>
      <c r="K1042" s="198">
        <f t="shared" si="75"/>
        <v>54</v>
      </c>
      <c r="L1042" s="204" t="s">
        <v>14</v>
      </c>
      <c r="M1042" s="47"/>
      <c r="N1042" s="1"/>
      <c r="O1042" s="1"/>
      <c r="P1042" s="1"/>
      <c r="Q1042" s="1"/>
      <c r="R1042" s="1"/>
      <c r="S1042" s="1"/>
    </row>
    <row r="1043" ht="14.25" customHeight="1">
      <c r="A1043" s="1112"/>
      <c r="B1043" s="105" t="s">
        <v>31</v>
      </c>
      <c r="C1043" s="200">
        <v>1500.0</v>
      </c>
      <c r="D1043" s="257">
        <f t="shared" si="74"/>
        <v>1500</v>
      </c>
      <c r="E1043" s="1738"/>
      <c r="F1043" s="518" t="s">
        <v>18</v>
      </c>
      <c r="G1043" s="1"/>
      <c r="H1043" s="1"/>
      <c r="I1043" s="177" t="s">
        <v>3474</v>
      </c>
      <c r="J1043" s="321">
        <v>10.0</v>
      </c>
      <c r="K1043" s="198">
        <f t="shared" si="75"/>
        <v>54</v>
      </c>
      <c r="L1043" s="204" t="s">
        <v>14</v>
      </c>
      <c r="M1043" s="47"/>
      <c r="N1043" s="1"/>
      <c r="O1043" s="1"/>
      <c r="P1043" s="1"/>
      <c r="Q1043" s="1"/>
      <c r="R1043" s="1"/>
      <c r="S1043" s="1"/>
    </row>
    <row r="1044" ht="14.25" customHeight="1">
      <c r="A1044" s="1112"/>
      <c r="B1044" s="2275" t="s">
        <v>119</v>
      </c>
      <c r="C1044" s="1446" t="s">
        <v>47</v>
      </c>
      <c r="D1044" s="184"/>
      <c r="E1044" s="184"/>
      <c r="F1044" s="1"/>
      <c r="G1044" s="1"/>
      <c r="H1044" s="1"/>
      <c r="I1044" s="177" t="s">
        <v>3475</v>
      </c>
      <c r="J1044" s="321">
        <v>10.0</v>
      </c>
      <c r="K1044" s="198">
        <f t="shared" si="75"/>
        <v>54</v>
      </c>
      <c r="L1044" s="204" t="s">
        <v>14</v>
      </c>
      <c r="M1044" s="47"/>
      <c r="N1044" s="1"/>
      <c r="O1044" s="1"/>
      <c r="P1044" s="1"/>
      <c r="Q1044" s="1"/>
      <c r="R1044" s="1"/>
      <c r="S1044" s="1"/>
    </row>
    <row r="1045" ht="14.25" customHeight="1">
      <c r="A1045" s="1112"/>
      <c r="B1045" s="1"/>
      <c r="C1045" s="107"/>
      <c r="D1045" s="184"/>
      <c r="E1045" s="184"/>
      <c r="F1045" s="1"/>
      <c r="G1045" s="1"/>
      <c r="H1045" s="1"/>
      <c r="I1045" s="177" t="s">
        <v>329</v>
      </c>
      <c r="J1045" s="321">
        <v>10.0</v>
      </c>
      <c r="K1045" s="198">
        <f t="shared" si="75"/>
        <v>54</v>
      </c>
      <c r="L1045" s="204" t="s">
        <v>14</v>
      </c>
      <c r="M1045" s="47"/>
      <c r="N1045" s="1"/>
      <c r="O1045" s="1"/>
      <c r="P1045" s="1"/>
      <c r="Q1045" s="1"/>
      <c r="R1045" s="1"/>
      <c r="S1045" s="1"/>
    </row>
    <row r="1046" ht="14.25" customHeight="1">
      <c r="A1046" s="1112"/>
      <c r="B1046" s="511" t="s">
        <v>1039</v>
      </c>
      <c r="C1046" s="18"/>
      <c r="D1046" s="18"/>
      <c r="E1046" s="18"/>
      <c r="F1046" s="19"/>
      <c r="G1046" s="1"/>
      <c r="H1046" s="1"/>
      <c r="I1046" s="262" t="s">
        <v>3476</v>
      </c>
      <c r="J1046" s="355">
        <v>15.0</v>
      </c>
      <c r="K1046" s="383">
        <f t="shared" si="75"/>
        <v>81</v>
      </c>
      <c r="L1046" s="267" t="s">
        <v>14</v>
      </c>
      <c r="M1046" s="76"/>
      <c r="N1046" s="1"/>
      <c r="O1046" s="1"/>
      <c r="P1046" s="1"/>
      <c r="Q1046" s="1"/>
      <c r="R1046" s="1"/>
      <c r="S1046" s="1"/>
    </row>
    <row r="1047" ht="14.25" customHeight="1">
      <c r="A1047" s="1112"/>
      <c r="B1047" s="512" t="s">
        <v>1</v>
      </c>
      <c r="C1047" s="190">
        <v>100.0</v>
      </c>
      <c r="D1047" s="513">
        <v>60.0</v>
      </c>
      <c r="E1047" s="1576"/>
      <c r="F1047" s="514" t="s">
        <v>5</v>
      </c>
      <c r="G1047" s="270"/>
      <c r="H1047" s="1"/>
      <c r="I1047" s="163" t="s">
        <v>491</v>
      </c>
      <c r="J1047" s="316">
        <v>3.0</v>
      </c>
      <c r="K1047" s="285">
        <f t="shared" si="75"/>
        <v>16.2</v>
      </c>
      <c r="L1047" s="169" t="s">
        <v>5</v>
      </c>
      <c r="M1047" s="44" t="s">
        <v>2520</v>
      </c>
      <c r="N1047" s="1"/>
      <c r="O1047" s="1"/>
      <c r="P1047" s="1"/>
      <c r="Q1047" s="1"/>
      <c r="R1047" s="1"/>
      <c r="S1047" s="1"/>
    </row>
    <row r="1048" ht="14.25" customHeight="1">
      <c r="A1048" s="1112"/>
      <c r="B1048" s="68" t="s">
        <v>3477</v>
      </c>
      <c r="C1048" s="145">
        <v>8.0</v>
      </c>
      <c r="D1048" s="1193">
        <f>(C1048*D1047)/C1047</f>
        <v>4.8</v>
      </c>
      <c r="E1048" s="1884"/>
      <c r="F1048" s="216" t="s">
        <v>14</v>
      </c>
      <c r="G1048" s="1"/>
      <c r="H1048" s="1"/>
      <c r="I1048" s="177" t="s">
        <v>2793</v>
      </c>
      <c r="J1048" s="321">
        <v>200.0</v>
      </c>
      <c r="K1048" s="198">
        <f t="shared" si="75"/>
        <v>1080</v>
      </c>
      <c r="L1048" s="204" t="s">
        <v>18</v>
      </c>
      <c r="M1048" s="47"/>
      <c r="N1048" s="1"/>
      <c r="O1048" s="1"/>
      <c r="P1048" s="1"/>
      <c r="Q1048" s="1"/>
      <c r="R1048" s="1"/>
      <c r="S1048" s="1"/>
    </row>
    <row r="1049" ht="14.25" customHeight="1">
      <c r="A1049" s="1112"/>
      <c r="B1049" s="93" t="s">
        <v>2514</v>
      </c>
      <c r="C1049" s="1213">
        <v>8.0</v>
      </c>
      <c r="D1049" s="1420">
        <f>(C1049*D1052)/C1052</f>
        <v>4.8</v>
      </c>
      <c r="E1049" s="1886"/>
      <c r="F1049" s="249" t="s">
        <v>14</v>
      </c>
      <c r="G1049" s="1" t="s">
        <v>3478</v>
      </c>
      <c r="H1049" s="1"/>
      <c r="I1049" s="177" t="s">
        <v>103</v>
      </c>
      <c r="J1049" s="321">
        <v>100.0</v>
      </c>
      <c r="K1049" s="198">
        <f t="shared" si="75"/>
        <v>540</v>
      </c>
      <c r="L1049" s="204" t="s">
        <v>18</v>
      </c>
      <c r="M1049" s="47"/>
      <c r="N1049" s="1"/>
      <c r="O1049" s="1"/>
      <c r="P1049" s="1"/>
      <c r="Q1049" s="1"/>
      <c r="R1049" s="1"/>
      <c r="S1049" s="1"/>
    </row>
    <row r="1050" ht="14.25" customHeight="1">
      <c r="A1050" s="1112"/>
      <c r="B1050" s="93" t="s">
        <v>3479</v>
      </c>
      <c r="C1050" s="1213">
        <v>8.0</v>
      </c>
      <c r="D1050" s="1420">
        <f>(C1050*D1048)/C1048</f>
        <v>4.8</v>
      </c>
      <c r="E1050" s="1886"/>
      <c r="F1050" s="249" t="s">
        <v>14</v>
      </c>
      <c r="G1050" s="1"/>
      <c r="H1050" s="1"/>
      <c r="I1050" s="177" t="s">
        <v>1899</v>
      </c>
      <c r="J1050" s="321">
        <v>1250.0</v>
      </c>
      <c r="K1050" s="198">
        <f t="shared" si="75"/>
        <v>6750</v>
      </c>
      <c r="L1050" s="204" t="s">
        <v>82</v>
      </c>
      <c r="M1050" s="47"/>
      <c r="N1050" s="1"/>
      <c r="O1050" s="1"/>
      <c r="P1050" s="1"/>
      <c r="Q1050" s="1"/>
      <c r="R1050" s="1"/>
      <c r="S1050" s="1"/>
    </row>
    <row r="1051" ht="14.25" customHeight="1">
      <c r="A1051" s="1112"/>
      <c r="B1051" s="93" t="s">
        <v>150</v>
      </c>
      <c r="C1051" s="1213">
        <v>8.0</v>
      </c>
      <c r="D1051" s="1420">
        <f t="shared" ref="D1051:D1057" si="76">(C1051*D1050)/C1050</f>
        <v>4.8</v>
      </c>
      <c r="E1051" s="1886"/>
      <c r="F1051" s="249" t="s">
        <v>14</v>
      </c>
      <c r="G1051" s="1"/>
      <c r="H1051" s="1"/>
      <c r="I1051" s="177" t="s">
        <v>3480</v>
      </c>
      <c r="J1051" s="321">
        <v>500.0</v>
      </c>
      <c r="K1051" s="198">
        <f t="shared" si="75"/>
        <v>2700</v>
      </c>
      <c r="L1051" s="204" t="s">
        <v>18</v>
      </c>
      <c r="M1051" s="47"/>
      <c r="N1051" s="1"/>
      <c r="O1051" s="1"/>
      <c r="P1051" s="1"/>
      <c r="Q1051" s="1"/>
      <c r="R1051" s="1"/>
      <c r="S1051" s="1"/>
    </row>
    <row r="1052" ht="14.25" customHeight="1">
      <c r="A1052" s="1112"/>
      <c r="B1052" s="93" t="s">
        <v>153</v>
      </c>
      <c r="C1052" s="1213">
        <v>8.0</v>
      </c>
      <c r="D1052" s="1420">
        <f t="shared" si="76"/>
        <v>4.8</v>
      </c>
      <c r="E1052" s="1886"/>
      <c r="F1052" s="249" t="s">
        <v>14</v>
      </c>
      <c r="G1052" s="1"/>
      <c r="H1052" s="1"/>
      <c r="I1052" s="177" t="s">
        <v>528</v>
      </c>
      <c r="J1052" s="321">
        <v>750.0</v>
      </c>
      <c r="K1052" s="198">
        <f t="shared" si="75"/>
        <v>4050</v>
      </c>
      <c r="L1052" s="204" t="s">
        <v>18</v>
      </c>
      <c r="M1052" s="47"/>
      <c r="N1052" s="1"/>
      <c r="O1052" s="1"/>
      <c r="P1052" s="1"/>
      <c r="Q1052" s="1"/>
      <c r="R1052" s="1"/>
      <c r="S1052" s="1"/>
    </row>
    <row r="1053" ht="14.25" customHeight="1">
      <c r="A1053" s="1112"/>
      <c r="B1053" s="105" t="s">
        <v>329</v>
      </c>
      <c r="C1053" s="1216">
        <v>2.0</v>
      </c>
      <c r="D1053" s="1897">
        <f t="shared" si="76"/>
        <v>1.2</v>
      </c>
      <c r="E1053" s="1898"/>
      <c r="F1053" s="518" t="s">
        <v>14</v>
      </c>
      <c r="G1053" s="1"/>
      <c r="H1053" s="1"/>
      <c r="I1053" s="262" t="s">
        <v>52</v>
      </c>
      <c r="J1053" s="355">
        <v>200.0</v>
      </c>
      <c r="K1053" s="383">
        <f t="shared" si="75"/>
        <v>1080</v>
      </c>
      <c r="L1053" s="267" t="s">
        <v>18</v>
      </c>
      <c r="M1053" s="76"/>
      <c r="N1053" s="1"/>
      <c r="O1053" s="1"/>
      <c r="P1053" s="1"/>
      <c r="Q1053" s="1"/>
      <c r="R1053" s="1"/>
      <c r="S1053" s="1"/>
    </row>
    <row r="1054" ht="14.25" customHeight="1">
      <c r="A1054" s="1112"/>
      <c r="B1054" s="68" t="s">
        <v>91</v>
      </c>
      <c r="C1054" s="145">
        <v>2.3</v>
      </c>
      <c r="D1054" s="3030">
        <f t="shared" si="76"/>
        <v>1.38</v>
      </c>
      <c r="E1054" s="3031"/>
      <c r="F1054" s="216" t="s">
        <v>5</v>
      </c>
      <c r="G1054" s="2544" t="s">
        <v>2861</v>
      </c>
      <c r="H1054" s="1"/>
      <c r="I1054" s="163" t="s">
        <v>3481</v>
      </c>
      <c r="J1054" s="316">
        <v>300.0</v>
      </c>
      <c r="K1054" s="285">
        <f t="shared" si="75"/>
        <v>1620</v>
      </c>
      <c r="L1054" s="169" t="s">
        <v>18</v>
      </c>
      <c r="M1054" s="264" t="s">
        <v>2524</v>
      </c>
      <c r="N1054" s="1"/>
      <c r="O1054" s="1"/>
      <c r="P1054" s="1"/>
      <c r="Q1054" s="1"/>
      <c r="R1054" s="1"/>
      <c r="S1054" s="1"/>
    </row>
    <row r="1055" ht="14.25" customHeight="1">
      <c r="A1055" s="1112"/>
      <c r="B1055" s="93" t="s">
        <v>148</v>
      </c>
      <c r="C1055" s="195">
        <v>440.0</v>
      </c>
      <c r="D1055" s="1420">
        <f t="shared" si="76"/>
        <v>264</v>
      </c>
      <c r="E1055" s="1886"/>
      <c r="F1055" s="249" t="s">
        <v>18</v>
      </c>
      <c r="G1055" s="47"/>
      <c r="H1055" s="1"/>
      <c r="I1055" s="177" t="s">
        <v>2525</v>
      </c>
      <c r="J1055" s="321">
        <v>30.0</v>
      </c>
      <c r="K1055" s="198">
        <f t="shared" si="75"/>
        <v>162</v>
      </c>
      <c r="L1055" s="204" t="s">
        <v>18</v>
      </c>
      <c r="M1055" s="66"/>
      <c r="N1055" s="1"/>
      <c r="O1055" s="1"/>
      <c r="P1055" s="1"/>
      <c r="Q1055" s="1"/>
      <c r="R1055" s="1"/>
      <c r="S1055" s="1"/>
    </row>
    <row r="1056" ht="14.25" customHeight="1">
      <c r="A1056" s="1112"/>
      <c r="B1056" s="93" t="s">
        <v>753</v>
      </c>
      <c r="C1056" s="195">
        <v>780.0</v>
      </c>
      <c r="D1056" s="2932">
        <f t="shared" si="76"/>
        <v>468</v>
      </c>
      <c r="E1056" s="2933"/>
      <c r="F1056" s="249" t="s">
        <v>18</v>
      </c>
      <c r="G1056" s="47"/>
      <c r="H1056" s="1"/>
      <c r="I1056" s="177" t="s">
        <v>3482</v>
      </c>
      <c r="J1056" s="321">
        <v>25.0</v>
      </c>
      <c r="K1056" s="198">
        <f t="shared" si="75"/>
        <v>135</v>
      </c>
      <c r="L1056" s="204" t="s">
        <v>18</v>
      </c>
      <c r="M1056" s="66"/>
      <c r="N1056" s="1"/>
      <c r="O1056" s="1"/>
      <c r="P1056" s="1"/>
      <c r="Q1056" s="1"/>
      <c r="R1056" s="1"/>
      <c r="S1056" s="1"/>
    </row>
    <row r="1057" ht="14.25" customHeight="1">
      <c r="A1057" s="1112"/>
      <c r="B1057" s="93" t="s">
        <v>52</v>
      </c>
      <c r="C1057" s="195">
        <v>62.0</v>
      </c>
      <c r="D1057" s="1420">
        <f t="shared" si="76"/>
        <v>37.2</v>
      </c>
      <c r="E1057" s="1886"/>
      <c r="F1057" s="249" t="s">
        <v>18</v>
      </c>
      <c r="G1057" s="47"/>
      <c r="H1057" s="1"/>
      <c r="I1057" s="177" t="s">
        <v>3483</v>
      </c>
      <c r="J1057" s="321">
        <v>50.0</v>
      </c>
      <c r="K1057" s="198">
        <f t="shared" si="75"/>
        <v>270</v>
      </c>
      <c r="L1057" s="204" t="s">
        <v>18</v>
      </c>
      <c r="M1057" s="66"/>
      <c r="N1057" s="1"/>
      <c r="O1057" s="1"/>
      <c r="P1057" s="1"/>
      <c r="Q1057" s="1"/>
      <c r="R1057" s="1"/>
      <c r="S1057" s="1"/>
    </row>
    <row r="1058" ht="14.25" customHeight="1">
      <c r="A1058" s="1112"/>
      <c r="B1058" s="138" t="s">
        <v>103</v>
      </c>
      <c r="C1058" s="279">
        <v>125.0</v>
      </c>
      <c r="D1058" s="1887">
        <f>(C1058*D1054)/C1054</f>
        <v>75</v>
      </c>
      <c r="E1058" s="1889"/>
      <c r="F1058" s="242" t="s">
        <v>18</v>
      </c>
      <c r="G1058" s="47"/>
      <c r="H1058" s="1"/>
      <c r="I1058" s="177" t="s">
        <v>2139</v>
      </c>
      <c r="J1058" s="321">
        <v>3.0</v>
      </c>
      <c r="K1058" s="198">
        <f t="shared" si="75"/>
        <v>16.2</v>
      </c>
      <c r="L1058" s="2274" t="s">
        <v>366</v>
      </c>
      <c r="M1058" s="66"/>
      <c r="N1058" s="1"/>
      <c r="O1058" s="1"/>
      <c r="P1058" s="1"/>
      <c r="Q1058" s="1"/>
      <c r="R1058" s="1"/>
      <c r="S1058" s="1"/>
    </row>
    <row r="1059" ht="14.25" customHeight="1">
      <c r="A1059" s="1112"/>
      <c r="B1059" s="105" t="s">
        <v>162</v>
      </c>
      <c r="C1059" s="200">
        <v>156.0</v>
      </c>
      <c r="D1059" s="1897">
        <f t="shared" ref="D1059:D1060" si="77">(C1059*D1056)/C1056</f>
        <v>93.6</v>
      </c>
      <c r="E1059" s="1898"/>
      <c r="F1059" s="518" t="s">
        <v>18</v>
      </c>
      <c r="G1059" s="76"/>
      <c r="H1059" s="1"/>
      <c r="I1059" s="177" t="s">
        <v>3484</v>
      </c>
      <c r="J1059" s="321">
        <v>12.0</v>
      </c>
      <c r="K1059" s="198">
        <f t="shared" si="75"/>
        <v>64.8</v>
      </c>
      <c r="L1059" s="2274" t="s">
        <v>9</v>
      </c>
      <c r="M1059" s="66"/>
      <c r="N1059" s="1"/>
      <c r="O1059" s="1"/>
      <c r="P1059" s="1"/>
      <c r="Q1059" s="1"/>
      <c r="R1059" s="1"/>
      <c r="S1059" s="1"/>
    </row>
    <row r="1060" ht="14.25" customHeight="1">
      <c r="A1060" s="1112"/>
      <c r="B1060" s="2225" t="s">
        <v>60</v>
      </c>
      <c r="C1060" s="145">
        <v>4.3</v>
      </c>
      <c r="D1060" s="1193">
        <f t="shared" si="77"/>
        <v>2.58</v>
      </c>
      <c r="E1060" s="1884"/>
      <c r="F1060" s="348" t="s">
        <v>14</v>
      </c>
      <c r="G1060" s="3032" t="s">
        <v>2599</v>
      </c>
      <c r="H1060" s="1"/>
      <c r="I1060" s="177" t="s">
        <v>2530</v>
      </c>
      <c r="J1060" s="321">
        <v>1000.0</v>
      </c>
      <c r="K1060" s="198">
        <f t="shared" si="75"/>
        <v>5400</v>
      </c>
      <c r="L1060" s="204" t="s">
        <v>18</v>
      </c>
      <c r="M1060" s="66"/>
      <c r="N1060" s="1"/>
      <c r="O1060" s="1"/>
      <c r="P1060" s="1"/>
      <c r="Q1060" s="1"/>
      <c r="R1060" s="1"/>
      <c r="S1060" s="1"/>
    </row>
    <row r="1061" ht="14.25" customHeight="1">
      <c r="A1061" s="1112"/>
      <c r="B1061" s="2252" t="s">
        <v>2649</v>
      </c>
      <c r="C1061" s="238">
        <v>6.25</v>
      </c>
      <c r="D1061" s="2375">
        <f>(C1061*D1062)/C1062</f>
        <v>3.75</v>
      </c>
      <c r="E1061" s="2376"/>
      <c r="F1061" s="1457" t="s">
        <v>14</v>
      </c>
      <c r="G1061" s="47"/>
      <c r="H1061" s="1"/>
      <c r="I1061" s="208" t="s">
        <v>2531</v>
      </c>
      <c r="J1061" s="318">
        <v>500.0</v>
      </c>
      <c r="K1061" s="211">
        <f t="shared" si="75"/>
        <v>2700</v>
      </c>
      <c r="L1061" s="212" t="s">
        <v>18</v>
      </c>
      <c r="M1061" s="106"/>
      <c r="N1061" s="1"/>
      <c r="O1061" s="1"/>
      <c r="P1061" s="1"/>
      <c r="Q1061" s="1"/>
      <c r="R1061" s="1"/>
      <c r="S1061" s="1"/>
    </row>
    <row r="1062" ht="14.25" customHeight="1">
      <c r="A1062" s="1112"/>
      <c r="B1062" s="2252" t="s">
        <v>858</v>
      </c>
      <c r="C1062" s="238">
        <v>22.0</v>
      </c>
      <c r="D1062" s="2375">
        <f>(C1062*D1060)/C1060</f>
        <v>13.2</v>
      </c>
      <c r="E1062" s="2376"/>
      <c r="F1062" s="1457" t="s">
        <v>741</v>
      </c>
      <c r="G1062" s="47"/>
      <c r="H1062" s="1"/>
      <c r="I1062" s="325" t="s">
        <v>2533</v>
      </c>
      <c r="J1062" s="328">
        <v>15.0</v>
      </c>
      <c r="K1062" s="337">
        <f t="shared" si="75"/>
        <v>81</v>
      </c>
      <c r="L1062" s="338" t="s">
        <v>366</v>
      </c>
      <c r="M1062" s="161"/>
      <c r="N1062" s="1"/>
      <c r="O1062" s="1"/>
      <c r="P1062" s="1"/>
      <c r="Q1062" s="1"/>
      <c r="R1062" s="1"/>
      <c r="S1062" s="1"/>
    </row>
    <row r="1063" ht="14.25" customHeight="1">
      <c r="A1063" s="1112"/>
      <c r="B1063" s="2252" t="s">
        <v>288</v>
      </c>
      <c r="C1063" s="238">
        <v>250.00000000000003</v>
      </c>
      <c r="D1063" s="2375">
        <f t="shared" ref="D1063:D1064" si="78">(C1063*D1060)/C1060</f>
        <v>150</v>
      </c>
      <c r="E1063" s="2376"/>
      <c r="F1063" s="1457" t="s">
        <v>18</v>
      </c>
      <c r="G1063" s="47"/>
      <c r="H1063" s="1"/>
      <c r="I1063" s="157" t="s">
        <v>1027</v>
      </c>
      <c r="J1063" s="839">
        <v>150.0</v>
      </c>
      <c r="K1063" s="390">
        <f t="shared" si="75"/>
        <v>810</v>
      </c>
      <c r="L1063" s="159" t="s">
        <v>18</v>
      </c>
      <c r="M1063" s="44" t="s">
        <v>3485</v>
      </c>
      <c r="N1063" s="1"/>
      <c r="O1063" s="1"/>
      <c r="P1063" s="1"/>
      <c r="Q1063" s="1"/>
      <c r="R1063" s="1"/>
      <c r="S1063" s="1"/>
    </row>
    <row r="1064" ht="14.25" customHeight="1">
      <c r="A1064" s="1112"/>
      <c r="B1064" s="93" t="s">
        <v>427</v>
      </c>
      <c r="C1064" s="195">
        <v>250.0</v>
      </c>
      <c r="D1064" s="2375">
        <f t="shared" si="78"/>
        <v>150</v>
      </c>
      <c r="E1064" s="2376"/>
      <c r="F1064" s="249" t="s">
        <v>18</v>
      </c>
      <c r="G1064" s="47"/>
      <c r="H1064" s="1"/>
      <c r="I1064" s="177" t="s">
        <v>105</v>
      </c>
      <c r="J1064" s="321">
        <v>100.0</v>
      </c>
      <c r="K1064" s="390">
        <f t="shared" si="75"/>
        <v>540</v>
      </c>
      <c r="L1064" s="204" t="s">
        <v>18</v>
      </c>
      <c r="M1064" s="47"/>
      <c r="N1064" s="1"/>
      <c r="O1064" s="1"/>
      <c r="P1064" s="1"/>
      <c r="Q1064" s="1"/>
      <c r="R1064" s="1"/>
      <c r="S1064" s="1"/>
    </row>
    <row r="1065" ht="14.25" customHeight="1">
      <c r="A1065" s="1112"/>
      <c r="B1065" s="1421" t="s">
        <v>2533</v>
      </c>
      <c r="C1065" s="195">
        <v>11.250000000000002</v>
      </c>
      <c r="D1065" s="2375">
        <f>(C1065*D1063)/C1063</f>
        <v>6.75</v>
      </c>
      <c r="E1065" s="2376"/>
      <c r="F1065" s="352" t="s">
        <v>14</v>
      </c>
      <c r="G1065" s="47"/>
      <c r="H1065" s="1"/>
      <c r="I1065" s="177" t="s">
        <v>160</v>
      </c>
      <c r="J1065" s="321">
        <v>100.0</v>
      </c>
      <c r="K1065" s="390">
        <f t="shared" si="75"/>
        <v>540</v>
      </c>
      <c r="L1065" s="204" t="s">
        <v>18</v>
      </c>
      <c r="M1065" s="47"/>
      <c r="N1065" s="1"/>
      <c r="O1065" s="1"/>
      <c r="P1065" s="1"/>
      <c r="Q1065" s="1"/>
      <c r="R1065" s="1"/>
      <c r="S1065" s="1"/>
    </row>
    <row r="1066" ht="14.25" customHeight="1">
      <c r="A1066" s="1112"/>
      <c r="B1066" s="105" t="s">
        <v>31</v>
      </c>
      <c r="C1066" s="200">
        <v>1250.0000000000002</v>
      </c>
      <c r="D1066" s="1897">
        <f t="shared" ref="D1066:D1067" si="79">(C1066*D1065)/C1065</f>
        <v>750</v>
      </c>
      <c r="E1066" s="1898"/>
      <c r="F1066" s="518" t="s">
        <v>18</v>
      </c>
      <c r="G1066" s="76"/>
      <c r="H1066" s="1"/>
      <c r="I1066" s="177" t="s">
        <v>13</v>
      </c>
      <c r="J1066" s="321">
        <v>1500.0</v>
      </c>
      <c r="K1066" s="390">
        <f t="shared" si="75"/>
        <v>8100</v>
      </c>
      <c r="L1066" s="204" t="s">
        <v>18</v>
      </c>
      <c r="M1066" s="47"/>
      <c r="N1066" s="1"/>
      <c r="O1066" s="1"/>
      <c r="P1066" s="1"/>
      <c r="Q1066" s="1"/>
      <c r="R1066" s="1"/>
      <c r="S1066" s="1"/>
    </row>
    <row r="1067" ht="14.25" customHeight="1">
      <c r="A1067" s="1"/>
      <c r="B1067" s="1787" t="s">
        <v>335</v>
      </c>
      <c r="C1067" s="1155">
        <v>1.8750000000000002</v>
      </c>
      <c r="D1067" s="1550">
        <f t="shared" si="79"/>
        <v>1.125</v>
      </c>
      <c r="E1067" s="2272"/>
      <c r="F1067" s="547" t="s">
        <v>5</v>
      </c>
      <c r="G1067" s="44" t="s">
        <v>2874</v>
      </c>
      <c r="H1067" s="1"/>
      <c r="I1067" s="177" t="s">
        <v>31</v>
      </c>
      <c r="J1067" s="321">
        <v>1200.0</v>
      </c>
      <c r="K1067" s="198">
        <f t="shared" si="75"/>
        <v>6480</v>
      </c>
      <c r="L1067" s="204" t="s">
        <v>18</v>
      </c>
      <c r="M1067" s="47"/>
      <c r="N1067" s="1"/>
      <c r="O1067" s="1"/>
      <c r="P1067" s="1"/>
      <c r="Q1067" s="1"/>
      <c r="R1067" s="1"/>
      <c r="S1067" s="1"/>
    </row>
    <row r="1068" ht="14.25" customHeight="1">
      <c r="A1068" s="1"/>
      <c r="B1068" s="2275" t="s">
        <v>119</v>
      </c>
      <c r="C1068" s="1446" t="s">
        <v>47</v>
      </c>
      <c r="D1068" s="184"/>
      <c r="E1068" s="184"/>
      <c r="F1068" s="1"/>
      <c r="G1068" s="1"/>
      <c r="H1068" s="1"/>
      <c r="I1068" s="262" t="s">
        <v>1591</v>
      </c>
      <c r="J1068" s="355">
        <v>100.0</v>
      </c>
      <c r="K1068" s="1005">
        <f t="shared" si="75"/>
        <v>540</v>
      </c>
      <c r="L1068" s="267" t="s">
        <v>18</v>
      </c>
      <c r="M1068" s="47"/>
      <c r="N1068" s="1"/>
      <c r="O1068" s="1"/>
      <c r="P1068" s="1"/>
      <c r="Q1068" s="1"/>
      <c r="R1068" s="1"/>
      <c r="S1068" s="1"/>
    </row>
    <row r="1069" ht="14.25" customHeight="1">
      <c r="A1069" s="1"/>
      <c r="B1069" s="90" t="s">
        <v>120</v>
      </c>
      <c r="C1069" s="1188">
        <v>42339.0</v>
      </c>
      <c r="D1069" s="184"/>
      <c r="E1069" s="184"/>
      <c r="F1069" s="1"/>
      <c r="G1069" s="1"/>
      <c r="H1069" s="1"/>
      <c r="I1069" s="3033" t="s">
        <v>1481</v>
      </c>
      <c r="J1069" s="3034">
        <v>5.0</v>
      </c>
      <c r="K1069" s="3035">
        <f t="shared" si="75"/>
        <v>27</v>
      </c>
      <c r="L1069" s="3036" t="s">
        <v>5</v>
      </c>
      <c r="M1069" s="784"/>
      <c r="N1069" s="1"/>
      <c r="O1069" s="1"/>
      <c r="P1069" s="1"/>
      <c r="Q1069" s="1"/>
      <c r="R1069" s="1"/>
      <c r="S1069" s="1"/>
    </row>
    <row r="1070" ht="14.25" customHeight="1">
      <c r="A1070" s="1"/>
      <c r="B1070" s="305" t="s">
        <v>50</v>
      </c>
      <c r="C1070" s="1188"/>
      <c r="D1070" s="184"/>
      <c r="E1070" s="184"/>
      <c r="F1070" s="1"/>
      <c r="G1070" s="1"/>
      <c r="H1070" s="1"/>
      <c r="I1070" s="208" t="s">
        <v>213</v>
      </c>
      <c r="J1070" s="318">
        <v>3.0</v>
      </c>
      <c r="K1070" s="211">
        <f t="shared" si="75"/>
        <v>16.2</v>
      </c>
      <c r="L1070" s="212" t="s">
        <v>5</v>
      </c>
      <c r="M1070" s="2322"/>
      <c r="N1070" s="1"/>
      <c r="O1070" s="1"/>
      <c r="P1070" s="1"/>
      <c r="Q1070" s="1"/>
      <c r="R1070" s="1"/>
      <c r="S1070" s="1"/>
    </row>
    <row r="1071" ht="14.25" customHeight="1">
      <c r="A1071" s="1"/>
      <c r="B1071" s="1270"/>
      <c r="C1071" s="2271"/>
      <c r="D1071" s="184"/>
      <c r="E1071" s="184"/>
      <c r="F1071" s="1"/>
      <c r="G1071" s="1112"/>
      <c r="H1071" s="1"/>
      <c r="I1071" s="1"/>
      <c r="J1071" s="1"/>
      <c r="K1071" s="1"/>
      <c r="L1071" s="1"/>
      <c r="M1071" s="1"/>
      <c r="N1071" s="1"/>
      <c r="O1071" s="1"/>
      <c r="P1071" s="1"/>
      <c r="Q1071" s="1"/>
      <c r="R1071" s="1"/>
      <c r="S1071" s="1"/>
    </row>
    <row r="1072" ht="14.25" customHeight="1">
      <c r="A1072" s="1"/>
      <c r="B1072" s="46" t="s">
        <v>1053</v>
      </c>
      <c r="C1072" s="18"/>
      <c r="D1072" s="18"/>
      <c r="E1072" s="18"/>
      <c r="F1072" s="19"/>
      <c r="G1072" s="270"/>
      <c r="H1072" s="1"/>
      <c r="I1072" s="1"/>
      <c r="J1072" s="1"/>
      <c r="K1072" s="1"/>
      <c r="L1072" s="1"/>
      <c r="M1072" s="1"/>
      <c r="N1072" s="1"/>
      <c r="O1072" s="1"/>
      <c r="P1072" s="1"/>
      <c r="Q1072" s="1"/>
      <c r="R1072" s="1"/>
      <c r="S1072" s="1"/>
    </row>
    <row r="1073" ht="14.25" customHeight="1">
      <c r="A1073" s="1"/>
      <c r="B1073" s="3037" t="s">
        <v>1</v>
      </c>
      <c r="C1073" s="2479">
        <v>100.0</v>
      </c>
      <c r="D1073" s="3038">
        <v>90.0</v>
      </c>
      <c r="E1073" s="3039"/>
      <c r="F1073" s="3040" t="s">
        <v>5</v>
      </c>
      <c r="G1073" s="270"/>
      <c r="H1073" s="1"/>
      <c r="I1073" s="1"/>
      <c r="J1073" s="1"/>
      <c r="K1073" s="1"/>
      <c r="L1073" s="1"/>
      <c r="M1073" s="1"/>
      <c r="N1073" s="1"/>
      <c r="O1073" s="1"/>
      <c r="P1073" s="1"/>
      <c r="Q1073" s="1"/>
      <c r="R1073" s="1"/>
      <c r="S1073" s="1"/>
    </row>
    <row r="1074" ht="14.25" customHeight="1">
      <c r="A1074" s="1"/>
      <c r="B1074" s="68" t="s">
        <v>3479</v>
      </c>
      <c r="C1074" s="1202">
        <v>25.0</v>
      </c>
      <c r="D1074" s="155">
        <f t="shared" ref="D1074:D1075" si="80">(C1074*D1073)/C1073</f>
        <v>22.5</v>
      </c>
      <c r="E1074" s="899"/>
      <c r="F1074" s="216" t="s">
        <v>14</v>
      </c>
      <c r="G1074" s="44" t="s">
        <v>3486</v>
      </c>
      <c r="H1074" s="1"/>
      <c r="I1074" s="1"/>
      <c r="J1074" s="1"/>
      <c r="K1074" s="1"/>
      <c r="L1074" s="1"/>
      <c r="M1074" s="1"/>
      <c r="N1074" s="1"/>
      <c r="O1074" s="1"/>
      <c r="P1074" s="1"/>
      <c r="Q1074" s="1"/>
      <c r="R1074" s="1"/>
      <c r="S1074" s="1"/>
    </row>
    <row r="1075" ht="14.25" customHeight="1">
      <c r="A1075" s="1"/>
      <c r="B1075" s="93" t="s">
        <v>150</v>
      </c>
      <c r="C1075" s="1213">
        <v>7.5</v>
      </c>
      <c r="D1075" s="78">
        <f t="shared" si="80"/>
        <v>6.75</v>
      </c>
      <c r="E1075" s="900"/>
      <c r="F1075" s="249" t="s">
        <v>14</v>
      </c>
      <c r="G1075" s="47"/>
      <c r="H1075" s="1"/>
      <c r="I1075" s="1"/>
      <c r="J1075" s="1"/>
      <c r="K1075" s="1"/>
      <c r="L1075" s="1"/>
      <c r="M1075" s="1"/>
      <c r="N1075" s="1"/>
      <c r="O1075" s="1"/>
      <c r="P1075" s="1"/>
      <c r="Q1075" s="1"/>
      <c r="R1075" s="1"/>
      <c r="S1075" s="1"/>
    </row>
    <row r="1076" ht="14.25" customHeight="1">
      <c r="A1076" s="1"/>
      <c r="B1076" s="93" t="s">
        <v>3487</v>
      </c>
      <c r="C1076" s="1213">
        <v>10.0</v>
      </c>
      <c r="D1076" s="78">
        <f>(C1076*D1079)/C1079</f>
        <v>9</v>
      </c>
      <c r="E1076" s="900"/>
      <c r="F1076" s="249" t="s">
        <v>14</v>
      </c>
      <c r="G1076" s="47"/>
      <c r="H1076" s="1"/>
      <c r="I1076" s="1"/>
      <c r="J1076" s="1"/>
      <c r="K1076" s="1"/>
      <c r="L1076" s="1"/>
      <c r="M1076" s="1"/>
      <c r="N1076" s="1"/>
      <c r="O1076" s="1"/>
      <c r="P1076" s="1"/>
      <c r="Q1076" s="1"/>
      <c r="R1076" s="1"/>
      <c r="S1076" s="1"/>
    </row>
    <row r="1077" ht="14.25" customHeight="1">
      <c r="A1077" s="1"/>
      <c r="B1077" s="93" t="s">
        <v>153</v>
      </c>
      <c r="C1077" s="1213">
        <v>5.0</v>
      </c>
      <c r="D1077" s="78">
        <f>(C1077*D1075)/C1075</f>
        <v>4.5</v>
      </c>
      <c r="E1077" s="900"/>
      <c r="F1077" s="249" t="s">
        <v>14</v>
      </c>
      <c r="G1077" s="47"/>
      <c r="H1077" s="1"/>
      <c r="I1077" s="1"/>
      <c r="J1077" s="1"/>
      <c r="K1077" s="1"/>
      <c r="L1077" s="1"/>
      <c r="M1077" s="1"/>
      <c r="N1077" s="1"/>
      <c r="O1077" s="1"/>
      <c r="P1077" s="1"/>
      <c r="Q1077" s="1"/>
      <c r="R1077" s="1"/>
      <c r="S1077" s="1"/>
    </row>
    <row r="1078" ht="14.25" customHeight="1">
      <c r="A1078" s="1"/>
      <c r="B1078" s="93" t="s">
        <v>2514</v>
      </c>
      <c r="C1078" s="1213">
        <v>5.0</v>
      </c>
      <c r="D1078" s="78">
        <f t="shared" ref="D1078:D1098" si="81">(C1078*D1077)/C1077</f>
        <v>4.5</v>
      </c>
      <c r="E1078" s="900"/>
      <c r="F1078" s="249" t="s">
        <v>14</v>
      </c>
      <c r="G1078" s="47"/>
      <c r="H1078" s="1"/>
      <c r="I1078" s="1"/>
      <c r="J1078" s="1"/>
      <c r="K1078" s="1"/>
      <c r="L1078" s="1"/>
      <c r="M1078" s="1"/>
      <c r="N1078" s="1"/>
      <c r="O1078" s="1"/>
      <c r="P1078" s="1"/>
      <c r="Q1078" s="1"/>
      <c r="R1078" s="1"/>
      <c r="S1078" s="1"/>
    </row>
    <row r="1079" ht="14.25" customHeight="1">
      <c r="A1079" s="1"/>
      <c r="B1079" s="138" t="s">
        <v>329</v>
      </c>
      <c r="C1079" s="351">
        <v>5.0</v>
      </c>
      <c r="D1079" s="146">
        <f t="shared" si="81"/>
        <v>4.5</v>
      </c>
      <c r="E1079" s="1607"/>
      <c r="F1079" s="242" t="s">
        <v>14</v>
      </c>
      <c r="G1079" s="76"/>
      <c r="H1079" s="1"/>
      <c r="I1079" s="1"/>
      <c r="J1079" s="1"/>
      <c r="K1079" s="1"/>
      <c r="L1079" s="1"/>
      <c r="M1079" s="1"/>
      <c r="N1079" s="1"/>
      <c r="O1079" s="1"/>
      <c r="P1079" s="1"/>
      <c r="Q1079" s="1"/>
      <c r="R1079" s="1"/>
      <c r="S1079" s="1"/>
    </row>
    <row r="1080" ht="14.25" customHeight="1">
      <c r="A1080" s="1"/>
      <c r="B1080" s="68" t="s">
        <v>91</v>
      </c>
      <c r="C1080" s="1202">
        <v>4.0</v>
      </c>
      <c r="D1080" s="155">
        <f t="shared" si="81"/>
        <v>3.6</v>
      </c>
      <c r="E1080" s="899"/>
      <c r="F1080" s="216" t="s">
        <v>5</v>
      </c>
      <c r="G1080" s="2535" t="s">
        <v>3488</v>
      </c>
      <c r="H1080" s="1"/>
      <c r="I1080" s="1"/>
      <c r="J1080" s="1"/>
      <c r="K1080" s="1"/>
      <c r="L1080" s="1"/>
      <c r="M1080" s="1"/>
      <c r="N1080" s="1"/>
      <c r="O1080" s="1"/>
      <c r="P1080" s="1"/>
      <c r="Q1080" s="1"/>
      <c r="R1080" s="1"/>
      <c r="S1080" s="1"/>
    </row>
    <row r="1081" ht="14.25" customHeight="1">
      <c r="A1081" s="1"/>
      <c r="B1081" s="93" t="s">
        <v>97</v>
      </c>
      <c r="C1081" s="1213">
        <v>100.0</v>
      </c>
      <c r="D1081" s="78">
        <f t="shared" si="81"/>
        <v>90</v>
      </c>
      <c r="E1081" s="900"/>
      <c r="F1081" s="249" t="s">
        <v>18</v>
      </c>
      <c r="H1081" s="1"/>
      <c r="I1081" s="1"/>
      <c r="J1081" s="1"/>
      <c r="K1081" s="1"/>
      <c r="L1081" s="1"/>
      <c r="M1081" s="1"/>
      <c r="N1081" s="1"/>
      <c r="O1081" s="1"/>
      <c r="P1081" s="1"/>
      <c r="Q1081" s="1"/>
      <c r="R1081" s="1"/>
      <c r="S1081" s="1"/>
    </row>
    <row r="1082" ht="14.25" customHeight="1">
      <c r="A1082" s="1"/>
      <c r="B1082" s="93" t="s">
        <v>179</v>
      </c>
      <c r="C1082" s="1213">
        <v>1000.0</v>
      </c>
      <c r="D1082" s="78">
        <f t="shared" si="81"/>
        <v>900</v>
      </c>
      <c r="E1082" s="900"/>
      <c r="F1082" s="249" t="s">
        <v>18</v>
      </c>
      <c r="H1082" s="1"/>
      <c r="I1082" s="1"/>
      <c r="J1082" s="1"/>
      <c r="K1082" s="1"/>
      <c r="L1082" s="1"/>
      <c r="M1082" s="1"/>
      <c r="N1082" s="1"/>
      <c r="O1082" s="1"/>
      <c r="P1082" s="1"/>
      <c r="Q1082" s="1"/>
      <c r="R1082" s="1"/>
      <c r="S1082" s="1"/>
    </row>
    <row r="1083" ht="14.25" customHeight="1">
      <c r="A1083" s="1"/>
      <c r="B1083" s="93" t="s">
        <v>3434</v>
      </c>
      <c r="C1083" s="1213">
        <v>750.0</v>
      </c>
      <c r="D1083" s="78">
        <f t="shared" si="81"/>
        <v>675</v>
      </c>
      <c r="E1083" s="900"/>
      <c r="F1083" s="249" t="s">
        <v>18</v>
      </c>
      <c r="H1083" s="1"/>
      <c r="I1083" s="1"/>
      <c r="J1083" s="1"/>
      <c r="K1083" s="1"/>
      <c r="L1083" s="1"/>
      <c r="M1083" s="1"/>
      <c r="N1083" s="1"/>
      <c r="O1083" s="1"/>
      <c r="P1083" s="1"/>
      <c r="Q1083" s="1"/>
      <c r="R1083" s="1"/>
      <c r="S1083" s="1"/>
    </row>
    <row r="1084" ht="14.25" customHeight="1">
      <c r="A1084" s="1"/>
      <c r="B1084" s="93" t="s">
        <v>103</v>
      </c>
      <c r="C1084" s="1213">
        <v>100.0</v>
      </c>
      <c r="D1084" s="78">
        <f t="shared" si="81"/>
        <v>90</v>
      </c>
      <c r="E1084" s="900"/>
      <c r="F1084" s="249" t="s">
        <v>18</v>
      </c>
      <c r="H1084" s="1"/>
      <c r="I1084" s="1"/>
      <c r="J1084" s="1"/>
      <c r="K1084" s="1"/>
      <c r="L1084" s="1"/>
      <c r="M1084" s="1"/>
      <c r="N1084" s="1"/>
      <c r="O1084" s="1"/>
      <c r="P1084" s="1"/>
      <c r="Q1084" s="1"/>
      <c r="R1084" s="1"/>
      <c r="S1084" s="1"/>
    </row>
    <row r="1085" ht="14.25" customHeight="1">
      <c r="A1085" s="1"/>
      <c r="B1085" s="105" t="s">
        <v>52</v>
      </c>
      <c r="C1085" s="1216">
        <v>200.0</v>
      </c>
      <c r="D1085" s="56">
        <f t="shared" si="81"/>
        <v>180</v>
      </c>
      <c r="E1085" s="1604"/>
      <c r="F1085" s="518" t="s">
        <v>18</v>
      </c>
      <c r="G1085" s="104"/>
      <c r="H1085" s="1"/>
      <c r="I1085" s="1"/>
      <c r="J1085" s="1"/>
      <c r="K1085" s="1"/>
      <c r="L1085" s="1"/>
      <c r="M1085" s="1"/>
      <c r="N1085" s="1"/>
      <c r="O1085" s="1"/>
      <c r="P1085" s="1"/>
      <c r="Q1085" s="1"/>
      <c r="R1085" s="1"/>
      <c r="S1085" s="1"/>
    </row>
    <row r="1086" ht="14.25" customHeight="1">
      <c r="A1086" s="1"/>
      <c r="B1086" s="119" t="s">
        <v>746</v>
      </c>
      <c r="C1086" s="1209">
        <v>750.0</v>
      </c>
      <c r="D1086" s="129">
        <f t="shared" si="81"/>
        <v>675</v>
      </c>
      <c r="E1086" s="1583"/>
      <c r="F1086" s="520" t="s">
        <v>18</v>
      </c>
      <c r="G1086" s="140" t="s">
        <v>3489</v>
      </c>
      <c r="H1086" s="1"/>
      <c r="I1086" s="1"/>
      <c r="J1086" s="1"/>
      <c r="K1086" s="1"/>
      <c r="L1086" s="1"/>
      <c r="M1086" s="1"/>
      <c r="N1086" s="1"/>
      <c r="O1086" s="1"/>
      <c r="P1086" s="1"/>
      <c r="Q1086" s="1"/>
      <c r="R1086" s="1"/>
      <c r="S1086" s="1"/>
    </row>
    <row r="1087" ht="14.25" customHeight="1">
      <c r="A1087" s="1"/>
      <c r="B1087" s="93" t="s">
        <v>1132</v>
      </c>
      <c r="C1087" s="1213">
        <v>500.0</v>
      </c>
      <c r="D1087" s="78">
        <f t="shared" si="81"/>
        <v>450</v>
      </c>
      <c r="E1087" s="900"/>
      <c r="F1087" s="249" t="s">
        <v>18</v>
      </c>
      <c r="H1087" s="1"/>
      <c r="I1087" s="1"/>
      <c r="J1087" s="1"/>
      <c r="K1087" s="1"/>
      <c r="L1087" s="1"/>
      <c r="M1087" s="1"/>
      <c r="N1087" s="1"/>
      <c r="O1087" s="1"/>
      <c r="P1087" s="1"/>
      <c r="Q1087" s="1"/>
      <c r="R1087" s="1"/>
      <c r="S1087" s="1"/>
    </row>
    <row r="1088" ht="14.25" customHeight="1">
      <c r="A1088" s="1"/>
      <c r="B1088" s="93" t="s">
        <v>1243</v>
      </c>
      <c r="C1088" s="1213">
        <v>250.0</v>
      </c>
      <c r="D1088" s="78">
        <f t="shared" si="81"/>
        <v>225</v>
      </c>
      <c r="E1088" s="900"/>
      <c r="F1088" s="249" t="s">
        <v>18</v>
      </c>
      <c r="H1088" s="1"/>
      <c r="I1088" s="1"/>
      <c r="J1088" s="1"/>
      <c r="K1088" s="1"/>
      <c r="L1088" s="1"/>
      <c r="M1088" s="1"/>
      <c r="N1088" s="1"/>
      <c r="O1088" s="1"/>
      <c r="P1088" s="1"/>
      <c r="Q1088" s="1"/>
      <c r="R1088" s="1"/>
      <c r="S1088" s="1"/>
    </row>
    <row r="1089" ht="14.25" customHeight="1">
      <c r="A1089" s="1"/>
      <c r="B1089" s="105" t="s">
        <v>162</v>
      </c>
      <c r="C1089" s="1216">
        <v>200.0</v>
      </c>
      <c r="D1089" s="56">
        <f t="shared" si="81"/>
        <v>180</v>
      </c>
      <c r="E1089" s="1604"/>
      <c r="F1089" s="518" t="s">
        <v>18</v>
      </c>
      <c r="G1089" s="104"/>
      <c r="H1089" s="1"/>
      <c r="I1089" s="1"/>
      <c r="J1089" s="1"/>
      <c r="K1089" s="1"/>
      <c r="L1089" s="1"/>
      <c r="M1089" s="1"/>
      <c r="N1089" s="1"/>
      <c r="O1089" s="1"/>
      <c r="P1089" s="1"/>
      <c r="Q1089" s="1"/>
      <c r="R1089" s="1"/>
      <c r="S1089" s="1"/>
    </row>
    <row r="1090" ht="14.25" customHeight="1">
      <c r="A1090" s="1"/>
      <c r="B1090" s="417" t="s">
        <v>3490</v>
      </c>
      <c r="C1090" s="1285">
        <v>50.0</v>
      </c>
      <c r="D1090" s="146">
        <f t="shared" si="81"/>
        <v>45</v>
      </c>
      <c r="E1090" s="1614"/>
      <c r="F1090" s="543" t="s">
        <v>14</v>
      </c>
      <c r="G1090" s="270"/>
      <c r="H1090" s="1"/>
      <c r="I1090" s="1"/>
      <c r="J1090" s="1"/>
      <c r="K1090" s="1"/>
      <c r="L1090" s="1"/>
      <c r="M1090" s="1"/>
      <c r="N1090" s="1"/>
      <c r="O1090" s="1"/>
      <c r="P1090" s="1"/>
      <c r="Q1090" s="1"/>
      <c r="R1090" s="1"/>
      <c r="S1090" s="1"/>
    </row>
    <row r="1091" ht="14.25" customHeight="1">
      <c r="A1091" s="1"/>
      <c r="B1091" s="68" t="s">
        <v>31</v>
      </c>
      <c r="C1091" s="1202">
        <v>1150.0</v>
      </c>
      <c r="D1091" s="155">
        <f t="shared" si="81"/>
        <v>1035</v>
      </c>
      <c r="E1091" s="899"/>
      <c r="F1091" s="216" t="s">
        <v>18</v>
      </c>
      <c r="G1091" s="922"/>
      <c r="H1091" s="1"/>
      <c r="I1091" s="1"/>
      <c r="J1091" s="1"/>
      <c r="K1091" s="1"/>
      <c r="L1091" s="1"/>
      <c r="M1091" s="1"/>
      <c r="N1091" s="1"/>
      <c r="O1091" s="1"/>
      <c r="P1091" s="1"/>
      <c r="Q1091" s="1"/>
      <c r="R1091" s="1"/>
      <c r="S1091" s="1"/>
    </row>
    <row r="1092" ht="14.25" customHeight="1">
      <c r="A1092" s="1"/>
      <c r="B1092" s="138" t="s">
        <v>13</v>
      </c>
      <c r="C1092" s="351">
        <v>1.25</v>
      </c>
      <c r="D1092" s="146">
        <f t="shared" si="81"/>
        <v>1.125</v>
      </c>
      <c r="E1092" s="1607"/>
      <c r="F1092" s="242" t="s">
        <v>14</v>
      </c>
      <c r="G1092" s="3041"/>
      <c r="H1092" s="1"/>
      <c r="I1092" s="1"/>
      <c r="J1092" s="1"/>
      <c r="K1092" s="1"/>
      <c r="L1092" s="1"/>
      <c r="M1092" s="1"/>
      <c r="N1092" s="1"/>
      <c r="O1092" s="1"/>
      <c r="P1092" s="1"/>
      <c r="Q1092" s="1"/>
      <c r="R1092" s="1"/>
      <c r="S1092" s="1"/>
    </row>
    <row r="1093" ht="14.25" customHeight="1">
      <c r="A1093" s="1"/>
      <c r="B1093" s="68" t="s">
        <v>3491</v>
      </c>
      <c r="C1093" s="1202">
        <v>150.0</v>
      </c>
      <c r="D1093" s="155">
        <f t="shared" si="81"/>
        <v>135</v>
      </c>
      <c r="E1093" s="899"/>
      <c r="F1093" s="216" t="s">
        <v>18</v>
      </c>
      <c r="G1093" s="922" t="s">
        <v>3492</v>
      </c>
      <c r="H1093" s="1"/>
      <c r="I1093" s="1"/>
      <c r="J1093" s="1"/>
      <c r="K1093" s="1"/>
      <c r="L1093" s="1"/>
      <c r="M1093" s="1"/>
      <c r="N1093" s="1"/>
      <c r="O1093" s="1"/>
      <c r="P1093" s="1"/>
      <c r="Q1093" s="1"/>
      <c r="R1093" s="1"/>
      <c r="S1093" s="1"/>
    </row>
    <row r="1094" ht="14.25" customHeight="1">
      <c r="A1094" s="1"/>
      <c r="B1094" s="138" t="s">
        <v>288</v>
      </c>
      <c r="C1094" s="351">
        <v>250.0</v>
      </c>
      <c r="D1094" s="146">
        <f t="shared" si="81"/>
        <v>225</v>
      </c>
      <c r="E1094" s="1607"/>
      <c r="F1094" s="242" t="s">
        <v>18</v>
      </c>
      <c r="G1094" s="102"/>
      <c r="H1094" s="1"/>
      <c r="I1094" s="1"/>
      <c r="J1094" s="1"/>
      <c r="K1094" s="1"/>
      <c r="L1094" s="1"/>
      <c r="M1094" s="1"/>
      <c r="N1094" s="1"/>
      <c r="O1094" s="1"/>
      <c r="P1094" s="1"/>
      <c r="Q1094" s="1"/>
      <c r="R1094" s="1"/>
      <c r="S1094" s="1"/>
    </row>
    <row r="1095" ht="14.25" customHeight="1">
      <c r="A1095" s="1"/>
      <c r="B1095" s="173" t="s">
        <v>114</v>
      </c>
      <c r="C1095" s="1234">
        <v>4.0</v>
      </c>
      <c r="D1095" s="179">
        <f t="shared" si="81"/>
        <v>3.6</v>
      </c>
      <c r="E1095" s="1689"/>
      <c r="F1095" s="547" t="s">
        <v>5</v>
      </c>
      <c r="G1095" s="270" t="s">
        <v>1562</v>
      </c>
      <c r="H1095" s="1"/>
      <c r="I1095" s="1"/>
      <c r="J1095" s="1"/>
      <c r="K1095" s="1"/>
      <c r="L1095" s="1"/>
      <c r="M1095" s="1"/>
      <c r="N1095" s="1"/>
      <c r="O1095" s="1"/>
      <c r="P1095" s="1"/>
      <c r="Q1095" s="1"/>
      <c r="R1095" s="1"/>
      <c r="S1095" s="1"/>
    </row>
    <row r="1096" ht="14.25" customHeight="1">
      <c r="A1096" s="1"/>
      <c r="B1096" s="68" t="s">
        <v>2104</v>
      </c>
      <c r="C1096" s="1202">
        <v>1.0</v>
      </c>
      <c r="D1096" s="513">
        <f t="shared" si="81"/>
        <v>0.9</v>
      </c>
      <c r="E1096" s="1576"/>
      <c r="F1096" s="216" t="s">
        <v>14</v>
      </c>
      <c r="G1096" s="44" t="s">
        <v>2552</v>
      </c>
      <c r="H1096" s="1"/>
      <c r="I1096" s="1"/>
      <c r="J1096" s="1"/>
      <c r="K1096" s="1"/>
      <c r="L1096" s="1"/>
      <c r="M1096" s="1"/>
      <c r="N1096" s="1"/>
      <c r="O1096" s="1"/>
      <c r="P1096" s="1"/>
      <c r="Q1096" s="1"/>
      <c r="R1096" s="1"/>
      <c r="S1096" s="1"/>
    </row>
    <row r="1097" ht="14.25" customHeight="1">
      <c r="A1097" s="1"/>
      <c r="B1097" s="93" t="s">
        <v>1853</v>
      </c>
      <c r="C1097" s="1213">
        <v>1.0</v>
      </c>
      <c r="D1097" s="78">
        <f t="shared" si="81"/>
        <v>0.9</v>
      </c>
      <c r="E1097" s="900"/>
      <c r="F1097" s="249" t="s">
        <v>14</v>
      </c>
      <c r="G1097" s="47"/>
      <c r="H1097" s="1"/>
      <c r="I1097" s="1"/>
      <c r="J1097" s="1"/>
      <c r="K1097" s="1"/>
      <c r="L1097" s="1"/>
      <c r="M1097" s="1"/>
      <c r="N1097" s="1"/>
      <c r="O1097" s="1"/>
      <c r="P1097" s="1"/>
      <c r="Q1097" s="1"/>
      <c r="R1097" s="1"/>
      <c r="S1097" s="1"/>
    </row>
    <row r="1098" ht="14.25" customHeight="1">
      <c r="A1098" s="1"/>
      <c r="B1098" s="105" t="s">
        <v>1481</v>
      </c>
      <c r="C1098" s="1216">
        <v>10.0</v>
      </c>
      <c r="D1098" s="56">
        <f t="shared" si="81"/>
        <v>9</v>
      </c>
      <c r="E1098" s="1604"/>
      <c r="F1098" s="518" t="s">
        <v>5</v>
      </c>
      <c r="G1098" s="47"/>
      <c r="H1098" s="1"/>
      <c r="I1098" s="1"/>
      <c r="J1098" s="1"/>
      <c r="K1098" s="1"/>
      <c r="L1098" s="1"/>
      <c r="M1098" s="1"/>
      <c r="N1098" s="1"/>
      <c r="O1098" s="1"/>
      <c r="P1098" s="1"/>
      <c r="Q1098" s="1"/>
      <c r="R1098" s="1"/>
      <c r="S1098" s="1"/>
    </row>
    <row r="1099" ht="14.25" customHeight="1">
      <c r="A1099" s="1"/>
      <c r="B1099" s="1640" t="s">
        <v>119</v>
      </c>
      <c r="C1099" s="183" t="s">
        <v>47</v>
      </c>
      <c r="D1099" s="184"/>
      <c r="E1099" s="184"/>
      <c r="F1099" s="1"/>
      <c r="G1099" s="1"/>
      <c r="H1099" s="1"/>
      <c r="I1099" s="1"/>
      <c r="J1099" s="1"/>
      <c r="K1099" s="1"/>
      <c r="L1099" s="1"/>
      <c r="M1099" s="1"/>
      <c r="N1099" s="1"/>
      <c r="O1099" s="1"/>
      <c r="P1099" s="1"/>
      <c r="Q1099" s="1"/>
      <c r="R1099" s="1"/>
      <c r="S1099" s="1"/>
    </row>
    <row r="1100" ht="14.25" customHeight="1">
      <c r="A1100" s="1"/>
      <c r="B1100" s="302" t="s">
        <v>49</v>
      </c>
      <c r="C1100" s="260">
        <v>40862.0</v>
      </c>
      <c r="D1100" s="184"/>
      <c r="E1100" s="184"/>
      <c r="F1100" s="1"/>
      <c r="G1100" s="1"/>
      <c r="H1100" s="1"/>
      <c r="I1100" s="1"/>
      <c r="J1100" s="1"/>
      <c r="K1100" s="1"/>
      <c r="L1100" s="1"/>
      <c r="M1100" s="1"/>
      <c r="N1100" s="1"/>
      <c r="O1100" s="1"/>
      <c r="P1100" s="1"/>
      <c r="Q1100" s="1"/>
      <c r="R1100" s="1"/>
      <c r="S1100" s="1"/>
    </row>
    <row r="1101" ht="14.25" customHeight="1">
      <c r="A1101" s="1"/>
      <c r="B1101" s="302" t="s">
        <v>50</v>
      </c>
      <c r="C1101" s="260">
        <v>41193.0</v>
      </c>
      <c r="D1101" s="184"/>
      <c r="E1101" s="184"/>
      <c r="F1101" s="1"/>
      <c r="G1101" s="1"/>
      <c r="H1101" s="1"/>
      <c r="I1101" s="1"/>
      <c r="J1101" s="1"/>
      <c r="K1101" s="1"/>
      <c r="L1101" s="1"/>
      <c r="M1101" s="1"/>
      <c r="N1101" s="1"/>
      <c r="O1101" s="1"/>
      <c r="P1101" s="1"/>
      <c r="Q1101" s="1"/>
      <c r="R1101" s="1"/>
      <c r="S1101" s="1"/>
    </row>
    <row r="1102" ht="14.25" customHeight="1">
      <c r="A1102" s="1"/>
      <c r="B1102" s="1"/>
      <c r="C1102" s="107"/>
      <c r="D1102" s="184"/>
      <c r="E1102" s="184"/>
      <c r="F1102" s="1"/>
      <c r="G1102" s="1112"/>
      <c r="H1102" s="1"/>
      <c r="I1102" s="1"/>
      <c r="J1102" s="1"/>
      <c r="K1102" s="1"/>
      <c r="L1102" s="1"/>
      <c r="M1102" s="1"/>
      <c r="N1102" s="1"/>
      <c r="O1102" s="1"/>
      <c r="P1102" s="1"/>
      <c r="Q1102" s="1"/>
      <c r="R1102" s="1"/>
      <c r="S1102" s="1"/>
    </row>
    <row r="1103" ht="14.25" customHeight="1">
      <c r="A1103" s="1"/>
      <c r="B1103" s="3042" t="s">
        <v>3493</v>
      </c>
      <c r="C1103" s="18"/>
      <c r="D1103" s="18"/>
      <c r="E1103" s="18"/>
      <c r="F1103" s="19"/>
      <c r="G1103" s="141"/>
      <c r="H1103" s="1"/>
      <c r="I1103" s="1"/>
      <c r="J1103" s="1"/>
      <c r="K1103" s="1"/>
      <c r="L1103" s="1"/>
      <c r="M1103" s="1"/>
      <c r="N1103" s="1"/>
      <c r="O1103" s="1"/>
      <c r="P1103" s="1"/>
      <c r="Q1103" s="1"/>
      <c r="R1103" s="1"/>
      <c r="S1103" s="1"/>
    </row>
    <row r="1104" ht="14.25" customHeight="1">
      <c r="A1104" s="1"/>
      <c r="B1104" s="345" t="s">
        <v>3494</v>
      </c>
      <c r="C1104" s="710">
        <v>8.0</v>
      </c>
      <c r="D1104" s="3043">
        <v>8.0</v>
      </c>
      <c r="E1104" s="3044"/>
      <c r="F1104" s="3045" t="s">
        <v>14</v>
      </c>
      <c r="G1104" s="44" t="s">
        <v>3495</v>
      </c>
      <c r="H1104" s="1"/>
      <c r="I1104" s="1"/>
      <c r="J1104" s="1"/>
      <c r="K1104" s="1"/>
      <c r="L1104" s="1"/>
      <c r="M1104" s="1"/>
      <c r="N1104" s="1"/>
      <c r="O1104" s="1"/>
      <c r="P1104" s="1"/>
      <c r="Q1104" s="1"/>
      <c r="R1104" s="1"/>
      <c r="S1104" s="1"/>
    </row>
    <row r="1105" ht="14.25" customHeight="1">
      <c r="A1105" s="1"/>
      <c r="B1105" s="591" t="s">
        <v>2384</v>
      </c>
      <c r="C1105" s="3046">
        <v>8.0</v>
      </c>
      <c r="D1105" s="3047">
        <v>8.0</v>
      </c>
      <c r="E1105" s="3048"/>
      <c r="F1105" s="3049" t="s">
        <v>14</v>
      </c>
      <c r="G1105" s="47"/>
      <c r="H1105" s="1"/>
      <c r="I1105" s="1"/>
      <c r="J1105" s="1"/>
      <c r="K1105" s="1"/>
      <c r="L1105" s="1"/>
      <c r="M1105" s="1"/>
      <c r="N1105" s="1"/>
      <c r="O1105" s="1"/>
      <c r="P1105" s="1"/>
      <c r="Q1105" s="1"/>
      <c r="R1105" s="1"/>
      <c r="S1105" s="1"/>
    </row>
    <row r="1106" ht="14.25" customHeight="1">
      <c r="A1106" s="1"/>
      <c r="B1106" s="350" t="s">
        <v>150</v>
      </c>
      <c r="C1106" s="840">
        <v>9.5</v>
      </c>
      <c r="D1106" s="3050">
        <f>(C1106*D1104)/C1104</f>
        <v>9.5</v>
      </c>
      <c r="E1106" s="3051"/>
      <c r="F1106" s="3052" t="s">
        <v>14</v>
      </c>
      <c r="G1106" s="47"/>
      <c r="H1106" s="1"/>
      <c r="I1106" s="1"/>
      <c r="J1106" s="1"/>
      <c r="K1106" s="1"/>
      <c r="L1106" s="1"/>
      <c r="M1106" s="1"/>
      <c r="N1106" s="1"/>
      <c r="O1106" s="1"/>
      <c r="P1106" s="1"/>
      <c r="Q1106" s="1"/>
      <c r="R1106" s="1"/>
      <c r="S1106" s="1"/>
    </row>
    <row r="1107" ht="14.25" customHeight="1">
      <c r="A1107" s="1"/>
      <c r="B1107" s="350" t="s">
        <v>153</v>
      </c>
      <c r="C1107" s="840">
        <v>12.0</v>
      </c>
      <c r="D1107" s="3050">
        <f t="shared" ref="D1107:D1109" si="82">(C1107*D1106)/C1106</f>
        <v>12</v>
      </c>
      <c r="E1107" s="3051"/>
      <c r="F1107" s="3052" t="s">
        <v>14</v>
      </c>
      <c r="G1107" s="47"/>
      <c r="H1107" s="1"/>
      <c r="I1107" s="1"/>
      <c r="J1107" s="1"/>
      <c r="K1107" s="1"/>
      <c r="L1107" s="1"/>
      <c r="M1107" s="1"/>
      <c r="N1107" s="1"/>
      <c r="O1107" s="1"/>
      <c r="P1107" s="1"/>
      <c r="Q1107" s="1"/>
      <c r="R1107" s="1"/>
      <c r="S1107" s="1"/>
    </row>
    <row r="1108" ht="14.25" customHeight="1">
      <c r="A1108" s="1"/>
      <c r="B1108" s="350" t="s">
        <v>3496</v>
      </c>
      <c r="C1108" s="840">
        <v>23.92</v>
      </c>
      <c r="D1108" s="3050">
        <f t="shared" si="82"/>
        <v>23.92</v>
      </c>
      <c r="E1108" s="3051"/>
      <c r="F1108" s="3052" t="s">
        <v>14</v>
      </c>
      <c r="G1108" s="47"/>
      <c r="H1108" s="1"/>
      <c r="I1108" s="1"/>
      <c r="J1108" s="1"/>
      <c r="K1108" s="1"/>
      <c r="L1108" s="1"/>
      <c r="M1108" s="1"/>
      <c r="N1108" s="1"/>
      <c r="O1108" s="1"/>
      <c r="P1108" s="1"/>
      <c r="Q1108" s="1"/>
      <c r="R1108" s="1"/>
      <c r="S1108" s="1"/>
    </row>
    <row r="1109" ht="14.25" customHeight="1">
      <c r="A1109" s="1"/>
      <c r="B1109" s="606" t="s">
        <v>440</v>
      </c>
      <c r="C1109" s="3053">
        <v>4.0</v>
      </c>
      <c r="D1109" s="3054">
        <f t="shared" si="82"/>
        <v>4</v>
      </c>
      <c r="E1109" s="3055"/>
      <c r="F1109" s="3056" t="s">
        <v>14</v>
      </c>
      <c r="G1109" s="76"/>
      <c r="H1109" s="1"/>
      <c r="I1109" s="1"/>
      <c r="J1109" s="1"/>
      <c r="K1109" s="1"/>
      <c r="L1109" s="1"/>
      <c r="M1109" s="1"/>
      <c r="N1109" s="1"/>
      <c r="O1109" s="1"/>
      <c r="P1109" s="1"/>
      <c r="Q1109" s="1"/>
      <c r="R1109" s="1"/>
      <c r="S1109" s="1"/>
    </row>
    <row r="1110" ht="14.25" customHeight="1">
      <c r="A1110" s="1"/>
      <c r="B1110" s="1746" t="s">
        <v>3497</v>
      </c>
      <c r="C1110" s="3057">
        <f t="shared" ref="C1110:D1110" si="83">+C1104*0.8+C1105*0.85+C1106*1.25+C1107*0.5+C1108+C1109*1.25</f>
        <v>59.995</v>
      </c>
      <c r="D1110" s="2243">
        <f t="shared" si="83"/>
        <v>59.995</v>
      </c>
      <c r="E1110" s="3058"/>
      <c r="F1110" s="3059" t="s">
        <v>14</v>
      </c>
      <c r="G1110" s="1861"/>
      <c r="H1110" s="1"/>
      <c r="I1110" s="1"/>
      <c r="J1110" s="1"/>
      <c r="K1110" s="1"/>
      <c r="L1110" s="1"/>
      <c r="M1110" s="1"/>
      <c r="N1110" s="1"/>
      <c r="O1110" s="1"/>
      <c r="P1110" s="1"/>
      <c r="Q1110" s="1"/>
      <c r="R1110" s="1"/>
      <c r="S1110" s="1"/>
    </row>
    <row r="1111" ht="14.25" customHeight="1">
      <c r="A1111" s="1"/>
      <c r="B1111" s="506" t="s">
        <v>1</v>
      </c>
      <c r="C1111" s="69">
        <v>100.0</v>
      </c>
      <c r="D1111" s="3060">
        <v>43.0</v>
      </c>
      <c r="E1111" s="3061"/>
      <c r="F1111" s="366" t="s">
        <v>5</v>
      </c>
      <c r="G1111" s="141"/>
      <c r="H1111" s="1"/>
      <c r="I1111" s="1"/>
      <c r="J1111" s="1"/>
      <c r="K1111" s="1"/>
      <c r="L1111" s="1"/>
      <c r="M1111" s="1"/>
      <c r="N1111" s="1"/>
      <c r="O1111" s="1"/>
      <c r="P1111" s="1"/>
      <c r="Q1111" s="1"/>
      <c r="R1111" s="1"/>
      <c r="S1111" s="1"/>
    </row>
    <row r="1112" ht="14.25" customHeight="1">
      <c r="A1112" s="1"/>
      <c r="B1112" s="345" t="s">
        <v>122</v>
      </c>
      <c r="C1112" s="710">
        <v>27.5</v>
      </c>
      <c r="D1112" s="164">
        <f t="shared" ref="D1112:D1123" si="84">(D1111*C1112)/C1111</f>
        <v>11.825</v>
      </c>
      <c r="E1112" s="3062"/>
      <c r="F1112" s="3045" t="s">
        <v>190</v>
      </c>
      <c r="G1112" s="44" t="s">
        <v>3498</v>
      </c>
      <c r="H1112" s="1"/>
      <c r="I1112" s="1"/>
      <c r="J1112" s="1"/>
      <c r="K1112" s="1"/>
      <c r="L1112" s="1"/>
      <c r="M1112" s="1"/>
      <c r="N1112" s="1"/>
      <c r="O1112" s="1"/>
      <c r="P1112" s="1"/>
      <c r="Q1112" s="1"/>
      <c r="R1112" s="1"/>
      <c r="S1112" s="1"/>
    </row>
    <row r="1113" ht="14.25" customHeight="1">
      <c r="A1113" s="1"/>
      <c r="B1113" s="350" t="s">
        <v>1274</v>
      </c>
      <c r="C1113" s="840">
        <v>2.5</v>
      </c>
      <c r="D1113" s="201">
        <f t="shared" si="84"/>
        <v>1.075</v>
      </c>
      <c r="E1113" s="3063"/>
      <c r="F1113" s="3052" t="s">
        <v>14</v>
      </c>
      <c r="G1113" s="47"/>
      <c r="H1113" s="1"/>
      <c r="I1113" s="1"/>
      <c r="J1113" s="1"/>
      <c r="K1113" s="1"/>
      <c r="L1113" s="1"/>
      <c r="M1113" s="1"/>
      <c r="N1113" s="1"/>
      <c r="O1113" s="1"/>
      <c r="P1113" s="1"/>
      <c r="Q1113" s="1"/>
      <c r="R1113" s="1"/>
      <c r="S1113" s="1"/>
    </row>
    <row r="1114" ht="14.25" customHeight="1">
      <c r="A1114" s="1"/>
      <c r="B1114" s="350" t="s">
        <v>59</v>
      </c>
      <c r="C1114" s="840">
        <v>30.0</v>
      </c>
      <c r="D1114" s="201">
        <f t="shared" si="84"/>
        <v>12.9</v>
      </c>
      <c r="E1114" s="3063"/>
      <c r="F1114" s="3052" t="s">
        <v>5</v>
      </c>
      <c r="G1114" s="47"/>
      <c r="H1114" s="1"/>
      <c r="I1114" s="1"/>
      <c r="J1114" s="1"/>
      <c r="K1114" s="1"/>
      <c r="L1114" s="1"/>
      <c r="M1114" s="1"/>
      <c r="N1114" s="1"/>
      <c r="O1114" s="1"/>
      <c r="P1114" s="1"/>
      <c r="Q1114" s="1"/>
      <c r="R1114" s="1"/>
      <c r="S1114" s="1"/>
    </row>
    <row r="1115" ht="14.25" customHeight="1">
      <c r="A1115" s="1"/>
      <c r="B1115" s="350" t="s">
        <v>112</v>
      </c>
      <c r="C1115" s="840">
        <v>75.0</v>
      </c>
      <c r="D1115" s="201">
        <f t="shared" si="84"/>
        <v>32.25</v>
      </c>
      <c r="E1115" s="3063"/>
      <c r="F1115" s="3052" t="s">
        <v>18</v>
      </c>
      <c r="G1115" s="47"/>
      <c r="H1115" s="1"/>
      <c r="I1115" s="1"/>
      <c r="J1115" s="1"/>
      <c r="K1115" s="1"/>
      <c r="L1115" s="1"/>
      <c r="M1115" s="1"/>
      <c r="N1115" s="1"/>
      <c r="O1115" s="1"/>
      <c r="P1115" s="1"/>
      <c r="Q1115" s="1"/>
      <c r="R1115" s="1"/>
      <c r="S1115" s="1"/>
    </row>
    <row r="1116" ht="14.25" customHeight="1">
      <c r="A1116" s="1"/>
      <c r="B1116" s="350" t="s">
        <v>52</v>
      </c>
      <c r="C1116" s="840">
        <v>75.0</v>
      </c>
      <c r="D1116" s="201">
        <f t="shared" si="84"/>
        <v>32.25</v>
      </c>
      <c r="E1116" s="3063"/>
      <c r="F1116" s="3052" t="s">
        <v>18</v>
      </c>
      <c r="G1116" s="47"/>
      <c r="H1116" s="1"/>
      <c r="I1116" s="1"/>
      <c r="J1116" s="1"/>
      <c r="K1116" s="1"/>
      <c r="L1116" s="1"/>
      <c r="M1116" s="1"/>
      <c r="N1116" s="1"/>
      <c r="O1116" s="1"/>
      <c r="P1116" s="1"/>
      <c r="Q1116" s="1"/>
      <c r="R1116" s="1"/>
      <c r="S1116" s="1"/>
    </row>
    <row r="1117" ht="14.25" customHeight="1">
      <c r="A1117" s="1"/>
      <c r="B1117" s="591" t="s">
        <v>31</v>
      </c>
      <c r="C1117" s="3046">
        <v>1250.0</v>
      </c>
      <c r="D1117" s="201">
        <f t="shared" si="84"/>
        <v>537.5</v>
      </c>
      <c r="E1117" s="3064"/>
      <c r="F1117" s="3049" t="s">
        <v>18</v>
      </c>
      <c r="G1117" s="47"/>
      <c r="H1117" s="1"/>
      <c r="I1117" s="1"/>
      <c r="J1117" s="1"/>
      <c r="K1117" s="1"/>
      <c r="L1117" s="1"/>
      <c r="M1117" s="1"/>
      <c r="N1117" s="1"/>
      <c r="O1117" s="1"/>
      <c r="P1117" s="1"/>
      <c r="Q1117" s="1"/>
      <c r="R1117" s="1"/>
      <c r="S1117" s="1"/>
    </row>
    <row r="1118" ht="14.25" customHeight="1">
      <c r="A1118" s="1"/>
      <c r="B1118" s="606" t="s">
        <v>1027</v>
      </c>
      <c r="C1118" s="3053">
        <v>100.0</v>
      </c>
      <c r="D1118" s="257">
        <f t="shared" si="84"/>
        <v>43</v>
      </c>
      <c r="E1118" s="3065"/>
      <c r="F1118" s="3056" t="s">
        <v>82</v>
      </c>
      <c r="G1118" s="76"/>
      <c r="H1118" s="1"/>
      <c r="I1118" s="1"/>
      <c r="J1118" s="1"/>
      <c r="K1118" s="1"/>
      <c r="L1118" s="1"/>
      <c r="M1118" s="1"/>
      <c r="N1118" s="1"/>
      <c r="O1118" s="1"/>
      <c r="P1118" s="1"/>
      <c r="Q1118" s="1"/>
      <c r="R1118" s="1"/>
      <c r="S1118" s="1"/>
    </row>
    <row r="1119" ht="14.25" customHeight="1">
      <c r="A1119" s="1"/>
      <c r="B1119" s="591" t="s">
        <v>91</v>
      </c>
      <c r="C1119" s="3046">
        <v>1.5</v>
      </c>
      <c r="D1119" s="158">
        <f t="shared" si="84"/>
        <v>0.645</v>
      </c>
      <c r="E1119" s="3064"/>
      <c r="F1119" s="3049" t="s">
        <v>5</v>
      </c>
      <c r="G1119" s="1587" t="s">
        <v>3499</v>
      </c>
      <c r="H1119" s="1"/>
      <c r="I1119" s="1"/>
      <c r="J1119" s="1"/>
      <c r="K1119" s="1"/>
      <c r="L1119" s="1"/>
      <c r="M1119" s="1"/>
      <c r="N1119" s="1"/>
      <c r="O1119" s="1"/>
      <c r="P1119" s="1"/>
      <c r="Q1119" s="1"/>
      <c r="R1119" s="1"/>
      <c r="S1119" s="1"/>
    </row>
    <row r="1120" ht="14.25" customHeight="1">
      <c r="A1120" s="1"/>
      <c r="B1120" s="350" t="s">
        <v>97</v>
      </c>
      <c r="C1120" s="840">
        <v>200.0</v>
      </c>
      <c r="D1120" s="201">
        <f t="shared" si="84"/>
        <v>86</v>
      </c>
      <c r="E1120" s="3063"/>
      <c r="F1120" s="3052" t="s">
        <v>18</v>
      </c>
      <c r="G1120" s="47"/>
      <c r="H1120" s="1"/>
      <c r="I1120" s="1"/>
      <c r="J1120" s="1"/>
      <c r="K1120" s="1"/>
      <c r="L1120" s="1"/>
      <c r="M1120" s="1"/>
      <c r="N1120" s="1"/>
      <c r="O1120" s="1"/>
      <c r="P1120" s="1"/>
      <c r="Q1120" s="1"/>
      <c r="R1120" s="1"/>
      <c r="S1120" s="1"/>
    </row>
    <row r="1121" ht="14.25" customHeight="1">
      <c r="A1121" s="1"/>
      <c r="B1121" s="350" t="s">
        <v>98</v>
      </c>
      <c r="C1121" s="840">
        <v>150.0</v>
      </c>
      <c r="D1121" s="201">
        <f t="shared" si="84"/>
        <v>64.5</v>
      </c>
      <c r="E1121" s="3063"/>
      <c r="F1121" s="3052" t="s">
        <v>18</v>
      </c>
      <c r="G1121" s="47"/>
      <c r="H1121" s="1"/>
      <c r="I1121" s="1"/>
      <c r="J1121" s="1"/>
      <c r="K1121" s="1"/>
      <c r="L1121" s="1"/>
      <c r="M1121" s="1"/>
      <c r="N1121" s="1"/>
      <c r="O1121" s="1"/>
      <c r="P1121" s="1"/>
      <c r="Q1121" s="1"/>
      <c r="R1121" s="1"/>
      <c r="S1121" s="1"/>
    </row>
    <row r="1122" ht="14.25" customHeight="1">
      <c r="A1122" s="1"/>
      <c r="B1122" s="606" t="s">
        <v>103</v>
      </c>
      <c r="C1122" s="3053">
        <v>100.0</v>
      </c>
      <c r="D1122" s="201">
        <f t="shared" si="84"/>
        <v>43</v>
      </c>
      <c r="E1122" s="3066"/>
      <c r="F1122" s="3056" t="s">
        <v>18</v>
      </c>
      <c r="G1122" s="76"/>
      <c r="H1122" s="1"/>
      <c r="I1122" s="1"/>
      <c r="J1122" s="1"/>
      <c r="K1122" s="1"/>
      <c r="L1122" s="1"/>
      <c r="M1122" s="1"/>
      <c r="N1122" s="1"/>
      <c r="O1122" s="1"/>
      <c r="P1122" s="1"/>
      <c r="Q1122" s="1"/>
      <c r="R1122" s="1"/>
      <c r="S1122" s="1"/>
    </row>
    <row r="1123" ht="14.25" customHeight="1">
      <c r="A1123" s="1"/>
      <c r="B1123" s="606" t="s">
        <v>114</v>
      </c>
      <c r="C1123" s="3053">
        <v>2.5</v>
      </c>
      <c r="D1123" s="257">
        <f t="shared" si="84"/>
        <v>1.075</v>
      </c>
      <c r="E1123" s="3065"/>
      <c r="F1123" s="3056" t="s">
        <v>5</v>
      </c>
      <c r="G1123" s="1703" t="s">
        <v>204</v>
      </c>
      <c r="H1123" s="1"/>
      <c r="I1123" s="1"/>
      <c r="J1123" s="1"/>
      <c r="K1123" s="1"/>
      <c r="L1123" s="1"/>
      <c r="M1123" s="1"/>
      <c r="N1123" s="1"/>
      <c r="O1123" s="1"/>
      <c r="P1123" s="1"/>
      <c r="Q1123" s="1"/>
      <c r="R1123" s="1"/>
      <c r="S1123" s="1"/>
    </row>
    <row r="1124" ht="14.25" customHeight="1">
      <c r="A1124" s="1"/>
      <c r="B1124" s="2555" t="s">
        <v>119</v>
      </c>
      <c r="C1124" s="2556" t="s">
        <v>47</v>
      </c>
      <c r="D1124" s="184"/>
      <c r="E1124" s="184"/>
      <c r="F1124" s="1"/>
      <c r="G1124" s="1"/>
      <c r="H1124" s="1"/>
      <c r="I1124" s="1"/>
      <c r="J1124" s="1"/>
      <c r="K1124" s="1"/>
      <c r="L1124" s="1"/>
      <c r="M1124" s="1"/>
      <c r="N1124" s="1"/>
      <c r="O1124" s="1"/>
      <c r="P1124" s="1"/>
      <c r="Q1124" s="1"/>
      <c r="R1124" s="1"/>
      <c r="S1124" s="1"/>
    </row>
    <row r="1125" ht="14.25" customHeight="1">
      <c r="A1125" s="1"/>
      <c r="B1125" s="90" t="s">
        <v>120</v>
      </c>
      <c r="C1125" s="1188">
        <v>41039.0</v>
      </c>
      <c r="D1125" s="184"/>
      <c r="E1125" s="184"/>
      <c r="F1125" s="1"/>
      <c r="G1125" s="1"/>
      <c r="H1125" s="1"/>
      <c r="I1125" s="1"/>
      <c r="J1125" s="1"/>
      <c r="K1125" s="1"/>
      <c r="L1125" s="1"/>
      <c r="M1125" s="1"/>
      <c r="N1125" s="1"/>
      <c r="O1125" s="1"/>
      <c r="P1125" s="1"/>
      <c r="Q1125" s="1"/>
      <c r="R1125" s="1"/>
      <c r="S1125" s="1"/>
    </row>
    <row r="1126" ht="14.25" customHeight="1">
      <c r="A1126" s="1"/>
      <c r="B1126" s="305" t="s">
        <v>50</v>
      </c>
      <c r="C1126" s="1188">
        <v>41487.0</v>
      </c>
      <c r="D1126" s="184"/>
      <c r="E1126" s="184"/>
      <c r="F1126" s="1"/>
      <c r="G1126" s="1"/>
      <c r="H1126" s="1"/>
      <c r="I1126" s="1"/>
      <c r="J1126" s="1"/>
      <c r="K1126" s="1"/>
      <c r="L1126" s="1"/>
      <c r="M1126" s="1"/>
      <c r="N1126" s="1"/>
      <c r="O1126" s="1"/>
      <c r="P1126" s="1"/>
      <c r="Q1126" s="1"/>
      <c r="R1126" s="1"/>
      <c r="S1126" s="1"/>
    </row>
    <row r="1127" ht="14.25" customHeight="1">
      <c r="A1127" s="1"/>
      <c r="B1127" s="1"/>
      <c r="C1127" s="107"/>
      <c r="D1127" s="184"/>
      <c r="E1127" s="184"/>
      <c r="F1127" s="1"/>
      <c r="G1127" s="1"/>
      <c r="H1127" s="1"/>
      <c r="I1127" s="1"/>
      <c r="J1127" s="1"/>
      <c r="K1127" s="1"/>
      <c r="L1127" s="1"/>
      <c r="M1127" s="1"/>
      <c r="N1127" s="1"/>
      <c r="O1127" s="1"/>
      <c r="P1127" s="1"/>
      <c r="Q1127" s="1"/>
      <c r="R1127" s="1"/>
      <c r="S1127" s="1"/>
    </row>
    <row r="1128" ht="14.25" customHeight="1">
      <c r="A1128" s="1"/>
      <c r="B1128" s="511" t="s">
        <v>1063</v>
      </c>
      <c r="C1128" s="18"/>
      <c r="D1128" s="18"/>
      <c r="E1128" s="18"/>
      <c r="F1128" s="19"/>
      <c r="G1128" s="3067" t="s">
        <v>2823</v>
      </c>
      <c r="H1128" s="1"/>
      <c r="I1128" s="1"/>
      <c r="J1128" s="1"/>
      <c r="K1128" s="1"/>
      <c r="L1128" s="1"/>
      <c r="M1128" s="1"/>
      <c r="N1128" s="1"/>
      <c r="O1128" s="1"/>
      <c r="P1128" s="1"/>
      <c r="Q1128" s="1"/>
      <c r="R1128" s="1"/>
      <c r="S1128" s="1"/>
    </row>
    <row r="1129" ht="14.25" customHeight="1">
      <c r="A1129" s="1"/>
      <c r="B1129" s="173" t="s">
        <v>1</v>
      </c>
      <c r="C1129" s="275">
        <v>100.0</v>
      </c>
      <c r="D1129" s="179">
        <v>800.0</v>
      </c>
      <c r="E1129" s="1689"/>
      <c r="F1129" s="547" t="s">
        <v>5</v>
      </c>
      <c r="G1129" s="655" t="s">
        <v>3500</v>
      </c>
      <c r="H1129" s="1"/>
      <c r="I1129" s="1"/>
      <c r="J1129" s="1"/>
      <c r="K1129" s="1"/>
      <c r="L1129" s="1"/>
      <c r="M1129" s="1"/>
      <c r="N1129" s="1"/>
      <c r="O1129" s="1"/>
      <c r="P1129" s="1"/>
      <c r="Q1129" s="1"/>
      <c r="R1129" s="1"/>
      <c r="S1129" s="1"/>
    </row>
    <row r="1130" ht="14.25" customHeight="1">
      <c r="A1130" s="1"/>
      <c r="B1130" s="68" t="s">
        <v>3501</v>
      </c>
      <c r="C1130" s="145">
        <v>25.0</v>
      </c>
      <c r="D1130" s="155">
        <f t="shared" ref="D1130:D1138" si="85">(C1130*D1129)/C1129</f>
        <v>200</v>
      </c>
      <c r="E1130" s="899"/>
      <c r="F1130" s="216" t="s">
        <v>14</v>
      </c>
      <c r="G1130" s="63"/>
      <c r="H1130" s="1"/>
      <c r="I1130" s="1"/>
      <c r="J1130" s="1"/>
      <c r="K1130" s="1"/>
      <c r="L1130" s="1"/>
      <c r="M1130" s="1"/>
      <c r="N1130" s="1"/>
      <c r="O1130" s="1"/>
      <c r="P1130" s="1"/>
      <c r="Q1130" s="1"/>
      <c r="R1130" s="1"/>
      <c r="S1130" s="1"/>
    </row>
    <row r="1131" ht="14.25" customHeight="1">
      <c r="A1131" s="1"/>
      <c r="B1131" s="93" t="s">
        <v>3502</v>
      </c>
      <c r="C1131" s="195">
        <v>10.0</v>
      </c>
      <c r="D1131" s="78">
        <f t="shared" si="85"/>
        <v>80</v>
      </c>
      <c r="E1131" s="900"/>
      <c r="F1131" s="249" t="s">
        <v>14</v>
      </c>
      <c r="G1131" s="63"/>
      <c r="H1131" s="1"/>
      <c r="I1131" s="1"/>
      <c r="J1131" s="1"/>
      <c r="K1131" s="1"/>
      <c r="L1131" s="1"/>
      <c r="M1131" s="1"/>
      <c r="N1131" s="1"/>
      <c r="O1131" s="1"/>
      <c r="P1131" s="1"/>
      <c r="Q1131" s="1"/>
      <c r="R1131" s="1"/>
      <c r="S1131" s="1"/>
    </row>
    <row r="1132" ht="14.25" customHeight="1">
      <c r="A1132" s="1"/>
      <c r="B1132" s="93" t="s">
        <v>3503</v>
      </c>
      <c r="C1132" s="195">
        <v>10.0</v>
      </c>
      <c r="D1132" s="78">
        <f t="shared" si="85"/>
        <v>80</v>
      </c>
      <c r="E1132" s="900"/>
      <c r="F1132" s="249" t="s">
        <v>14</v>
      </c>
      <c r="G1132" s="63"/>
      <c r="H1132" s="1"/>
      <c r="I1132" s="1"/>
      <c r="J1132" s="1"/>
      <c r="K1132" s="1"/>
      <c r="L1132" s="1"/>
      <c r="M1132" s="1"/>
      <c r="N1132" s="1"/>
      <c r="O1132" s="1"/>
      <c r="P1132" s="1"/>
      <c r="Q1132" s="1"/>
      <c r="R1132" s="1"/>
      <c r="S1132" s="1"/>
    </row>
    <row r="1133" ht="14.25" customHeight="1">
      <c r="A1133" s="1"/>
      <c r="B1133" s="93" t="s">
        <v>3504</v>
      </c>
      <c r="C1133" s="195">
        <v>15.0</v>
      </c>
      <c r="D1133" s="78">
        <f t="shared" si="85"/>
        <v>120</v>
      </c>
      <c r="E1133" s="900"/>
      <c r="F1133" s="249" t="s">
        <v>14</v>
      </c>
      <c r="G1133" s="63"/>
      <c r="H1133" s="1"/>
      <c r="I1133" s="1"/>
      <c r="J1133" s="1"/>
      <c r="K1133" s="1"/>
      <c r="L1133" s="1"/>
      <c r="M1133" s="1"/>
      <c r="N1133" s="1"/>
      <c r="O1133" s="1"/>
      <c r="P1133" s="1"/>
      <c r="Q1133" s="1"/>
      <c r="R1133" s="1"/>
      <c r="S1133" s="1"/>
    </row>
    <row r="1134" ht="14.25" customHeight="1">
      <c r="A1134" s="1"/>
      <c r="B1134" s="105" t="s">
        <v>3505</v>
      </c>
      <c r="C1134" s="200">
        <v>10.0</v>
      </c>
      <c r="D1134" s="56">
        <f t="shared" si="85"/>
        <v>80</v>
      </c>
      <c r="E1134" s="1604"/>
      <c r="F1134" s="518" t="s">
        <v>14</v>
      </c>
      <c r="G1134" s="102"/>
      <c r="H1134" s="1"/>
      <c r="I1134" s="1"/>
      <c r="J1134" s="1"/>
      <c r="K1134" s="1"/>
      <c r="L1134" s="1"/>
      <c r="M1134" s="1"/>
      <c r="N1134" s="1"/>
      <c r="O1134" s="1"/>
      <c r="P1134" s="1"/>
      <c r="Q1134" s="1"/>
      <c r="R1134" s="1"/>
      <c r="S1134" s="1"/>
    </row>
    <row r="1135" ht="14.25" customHeight="1">
      <c r="A1135" s="1"/>
      <c r="B1135" s="68" t="s">
        <v>91</v>
      </c>
      <c r="C1135" s="145">
        <v>4.0</v>
      </c>
      <c r="D1135" s="155">
        <f t="shared" si="85"/>
        <v>32</v>
      </c>
      <c r="E1135" s="899"/>
      <c r="F1135" s="216" t="s">
        <v>5</v>
      </c>
      <c r="G1135" s="681" t="s">
        <v>3506</v>
      </c>
      <c r="H1135" s="1"/>
      <c r="I1135" s="1"/>
      <c r="J1135" s="1"/>
      <c r="K1135" s="1"/>
      <c r="L1135" s="1"/>
      <c r="M1135" s="1"/>
      <c r="N1135" s="1"/>
      <c r="O1135" s="1"/>
      <c r="P1135" s="1"/>
      <c r="Q1135" s="1"/>
      <c r="R1135" s="1"/>
      <c r="S1135" s="1"/>
    </row>
    <row r="1136" ht="14.25" customHeight="1">
      <c r="A1136" s="1"/>
      <c r="B1136" s="93" t="s">
        <v>98</v>
      </c>
      <c r="C1136" s="195">
        <v>80.0</v>
      </c>
      <c r="D1136" s="78">
        <f t="shared" si="85"/>
        <v>640</v>
      </c>
      <c r="E1136" s="900"/>
      <c r="F1136" s="249" t="s">
        <v>18</v>
      </c>
      <c r="G1136" s="63"/>
      <c r="H1136" s="1"/>
      <c r="I1136" s="1"/>
      <c r="J1136" s="1"/>
      <c r="K1136" s="1"/>
      <c r="L1136" s="1"/>
      <c r="M1136" s="1"/>
      <c r="N1136" s="1"/>
      <c r="O1136" s="1"/>
      <c r="P1136" s="1"/>
      <c r="Q1136" s="1"/>
      <c r="R1136" s="1"/>
      <c r="S1136" s="1"/>
    </row>
    <row r="1137" ht="14.25" customHeight="1">
      <c r="A1137" s="1"/>
      <c r="B1137" s="93" t="s">
        <v>39</v>
      </c>
      <c r="C1137" s="195">
        <v>800.0</v>
      </c>
      <c r="D1137" s="78">
        <f t="shared" si="85"/>
        <v>6400</v>
      </c>
      <c r="E1137" s="900"/>
      <c r="F1137" s="249" t="s">
        <v>18</v>
      </c>
      <c r="G1137" s="63"/>
      <c r="H1137" s="1"/>
      <c r="I1137" s="1"/>
      <c r="J1137" s="1"/>
      <c r="K1137" s="1"/>
      <c r="L1137" s="1"/>
      <c r="M1137" s="1"/>
      <c r="N1137" s="1"/>
      <c r="O1137" s="1"/>
      <c r="P1137" s="1"/>
      <c r="Q1137" s="1"/>
      <c r="R1137" s="1"/>
      <c r="S1137" s="1"/>
    </row>
    <row r="1138" ht="14.25" customHeight="1">
      <c r="A1138" s="1"/>
      <c r="B1138" s="93" t="s">
        <v>149</v>
      </c>
      <c r="C1138" s="195">
        <v>1150.0</v>
      </c>
      <c r="D1138" s="78">
        <f t="shared" si="85"/>
        <v>9200</v>
      </c>
      <c r="E1138" s="900"/>
      <c r="F1138" s="249" t="s">
        <v>18</v>
      </c>
      <c r="G1138" s="63"/>
      <c r="H1138" s="1"/>
      <c r="I1138" s="1"/>
      <c r="J1138" s="1"/>
      <c r="K1138" s="1"/>
      <c r="L1138" s="1"/>
      <c r="M1138" s="1"/>
      <c r="N1138" s="1"/>
      <c r="O1138" s="1"/>
      <c r="P1138" s="1"/>
      <c r="Q1138" s="1"/>
      <c r="R1138" s="1"/>
      <c r="S1138" s="1"/>
    </row>
    <row r="1139" ht="14.25" customHeight="1">
      <c r="A1139" s="1"/>
      <c r="B1139" s="93" t="s">
        <v>103</v>
      </c>
      <c r="C1139" s="195">
        <v>100.0</v>
      </c>
      <c r="D1139" s="146" t="str">
        <f>(C1147*D1146)/C1146</f>
        <v>#REF!</v>
      </c>
      <c r="E1139" s="900"/>
      <c r="F1139" s="249" t="s">
        <v>18</v>
      </c>
      <c r="G1139" s="63"/>
      <c r="H1139" s="1"/>
      <c r="I1139" s="1"/>
      <c r="J1139" s="1"/>
      <c r="K1139" s="1"/>
      <c r="L1139" s="1"/>
      <c r="M1139" s="1"/>
      <c r="N1139" s="1"/>
      <c r="O1139" s="1"/>
      <c r="P1139" s="1"/>
      <c r="Q1139" s="1"/>
      <c r="R1139" s="1"/>
      <c r="S1139" s="1"/>
    </row>
    <row r="1140" ht="14.25" customHeight="1">
      <c r="A1140" s="1"/>
      <c r="B1140" s="105" t="s">
        <v>52</v>
      </c>
      <c r="C1140" s="200">
        <v>250.0</v>
      </c>
      <c r="D1140" s="56" t="str">
        <f>(C1140*#REF!)/C1139</f>
        <v>#REF!</v>
      </c>
      <c r="E1140" s="1604"/>
      <c r="F1140" s="518" t="s">
        <v>18</v>
      </c>
      <c r="G1140" s="102"/>
      <c r="H1140" s="1"/>
      <c r="I1140" s="1"/>
      <c r="J1140" s="1"/>
      <c r="K1140" s="1"/>
      <c r="L1140" s="1"/>
      <c r="M1140" s="1"/>
      <c r="N1140" s="1"/>
      <c r="O1140" s="1"/>
      <c r="P1140" s="1"/>
      <c r="Q1140" s="1"/>
      <c r="R1140" s="1"/>
      <c r="S1140" s="1"/>
    </row>
    <row r="1141" ht="14.25" customHeight="1">
      <c r="A1141" s="1"/>
      <c r="B1141" s="417" t="s">
        <v>3507</v>
      </c>
      <c r="C1141" s="418">
        <v>10.0</v>
      </c>
      <c r="D1141" s="542" t="str">
        <f t="shared" ref="D1141:D1146" si="86">(C1141*D1140)/C1140</f>
        <v>#REF!</v>
      </c>
      <c r="E1141" s="1614"/>
      <c r="F1141" s="543" t="s">
        <v>14</v>
      </c>
      <c r="G1141" s="3068"/>
      <c r="H1141" s="1"/>
      <c r="I1141" s="1"/>
      <c r="J1141" s="1"/>
      <c r="K1141" s="1"/>
      <c r="L1141" s="1"/>
      <c r="M1141" s="1"/>
      <c r="N1141" s="1"/>
      <c r="O1141" s="1"/>
      <c r="P1141" s="1"/>
      <c r="Q1141" s="1"/>
      <c r="R1141" s="1"/>
      <c r="S1141" s="1"/>
    </row>
    <row r="1142" ht="14.25" customHeight="1">
      <c r="A1142" s="1"/>
      <c r="B1142" s="68" t="s">
        <v>746</v>
      </c>
      <c r="C1142" s="145">
        <v>2500.0</v>
      </c>
      <c r="D1142" s="155" t="str">
        <f t="shared" si="86"/>
        <v>#REF!</v>
      </c>
      <c r="E1142" s="899"/>
      <c r="F1142" s="216" t="s">
        <v>18</v>
      </c>
      <c r="G1142" s="655" t="s">
        <v>3508</v>
      </c>
      <c r="H1142" s="1"/>
      <c r="I1142" s="1"/>
      <c r="J1142" s="1"/>
      <c r="K1142" s="1"/>
      <c r="L1142" s="1"/>
      <c r="M1142" s="1"/>
      <c r="N1142" s="1"/>
      <c r="O1142" s="1"/>
      <c r="P1142" s="1"/>
      <c r="Q1142" s="1"/>
      <c r="R1142" s="1"/>
      <c r="S1142" s="1"/>
    </row>
    <row r="1143" ht="14.25" customHeight="1">
      <c r="A1143" s="1"/>
      <c r="B1143" s="93" t="s">
        <v>1132</v>
      </c>
      <c r="C1143" s="195">
        <v>1000.0</v>
      </c>
      <c r="D1143" s="78" t="str">
        <f t="shared" si="86"/>
        <v>#REF!</v>
      </c>
      <c r="E1143" s="900"/>
      <c r="F1143" s="249" t="s">
        <v>18</v>
      </c>
      <c r="G1143" s="63"/>
      <c r="H1143" s="1"/>
      <c r="I1143" s="1"/>
      <c r="J1143" s="1"/>
      <c r="K1143" s="1"/>
      <c r="L1143" s="1"/>
      <c r="M1143" s="1"/>
      <c r="N1143" s="1"/>
      <c r="O1143" s="1"/>
      <c r="P1143" s="1"/>
      <c r="Q1143" s="1"/>
      <c r="R1143" s="1"/>
      <c r="S1143" s="1"/>
    </row>
    <row r="1144" ht="14.25" customHeight="1">
      <c r="A1144" s="1"/>
      <c r="B1144" s="138" t="s">
        <v>1243</v>
      </c>
      <c r="C1144" s="279">
        <v>500.0</v>
      </c>
      <c r="D1144" s="146" t="str">
        <f t="shared" si="86"/>
        <v>#REF!</v>
      </c>
      <c r="E1144" s="1607"/>
      <c r="F1144" s="242" t="s">
        <v>18</v>
      </c>
      <c r="G1144" s="63"/>
      <c r="H1144" s="1"/>
      <c r="I1144" s="1"/>
      <c r="J1144" s="1"/>
      <c r="K1144" s="1"/>
      <c r="L1144" s="1"/>
      <c r="M1144" s="1"/>
      <c r="N1144" s="1"/>
      <c r="O1144" s="1"/>
      <c r="P1144" s="1"/>
      <c r="Q1144" s="1"/>
      <c r="R1144" s="1"/>
      <c r="S1144" s="1"/>
    </row>
    <row r="1145" ht="14.25" customHeight="1">
      <c r="A1145" s="1"/>
      <c r="B1145" s="68" t="s">
        <v>87</v>
      </c>
      <c r="C1145" s="145">
        <v>1600.0</v>
      </c>
      <c r="D1145" s="155" t="str">
        <f t="shared" si="86"/>
        <v>#REF!</v>
      </c>
      <c r="E1145" s="899"/>
      <c r="F1145" s="216" t="s">
        <v>18</v>
      </c>
      <c r="G1145" s="655" t="s">
        <v>3509</v>
      </c>
      <c r="H1145" s="1"/>
      <c r="I1145" s="1"/>
      <c r="J1145" s="1"/>
      <c r="K1145" s="1"/>
      <c r="L1145" s="1"/>
      <c r="M1145" s="1"/>
      <c r="N1145" s="1"/>
      <c r="O1145" s="1"/>
      <c r="P1145" s="1"/>
      <c r="Q1145" s="1"/>
      <c r="R1145" s="1"/>
      <c r="S1145" s="1"/>
    </row>
    <row r="1146" ht="14.25" customHeight="1">
      <c r="A1146" s="1"/>
      <c r="B1146" s="417" t="s">
        <v>90</v>
      </c>
      <c r="C1146" s="418">
        <v>32.0</v>
      </c>
      <c r="D1146" s="542" t="str">
        <f t="shared" si="86"/>
        <v>#REF!</v>
      </c>
      <c r="E1146" s="1614"/>
      <c r="F1146" s="543" t="s">
        <v>93</v>
      </c>
      <c r="G1146" s="63"/>
      <c r="H1146" s="1"/>
      <c r="I1146" s="1"/>
      <c r="J1146" s="1"/>
      <c r="K1146" s="1"/>
      <c r="L1146" s="1"/>
      <c r="M1146" s="1"/>
      <c r="N1146" s="1"/>
      <c r="O1146" s="1"/>
      <c r="P1146" s="1"/>
      <c r="Q1146" s="1"/>
      <c r="R1146" s="1"/>
      <c r="S1146" s="1"/>
    </row>
    <row r="1147" ht="14.25" customHeight="1">
      <c r="A1147" s="1"/>
      <c r="B1147" s="138" t="s">
        <v>1189</v>
      </c>
      <c r="C1147" s="279">
        <v>50.0</v>
      </c>
      <c r="E1147" s="1607"/>
      <c r="F1147" s="242" t="s">
        <v>93</v>
      </c>
      <c r="G1147" s="102"/>
      <c r="H1147" s="1"/>
      <c r="I1147" s="1"/>
      <c r="J1147" s="1"/>
      <c r="K1147" s="1"/>
      <c r="L1147" s="1"/>
      <c r="M1147" s="1"/>
      <c r="N1147" s="1"/>
      <c r="O1147" s="1"/>
      <c r="P1147" s="1"/>
      <c r="Q1147" s="1"/>
      <c r="R1147" s="1"/>
      <c r="S1147" s="1"/>
    </row>
    <row r="1148" ht="14.25" customHeight="1">
      <c r="A1148" s="1"/>
      <c r="B1148" s="51" t="s">
        <v>157</v>
      </c>
      <c r="C1148" s="190">
        <v>25.0</v>
      </c>
      <c r="D1148" s="513" t="str">
        <f>(C1148*D1139)/C1147</f>
        <v>#REF!</v>
      </c>
      <c r="E1148" s="1576"/>
      <c r="F1148" s="514" t="s">
        <v>5</v>
      </c>
      <c r="G1148" s="787"/>
      <c r="H1148" s="1"/>
      <c r="I1148" s="1"/>
      <c r="J1148" s="1"/>
      <c r="K1148" s="1"/>
      <c r="L1148" s="1"/>
      <c r="M1148" s="1"/>
      <c r="N1148" s="1"/>
      <c r="O1148" s="1"/>
      <c r="P1148" s="1"/>
      <c r="Q1148" s="1"/>
      <c r="R1148" s="1"/>
      <c r="S1148" s="1"/>
    </row>
    <row r="1149" ht="14.25" customHeight="1">
      <c r="A1149" s="1"/>
      <c r="B1149" s="68" t="s">
        <v>31</v>
      </c>
      <c r="C1149" s="145">
        <v>1200.0</v>
      </c>
      <c r="D1149" s="155" t="str">
        <f t="shared" ref="D1149:D1153" si="87">(C1149*D1148)/C1148</f>
        <v>#REF!</v>
      </c>
      <c r="E1149" s="899"/>
      <c r="F1149" s="216" t="s">
        <v>18</v>
      </c>
      <c r="G1149" s="826" t="s">
        <v>3492</v>
      </c>
      <c r="H1149" s="1"/>
      <c r="I1149" s="1"/>
      <c r="J1149" s="1"/>
      <c r="K1149" s="1"/>
      <c r="L1149" s="1"/>
      <c r="M1149" s="1"/>
      <c r="N1149" s="1"/>
      <c r="O1149" s="1"/>
      <c r="P1149" s="1"/>
      <c r="Q1149" s="1"/>
      <c r="R1149" s="1"/>
      <c r="S1149" s="1"/>
    </row>
    <row r="1150" ht="14.25" customHeight="1">
      <c r="A1150" s="1"/>
      <c r="B1150" s="105" t="s">
        <v>13</v>
      </c>
      <c r="C1150" s="200">
        <v>1.7</v>
      </c>
      <c r="D1150" s="56" t="str">
        <f t="shared" si="87"/>
        <v>#REF!</v>
      </c>
      <c r="E1150" s="1604"/>
      <c r="F1150" s="518" t="s">
        <v>14</v>
      </c>
      <c r="G1150" s="66"/>
      <c r="H1150" s="1"/>
      <c r="I1150" s="1"/>
      <c r="J1150" s="1"/>
      <c r="K1150" s="1"/>
      <c r="L1150" s="1"/>
      <c r="M1150" s="1"/>
      <c r="N1150" s="1"/>
      <c r="O1150" s="1"/>
      <c r="P1150" s="1"/>
      <c r="Q1150" s="1"/>
      <c r="R1150" s="1"/>
      <c r="S1150" s="1"/>
    </row>
    <row r="1151" ht="14.25" customHeight="1">
      <c r="A1151" s="1"/>
      <c r="B1151" s="119" t="s">
        <v>3510</v>
      </c>
      <c r="C1151" s="238">
        <v>1.0</v>
      </c>
      <c r="D1151" s="129" t="str">
        <f t="shared" si="87"/>
        <v>#REF!</v>
      </c>
      <c r="E1151" s="1583"/>
      <c r="F1151" s="520" t="s">
        <v>14</v>
      </c>
      <c r="G1151" s="66"/>
      <c r="H1151" s="1"/>
      <c r="I1151" s="1"/>
      <c r="J1151" s="1"/>
      <c r="K1151" s="1"/>
      <c r="L1151" s="1"/>
      <c r="M1151" s="1"/>
      <c r="N1151" s="1"/>
      <c r="O1151" s="1"/>
      <c r="P1151" s="1"/>
      <c r="Q1151" s="1"/>
      <c r="R1151" s="1"/>
      <c r="S1151" s="1"/>
    </row>
    <row r="1152" ht="14.25" customHeight="1">
      <c r="A1152" s="1"/>
      <c r="B1152" s="93" t="s">
        <v>3511</v>
      </c>
      <c r="C1152" s="195">
        <v>2.0</v>
      </c>
      <c r="D1152" s="78" t="str">
        <f t="shared" si="87"/>
        <v>#REF!</v>
      </c>
      <c r="E1152" s="900"/>
      <c r="F1152" s="249" t="s">
        <v>14</v>
      </c>
      <c r="G1152" s="66"/>
      <c r="H1152" s="1"/>
      <c r="I1152" s="1"/>
      <c r="J1152" s="1"/>
      <c r="K1152" s="1"/>
      <c r="L1152" s="1"/>
      <c r="M1152" s="1"/>
      <c r="N1152" s="1"/>
      <c r="O1152" s="1"/>
      <c r="P1152" s="1"/>
      <c r="Q1152" s="1"/>
      <c r="R1152" s="1"/>
      <c r="S1152" s="1"/>
    </row>
    <row r="1153" ht="14.25" customHeight="1">
      <c r="A1153" s="1"/>
      <c r="B1153" s="105" t="s">
        <v>2292</v>
      </c>
      <c r="C1153" s="200">
        <v>7.5</v>
      </c>
      <c r="D1153" s="56" t="str">
        <f t="shared" si="87"/>
        <v>#REF!</v>
      </c>
      <c r="E1153" s="1604"/>
      <c r="F1153" s="518" t="s">
        <v>5</v>
      </c>
      <c r="G1153" s="106"/>
      <c r="H1153" s="1"/>
      <c r="I1153" s="1"/>
      <c r="J1153" s="1"/>
      <c r="K1153" s="1"/>
      <c r="L1153" s="1"/>
      <c r="M1153" s="1"/>
      <c r="N1153" s="1"/>
      <c r="O1153" s="1"/>
      <c r="P1153" s="1"/>
      <c r="Q1153" s="1"/>
      <c r="R1153" s="1"/>
      <c r="S1153" s="1"/>
    </row>
    <row r="1154" ht="14.25" customHeight="1">
      <c r="A1154" s="1"/>
      <c r="B1154" s="1377" t="s">
        <v>119</v>
      </c>
      <c r="C1154" s="560" t="s">
        <v>47</v>
      </c>
      <c r="D1154" s="184"/>
      <c r="E1154" s="184"/>
      <c r="F1154" s="1"/>
      <c r="G1154" s="1"/>
      <c r="H1154" s="1"/>
      <c r="I1154" s="1"/>
      <c r="J1154" s="1"/>
      <c r="K1154" s="1"/>
      <c r="L1154" s="1"/>
      <c r="M1154" s="1"/>
      <c r="N1154" s="1"/>
      <c r="O1154" s="1"/>
      <c r="P1154" s="1"/>
      <c r="Q1154" s="1"/>
      <c r="R1154" s="1"/>
      <c r="S1154" s="1"/>
    </row>
    <row r="1155" ht="14.25" customHeight="1">
      <c r="A1155" s="1"/>
      <c r="B1155" s="203" t="s">
        <v>49</v>
      </c>
      <c r="C1155" s="340">
        <v>42887.0</v>
      </c>
      <c r="D1155" s="184"/>
      <c r="E1155" s="184"/>
      <c r="F1155" s="1"/>
      <c r="G1155" s="1"/>
      <c r="H1155" s="1"/>
      <c r="I1155" s="1"/>
      <c r="J1155" s="1"/>
      <c r="K1155" s="1"/>
      <c r="L1155" s="1"/>
      <c r="M1155" s="1"/>
      <c r="N1155" s="1"/>
      <c r="O1155" s="1"/>
      <c r="P1155" s="1"/>
      <c r="Q1155" s="1"/>
      <c r="R1155" s="1"/>
      <c r="S1155" s="1"/>
    </row>
    <row r="1156" ht="14.25" customHeight="1">
      <c r="A1156" s="1"/>
      <c r="B1156" s="664" t="s">
        <v>50</v>
      </c>
      <c r="C1156" s="340">
        <v>42892.0</v>
      </c>
      <c r="D1156" s="184"/>
      <c r="E1156" s="184"/>
      <c r="F1156" s="1"/>
      <c r="G1156" s="1"/>
      <c r="H1156" s="1"/>
      <c r="I1156" s="1"/>
      <c r="J1156" s="1"/>
      <c r="K1156" s="1"/>
      <c r="L1156" s="1"/>
      <c r="M1156" s="1"/>
      <c r="N1156" s="1"/>
      <c r="O1156" s="1"/>
      <c r="P1156" s="1"/>
      <c r="Q1156" s="1"/>
      <c r="R1156" s="1"/>
      <c r="S1156" s="1"/>
    </row>
    <row r="1157" ht="14.25" customHeight="1">
      <c r="A1157" s="1"/>
      <c r="B1157" s="1"/>
      <c r="C1157" s="107"/>
      <c r="D1157" s="184"/>
      <c r="E1157" s="184"/>
      <c r="F1157" s="1"/>
      <c r="G1157" s="1112"/>
      <c r="H1157" s="1"/>
      <c r="I1157" s="1"/>
      <c r="J1157" s="1"/>
      <c r="K1157" s="1"/>
      <c r="L1157" s="1"/>
      <c r="M1157" s="1"/>
      <c r="N1157" s="1"/>
      <c r="O1157" s="1"/>
      <c r="P1157" s="1"/>
      <c r="Q1157" s="1"/>
      <c r="R1157" s="1"/>
      <c r="S1157" s="1"/>
    </row>
    <row r="1158" ht="14.25" customHeight="1">
      <c r="A1158" s="1"/>
      <c r="B1158" s="511" t="s">
        <v>1090</v>
      </c>
      <c r="C1158" s="18"/>
      <c r="D1158" s="18"/>
      <c r="E1158" s="18"/>
      <c r="F1158" s="19"/>
      <c r="G1158" s="3069" t="s">
        <v>3512</v>
      </c>
      <c r="H1158" s="1"/>
      <c r="I1158" s="1"/>
      <c r="J1158" s="1"/>
      <c r="K1158" s="1"/>
      <c r="L1158" s="1"/>
      <c r="M1158" s="1"/>
      <c r="N1158" s="1"/>
      <c r="O1158" s="1"/>
      <c r="P1158" s="1"/>
      <c r="Q1158" s="1"/>
      <c r="R1158" s="1"/>
      <c r="S1158" s="1"/>
    </row>
    <row r="1159" ht="14.25" customHeight="1">
      <c r="A1159" s="1"/>
      <c r="B1159" s="51" t="s">
        <v>1</v>
      </c>
      <c r="C1159" s="121">
        <v>100.0</v>
      </c>
      <c r="D1159" s="513">
        <v>60.0</v>
      </c>
      <c r="E1159" s="1576"/>
      <c r="F1159" s="514" t="s">
        <v>5</v>
      </c>
      <c r="G1159" s="787"/>
      <c r="H1159" s="1"/>
      <c r="I1159" s="1"/>
      <c r="J1159" s="1"/>
      <c r="K1159" s="1"/>
      <c r="L1159" s="1"/>
      <c r="M1159" s="1"/>
      <c r="N1159" s="1"/>
      <c r="O1159" s="1"/>
      <c r="P1159" s="1"/>
      <c r="Q1159" s="1"/>
      <c r="R1159" s="1"/>
      <c r="S1159" s="1"/>
    </row>
    <row r="1160" ht="14.25" customHeight="1">
      <c r="A1160" s="1"/>
      <c r="B1160" s="68" t="s">
        <v>3513</v>
      </c>
      <c r="C1160" s="1202">
        <v>40.0</v>
      </c>
      <c r="D1160" s="155">
        <f t="shared" ref="D1160:D1170" si="88">(C1160*D1159)/C1159</f>
        <v>24</v>
      </c>
      <c r="E1160" s="899"/>
      <c r="F1160" s="216" t="s">
        <v>14</v>
      </c>
      <c r="G1160" s="194" t="s">
        <v>3514</v>
      </c>
      <c r="H1160" s="1"/>
      <c r="I1160" s="1"/>
      <c r="J1160" s="1"/>
      <c r="K1160" s="1"/>
      <c r="L1160" s="1"/>
      <c r="M1160" s="1"/>
      <c r="N1160" s="1"/>
      <c r="O1160" s="1"/>
      <c r="P1160" s="1"/>
      <c r="Q1160" s="1"/>
      <c r="R1160" s="1"/>
      <c r="S1160" s="1"/>
    </row>
    <row r="1161" ht="14.25" customHeight="1">
      <c r="A1161" s="1"/>
      <c r="B1161" s="105" t="s">
        <v>3515</v>
      </c>
      <c r="C1161" s="1216">
        <v>36.0</v>
      </c>
      <c r="D1161" s="56">
        <f t="shared" si="88"/>
        <v>21.6</v>
      </c>
      <c r="E1161" s="1604"/>
      <c r="F1161" s="518" t="s">
        <v>14</v>
      </c>
      <c r="G1161" s="102"/>
      <c r="H1161" s="1"/>
      <c r="I1161" s="1"/>
      <c r="J1161" s="1"/>
      <c r="K1161" s="1"/>
      <c r="L1161" s="1"/>
      <c r="M1161" s="1"/>
      <c r="N1161" s="1"/>
      <c r="O1161" s="1"/>
      <c r="P1161" s="1"/>
      <c r="Q1161" s="1"/>
      <c r="R1161" s="1"/>
      <c r="S1161" s="1"/>
    </row>
    <row r="1162" ht="14.25" customHeight="1">
      <c r="A1162" s="1"/>
      <c r="B1162" s="68" t="s">
        <v>34</v>
      </c>
      <c r="C1162" s="145">
        <v>1.0</v>
      </c>
      <c r="D1162" s="155">
        <f t="shared" si="88"/>
        <v>0.6</v>
      </c>
      <c r="E1162" s="899"/>
      <c r="F1162" s="216" t="s">
        <v>5</v>
      </c>
      <c r="G1162" s="194" t="s">
        <v>3516</v>
      </c>
      <c r="H1162" s="1"/>
      <c r="I1162" s="1"/>
      <c r="J1162" s="1"/>
      <c r="K1162" s="1"/>
      <c r="L1162" s="1"/>
      <c r="M1162" s="1"/>
      <c r="N1162" s="1"/>
      <c r="O1162" s="1"/>
      <c r="P1162" s="1"/>
      <c r="Q1162" s="1"/>
      <c r="R1162" s="1"/>
      <c r="S1162" s="1"/>
    </row>
    <row r="1163" ht="14.25" customHeight="1">
      <c r="A1163" s="1"/>
      <c r="B1163" s="93" t="s">
        <v>3517</v>
      </c>
      <c r="C1163" s="1213">
        <v>20.0</v>
      </c>
      <c r="D1163" s="78">
        <f t="shared" si="88"/>
        <v>12</v>
      </c>
      <c r="E1163" s="900"/>
      <c r="F1163" s="249" t="s">
        <v>14</v>
      </c>
      <c r="G1163" s="63"/>
      <c r="H1163" s="1"/>
      <c r="I1163" s="1"/>
      <c r="J1163" s="1"/>
      <c r="K1163" s="1"/>
      <c r="L1163" s="1"/>
      <c r="M1163" s="1"/>
      <c r="N1163" s="1"/>
      <c r="O1163" s="1"/>
      <c r="P1163" s="1"/>
      <c r="Q1163" s="1"/>
      <c r="R1163" s="1"/>
      <c r="S1163" s="1"/>
    </row>
    <row r="1164" ht="14.25" customHeight="1">
      <c r="A1164" s="1"/>
      <c r="B1164" s="138" t="s">
        <v>31</v>
      </c>
      <c r="C1164" s="351">
        <v>160.0</v>
      </c>
      <c r="D1164" s="146">
        <f t="shared" si="88"/>
        <v>96</v>
      </c>
      <c r="E1164" s="1607"/>
      <c r="F1164" s="242" t="s">
        <v>18</v>
      </c>
      <c r="G1164" s="102"/>
      <c r="H1164" s="1"/>
      <c r="I1164" s="1"/>
      <c r="J1164" s="1"/>
      <c r="K1164" s="1"/>
      <c r="L1164" s="1"/>
      <c r="M1164" s="1"/>
      <c r="N1164" s="1"/>
      <c r="O1164" s="1"/>
      <c r="P1164" s="1"/>
      <c r="Q1164" s="1"/>
      <c r="R1164" s="1"/>
      <c r="S1164" s="1"/>
    </row>
    <row r="1165" ht="14.25" customHeight="1">
      <c r="A1165" s="1"/>
      <c r="B1165" s="68" t="s">
        <v>142</v>
      </c>
      <c r="C1165" s="1202">
        <v>35.0</v>
      </c>
      <c r="D1165" s="155">
        <f t="shared" si="88"/>
        <v>21</v>
      </c>
      <c r="E1165" s="899"/>
      <c r="F1165" s="216" t="s">
        <v>9</v>
      </c>
      <c r="G1165" s="264" t="s">
        <v>3518</v>
      </c>
      <c r="H1165" s="1"/>
      <c r="I1165" s="1"/>
      <c r="J1165" s="1"/>
      <c r="K1165" s="1"/>
      <c r="L1165" s="1"/>
      <c r="M1165" s="1"/>
      <c r="N1165" s="1"/>
      <c r="O1165" s="1"/>
      <c r="P1165" s="1"/>
      <c r="Q1165" s="1"/>
      <c r="R1165" s="1"/>
      <c r="S1165" s="1"/>
    </row>
    <row r="1166" ht="14.25" customHeight="1">
      <c r="A1166" s="1"/>
      <c r="B1166" s="93" t="s">
        <v>39</v>
      </c>
      <c r="C1166" s="1213">
        <v>600.0</v>
      </c>
      <c r="D1166" s="78">
        <f t="shared" si="88"/>
        <v>360</v>
      </c>
      <c r="E1166" s="900"/>
      <c r="F1166" s="249" t="s">
        <v>18</v>
      </c>
      <c r="G1166" s="66"/>
      <c r="H1166" s="1"/>
      <c r="I1166" s="1"/>
      <c r="J1166" s="1"/>
      <c r="K1166" s="1"/>
      <c r="L1166" s="1"/>
      <c r="M1166" s="1"/>
      <c r="N1166" s="1"/>
      <c r="O1166" s="1"/>
      <c r="P1166" s="1"/>
      <c r="Q1166" s="1"/>
      <c r="R1166" s="1"/>
      <c r="S1166" s="1"/>
    </row>
    <row r="1167" ht="14.25" customHeight="1">
      <c r="A1167" s="1"/>
      <c r="B1167" s="93" t="s">
        <v>3519</v>
      </c>
      <c r="C1167" s="1213">
        <v>500.0</v>
      </c>
      <c r="D1167" s="78">
        <f t="shared" si="88"/>
        <v>300</v>
      </c>
      <c r="E1167" s="900"/>
      <c r="F1167" s="249" t="s">
        <v>18</v>
      </c>
      <c r="G1167" s="66"/>
      <c r="H1167" s="1"/>
      <c r="I1167" s="1"/>
      <c r="J1167" s="1"/>
      <c r="K1167" s="1"/>
      <c r="L1167" s="1"/>
      <c r="M1167" s="1"/>
      <c r="N1167" s="1"/>
      <c r="O1167" s="1"/>
      <c r="P1167" s="1"/>
      <c r="Q1167" s="1"/>
      <c r="R1167" s="1"/>
      <c r="S1167" s="1"/>
    </row>
    <row r="1168" ht="14.25" customHeight="1">
      <c r="A1168" s="1"/>
      <c r="B1168" s="93" t="s">
        <v>3520</v>
      </c>
      <c r="C1168" s="1213">
        <v>1.5</v>
      </c>
      <c r="D1168" s="78">
        <f t="shared" si="88"/>
        <v>0.9</v>
      </c>
      <c r="E1168" s="900"/>
      <c r="F1168" s="249" t="s">
        <v>14</v>
      </c>
      <c r="G1168" s="66"/>
      <c r="H1168" s="1"/>
      <c r="I1168" s="1"/>
      <c r="J1168" s="1"/>
      <c r="K1168" s="1"/>
      <c r="L1168" s="1"/>
      <c r="M1168" s="1"/>
      <c r="N1168" s="1"/>
      <c r="O1168" s="1"/>
      <c r="P1168" s="1"/>
      <c r="Q1168" s="1"/>
      <c r="R1168" s="1"/>
      <c r="S1168" s="1"/>
    </row>
    <row r="1169" ht="14.25" customHeight="1">
      <c r="A1169" s="1"/>
      <c r="B1169" s="93" t="s">
        <v>80</v>
      </c>
      <c r="C1169" s="1213">
        <v>3.0</v>
      </c>
      <c r="D1169" s="78">
        <f t="shared" si="88"/>
        <v>1.8</v>
      </c>
      <c r="E1169" s="900"/>
      <c r="F1169" s="249" t="s">
        <v>14</v>
      </c>
      <c r="G1169" s="66"/>
      <c r="H1169" s="1"/>
      <c r="I1169" s="1"/>
      <c r="J1169" s="1"/>
      <c r="K1169" s="1"/>
      <c r="L1169" s="1"/>
      <c r="M1169" s="1"/>
      <c r="N1169" s="1"/>
      <c r="O1169" s="1"/>
      <c r="P1169" s="1"/>
      <c r="Q1169" s="1"/>
      <c r="R1169" s="1"/>
      <c r="S1169" s="1"/>
    </row>
    <row r="1170" ht="14.25" customHeight="1">
      <c r="A1170" s="1"/>
      <c r="B1170" s="105" t="s">
        <v>31</v>
      </c>
      <c r="C1170" s="1216">
        <v>1000.0</v>
      </c>
      <c r="D1170" s="56">
        <f t="shared" si="88"/>
        <v>600</v>
      </c>
      <c r="E1170" s="1604"/>
      <c r="F1170" s="518" t="s">
        <v>18</v>
      </c>
      <c r="G1170" s="66"/>
      <c r="H1170" s="1"/>
      <c r="I1170" s="1"/>
      <c r="J1170" s="1"/>
      <c r="K1170" s="1"/>
      <c r="L1170" s="1"/>
      <c r="M1170" s="1"/>
      <c r="N1170" s="1"/>
      <c r="O1170" s="1"/>
      <c r="P1170" s="1"/>
      <c r="Q1170" s="1"/>
      <c r="R1170" s="1"/>
      <c r="S1170" s="1"/>
    </row>
    <row r="1171" ht="14.25" customHeight="1">
      <c r="A1171" s="1"/>
      <c r="B1171" s="149" t="s">
        <v>81</v>
      </c>
      <c r="C1171" s="1220">
        <v>1600.0</v>
      </c>
      <c r="D1171" s="274">
        <f>(C1171*D1178)/C1178</f>
        <v>960</v>
      </c>
      <c r="E1171" s="1690"/>
      <c r="F1171" s="288" t="s">
        <v>82</v>
      </c>
      <c r="G1171" s="106"/>
      <c r="H1171" s="1"/>
      <c r="I1171" s="1"/>
      <c r="J1171" s="1"/>
      <c r="K1171" s="1"/>
      <c r="L1171" s="1"/>
      <c r="M1171" s="1"/>
      <c r="N1171" s="1"/>
      <c r="O1171" s="1"/>
      <c r="P1171" s="1"/>
      <c r="Q1171" s="1"/>
      <c r="R1171" s="1"/>
      <c r="S1171" s="1"/>
    </row>
    <row r="1172" ht="14.25" customHeight="1">
      <c r="A1172" s="1"/>
      <c r="B1172" s="68" t="s">
        <v>34</v>
      </c>
      <c r="C1172" s="1202">
        <v>3.0</v>
      </c>
      <c r="D1172" s="155">
        <f>(C1172*D1168)/C1168</f>
        <v>1.8</v>
      </c>
      <c r="E1172" s="899"/>
      <c r="F1172" s="216" t="s">
        <v>5</v>
      </c>
      <c r="G1172" s="44" t="s">
        <v>3521</v>
      </c>
      <c r="H1172" s="1"/>
      <c r="I1172" s="1"/>
      <c r="J1172" s="1"/>
      <c r="K1172" s="1"/>
      <c r="L1172" s="1"/>
      <c r="M1172" s="1"/>
      <c r="N1172" s="1"/>
      <c r="O1172" s="1"/>
      <c r="P1172" s="1"/>
      <c r="Q1172" s="1"/>
      <c r="R1172" s="1"/>
      <c r="S1172" s="1"/>
    </row>
    <row r="1173" ht="14.25" customHeight="1">
      <c r="A1173" s="1"/>
      <c r="B1173" s="93" t="s">
        <v>97</v>
      </c>
      <c r="C1173" s="1213">
        <v>250.0</v>
      </c>
      <c r="D1173" s="78">
        <f>(C1173*D1172)/C1172</f>
        <v>150</v>
      </c>
      <c r="E1173" s="900"/>
      <c r="F1173" s="249" t="s">
        <v>18</v>
      </c>
      <c r="G1173" s="47"/>
      <c r="H1173" s="1"/>
      <c r="I1173" s="1"/>
      <c r="J1173" s="1"/>
      <c r="K1173" s="1"/>
      <c r="L1173" s="1"/>
      <c r="M1173" s="1"/>
      <c r="N1173" s="1"/>
      <c r="O1173" s="1"/>
      <c r="P1173" s="1"/>
      <c r="Q1173" s="1"/>
      <c r="R1173" s="1"/>
      <c r="S1173" s="1"/>
    </row>
    <row r="1174" ht="14.25" customHeight="1">
      <c r="A1174" s="1"/>
      <c r="B1174" s="93" t="s">
        <v>847</v>
      </c>
      <c r="C1174" s="1213">
        <v>200.0</v>
      </c>
      <c r="D1174" s="78">
        <f>(C1174*D1176)/C1176</f>
        <v>120</v>
      </c>
      <c r="E1174" s="900"/>
      <c r="F1174" s="249" t="s">
        <v>18</v>
      </c>
      <c r="G1174" s="47"/>
      <c r="H1174" s="1"/>
      <c r="I1174" s="1"/>
      <c r="J1174" s="1"/>
      <c r="K1174" s="1"/>
      <c r="L1174" s="1"/>
      <c r="M1174" s="1"/>
      <c r="N1174" s="1"/>
      <c r="O1174" s="1"/>
      <c r="P1174" s="1"/>
      <c r="Q1174" s="1"/>
      <c r="R1174" s="1"/>
      <c r="S1174" s="1"/>
    </row>
    <row r="1175" ht="14.25" customHeight="1">
      <c r="A1175" s="1"/>
      <c r="B1175" s="93" t="s">
        <v>1173</v>
      </c>
      <c r="C1175" s="1213">
        <v>150.0</v>
      </c>
      <c r="D1175" s="78">
        <f>(C1175*D1173)/C1173</f>
        <v>90</v>
      </c>
      <c r="E1175" s="900"/>
      <c r="F1175" s="249" t="s">
        <v>18</v>
      </c>
      <c r="G1175" s="47"/>
      <c r="H1175" s="1"/>
      <c r="I1175" s="1"/>
      <c r="J1175" s="1"/>
      <c r="K1175" s="1"/>
      <c r="L1175" s="1"/>
      <c r="M1175" s="1"/>
      <c r="N1175" s="1"/>
      <c r="O1175" s="1"/>
      <c r="P1175" s="1"/>
      <c r="Q1175" s="1"/>
      <c r="R1175" s="1"/>
      <c r="S1175" s="1"/>
    </row>
    <row r="1176" ht="14.25" customHeight="1">
      <c r="A1176" s="1"/>
      <c r="B1176" s="93" t="s">
        <v>103</v>
      </c>
      <c r="C1176" s="1213">
        <v>100.0</v>
      </c>
      <c r="D1176" s="78">
        <f>(C1176*D1175)/C1175</f>
        <v>60</v>
      </c>
      <c r="E1176" s="900"/>
      <c r="F1176" s="249" t="s">
        <v>18</v>
      </c>
      <c r="G1176" s="47"/>
      <c r="H1176" s="1"/>
      <c r="I1176" s="1"/>
      <c r="J1176" s="1"/>
      <c r="K1176" s="1"/>
      <c r="L1176" s="1"/>
      <c r="M1176" s="1"/>
      <c r="N1176" s="1"/>
      <c r="O1176" s="1"/>
      <c r="P1176" s="1"/>
      <c r="Q1176" s="1"/>
      <c r="R1176" s="1"/>
      <c r="S1176" s="1"/>
    </row>
    <row r="1177" ht="14.25" customHeight="1">
      <c r="A1177" s="1"/>
      <c r="B1177" s="93" t="s">
        <v>52</v>
      </c>
      <c r="C1177" s="1213">
        <v>125.0</v>
      </c>
      <c r="D1177" s="78">
        <f>(C1177*D1164)/C1164</f>
        <v>75</v>
      </c>
      <c r="E1177" s="900"/>
      <c r="F1177" s="249" t="s">
        <v>18</v>
      </c>
      <c r="G1177" s="47"/>
      <c r="H1177" s="1"/>
      <c r="I1177" s="1"/>
      <c r="J1177" s="1"/>
      <c r="K1177" s="1"/>
      <c r="L1177" s="1"/>
      <c r="M1177" s="1"/>
      <c r="N1177" s="1"/>
      <c r="O1177" s="1"/>
      <c r="P1177" s="1"/>
      <c r="Q1177" s="1"/>
      <c r="R1177" s="1"/>
      <c r="S1177" s="1"/>
    </row>
    <row r="1178" ht="14.25" customHeight="1">
      <c r="A1178" s="1"/>
      <c r="B1178" s="105" t="s">
        <v>101</v>
      </c>
      <c r="C1178" s="1216">
        <v>2.0</v>
      </c>
      <c r="D1178" s="56">
        <f>(C1178*D1176)/C1176</f>
        <v>1.2</v>
      </c>
      <c r="E1178" s="1604"/>
      <c r="F1178" s="518" t="s">
        <v>5</v>
      </c>
      <c r="G1178" s="76"/>
      <c r="H1178" s="1"/>
      <c r="I1178" s="1"/>
      <c r="J1178" s="1"/>
      <c r="K1178" s="1"/>
      <c r="L1178" s="1"/>
      <c r="M1178" s="1"/>
      <c r="N1178" s="1"/>
      <c r="O1178" s="1"/>
      <c r="P1178" s="1"/>
      <c r="Q1178" s="1"/>
      <c r="R1178" s="1"/>
      <c r="S1178" s="1"/>
    </row>
    <row r="1179" ht="14.25" customHeight="1">
      <c r="A1179" s="1"/>
      <c r="B1179" s="1640" t="s">
        <v>119</v>
      </c>
      <c r="C1179" s="183" t="s">
        <v>47</v>
      </c>
      <c r="D1179" s="184"/>
      <c r="E1179" s="184"/>
      <c r="F1179" s="1"/>
      <c r="G1179" s="1"/>
      <c r="H1179" s="1"/>
      <c r="I1179" s="1"/>
      <c r="J1179" s="1"/>
      <c r="K1179" s="1"/>
      <c r="L1179" s="1"/>
      <c r="M1179" s="1"/>
      <c r="N1179" s="1"/>
      <c r="O1179" s="1"/>
      <c r="P1179" s="1"/>
      <c r="Q1179" s="1"/>
      <c r="R1179" s="1"/>
      <c r="S1179" s="1"/>
    </row>
    <row r="1180" ht="14.25" customHeight="1">
      <c r="A1180" s="1"/>
      <c r="B1180" s="3070" t="s">
        <v>3522</v>
      </c>
      <c r="C1180" s="5"/>
      <c r="D1180" s="5"/>
      <c r="E1180" s="3071"/>
      <c r="F1180" s="1"/>
      <c r="G1180" s="1"/>
      <c r="H1180" s="1"/>
      <c r="I1180" s="1"/>
      <c r="J1180" s="1"/>
      <c r="K1180" s="1"/>
      <c r="L1180" s="1"/>
      <c r="M1180" s="1"/>
      <c r="N1180" s="1"/>
      <c r="O1180" s="1"/>
      <c r="P1180" s="1"/>
      <c r="Q1180" s="1"/>
      <c r="R1180" s="1"/>
      <c r="S1180" s="1"/>
    </row>
    <row r="1181" ht="14.25" customHeight="1">
      <c r="A1181" s="1"/>
      <c r="B1181" s="3072"/>
      <c r="E1181" s="3071"/>
      <c r="F1181" s="1"/>
      <c r="G1181" s="1"/>
      <c r="H1181" s="1"/>
      <c r="I1181" s="1"/>
      <c r="J1181" s="1"/>
      <c r="K1181" s="1"/>
      <c r="L1181" s="1"/>
      <c r="M1181" s="1"/>
      <c r="N1181" s="1"/>
      <c r="O1181" s="1"/>
      <c r="P1181" s="1"/>
      <c r="Q1181" s="1"/>
      <c r="R1181" s="1"/>
      <c r="S1181" s="1"/>
    </row>
    <row r="1182" ht="14.25" customHeight="1">
      <c r="A1182" s="1"/>
      <c r="B1182" s="3072"/>
      <c r="E1182" s="3071"/>
      <c r="F1182" s="1"/>
      <c r="G1182" s="1"/>
      <c r="H1182" s="1"/>
      <c r="I1182" s="1"/>
      <c r="J1182" s="1"/>
      <c r="K1182" s="1"/>
      <c r="L1182" s="1"/>
      <c r="M1182" s="1"/>
      <c r="N1182" s="1"/>
      <c r="O1182" s="1"/>
      <c r="P1182" s="1"/>
      <c r="Q1182" s="1"/>
      <c r="R1182" s="1"/>
      <c r="S1182" s="1"/>
    </row>
    <row r="1183" ht="14.25" customHeight="1">
      <c r="A1183" s="1"/>
      <c r="B1183" s="3072"/>
      <c r="E1183" s="3071"/>
      <c r="F1183" s="1"/>
      <c r="G1183" s="1"/>
      <c r="H1183" s="1"/>
      <c r="I1183" s="1"/>
      <c r="J1183" s="1"/>
      <c r="K1183" s="1"/>
      <c r="L1183" s="1"/>
      <c r="M1183" s="1"/>
      <c r="N1183" s="1"/>
      <c r="O1183" s="1"/>
      <c r="P1183" s="1"/>
      <c r="Q1183" s="1"/>
      <c r="R1183" s="1"/>
      <c r="S1183" s="1"/>
    </row>
    <row r="1184" ht="14.25" customHeight="1">
      <c r="A1184" s="1"/>
      <c r="B1184" s="3072"/>
      <c r="E1184" s="3071"/>
      <c r="F1184" s="1"/>
      <c r="G1184" s="1"/>
      <c r="H1184" s="1"/>
      <c r="I1184" s="1"/>
      <c r="J1184" s="1"/>
      <c r="K1184" s="1"/>
      <c r="L1184" s="1"/>
      <c r="M1184" s="1"/>
      <c r="N1184" s="1"/>
      <c r="O1184" s="1"/>
      <c r="P1184" s="1"/>
      <c r="Q1184" s="1"/>
      <c r="R1184" s="1"/>
      <c r="S1184" s="1"/>
    </row>
    <row r="1185" ht="14.25" customHeight="1">
      <c r="A1185" s="1"/>
      <c r="B1185" s="3072"/>
      <c r="E1185" s="3071"/>
      <c r="F1185" s="1"/>
      <c r="G1185" s="1"/>
      <c r="H1185" s="1"/>
      <c r="I1185" s="1"/>
      <c r="J1185" s="1"/>
      <c r="K1185" s="1"/>
      <c r="L1185" s="1"/>
      <c r="M1185" s="1"/>
      <c r="N1185" s="1"/>
      <c r="O1185" s="1"/>
      <c r="P1185" s="1"/>
      <c r="Q1185" s="1"/>
      <c r="R1185" s="1"/>
      <c r="S1185" s="1"/>
    </row>
    <row r="1186" ht="14.25" customHeight="1">
      <c r="A1186" s="1"/>
      <c r="B1186" s="3072"/>
      <c r="E1186" s="3071"/>
      <c r="F1186" s="1"/>
      <c r="G1186" s="1112"/>
      <c r="H1186" s="1"/>
      <c r="I1186" s="1"/>
      <c r="J1186" s="1"/>
      <c r="K1186" s="1"/>
      <c r="L1186" s="1"/>
      <c r="M1186" s="1"/>
      <c r="N1186" s="1"/>
      <c r="O1186" s="1"/>
      <c r="P1186" s="1"/>
      <c r="Q1186" s="1"/>
      <c r="R1186" s="1"/>
      <c r="S1186" s="1"/>
    </row>
    <row r="1187" ht="14.25" customHeight="1">
      <c r="A1187" s="1"/>
      <c r="B1187" s="3073" t="s">
        <v>49</v>
      </c>
      <c r="C1187" s="3074">
        <v>40766.0</v>
      </c>
      <c r="D1187" s="3075"/>
      <c r="E1187" s="3075"/>
      <c r="F1187" s="1"/>
      <c r="G1187" s="1112"/>
      <c r="H1187" s="1"/>
      <c r="I1187" s="1"/>
      <c r="J1187" s="1"/>
      <c r="K1187" s="1"/>
      <c r="L1187" s="1"/>
      <c r="M1187" s="1"/>
      <c r="N1187" s="1"/>
      <c r="O1187" s="1"/>
      <c r="P1187" s="1"/>
      <c r="Q1187" s="1"/>
      <c r="R1187" s="1"/>
      <c r="S1187" s="1"/>
    </row>
    <row r="1188" ht="14.25" customHeight="1">
      <c r="A1188" s="1"/>
      <c r="B1188" s="1349" t="s">
        <v>50</v>
      </c>
      <c r="C1188" s="2755">
        <v>40558.0</v>
      </c>
      <c r="D1188" s="3075"/>
      <c r="E1188" s="3075"/>
      <c r="F1188" s="1"/>
      <c r="G1188" s="1112"/>
      <c r="H1188" s="1"/>
      <c r="I1188" s="1"/>
      <c r="J1188" s="1"/>
      <c r="K1188" s="1"/>
      <c r="L1188" s="1"/>
      <c r="M1188" s="1"/>
      <c r="N1188" s="1"/>
      <c r="O1188" s="1"/>
      <c r="P1188" s="1"/>
      <c r="Q1188" s="1"/>
      <c r="R1188" s="1"/>
      <c r="S1188" s="1"/>
    </row>
    <row r="1189" ht="14.25" customHeight="1">
      <c r="A1189" s="1"/>
      <c r="B1189" s="1"/>
      <c r="C1189" s="107"/>
      <c r="D1189" s="184"/>
      <c r="E1189" s="184"/>
      <c r="F1189" s="1"/>
      <c r="G1189" s="1112"/>
      <c r="H1189" s="1"/>
      <c r="I1189" s="1"/>
      <c r="J1189" s="1"/>
      <c r="K1189" s="1"/>
      <c r="L1189" s="1"/>
      <c r="M1189" s="1"/>
      <c r="N1189" s="1"/>
      <c r="O1189" s="1"/>
      <c r="P1189" s="1"/>
      <c r="Q1189" s="1"/>
      <c r="R1189" s="1"/>
      <c r="S1189" s="1"/>
    </row>
    <row r="1190" ht="14.25" customHeight="1">
      <c r="A1190" s="1"/>
      <c r="B1190" s="505" t="s">
        <v>3523</v>
      </c>
      <c r="C1190" s="18"/>
      <c r="D1190" s="18"/>
      <c r="E1190" s="18"/>
      <c r="F1190" s="19"/>
      <c r="G1190" s="141"/>
      <c r="H1190" s="1"/>
      <c r="I1190" s="1"/>
      <c r="J1190" s="1"/>
      <c r="K1190" s="1"/>
      <c r="L1190" s="1"/>
      <c r="M1190" s="1"/>
      <c r="N1190" s="1"/>
      <c r="O1190" s="1"/>
      <c r="P1190" s="1"/>
      <c r="Q1190" s="1"/>
      <c r="R1190" s="1"/>
      <c r="S1190" s="1"/>
    </row>
    <row r="1191" ht="14.25" customHeight="1">
      <c r="A1191" s="1"/>
      <c r="B1191" s="3022" t="s">
        <v>1</v>
      </c>
      <c r="C1191" s="13">
        <v>100.0</v>
      </c>
      <c r="D1191" s="3076">
        <v>7.0</v>
      </c>
      <c r="E1191" s="3077"/>
      <c r="F1191" s="348" t="s">
        <v>190</v>
      </c>
      <c r="G1191" s="569" t="s">
        <v>94</v>
      </c>
      <c r="H1191" s="1"/>
      <c r="I1191" s="1"/>
      <c r="J1191" s="1"/>
      <c r="K1191" s="1"/>
      <c r="L1191" s="1"/>
      <c r="M1191" s="1"/>
      <c r="N1191" s="1"/>
      <c r="O1191" s="1"/>
      <c r="P1191" s="1"/>
      <c r="Q1191" s="1"/>
      <c r="R1191" s="1"/>
      <c r="S1191" s="1"/>
    </row>
    <row r="1192" ht="14.25" customHeight="1">
      <c r="A1192" s="1"/>
      <c r="B1192" s="350" t="s">
        <v>1853</v>
      </c>
      <c r="C1192" s="160">
        <v>2.5</v>
      </c>
      <c r="D1192" s="201">
        <f t="shared" ref="D1192:D1199" si="89">(C1192*D1191)/C1191</f>
        <v>0.175</v>
      </c>
      <c r="E1192" s="1735"/>
      <c r="F1192" s="352" t="s">
        <v>14</v>
      </c>
      <c r="G1192" s="570"/>
      <c r="H1192" s="1"/>
      <c r="I1192" s="1"/>
      <c r="J1192" s="1"/>
      <c r="K1192" s="1"/>
      <c r="L1192" s="1"/>
      <c r="M1192" s="1"/>
      <c r="N1192" s="1"/>
      <c r="O1192" s="1"/>
      <c r="P1192" s="1"/>
      <c r="Q1192" s="1"/>
      <c r="R1192" s="1"/>
      <c r="S1192" s="1"/>
    </row>
    <row r="1193" ht="14.25" customHeight="1">
      <c r="A1193" s="1"/>
      <c r="B1193" s="350" t="s">
        <v>103</v>
      </c>
      <c r="C1193" s="160">
        <v>100.0</v>
      </c>
      <c r="D1193" s="201">
        <f t="shared" si="89"/>
        <v>7</v>
      </c>
      <c r="E1193" s="1735"/>
      <c r="F1193" s="352" t="s">
        <v>18</v>
      </c>
      <c r="G1193" s="570"/>
      <c r="H1193" s="1"/>
      <c r="I1193" s="1"/>
      <c r="J1193" s="1"/>
      <c r="K1193" s="1"/>
      <c r="L1193" s="1"/>
      <c r="M1193" s="1"/>
      <c r="N1193" s="1"/>
      <c r="O1193" s="1"/>
      <c r="P1193" s="1"/>
      <c r="Q1193" s="1"/>
      <c r="R1193" s="1"/>
      <c r="S1193" s="1"/>
    </row>
    <row r="1194" ht="14.25" customHeight="1">
      <c r="A1194" s="1"/>
      <c r="B1194" s="354" t="s">
        <v>112</v>
      </c>
      <c r="C1194" s="1360">
        <v>50.0</v>
      </c>
      <c r="D1194" s="201">
        <f t="shared" si="89"/>
        <v>3.5</v>
      </c>
      <c r="E1194" s="2164"/>
      <c r="F1194" s="356" t="s">
        <v>18</v>
      </c>
      <c r="G1194" s="570"/>
      <c r="H1194" s="1"/>
      <c r="I1194" s="1"/>
      <c r="J1194" s="1"/>
      <c r="K1194" s="1"/>
      <c r="L1194" s="1"/>
      <c r="M1194" s="1"/>
      <c r="N1194" s="1"/>
      <c r="O1194" s="1"/>
      <c r="P1194" s="1"/>
      <c r="Q1194" s="1"/>
      <c r="R1194" s="1"/>
      <c r="S1194" s="1"/>
    </row>
    <row r="1195" ht="14.25" customHeight="1">
      <c r="A1195" s="1"/>
      <c r="B1195" s="354" t="s">
        <v>208</v>
      </c>
      <c r="C1195" s="1360">
        <v>300.0</v>
      </c>
      <c r="D1195" s="201">
        <f t="shared" si="89"/>
        <v>21</v>
      </c>
      <c r="E1195" s="2164"/>
      <c r="F1195" s="356" t="s">
        <v>18</v>
      </c>
      <c r="G1195" s="572"/>
      <c r="H1195" s="1"/>
      <c r="I1195" s="1"/>
      <c r="J1195" s="1"/>
      <c r="K1195" s="1"/>
      <c r="L1195" s="1"/>
      <c r="M1195" s="1"/>
      <c r="N1195" s="1"/>
      <c r="O1195" s="1"/>
      <c r="P1195" s="1"/>
      <c r="Q1195" s="1"/>
      <c r="R1195" s="1"/>
      <c r="S1195" s="1"/>
    </row>
    <row r="1196" ht="14.25" customHeight="1">
      <c r="A1196" s="1"/>
      <c r="B1196" s="360" t="s">
        <v>3524</v>
      </c>
      <c r="C1196" s="2803">
        <v>55.0</v>
      </c>
      <c r="D1196" s="608">
        <f t="shared" si="89"/>
        <v>3.85</v>
      </c>
      <c r="E1196" s="2150"/>
      <c r="F1196" s="366" t="s">
        <v>14</v>
      </c>
      <c r="G1196" s="3078" t="s">
        <v>3525</v>
      </c>
      <c r="H1196" s="1"/>
      <c r="I1196" s="1">
        <f>80*0.22</f>
        <v>17.6</v>
      </c>
      <c r="J1196" s="1"/>
      <c r="K1196" s="1"/>
      <c r="L1196" s="1"/>
      <c r="M1196" s="1"/>
      <c r="N1196" s="1"/>
      <c r="O1196" s="1"/>
      <c r="P1196" s="1"/>
      <c r="Q1196" s="1"/>
      <c r="R1196" s="1"/>
      <c r="S1196" s="1"/>
    </row>
    <row r="1197" ht="14.25" customHeight="1">
      <c r="A1197" s="1"/>
      <c r="B1197" s="345" t="s">
        <v>52</v>
      </c>
      <c r="C1197" s="131">
        <v>100.0</v>
      </c>
      <c r="D1197" s="164">
        <f t="shared" si="89"/>
        <v>7</v>
      </c>
      <c r="E1197" s="1731"/>
      <c r="F1197" s="348" t="s">
        <v>18</v>
      </c>
      <c r="G1197" s="569" t="s">
        <v>3526</v>
      </c>
      <c r="H1197" s="1"/>
      <c r="I1197" s="1"/>
      <c r="J1197" s="1"/>
      <c r="K1197" s="1"/>
      <c r="L1197" s="1"/>
      <c r="M1197" s="1"/>
      <c r="N1197" s="1"/>
      <c r="O1197" s="1"/>
      <c r="P1197" s="1"/>
      <c r="Q1197" s="1"/>
      <c r="R1197" s="1"/>
      <c r="S1197" s="1"/>
    </row>
    <row r="1198" ht="14.25" customHeight="1">
      <c r="A1198" s="1"/>
      <c r="B1198" s="350" t="s">
        <v>3527</v>
      </c>
      <c r="C1198" s="160">
        <v>1200.0</v>
      </c>
      <c r="D1198" s="201">
        <f t="shared" si="89"/>
        <v>84</v>
      </c>
      <c r="E1198" s="1735"/>
      <c r="F1198" s="352" t="s">
        <v>18</v>
      </c>
      <c r="G1198" s="570"/>
      <c r="H1198" s="1"/>
      <c r="I1198" s="1"/>
      <c r="J1198" s="1"/>
      <c r="K1198" s="1"/>
      <c r="L1198" s="1"/>
      <c r="M1198" s="1"/>
      <c r="N1198" s="1"/>
      <c r="O1198" s="1"/>
      <c r="P1198" s="1"/>
      <c r="Q1198" s="1"/>
      <c r="R1198" s="1"/>
      <c r="S1198" s="1"/>
    </row>
    <row r="1199" ht="14.25" customHeight="1">
      <c r="A1199" s="1"/>
      <c r="B1199" s="606" t="s">
        <v>13</v>
      </c>
      <c r="C1199" s="167">
        <v>1.6</v>
      </c>
      <c r="D1199" s="257">
        <f t="shared" si="89"/>
        <v>0.112</v>
      </c>
      <c r="E1199" s="1738"/>
      <c r="F1199" s="1475" t="s">
        <v>14</v>
      </c>
      <c r="G1199" s="572"/>
      <c r="H1199" s="1"/>
      <c r="I1199" s="1"/>
      <c r="J1199" s="1"/>
      <c r="K1199" s="1"/>
      <c r="L1199" s="1"/>
      <c r="M1199" s="1"/>
      <c r="N1199" s="1"/>
      <c r="O1199" s="1"/>
      <c r="P1199" s="1"/>
      <c r="Q1199" s="1"/>
      <c r="R1199" s="1"/>
      <c r="S1199" s="1"/>
    </row>
    <row r="1200" ht="14.25" customHeight="1">
      <c r="A1200" s="1"/>
      <c r="B1200" s="525" t="s">
        <v>2358</v>
      </c>
      <c r="C1200" s="410">
        <v>300.0</v>
      </c>
      <c r="D1200" s="526">
        <f>(C1200*D1201)/C1201</f>
        <v>21</v>
      </c>
      <c r="E1200" s="2144"/>
      <c r="F1200" s="329" t="s">
        <v>18</v>
      </c>
      <c r="G1200" s="3078" t="s">
        <v>3528</v>
      </c>
      <c r="H1200" s="1"/>
      <c r="I1200" s="1"/>
      <c r="J1200" s="1"/>
      <c r="K1200" s="1"/>
      <c r="L1200" s="1"/>
      <c r="M1200" s="1"/>
      <c r="N1200" s="1"/>
      <c r="O1200" s="1"/>
      <c r="P1200" s="1"/>
      <c r="Q1200" s="1"/>
      <c r="R1200" s="1"/>
      <c r="S1200" s="1"/>
    </row>
    <row r="1201" ht="14.25" customHeight="1">
      <c r="A1201" s="1"/>
      <c r="B1201" s="345" t="s">
        <v>2292</v>
      </c>
      <c r="C1201" s="131">
        <v>10.0</v>
      </c>
      <c r="D1201" s="164">
        <f t="shared" ref="D1201:D1205" si="90">(C1201*D1199)/C1199</f>
        <v>0.7</v>
      </c>
      <c r="E1201" s="1731"/>
      <c r="F1201" s="348" t="s">
        <v>14</v>
      </c>
      <c r="G1201" s="569" t="s">
        <v>3529</v>
      </c>
      <c r="H1201" s="1"/>
      <c r="I1201" s="1"/>
      <c r="J1201" s="1"/>
      <c r="K1201" s="1"/>
      <c r="L1201" s="1"/>
      <c r="M1201" s="1"/>
      <c r="N1201" s="1"/>
      <c r="O1201" s="1"/>
      <c r="P1201" s="1"/>
      <c r="Q1201" s="1"/>
      <c r="R1201" s="1"/>
      <c r="S1201" s="1"/>
    </row>
    <row r="1202" ht="14.25" customHeight="1">
      <c r="A1202" s="1"/>
      <c r="B1202" s="350" t="s">
        <v>3453</v>
      </c>
      <c r="C1202" s="160">
        <v>40.0</v>
      </c>
      <c r="D1202" s="201">
        <f t="shared" si="90"/>
        <v>2.8</v>
      </c>
      <c r="E1202" s="1735"/>
      <c r="F1202" s="352" t="s">
        <v>14</v>
      </c>
      <c r="G1202" s="570"/>
      <c r="H1202" s="1"/>
      <c r="I1202" s="1">
        <f>280*250</f>
        <v>70000</v>
      </c>
      <c r="J1202" s="1"/>
      <c r="K1202" s="1"/>
      <c r="L1202" s="1"/>
      <c r="M1202" s="1"/>
      <c r="N1202" s="1"/>
      <c r="O1202" s="1"/>
      <c r="P1202" s="1"/>
      <c r="Q1202" s="1"/>
      <c r="R1202" s="1"/>
      <c r="S1202" s="1"/>
    </row>
    <row r="1203" ht="14.25" customHeight="1">
      <c r="A1203" s="1"/>
      <c r="B1203" s="606" t="s">
        <v>31</v>
      </c>
      <c r="C1203" s="167">
        <v>850.0</v>
      </c>
      <c r="D1203" s="257">
        <f t="shared" si="90"/>
        <v>59.5</v>
      </c>
      <c r="E1203" s="1738"/>
      <c r="F1203" s="1475" t="s">
        <v>18</v>
      </c>
      <c r="G1203" s="572"/>
      <c r="H1203" s="1"/>
      <c r="I1203" s="1"/>
      <c r="J1203" s="1"/>
      <c r="K1203" s="1"/>
      <c r="L1203" s="1"/>
      <c r="M1203" s="1"/>
      <c r="N1203" s="1"/>
      <c r="O1203" s="1"/>
      <c r="P1203" s="1"/>
      <c r="Q1203" s="1"/>
      <c r="R1203" s="1"/>
      <c r="S1203" s="1"/>
    </row>
    <row r="1204" ht="14.25" customHeight="1">
      <c r="A1204" s="1"/>
      <c r="B1204" s="345" t="s">
        <v>114</v>
      </c>
      <c r="C1204" s="131">
        <v>2.5</v>
      </c>
      <c r="D1204" s="164">
        <f t="shared" si="90"/>
        <v>0.175</v>
      </c>
      <c r="E1204" s="1731"/>
      <c r="F1204" s="348" t="s">
        <v>5</v>
      </c>
      <c r="G1204" s="44" t="s">
        <v>3455</v>
      </c>
      <c r="H1204" s="1"/>
      <c r="I1204" s="1"/>
      <c r="J1204" s="1"/>
      <c r="K1204" s="1"/>
      <c r="L1204" s="1"/>
      <c r="M1204" s="1"/>
      <c r="N1204" s="1"/>
      <c r="O1204" s="1"/>
      <c r="P1204" s="1"/>
      <c r="Q1204" s="1"/>
      <c r="R1204" s="1"/>
      <c r="S1204" s="1"/>
    </row>
    <row r="1205" ht="14.25" customHeight="1">
      <c r="A1205" s="1"/>
      <c r="B1205" s="606" t="s">
        <v>1853</v>
      </c>
      <c r="C1205" s="167">
        <v>1.0</v>
      </c>
      <c r="D1205" s="1362">
        <f t="shared" si="90"/>
        <v>0.07</v>
      </c>
      <c r="E1205" s="2186"/>
      <c r="F1205" s="1475" t="s">
        <v>14</v>
      </c>
      <c r="G1205" s="76"/>
      <c r="H1205" s="1"/>
      <c r="I1205" s="1"/>
      <c r="J1205" s="1"/>
      <c r="K1205" s="1"/>
      <c r="L1205" s="1"/>
      <c r="M1205" s="1"/>
      <c r="N1205" s="1"/>
      <c r="O1205" s="1"/>
      <c r="P1205" s="1"/>
      <c r="Q1205" s="1"/>
      <c r="R1205" s="1"/>
      <c r="S1205" s="1"/>
    </row>
    <row r="1206" ht="14.25" customHeight="1">
      <c r="A1206" s="1"/>
      <c r="B1206" s="1640" t="s">
        <v>119</v>
      </c>
      <c r="C1206" s="183" t="s">
        <v>47</v>
      </c>
      <c r="D1206" s="184"/>
      <c r="E1206" s="184"/>
      <c r="F1206" s="1"/>
      <c r="G1206" s="1"/>
      <c r="H1206" s="1"/>
      <c r="I1206" s="1">
        <f>4000*80</f>
        <v>320000</v>
      </c>
      <c r="J1206" s="1"/>
      <c r="K1206" s="1"/>
      <c r="L1206" s="1"/>
      <c r="M1206" s="1"/>
      <c r="N1206" s="1"/>
      <c r="O1206" s="1"/>
      <c r="P1206" s="1"/>
      <c r="Q1206" s="1"/>
      <c r="R1206" s="1"/>
      <c r="S1206" s="1"/>
    </row>
    <row r="1207" ht="14.25" customHeight="1">
      <c r="A1207" s="1"/>
      <c r="B1207" s="3079" t="s">
        <v>120</v>
      </c>
      <c r="C1207" s="3080">
        <v>40820.0</v>
      </c>
      <c r="D1207" s="1838"/>
      <c r="E1207" s="1838"/>
      <c r="F1207" s="1"/>
      <c r="G1207" s="1"/>
      <c r="H1207" s="1"/>
      <c r="I1207" s="1"/>
      <c r="J1207" s="1"/>
      <c r="K1207" s="1"/>
      <c r="L1207" s="1"/>
      <c r="M1207" s="1"/>
      <c r="N1207" s="1"/>
      <c r="O1207" s="1"/>
      <c r="P1207" s="1"/>
      <c r="Q1207" s="1"/>
      <c r="R1207" s="1"/>
      <c r="S1207" s="1"/>
    </row>
    <row r="1208" ht="14.25" customHeight="1">
      <c r="A1208" s="1"/>
      <c r="B1208" s="3079" t="s">
        <v>1486</v>
      </c>
      <c r="C1208" s="3080">
        <v>40983.0</v>
      </c>
      <c r="D1208" s="1838"/>
      <c r="E1208" s="1838"/>
      <c r="F1208" s="1"/>
      <c r="G1208" s="1"/>
      <c r="H1208" s="1"/>
      <c r="I1208" s="1"/>
      <c r="J1208" s="1"/>
      <c r="K1208" s="1"/>
      <c r="L1208" s="1"/>
      <c r="M1208" s="1"/>
      <c r="N1208" s="1"/>
      <c r="O1208" s="1"/>
      <c r="P1208" s="1"/>
      <c r="Q1208" s="1"/>
      <c r="R1208" s="1"/>
      <c r="S1208" s="1"/>
    </row>
    <row r="1209" ht="14.25" customHeight="1">
      <c r="A1209" s="1"/>
      <c r="B1209" s="1"/>
      <c r="C1209" s="107"/>
      <c r="D1209" s="184"/>
      <c r="E1209" s="184"/>
      <c r="F1209" s="1"/>
      <c r="G1209" s="1112"/>
      <c r="H1209" s="1"/>
      <c r="I1209" s="1"/>
      <c r="J1209" s="1"/>
      <c r="K1209" s="1"/>
      <c r="L1209" s="1"/>
      <c r="M1209" s="1"/>
      <c r="N1209" s="1"/>
      <c r="O1209" s="1"/>
      <c r="P1209" s="1"/>
      <c r="Q1209" s="1"/>
      <c r="R1209" s="1"/>
      <c r="S1209" s="1"/>
    </row>
    <row r="1210" ht="14.25" customHeight="1">
      <c r="A1210" s="1"/>
      <c r="B1210" s="505" t="s">
        <v>3530</v>
      </c>
      <c r="C1210" s="18"/>
      <c r="D1210" s="18"/>
      <c r="E1210" s="18"/>
      <c r="F1210" s="19"/>
      <c r="G1210" s="141"/>
      <c r="H1210" s="1"/>
      <c r="I1210" s="1"/>
      <c r="J1210" s="1"/>
      <c r="K1210" s="1"/>
      <c r="L1210" s="1"/>
      <c r="M1210" s="1"/>
      <c r="N1210" s="1"/>
      <c r="O1210" s="1"/>
      <c r="P1210" s="1"/>
      <c r="Q1210" s="1"/>
      <c r="R1210" s="1"/>
      <c r="S1210" s="1"/>
    </row>
    <row r="1211" ht="14.25" customHeight="1">
      <c r="A1211" s="1"/>
      <c r="B1211" s="3019" t="s">
        <v>1</v>
      </c>
      <c r="C1211" s="444">
        <v>100.0</v>
      </c>
      <c r="D1211" s="2651">
        <v>28.0</v>
      </c>
      <c r="E1211" s="2220"/>
      <c r="F1211" s="329" t="s">
        <v>190</v>
      </c>
      <c r="G1211" s="141"/>
      <c r="H1211" s="1"/>
      <c r="I1211" s="1"/>
      <c r="J1211" s="1"/>
      <c r="K1211" s="1"/>
      <c r="L1211" s="1"/>
      <c r="M1211" s="1"/>
      <c r="N1211" s="1"/>
      <c r="O1211" s="1"/>
      <c r="P1211" s="1"/>
      <c r="Q1211" s="1"/>
      <c r="R1211" s="1"/>
      <c r="S1211" s="1"/>
    </row>
    <row r="1212" ht="14.25" customHeight="1">
      <c r="A1212" s="1"/>
      <c r="B1212" s="345" t="s">
        <v>91</v>
      </c>
      <c r="C1212" s="13">
        <v>2.0</v>
      </c>
      <c r="D1212" s="164">
        <f t="shared" ref="D1212:D1216" si="91">(C1212*D1211)/C1211</f>
        <v>0.56</v>
      </c>
      <c r="E1212" s="1731"/>
      <c r="F1212" s="348" t="s">
        <v>3531</v>
      </c>
      <c r="G1212" s="140" t="s">
        <v>3532</v>
      </c>
      <c r="H1212" s="1"/>
      <c r="I1212" s="1"/>
      <c r="J1212" s="1"/>
      <c r="K1212" s="1"/>
      <c r="L1212" s="1"/>
      <c r="M1212" s="1"/>
      <c r="N1212" s="1"/>
      <c r="O1212" s="1"/>
      <c r="P1212" s="1"/>
      <c r="Q1212" s="1"/>
      <c r="R1212" s="1"/>
      <c r="S1212" s="1"/>
    </row>
    <row r="1213" ht="14.25" customHeight="1">
      <c r="A1213" s="1"/>
      <c r="B1213" s="350" t="s">
        <v>3533</v>
      </c>
      <c r="C1213" s="33">
        <v>3.0</v>
      </c>
      <c r="D1213" s="201">
        <f t="shared" si="91"/>
        <v>0.84</v>
      </c>
      <c r="E1213" s="1735"/>
      <c r="F1213" s="352" t="s">
        <v>2999</v>
      </c>
      <c r="H1213" s="1"/>
      <c r="I1213" s="1"/>
      <c r="J1213" s="1"/>
      <c r="K1213" s="1"/>
      <c r="L1213" s="1"/>
      <c r="M1213" s="1"/>
      <c r="N1213" s="1"/>
      <c r="O1213" s="1"/>
      <c r="P1213" s="1"/>
      <c r="Q1213" s="1"/>
      <c r="R1213" s="1"/>
      <c r="S1213" s="1"/>
    </row>
    <row r="1214" ht="14.25" customHeight="1">
      <c r="A1214" s="1"/>
      <c r="B1214" s="350" t="s">
        <v>103</v>
      </c>
      <c r="C1214" s="33">
        <v>100.0</v>
      </c>
      <c r="D1214" s="201">
        <f t="shared" si="91"/>
        <v>28</v>
      </c>
      <c r="E1214" s="1735"/>
      <c r="F1214" s="352" t="s">
        <v>18</v>
      </c>
      <c r="H1214" s="1"/>
      <c r="I1214" s="1"/>
      <c r="J1214" s="1"/>
      <c r="K1214" s="1"/>
      <c r="L1214" s="1"/>
      <c r="M1214" s="1"/>
      <c r="N1214" s="1"/>
      <c r="O1214" s="1"/>
      <c r="P1214" s="1"/>
      <c r="Q1214" s="1"/>
      <c r="R1214" s="1"/>
      <c r="S1214" s="1"/>
    </row>
    <row r="1215" ht="14.25" customHeight="1">
      <c r="A1215" s="1"/>
      <c r="B1215" s="177" t="s">
        <v>3534</v>
      </c>
      <c r="C1215" s="27">
        <v>3.0</v>
      </c>
      <c r="D1215" s="201">
        <f t="shared" si="91"/>
        <v>0.84</v>
      </c>
      <c r="E1215" s="1735"/>
      <c r="F1215" s="204" t="s">
        <v>2999</v>
      </c>
      <c r="H1215" s="1"/>
      <c r="I1215" s="1"/>
      <c r="J1215" s="1"/>
      <c r="K1215" s="1"/>
      <c r="L1215" s="1"/>
      <c r="M1215" s="1"/>
      <c r="N1215" s="1"/>
      <c r="O1215" s="1"/>
      <c r="P1215" s="1"/>
      <c r="Q1215" s="1"/>
      <c r="R1215" s="1"/>
      <c r="S1215" s="1"/>
    </row>
    <row r="1216" ht="14.25" customHeight="1">
      <c r="A1216" s="1"/>
      <c r="B1216" s="350" t="s">
        <v>3535</v>
      </c>
      <c r="C1216" s="33">
        <v>2.0</v>
      </c>
      <c r="D1216" s="201">
        <f t="shared" si="91"/>
        <v>0.56</v>
      </c>
      <c r="E1216" s="1735"/>
      <c r="F1216" s="352" t="s">
        <v>2999</v>
      </c>
      <c r="H1216" s="1"/>
      <c r="I1216" s="1"/>
      <c r="J1216" s="1"/>
      <c r="K1216" s="1"/>
      <c r="L1216" s="1"/>
      <c r="M1216" s="1"/>
      <c r="N1216" s="1"/>
      <c r="O1216" s="1"/>
      <c r="P1216" s="1"/>
      <c r="Q1216" s="1"/>
      <c r="R1216" s="1"/>
      <c r="S1216" s="1"/>
    </row>
    <row r="1217" ht="14.25" customHeight="1">
      <c r="A1217" s="1"/>
      <c r="B1217" s="606" t="s">
        <v>3536</v>
      </c>
      <c r="C1217" s="454">
        <v>400.0</v>
      </c>
      <c r="D1217" s="257">
        <f t="shared" ref="D1217:D1218" si="92">(C1217*D1215)/C1215</f>
        <v>112</v>
      </c>
      <c r="E1217" s="1738"/>
      <c r="F1217" s="1475" t="s">
        <v>156</v>
      </c>
      <c r="G1217" s="104"/>
      <c r="H1217" s="1"/>
      <c r="I1217" s="1"/>
      <c r="J1217" s="1"/>
      <c r="K1217" s="1"/>
      <c r="L1217" s="1"/>
      <c r="M1217" s="1"/>
      <c r="N1217" s="1"/>
      <c r="O1217" s="1"/>
      <c r="P1217" s="1"/>
      <c r="Q1217" s="1"/>
      <c r="R1217" s="1"/>
      <c r="S1217" s="1"/>
    </row>
    <row r="1218" ht="14.25" customHeight="1">
      <c r="A1218" s="1"/>
      <c r="B1218" s="1746" t="s">
        <v>39</v>
      </c>
      <c r="C1218" s="1758">
        <v>200.0</v>
      </c>
      <c r="D1218" s="253">
        <f t="shared" si="92"/>
        <v>56</v>
      </c>
      <c r="E1218" s="1760"/>
      <c r="F1218" s="1762" t="s">
        <v>156</v>
      </c>
      <c r="G1218" s="141"/>
      <c r="H1218" s="1"/>
      <c r="I1218" s="1"/>
      <c r="J1218" s="1"/>
      <c r="K1218" s="1"/>
      <c r="L1218" s="1"/>
      <c r="M1218" s="1"/>
      <c r="N1218" s="1"/>
      <c r="O1218" s="1"/>
      <c r="P1218" s="1"/>
      <c r="Q1218" s="1"/>
      <c r="R1218" s="1"/>
      <c r="S1218" s="1"/>
    </row>
    <row r="1219" ht="14.25" customHeight="1">
      <c r="A1219" s="1"/>
      <c r="B1219" s="345" t="s">
        <v>3537</v>
      </c>
      <c r="C1219" s="13">
        <v>28.0</v>
      </c>
      <c r="D1219" s="164">
        <f t="shared" ref="D1219:D1228" si="93">(C1219*D1218)/C1218</f>
        <v>7.84</v>
      </c>
      <c r="E1219" s="1731"/>
      <c r="F1219" s="348" t="s">
        <v>2999</v>
      </c>
      <c r="G1219" s="140" t="s">
        <v>3538</v>
      </c>
      <c r="H1219" s="1"/>
      <c r="I1219" s="1"/>
      <c r="J1219" s="1"/>
      <c r="K1219" s="1"/>
      <c r="L1219" s="1"/>
      <c r="M1219" s="1"/>
      <c r="N1219" s="1"/>
      <c r="O1219" s="1"/>
      <c r="P1219" s="1"/>
      <c r="Q1219" s="1"/>
      <c r="R1219" s="1"/>
      <c r="S1219" s="1"/>
    </row>
    <row r="1220" ht="14.25" customHeight="1">
      <c r="A1220" s="1"/>
      <c r="B1220" s="350" t="s">
        <v>3539</v>
      </c>
      <c r="C1220" s="33">
        <v>1400.0</v>
      </c>
      <c r="D1220" s="201">
        <f t="shared" si="93"/>
        <v>392</v>
      </c>
      <c r="E1220" s="1735"/>
      <c r="F1220" s="352" t="s">
        <v>156</v>
      </c>
      <c r="H1220" s="1"/>
      <c r="I1220" s="1"/>
      <c r="J1220" s="1"/>
      <c r="K1220" s="1"/>
      <c r="L1220" s="1"/>
      <c r="M1220" s="1"/>
      <c r="N1220" s="1"/>
      <c r="O1220" s="1"/>
      <c r="P1220" s="1"/>
      <c r="Q1220" s="1"/>
      <c r="R1220" s="1"/>
      <c r="S1220" s="1"/>
    </row>
    <row r="1221" ht="14.25" customHeight="1">
      <c r="A1221" s="1"/>
      <c r="B1221" s="350" t="s">
        <v>1091</v>
      </c>
      <c r="C1221" s="33">
        <v>100.0</v>
      </c>
      <c r="D1221" s="201">
        <f t="shared" si="93"/>
        <v>28</v>
      </c>
      <c r="E1221" s="1735"/>
      <c r="F1221" s="352" t="s">
        <v>18</v>
      </c>
      <c r="H1221" s="1"/>
      <c r="I1221" s="1"/>
      <c r="J1221" s="1"/>
      <c r="K1221" s="1"/>
      <c r="L1221" s="1"/>
      <c r="M1221" s="1"/>
      <c r="N1221" s="1"/>
      <c r="O1221" s="1"/>
      <c r="P1221" s="1"/>
      <c r="Q1221" s="1"/>
      <c r="R1221" s="1"/>
      <c r="S1221" s="1"/>
    </row>
    <row r="1222" ht="14.25" customHeight="1">
      <c r="A1222" s="1"/>
      <c r="B1222" s="350" t="s">
        <v>124</v>
      </c>
      <c r="C1222" s="33">
        <v>250.0</v>
      </c>
      <c r="D1222" s="201">
        <f t="shared" si="93"/>
        <v>70</v>
      </c>
      <c r="E1222" s="1735"/>
      <c r="F1222" s="352" t="s">
        <v>18</v>
      </c>
      <c r="H1222" s="1"/>
      <c r="I1222" s="1"/>
      <c r="J1222" s="1"/>
      <c r="K1222" s="1"/>
      <c r="L1222" s="1"/>
      <c r="M1222" s="1"/>
      <c r="N1222" s="1"/>
      <c r="O1222" s="1"/>
      <c r="P1222" s="1"/>
      <c r="Q1222" s="1"/>
      <c r="R1222" s="1"/>
      <c r="S1222" s="1"/>
    </row>
    <row r="1223" ht="14.25" customHeight="1">
      <c r="A1223" s="1"/>
      <c r="B1223" s="606" t="s">
        <v>31</v>
      </c>
      <c r="C1223" s="454">
        <v>750.0</v>
      </c>
      <c r="D1223" s="257">
        <f t="shared" si="93"/>
        <v>210</v>
      </c>
      <c r="E1223" s="1738"/>
      <c r="F1223" s="1475" t="s">
        <v>18</v>
      </c>
      <c r="G1223" s="104"/>
      <c r="H1223" s="1"/>
      <c r="I1223" s="1"/>
      <c r="J1223" s="1"/>
      <c r="K1223" s="1"/>
      <c r="L1223" s="1"/>
      <c r="M1223" s="1"/>
      <c r="N1223" s="1"/>
      <c r="O1223" s="1"/>
      <c r="P1223" s="1"/>
      <c r="Q1223" s="1"/>
      <c r="R1223" s="1"/>
      <c r="S1223" s="1"/>
    </row>
    <row r="1224" ht="14.25" customHeight="1">
      <c r="A1224" s="1"/>
      <c r="B1224" s="345" t="s">
        <v>3540</v>
      </c>
      <c r="C1224" s="13">
        <v>62.0</v>
      </c>
      <c r="D1224" s="164">
        <f t="shared" si="93"/>
        <v>17.36</v>
      </c>
      <c r="E1224" s="1731"/>
      <c r="F1224" s="348" t="s">
        <v>2999</v>
      </c>
      <c r="G1224" s="140" t="s">
        <v>3541</v>
      </c>
      <c r="H1224" s="1"/>
      <c r="I1224" s="1"/>
      <c r="J1224" s="1"/>
      <c r="K1224" s="1"/>
      <c r="L1224" s="1"/>
      <c r="M1224" s="1"/>
      <c r="N1224" s="1"/>
      <c r="O1224" s="1"/>
      <c r="P1224" s="1"/>
      <c r="Q1224" s="1"/>
      <c r="R1224" s="1"/>
      <c r="S1224" s="1"/>
    </row>
    <row r="1225" ht="14.25" customHeight="1">
      <c r="A1225" s="1"/>
      <c r="B1225" s="350" t="s">
        <v>3542</v>
      </c>
      <c r="C1225" s="33">
        <v>6.0</v>
      </c>
      <c r="D1225" s="201">
        <f t="shared" si="93"/>
        <v>1.68</v>
      </c>
      <c r="E1225" s="1735"/>
      <c r="F1225" s="352" t="s">
        <v>2999</v>
      </c>
      <c r="H1225" s="1"/>
      <c r="I1225" s="1"/>
      <c r="J1225" s="1"/>
      <c r="K1225" s="1"/>
      <c r="L1225" s="1"/>
      <c r="M1225" s="1"/>
      <c r="N1225" s="1"/>
      <c r="O1225" s="1"/>
      <c r="P1225" s="1"/>
      <c r="Q1225" s="1"/>
      <c r="R1225" s="1"/>
      <c r="S1225" s="1"/>
    </row>
    <row r="1226" ht="14.25" customHeight="1">
      <c r="A1226" s="1"/>
      <c r="B1226" s="350" t="s">
        <v>3186</v>
      </c>
      <c r="C1226" s="33">
        <v>16.0</v>
      </c>
      <c r="D1226" s="201">
        <f t="shared" si="93"/>
        <v>4.48</v>
      </c>
      <c r="E1226" s="1735"/>
      <c r="F1226" s="352" t="s">
        <v>190</v>
      </c>
      <c r="H1226" s="1"/>
      <c r="I1226" s="1"/>
      <c r="J1226" s="1"/>
      <c r="K1226" s="1"/>
      <c r="L1226" s="1"/>
      <c r="M1226" s="1"/>
      <c r="N1226" s="1"/>
      <c r="O1226" s="1"/>
      <c r="P1226" s="1"/>
      <c r="Q1226" s="1"/>
      <c r="R1226" s="1"/>
      <c r="S1226" s="1"/>
    </row>
    <row r="1227" ht="14.25" customHeight="1">
      <c r="A1227" s="1"/>
      <c r="B1227" s="606" t="s">
        <v>1853</v>
      </c>
      <c r="C1227" s="454">
        <v>8.0</v>
      </c>
      <c r="D1227" s="257">
        <f t="shared" si="93"/>
        <v>2.24</v>
      </c>
      <c r="E1227" s="1738"/>
      <c r="F1227" s="1475" t="s">
        <v>2999</v>
      </c>
      <c r="G1227" s="104"/>
      <c r="H1227" s="1"/>
      <c r="I1227" s="1"/>
      <c r="J1227" s="1"/>
      <c r="K1227" s="1"/>
      <c r="L1227" s="1"/>
      <c r="M1227" s="1"/>
      <c r="N1227" s="1"/>
      <c r="O1227" s="1"/>
      <c r="P1227" s="1"/>
      <c r="Q1227" s="1"/>
      <c r="R1227" s="1"/>
      <c r="S1227" s="1"/>
    </row>
    <row r="1228" ht="14.25" customHeight="1">
      <c r="A1228" s="1"/>
      <c r="B1228" s="1806" t="s">
        <v>114</v>
      </c>
      <c r="C1228" s="461">
        <v>5.0</v>
      </c>
      <c r="D1228" s="1362">
        <f t="shared" si="93"/>
        <v>1.4</v>
      </c>
      <c r="E1228" s="2186"/>
      <c r="F1228" s="1810" t="s">
        <v>190</v>
      </c>
      <c r="G1228" s="3081" t="s">
        <v>3543</v>
      </c>
      <c r="H1228" s="1"/>
      <c r="I1228" s="1"/>
      <c r="J1228" s="1"/>
      <c r="K1228" s="1"/>
      <c r="L1228" s="1"/>
      <c r="M1228" s="1"/>
      <c r="N1228" s="1"/>
      <c r="O1228" s="1"/>
      <c r="P1228" s="1"/>
      <c r="Q1228" s="1"/>
      <c r="R1228" s="1"/>
      <c r="S1228" s="1"/>
    </row>
    <row r="1229" ht="14.25" customHeight="1">
      <c r="A1229" s="1"/>
      <c r="B1229" s="2275" t="s">
        <v>119</v>
      </c>
      <c r="C1229" s="1446" t="s">
        <v>47</v>
      </c>
      <c r="D1229" s="184"/>
      <c r="E1229" s="184"/>
      <c r="F1229" s="1"/>
      <c r="G1229" s="1"/>
      <c r="H1229" s="1"/>
      <c r="I1229" s="1"/>
      <c r="J1229" s="1"/>
      <c r="K1229" s="1"/>
      <c r="L1229" s="1"/>
      <c r="M1229" s="1"/>
      <c r="N1229" s="1"/>
      <c r="O1229" s="1"/>
      <c r="P1229" s="1"/>
      <c r="Q1229" s="1"/>
      <c r="R1229" s="1"/>
      <c r="S1229" s="1"/>
    </row>
    <row r="1230" ht="14.25" customHeight="1">
      <c r="A1230" s="1"/>
      <c r="B1230" s="90" t="s">
        <v>120</v>
      </c>
      <c r="C1230" s="1188">
        <v>41837.0</v>
      </c>
      <c r="D1230" s="184"/>
      <c r="E1230" s="184"/>
      <c r="F1230" s="1"/>
      <c r="G1230" s="1"/>
      <c r="H1230" s="1"/>
      <c r="I1230" s="1"/>
      <c r="J1230" s="1"/>
      <c r="K1230" s="1"/>
      <c r="L1230" s="1"/>
      <c r="M1230" s="1"/>
      <c r="N1230" s="1"/>
      <c r="O1230" s="1"/>
      <c r="P1230" s="1"/>
      <c r="Q1230" s="1"/>
      <c r="R1230" s="1"/>
      <c r="S1230" s="1"/>
    </row>
    <row r="1231" ht="14.25" customHeight="1">
      <c r="A1231" s="1"/>
      <c r="B1231" s="305" t="s">
        <v>50</v>
      </c>
      <c r="C1231" s="1188">
        <v>42017.0</v>
      </c>
      <c r="D1231" s="184"/>
      <c r="E1231" s="184"/>
      <c r="F1231" s="1"/>
      <c r="G1231" s="1"/>
      <c r="H1231" s="1"/>
      <c r="I1231" s="1"/>
      <c r="J1231" s="1"/>
      <c r="K1231" s="1"/>
      <c r="L1231" s="1"/>
      <c r="M1231" s="1"/>
      <c r="N1231" s="1"/>
      <c r="O1231" s="1"/>
      <c r="P1231" s="1"/>
      <c r="Q1231" s="1"/>
      <c r="R1231" s="1"/>
      <c r="S1231" s="1"/>
    </row>
    <row r="1232" ht="14.25" customHeight="1">
      <c r="A1232" s="1"/>
      <c r="B1232" s="1"/>
      <c r="C1232" s="107"/>
      <c r="D1232" s="184"/>
      <c r="E1232" s="184"/>
      <c r="F1232" s="1"/>
      <c r="G1232" s="1112"/>
      <c r="H1232" s="1"/>
      <c r="I1232" s="1"/>
      <c r="J1232" s="1"/>
      <c r="K1232" s="1"/>
      <c r="L1232" s="1"/>
      <c r="M1232" s="1"/>
      <c r="N1232" s="1"/>
      <c r="O1232" s="1"/>
      <c r="P1232" s="1"/>
      <c r="Q1232" s="1"/>
      <c r="R1232" s="1"/>
      <c r="S1232" s="1"/>
    </row>
    <row r="1233" ht="14.25" customHeight="1">
      <c r="A1233" s="1"/>
      <c r="B1233" s="505" t="s">
        <v>1106</v>
      </c>
      <c r="C1233" s="18"/>
      <c r="D1233" s="18"/>
      <c r="E1233" s="18"/>
      <c r="F1233" s="19"/>
      <c r="G1233" s="141"/>
      <c r="H1233" s="1"/>
      <c r="I1233" s="1"/>
      <c r="J1233" s="1"/>
      <c r="K1233" s="1"/>
      <c r="L1233" s="1"/>
      <c r="M1233" s="1"/>
      <c r="N1233" s="1"/>
      <c r="O1233" s="1"/>
      <c r="P1233" s="1"/>
      <c r="Q1233" s="1"/>
      <c r="R1233" s="1"/>
      <c r="S1233" s="1"/>
    </row>
    <row r="1234" ht="14.25" customHeight="1">
      <c r="A1234" s="1"/>
      <c r="B1234" s="3082" t="s">
        <v>1</v>
      </c>
      <c r="C1234" s="507">
        <v>100.0</v>
      </c>
      <c r="D1234" s="3083">
        <v>10.0</v>
      </c>
      <c r="E1234" s="3084"/>
      <c r="F1234" s="366" t="s">
        <v>190</v>
      </c>
      <c r="G1234" s="141"/>
      <c r="H1234" s="1"/>
      <c r="I1234" s="1"/>
      <c r="J1234" s="1"/>
      <c r="K1234" s="1"/>
      <c r="L1234" s="1"/>
      <c r="M1234" s="1"/>
      <c r="N1234" s="1"/>
      <c r="O1234" s="1"/>
      <c r="P1234" s="1"/>
      <c r="Q1234" s="1"/>
      <c r="R1234" s="1"/>
      <c r="S1234" s="1"/>
    </row>
    <row r="1235" ht="14.25" customHeight="1">
      <c r="A1235" s="1"/>
      <c r="B1235" s="345" t="s">
        <v>91</v>
      </c>
      <c r="C1235" s="13">
        <v>4.0</v>
      </c>
      <c r="D1235" s="164">
        <f t="shared" ref="D1235:D1247" si="94">(C1235*D1234)/C1234</f>
        <v>0.4</v>
      </c>
      <c r="E1235" s="1731"/>
      <c r="F1235" s="348" t="s">
        <v>190</v>
      </c>
      <c r="G1235" s="44" t="s">
        <v>3544</v>
      </c>
      <c r="H1235" s="1"/>
      <c r="I1235" s="1"/>
      <c r="J1235" s="1"/>
      <c r="K1235" s="1"/>
      <c r="L1235" s="1"/>
      <c r="M1235" s="1"/>
      <c r="N1235" s="1"/>
      <c r="O1235" s="1"/>
      <c r="P1235" s="1"/>
      <c r="Q1235" s="1"/>
      <c r="R1235" s="1"/>
      <c r="S1235" s="1"/>
    </row>
    <row r="1236" ht="14.25" customHeight="1">
      <c r="A1236" s="1"/>
      <c r="B1236" s="350" t="s">
        <v>1751</v>
      </c>
      <c r="C1236" s="33">
        <v>100.0</v>
      </c>
      <c r="D1236" s="201">
        <f t="shared" si="94"/>
        <v>10</v>
      </c>
      <c r="E1236" s="1735"/>
      <c r="F1236" s="352" t="s">
        <v>18</v>
      </c>
      <c r="G1236" s="47"/>
      <c r="H1236" s="1"/>
      <c r="I1236" s="1"/>
      <c r="J1236" s="1"/>
      <c r="K1236" s="1"/>
      <c r="L1236" s="1"/>
      <c r="M1236" s="1"/>
      <c r="N1236" s="1"/>
      <c r="O1236" s="1"/>
      <c r="P1236" s="1"/>
      <c r="Q1236" s="1"/>
      <c r="R1236" s="1"/>
      <c r="S1236" s="1"/>
    </row>
    <row r="1237" ht="14.25" customHeight="1">
      <c r="A1237" s="1"/>
      <c r="B1237" s="350" t="s">
        <v>103</v>
      </c>
      <c r="C1237" s="33">
        <v>150.0</v>
      </c>
      <c r="D1237" s="201">
        <f t="shared" si="94"/>
        <v>15</v>
      </c>
      <c r="E1237" s="1735"/>
      <c r="F1237" s="352" t="s">
        <v>18</v>
      </c>
      <c r="G1237" s="47"/>
      <c r="H1237" s="1"/>
      <c r="I1237" s="1"/>
      <c r="J1237" s="1"/>
      <c r="K1237" s="1"/>
      <c r="L1237" s="1"/>
      <c r="M1237" s="1"/>
      <c r="N1237" s="1"/>
      <c r="O1237" s="1"/>
      <c r="P1237" s="1"/>
      <c r="Q1237" s="1"/>
      <c r="R1237" s="1"/>
      <c r="S1237" s="1"/>
    </row>
    <row r="1238" ht="14.25" customHeight="1">
      <c r="A1238" s="1"/>
      <c r="B1238" s="350" t="s">
        <v>192</v>
      </c>
      <c r="C1238" s="33">
        <v>250.0</v>
      </c>
      <c r="D1238" s="201">
        <f t="shared" si="94"/>
        <v>25</v>
      </c>
      <c r="E1238" s="1735"/>
      <c r="F1238" s="352" t="s">
        <v>18</v>
      </c>
      <c r="G1238" s="47"/>
      <c r="H1238" s="1"/>
      <c r="I1238" s="1"/>
      <c r="J1238" s="1"/>
      <c r="K1238" s="1"/>
      <c r="L1238" s="1"/>
      <c r="M1238" s="1"/>
      <c r="N1238" s="1"/>
      <c r="O1238" s="1"/>
      <c r="P1238" s="1"/>
      <c r="Q1238" s="1"/>
      <c r="R1238" s="1"/>
      <c r="S1238" s="1"/>
    </row>
    <row r="1239" ht="14.25" customHeight="1">
      <c r="A1239" s="1"/>
      <c r="B1239" s="350" t="s">
        <v>1987</v>
      </c>
      <c r="C1239" s="33">
        <v>500.0</v>
      </c>
      <c r="D1239" s="201">
        <f t="shared" si="94"/>
        <v>50</v>
      </c>
      <c r="E1239" s="1735"/>
      <c r="F1239" s="352" t="s">
        <v>18</v>
      </c>
      <c r="G1239" s="47"/>
      <c r="H1239" s="1"/>
      <c r="I1239" s="1"/>
      <c r="J1239" s="1"/>
      <c r="K1239" s="1"/>
      <c r="L1239" s="1"/>
      <c r="M1239" s="1"/>
      <c r="N1239" s="1"/>
      <c r="O1239" s="1"/>
      <c r="P1239" s="1"/>
      <c r="Q1239" s="1"/>
      <c r="R1239" s="1"/>
      <c r="S1239" s="1"/>
    </row>
    <row r="1240" ht="14.25" customHeight="1">
      <c r="A1240" s="1"/>
      <c r="B1240" s="177" t="s">
        <v>3545</v>
      </c>
      <c r="C1240" s="27">
        <v>5.0</v>
      </c>
      <c r="D1240" s="201">
        <f t="shared" si="94"/>
        <v>0.5</v>
      </c>
      <c r="E1240" s="1735"/>
      <c r="F1240" s="204" t="s">
        <v>2999</v>
      </c>
      <c r="G1240" s="47"/>
      <c r="H1240" s="1"/>
      <c r="I1240" s="1"/>
      <c r="J1240" s="1"/>
      <c r="K1240" s="1"/>
      <c r="L1240" s="1"/>
      <c r="M1240" s="1"/>
      <c r="N1240" s="1"/>
      <c r="O1240" s="1"/>
      <c r="P1240" s="1"/>
      <c r="Q1240" s="1"/>
      <c r="R1240" s="1"/>
      <c r="S1240" s="1"/>
    </row>
    <row r="1241" ht="14.25" customHeight="1">
      <c r="A1241" s="1"/>
      <c r="B1241" s="350" t="s">
        <v>2405</v>
      </c>
      <c r="C1241" s="33">
        <v>5.0</v>
      </c>
      <c r="D1241" s="201">
        <f t="shared" si="94"/>
        <v>0.5</v>
      </c>
      <c r="E1241" s="1735"/>
      <c r="F1241" s="352" t="s">
        <v>2999</v>
      </c>
      <c r="G1241" s="47"/>
      <c r="H1241" s="1"/>
      <c r="I1241" s="1"/>
      <c r="J1241" s="1"/>
      <c r="K1241" s="1"/>
      <c r="L1241" s="1"/>
      <c r="M1241" s="1"/>
      <c r="N1241" s="1"/>
      <c r="O1241" s="1"/>
      <c r="P1241" s="1"/>
      <c r="Q1241" s="1"/>
      <c r="R1241" s="1"/>
      <c r="S1241" s="1"/>
    </row>
    <row r="1242" ht="14.25" customHeight="1">
      <c r="A1242" s="1"/>
      <c r="B1242" s="350" t="s">
        <v>3536</v>
      </c>
      <c r="C1242" s="33">
        <v>600.0</v>
      </c>
      <c r="D1242" s="201">
        <f t="shared" si="94"/>
        <v>60</v>
      </c>
      <c r="E1242" s="1735"/>
      <c r="F1242" s="352" t="s">
        <v>156</v>
      </c>
      <c r="G1242" s="47"/>
      <c r="H1242" s="1"/>
      <c r="I1242" s="1"/>
      <c r="J1242" s="1"/>
      <c r="K1242" s="1"/>
      <c r="L1242" s="1"/>
      <c r="M1242" s="1"/>
      <c r="N1242" s="1"/>
      <c r="O1242" s="1"/>
      <c r="P1242" s="1"/>
      <c r="Q1242" s="1"/>
      <c r="R1242" s="1"/>
      <c r="S1242" s="1"/>
    </row>
    <row r="1243" ht="14.25" customHeight="1">
      <c r="A1243" s="1"/>
      <c r="B1243" s="354" t="s">
        <v>850</v>
      </c>
      <c r="C1243" s="1821">
        <v>10.0</v>
      </c>
      <c r="D1243" s="265">
        <f t="shared" si="94"/>
        <v>1</v>
      </c>
      <c r="E1243" s="2164"/>
      <c r="F1243" s="356" t="s">
        <v>2999</v>
      </c>
      <c r="G1243" s="76"/>
      <c r="H1243" s="1"/>
      <c r="I1243" s="1"/>
      <c r="J1243" s="1"/>
      <c r="K1243" s="1"/>
      <c r="L1243" s="1"/>
      <c r="M1243" s="1"/>
      <c r="N1243" s="1"/>
      <c r="O1243" s="1"/>
      <c r="P1243" s="1"/>
      <c r="Q1243" s="1"/>
      <c r="R1243" s="1"/>
      <c r="S1243" s="1"/>
    </row>
    <row r="1244" ht="14.25" customHeight="1">
      <c r="A1244" s="1"/>
      <c r="B1244" s="345" t="s">
        <v>3539</v>
      </c>
      <c r="C1244" s="13">
        <v>1000.0</v>
      </c>
      <c r="D1244" s="164">
        <f t="shared" si="94"/>
        <v>100</v>
      </c>
      <c r="E1244" s="1731"/>
      <c r="F1244" s="348" t="s">
        <v>156</v>
      </c>
      <c r="G1244" s="44" t="s">
        <v>1814</v>
      </c>
      <c r="H1244" s="1"/>
      <c r="I1244" s="1"/>
      <c r="J1244" s="1"/>
      <c r="K1244" s="1"/>
      <c r="L1244" s="1"/>
      <c r="M1244" s="1"/>
      <c r="N1244" s="1"/>
      <c r="O1244" s="1"/>
      <c r="P1244" s="1"/>
      <c r="Q1244" s="1"/>
      <c r="R1244" s="1"/>
      <c r="S1244" s="1"/>
    </row>
    <row r="1245" ht="14.25" customHeight="1">
      <c r="A1245" s="1"/>
      <c r="B1245" s="354" t="s">
        <v>1091</v>
      </c>
      <c r="C1245" s="1821">
        <v>100.0</v>
      </c>
      <c r="D1245" s="158">
        <f t="shared" si="94"/>
        <v>10</v>
      </c>
      <c r="E1245" s="1760"/>
      <c r="F1245" s="356" t="s">
        <v>18</v>
      </c>
      <c r="G1245" s="47"/>
      <c r="H1245" s="1"/>
      <c r="I1245" s="1"/>
      <c r="J1245" s="1"/>
      <c r="K1245" s="1"/>
      <c r="L1245" s="1"/>
      <c r="M1245" s="1"/>
      <c r="N1245" s="1"/>
      <c r="O1245" s="1"/>
      <c r="P1245" s="1"/>
      <c r="Q1245" s="1"/>
      <c r="R1245" s="1"/>
      <c r="S1245" s="1"/>
    </row>
    <row r="1246" ht="14.25" customHeight="1">
      <c r="A1246" s="1"/>
      <c r="B1246" s="354" t="s">
        <v>124</v>
      </c>
      <c r="C1246" s="1821">
        <v>500.0</v>
      </c>
      <c r="D1246" s="158">
        <f t="shared" si="94"/>
        <v>50</v>
      </c>
      <c r="E1246" s="1760"/>
      <c r="F1246" s="356" t="s">
        <v>18</v>
      </c>
      <c r="G1246" s="47"/>
      <c r="H1246" s="1"/>
      <c r="I1246" s="1"/>
      <c r="J1246" s="1"/>
      <c r="K1246" s="1"/>
      <c r="L1246" s="1"/>
      <c r="M1246" s="1"/>
      <c r="N1246" s="1"/>
      <c r="O1246" s="1"/>
      <c r="P1246" s="1"/>
      <c r="Q1246" s="1"/>
      <c r="R1246" s="1"/>
      <c r="S1246" s="1"/>
    </row>
    <row r="1247" ht="14.25" customHeight="1">
      <c r="A1247" s="1"/>
      <c r="B1247" s="606" t="s">
        <v>31</v>
      </c>
      <c r="C1247" s="454">
        <v>1000.0</v>
      </c>
      <c r="D1247" s="1362">
        <f t="shared" si="94"/>
        <v>100</v>
      </c>
      <c r="E1247" s="2186"/>
      <c r="F1247" s="1475" t="s">
        <v>18</v>
      </c>
      <c r="G1247" s="76"/>
      <c r="H1247" s="1"/>
      <c r="I1247" s="1"/>
      <c r="J1247" s="1"/>
      <c r="K1247" s="1"/>
      <c r="L1247" s="1"/>
      <c r="M1247" s="1"/>
      <c r="N1247" s="1"/>
      <c r="O1247" s="1"/>
      <c r="P1247" s="1"/>
      <c r="Q1247" s="1"/>
      <c r="R1247" s="1"/>
      <c r="S1247" s="1"/>
    </row>
    <row r="1248" ht="14.25" customHeight="1">
      <c r="A1248" s="1"/>
      <c r="B1248" s="1806" t="s">
        <v>3546</v>
      </c>
      <c r="C1248" s="461">
        <v>20.0</v>
      </c>
      <c r="D1248" s="1362">
        <f>(C1248*D1249)/C1249</f>
        <v>2</v>
      </c>
      <c r="E1248" s="2186"/>
      <c r="F1248" s="1810" t="s">
        <v>2999</v>
      </c>
      <c r="G1248" s="1186"/>
      <c r="H1248" s="1"/>
      <c r="I1248" s="1"/>
      <c r="J1248" s="1"/>
      <c r="K1248" s="1"/>
      <c r="L1248" s="1"/>
      <c r="M1248" s="1"/>
      <c r="N1248" s="1"/>
      <c r="O1248" s="1"/>
      <c r="P1248" s="1"/>
      <c r="Q1248" s="1"/>
      <c r="R1248" s="1"/>
      <c r="S1248" s="1"/>
    </row>
    <row r="1249" ht="14.25" customHeight="1">
      <c r="A1249" s="1"/>
      <c r="B1249" s="345" t="s">
        <v>3547</v>
      </c>
      <c r="C1249" s="13">
        <v>15.0</v>
      </c>
      <c r="D1249" s="164">
        <f>(C1249*D1247)/C1247</f>
        <v>1.5</v>
      </c>
      <c r="E1249" s="1731"/>
      <c r="F1249" s="348" t="s">
        <v>2999</v>
      </c>
      <c r="G1249" s="44" t="s">
        <v>3548</v>
      </c>
      <c r="H1249" s="1"/>
      <c r="I1249" s="1"/>
      <c r="J1249" s="1"/>
      <c r="K1249" s="1"/>
      <c r="L1249" s="1"/>
      <c r="M1249" s="1"/>
      <c r="N1249" s="1"/>
      <c r="O1249" s="1"/>
      <c r="P1249" s="1"/>
      <c r="Q1249" s="1"/>
      <c r="R1249" s="1"/>
      <c r="S1249" s="1"/>
    </row>
    <row r="1250" ht="14.25" customHeight="1">
      <c r="A1250" s="1"/>
      <c r="B1250" s="350" t="s">
        <v>3549</v>
      </c>
      <c r="C1250" s="33">
        <v>15.0</v>
      </c>
      <c r="D1250" s="201">
        <f t="shared" ref="D1250:D1251" si="95">(C1250*D1249)/C1249</f>
        <v>1.5</v>
      </c>
      <c r="E1250" s="1735"/>
      <c r="F1250" s="352" t="s">
        <v>2999</v>
      </c>
      <c r="G1250" s="47"/>
      <c r="H1250" s="1"/>
      <c r="I1250" s="1"/>
      <c r="J1250" s="1"/>
      <c r="K1250" s="1"/>
      <c r="L1250" s="1"/>
      <c r="M1250" s="1"/>
      <c r="N1250" s="1"/>
      <c r="O1250" s="1"/>
      <c r="P1250" s="1"/>
      <c r="Q1250" s="1"/>
      <c r="R1250" s="1"/>
      <c r="S1250" s="1"/>
    </row>
    <row r="1251" ht="14.25" customHeight="1">
      <c r="A1251" s="1"/>
      <c r="B1251" s="350" t="s">
        <v>3550</v>
      </c>
      <c r="C1251" s="33">
        <v>25.0</v>
      </c>
      <c r="D1251" s="201">
        <f t="shared" si="95"/>
        <v>2.5</v>
      </c>
      <c r="E1251" s="1735"/>
      <c r="F1251" s="352" t="s">
        <v>190</v>
      </c>
      <c r="G1251" s="47"/>
      <c r="H1251" s="1"/>
      <c r="I1251" s="1"/>
      <c r="J1251" s="1"/>
      <c r="K1251" s="1"/>
      <c r="L1251" s="1"/>
      <c r="M1251" s="1"/>
      <c r="N1251" s="1"/>
      <c r="O1251" s="1"/>
      <c r="P1251" s="1"/>
      <c r="Q1251" s="1"/>
      <c r="R1251" s="1"/>
      <c r="S1251" s="1"/>
    </row>
    <row r="1252" ht="14.25" customHeight="1">
      <c r="A1252" s="1"/>
      <c r="B1252" s="606" t="s">
        <v>3551</v>
      </c>
      <c r="C1252" s="454">
        <v>30.0</v>
      </c>
      <c r="D1252" s="257">
        <f>(C1252*D1247)/C1247</f>
        <v>3</v>
      </c>
      <c r="E1252" s="1738"/>
      <c r="F1252" s="1475" t="s">
        <v>2999</v>
      </c>
      <c r="G1252" s="47"/>
      <c r="H1252" s="1"/>
      <c r="I1252" s="1"/>
      <c r="J1252" s="1"/>
      <c r="K1252" s="1"/>
      <c r="L1252" s="1"/>
      <c r="M1252" s="1"/>
      <c r="N1252" s="1"/>
      <c r="O1252" s="1"/>
      <c r="P1252" s="1"/>
      <c r="Q1252" s="1"/>
      <c r="R1252" s="1"/>
      <c r="S1252" s="1"/>
    </row>
    <row r="1253" ht="14.25" customHeight="1">
      <c r="A1253" s="1"/>
      <c r="B1253" s="591" t="s">
        <v>1853</v>
      </c>
      <c r="C1253" s="3085">
        <v>4.0</v>
      </c>
      <c r="D1253" s="158">
        <f t="shared" ref="D1253:D1254" si="96">(C1253*D1249)/C1249</f>
        <v>0.4</v>
      </c>
      <c r="E1253" s="1998"/>
      <c r="F1253" s="1457" t="s">
        <v>2999</v>
      </c>
      <c r="G1253" s="47"/>
      <c r="H1253" s="1"/>
      <c r="I1253" s="1"/>
      <c r="J1253" s="1"/>
      <c r="K1253" s="1"/>
      <c r="L1253" s="1"/>
      <c r="M1253" s="1"/>
      <c r="N1253" s="1"/>
      <c r="O1253" s="1"/>
      <c r="P1253" s="1"/>
      <c r="Q1253" s="1"/>
      <c r="R1253" s="1"/>
      <c r="S1253" s="1"/>
    </row>
    <row r="1254" ht="14.25" customHeight="1">
      <c r="A1254" s="1"/>
      <c r="B1254" s="606" t="s">
        <v>3552</v>
      </c>
      <c r="C1254" s="454">
        <v>5.0</v>
      </c>
      <c r="D1254" s="257">
        <f t="shared" si="96"/>
        <v>0.5</v>
      </c>
      <c r="E1254" s="1738"/>
      <c r="F1254" s="1475" t="s">
        <v>190</v>
      </c>
      <c r="G1254" s="76"/>
      <c r="H1254" s="1"/>
      <c r="I1254" s="1"/>
      <c r="J1254" s="1"/>
      <c r="K1254" s="1"/>
      <c r="L1254" s="1"/>
      <c r="M1254" s="1"/>
      <c r="N1254" s="1"/>
      <c r="O1254" s="1"/>
      <c r="P1254" s="1"/>
      <c r="Q1254" s="1"/>
      <c r="R1254" s="1"/>
      <c r="S1254" s="1"/>
    </row>
    <row r="1255" ht="14.25" customHeight="1">
      <c r="A1255" s="1"/>
      <c r="B1255" s="1640" t="s">
        <v>119</v>
      </c>
      <c r="C1255" s="183" t="s">
        <v>47</v>
      </c>
      <c r="D1255" s="184"/>
      <c r="E1255" s="184"/>
      <c r="F1255" s="1"/>
      <c r="G1255" s="1"/>
      <c r="H1255" s="1"/>
      <c r="I1255" s="1"/>
      <c r="J1255" s="1"/>
      <c r="K1255" s="1"/>
      <c r="L1255" s="1"/>
      <c r="M1255" s="1"/>
      <c r="N1255" s="1"/>
      <c r="O1255" s="1"/>
      <c r="P1255" s="1"/>
      <c r="Q1255" s="1"/>
      <c r="R1255" s="1"/>
      <c r="S1255" s="1"/>
    </row>
    <row r="1256" ht="14.25" customHeight="1">
      <c r="A1256" s="1"/>
      <c r="B1256" s="90" t="s">
        <v>120</v>
      </c>
      <c r="C1256" s="1188">
        <v>41553.0</v>
      </c>
      <c r="D1256" s="184"/>
      <c r="E1256" s="184"/>
      <c r="F1256" s="1"/>
      <c r="G1256" s="1"/>
      <c r="H1256" s="1"/>
      <c r="I1256" s="1"/>
      <c r="J1256" s="1"/>
      <c r="K1256" s="1"/>
      <c r="L1256" s="1"/>
      <c r="M1256" s="1"/>
      <c r="N1256" s="1"/>
      <c r="O1256" s="1"/>
      <c r="P1256" s="1"/>
      <c r="Q1256" s="1"/>
      <c r="R1256" s="1"/>
      <c r="S1256" s="1"/>
    </row>
    <row r="1257" ht="14.25" customHeight="1">
      <c r="A1257" s="1"/>
      <c r="B1257" s="305" t="s">
        <v>50</v>
      </c>
      <c r="C1257" s="1188">
        <v>41811.0</v>
      </c>
      <c r="D1257" s="184"/>
      <c r="E1257" s="184"/>
      <c r="F1257" s="1"/>
      <c r="G1257" s="1"/>
      <c r="H1257" s="1"/>
      <c r="I1257" s="1"/>
      <c r="J1257" s="1"/>
      <c r="K1257" s="1"/>
      <c r="L1257" s="1"/>
      <c r="M1257" s="1"/>
      <c r="N1257" s="1"/>
      <c r="O1257" s="1"/>
      <c r="P1257" s="1"/>
      <c r="Q1257" s="1"/>
      <c r="R1257" s="1"/>
      <c r="S1257" s="1"/>
    </row>
    <row r="1258" ht="14.25" customHeight="1">
      <c r="A1258" s="1"/>
      <c r="B1258" s="1"/>
      <c r="C1258" s="107"/>
      <c r="D1258" s="184"/>
      <c r="E1258" s="184"/>
      <c r="F1258" s="1"/>
      <c r="G1258" s="1112"/>
      <c r="H1258" s="1"/>
      <c r="I1258" s="1"/>
      <c r="J1258" s="1"/>
      <c r="K1258" s="1"/>
      <c r="L1258" s="1"/>
      <c r="M1258" s="1"/>
      <c r="N1258" s="1"/>
      <c r="O1258" s="1"/>
      <c r="P1258" s="1"/>
      <c r="Q1258" s="1"/>
      <c r="R1258" s="1"/>
      <c r="S1258" s="1"/>
    </row>
    <row r="1259" ht="14.25" customHeight="1">
      <c r="A1259" s="1"/>
      <c r="B1259" s="511" t="s">
        <v>1110</v>
      </c>
      <c r="C1259" s="18"/>
      <c r="D1259" s="18"/>
      <c r="E1259" s="18"/>
      <c r="F1259" s="19"/>
      <c r="G1259" s="1"/>
      <c r="H1259" s="1"/>
      <c r="I1259" s="1"/>
      <c r="J1259" s="1"/>
      <c r="K1259" s="1"/>
      <c r="L1259" s="1"/>
      <c r="M1259" s="1"/>
      <c r="N1259" s="1"/>
      <c r="O1259" s="1"/>
      <c r="P1259" s="1"/>
      <c r="Q1259" s="1"/>
      <c r="R1259" s="1"/>
      <c r="S1259" s="1"/>
    </row>
    <row r="1260" ht="14.25" customHeight="1">
      <c r="A1260" s="1"/>
      <c r="B1260" s="68" t="s">
        <v>3477</v>
      </c>
      <c r="C1260" s="145">
        <v>8.0</v>
      </c>
      <c r="D1260" s="155">
        <v>60.0</v>
      </c>
      <c r="E1260" s="899"/>
      <c r="F1260" s="216" t="s">
        <v>14</v>
      </c>
      <c r="G1260" s="1"/>
      <c r="H1260" s="1"/>
      <c r="I1260" s="1"/>
      <c r="J1260" s="1"/>
      <c r="K1260" s="1"/>
      <c r="L1260" s="1"/>
      <c r="M1260" s="1"/>
      <c r="N1260" s="1"/>
      <c r="O1260" s="1"/>
      <c r="P1260" s="1"/>
      <c r="Q1260" s="1"/>
      <c r="R1260" s="1"/>
      <c r="S1260" s="1"/>
    </row>
    <row r="1261" ht="14.25" customHeight="1">
      <c r="A1261" s="1"/>
      <c r="B1261" s="105" t="s">
        <v>329</v>
      </c>
      <c r="C1261" s="200">
        <v>2.0</v>
      </c>
      <c r="D1261" s="56">
        <v>25.0</v>
      </c>
      <c r="E1261" s="1604"/>
      <c r="F1261" s="518" t="s">
        <v>14</v>
      </c>
      <c r="G1261" s="1"/>
      <c r="H1261" s="1"/>
      <c r="I1261" s="1"/>
      <c r="J1261" s="1"/>
      <c r="K1261" s="1"/>
      <c r="L1261" s="1"/>
      <c r="M1261" s="1"/>
      <c r="N1261" s="1"/>
      <c r="O1261" s="1"/>
      <c r="P1261" s="1"/>
      <c r="Q1261" s="1"/>
      <c r="R1261" s="1"/>
      <c r="S1261" s="1"/>
    </row>
    <row r="1262" ht="14.25" customHeight="1">
      <c r="A1262" s="1"/>
      <c r="B1262" s="2039" t="s">
        <v>1</v>
      </c>
      <c r="C1262" s="418">
        <f t="shared" ref="C1262:D1262" si="97">C1260*1.4 + C1261*2.4</f>
        <v>16</v>
      </c>
      <c r="D1262" s="542">
        <f t="shared" si="97"/>
        <v>144</v>
      </c>
      <c r="E1262" s="1614"/>
      <c r="F1262" s="543" t="s">
        <v>5</v>
      </c>
      <c r="G1262" s="270"/>
      <c r="H1262" s="1"/>
      <c r="I1262" s="1"/>
      <c r="J1262" s="1"/>
      <c r="K1262" s="1"/>
      <c r="L1262" s="1"/>
      <c r="M1262" s="1"/>
      <c r="N1262" s="1"/>
      <c r="O1262" s="1"/>
      <c r="P1262" s="1"/>
      <c r="Q1262" s="1"/>
      <c r="R1262" s="1"/>
      <c r="S1262" s="1"/>
    </row>
    <row r="1263" ht="14.25" customHeight="1">
      <c r="A1263" s="1"/>
      <c r="B1263" s="68" t="s">
        <v>91</v>
      </c>
      <c r="C1263" s="145">
        <v>0.375</v>
      </c>
      <c r="D1263" s="3030">
        <f t="shared" ref="D1263:D1266" si="98">(C1263*D1262)/C1262</f>
        <v>3.375</v>
      </c>
      <c r="E1263" s="3031"/>
      <c r="F1263" s="216" t="s">
        <v>5</v>
      </c>
      <c r="G1263" s="2544" t="s">
        <v>2861</v>
      </c>
      <c r="H1263" s="1"/>
      <c r="I1263" s="1"/>
      <c r="J1263" s="1"/>
      <c r="K1263" s="1"/>
      <c r="L1263" s="1"/>
      <c r="M1263" s="1"/>
      <c r="N1263" s="1"/>
      <c r="O1263" s="1"/>
      <c r="P1263" s="1"/>
      <c r="Q1263" s="1"/>
      <c r="R1263" s="1"/>
      <c r="S1263" s="1"/>
    </row>
    <row r="1264" ht="14.25" customHeight="1">
      <c r="A1264" s="1"/>
      <c r="B1264" s="93" t="s">
        <v>148</v>
      </c>
      <c r="C1264" s="195">
        <v>70.0</v>
      </c>
      <c r="D1264" s="1420">
        <f t="shared" si="98"/>
        <v>630</v>
      </c>
      <c r="E1264" s="1886"/>
      <c r="F1264" s="249" t="s">
        <v>18</v>
      </c>
      <c r="G1264" s="47"/>
      <c r="H1264" s="1"/>
      <c r="I1264" s="1"/>
      <c r="J1264" s="1"/>
      <c r="K1264" s="1"/>
      <c r="L1264" s="1"/>
      <c r="M1264" s="1"/>
      <c r="N1264" s="1"/>
      <c r="O1264" s="1"/>
      <c r="P1264" s="1"/>
      <c r="Q1264" s="1"/>
      <c r="R1264" s="1"/>
      <c r="S1264" s="1"/>
    </row>
    <row r="1265" ht="14.25" customHeight="1">
      <c r="A1265" s="1"/>
      <c r="B1265" s="93" t="s">
        <v>753</v>
      </c>
      <c r="C1265" s="195">
        <v>125.0</v>
      </c>
      <c r="D1265" s="2932">
        <f t="shared" si="98"/>
        <v>1125</v>
      </c>
      <c r="E1265" s="2933"/>
      <c r="F1265" s="249" t="s">
        <v>18</v>
      </c>
      <c r="G1265" s="47"/>
      <c r="H1265" s="1"/>
      <c r="I1265" s="1"/>
      <c r="J1265" s="1"/>
      <c r="K1265" s="1"/>
      <c r="L1265" s="1"/>
      <c r="M1265" s="1"/>
      <c r="N1265" s="1"/>
      <c r="O1265" s="1"/>
      <c r="P1265" s="1"/>
      <c r="Q1265" s="1"/>
      <c r="R1265" s="1"/>
      <c r="S1265" s="1"/>
    </row>
    <row r="1266" ht="14.25" customHeight="1">
      <c r="A1266" s="1"/>
      <c r="B1266" s="93" t="s">
        <v>52</v>
      </c>
      <c r="C1266" s="195">
        <v>10.0</v>
      </c>
      <c r="D1266" s="1420">
        <f t="shared" si="98"/>
        <v>90</v>
      </c>
      <c r="E1266" s="1886"/>
      <c r="F1266" s="249" t="s">
        <v>18</v>
      </c>
      <c r="G1266" s="47"/>
      <c r="H1266" s="1"/>
      <c r="I1266" s="1"/>
      <c r="J1266" s="1"/>
      <c r="K1266" s="1"/>
      <c r="L1266" s="1"/>
      <c r="M1266" s="1"/>
      <c r="N1266" s="1"/>
      <c r="O1266" s="1"/>
      <c r="P1266" s="1"/>
      <c r="Q1266" s="1"/>
      <c r="R1266" s="1"/>
      <c r="S1266" s="1"/>
    </row>
    <row r="1267" ht="14.25" customHeight="1">
      <c r="A1267" s="1"/>
      <c r="B1267" s="138" t="s">
        <v>103</v>
      </c>
      <c r="C1267" s="279">
        <v>20.0</v>
      </c>
      <c r="D1267" s="1887">
        <f>(C1267*D1263)/C1263</f>
        <v>180</v>
      </c>
      <c r="E1267" s="1889"/>
      <c r="F1267" s="242" t="s">
        <v>18</v>
      </c>
      <c r="G1267" s="47"/>
      <c r="H1267" s="1"/>
      <c r="I1267" s="1"/>
      <c r="J1267" s="1"/>
      <c r="K1267" s="1"/>
      <c r="L1267" s="1"/>
      <c r="M1267" s="1"/>
      <c r="N1267" s="1"/>
      <c r="O1267" s="1"/>
      <c r="P1267" s="1"/>
      <c r="Q1267" s="1"/>
      <c r="R1267" s="1"/>
      <c r="S1267" s="1"/>
    </row>
    <row r="1268" ht="14.25" customHeight="1">
      <c r="A1268" s="1"/>
      <c r="B1268" s="138" t="s">
        <v>162</v>
      </c>
      <c r="C1268" s="279">
        <v>25.0</v>
      </c>
      <c r="D1268" s="1887">
        <f t="shared" ref="D1268:D1269" si="99">(C1268*D1265)/C1265</f>
        <v>225</v>
      </c>
      <c r="E1268" s="1889"/>
      <c r="F1268" s="242" t="s">
        <v>18</v>
      </c>
      <c r="G1268" s="47"/>
      <c r="H1268" s="1"/>
      <c r="I1268" s="1"/>
      <c r="J1268" s="1"/>
      <c r="K1268" s="1"/>
      <c r="L1268" s="1"/>
      <c r="M1268" s="1"/>
      <c r="N1268" s="1"/>
      <c r="O1268" s="1"/>
      <c r="P1268" s="1"/>
      <c r="Q1268" s="1"/>
      <c r="R1268" s="1"/>
      <c r="S1268" s="1"/>
    </row>
    <row r="1269" ht="14.25" customHeight="1">
      <c r="A1269" s="1"/>
      <c r="B1269" s="2225" t="s">
        <v>60</v>
      </c>
      <c r="C1269" s="145">
        <v>0.7</v>
      </c>
      <c r="D1269" s="1193">
        <f t="shared" si="99"/>
        <v>6.3</v>
      </c>
      <c r="E1269" s="1884"/>
      <c r="F1269" s="348" t="s">
        <v>14</v>
      </c>
      <c r="G1269" s="3032" t="s">
        <v>2599</v>
      </c>
      <c r="H1269" s="1"/>
      <c r="I1269" s="1"/>
      <c r="J1269" s="1"/>
      <c r="K1269" s="1"/>
      <c r="L1269" s="1"/>
      <c r="M1269" s="1"/>
      <c r="N1269" s="1"/>
      <c r="O1269" s="1"/>
      <c r="P1269" s="1"/>
      <c r="Q1269" s="1"/>
      <c r="R1269" s="1"/>
      <c r="S1269" s="1"/>
    </row>
    <row r="1270" ht="14.25" customHeight="1">
      <c r="A1270" s="1"/>
      <c r="B1270" s="2252" t="s">
        <v>2649</v>
      </c>
      <c r="C1270" s="238">
        <v>1.0</v>
      </c>
      <c r="D1270" s="2375">
        <f>(C1270*D1271)/C1271</f>
        <v>9</v>
      </c>
      <c r="E1270" s="2376"/>
      <c r="F1270" s="1457" t="s">
        <v>14</v>
      </c>
      <c r="G1270" s="47"/>
      <c r="H1270" s="1"/>
      <c r="I1270" s="1"/>
      <c r="J1270" s="1"/>
      <c r="K1270" s="1"/>
      <c r="L1270" s="1"/>
      <c r="M1270" s="1"/>
      <c r="N1270" s="1"/>
      <c r="O1270" s="1"/>
      <c r="P1270" s="1"/>
      <c r="Q1270" s="1"/>
      <c r="R1270" s="1"/>
      <c r="S1270" s="1"/>
    </row>
    <row r="1271" ht="14.25" customHeight="1">
      <c r="A1271" s="1"/>
      <c r="B1271" s="2252" t="s">
        <v>858</v>
      </c>
      <c r="C1271" s="238">
        <v>3.5</v>
      </c>
      <c r="D1271" s="2375">
        <f>(C1271*D1269)/C1269</f>
        <v>31.5</v>
      </c>
      <c r="E1271" s="2376"/>
      <c r="F1271" s="1457" t="s">
        <v>741</v>
      </c>
      <c r="G1271" s="47"/>
      <c r="H1271" s="1"/>
      <c r="I1271" s="1"/>
      <c r="J1271" s="1"/>
      <c r="K1271" s="1"/>
      <c r="L1271" s="1"/>
      <c r="M1271" s="1"/>
      <c r="N1271" s="1"/>
      <c r="O1271" s="1"/>
      <c r="P1271" s="1"/>
      <c r="Q1271" s="1"/>
      <c r="R1271" s="1"/>
      <c r="S1271" s="1"/>
    </row>
    <row r="1272" ht="14.25" customHeight="1">
      <c r="A1272" s="1"/>
      <c r="B1272" s="2252" t="s">
        <v>288</v>
      </c>
      <c r="C1272" s="238">
        <v>40.0</v>
      </c>
      <c r="D1272" s="2375">
        <f t="shared" ref="D1272:D1273" si="100">(C1272*D1269)/C1269</f>
        <v>360</v>
      </c>
      <c r="E1272" s="2376"/>
      <c r="F1272" s="1457" t="s">
        <v>18</v>
      </c>
      <c r="G1272" s="47"/>
      <c r="H1272" s="1"/>
      <c r="I1272" s="1"/>
      <c r="J1272" s="1"/>
      <c r="K1272" s="1"/>
      <c r="L1272" s="1"/>
      <c r="M1272" s="1"/>
      <c r="N1272" s="1"/>
      <c r="O1272" s="1"/>
      <c r="P1272" s="1"/>
      <c r="Q1272" s="1"/>
      <c r="R1272" s="1"/>
      <c r="S1272" s="1"/>
    </row>
    <row r="1273" ht="14.25" customHeight="1">
      <c r="A1273" s="1"/>
      <c r="B1273" s="93" t="s">
        <v>427</v>
      </c>
      <c r="C1273" s="195">
        <v>40.0</v>
      </c>
      <c r="D1273" s="2375">
        <f t="shared" si="100"/>
        <v>360</v>
      </c>
      <c r="E1273" s="2376"/>
      <c r="F1273" s="249" t="s">
        <v>18</v>
      </c>
      <c r="G1273" s="47"/>
      <c r="H1273" s="1"/>
      <c r="I1273" s="1"/>
      <c r="J1273" s="1"/>
      <c r="K1273" s="1"/>
      <c r="L1273" s="1"/>
      <c r="M1273" s="1"/>
      <c r="N1273" s="1"/>
      <c r="O1273" s="1"/>
      <c r="P1273" s="1"/>
      <c r="Q1273" s="1"/>
      <c r="R1273" s="1"/>
      <c r="S1273" s="1"/>
    </row>
    <row r="1274" ht="14.25" customHeight="1">
      <c r="A1274" s="1"/>
      <c r="B1274" s="1421" t="s">
        <v>2533</v>
      </c>
      <c r="C1274" s="195">
        <v>1.8</v>
      </c>
      <c r="D1274" s="2375">
        <f>(C1274*D1272)/C1272</f>
        <v>16.2</v>
      </c>
      <c r="E1274" s="2376"/>
      <c r="F1274" s="352" t="s">
        <v>14</v>
      </c>
      <c r="G1274" s="47"/>
      <c r="H1274" s="1"/>
      <c r="I1274" s="1"/>
      <c r="J1274" s="1"/>
      <c r="K1274" s="1"/>
      <c r="L1274" s="1"/>
      <c r="M1274" s="1"/>
      <c r="N1274" s="1"/>
      <c r="O1274" s="1"/>
      <c r="P1274" s="1"/>
      <c r="Q1274" s="1"/>
      <c r="R1274" s="1"/>
      <c r="S1274" s="1"/>
    </row>
    <row r="1275" ht="14.25" customHeight="1">
      <c r="A1275" s="1"/>
      <c r="B1275" s="105" t="s">
        <v>31</v>
      </c>
      <c r="C1275" s="200">
        <v>200.0</v>
      </c>
      <c r="D1275" s="1897">
        <f t="shared" ref="D1275:D1276" si="101">(C1275*D1274)/C1274</f>
        <v>1800</v>
      </c>
      <c r="E1275" s="1898"/>
      <c r="F1275" s="518" t="s">
        <v>18</v>
      </c>
      <c r="G1275" s="76"/>
      <c r="H1275" s="1"/>
      <c r="I1275" s="1"/>
      <c r="J1275" s="1"/>
      <c r="K1275" s="1"/>
      <c r="L1275" s="1"/>
      <c r="M1275" s="1"/>
      <c r="N1275" s="1"/>
      <c r="O1275" s="1"/>
      <c r="P1275" s="1"/>
      <c r="Q1275" s="1"/>
      <c r="R1275" s="1"/>
      <c r="S1275" s="1"/>
    </row>
    <row r="1276" ht="14.25" customHeight="1">
      <c r="A1276" s="1"/>
      <c r="B1276" s="1787" t="s">
        <v>335</v>
      </c>
      <c r="C1276" s="1155">
        <v>0.3</v>
      </c>
      <c r="D1276" s="1550">
        <f t="shared" si="101"/>
        <v>2.7</v>
      </c>
      <c r="E1276" s="2272"/>
      <c r="F1276" s="547" t="s">
        <v>5</v>
      </c>
      <c r="G1276" s="44" t="s">
        <v>2874</v>
      </c>
      <c r="H1276" s="1"/>
      <c r="I1276" s="1"/>
      <c r="J1276" s="1"/>
      <c r="K1276" s="1"/>
      <c r="L1276" s="1"/>
      <c r="M1276" s="1"/>
      <c r="N1276" s="1"/>
      <c r="O1276" s="1"/>
      <c r="P1276" s="1"/>
      <c r="Q1276" s="1"/>
      <c r="R1276" s="1"/>
      <c r="S1276" s="1"/>
    </row>
    <row r="1277" ht="14.25" customHeight="1">
      <c r="A1277" s="1"/>
      <c r="B1277" s="2275" t="s">
        <v>119</v>
      </c>
      <c r="C1277" s="1446" t="s">
        <v>47</v>
      </c>
      <c r="D1277" s="184"/>
      <c r="E1277" s="184"/>
      <c r="F1277" s="1"/>
      <c r="G1277" s="1"/>
      <c r="H1277" s="1"/>
      <c r="I1277" s="1"/>
      <c r="J1277" s="1"/>
      <c r="K1277" s="1"/>
      <c r="L1277" s="1"/>
      <c r="M1277" s="1"/>
      <c r="N1277" s="1"/>
      <c r="O1277" s="1"/>
      <c r="P1277" s="1"/>
      <c r="Q1277" s="1"/>
      <c r="R1277" s="1"/>
      <c r="S1277" s="1"/>
    </row>
    <row r="1278" ht="14.25" customHeight="1">
      <c r="A1278" s="1"/>
      <c r="B1278" s="90" t="s">
        <v>120</v>
      </c>
      <c r="C1278" s="1188">
        <v>41826.0</v>
      </c>
      <c r="D1278" s="184"/>
      <c r="E1278" s="184"/>
      <c r="F1278" s="1"/>
      <c r="G1278" s="1"/>
      <c r="H1278" s="1"/>
      <c r="I1278" s="1"/>
      <c r="J1278" s="1"/>
      <c r="K1278" s="1"/>
      <c r="L1278" s="1"/>
      <c r="M1278" s="1"/>
      <c r="N1278" s="1"/>
      <c r="O1278" s="1"/>
      <c r="P1278" s="1"/>
      <c r="Q1278" s="1"/>
      <c r="R1278" s="1"/>
      <c r="S1278" s="1"/>
    </row>
    <row r="1279" ht="14.25" customHeight="1">
      <c r="A1279" s="1"/>
      <c r="B1279" s="305" t="s">
        <v>50</v>
      </c>
      <c r="C1279" s="1188">
        <v>41827.0</v>
      </c>
      <c r="D1279" s="184"/>
      <c r="E1279" s="184"/>
      <c r="F1279" s="1"/>
      <c r="G1279" s="1"/>
      <c r="H1279" s="1"/>
      <c r="I1279" s="1"/>
      <c r="J1279" s="1"/>
      <c r="K1279" s="1"/>
      <c r="L1279" s="1"/>
      <c r="M1279" s="1"/>
      <c r="N1279" s="1"/>
      <c r="O1279" s="1"/>
      <c r="P1279" s="1"/>
      <c r="Q1279" s="1"/>
      <c r="R1279" s="1"/>
      <c r="S1279" s="1"/>
    </row>
    <row r="1280" ht="14.25" customHeight="1">
      <c r="A1280" s="1"/>
      <c r="B1280" s="1"/>
      <c r="C1280" s="107"/>
      <c r="D1280" s="184"/>
      <c r="E1280" s="184"/>
      <c r="F1280" s="1"/>
      <c r="G1280" s="1112"/>
      <c r="H1280" s="1"/>
      <c r="I1280" s="1"/>
      <c r="J1280" s="1"/>
      <c r="K1280" s="1"/>
      <c r="L1280" s="1"/>
      <c r="M1280" s="1"/>
      <c r="N1280" s="1"/>
      <c r="O1280" s="1"/>
      <c r="P1280" s="1"/>
      <c r="Q1280" s="1"/>
      <c r="R1280" s="1"/>
      <c r="S1280" s="1"/>
    </row>
    <row r="1281" ht="14.25" customHeight="1">
      <c r="A1281" s="1"/>
      <c r="B1281" s="656" t="s">
        <v>3553</v>
      </c>
      <c r="C1281" s="18"/>
      <c r="D1281" s="18"/>
      <c r="E1281" s="18"/>
      <c r="F1281" s="19"/>
      <c r="G1281" s="336"/>
      <c r="H1281" s="1"/>
      <c r="I1281" s="1"/>
      <c r="J1281" s="1"/>
      <c r="K1281" s="1"/>
      <c r="L1281" s="1"/>
      <c r="M1281" s="1"/>
      <c r="N1281" s="1"/>
      <c r="O1281" s="1"/>
      <c r="P1281" s="1"/>
      <c r="Q1281" s="1"/>
      <c r="R1281" s="1"/>
      <c r="S1281" s="1"/>
    </row>
    <row r="1282" ht="14.25" customHeight="1">
      <c r="A1282" s="1"/>
      <c r="B1282" s="1144" t="s">
        <v>3554</v>
      </c>
      <c r="C1282" s="131">
        <v>20.0</v>
      </c>
      <c r="D1282" s="316">
        <v>60.0</v>
      </c>
      <c r="E1282" s="2091"/>
      <c r="F1282" s="169" t="s">
        <v>14</v>
      </c>
      <c r="G1282" s="44" t="s">
        <v>3072</v>
      </c>
      <c r="H1282" s="1"/>
      <c r="I1282" s="1"/>
      <c r="J1282" s="1"/>
      <c r="K1282" s="1"/>
      <c r="L1282" s="1"/>
      <c r="M1282" s="1"/>
      <c r="N1282" s="1"/>
      <c r="O1282" s="1"/>
      <c r="P1282" s="1"/>
      <c r="Q1282" s="1"/>
      <c r="R1282" s="1"/>
      <c r="S1282" s="1"/>
    </row>
    <row r="1283" ht="14.25" customHeight="1">
      <c r="A1283" s="1"/>
      <c r="B1283" s="898" t="s">
        <v>1161</v>
      </c>
      <c r="C1283" s="160">
        <v>12.5</v>
      </c>
      <c r="D1283" s="321">
        <v>0.0</v>
      </c>
      <c r="E1283" s="2095"/>
      <c r="F1283" s="204" t="s">
        <v>14</v>
      </c>
      <c r="G1283" s="47"/>
      <c r="H1283" s="1"/>
      <c r="I1283" s="1"/>
      <c r="J1283" s="1"/>
      <c r="K1283" s="1"/>
      <c r="L1283" s="1"/>
      <c r="M1283" s="1"/>
      <c r="N1283" s="1"/>
      <c r="O1283" s="1"/>
      <c r="P1283" s="1"/>
      <c r="Q1283" s="1"/>
      <c r="R1283" s="1"/>
      <c r="S1283" s="1"/>
    </row>
    <row r="1284" ht="14.25" customHeight="1">
      <c r="A1284" s="1"/>
      <c r="B1284" s="2940" t="s">
        <v>1024</v>
      </c>
      <c r="C1284" s="1360">
        <v>0.0</v>
      </c>
      <c r="D1284" s="355">
        <v>0.0</v>
      </c>
      <c r="E1284" s="2101"/>
      <c r="F1284" s="267" t="s">
        <v>14</v>
      </c>
      <c r="G1284" s="47"/>
      <c r="H1284" s="1"/>
      <c r="I1284" s="1"/>
      <c r="J1284" s="1"/>
      <c r="K1284" s="1"/>
      <c r="L1284" s="1"/>
      <c r="M1284" s="1"/>
      <c r="N1284" s="1"/>
      <c r="O1284" s="1"/>
      <c r="P1284" s="1"/>
      <c r="Q1284" s="1"/>
      <c r="R1284" s="1"/>
      <c r="S1284" s="1"/>
    </row>
    <row r="1285" ht="14.25" customHeight="1">
      <c r="A1285" s="1"/>
      <c r="B1285" s="2713" t="s">
        <v>3555</v>
      </c>
      <c r="C1285" s="1072">
        <f>C1282+C1283/2.5+C1284/2.25</f>
        <v>25</v>
      </c>
      <c r="D1285" s="1329">
        <f>D1282+D1283/2.5+D1284/2.5</f>
        <v>60</v>
      </c>
      <c r="E1285" s="2717"/>
      <c r="F1285" s="1330" t="s">
        <v>14</v>
      </c>
      <c r="G1285" s="76"/>
      <c r="H1285" s="1"/>
      <c r="I1285" s="1"/>
      <c r="J1285" s="1"/>
      <c r="K1285" s="1"/>
      <c r="L1285" s="1"/>
      <c r="M1285" s="1"/>
      <c r="N1285" s="1"/>
      <c r="O1285" s="1"/>
      <c r="P1285" s="1"/>
      <c r="Q1285" s="1"/>
      <c r="R1285" s="1"/>
      <c r="S1285" s="1"/>
    </row>
    <row r="1286" ht="14.25" customHeight="1">
      <c r="A1286" s="1"/>
      <c r="B1286" s="1144" t="s">
        <v>437</v>
      </c>
      <c r="C1286" s="131">
        <f t="shared" ref="C1286:D1286" si="102">+C1283*12</f>
        <v>150</v>
      </c>
      <c r="D1286" s="316">
        <f t="shared" si="102"/>
        <v>0</v>
      </c>
      <c r="E1286" s="2091"/>
      <c r="F1286" s="169" t="s">
        <v>18</v>
      </c>
      <c r="G1286" s="44" t="s">
        <v>3074</v>
      </c>
      <c r="H1286" s="1"/>
      <c r="I1286" s="1"/>
      <c r="J1286" s="1"/>
      <c r="K1286" s="1"/>
      <c r="L1286" s="1"/>
      <c r="M1286" s="1"/>
      <c r="N1286" s="1"/>
      <c r="O1286" s="1"/>
      <c r="P1286" s="1"/>
      <c r="Q1286" s="1"/>
      <c r="R1286" s="1"/>
      <c r="S1286" s="1"/>
    </row>
    <row r="1287" ht="14.25" customHeight="1">
      <c r="A1287" s="1"/>
      <c r="B1287" s="1151" t="s">
        <v>3075</v>
      </c>
      <c r="C1287" s="167">
        <f t="shared" ref="C1287:D1287" si="103">+C1283*5</f>
        <v>62.5</v>
      </c>
      <c r="D1287" s="318">
        <f t="shared" si="103"/>
        <v>0</v>
      </c>
      <c r="E1287" s="2109"/>
      <c r="F1287" s="212" t="s">
        <v>18</v>
      </c>
      <c r="G1287" s="76"/>
      <c r="H1287" s="1"/>
      <c r="I1287" s="1"/>
      <c r="J1287" s="1"/>
      <c r="K1287" s="1"/>
      <c r="L1287" s="1"/>
      <c r="M1287" s="1"/>
      <c r="N1287" s="1"/>
      <c r="O1287" s="1"/>
      <c r="P1287" s="1"/>
      <c r="Q1287" s="1"/>
      <c r="R1287" s="1"/>
      <c r="S1287" s="1"/>
    </row>
    <row r="1288" ht="14.25" customHeight="1">
      <c r="A1288" s="1"/>
      <c r="B1288" s="1151" t="s">
        <v>3556</v>
      </c>
      <c r="C1288" s="167">
        <f t="shared" ref="C1288:D1288" si="104">55*C1282</f>
        <v>1100</v>
      </c>
      <c r="D1288" s="318">
        <f t="shared" si="104"/>
        <v>3300</v>
      </c>
      <c r="E1288" s="2109"/>
      <c r="F1288" s="212" t="s">
        <v>18</v>
      </c>
      <c r="G1288" s="1703"/>
      <c r="H1288" s="1"/>
      <c r="I1288" s="1"/>
      <c r="J1288" s="1"/>
      <c r="K1288" s="1"/>
      <c r="L1288" s="1"/>
      <c r="M1288" s="1"/>
      <c r="N1288" s="1"/>
      <c r="O1288" s="1"/>
      <c r="P1288" s="1"/>
      <c r="Q1288" s="1"/>
      <c r="R1288" s="1"/>
      <c r="S1288" s="1"/>
    </row>
    <row r="1289" ht="14.25" customHeight="1">
      <c r="A1289" s="1"/>
      <c r="B1289" s="3086" t="s">
        <v>1</v>
      </c>
      <c r="C1289" s="3087">
        <v>100.0</v>
      </c>
      <c r="D1289" s="3088">
        <v>20.0</v>
      </c>
      <c r="E1289" s="3089"/>
      <c r="F1289" s="3090" t="s">
        <v>5</v>
      </c>
      <c r="G1289" s="1186"/>
      <c r="H1289" s="1"/>
      <c r="I1289" s="1"/>
      <c r="J1289" s="1"/>
      <c r="K1289" s="1"/>
      <c r="L1289" s="1"/>
      <c r="M1289" s="1"/>
      <c r="N1289" s="1"/>
      <c r="O1289" s="1"/>
      <c r="P1289" s="1"/>
      <c r="Q1289" s="1"/>
      <c r="R1289" s="1"/>
      <c r="S1289" s="1"/>
    </row>
    <row r="1290" ht="14.25" customHeight="1">
      <c r="A1290" s="1"/>
      <c r="B1290" s="333" t="s">
        <v>91</v>
      </c>
      <c r="C1290" s="221">
        <v>2.5</v>
      </c>
      <c r="D1290" s="164">
        <f t="shared" ref="D1290:D1301" si="105">(C1290*D1289)/C1289</f>
        <v>0.5</v>
      </c>
      <c r="E1290" s="1731"/>
      <c r="F1290" s="335" t="s">
        <v>5</v>
      </c>
      <c r="G1290" s="264" t="s">
        <v>3557</v>
      </c>
      <c r="H1290" s="1"/>
      <c r="I1290" s="1"/>
      <c r="J1290" s="1"/>
      <c r="K1290" s="1"/>
      <c r="L1290" s="1"/>
      <c r="M1290" s="1"/>
      <c r="N1290" s="1"/>
      <c r="O1290" s="1"/>
      <c r="P1290" s="1"/>
      <c r="Q1290" s="1"/>
      <c r="R1290" s="1"/>
      <c r="S1290" s="1"/>
    </row>
    <row r="1291" ht="14.25" customHeight="1">
      <c r="A1291" s="1"/>
      <c r="B1291" s="341" t="s">
        <v>96</v>
      </c>
      <c r="C1291" s="27">
        <v>15.0</v>
      </c>
      <c r="D1291" s="201">
        <f t="shared" si="105"/>
        <v>3</v>
      </c>
      <c r="E1291" s="1735"/>
      <c r="F1291" s="347" t="s">
        <v>18</v>
      </c>
      <c r="G1291" s="66"/>
      <c r="H1291" s="1"/>
      <c r="I1291" s="1"/>
      <c r="J1291" s="1"/>
      <c r="K1291" s="1"/>
      <c r="L1291" s="1"/>
      <c r="M1291" s="1"/>
      <c r="N1291" s="1"/>
      <c r="O1291" s="1"/>
      <c r="P1291" s="1"/>
      <c r="Q1291" s="1"/>
      <c r="R1291" s="1"/>
      <c r="S1291" s="1"/>
    </row>
    <row r="1292" ht="14.25" customHeight="1">
      <c r="A1292" s="1"/>
      <c r="B1292" s="341" t="s">
        <v>98</v>
      </c>
      <c r="C1292" s="27">
        <v>200.0</v>
      </c>
      <c r="D1292" s="201">
        <f t="shared" si="105"/>
        <v>40</v>
      </c>
      <c r="E1292" s="1735"/>
      <c r="F1292" s="347" t="s">
        <v>18</v>
      </c>
      <c r="G1292" s="66"/>
      <c r="H1292" s="1"/>
      <c r="I1292" s="1"/>
      <c r="J1292" s="1"/>
      <c r="K1292" s="1"/>
      <c r="L1292" s="1"/>
      <c r="M1292" s="1"/>
      <c r="N1292" s="1"/>
      <c r="O1292" s="1"/>
      <c r="P1292" s="1"/>
      <c r="Q1292" s="1"/>
      <c r="R1292" s="1"/>
      <c r="S1292" s="1"/>
    </row>
    <row r="1293" ht="14.25" customHeight="1">
      <c r="A1293" s="1"/>
      <c r="B1293" s="341" t="s">
        <v>113</v>
      </c>
      <c r="C1293" s="27">
        <v>50.0</v>
      </c>
      <c r="D1293" s="201">
        <f t="shared" si="105"/>
        <v>10</v>
      </c>
      <c r="E1293" s="1735"/>
      <c r="F1293" s="347" t="s">
        <v>18</v>
      </c>
      <c r="G1293" s="66"/>
      <c r="H1293" s="1"/>
      <c r="I1293" s="1"/>
      <c r="J1293" s="1"/>
      <c r="K1293" s="1"/>
      <c r="L1293" s="1"/>
      <c r="M1293" s="1"/>
      <c r="N1293" s="1"/>
      <c r="O1293" s="1"/>
      <c r="P1293" s="1"/>
      <c r="Q1293" s="1"/>
      <c r="R1293" s="1"/>
      <c r="S1293" s="1"/>
    </row>
    <row r="1294" ht="14.25" customHeight="1">
      <c r="A1294" s="1"/>
      <c r="B1294" s="358" t="s">
        <v>103</v>
      </c>
      <c r="C1294" s="236">
        <v>100.0</v>
      </c>
      <c r="D1294" s="257">
        <f t="shared" si="105"/>
        <v>20</v>
      </c>
      <c r="E1294" s="1738"/>
      <c r="F1294" s="388" t="s">
        <v>18</v>
      </c>
      <c r="G1294" s="66"/>
      <c r="H1294" s="1"/>
      <c r="I1294" s="1"/>
      <c r="J1294" s="1"/>
      <c r="K1294" s="1"/>
      <c r="L1294" s="1"/>
      <c r="M1294" s="1"/>
      <c r="N1294" s="1"/>
      <c r="O1294" s="1"/>
      <c r="P1294" s="1"/>
      <c r="Q1294" s="1"/>
      <c r="R1294" s="1"/>
      <c r="S1294" s="1"/>
    </row>
    <row r="1295" ht="14.25" customHeight="1">
      <c r="A1295" s="1"/>
      <c r="B1295" s="357" t="s">
        <v>3558</v>
      </c>
      <c r="C1295" s="244">
        <v>250.0</v>
      </c>
      <c r="D1295" s="158">
        <f t="shared" si="105"/>
        <v>50</v>
      </c>
      <c r="E1295" s="1998"/>
      <c r="F1295" s="361" t="s">
        <v>18</v>
      </c>
      <c r="G1295" s="66"/>
      <c r="H1295" s="1"/>
      <c r="I1295" s="1"/>
      <c r="J1295" s="1"/>
      <c r="K1295" s="1"/>
      <c r="L1295" s="1"/>
      <c r="M1295" s="1"/>
      <c r="N1295" s="1"/>
      <c r="O1295" s="1"/>
      <c r="P1295" s="1"/>
      <c r="Q1295" s="1"/>
      <c r="R1295" s="1"/>
      <c r="S1295" s="1"/>
    </row>
    <row r="1296" ht="14.25" customHeight="1">
      <c r="A1296" s="1"/>
      <c r="B1296" s="341" t="s">
        <v>149</v>
      </c>
      <c r="C1296" s="27">
        <v>500.0</v>
      </c>
      <c r="D1296" s="201">
        <f t="shared" si="105"/>
        <v>100</v>
      </c>
      <c r="E1296" s="1735"/>
      <c r="F1296" s="347" t="s">
        <v>18</v>
      </c>
      <c r="G1296" s="66"/>
      <c r="H1296" s="1"/>
      <c r="I1296" s="1"/>
      <c r="J1296" s="1"/>
      <c r="K1296" s="1"/>
      <c r="L1296" s="1"/>
      <c r="M1296" s="1"/>
      <c r="N1296" s="1"/>
      <c r="O1296" s="1"/>
      <c r="P1296" s="1"/>
      <c r="Q1296" s="1"/>
      <c r="R1296" s="1"/>
      <c r="S1296" s="1"/>
    </row>
    <row r="1297" ht="14.25" customHeight="1">
      <c r="A1297" s="1"/>
      <c r="B1297" s="1151" t="s">
        <v>3559</v>
      </c>
      <c r="C1297" s="167">
        <v>250.0</v>
      </c>
      <c r="D1297" s="318">
        <f t="shared" si="105"/>
        <v>50</v>
      </c>
      <c r="E1297" s="2109"/>
      <c r="F1297" s="388" t="s">
        <v>18</v>
      </c>
      <c r="G1297" s="66"/>
      <c r="H1297" s="1"/>
      <c r="I1297" s="1"/>
      <c r="J1297" s="1"/>
      <c r="K1297" s="1"/>
      <c r="L1297" s="1"/>
      <c r="M1297" s="1"/>
      <c r="N1297" s="1"/>
      <c r="O1297" s="1"/>
      <c r="P1297" s="1"/>
      <c r="Q1297" s="1"/>
      <c r="R1297" s="1"/>
      <c r="S1297" s="1"/>
    </row>
    <row r="1298" ht="14.25" customHeight="1">
      <c r="A1298" s="1"/>
      <c r="B1298" s="358" t="s">
        <v>52</v>
      </c>
      <c r="C1298" s="236">
        <v>250.0</v>
      </c>
      <c r="D1298" s="257">
        <f t="shared" si="105"/>
        <v>50</v>
      </c>
      <c r="E1298" s="1738"/>
      <c r="F1298" s="388" t="s">
        <v>18</v>
      </c>
      <c r="G1298" s="106"/>
      <c r="H1298" s="1"/>
      <c r="I1298" s="1"/>
      <c r="J1298" s="1"/>
      <c r="K1298" s="1"/>
      <c r="L1298" s="1"/>
      <c r="M1298" s="1"/>
      <c r="N1298" s="1"/>
      <c r="O1298" s="1"/>
      <c r="P1298" s="1"/>
      <c r="Q1298" s="1"/>
      <c r="R1298" s="1"/>
      <c r="S1298" s="1"/>
    </row>
    <row r="1299" ht="14.25" customHeight="1">
      <c r="A1299" s="1"/>
      <c r="B1299" s="1726" t="s">
        <v>1027</v>
      </c>
      <c r="C1299" s="174">
        <v>200.0</v>
      </c>
      <c r="D1299" s="839">
        <f t="shared" si="105"/>
        <v>40</v>
      </c>
      <c r="E1299" s="2110"/>
      <c r="F1299" s="361" t="s">
        <v>18</v>
      </c>
      <c r="G1299" s="3091" t="s">
        <v>1814</v>
      </c>
      <c r="H1299" s="1"/>
      <c r="I1299" s="1"/>
      <c r="J1299" s="1"/>
      <c r="K1299" s="1"/>
      <c r="L1299" s="1"/>
      <c r="M1299" s="1"/>
      <c r="N1299" s="1"/>
      <c r="O1299" s="1"/>
      <c r="P1299" s="1"/>
      <c r="Q1299" s="1"/>
      <c r="R1299" s="1"/>
      <c r="S1299" s="1"/>
    </row>
    <row r="1300" ht="14.25" customHeight="1">
      <c r="A1300" s="1"/>
      <c r="B1300" s="341" t="s">
        <v>3560</v>
      </c>
      <c r="C1300" s="27">
        <v>250.0</v>
      </c>
      <c r="D1300" s="201">
        <f t="shared" si="105"/>
        <v>50</v>
      </c>
      <c r="E1300" s="1735"/>
      <c r="F1300" s="347" t="s">
        <v>18</v>
      </c>
      <c r="G1300" s="47"/>
      <c r="H1300" s="1"/>
      <c r="I1300" s="1"/>
      <c r="J1300" s="1"/>
      <c r="K1300" s="1"/>
      <c r="L1300" s="1"/>
      <c r="M1300" s="1"/>
      <c r="N1300" s="1"/>
      <c r="O1300" s="1"/>
      <c r="P1300" s="1"/>
      <c r="Q1300" s="1"/>
      <c r="R1300" s="1"/>
      <c r="S1300" s="1"/>
    </row>
    <row r="1301" ht="14.25" customHeight="1">
      <c r="A1301" s="1"/>
      <c r="B1301" s="341" t="s">
        <v>3561</v>
      </c>
      <c r="C1301" s="27">
        <v>200.0</v>
      </c>
      <c r="D1301" s="201">
        <f t="shared" si="105"/>
        <v>40</v>
      </c>
      <c r="E1301" s="1735"/>
      <c r="F1301" s="347" t="s">
        <v>18</v>
      </c>
      <c r="G1301" s="47"/>
      <c r="H1301" s="1"/>
      <c r="I1301" s="1"/>
      <c r="J1301" s="1"/>
      <c r="K1301" s="1"/>
      <c r="L1301" s="1"/>
      <c r="M1301" s="1"/>
      <c r="N1301" s="1"/>
      <c r="O1301" s="1"/>
      <c r="P1301" s="1"/>
      <c r="Q1301" s="1"/>
      <c r="R1301" s="1"/>
      <c r="S1301" s="1"/>
    </row>
    <row r="1302" ht="14.25" customHeight="1">
      <c r="A1302" s="1"/>
      <c r="B1302" s="1151" t="s">
        <v>31</v>
      </c>
      <c r="C1302" s="167">
        <f t="shared" ref="C1302:D1302" si="106">14*C1289-C1288-C1286</f>
        <v>150</v>
      </c>
      <c r="D1302" s="318">
        <f t="shared" si="106"/>
        <v>-3020</v>
      </c>
      <c r="E1302" s="2109"/>
      <c r="F1302" s="388" t="s">
        <v>18</v>
      </c>
      <c r="G1302" s="76"/>
      <c r="H1302" s="1"/>
      <c r="I1302" s="1"/>
      <c r="J1302" s="1"/>
      <c r="K1302" s="1"/>
      <c r="L1302" s="1"/>
      <c r="M1302" s="1"/>
      <c r="N1302" s="1"/>
      <c r="O1302" s="1"/>
      <c r="P1302" s="1"/>
      <c r="Q1302" s="1"/>
      <c r="R1302" s="1"/>
      <c r="S1302" s="1"/>
    </row>
    <row r="1303" ht="14.25" customHeight="1">
      <c r="A1303" s="1"/>
      <c r="B1303" s="2940" t="s">
        <v>165</v>
      </c>
      <c r="C1303" s="1360">
        <v>1.5</v>
      </c>
      <c r="D1303" s="355">
        <f>(C1303*D1301)/C1301</f>
        <v>0.3</v>
      </c>
      <c r="E1303" s="2101"/>
      <c r="F1303" s="367" t="s">
        <v>14</v>
      </c>
      <c r="G1303" s="784" t="s">
        <v>3562</v>
      </c>
      <c r="H1303" s="1"/>
      <c r="I1303" s="1"/>
      <c r="J1303" s="1"/>
      <c r="K1303" s="1"/>
      <c r="L1303" s="1"/>
      <c r="M1303" s="1"/>
      <c r="N1303" s="1"/>
      <c r="O1303" s="1"/>
      <c r="P1303" s="1"/>
      <c r="Q1303" s="1"/>
      <c r="R1303" s="1"/>
      <c r="S1303" s="1"/>
    </row>
    <row r="1304" ht="14.25" customHeight="1">
      <c r="A1304" s="1"/>
      <c r="B1304" s="330" t="s">
        <v>3563</v>
      </c>
      <c r="C1304" s="71">
        <v>10.0</v>
      </c>
      <c r="D1304" s="608">
        <f t="shared" ref="D1304:D1308" si="107">(C1304*D1303)/C1303</f>
        <v>2</v>
      </c>
      <c r="E1304" s="2150"/>
      <c r="F1304" s="332" t="s">
        <v>14</v>
      </c>
      <c r="G1304" s="1703" t="s">
        <v>3562</v>
      </c>
      <c r="H1304" s="1"/>
      <c r="I1304" s="1"/>
      <c r="J1304" s="1"/>
      <c r="K1304" s="1"/>
      <c r="L1304" s="1"/>
      <c r="M1304" s="1"/>
      <c r="N1304" s="1"/>
      <c r="O1304" s="1"/>
      <c r="P1304" s="1"/>
      <c r="Q1304" s="1"/>
      <c r="R1304" s="1"/>
      <c r="S1304" s="1"/>
    </row>
    <row r="1305" ht="14.25" customHeight="1">
      <c r="A1305" s="1"/>
      <c r="B1305" s="2940" t="s">
        <v>288</v>
      </c>
      <c r="C1305" s="1360">
        <v>150.0</v>
      </c>
      <c r="D1305" s="355">
        <f t="shared" si="107"/>
        <v>30</v>
      </c>
      <c r="E1305" s="2101"/>
      <c r="F1305" s="367" t="s">
        <v>18</v>
      </c>
      <c r="G1305" s="44" t="s">
        <v>3564</v>
      </c>
      <c r="H1305" s="1"/>
      <c r="I1305" s="1"/>
      <c r="J1305" s="1"/>
      <c r="K1305" s="1"/>
      <c r="L1305" s="1"/>
      <c r="M1305" s="1"/>
      <c r="N1305" s="1"/>
      <c r="O1305" s="1"/>
      <c r="P1305" s="1"/>
      <c r="Q1305" s="1"/>
      <c r="R1305" s="1"/>
      <c r="S1305" s="1"/>
    </row>
    <row r="1306" ht="14.25" customHeight="1">
      <c r="A1306" s="1"/>
      <c r="B1306" s="3092" t="s">
        <v>1685</v>
      </c>
      <c r="C1306" s="3093">
        <v>0.2</v>
      </c>
      <c r="D1306" s="3094">
        <f t="shared" si="107"/>
        <v>0.04</v>
      </c>
      <c r="E1306" s="3095"/>
      <c r="F1306" s="3096" t="s">
        <v>5</v>
      </c>
      <c r="G1306" s="264" t="s">
        <v>1562</v>
      </c>
      <c r="H1306" s="1"/>
      <c r="I1306" s="1"/>
      <c r="J1306" s="1"/>
      <c r="K1306" s="1"/>
      <c r="L1306" s="1"/>
      <c r="M1306" s="1"/>
      <c r="N1306" s="1"/>
      <c r="O1306" s="1"/>
      <c r="P1306" s="1"/>
      <c r="Q1306" s="1"/>
      <c r="R1306" s="1"/>
      <c r="S1306" s="1"/>
    </row>
    <row r="1307" ht="14.25" customHeight="1">
      <c r="A1307" s="1"/>
      <c r="B1307" s="3097" t="s">
        <v>167</v>
      </c>
      <c r="C1307" s="3098">
        <v>0.2</v>
      </c>
      <c r="D1307" s="3099">
        <f t="shared" si="107"/>
        <v>0.04</v>
      </c>
      <c r="E1307" s="3100"/>
      <c r="F1307" s="3101" t="s">
        <v>5</v>
      </c>
      <c r="G1307" s="66"/>
      <c r="H1307" s="1"/>
      <c r="I1307" s="1"/>
      <c r="J1307" s="1"/>
      <c r="K1307" s="1"/>
      <c r="L1307" s="1"/>
      <c r="M1307" s="1"/>
      <c r="N1307" s="1"/>
      <c r="O1307" s="1"/>
      <c r="P1307" s="1"/>
      <c r="Q1307" s="1"/>
      <c r="R1307" s="1"/>
      <c r="S1307" s="1"/>
    </row>
    <row r="1308" ht="14.25" customHeight="1">
      <c r="A1308" s="1"/>
      <c r="B1308" s="1151" t="s">
        <v>114</v>
      </c>
      <c r="C1308" s="167">
        <v>2.5</v>
      </c>
      <c r="D1308" s="318">
        <f t="shared" si="107"/>
        <v>0.5</v>
      </c>
      <c r="E1308" s="2109"/>
      <c r="F1308" s="388" t="s">
        <v>5</v>
      </c>
      <c r="G1308" s="106"/>
      <c r="H1308" s="1"/>
      <c r="I1308" s="1"/>
      <c r="J1308" s="1"/>
      <c r="K1308" s="1"/>
      <c r="L1308" s="1"/>
      <c r="M1308" s="1"/>
      <c r="N1308" s="1"/>
      <c r="O1308" s="1"/>
      <c r="P1308" s="1"/>
      <c r="Q1308" s="1"/>
      <c r="R1308" s="1"/>
      <c r="S1308" s="1"/>
    </row>
    <row r="1309" ht="14.25" customHeight="1">
      <c r="A1309" s="1"/>
      <c r="B1309" s="1640" t="s">
        <v>119</v>
      </c>
      <c r="C1309" s="183" t="s">
        <v>47</v>
      </c>
      <c r="D1309" s="184"/>
      <c r="E1309" s="184"/>
      <c r="F1309" s="1"/>
      <c r="G1309" s="1"/>
      <c r="H1309" s="1"/>
      <c r="I1309" s="1"/>
      <c r="J1309" s="1"/>
      <c r="K1309" s="1"/>
      <c r="L1309" s="1"/>
      <c r="M1309" s="1"/>
      <c r="N1309" s="1"/>
      <c r="O1309" s="1"/>
      <c r="P1309" s="1"/>
      <c r="Q1309" s="1"/>
      <c r="R1309" s="1"/>
      <c r="S1309" s="1"/>
    </row>
    <row r="1310" ht="14.25" customHeight="1">
      <c r="A1310" s="1"/>
      <c r="B1310" s="873" t="s">
        <v>502</v>
      </c>
      <c r="C1310" s="3102">
        <v>40803.0</v>
      </c>
      <c r="D1310" s="1838"/>
      <c r="E1310" s="1838"/>
      <c r="F1310" s="1"/>
      <c r="G1310" s="1"/>
      <c r="H1310" s="1"/>
      <c r="I1310" s="1"/>
      <c r="J1310" s="1"/>
      <c r="K1310" s="1"/>
      <c r="L1310" s="1"/>
      <c r="M1310" s="1"/>
      <c r="N1310" s="1"/>
      <c r="O1310" s="1"/>
      <c r="P1310" s="1"/>
      <c r="Q1310" s="1"/>
      <c r="R1310" s="1"/>
      <c r="S1310" s="1"/>
    </row>
    <row r="1311" ht="14.25" customHeight="1">
      <c r="A1311" s="1"/>
      <c r="B1311" s="873" t="s">
        <v>50</v>
      </c>
      <c r="C1311" s="3102">
        <v>41497.0</v>
      </c>
      <c r="D1311" s="1838"/>
      <c r="E1311" s="1838"/>
      <c r="F1311" s="1"/>
      <c r="G1311" s="1"/>
      <c r="H1311" s="1"/>
      <c r="I1311" s="1"/>
      <c r="J1311" s="1"/>
      <c r="K1311" s="1"/>
      <c r="L1311" s="1"/>
      <c r="M1311" s="1"/>
      <c r="N1311" s="1"/>
      <c r="O1311" s="1"/>
      <c r="P1311" s="1"/>
      <c r="Q1311" s="1"/>
      <c r="R1311" s="1"/>
      <c r="S1311" s="1"/>
    </row>
    <row r="1312" ht="14.25" customHeight="1">
      <c r="A1312" s="1"/>
      <c r="B1312" s="1"/>
      <c r="C1312" s="107"/>
      <c r="D1312" s="184"/>
      <c r="E1312" s="184"/>
      <c r="F1312" s="1"/>
      <c r="G1312" s="1112"/>
      <c r="H1312" s="1"/>
      <c r="I1312" s="1"/>
      <c r="J1312" s="1"/>
      <c r="K1312" s="1"/>
      <c r="L1312" s="1"/>
      <c r="M1312" s="1"/>
      <c r="N1312" s="1"/>
      <c r="O1312" s="1"/>
      <c r="P1312" s="1"/>
      <c r="Q1312" s="1"/>
      <c r="R1312" s="1"/>
      <c r="S1312" s="1"/>
    </row>
    <row r="1313" ht="14.25" customHeight="1">
      <c r="A1313" s="1"/>
      <c r="B1313" s="209" t="s">
        <v>1120</v>
      </c>
      <c r="C1313" s="18"/>
      <c r="D1313" s="18"/>
      <c r="E1313" s="18"/>
      <c r="F1313" s="19"/>
      <c r="G1313" s="3103" t="s">
        <v>3565</v>
      </c>
      <c r="H1313" s="1"/>
      <c r="I1313" s="1"/>
      <c r="J1313" s="1"/>
      <c r="K1313" s="1"/>
      <c r="L1313" s="1"/>
      <c r="M1313" s="1"/>
      <c r="N1313" s="1"/>
      <c r="O1313" s="1"/>
      <c r="P1313" s="1"/>
      <c r="Q1313" s="1"/>
      <c r="R1313" s="1"/>
      <c r="S1313" s="1"/>
    </row>
    <row r="1314" ht="14.25" customHeight="1">
      <c r="A1314" s="1"/>
      <c r="B1314" s="25" t="s">
        <v>1</v>
      </c>
      <c r="C1314" s="410">
        <v>15.0</v>
      </c>
      <c r="D1314" s="526">
        <v>32.0</v>
      </c>
      <c r="E1314" s="2144"/>
      <c r="F1314" s="1505" t="s">
        <v>5</v>
      </c>
      <c r="G1314" s="3104"/>
      <c r="H1314" s="1"/>
      <c r="I1314" s="1"/>
      <c r="J1314" s="1"/>
      <c r="K1314" s="1"/>
      <c r="L1314" s="1"/>
      <c r="M1314" s="1"/>
      <c r="N1314" s="1"/>
      <c r="O1314" s="1"/>
      <c r="P1314" s="1"/>
      <c r="Q1314" s="1"/>
      <c r="R1314" s="1"/>
      <c r="S1314" s="1"/>
    </row>
    <row r="1315" ht="14.25" customHeight="1">
      <c r="A1315" s="1"/>
      <c r="B1315" s="163" t="s">
        <v>3566</v>
      </c>
      <c r="C1315" s="131">
        <v>7.5</v>
      </c>
      <c r="D1315" s="155">
        <f t="shared" ref="D1315:D1316" si="108">(C1315*D1314)/C1314</f>
        <v>16</v>
      </c>
      <c r="E1315" s="899"/>
      <c r="F1315" s="991" t="s">
        <v>14</v>
      </c>
      <c r="G1315" s="3104"/>
      <c r="H1315" s="1"/>
      <c r="I1315" s="1"/>
      <c r="J1315" s="1"/>
      <c r="K1315" s="1"/>
      <c r="L1315" s="1"/>
      <c r="M1315" s="1"/>
      <c r="N1315" s="1"/>
      <c r="O1315" s="1"/>
      <c r="P1315" s="1"/>
      <c r="Q1315" s="1"/>
      <c r="R1315" s="1"/>
      <c r="S1315" s="1"/>
    </row>
    <row r="1316" ht="14.25" customHeight="1">
      <c r="A1316" s="1"/>
      <c r="B1316" s="177" t="s">
        <v>3567</v>
      </c>
      <c r="C1316" s="160">
        <v>75.0</v>
      </c>
      <c r="D1316" s="78">
        <f t="shared" si="108"/>
        <v>160</v>
      </c>
      <c r="E1316" s="900"/>
      <c r="F1316" s="993" t="s">
        <v>18</v>
      </c>
      <c r="G1316" s="3104"/>
      <c r="H1316" s="1"/>
      <c r="I1316" s="1"/>
      <c r="J1316" s="1"/>
      <c r="K1316" s="1"/>
      <c r="L1316" s="1"/>
      <c r="M1316" s="1"/>
      <c r="N1316" s="1"/>
      <c r="O1316" s="1"/>
      <c r="P1316" s="1"/>
      <c r="Q1316" s="1"/>
      <c r="R1316" s="1"/>
      <c r="S1316" s="1"/>
    </row>
    <row r="1317" ht="14.25" customHeight="1">
      <c r="A1317" s="1"/>
      <c r="B1317" s="208" t="s">
        <v>3568</v>
      </c>
      <c r="C1317" s="167">
        <v>6.0</v>
      </c>
      <c r="D1317" s="56">
        <f>(C1317*D1315)/C1315</f>
        <v>12.8</v>
      </c>
      <c r="E1317" s="1604"/>
      <c r="F1317" s="996" t="s">
        <v>14</v>
      </c>
      <c r="G1317" s="3104"/>
      <c r="H1317" s="1"/>
      <c r="I1317" s="1"/>
      <c r="J1317" s="1"/>
      <c r="K1317" s="1"/>
      <c r="L1317" s="1"/>
      <c r="M1317" s="1"/>
      <c r="N1317" s="1"/>
      <c r="O1317" s="1"/>
      <c r="P1317" s="1"/>
      <c r="Q1317" s="1"/>
      <c r="R1317" s="1"/>
      <c r="S1317" s="1"/>
    </row>
    <row r="1318" ht="14.25" customHeight="1">
      <c r="A1318" s="1"/>
      <c r="B1318" s="157" t="s">
        <v>79</v>
      </c>
      <c r="C1318" s="174">
        <v>3.0</v>
      </c>
      <c r="D1318" s="519">
        <f>(C1318*D1315)/C1315</f>
        <v>6.4</v>
      </c>
      <c r="E1318" s="1657"/>
      <c r="F1318" s="1001" t="s">
        <v>14</v>
      </c>
      <c r="G1318" s="3105" t="s">
        <v>3569</v>
      </c>
      <c r="H1318" s="1"/>
      <c r="I1318" s="1"/>
      <c r="J1318" s="1"/>
      <c r="K1318" s="1"/>
      <c r="L1318" s="1"/>
      <c r="M1318" s="1"/>
      <c r="N1318" s="1"/>
      <c r="O1318" s="1"/>
      <c r="P1318" s="1"/>
      <c r="Q1318" s="1"/>
      <c r="R1318" s="1"/>
      <c r="S1318" s="1"/>
    </row>
    <row r="1319" ht="14.25" customHeight="1">
      <c r="A1319" s="1"/>
      <c r="B1319" s="177" t="s">
        <v>1243</v>
      </c>
      <c r="C1319" s="160">
        <v>400.0</v>
      </c>
      <c r="D1319" s="521">
        <f t="shared" ref="D1319:D1331" si="109">(C1319*D1318)/C1318</f>
        <v>853.3333333</v>
      </c>
      <c r="E1319" s="1653"/>
      <c r="F1319" s="993" t="s">
        <v>18</v>
      </c>
      <c r="G1319" s="98"/>
      <c r="H1319" s="1"/>
      <c r="I1319" s="1"/>
      <c r="J1319" s="1"/>
      <c r="K1319" s="1"/>
      <c r="L1319" s="1"/>
      <c r="M1319" s="1"/>
      <c r="N1319" s="1"/>
      <c r="O1319" s="1"/>
      <c r="P1319" s="1"/>
      <c r="Q1319" s="1"/>
      <c r="R1319" s="1"/>
      <c r="S1319" s="1"/>
    </row>
    <row r="1320" ht="14.25" customHeight="1">
      <c r="A1320" s="1"/>
      <c r="B1320" s="177" t="s">
        <v>1132</v>
      </c>
      <c r="C1320" s="160">
        <v>400.0</v>
      </c>
      <c r="D1320" s="521">
        <f t="shared" si="109"/>
        <v>853.3333333</v>
      </c>
      <c r="E1320" s="1653"/>
      <c r="F1320" s="993" t="s">
        <v>18</v>
      </c>
      <c r="G1320" s="98"/>
      <c r="H1320" s="1"/>
      <c r="I1320" s="1"/>
      <c r="J1320" s="1"/>
      <c r="K1320" s="1"/>
      <c r="L1320" s="1"/>
      <c r="M1320" s="1"/>
      <c r="N1320" s="1"/>
      <c r="O1320" s="1"/>
      <c r="P1320" s="1"/>
      <c r="Q1320" s="1"/>
      <c r="R1320" s="1"/>
      <c r="S1320" s="1"/>
    </row>
    <row r="1321" ht="14.25" customHeight="1">
      <c r="A1321" s="1"/>
      <c r="B1321" s="177" t="s">
        <v>149</v>
      </c>
      <c r="C1321" s="160">
        <v>150.0</v>
      </c>
      <c r="D1321" s="521">
        <f t="shared" si="109"/>
        <v>320</v>
      </c>
      <c r="E1321" s="1653"/>
      <c r="F1321" s="993" t="s">
        <v>18</v>
      </c>
      <c r="G1321" s="98"/>
      <c r="H1321" s="1"/>
      <c r="I1321" s="1"/>
      <c r="J1321" s="1"/>
      <c r="K1321" s="1"/>
      <c r="L1321" s="1"/>
      <c r="M1321" s="1"/>
      <c r="N1321" s="1"/>
      <c r="O1321" s="1"/>
      <c r="P1321" s="1"/>
      <c r="Q1321" s="1"/>
      <c r="R1321" s="1"/>
      <c r="S1321" s="1"/>
    </row>
    <row r="1322" ht="14.25" customHeight="1">
      <c r="A1322" s="1"/>
      <c r="B1322" s="177" t="s">
        <v>553</v>
      </c>
      <c r="C1322" s="160">
        <v>60.0</v>
      </c>
      <c r="D1322" s="2932">
        <f t="shared" si="109"/>
        <v>128</v>
      </c>
      <c r="E1322" s="2933"/>
      <c r="F1322" s="993" t="s">
        <v>18</v>
      </c>
      <c r="G1322" s="98"/>
      <c r="H1322" s="1"/>
      <c r="I1322" s="1"/>
      <c r="J1322" s="1"/>
      <c r="K1322" s="1"/>
      <c r="L1322" s="1"/>
      <c r="M1322" s="1"/>
      <c r="N1322" s="1"/>
      <c r="O1322" s="1"/>
      <c r="P1322" s="1"/>
      <c r="Q1322" s="1"/>
      <c r="R1322" s="1"/>
      <c r="S1322" s="1"/>
    </row>
    <row r="1323" ht="14.25" customHeight="1">
      <c r="A1323" s="1"/>
      <c r="B1323" s="177" t="s">
        <v>52</v>
      </c>
      <c r="C1323" s="160">
        <v>30.0</v>
      </c>
      <c r="D1323" s="2932">
        <f t="shared" si="109"/>
        <v>64</v>
      </c>
      <c r="E1323" s="2933"/>
      <c r="F1323" s="993" t="s">
        <v>18</v>
      </c>
      <c r="G1323" s="98"/>
      <c r="H1323" s="1"/>
      <c r="I1323" s="1"/>
      <c r="J1323" s="1"/>
      <c r="K1323" s="1"/>
      <c r="L1323" s="1"/>
      <c r="M1323" s="1"/>
      <c r="N1323" s="1"/>
      <c r="O1323" s="1"/>
      <c r="P1323" s="1"/>
      <c r="Q1323" s="1"/>
      <c r="R1323" s="1"/>
      <c r="S1323" s="1"/>
    </row>
    <row r="1324" ht="14.25" customHeight="1">
      <c r="A1324" s="1"/>
      <c r="B1324" s="177" t="s">
        <v>935</v>
      </c>
      <c r="C1324" s="160">
        <v>200.0</v>
      </c>
      <c r="D1324" s="2932">
        <f t="shared" si="109"/>
        <v>426.6666667</v>
      </c>
      <c r="E1324" s="2933"/>
      <c r="F1324" s="993" t="s">
        <v>18</v>
      </c>
      <c r="G1324" s="98"/>
      <c r="H1324" s="1"/>
      <c r="I1324" s="1"/>
      <c r="J1324" s="1"/>
      <c r="K1324" s="1"/>
      <c r="L1324" s="1"/>
      <c r="M1324" s="1"/>
      <c r="N1324" s="1"/>
      <c r="O1324" s="1"/>
      <c r="P1324" s="1"/>
      <c r="Q1324" s="1"/>
      <c r="R1324" s="1"/>
      <c r="S1324" s="1"/>
    </row>
    <row r="1325" ht="14.25" customHeight="1">
      <c r="A1325" s="1"/>
      <c r="B1325" s="177" t="s">
        <v>1027</v>
      </c>
      <c r="C1325" s="160">
        <v>40.0</v>
      </c>
      <c r="D1325" s="2932">
        <f t="shared" si="109"/>
        <v>85.33333333</v>
      </c>
      <c r="E1325" s="2933"/>
      <c r="F1325" s="993" t="s">
        <v>18</v>
      </c>
      <c r="G1325" s="98"/>
      <c r="H1325" s="1"/>
      <c r="I1325" s="1"/>
      <c r="J1325" s="1"/>
      <c r="K1325" s="1"/>
      <c r="L1325" s="1"/>
      <c r="M1325" s="1"/>
      <c r="N1325" s="1"/>
      <c r="O1325" s="1"/>
      <c r="P1325" s="1"/>
      <c r="Q1325" s="1"/>
      <c r="R1325" s="1"/>
      <c r="S1325" s="1"/>
    </row>
    <row r="1326" ht="14.25" customHeight="1">
      <c r="A1326" s="1"/>
      <c r="B1326" s="208" t="s">
        <v>105</v>
      </c>
      <c r="C1326" s="167">
        <v>40.0</v>
      </c>
      <c r="D1326" s="3106">
        <f t="shared" si="109"/>
        <v>85.33333333</v>
      </c>
      <c r="E1326" s="3107"/>
      <c r="F1326" s="996" t="s">
        <v>18</v>
      </c>
      <c r="G1326" s="115"/>
      <c r="H1326" s="1"/>
      <c r="I1326" s="1"/>
      <c r="J1326" s="1"/>
      <c r="K1326" s="1"/>
      <c r="L1326" s="1"/>
      <c r="M1326" s="1"/>
      <c r="N1326" s="1"/>
      <c r="O1326" s="1"/>
      <c r="P1326" s="1"/>
      <c r="Q1326" s="1"/>
      <c r="R1326" s="1"/>
      <c r="S1326" s="1"/>
    </row>
    <row r="1327" ht="14.25" customHeight="1">
      <c r="A1327" s="1"/>
      <c r="B1327" s="163" t="s">
        <v>91</v>
      </c>
      <c r="C1327" s="131">
        <v>0.15</v>
      </c>
      <c r="D1327" s="3030">
        <f t="shared" si="109"/>
        <v>0.32</v>
      </c>
      <c r="E1327" s="3031"/>
      <c r="F1327" s="991" t="s">
        <v>5</v>
      </c>
      <c r="G1327" s="3105" t="s">
        <v>3570</v>
      </c>
      <c r="H1327" s="1"/>
      <c r="I1327" s="1"/>
      <c r="J1327" s="1"/>
      <c r="K1327" s="1"/>
      <c r="L1327" s="1"/>
      <c r="M1327" s="1"/>
      <c r="N1327" s="1"/>
      <c r="O1327" s="1"/>
      <c r="P1327" s="1"/>
      <c r="Q1327" s="1"/>
      <c r="R1327" s="1"/>
      <c r="S1327" s="1"/>
    </row>
    <row r="1328" ht="14.25" customHeight="1">
      <c r="A1328" s="1"/>
      <c r="B1328" s="177" t="s">
        <v>98</v>
      </c>
      <c r="C1328" s="160">
        <v>20.0</v>
      </c>
      <c r="D1328" s="2932">
        <f t="shared" si="109"/>
        <v>42.66666667</v>
      </c>
      <c r="E1328" s="2933"/>
      <c r="F1328" s="993" t="s">
        <v>18</v>
      </c>
      <c r="G1328" s="98"/>
      <c r="H1328" s="1"/>
      <c r="I1328" s="1"/>
      <c r="J1328" s="1"/>
      <c r="K1328" s="1"/>
      <c r="L1328" s="1"/>
      <c r="M1328" s="1"/>
      <c r="N1328" s="1"/>
      <c r="O1328" s="1"/>
      <c r="P1328" s="1"/>
      <c r="Q1328" s="1"/>
      <c r="R1328" s="1"/>
      <c r="S1328" s="1"/>
    </row>
    <row r="1329" ht="14.25" customHeight="1">
      <c r="A1329" s="1"/>
      <c r="B1329" s="177" t="s">
        <v>103</v>
      </c>
      <c r="C1329" s="160">
        <v>25.0</v>
      </c>
      <c r="D1329" s="2932">
        <f t="shared" si="109"/>
        <v>53.33333333</v>
      </c>
      <c r="E1329" s="2933"/>
      <c r="F1329" s="993" t="s">
        <v>18</v>
      </c>
      <c r="G1329" s="98"/>
      <c r="H1329" s="1"/>
      <c r="I1329" s="1"/>
      <c r="J1329" s="1"/>
      <c r="K1329" s="1"/>
      <c r="L1329" s="1"/>
      <c r="M1329" s="1"/>
      <c r="N1329" s="1"/>
      <c r="O1329" s="1"/>
      <c r="P1329" s="1"/>
      <c r="Q1329" s="1"/>
      <c r="R1329" s="1"/>
      <c r="S1329" s="1"/>
    </row>
    <row r="1330" ht="14.25" customHeight="1">
      <c r="A1330" s="1"/>
      <c r="B1330" s="208" t="s">
        <v>101</v>
      </c>
      <c r="C1330" s="167">
        <v>0.3</v>
      </c>
      <c r="D1330" s="517">
        <f t="shared" si="109"/>
        <v>0.64</v>
      </c>
      <c r="E1330" s="1656"/>
      <c r="F1330" s="996" t="s">
        <v>5</v>
      </c>
      <c r="G1330" s="115"/>
      <c r="H1330" s="1"/>
      <c r="I1330" s="1"/>
      <c r="J1330" s="1"/>
      <c r="K1330" s="1"/>
      <c r="L1330" s="1"/>
      <c r="M1330" s="1"/>
      <c r="N1330" s="1"/>
      <c r="O1330" s="1"/>
      <c r="P1330" s="1"/>
      <c r="Q1330" s="1"/>
      <c r="R1330" s="1"/>
      <c r="S1330" s="1"/>
    </row>
    <row r="1331" ht="14.25" customHeight="1">
      <c r="A1331" s="1"/>
      <c r="B1331" s="325" t="s">
        <v>958</v>
      </c>
      <c r="C1331" s="368">
        <v>0.1</v>
      </c>
      <c r="D1331" s="517">
        <f t="shared" si="109"/>
        <v>0.2133333333</v>
      </c>
      <c r="E1331" s="2360"/>
      <c r="F1331" s="1319" t="s">
        <v>5</v>
      </c>
      <c r="G1331" s="3104"/>
      <c r="H1331" s="1"/>
      <c r="I1331" s="1"/>
      <c r="J1331" s="1"/>
      <c r="K1331" s="1"/>
      <c r="L1331" s="1"/>
      <c r="M1331" s="1"/>
      <c r="N1331" s="1"/>
      <c r="O1331" s="1"/>
      <c r="P1331" s="1"/>
      <c r="Q1331" s="1"/>
      <c r="R1331" s="1"/>
      <c r="S1331" s="1"/>
    </row>
    <row r="1332" ht="14.25" customHeight="1">
      <c r="A1332" s="1"/>
      <c r="B1332" s="1640" t="s">
        <v>119</v>
      </c>
      <c r="C1332" s="183" t="s">
        <v>47</v>
      </c>
      <c r="D1332" s="184"/>
      <c r="E1332" s="184"/>
      <c r="F1332" s="1"/>
      <c r="G1332" s="1"/>
      <c r="H1332" s="1"/>
      <c r="I1332" s="1"/>
      <c r="J1332" s="1"/>
      <c r="K1332" s="1"/>
      <c r="L1332" s="1"/>
      <c r="M1332" s="1"/>
      <c r="N1332" s="1"/>
      <c r="O1332" s="1"/>
      <c r="P1332" s="1"/>
      <c r="Q1332" s="1"/>
      <c r="R1332" s="1"/>
      <c r="S1332" s="1"/>
    </row>
    <row r="1333" ht="14.25" customHeight="1">
      <c r="A1333" s="1"/>
      <c r="B1333" s="1499" t="s">
        <v>2447</v>
      </c>
      <c r="C1333" s="2806">
        <v>42068.0</v>
      </c>
      <c r="D1333" s="2981"/>
      <c r="E1333" s="2981"/>
      <c r="F1333" s="1"/>
      <c r="G1333" s="1"/>
      <c r="H1333" s="1"/>
      <c r="I1333" s="1"/>
      <c r="J1333" s="1"/>
      <c r="K1333" s="1"/>
      <c r="L1333" s="1"/>
      <c r="M1333" s="1"/>
      <c r="N1333" s="1"/>
      <c r="O1333" s="1"/>
      <c r="P1333" s="1"/>
      <c r="Q1333" s="1"/>
      <c r="R1333" s="1"/>
      <c r="S1333" s="1"/>
    </row>
    <row r="1334" ht="14.25" customHeight="1">
      <c r="A1334" s="1"/>
      <c r="B1334" s="664" t="s">
        <v>1486</v>
      </c>
      <c r="C1334" s="2823"/>
      <c r="D1334" s="2981"/>
      <c r="E1334" s="2981"/>
      <c r="F1334" s="1"/>
      <c r="G1334" s="1"/>
      <c r="H1334" s="1"/>
      <c r="I1334" s="1"/>
      <c r="J1334" s="1"/>
      <c r="K1334" s="1"/>
      <c r="L1334" s="1"/>
      <c r="M1334" s="1"/>
      <c r="N1334" s="1"/>
      <c r="O1334" s="1"/>
      <c r="P1334" s="1"/>
      <c r="Q1334" s="1"/>
      <c r="R1334" s="1"/>
      <c r="S1334" s="1"/>
    </row>
    <row r="1335" ht="14.25" customHeight="1">
      <c r="A1335" s="1"/>
      <c r="B1335" s="1"/>
      <c r="C1335" s="107"/>
      <c r="D1335" s="184"/>
      <c r="E1335" s="184"/>
      <c r="F1335" s="1"/>
      <c r="G1335" s="1112"/>
      <c r="H1335" s="1"/>
      <c r="I1335" s="1"/>
      <c r="J1335" s="1"/>
      <c r="K1335" s="1"/>
      <c r="L1335" s="1"/>
      <c r="M1335" s="1"/>
      <c r="N1335" s="1"/>
      <c r="O1335" s="1"/>
      <c r="P1335" s="1"/>
      <c r="Q1335" s="1"/>
      <c r="R1335" s="1"/>
      <c r="S1335" s="1"/>
    </row>
    <row r="1336" ht="14.25" customHeight="1">
      <c r="A1336" s="1"/>
      <c r="B1336" s="16" t="s">
        <v>3571</v>
      </c>
      <c r="C1336" s="18"/>
      <c r="D1336" s="18"/>
      <c r="E1336" s="18"/>
      <c r="F1336" s="19"/>
      <c r="G1336" s="2484" t="s">
        <v>661</v>
      </c>
      <c r="H1336" s="1"/>
      <c r="I1336" s="1"/>
      <c r="J1336" s="1"/>
      <c r="K1336" s="1"/>
      <c r="L1336" s="1"/>
      <c r="M1336" s="1"/>
      <c r="N1336" s="1"/>
      <c r="O1336" s="1"/>
      <c r="P1336" s="1"/>
      <c r="Q1336" s="1"/>
      <c r="R1336" s="1"/>
      <c r="S1336" s="1"/>
    </row>
    <row r="1337" ht="14.25" customHeight="1">
      <c r="A1337" s="1"/>
      <c r="B1337" s="163" t="s">
        <v>3572</v>
      </c>
      <c r="C1337" s="221">
        <v>4.0</v>
      </c>
      <c r="D1337" s="164">
        <v>0.0</v>
      </c>
      <c r="E1337" s="1731"/>
      <c r="F1337" s="169" t="s">
        <v>14</v>
      </c>
      <c r="G1337" s="44" t="s">
        <v>3573</v>
      </c>
      <c r="H1337" s="1"/>
      <c r="I1337" s="1"/>
      <c r="J1337" s="1"/>
      <c r="K1337" s="1"/>
      <c r="L1337" s="1"/>
      <c r="M1337" s="1"/>
      <c r="N1337" s="1"/>
      <c r="O1337" s="1"/>
      <c r="P1337" s="1"/>
      <c r="Q1337" s="1"/>
      <c r="R1337" s="1"/>
      <c r="S1337" s="1"/>
    </row>
    <row r="1338" ht="14.25" customHeight="1">
      <c r="A1338" s="1"/>
      <c r="B1338" s="177" t="s">
        <v>1017</v>
      </c>
      <c r="C1338" s="27">
        <v>4.0</v>
      </c>
      <c r="D1338" s="201">
        <v>6.0</v>
      </c>
      <c r="E1338" s="1735"/>
      <c r="F1338" s="204" t="s">
        <v>14</v>
      </c>
      <c r="G1338" s="47"/>
      <c r="H1338" s="1"/>
      <c r="I1338" s="1"/>
      <c r="J1338" s="1"/>
      <c r="K1338" s="1"/>
      <c r="L1338" s="1"/>
      <c r="M1338" s="1"/>
      <c r="N1338" s="1"/>
      <c r="O1338" s="1"/>
      <c r="P1338" s="1"/>
      <c r="Q1338" s="1"/>
      <c r="R1338" s="1"/>
      <c r="S1338" s="1"/>
    </row>
    <row r="1339" ht="14.25" customHeight="1">
      <c r="A1339" s="1"/>
      <c r="B1339" s="177" t="s">
        <v>1441</v>
      </c>
      <c r="C1339" s="27">
        <v>3.0</v>
      </c>
      <c r="D1339" s="201">
        <v>0.0</v>
      </c>
      <c r="E1339" s="1735"/>
      <c r="F1339" s="204" t="s">
        <v>14</v>
      </c>
      <c r="G1339" s="47"/>
      <c r="H1339" s="1"/>
      <c r="I1339" s="1"/>
      <c r="J1339" s="1"/>
      <c r="K1339" s="1"/>
      <c r="L1339" s="1"/>
      <c r="M1339" s="1"/>
      <c r="N1339" s="1"/>
      <c r="O1339" s="1"/>
      <c r="P1339" s="1"/>
      <c r="Q1339" s="1"/>
      <c r="R1339" s="1"/>
      <c r="S1339" s="1"/>
    </row>
    <row r="1340" ht="14.25" customHeight="1">
      <c r="A1340" s="1"/>
      <c r="B1340" s="177" t="s">
        <v>3468</v>
      </c>
      <c r="C1340" s="27">
        <v>3.0</v>
      </c>
      <c r="D1340" s="201">
        <v>0.0</v>
      </c>
      <c r="E1340" s="1735"/>
      <c r="F1340" s="204" t="s">
        <v>14</v>
      </c>
      <c r="G1340" s="47"/>
      <c r="H1340" s="1"/>
      <c r="I1340" s="1"/>
      <c r="J1340" s="1"/>
      <c r="K1340" s="1"/>
      <c r="L1340" s="1"/>
      <c r="M1340" s="1"/>
      <c r="N1340" s="1"/>
      <c r="O1340" s="1"/>
      <c r="P1340" s="1"/>
      <c r="Q1340" s="1"/>
      <c r="R1340" s="1"/>
      <c r="S1340" s="1"/>
    </row>
    <row r="1341" ht="14.25" customHeight="1">
      <c r="A1341" s="1"/>
      <c r="B1341" s="177" t="s">
        <v>3574</v>
      </c>
      <c r="C1341" s="27">
        <v>3.0</v>
      </c>
      <c r="D1341" s="201">
        <v>0.0</v>
      </c>
      <c r="E1341" s="1735"/>
      <c r="F1341" s="204" t="s">
        <v>14</v>
      </c>
      <c r="G1341" s="47"/>
      <c r="H1341" s="1"/>
      <c r="I1341" s="1"/>
      <c r="J1341" s="1"/>
      <c r="K1341" s="1"/>
      <c r="L1341" s="1"/>
      <c r="M1341" s="1"/>
      <c r="N1341" s="1"/>
      <c r="O1341" s="1"/>
      <c r="P1341" s="1"/>
      <c r="Q1341" s="1"/>
      <c r="R1341" s="1"/>
      <c r="S1341" s="1"/>
    </row>
    <row r="1342" ht="14.25" customHeight="1">
      <c r="A1342" s="1"/>
      <c r="B1342" s="208" t="s">
        <v>1161</v>
      </c>
      <c r="C1342" s="236">
        <v>9.0</v>
      </c>
      <c r="D1342" s="257">
        <v>0.0</v>
      </c>
      <c r="E1342" s="1738"/>
      <c r="F1342" s="212" t="s">
        <v>14</v>
      </c>
      <c r="G1342" s="76"/>
      <c r="H1342" s="1"/>
      <c r="I1342" s="1"/>
      <c r="J1342" s="1"/>
      <c r="K1342" s="1"/>
      <c r="L1342" s="1"/>
      <c r="M1342" s="1"/>
      <c r="N1342" s="1"/>
      <c r="O1342" s="1"/>
      <c r="P1342" s="1"/>
      <c r="Q1342" s="1"/>
      <c r="R1342" s="1"/>
      <c r="S1342" s="1"/>
    </row>
    <row r="1343" ht="14.25" customHeight="1">
      <c r="A1343" s="1"/>
      <c r="B1343" s="458" t="s">
        <v>314</v>
      </c>
      <c r="C1343" s="71">
        <f t="shared" ref="C1343:D1343" si="110">SUM(C1337:C1341) + C1342/3</f>
        <v>20</v>
      </c>
      <c r="D1343" s="608">
        <f t="shared" si="110"/>
        <v>6</v>
      </c>
      <c r="E1343" s="2150"/>
      <c r="F1343" s="463" t="s">
        <v>14</v>
      </c>
      <c r="G1343" s="2151"/>
      <c r="H1343" s="1"/>
      <c r="I1343" s="1"/>
      <c r="J1343" s="1"/>
      <c r="K1343" s="1"/>
      <c r="L1343" s="1"/>
      <c r="M1343" s="1"/>
      <c r="N1343" s="1"/>
      <c r="O1343" s="1"/>
      <c r="P1343" s="1"/>
      <c r="Q1343" s="1"/>
      <c r="R1343" s="1"/>
      <c r="S1343" s="1"/>
    </row>
    <row r="1344" ht="14.25" customHeight="1">
      <c r="A1344" s="1"/>
      <c r="B1344" s="325" t="s">
        <v>3575</v>
      </c>
      <c r="C1344" s="370">
        <v>1000.0</v>
      </c>
      <c r="D1344" s="1362">
        <f t="shared" ref="D1344:D1350" si="111">(C1344*D1343)/C1343</f>
        <v>300</v>
      </c>
      <c r="E1344" s="2186"/>
      <c r="F1344" s="338" t="s">
        <v>18</v>
      </c>
      <c r="G1344" s="141"/>
      <c r="H1344" s="1"/>
      <c r="I1344" s="1"/>
      <c r="J1344" s="1"/>
      <c r="K1344" s="1"/>
      <c r="L1344" s="1"/>
      <c r="M1344" s="1"/>
      <c r="N1344" s="1"/>
      <c r="O1344" s="1"/>
      <c r="P1344" s="1"/>
      <c r="Q1344" s="1"/>
      <c r="R1344" s="1"/>
      <c r="S1344" s="1"/>
    </row>
    <row r="1345" ht="14.25" customHeight="1">
      <c r="A1345" s="1"/>
      <c r="B1345" s="251" t="s">
        <v>1</v>
      </c>
      <c r="C1345" s="1248">
        <v>100.0</v>
      </c>
      <c r="D1345" s="253">
        <f t="shared" si="111"/>
        <v>30</v>
      </c>
      <c r="E1345" s="1760"/>
      <c r="F1345" s="255" t="s">
        <v>5</v>
      </c>
      <c r="G1345" s="141"/>
      <c r="H1345" s="1"/>
      <c r="I1345" s="1"/>
      <c r="J1345" s="1"/>
      <c r="K1345" s="1"/>
      <c r="L1345" s="1"/>
      <c r="M1345" s="1"/>
      <c r="N1345" s="1"/>
      <c r="O1345" s="1"/>
      <c r="P1345" s="1"/>
      <c r="Q1345" s="1"/>
      <c r="R1345" s="1"/>
      <c r="S1345" s="1"/>
    </row>
    <row r="1346" ht="14.25" customHeight="1">
      <c r="A1346" s="1"/>
      <c r="B1346" s="163" t="s">
        <v>91</v>
      </c>
      <c r="C1346" s="221">
        <v>2.5</v>
      </c>
      <c r="D1346" s="164">
        <f t="shared" si="111"/>
        <v>0.75</v>
      </c>
      <c r="E1346" s="1731"/>
      <c r="F1346" s="169" t="s">
        <v>5</v>
      </c>
      <c r="G1346" s="44" t="s">
        <v>3576</v>
      </c>
      <c r="H1346" s="1"/>
      <c r="I1346" s="1"/>
      <c r="J1346" s="1"/>
      <c r="K1346" s="1"/>
      <c r="L1346" s="1"/>
      <c r="M1346" s="1"/>
      <c r="N1346" s="1"/>
      <c r="O1346" s="1"/>
      <c r="P1346" s="1"/>
      <c r="Q1346" s="1"/>
      <c r="R1346" s="1"/>
      <c r="S1346" s="1"/>
    </row>
    <row r="1347" ht="14.25" customHeight="1">
      <c r="A1347" s="1"/>
      <c r="B1347" s="177" t="s">
        <v>97</v>
      </c>
      <c r="C1347" s="27">
        <v>100.0</v>
      </c>
      <c r="D1347" s="201">
        <f t="shared" si="111"/>
        <v>30</v>
      </c>
      <c r="E1347" s="1735"/>
      <c r="F1347" s="204" t="s">
        <v>18</v>
      </c>
      <c r="G1347" s="47"/>
      <c r="H1347" s="1"/>
      <c r="I1347" s="1"/>
      <c r="J1347" s="1"/>
      <c r="K1347" s="1"/>
      <c r="L1347" s="1"/>
      <c r="M1347" s="1"/>
      <c r="N1347" s="1"/>
      <c r="O1347" s="1"/>
      <c r="P1347" s="1"/>
      <c r="Q1347" s="1"/>
      <c r="R1347" s="1"/>
      <c r="S1347" s="1"/>
    </row>
    <row r="1348" ht="14.25" customHeight="1">
      <c r="A1348" s="1"/>
      <c r="B1348" s="177" t="s">
        <v>98</v>
      </c>
      <c r="C1348" s="27">
        <v>125.0</v>
      </c>
      <c r="D1348" s="201">
        <f t="shared" si="111"/>
        <v>37.5</v>
      </c>
      <c r="E1348" s="1735"/>
      <c r="F1348" s="204" t="s">
        <v>18</v>
      </c>
      <c r="G1348" s="47"/>
      <c r="H1348" s="1"/>
      <c r="I1348" s="1"/>
      <c r="J1348" s="1"/>
      <c r="K1348" s="1"/>
      <c r="L1348" s="1"/>
      <c r="M1348" s="1"/>
      <c r="N1348" s="1"/>
      <c r="O1348" s="1"/>
      <c r="P1348" s="1"/>
      <c r="Q1348" s="1"/>
      <c r="R1348" s="1"/>
      <c r="S1348" s="1"/>
    </row>
    <row r="1349" ht="14.25" customHeight="1">
      <c r="A1349" s="1"/>
      <c r="B1349" s="177" t="s">
        <v>103</v>
      </c>
      <c r="C1349" s="27">
        <v>125.0</v>
      </c>
      <c r="D1349" s="201">
        <f t="shared" si="111"/>
        <v>37.5</v>
      </c>
      <c r="E1349" s="1735"/>
      <c r="F1349" s="204" t="s">
        <v>18</v>
      </c>
      <c r="G1349" s="47"/>
      <c r="H1349" s="1"/>
      <c r="I1349" s="1"/>
      <c r="J1349" s="1"/>
      <c r="K1349" s="1"/>
      <c r="L1349" s="1"/>
      <c r="M1349" s="1"/>
      <c r="N1349" s="1"/>
      <c r="O1349" s="1"/>
      <c r="P1349" s="1"/>
      <c r="Q1349" s="1"/>
      <c r="R1349" s="1"/>
      <c r="S1349" s="1"/>
    </row>
    <row r="1350" ht="14.25" customHeight="1">
      <c r="A1350" s="1"/>
      <c r="B1350" s="177" t="s">
        <v>52</v>
      </c>
      <c r="C1350" s="27">
        <v>150.0</v>
      </c>
      <c r="D1350" s="201">
        <f t="shared" si="111"/>
        <v>45</v>
      </c>
      <c r="E1350" s="1735"/>
      <c r="F1350" s="204" t="s">
        <v>18</v>
      </c>
      <c r="G1350" s="47"/>
      <c r="H1350" s="1"/>
      <c r="I1350" s="1"/>
      <c r="J1350" s="1"/>
      <c r="K1350" s="1"/>
      <c r="L1350" s="1"/>
      <c r="M1350" s="1"/>
      <c r="N1350" s="1"/>
      <c r="O1350" s="1"/>
      <c r="P1350" s="1"/>
      <c r="Q1350" s="1"/>
      <c r="R1350" s="1"/>
      <c r="S1350" s="1"/>
    </row>
    <row r="1351" ht="14.25" customHeight="1">
      <c r="A1351" s="1"/>
      <c r="B1351" s="177" t="s">
        <v>154</v>
      </c>
      <c r="C1351" s="27">
        <v>5.0</v>
      </c>
      <c r="D1351" s="201">
        <f>(C1351*D1357)/C1357</f>
        <v>1.5</v>
      </c>
      <c r="E1351" s="1735"/>
      <c r="F1351" s="204" t="s">
        <v>14</v>
      </c>
      <c r="G1351" s="47"/>
      <c r="H1351" s="1"/>
      <c r="I1351" s="1"/>
      <c r="J1351" s="1"/>
      <c r="K1351" s="1"/>
      <c r="L1351" s="1"/>
      <c r="M1351" s="1"/>
      <c r="N1351" s="1"/>
      <c r="O1351" s="1"/>
      <c r="P1351" s="1"/>
      <c r="Q1351" s="1"/>
      <c r="R1351" s="1"/>
      <c r="S1351" s="1"/>
    </row>
    <row r="1352" ht="14.25" customHeight="1">
      <c r="A1352" s="1"/>
      <c r="B1352" s="177" t="s">
        <v>2829</v>
      </c>
      <c r="C1352" s="27">
        <v>750.0</v>
      </c>
      <c r="D1352" s="201">
        <f t="shared" ref="D1352:D1354" si="112">(C1352*D1350)/C1350</f>
        <v>225</v>
      </c>
      <c r="E1352" s="1735"/>
      <c r="F1352" s="204" t="s">
        <v>18</v>
      </c>
      <c r="G1352" s="47"/>
      <c r="H1352" s="1"/>
      <c r="I1352" s="1"/>
      <c r="J1352" s="1"/>
      <c r="K1352" s="1"/>
      <c r="L1352" s="1"/>
      <c r="M1352" s="1"/>
      <c r="N1352" s="1"/>
      <c r="O1352" s="1"/>
      <c r="P1352" s="1"/>
      <c r="Q1352" s="1"/>
      <c r="R1352" s="1"/>
      <c r="S1352" s="1"/>
    </row>
    <row r="1353" ht="14.25" customHeight="1">
      <c r="A1353" s="1"/>
      <c r="B1353" s="1221" t="s">
        <v>3577</v>
      </c>
      <c r="C1353" s="27">
        <v>1.0</v>
      </c>
      <c r="D1353" s="201">
        <f t="shared" si="112"/>
        <v>0.3</v>
      </c>
      <c r="E1353" s="1735"/>
      <c r="F1353" s="204" t="s">
        <v>14</v>
      </c>
      <c r="G1353" s="47"/>
      <c r="H1353" s="1"/>
      <c r="I1353" s="1"/>
      <c r="J1353" s="1"/>
      <c r="K1353" s="1"/>
      <c r="L1353" s="1"/>
      <c r="M1353" s="1"/>
      <c r="N1353" s="1"/>
      <c r="O1353" s="1"/>
      <c r="P1353" s="1"/>
      <c r="Q1353" s="1"/>
      <c r="R1353" s="1"/>
      <c r="S1353" s="1"/>
    </row>
    <row r="1354" ht="14.25" customHeight="1">
      <c r="A1354" s="1"/>
      <c r="B1354" s="208" t="s">
        <v>1092</v>
      </c>
      <c r="C1354" s="236">
        <v>15.0</v>
      </c>
      <c r="D1354" s="257">
        <f t="shared" si="112"/>
        <v>4.5</v>
      </c>
      <c r="E1354" s="1738"/>
      <c r="F1354" s="212" t="s">
        <v>14</v>
      </c>
      <c r="G1354" s="76"/>
      <c r="H1354" s="1"/>
      <c r="I1354" s="1"/>
      <c r="J1354" s="1"/>
      <c r="K1354" s="1"/>
      <c r="L1354" s="1"/>
      <c r="M1354" s="1"/>
      <c r="N1354" s="1"/>
      <c r="O1354" s="1"/>
      <c r="P1354" s="1"/>
      <c r="Q1354" s="1"/>
      <c r="R1354" s="1"/>
      <c r="S1354" s="1"/>
    </row>
    <row r="1355" ht="14.25" customHeight="1">
      <c r="A1355" s="1"/>
      <c r="B1355" s="157" t="s">
        <v>2834</v>
      </c>
      <c r="C1355" s="244">
        <v>1.0</v>
      </c>
      <c r="D1355" s="158">
        <f t="shared" ref="D1355:D1356" si="113">(C1355*D1352)/C1352</f>
        <v>0.3</v>
      </c>
      <c r="E1355" s="1998"/>
      <c r="F1355" s="159" t="s">
        <v>14</v>
      </c>
      <c r="G1355" s="44" t="s">
        <v>3578</v>
      </c>
      <c r="H1355" s="1"/>
      <c r="I1355" s="1"/>
      <c r="J1355" s="1"/>
      <c r="K1355" s="1"/>
      <c r="L1355" s="1"/>
      <c r="M1355" s="1"/>
      <c r="N1355" s="1"/>
      <c r="O1355" s="1"/>
      <c r="P1355" s="1"/>
      <c r="Q1355" s="1"/>
      <c r="R1355" s="1"/>
      <c r="S1355" s="1"/>
    </row>
    <row r="1356" ht="14.25" customHeight="1">
      <c r="A1356" s="1"/>
      <c r="B1356" s="177" t="s">
        <v>3579</v>
      </c>
      <c r="C1356" s="27">
        <v>1.0</v>
      </c>
      <c r="D1356" s="201">
        <f t="shared" si="113"/>
        <v>0.3</v>
      </c>
      <c r="E1356" s="1735"/>
      <c r="F1356" s="204" t="s">
        <v>14</v>
      </c>
      <c r="G1356" s="47"/>
      <c r="H1356" s="1"/>
      <c r="I1356" s="1"/>
      <c r="J1356" s="1"/>
      <c r="K1356" s="1"/>
      <c r="L1356" s="1"/>
      <c r="M1356" s="1"/>
      <c r="N1356" s="1"/>
      <c r="O1356" s="1"/>
      <c r="P1356" s="1"/>
      <c r="Q1356" s="1"/>
      <c r="R1356" s="1"/>
      <c r="S1356" s="1"/>
    </row>
    <row r="1357" ht="14.25" customHeight="1">
      <c r="A1357" s="1"/>
      <c r="B1357" s="177" t="s">
        <v>162</v>
      </c>
      <c r="C1357" s="27">
        <v>250.0</v>
      </c>
      <c r="D1357" s="201">
        <f t="shared" ref="D1357:D1361" si="114">(C1357*D1350)/C1350</f>
        <v>75</v>
      </c>
      <c r="E1357" s="1735"/>
      <c r="F1357" s="204" t="s">
        <v>18</v>
      </c>
      <c r="G1357" s="47"/>
      <c r="H1357" s="1"/>
      <c r="I1357" s="1"/>
      <c r="J1357" s="1"/>
      <c r="K1357" s="1"/>
      <c r="L1357" s="1"/>
      <c r="M1357" s="1"/>
      <c r="N1357" s="1"/>
      <c r="O1357" s="1"/>
      <c r="P1357" s="1"/>
      <c r="Q1357" s="1"/>
      <c r="R1357" s="1"/>
      <c r="S1357" s="1"/>
    </row>
    <row r="1358" ht="14.25" customHeight="1">
      <c r="A1358" s="1"/>
      <c r="B1358" s="208" t="s">
        <v>149</v>
      </c>
      <c r="C1358" s="236">
        <v>750.0</v>
      </c>
      <c r="D1358" s="257">
        <f t="shared" si="114"/>
        <v>225</v>
      </c>
      <c r="E1358" s="1738"/>
      <c r="F1358" s="212" t="s">
        <v>18</v>
      </c>
      <c r="G1358" s="76"/>
      <c r="H1358" s="1"/>
      <c r="I1358" s="1"/>
      <c r="J1358" s="1"/>
      <c r="K1358" s="1"/>
      <c r="L1358" s="1"/>
      <c r="M1358" s="1"/>
      <c r="N1358" s="1"/>
      <c r="O1358" s="1"/>
      <c r="P1358" s="1"/>
      <c r="Q1358" s="1"/>
      <c r="R1358" s="1"/>
      <c r="S1358" s="1"/>
    </row>
    <row r="1359" ht="14.25" customHeight="1">
      <c r="A1359" s="1"/>
      <c r="B1359" s="325" t="s">
        <v>984</v>
      </c>
      <c r="C1359" s="370">
        <v>25.0</v>
      </c>
      <c r="D1359" s="1362">
        <f t="shared" si="114"/>
        <v>7.5</v>
      </c>
      <c r="E1359" s="2186"/>
      <c r="F1359" s="338" t="s">
        <v>5</v>
      </c>
      <c r="G1359" s="2151" t="s">
        <v>3580</v>
      </c>
      <c r="H1359" s="1"/>
      <c r="I1359" s="1"/>
      <c r="J1359" s="1"/>
      <c r="K1359" s="1"/>
      <c r="L1359" s="1"/>
      <c r="M1359" s="1"/>
      <c r="N1359" s="1"/>
      <c r="O1359" s="1"/>
      <c r="P1359" s="1"/>
      <c r="Q1359" s="1"/>
      <c r="R1359" s="1"/>
      <c r="S1359" s="1"/>
    </row>
    <row r="1360" ht="14.25" customHeight="1">
      <c r="A1360" s="1"/>
      <c r="B1360" s="25" t="s">
        <v>31</v>
      </c>
      <c r="C1360" s="218">
        <v>500.0</v>
      </c>
      <c r="D1360" s="526">
        <f t="shared" si="114"/>
        <v>150</v>
      </c>
      <c r="E1360" s="2144"/>
      <c r="F1360" s="28" t="s">
        <v>18</v>
      </c>
      <c r="G1360" s="141"/>
      <c r="H1360" s="1"/>
      <c r="I1360" s="1"/>
      <c r="J1360" s="1"/>
      <c r="K1360" s="1"/>
      <c r="L1360" s="1"/>
      <c r="M1360" s="1"/>
      <c r="N1360" s="1"/>
      <c r="O1360" s="1"/>
      <c r="P1360" s="1"/>
      <c r="Q1360" s="1"/>
      <c r="R1360" s="1"/>
      <c r="S1360" s="1"/>
    </row>
    <row r="1361" ht="14.25" customHeight="1">
      <c r="A1361" s="1"/>
      <c r="B1361" s="458" t="s">
        <v>114</v>
      </c>
      <c r="C1361" s="71">
        <v>4.0</v>
      </c>
      <c r="D1361" s="608">
        <f t="shared" si="114"/>
        <v>1.2</v>
      </c>
      <c r="E1361" s="2150"/>
      <c r="F1361" s="463" t="s">
        <v>5</v>
      </c>
      <c r="G1361" s="264" t="s">
        <v>204</v>
      </c>
      <c r="H1361" s="1"/>
      <c r="I1361" s="1"/>
      <c r="J1361" s="1"/>
      <c r="K1361" s="1"/>
      <c r="L1361" s="1"/>
      <c r="M1361" s="1"/>
      <c r="N1361" s="1"/>
      <c r="O1361" s="1"/>
      <c r="P1361" s="1"/>
      <c r="Q1361" s="1"/>
      <c r="R1361" s="1"/>
      <c r="S1361" s="1"/>
    </row>
    <row r="1362" ht="14.25" customHeight="1">
      <c r="A1362" s="1"/>
      <c r="B1362" s="1640" t="s">
        <v>119</v>
      </c>
      <c r="C1362" s="183" t="s">
        <v>47</v>
      </c>
      <c r="D1362" s="184"/>
      <c r="E1362" s="184"/>
      <c r="F1362" s="1"/>
      <c r="G1362" s="1"/>
      <c r="H1362" s="1"/>
      <c r="I1362" s="1"/>
      <c r="J1362" s="1"/>
      <c r="K1362" s="1"/>
      <c r="L1362" s="1"/>
      <c r="M1362" s="1"/>
      <c r="N1362" s="1"/>
      <c r="O1362" s="1"/>
      <c r="P1362" s="1"/>
      <c r="Q1362" s="1"/>
      <c r="R1362" s="1"/>
      <c r="S1362" s="1"/>
    </row>
    <row r="1363" ht="14.25" customHeight="1">
      <c r="A1363" s="1"/>
      <c r="B1363" s="186" t="s">
        <v>120</v>
      </c>
      <c r="C1363" s="1188">
        <v>40935.0</v>
      </c>
      <c r="D1363" s="184"/>
      <c r="E1363" s="184"/>
      <c r="F1363" s="1"/>
      <c r="G1363" s="1"/>
      <c r="H1363" s="1"/>
      <c r="I1363" s="1"/>
      <c r="J1363" s="1"/>
      <c r="K1363" s="1"/>
      <c r="L1363" s="1"/>
      <c r="M1363" s="1"/>
      <c r="N1363" s="1"/>
      <c r="O1363" s="1"/>
      <c r="P1363" s="1"/>
      <c r="Q1363" s="1"/>
      <c r="R1363" s="1"/>
      <c r="S1363" s="1"/>
    </row>
    <row r="1364" ht="14.25" customHeight="1">
      <c r="A1364" s="1"/>
      <c r="B1364" s="90" t="s">
        <v>50</v>
      </c>
      <c r="C1364" s="1188">
        <v>41817.0</v>
      </c>
      <c r="D1364" s="184"/>
      <c r="E1364" s="184"/>
      <c r="F1364" s="1"/>
      <c r="G1364" s="1"/>
      <c r="H1364" s="1"/>
      <c r="I1364" s="1"/>
      <c r="J1364" s="1"/>
      <c r="K1364" s="1"/>
      <c r="L1364" s="1"/>
      <c r="M1364" s="1"/>
      <c r="N1364" s="1"/>
      <c r="O1364" s="1"/>
      <c r="P1364" s="1"/>
      <c r="Q1364" s="1"/>
      <c r="R1364" s="1"/>
      <c r="S1364" s="1"/>
    </row>
    <row r="1365" ht="15.0" customHeight="1">
      <c r="A1365" s="1"/>
      <c r="B1365" s="3108" t="s">
        <v>3581</v>
      </c>
      <c r="C1365" s="3109"/>
      <c r="D1365" s="3110"/>
      <c r="E1365" s="3110"/>
      <c r="F1365" s="3109"/>
      <c r="G1365" s="3111"/>
      <c r="H1365" s="1"/>
      <c r="I1365" s="1"/>
      <c r="J1365" s="1"/>
      <c r="K1365" s="1"/>
      <c r="L1365" s="1"/>
      <c r="M1365" s="1"/>
      <c r="N1365" s="1"/>
      <c r="O1365" s="1"/>
      <c r="P1365" s="1"/>
      <c r="Q1365" s="1"/>
      <c r="R1365" s="1"/>
      <c r="S1365" s="1"/>
    </row>
    <row r="1366" ht="15.0" customHeight="1">
      <c r="A1366" s="1"/>
      <c r="B1366" s="3112"/>
      <c r="C1366" s="3113"/>
      <c r="D1366" s="3114"/>
      <c r="E1366" s="3114"/>
      <c r="F1366" s="3113"/>
      <c r="G1366" s="3115"/>
      <c r="H1366" s="1"/>
      <c r="I1366" s="1"/>
      <c r="J1366" s="1"/>
      <c r="K1366" s="1"/>
      <c r="L1366" s="1"/>
      <c r="M1366" s="1"/>
      <c r="N1366" s="1"/>
      <c r="O1366" s="1"/>
      <c r="P1366" s="1"/>
      <c r="Q1366" s="1"/>
      <c r="R1366" s="1"/>
      <c r="S1366" s="1"/>
    </row>
    <row r="1367" ht="15.0" customHeight="1">
      <c r="A1367" s="1"/>
      <c r="B1367" s="3112"/>
      <c r="C1367" s="3113"/>
      <c r="D1367" s="3114"/>
      <c r="E1367" s="3114"/>
      <c r="F1367" s="3113"/>
      <c r="G1367" s="3115"/>
      <c r="H1367" s="1"/>
      <c r="I1367" s="1"/>
      <c r="J1367" s="1"/>
      <c r="K1367" s="1"/>
      <c r="L1367" s="1"/>
      <c r="M1367" s="1"/>
      <c r="N1367" s="1"/>
      <c r="O1367" s="1"/>
      <c r="P1367" s="1"/>
      <c r="Q1367" s="1"/>
      <c r="R1367" s="1"/>
      <c r="S1367" s="1"/>
    </row>
    <row r="1368" ht="15.0" customHeight="1">
      <c r="A1368" s="1"/>
      <c r="B1368" s="3112"/>
      <c r="C1368" s="3113"/>
      <c r="D1368" s="3114"/>
      <c r="E1368" s="3114"/>
      <c r="F1368" s="3113"/>
      <c r="G1368" s="3115"/>
      <c r="H1368" s="1"/>
      <c r="I1368" s="1"/>
      <c r="J1368" s="1"/>
      <c r="K1368" s="1"/>
      <c r="L1368" s="1"/>
      <c r="M1368" s="1"/>
      <c r="N1368" s="1"/>
      <c r="O1368" s="1"/>
      <c r="P1368" s="1"/>
      <c r="Q1368" s="1"/>
      <c r="R1368" s="1"/>
      <c r="S1368" s="1"/>
    </row>
    <row r="1369" ht="15.0" customHeight="1">
      <c r="A1369" s="1"/>
      <c r="B1369" s="3112"/>
      <c r="C1369" s="3113"/>
      <c r="D1369" s="3114"/>
      <c r="E1369" s="3114"/>
      <c r="F1369" s="3113"/>
      <c r="G1369" s="3115"/>
      <c r="H1369" s="1"/>
      <c r="I1369" s="1"/>
      <c r="J1369" s="1"/>
      <c r="K1369" s="1"/>
      <c r="L1369" s="1"/>
      <c r="M1369" s="1"/>
      <c r="N1369" s="1"/>
      <c r="O1369" s="1"/>
      <c r="P1369" s="1"/>
      <c r="Q1369" s="1"/>
      <c r="R1369" s="1"/>
      <c r="S1369" s="1"/>
    </row>
    <row r="1370" ht="15.0" customHeight="1">
      <c r="A1370" s="1"/>
      <c r="B1370" s="3112"/>
      <c r="C1370" s="3113"/>
      <c r="D1370" s="3114"/>
      <c r="E1370" s="3114"/>
      <c r="F1370" s="3113"/>
      <c r="G1370" s="3115"/>
      <c r="H1370" s="1"/>
      <c r="I1370" s="1"/>
      <c r="J1370" s="1"/>
      <c r="K1370" s="1"/>
      <c r="L1370" s="1"/>
      <c r="M1370" s="1"/>
      <c r="N1370" s="1"/>
      <c r="O1370" s="1"/>
      <c r="P1370" s="1"/>
      <c r="Q1370" s="1"/>
      <c r="R1370" s="1"/>
      <c r="S1370" s="1"/>
    </row>
    <row r="1371" ht="15.75" customHeight="1">
      <c r="A1371" s="1"/>
      <c r="B1371" s="3116"/>
      <c r="C1371" s="3117"/>
      <c r="D1371" s="3118"/>
      <c r="E1371" s="3118"/>
      <c r="F1371" s="3117"/>
      <c r="G1371" s="3119"/>
      <c r="H1371" s="1"/>
      <c r="I1371" s="1"/>
      <c r="J1371" s="1"/>
      <c r="K1371" s="1"/>
      <c r="L1371" s="1"/>
      <c r="M1371" s="1"/>
      <c r="N1371" s="1"/>
      <c r="O1371" s="1"/>
      <c r="P1371" s="1"/>
      <c r="Q1371" s="1"/>
      <c r="R1371" s="1"/>
      <c r="S1371" s="1"/>
    </row>
    <row r="1372" ht="14.25" customHeight="1">
      <c r="A1372" s="1"/>
      <c r="B1372" s="1"/>
      <c r="C1372" s="107"/>
      <c r="D1372" s="184"/>
      <c r="E1372" s="184"/>
      <c r="F1372" s="1"/>
      <c r="G1372" s="1"/>
      <c r="H1372" s="1"/>
      <c r="I1372" s="1"/>
      <c r="J1372" s="1"/>
      <c r="K1372" s="1"/>
      <c r="L1372" s="1"/>
      <c r="M1372" s="1"/>
      <c r="N1372" s="1"/>
      <c r="O1372" s="1"/>
      <c r="P1372" s="1"/>
      <c r="Q1372" s="1"/>
      <c r="R1372" s="1"/>
      <c r="S1372" s="1"/>
    </row>
    <row r="1373" ht="14.25" customHeight="1">
      <c r="A1373" s="1"/>
      <c r="B1373" s="16" t="s">
        <v>1126</v>
      </c>
      <c r="C1373" s="18"/>
      <c r="D1373" s="18"/>
      <c r="E1373" s="18"/>
      <c r="F1373" s="19"/>
      <c r="G1373" s="1"/>
      <c r="H1373" s="1"/>
      <c r="I1373" s="1"/>
      <c r="J1373" s="1"/>
      <c r="K1373" s="1"/>
      <c r="L1373" s="1"/>
      <c r="M1373" s="1"/>
      <c r="N1373" s="1"/>
      <c r="O1373" s="1"/>
      <c r="P1373" s="1"/>
      <c r="Q1373" s="1"/>
      <c r="R1373" s="1"/>
      <c r="S1373" s="1"/>
    </row>
    <row r="1374" ht="14.25" customHeight="1">
      <c r="A1374" s="1"/>
      <c r="B1374" s="458" t="s">
        <v>1</v>
      </c>
      <c r="C1374" s="71">
        <v>40.0</v>
      </c>
      <c r="D1374" s="608">
        <v>35.0</v>
      </c>
      <c r="E1374" s="2150"/>
      <c r="F1374" s="463" t="s">
        <v>5</v>
      </c>
      <c r="G1374" s="1"/>
      <c r="H1374" s="1"/>
      <c r="I1374" s="1"/>
      <c r="J1374" s="1"/>
      <c r="K1374" s="1"/>
      <c r="L1374" s="1"/>
      <c r="M1374" s="1"/>
      <c r="N1374" s="1"/>
      <c r="O1374" s="1"/>
      <c r="P1374" s="1"/>
      <c r="Q1374" s="1"/>
      <c r="R1374" s="1"/>
      <c r="S1374" s="1"/>
    </row>
    <row r="1375" ht="14.25" customHeight="1">
      <c r="A1375" s="1"/>
      <c r="B1375" s="163" t="s">
        <v>3468</v>
      </c>
      <c r="C1375" s="221">
        <v>3.0</v>
      </c>
      <c r="D1375" s="201">
        <f t="shared" ref="D1375:D1394" si="115">(C1375*D1374)/C1374</f>
        <v>2.625</v>
      </c>
      <c r="E1375" s="1998"/>
      <c r="F1375" s="169" t="s">
        <v>14</v>
      </c>
      <c r="G1375" s="1"/>
      <c r="H1375" s="1"/>
      <c r="I1375" s="1"/>
      <c r="J1375" s="1"/>
      <c r="K1375" s="1"/>
      <c r="L1375" s="1"/>
      <c r="M1375" s="1"/>
      <c r="N1375" s="1"/>
      <c r="O1375" s="1"/>
      <c r="P1375" s="1"/>
      <c r="Q1375" s="1"/>
      <c r="R1375" s="1"/>
      <c r="S1375" s="1"/>
    </row>
    <row r="1376" ht="14.25" customHeight="1">
      <c r="A1376" s="1"/>
      <c r="B1376" s="177" t="s">
        <v>1017</v>
      </c>
      <c r="C1376" s="27">
        <v>2.5</v>
      </c>
      <c r="D1376" s="201">
        <f t="shared" si="115"/>
        <v>2.1875</v>
      </c>
      <c r="E1376" s="1735"/>
      <c r="F1376" s="204" t="s">
        <v>14</v>
      </c>
      <c r="G1376" s="1"/>
      <c r="H1376" s="1"/>
      <c r="I1376" s="1"/>
      <c r="J1376" s="1"/>
      <c r="K1376" s="1"/>
      <c r="L1376" s="1"/>
      <c r="M1376" s="1"/>
      <c r="N1376" s="1"/>
      <c r="O1376" s="1"/>
      <c r="P1376" s="1"/>
      <c r="Q1376" s="1"/>
      <c r="R1376" s="1"/>
      <c r="S1376" s="1"/>
    </row>
    <row r="1377" ht="14.25" customHeight="1">
      <c r="A1377" s="1"/>
      <c r="B1377" s="177" t="s">
        <v>3582</v>
      </c>
      <c r="C1377" s="27">
        <v>100.0</v>
      </c>
      <c r="D1377" s="201">
        <f t="shared" si="115"/>
        <v>87.5</v>
      </c>
      <c r="E1377" s="1735"/>
      <c r="F1377" s="204" t="s">
        <v>14</v>
      </c>
      <c r="G1377" s="1"/>
      <c r="H1377" s="1"/>
      <c r="I1377" s="1"/>
      <c r="J1377" s="1"/>
      <c r="K1377" s="1"/>
      <c r="L1377" s="1"/>
      <c r="M1377" s="1"/>
      <c r="N1377" s="1"/>
      <c r="O1377" s="1"/>
      <c r="P1377" s="1"/>
      <c r="Q1377" s="1"/>
      <c r="R1377" s="1"/>
      <c r="S1377" s="1"/>
    </row>
    <row r="1378" ht="14.25" customHeight="1">
      <c r="A1378" s="1"/>
      <c r="B1378" s="208" t="s">
        <v>314</v>
      </c>
      <c r="C1378" s="236">
        <v>5.5</v>
      </c>
      <c r="D1378" s="257">
        <f t="shared" si="115"/>
        <v>4.8125</v>
      </c>
      <c r="E1378" s="1738"/>
      <c r="F1378" s="212" t="s">
        <v>14</v>
      </c>
      <c r="G1378" s="1"/>
      <c r="H1378" s="1"/>
      <c r="I1378" s="1"/>
      <c r="J1378" s="1"/>
      <c r="K1378" s="1"/>
      <c r="L1378" s="1"/>
      <c r="M1378" s="1"/>
      <c r="N1378" s="1"/>
      <c r="O1378" s="1"/>
      <c r="P1378" s="1"/>
      <c r="Q1378" s="1"/>
      <c r="R1378" s="1"/>
      <c r="S1378" s="1"/>
    </row>
    <row r="1379" ht="14.25" customHeight="1">
      <c r="A1379" s="1"/>
      <c r="B1379" s="163" t="s">
        <v>91</v>
      </c>
      <c r="C1379" s="221">
        <v>1.0</v>
      </c>
      <c r="D1379" s="164">
        <f t="shared" si="115"/>
        <v>0.875</v>
      </c>
      <c r="E1379" s="1731"/>
      <c r="F1379" s="169" t="s">
        <v>5</v>
      </c>
      <c r="G1379" s="655" t="s">
        <v>3583</v>
      </c>
      <c r="H1379" s="1"/>
      <c r="I1379" s="1"/>
      <c r="J1379" s="1"/>
      <c r="K1379" s="1"/>
      <c r="L1379" s="1"/>
      <c r="M1379" s="1"/>
      <c r="N1379" s="1"/>
      <c r="O1379" s="1"/>
      <c r="P1379" s="1"/>
      <c r="Q1379" s="1"/>
      <c r="R1379" s="1"/>
      <c r="S1379" s="1"/>
    </row>
    <row r="1380" ht="14.25" customHeight="1">
      <c r="A1380" s="1"/>
      <c r="B1380" s="177" t="s">
        <v>97</v>
      </c>
      <c r="C1380" s="27">
        <v>70.0</v>
      </c>
      <c r="D1380" s="201">
        <f t="shared" si="115"/>
        <v>61.25</v>
      </c>
      <c r="E1380" s="1735"/>
      <c r="F1380" s="204" t="s">
        <v>18</v>
      </c>
      <c r="G1380" s="63"/>
      <c r="H1380" s="1"/>
      <c r="I1380" s="1"/>
      <c r="J1380" s="1"/>
      <c r="K1380" s="1"/>
      <c r="L1380" s="1"/>
      <c r="M1380" s="1"/>
      <c r="N1380" s="1"/>
      <c r="O1380" s="1"/>
      <c r="P1380" s="1"/>
      <c r="Q1380" s="1"/>
      <c r="R1380" s="1"/>
      <c r="S1380" s="1"/>
    </row>
    <row r="1381" ht="14.25" customHeight="1">
      <c r="A1381" s="1"/>
      <c r="B1381" s="177" t="s">
        <v>98</v>
      </c>
      <c r="C1381" s="27">
        <v>120.0</v>
      </c>
      <c r="D1381" s="201">
        <f t="shared" si="115"/>
        <v>105</v>
      </c>
      <c r="E1381" s="1735"/>
      <c r="F1381" s="204" t="s">
        <v>18</v>
      </c>
      <c r="G1381" s="63"/>
      <c r="H1381" s="1"/>
      <c r="I1381" s="1"/>
      <c r="J1381" s="1"/>
      <c r="K1381" s="1"/>
      <c r="L1381" s="1"/>
      <c r="M1381" s="1"/>
      <c r="N1381" s="1"/>
      <c r="O1381" s="1"/>
      <c r="P1381" s="1"/>
      <c r="Q1381" s="1"/>
      <c r="R1381" s="1"/>
      <c r="S1381" s="1"/>
    </row>
    <row r="1382" ht="14.25" customHeight="1">
      <c r="A1382" s="1"/>
      <c r="B1382" s="177" t="s">
        <v>103</v>
      </c>
      <c r="C1382" s="27">
        <v>50.0</v>
      </c>
      <c r="D1382" s="201">
        <f t="shared" si="115"/>
        <v>43.75</v>
      </c>
      <c r="E1382" s="1735"/>
      <c r="F1382" s="204" t="s">
        <v>18</v>
      </c>
      <c r="G1382" s="63"/>
      <c r="H1382" s="1"/>
      <c r="I1382" s="1"/>
      <c r="J1382" s="1"/>
      <c r="K1382" s="1"/>
      <c r="L1382" s="1"/>
      <c r="M1382" s="1"/>
      <c r="N1382" s="1"/>
      <c r="O1382" s="1"/>
      <c r="P1382" s="1"/>
      <c r="Q1382" s="1"/>
      <c r="R1382" s="1"/>
      <c r="S1382" s="1"/>
    </row>
    <row r="1383" ht="14.25" customHeight="1">
      <c r="A1383" s="1"/>
      <c r="B1383" s="177" t="s">
        <v>3467</v>
      </c>
      <c r="C1383" s="27">
        <v>120.0</v>
      </c>
      <c r="D1383" s="201">
        <f t="shared" si="115"/>
        <v>105</v>
      </c>
      <c r="E1383" s="1735"/>
      <c r="F1383" s="204" t="s">
        <v>18</v>
      </c>
      <c r="G1383" s="63"/>
      <c r="H1383" s="1"/>
      <c r="I1383" s="1"/>
      <c r="J1383" s="1"/>
      <c r="K1383" s="1"/>
      <c r="L1383" s="1"/>
      <c r="M1383" s="1"/>
      <c r="N1383" s="1"/>
      <c r="O1383" s="1"/>
      <c r="P1383" s="1"/>
      <c r="Q1383" s="1"/>
      <c r="R1383" s="1"/>
      <c r="S1383" s="1"/>
    </row>
    <row r="1384" ht="14.25" customHeight="1">
      <c r="A1384" s="1"/>
      <c r="B1384" s="177" t="s">
        <v>3584</v>
      </c>
      <c r="C1384" s="27">
        <v>40.0</v>
      </c>
      <c r="D1384" s="201">
        <f t="shared" si="115"/>
        <v>35</v>
      </c>
      <c r="E1384" s="1735"/>
      <c r="F1384" s="204" t="s">
        <v>18</v>
      </c>
      <c r="G1384" s="63"/>
      <c r="H1384" s="1"/>
      <c r="I1384" s="1"/>
      <c r="J1384" s="1"/>
      <c r="K1384" s="1"/>
      <c r="L1384" s="1"/>
      <c r="M1384" s="1"/>
      <c r="N1384" s="1"/>
      <c r="O1384" s="1"/>
      <c r="P1384" s="1"/>
      <c r="Q1384" s="1"/>
      <c r="R1384" s="1"/>
      <c r="S1384" s="1"/>
    </row>
    <row r="1385" ht="14.25" customHeight="1">
      <c r="A1385" s="1"/>
      <c r="B1385" s="177" t="s">
        <v>52</v>
      </c>
      <c r="C1385" s="27">
        <v>100.0</v>
      </c>
      <c r="D1385" s="201">
        <f t="shared" si="115"/>
        <v>87.5</v>
      </c>
      <c r="E1385" s="1735"/>
      <c r="F1385" s="204" t="s">
        <v>18</v>
      </c>
      <c r="G1385" s="63"/>
      <c r="H1385" s="1"/>
      <c r="I1385" s="1"/>
      <c r="J1385" s="1"/>
      <c r="K1385" s="1"/>
      <c r="L1385" s="1"/>
      <c r="M1385" s="1"/>
      <c r="N1385" s="1"/>
      <c r="O1385" s="1"/>
      <c r="P1385" s="1"/>
      <c r="Q1385" s="1"/>
      <c r="R1385" s="1"/>
      <c r="S1385" s="1"/>
    </row>
    <row r="1386" ht="14.25" customHeight="1">
      <c r="A1386" s="1"/>
      <c r="B1386" s="208" t="s">
        <v>101</v>
      </c>
      <c r="C1386" s="236">
        <v>0.4</v>
      </c>
      <c r="D1386" s="257">
        <f t="shared" si="115"/>
        <v>0.35</v>
      </c>
      <c r="E1386" s="1738"/>
      <c r="F1386" s="212" t="s">
        <v>5</v>
      </c>
      <c r="G1386" s="63"/>
      <c r="H1386" s="1"/>
      <c r="I1386" s="1"/>
      <c r="J1386" s="1"/>
      <c r="K1386" s="1"/>
      <c r="L1386" s="1"/>
      <c r="M1386" s="1"/>
      <c r="N1386" s="1"/>
      <c r="O1386" s="1"/>
      <c r="P1386" s="1"/>
      <c r="Q1386" s="1"/>
      <c r="R1386" s="1"/>
      <c r="S1386" s="1"/>
    </row>
    <row r="1387" ht="14.25" customHeight="1">
      <c r="A1387" s="1"/>
      <c r="B1387" s="163" t="s">
        <v>427</v>
      </c>
      <c r="C1387" s="221">
        <v>350.0</v>
      </c>
      <c r="D1387" s="164">
        <f t="shared" si="115"/>
        <v>306.25</v>
      </c>
      <c r="E1387" s="1731"/>
      <c r="F1387" s="169" t="s">
        <v>18</v>
      </c>
      <c r="G1387" s="63"/>
      <c r="H1387" s="1"/>
      <c r="I1387" s="1"/>
      <c r="J1387" s="1"/>
      <c r="K1387" s="1"/>
      <c r="L1387" s="1"/>
      <c r="M1387" s="1"/>
      <c r="N1387" s="1"/>
      <c r="O1387" s="1"/>
      <c r="P1387" s="1"/>
      <c r="Q1387" s="1"/>
      <c r="R1387" s="1"/>
      <c r="S1387" s="1"/>
    </row>
    <row r="1388" ht="14.25" customHeight="1">
      <c r="A1388" s="1"/>
      <c r="B1388" s="3120" t="s">
        <v>1163</v>
      </c>
      <c r="C1388" s="236">
        <v>1.25</v>
      </c>
      <c r="D1388" s="257">
        <f t="shared" si="115"/>
        <v>1.09375</v>
      </c>
      <c r="E1388" s="1738"/>
      <c r="F1388" s="212" t="s">
        <v>14</v>
      </c>
      <c r="G1388" s="102"/>
      <c r="H1388" s="1"/>
      <c r="I1388" s="1"/>
      <c r="J1388" s="1"/>
      <c r="K1388" s="1"/>
      <c r="L1388" s="1"/>
      <c r="M1388" s="1"/>
      <c r="N1388" s="1"/>
      <c r="O1388" s="1"/>
      <c r="P1388" s="1"/>
      <c r="Q1388" s="1"/>
      <c r="R1388" s="1"/>
      <c r="S1388" s="1"/>
    </row>
    <row r="1389" ht="14.25" customHeight="1">
      <c r="A1389" s="1"/>
      <c r="B1389" s="68" t="s">
        <v>1092</v>
      </c>
      <c r="C1389" s="145">
        <v>5.5</v>
      </c>
      <c r="D1389" s="155">
        <f t="shared" si="115"/>
        <v>4.8125</v>
      </c>
      <c r="E1389" s="899"/>
      <c r="F1389" s="216" t="s">
        <v>14</v>
      </c>
      <c r="G1389" s="681" t="s">
        <v>2709</v>
      </c>
      <c r="H1389" s="1"/>
      <c r="I1389" s="1"/>
      <c r="J1389" s="1"/>
      <c r="K1389" s="1"/>
      <c r="L1389" s="1"/>
      <c r="M1389" s="1"/>
      <c r="N1389" s="1"/>
      <c r="O1389" s="1"/>
      <c r="P1389" s="1"/>
      <c r="Q1389" s="1"/>
      <c r="R1389" s="1"/>
      <c r="S1389" s="1"/>
    </row>
    <row r="1390" ht="14.25" customHeight="1">
      <c r="A1390" s="1"/>
      <c r="B1390" s="93" t="s">
        <v>2716</v>
      </c>
      <c r="C1390" s="195">
        <v>1.5</v>
      </c>
      <c r="D1390" s="78">
        <f t="shared" si="115"/>
        <v>1.3125</v>
      </c>
      <c r="E1390" s="900"/>
      <c r="F1390" s="249" t="s">
        <v>14</v>
      </c>
      <c r="G1390" s="63"/>
      <c r="H1390" s="1"/>
      <c r="I1390" s="1"/>
      <c r="J1390" s="1"/>
      <c r="K1390" s="1"/>
      <c r="L1390" s="1"/>
      <c r="M1390" s="1"/>
      <c r="N1390" s="1"/>
      <c r="O1390" s="1"/>
      <c r="P1390" s="1"/>
      <c r="Q1390" s="1"/>
      <c r="R1390" s="1"/>
      <c r="S1390" s="1"/>
    </row>
    <row r="1391" ht="14.25" customHeight="1">
      <c r="A1391" s="1"/>
      <c r="B1391" s="105" t="s">
        <v>162</v>
      </c>
      <c r="C1391" s="200">
        <v>120.0</v>
      </c>
      <c r="D1391" s="56">
        <f t="shared" si="115"/>
        <v>105</v>
      </c>
      <c r="E1391" s="1604"/>
      <c r="F1391" s="518" t="s">
        <v>18</v>
      </c>
      <c r="G1391" s="102"/>
      <c r="H1391" s="1"/>
      <c r="I1391" s="1"/>
      <c r="J1391" s="1"/>
      <c r="K1391" s="1"/>
      <c r="L1391" s="1"/>
      <c r="M1391" s="1"/>
      <c r="N1391" s="1"/>
      <c r="O1391" s="1"/>
      <c r="P1391" s="1"/>
      <c r="Q1391" s="1"/>
      <c r="R1391" s="1"/>
      <c r="S1391" s="1"/>
    </row>
    <row r="1392" ht="14.25" customHeight="1">
      <c r="A1392" s="1"/>
      <c r="B1392" s="68" t="s">
        <v>984</v>
      </c>
      <c r="C1392" s="145">
        <v>8.0</v>
      </c>
      <c r="D1392" s="155">
        <f t="shared" si="115"/>
        <v>7</v>
      </c>
      <c r="E1392" s="899"/>
      <c r="F1392" s="216" t="s">
        <v>5</v>
      </c>
      <c r="G1392" s="1"/>
      <c r="H1392" s="1"/>
      <c r="I1392" s="1"/>
      <c r="J1392" s="1"/>
      <c r="K1392" s="1"/>
      <c r="L1392" s="1"/>
      <c r="M1392" s="1"/>
      <c r="N1392" s="1"/>
      <c r="O1392" s="1"/>
      <c r="P1392" s="1"/>
      <c r="Q1392" s="1"/>
      <c r="R1392" s="1"/>
      <c r="S1392" s="1"/>
    </row>
    <row r="1393" ht="14.25" customHeight="1">
      <c r="A1393" s="1"/>
      <c r="B1393" s="93" t="s">
        <v>31</v>
      </c>
      <c r="C1393" s="195">
        <v>250.0</v>
      </c>
      <c r="D1393" s="78">
        <f t="shared" si="115"/>
        <v>218.75</v>
      </c>
      <c r="E1393" s="900"/>
      <c r="F1393" s="249" t="s">
        <v>18</v>
      </c>
      <c r="G1393" s="1"/>
      <c r="H1393" s="1"/>
      <c r="I1393" s="1"/>
      <c r="J1393" s="1"/>
      <c r="K1393" s="1"/>
      <c r="L1393" s="1"/>
      <c r="M1393" s="1"/>
      <c r="N1393" s="1"/>
      <c r="O1393" s="1"/>
      <c r="P1393" s="1"/>
      <c r="Q1393" s="1"/>
      <c r="R1393" s="1"/>
      <c r="S1393" s="1"/>
    </row>
    <row r="1394" ht="14.25" customHeight="1">
      <c r="A1394" s="1"/>
      <c r="B1394" s="105" t="s">
        <v>114</v>
      </c>
      <c r="C1394" s="200">
        <v>1.5</v>
      </c>
      <c r="D1394" s="56">
        <f t="shared" si="115"/>
        <v>1.3125</v>
      </c>
      <c r="E1394" s="1604"/>
      <c r="F1394" s="518" t="s">
        <v>5</v>
      </c>
      <c r="G1394" s="1"/>
      <c r="H1394" s="1"/>
      <c r="I1394" s="1"/>
      <c r="J1394" s="1"/>
      <c r="K1394" s="1"/>
      <c r="L1394" s="1"/>
      <c r="M1394" s="1"/>
      <c r="N1394" s="1"/>
      <c r="O1394" s="1"/>
      <c r="P1394" s="1"/>
      <c r="Q1394" s="1"/>
      <c r="R1394" s="1"/>
      <c r="S1394" s="1"/>
    </row>
    <row r="1395" ht="14.25" customHeight="1">
      <c r="A1395" s="1"/>
      <c r="B1395" s="2275" t="s">
        <v>119</v>
      </c>
      <c r="C1395" s="1446" t="s">
        <v>47</v>
      </c>
      <c r="D1395" s="184"/>
      <c r="E1395" s="184"/>
      <c r="F1395" s="1"/>
      <c r="G1395" s="1"/>
      <c r="H1395" s="1"/>
      <c r="I1395" s="1"/>
      <c r="J1395" s="1"/>
      <c r="K1395" s="1"/>
      <c r="L1395" s="1"/>
      <c r="M1395" s="1"/>
      <c r="N1395" s="1"/>
      <c r="O1395" s="1"/>
      <c r="P1395" s="1"/>
      <c r="Q1395" s="1"/>
      <c r="R1395" s="1"/>
      <c r="S1395" s="1"/>
    </row>
    <row r="1396" ht="14.25" customHeight="1">
      <c r="A1396" s="1"/>
      <c r="B1396" s="550" t="s">
        <v>1583</v>
      </c>
      <c r="C1396" s="1363">
        <v>42778.0</v>
      </c>
      <c r="D1396" s="184"/>
      <c r="E1396" s="184"/>
      <c r="F1396" s="1"/>
      <c r="G1396" s="1"/>
      <c r="H1396" s="1"/>
      <c r="I1396" s="1"/>
      <c r="J1396" s="1"/>
      <c r="K1396" s="1"/>
      <c r="L1396" s="1"/>
      <c r="M1396" s="1"/>
      <c r="N1396" s="1"/>
      <c r="O1396" s="1"/>
      <c r="P1396" s="1"/>
      <c r="Q1396" s="1"/>
      <c r="R1396" s="1"/>
      <c r="S1396" s="1"/>
    </row>
    <row r="1397" ht="14.25" customHeight="1">
      <c r="A1397" s="1"/>
      <c r="B1397" s="342" t="s">
        <v>1585</v>
      </c>
      <c r="C1397" s="1363"/>
      <c r="D1397" s="184"/>
      <c r="E1397" s="184"/>
      <c r="F1397" s="1"/>
      <c r="G1397" s="1"/>
      <c r="H1397" s="1"/>
      <c r="I1397" s="1"/>
      <c r="J1397" s="1"/>
      <c r="K1397" s="1"/>
      <c r="L1397" s="1"/>
      <c r="M1397" s="1"/>
      <c r="N1397" s="1"/>
      <c r="O1397" s="1"/>
      <c r="P1397" s="1"/>
      <c r="Q1397" s="1"/>
      <c r="R1397" s="1"/>
      <c r="S1397" s="1"/>
    </row>
    <row r="1398" ht="14.25" customHeight="1">
      <c r="A1398" s="1"/>
      <c r="B1398" s="1"/>
      <c r="C1398" s="107"/>
      <c r="D1398" s="184"/>
      <c r="E1398" s="184"/>
      <c r="F1398" s="1"/>
      <c r="G1398" s="1"/>
      <c r="H1398" s="1"/>
      <c r="I1398" s="1"/>
      <c r="J1398" s="1"/>
      <c r="K1398" s="1"/>
      <c r="L1398" s="1"/>
      <c r="M1398" s="1"/>
      <c r="N1398" s="1"/>
      <c r="O1398" s="1"/>
      <c r="P1398" s="1"/>
      <c r="Q1398" s="1"/>
      <c r="R1398" s="1"/>
      <c r="S1398" s="1"/>
    </row>
    <row r="1399" ht="14.25" customHeight="1">
      <c r="A1399" s="1"/>
      <c r="B1399" s="766" t="s">
        <v>752</v>
      </c>
      <c r="C1399" s="18"/>
      <c r="D1399" s="18"/>
      <c r="E1399" s="18"/>
      <c r="F1399" s="19"/>
      <c r="G1399" s="1"/>
      <c r="H1399" s="1"/>
      <c r="I1399" s="1"/>
      <c r="J1399" s="1"/>
      <c r="K1399" s="1"/>
      <c r="L1399" s="1"/>
      <c r="M1399" s="1"/>
      <c r="N1399" s="1"/>
      <c r="O1399" s="1"/>
      <c r="P1399" s="1"/>
      <c r="Q1399" s="1"/>
      <c r="R1399" s="1"/>
      <c r="S1399" s="1"/>
    </row>
    <row r="1400" ht="14.25" customHeight="1">
      <c r="A1400" s="1"/>
      <c r="B1400" s="2756" t="s">
        <v>1388</v>
      </c>
      <c r="C1400" s="3121">
        <v>2.5</v>
      </c>
      <c r="D1400" s="2757">
        <v>35.0</v>
      </c>
      <c r="E1400" s="3122"/>
      <c r="F1400" s="2758" t="s">
        <v>5</v>
      </c>
      <c r="G1400" s="1"/>
      <c r="H1400" s="1"/>
      <c r="I1400" s="1"/>
      <c r="J1400" s="1"/>
      <c r="K1400" s="1"/>
      <c r="L1400" s="1"/>
      <c r="M1400" s="1"/>
      <c r="N1400" s="1"/>
      <c r="O1400" s="1"/>
      <c r="P1400" s="1"/>
      <c r="Q1400" s="1"/>
      <c r="R1400" s="1"/>
      <c r="S1400" s="1"/>
    </row>
    <row r="1401" ht="14.25" customHeight="1">
      <c r="A1401" s="1"/>
      <c r="B1401" s="68" t="s">
        <v>1274</v>
      </c>
      <c r="C1401" s="145">
        <v>0.25</v>
      </c>
      <c r="D1401" s="155">
        <f t="shared" ref="D1401:D1404" si="116">(C1401*D1400)/C1400</f>
        <v>3.5</v>
      </c>
      <c r="E1401" s="899"/>
      <c r="F1401" s="216" t="s">
        <v>366</v>
      </c>
      <c r="G1401" s="1"/>
      <c r="H1401" s="1"/>
      <c r="I1401" s="1"/>
      <c r="J1401" s="1"/>
      <c r="K1401" s="1"/>
      <c r="L1401" s="1"/>
      <c r="M1401" s="1"/>
      <c r="N1401" s="1"/>
      <c r="O1401" s="1"/>
      <c r="P1401" s="1"/>
      <c r="Q1401" s="1"/>
      <c r="R1401" s="1"/>
      <c r="S1401" s="1"/>
    </row>
    <row r="1402" ht="14.25" customHeight="1">
      <c r="A1402" s="1"/>
      <c r="B1402" s="93" t="s">
        <v>164</v>
      </c>
      <c r="C1402" s="195">
        <v>1.35</v>
      </c>
      <c r="D1402" s="78">
        <f t="shared" si="116"/>
        <v>18.9</v>
      </c>
      <c r="E1402" s="900"/>
      <c r="F1402" s="249" t="s">
        <v>5</v>
      </c>
      <c r="G1402" s="1"/>
      <c r="H1402" s="1"/>
      <c r="I1402" s="1"/>
      <c r="J1402" s="1"/>
      <c r="K1402" s="1"/>
      <c r="L1402" s="1"/>
      <c r="M1402" s="1"/>
      <c r="N1402" s="1"/>
      <c r="O1402" s="1"/>
      <c r="P1402" s="1"/>
      <c r="Q1402" s="1"/>
      <c r="R1402" s="1"/>
      <c r="S1402" s="1"/>
    </row>
    <row r="1403" ht="14.25" customHeight="1">
      <c r="A1403" s="1"/>
      <c r="B1403" s="93" t="s">
        <v>491</v>
      </c>
      <c r="C1403" s="195">
        <v>0.5</v>
      </c>
      <c r="D1403" s="78">
        <f t="shared" si="116"/>
        <v>7</v>
      </c>
      <c r="E1403" s="900"/>
      <c r="F1403" s="249"/>
      <c r="G1403" s="1"/>
      <c r="H1403" s="1"/>
      <c r="I1403" s="1"/>
      <c r="J1403" s="1"/>
      <c r="K1403" s="1"/>
      <c r="L1403" s="1"/>
      <c r="M1403" s="1"/>
      <c r="N1403" s="1"/>
      <c r="O1403" s="1"/>
      <c r="P1403" s="1"/>
      <c r="Q1403" s="1"/>
      <c r="R1403" s="1"/>
      <c r="S1403" s="1"/>
    </row>
    <row r="1404" ht="14.25" customHeight="1">
      <c r="A1404" s="1"/>
      <c r="B1404" s="93" t="s">
        <v>52</v>
      </c>
      <c r="C1404" s="195">
        <v>1.0</v>
      </c>
      <c r="D1404" s="78">
        <f t="shared" si="116"/>
        <v>14</v>
      </c>
      <c r="E1404" s="900"/>
      <c r="F1404" s="249"/>
      <c r="G1404" s="1"/>
      <c r="H1404" s="1"/>
      <c r="I1404" s="1"/>
      <c r="J1404" s="1"/>
      <c r="K1404" s="1"/>
      <c r="L1404" s="1"/>
      <c r="M1404" s="1"/>
      <c r="N1404" s="1"/>
      <c r="O1404" s="1"/>
      <c r="P1404" s="1"/>
      <c r="Q1404" s="1"/>
      <c r="R1404" s="1"/>
      <c r="S1404" s="1"/>
    </row>
    <row r="1405" ht="14.25" customHeight="1">
      <c r="A1405" s="1"/>
      <c r="B1405" s="93" t="s">
        <v>113</v>
      </c>
      <c r="C1405" s="195">
        <v>2.0</v>
      </c>
      <c r="D1405" s="78">
        <f>(C1405*D1403)/C1403</f>
        <v>28</v>
      </c>
      <c r="E1405" s="900"/>
      <c r="F1405" s="249"/>
      <c r="G1405" s="1"/>
      <c r="H1405" s="1"/>
      <c r="I1405" s="1"/>
      <c r="J1405" s="1"/>
      <c r="K1405" s="1"/>
      <c r="L1405" s="1"/>
      <c r="M1405" s="1"/>
      <c r="N1405" s="1"/>
      <c r="O1405" s="1"/>
      <c r="P1405" s="1"/>
      <c r="Q1405" s="1"/>
      <c r="R1405" s="1"/>
      <c r="S1405" s="1"/>
    </row>
    <row r="1406" ht="14.25" customHeight="1">
      <c r="A1406" s="1"/>
      <c r="B1406" s="93" t="s">
        <v>1559</v>
      </c>
      <c r="C1406" s="195">
        <v>10.0</v>
      </c>
      <c r="D1406" s="78">
        <f>(C1406*D1402)/C1402</f>
        <v>140</v>
      </c>
      <c r="E1406" s="900"/>
      <c r="F1406" s="249" t="s">
        <v>18</v>
      </c>
      <c r="G1406" s="1"/>
      <c r="H1406" s="1"/>
      <c r="I1406" s="1"/>
      <c r="J1406" s="1"/>
      <c r="K1406" s="1"/>
      <c r="L1406" s="1"/>
      <c r="M1406" s="1"/>
      <c r="N1406" s="1"/>
      <c r="O1406" s="1"/>
      <c r="P1406" s="1"/>
      <c r="Q1406" s="1"/>
      <c r="R1406" s="1"/>
      <c r="S1406" s="1"/>
    </row>
    <row r="1407" ht="14.25" customHeight="1">
      <c r="A1407" s="1"/>
      <c r="B1407" s="93" t="s">
        <v>103</v>
      </c>
      <c r="C1407" s="195">
        <v>3.0</v>
      </c>
      <c r="D1407" s="78">
        <f t="shared" ref="D1407:D1424" si="117">(C1407*D1406)/C1406</f>
        <v>42</v>
      </c>
      <c r="E1407" s="900"/>
      <c r="F1407" s="249" t="s">
        <v>18</v>
      </c>
      <c r="G1407" s="1"/>
      <c r="H1407" s="1"/>
      <c r="I1407" s="1"/>
      <c r="J1407" s="1"/>
      <c r="K1407" s="1"/>
      <c r="L1407" s="1"/>
      <c r="M1407" s="1"/>
      <c r="N1407" s="1"/>
      <c r="O1407" s="1"/>
      <c r="P1407" s="1"/>
      <c r="Q1407" s="1"/>
      <c r="R1407" s="1"/>
      <c r="S1407" s="1"/>
    </row>
    <row r="1408" ht="14.25" customHeight="1">
      <c r="A1408" s="1"/>
      <c r="B1408" s="105" t="s">
        <v>3080</v>
      </c>
      <c r="C1408" s="200">
        <v>1.5</v>
      </c>
      <c r="D1408" s="56">
        <f t="shared" si="117"/>
        <v>21</v>
      </c>
      <c r="E1408" s="1604"/>
      <c r="F1408" s="518" t="s">
        <v>18</v>
      </c>
      <c r="G1408" s="1"/>
      <c r="H1408" s="1"/>
      <c r="I1408" s="1"/>
      <c r="J1408" s="1"/>
      <c r="K1408" s="1"/>
      <c r="L1408" s="1"/>
      <c r="M1408" s="1"/>
      <c r="N1408" s="1"/>
      <c r="O1408" s="1"/>
      <c r="P1408" s="1"/>
      <c r="Q1408" s="1"/>
      <c r="R1408" s="1"/>
      <c r="S1408" s="1"/>
    </row>
    <row r="1409" ht="14.25" customHeight="1">
      <c r="A1409" s="1"/>
      <c r="B1409" s="68" t="s">
        <v>491</v>
      </c>
      <c r="C1409" s="145">
        <v>0.1</v>
      </c>
      <c r="D1409" s="155">
        <f t="shared" si="117"/>
        <v>1.4</v>
      </c>
      <c r="E1409" s="899"/>
      <c r="F1409" s="216" t="s">
        <v>5</v>
      </c>
      <c r="G1409" s="1"/>
      <c r="H1409" s="1"/>
      <c r="I1409" s="1"/>
      <c r="J1409" s="1"/>
      <c r="K1409" s="1"/>
      <c r="L1409" s="1"/>
      <c r="M1409" s="1"/>
      <c r="N1409" s="1"/>
      <c r="O1409" s="1"/>
      <c r="P1409" s="1"/>
      <c r="Q1409" s="1"/>
      <c r="R1409" s="1"/>
      <c r="S1409" s="1"/>
    </row>
    <row r="1410" ht="14.25" customHeight="1">
      <c r="A1410" s="1"/>
      <c r="B1410" s="93" t="s">
        <v>13</v>
      </c>
      <c r="C1410" s="195">
        <v>10.0</v>
      </c>
      <c r="D1410" s="78">
        <f t="shared" si="117"/>
        <v>140</v>
      </c>
      <c r="E1410" s="900"/>
      <c r="F1410" s="249" t="s">
        <v>18</v>
      </c>
      <c r="G1410" s="1"/>
      <c r="H1410" s="1"/>
      <c r="I1410" s="1"/>
      <c r="J1410" s="1"/>
      <c r="K1410" s="1"/>
      <c r="L1410" s="1"/>
      <c r="M1410" s="1"/>
      <c r="N1410" s="1"/>
      <c r="O1410" s="1"/>
      <c r="P1410" s="1"/>
      <c r="Q1410" s="1"/>
      <c r="R1410" s="1"/>
      <c r="S1410" s="1"/>
    </row>
    <row r="1411" ht="14.25" customHeight="1">
      <c r="A1411" s="1"/>
      <c r="B1411" s="93" t="s">
        <v>1161</v>
      </c>
      <c r="C1411" s="195">
        <v>0.25</v>
      </c>
      <c r="D1411" s="78">
        <f t="shared" si="117"/>
        <v>3.5</v>
      </c>
      <c r="E1411" s="900"/>
      <c r="F1411" s="249" t="s">
        <v>366</v>
      </c>
      <c r="G1411" s="1"/>
      <c r="H1411" s="1"/>
      <c r="I1411" s="1"/>
      <c r="J1411" s="1"/>
      <c r="K1411" s="1"/>
      <c r="L1411" s="1"/>
      <c r="M1411" s="1"/>
      <c r="N1411" s="1"/>
      <c r="O1411" s="1"/>
      <c r="P1411" s="1"/>
      <c r="Q1411" s="1"/>
      <c r="R1411" s="1"/>
      <c r="S1411" s="1"/>
    </row>
    <row r="1412" ht="14.25" customHeight="1">
      <c r="A1412" s="1"/>
      <c r="B1412" s="93" t="s">
        <v>2589</v>
      </c>
      <c r="C1412" s="195">
        <v>8.0</v>
      </c>
      <c r="D1412" s="78">
        <f t="shared" si="117"/>
        <v>112</v>
      </c>
      <c r="E1412" s="900"/>
      <c r="F1412" s="249" t="s">
        <v>18</v>
      </c>
      <c r="G1412" s="1"/>
      <c r="H1412" s="1"/>
      <c r="I1412" s="1"/>
      <c r="J1412" s="1"/>
      <c r="K1412" s="1"/>
      <c r="L1412" s="1"/>
      <c r="M1412" s="1"/>
      <c r="N1412" s="1"/>
      <c r="O1412" s="1"/>
      <c r="P1412" s="1"/>
      <c r="Q1412" s="1"/>
      <c r="R1412" s="1"/>
      <c r="S1412" s="1"/>
    </row>
    <row r="1413" ht="14.25" customHeight="1">
      <c r="A1413" s="1"/>
      <c r="B1413" s="93" t="s">
        <v>3081</v>
      </c>
      <c r="C1413" s="195">
        <v>6.0</v>
      </c>
      <c r="D1413" s="78">
        <f t="shared" si="117"/>
        <v>84</v>
      </c>
      <c r="E1413" s="900"/>
      <c r="F1413" s="249" t="s">
        <v>18</v>
      </c>
      <c r="G1413" s="1"/>
      <c r="H1413" s="1"/>
      <c r="I1413" s="1"/>
      <c r="J1413" s="1"/>
      <c r="K1413" s="1"/>
      <c r="L1413" s="1"/>
      <c r="M1413" s="1"/>
      <c r="N1413" s="1"/>
      <c r="O1413" s="1"/>
      <c r="P1413" s="1"/>
      <c r="Q1413" s="1"/>
      <c r="R1413" s="1"/>
      <c r="S1413" s="1"/>
    </row>
    <row r="1414" ht="14.25" customHeight="1">
      <c r="A1414" s="1"/>
      <c r="B1414" s="93" t="s">
        <v>103</v>
      </c>
      <c r="C1414" s="195">
        <v>2.0</v>
      </c>
      <c r="D1414" s="78">
        <f t="shared" si="117"/>
        <v>28</v>
      </c>
      <c r="E1414" s="900"/>
      <c r="F1414" s="249" t="s">
        <v>18</v>
      </c>
      <c r="G1414" s="1"/>
      <c r="H1414" s="1"/>
      <c r="I1414" s="1"/>
      <c r="J1414" s="1"/>
      <c r="K1414" s="1"/>
      <c r="L1414" s="1"/>
      <c r="M1414" s="1"/>
      <c r="N1414" s="1"/>
      <c r="O1414" s="1"/>
      <c r="P1414" s="1"/>
      <c r="Q1414" s="1"/>
      <c r="R1414" s="1"/>
      <c r="S1414" s="1"/>
    </row>
    <row r="1415" ht="14.25" customHeight="1">
      <c r="A1415" s="1"/>
      <c r="B1415" s="93" t="s">
        <v>112</v>
      </c>
      <c r="C1415" s="195">
        <v>2.0</v>
      </c>
      <c r="D1415" s="78">
        <f t="shared" si="117"/>
        <v>28</v>
      </c>
      <c r="E1415" s="900"/>
      <c r="F1415" s="249" t="s">
        <v>18</v>
      </c>
      <c r="G1415" s="1"/>
      <c r="H1415" s="1"/>
      <c r="I1415" s="1"/>
      <c r="J1415" s="1"/>
      <c r="K1415" s="1"/>
      <c r="L1415" s="1"/>
      <c r="M1415" s="1"/>
      <c r="N1415" s="1"/>
      <c r="O1415" s="1"/>
      <c r="P1415" s="1"/>
      <c r="Q1415" s="1"/>
      <c r="R1415" s="1"/>
      <c r="S1415" s="1"/>
    </row>
    <row r="1416" ht="14.25" customHeight="1">
      <c r="A1416" s="1"/>
      <c r="B1416" s="93" t="s">
        <v>52</v>
      </c>
      <c r="C1416" s="195">
        <v>3.0</v>
      </c>
      <c r="D1416" s="78">
        <f t="shared" si="117"/>
        <v>42</v>
      </c>
      <c r="E1416" s="900"/>
      <c r="F1416" s="249" t="s">
        <v>18</v>
      </c>
      <c r="G1416" s="1"/>
      <c r="H1416" s="1"/>
      <c r="I1416" s="1"/>
      <c r="J1416" s="1"/>
      <c r="K1416" s="1"/>
      <c r="L1416" s="1"/>
      <c r="M1416" s="1"/>
      <c r="N1416" s="1"/>
      <c r="O1416" s="1"/>
      <c r="P1416" s="1"/>
      <c r="Q1416" s="1"/>
      <c r="R1416" s="1"/>
      <c r="S1416" s="1"/>
    </row>
    <row r="1417" ht="14.25" customHeight="1">
      <c r="A1417" s="1"/>
      <c r="B1417" s="93" t="s">
        <v>3080</v>
      </c>
      <c r="C1417" s="195">
        <v>3.0</v>
      </c>
      <c r="D1417" s="78">
        <f t="shared" si="117"/>
        <v>42</v>
      </c>
      <c r="E1417" s="900"/>
      <c r="F1417" s="249" t="s">
        <v>18</v>
      </c>
      <c r="G1417" s="1"/>
      <c r="H1417" s="1"/>
      <c r="I1417" s="1"/>
      <c r="J1417" s="1"/>
      <c r="K1417" s="1"/>
      <c r="L1417" s="1"/>
      <c r="M1417" s="1"/>
      <c r="N1417" s="1"/>
      <c r="O1417" s="1"/>
      <c r="P1417" s="1"/>
      <c r="Q1417" s="1"/>
      <c r="R1417" s="1"/>
      <c r="S1417" s="1"/>
    </row>
    <row r="1418" ht="14.25" customHeight="1">
      <c r="A1418" s="1"/>
      <c r="B1418" s="93" t="s">
        <v>1559</v>
      </c>
      <c r="C1418" s="195">
        <v>24.0</v>
      </c>
      <c r="D1418" s="78">
        <f t="shared" si="117"/>
        <v>336</v>
      </c>
      <c r="E1418" s="900"/>
      <c r="F1418" s="249" t="s">
        <v>18</v>
      </c>
      <c r="G1418" s="1"/>
      <c r="H1418" s="1"/>
      <c r="I1418" s="1"/>
      <c r="J1418" s="1"/>
      <c r="K1418" s="1"/>
      <c r="L1418" s="1"/>
      <c r="M1418" s="1"/>
      <c r="N1418" s="1"/>
      <c r="O1418" s="1"/>
      <c r="P1418" s="1"/>
      <c r="Q1418" s="1"/>
      <c r="R1418" s="1"/>
      <c r="S1418" s="1"/>
    </row>
    <row r="1419" ht="14.25" customHeight="1">
      <c r="A1419" s="1"/>
      <c r="B1419" s="93" t="s">
        <v>1027</v>
      </c>
      <c r="C1419" s="195">
        <v>5.0</v>
      </c>
      <c r="D1419" s="78">
        <f t="shared" si="117"/>
        <v>70</v>
      </c>
      <c r="E1419" s="900"/>
      <c r="F1419" s="249" t="s">
        <v>18</v>
      </c>
      <c r="G1419" s="1"/>
      <c r="H1419" s="1"/>
      <c r="I1419" s="1"/>
      <c r="J1419" s="1"/>
      <c r="K1419" s="1"/>
      <c r="L1419" s="1"/>
      <c r="M1419" s="1"/>
      <c r="N1419" s="1"/>
      <c r="O1419" s="1"/>
      <c r="P1419" s="1"/>
      <c r="Q1419" s="1"/>
      <c r="R1419" s="1"/>
      <c r="S1419" s="1"/>
    </row>
    <row r="1420" ht="14.25" customHeight="1">
      <c r="A1420" s="1"/>
      <c r="B1420" s="93" t="s">
        <v>105</v>
      </c>
      <c r="C1420" s="195">
        <v>10.0</v>
      </c>
      <c r="D1420" s="78">
        <f t="shared" si="117"/>
        <v>140</v>
      </c>
      <c r="E1420" s="900"/>
      <c r="F1420" s="249" t="s">
        <v>18</v>
      </c>
      <c r="G1420" s="1"/>
      <c r="H1420" s="1"/>
      <c r="I1420" s="1"/>
      <c r="J1420" s="1"/>
      <c r="K1420" s="1"/>
      <c r="L1420" s="1"/>
      <c r="M1420" s="1"/>
      <c r="N1420" s="1"/>
      <c r="O1420" s="1"/>
      <c r="P1420" s="1"/>
      <c r="Q1420" s="1"/>
      <c r="R1420" s="1"/>
      <c r="S1420" s="1"/>
    </row>
    <row r="1421" ht="14.25" customHeight="1">
      <c r="A1421" s="1"/>
      <c r="B1421" s="93" t="s">
        <v>1941</v>
      </c>
      <c r="C1421" s="195">
        <v>7.5</v>
      </c>
      <c r="D1421" s="78">
        <f t="shared" si="117"/>
        <v>105</v>
      </c>
      <c r="E1421" s="900"/>
      <c r="F1421" s="249" t="s">
        <v>18</v>
      </c>
      <c r="G1421" s="1"/>
      <c r="H1421" s="1"/>
      <c r="I1421" s="1"/>
      <c r="J1421" s="1"/>
      <c r="K1421" s="1"/>
      <c r="L1421" s="1"/>
      <c r="M1421" s="1"/>
      <c r="N1421" s="1"/>
      <c r="O1421" s="1"/>
      <c r="P1421" s="1"/>
      <c r="Q1421" s="1"/>
      <c r="R1421" s="1"/>
      <c r="S1421" s="1"/>
    </row>
    <row r="1422" ht="14.25" customHeight="1">
      <c r="A1422" s="1"/>
      <c r="B1422" s="93" t="s">
        <v>164</v>
      </c>
      <c r="C1422" s="195">
        <v>1.4</v>
      </c>
      <c r="D1422" s="78">
        <f t="shared" si="117"/>
        <v>19.6</v>
      </c>
      <c r="E1422" s="900"/>
      <c r="F1422" s="249" t="s">
        <v>5</v>
      </c>
      <c r="G1422" s="1"/>
      <c r="H1422" s="1"/>
      <c r="I1422" s="1"/>
      <c r="J1422" s="1"/>
      <c r="K1422" s="1"/>
      <c r="L1422" s="1"/>
      <c r="M1422" s="1"/>
      <c r="N1422" s="1"/>
      <c r="O1422" s="1"/>
      <c r="P1422" s="1"/>
      <c r="Q1422" s="1"/>
      <c r="R1422" s="1"/>
      <c r="S1422" s="1"/>
    </row>
    <row r="1423" ht="14.25" customHeight="1">
      <c r="A1423" s="1"/>
      <c r="B1423" s="105" t="s">
        <v>1916</v>
      </c>
      <c r="C1423" s="200">
        <v>0.22</v>
      </c>
      <c r="D1423" s="56">
        <f t="shared" si="117"/>
        <v>3.08</v>
      </c>
      <c r="E1423" s="1604"/>
      <c r="F1423" s="518" t="s">
        <v>14</v>
      </c>
      <c r="G1423" s="1"/>
      <c r="H1423" s="1"/>
      <c r="I1423" s="1"/>
      <c r="J1423" s="1"/>
      <c r="K1423" s="1"/>
      <c r="L1423" s="1"/>
      <c r="M1423" s="1"/>
      <c r="N1423" s="1"/>
      <c r="O1423" s="1"/>
      <c r="P1423" s="1"/>
      <c r="Q1423" s="1"/>
      <c r="R1423" s="1"/>
      <c r="S1423" s="1"/>
    </row>
    <row r="1424" ht="14.25" customHeight="1">
      <c r="A1424" s="1"/>
      <c r="B1424" s="173" t="s">
        <v>3086</v>
      </c>
      <c r="C1424" s="275">
        <v>1.0</v>
      </c>
      <c r="D1424" s="179">
        <f t="shared" si="117"/>
        <v>14</v>
      </c>
      <c r="E1424" s="1689"/>
      <c r="F1424" s="547" t="s">
        <v>999</v>
      </c>
      <c r="G1424" s="1"/>
      <c r="H1424" s="1"/>
      <c r="I1424" s="1"/>
      <c r="J1424" s="1"/>
      <c r="K1424" s="1"/>
      <c r="L1424" s="1"/>
      <c r="M1424" s="1"/>
      <c r="N1424" s="1"/>
      <c r="O1424" s="1"/>
      <c r="P1424" s="1"/>
      <c r="Q1424" s="1"/>
      <c r="R1424" s="1"/>
      <c r="S1424" s="1"/>
    </row>
    <row r="1425" ht="14.25" customHeight="1">
      <c r="A1425" s="1"/>
      <c r="B1425" s="2275" t="s">
        <v>119</v>
      </c>
      <c r="C1425" s="1446" t="s">
        <v>47</v>
      </c>
      <c r="D1425" s="184"/>
      <c r="E1425" s="184"/>
      <c r="F1425" s="1"/>
      <c r="G1425" s="1"/>
      <c r="H1425" s="1"/>
      <c r="I1425" s="1"/>
      <c r="J1425" s="1"/>
      <c r="K1425" s="1"/>
      <c r="L1425" s="1"/>
      <c r="M1425" s="1"/>
      <c r="N1425" s="1"/>
      <c r="O1425" s="1"/>
      <c r="P1425" s="1"/>
      <c r="Q1425" s="1"/>
      <c r="R1425" s="1"/>
      <c r="S1425" s="1"/>
    </row>
    <row r="1426" ht="14.25" customHeight="1">
      <c r="A1426" s="1"/>
      <c r="B1426" s="550" t="s">
        <v>1583</v>
      </c>
      <c r="C1426" s="1363">
        <v>42778.0</v>
      </c>
      <c r="D1426" s="184"/>
      <c r="E1426" s="184"/>
      <c r="F1426" s="1"/>
      <c r="G1426" s="1"/>
      <c r="H1426" s="1"/>
      <c r="I1426" s="1"/>
      <c r="J1426" s="1"/>
      <c r="K1426" s="1"/>
      <c r="L1426" s="1"/>
      <c r="M1426" s="1"/>
      <c r="N1426" s="1"/>
      <c r="O1426" s="1"/>
      <c r="P1426" s="1"/>
      <c r="Q1426" s="1"/>
      <c r="R1426" s="1"/>
      <c r="S1426" s="1"/>
    </row>
    <row r="1427" ht="14.25" customHeight="1">
      <c r="A1427" s="1"/>
      <c r="B1427" s="342" t="s">
        <v>1585</v>
      </c>
      <c r="C1427" s="1363"/>
      <c r="D1427" s="184"/>
      <c r="E1427" s="184"/>
      <c r="F1427" s="1"/>
      <c r="G1427" s="1"/>
      <c r="H1427" s="1"/>
      <c r="I1427" s="1"/>
      <c r="J1427" s="1"/>
      <c r="K1427" s="1"/>
      <c r="L1427" s="1"/>
      <c r="M1427" s="1"/>
      <c r="N1427" s="1"/>
      <c r="O1427" s="1"/>
      <c r="P1427" s="1"/>
      <c r="Q1427" s="1"/>
      <c r="R1427" s="1"/>
      <c r="S1427" s="1"/>
    </row>
    <row r="1428" ht="14.25" customHeight="1">
      <c r="A1428" s="1"/>
      <c r="B1428" s="1"/>
      <c r="C1428" s="107"/>
      <c r="D1428" s="184"/>
      <c r="E1428" s="184"/>
      <c r="F1428" s="1"/>
      <c r="G1428" s="1"/>
      <c r="H1428" s="1"/>
      <c r="I1428" s="1"/>
      <c r="J1428" s="1"/>
      <c r="K1428" s="1"/>
      <c r="L1428" s="1"/>
      <c r="M1428" s="1"/>
      <c r="N1428" s="1"/>
      <c r="O1428" s="1"/>
      <c r="P1428" s="1"/>
      <c r="Q1428" s="1"/>
      <c r="R1428" s="1"/>
      <c r="S1428" s="1"/>
    </row>
    <row r="1429" ht="14.25" customHeight="1">
      <c r="A1429" s="1"/>
      <c r="B1429" s="1"/>
      <c r="C1429" s="107"/>
      <c r="D1429" s="184"/>
      <c r="E1429" s="184"/>
      <c r="F1429" s="1"/>
      <c r="G1429" s="1"/>
      <c r="H1429" s="1"/>
      <c r="I1429" s="1"/>
      <c r="J1429" s="1"/>
      <c r="K1429" s="1"/>
      <c r="L1429" s="1"/>
      <c r="M1429" s="1"/>
      <c r="N1429" s="1"/>
      <c r="O1429" s="1"/>
      <c r="P1429" s="1"/>
      <c r="Q1429" s="1"/>
      <c r="R1429" s="1"/>
      <c r="S1429" s="1"/>
    </row>
    <row r="1430" ht="14.25" customHeight="1">
      <c r="A1430" s="1"/>
      <c r="B1430" s="209" t="s">
        <v>920</v>
      </c>
      <c r="C1430" s="18"/>
      <c r="D1430" s="18"/>
      <c r="E1430" s="18"/>
      <c r="F1430" s="19"/>
      <c r="G1430" s="1"/>
      <c r="H1430" s="1"/>
      <c r="I1430" s="1"/>
      <c r="J1430" s="1"/>
      <c r="K1430" s="1"/>
      <c r="L1430" s="1"/>
      <c r="M1430" s="1"/>
      <c r="N1430" s="1"/>
      <c r="O1430" s="1"/>
      <c r="P1430" s="1"/>
      <c r="Q1430" s="1"/>
      <c r="R1430" s="1"/>
      <c r="S1430" s="1"/>
    </row>
    <row r="1431" ht="14.25" customHeight="1">
      <c r="A1431" s="1"/>
      <c r="B1431" s="51" t="s">
        <v>1</v>
      </c>
      <c r="C1431" s="121">
        <v>100.0</v>
      </c>
      <c r="D1431" s="513">
        <v>35.0</v>
      </c>
      <c r="E1431" s="1576"/>
      <c r="F1431" s="514" t="s">
        <v>5</v>
      </c>
      <c r="G1431" s="1"/>
      <c r="H1431" s="1"/>
      <c r="I1431" s="1"/>
      <c r="J1431" s="1"/>
      <c r="K1431" s="1"/>
      <c r="L1431" s="1"/>
      <c r="M1431" s="1"/>
      <c r="N1431" s="1"/>
      <c r="O1431" s="1"/>
      <c r="P1431" s="1"/>
      <c r="Q1431" s="1"/>
      <c r="R1431" s="1"/>
      <c r="S1431" s="1"/>
    </row>
    <row r="1432" ht="14.25" customHeight="1">
      <c r="A1432" s="1"/>
      <c r="B1432" s="68" t="s">
        <v>91</v>
      </c>
      <c r="C1432" s="1202">
        <v>2.5</v>
      </c>
      <c r="D1432" s="155">
        <f t="shared" ref="D1432:D1440" si="118">(C1432*D1431)/C1431</f>
        <v>0.875</v>
      </c>
      <c r="E1432" s="899"/>
      <c r="F1432" s="216" t="s">
        <v>5</v>
      </c>
      <c r="G1432" s="44" t="s">
        <v>3209</v>
      </c>
      <c r="H1432" s="1"/>
      <c r="I1432" s="1"/>
      <c r="J1432" s="1"/>
      <c r="K1432" s="1"/>
      <c r="L1432" s="1"/>
      <c r="M1432" s="1"/>
      <c r="N1432" s="1"/>
      <c r="O1432" s="1"/>
      <c r="P1432" s="1"/>
      <c r="Q1432" s="1"/>
      <c r="R1432" s="1"/>
      <c r="S1432" s="1"/>
    </row>
    <row r="1433" ht="14.25" customHeight="1">
      <c r="A1433" s="1"/>
      <c r="B1433" s="93" t="s">
        <v>97</v>
      </c>
      <c r="C1433" s="1213">
        <v>250.0</v>
      </c>
      <c r="D1433" s="78">
        <f t="shared" si="118"/>
        <v>87.5</v>
      </c>
      <c r="E1433" s="900"/>
      <c r="F1433" s="249" t="s">
        <v>18</v>
      </c>
      <c r="G1433" s="47"/>
      <c r="H1433" s="1"/>
      <c r="I1433" s="1"/>
      <c r="J1433" s="1"/>
      <c r="K1433" s="1"/>
      <c r="L1433" s="1"/>
      <c r="M1433" s="1"/>
      <c r="N1433" s="1"/>
      <c r="O1433" s="1"/>
      <c r="P1433" s="1"/>
      <c r="Q1433" s="1"/>
      <c r="R1433" s="1"/>
      <c r="S1433" s="1"/>
    </row>
    <row r="1434" ht="14.25" customHeight="1">
      <c r="A1434" s="1"/>
      <c r="B1434" s="93" t="s">
        <v>98</v>
      </c>
      <c r="C1434" s="1213">
        <v>200.0</v>
      </c>
      <c r="D1434" s="78">
        <f t="shared" si="118"/>
        <v>70</v>
      </c>
      <c r="E1434" s="900"/>
      <c r="F1434" s="249" t="s">
        <v>18</v>
      </c>
      <c r="G1434" s="47"/>
      <c r="H1434" s="1"/>
      <c r="I1434" s="1"/>
      <c r="J1434" s="1"/>
      <c r="K1434" s="1"/>
      <c r="L1434" s="1"/>
      <c r="M1434" s="1"/>
      <c r="N1434" s="1"/>
      <c r="O1434" s="1"/>
      <c r="P1434" s="1"/>
      <c r="Q1434" s="1"/>
      <c r="R1434" s="1"/>
      <c r="S1434" s="1"/>
    </row>
    <row r="1435" ht="14.25" customHeight="1">
      <c r="A1435" s="1"/>
      <c r="B1435" s="93" t="s">
        <v>101</v>
      </c>
      <c r="C1435" s="1213">
        <v>2.0</v>
      </c>
      <c r="D1435" s="78">
        <f t="shared" si="118"/>
        <v>0.7</v>
      </c>
      <c r="E1435" s="900"/>
      <c r="F1435" s="249" t="s">
        <v>5</v>
      </c>
      <c r="G1435" s="47"/>
      <c r="H1435" s="1"/>
      <c r="I1435" s="1"/>
      <c r="J1435" s="1"/>
      <c r="K1435" s="1"/>
      <c r="L1435" s="1"/>
      <c r="M1435" s="1"/>
      <c r="N1435" s="1"/>
      <c r="O1435" s="1"/>
      <c r="P1435" s="1"/>
      <c r="Q1435" s="1"/>
      <c r="R1435" s="1"/>
      <c r="S1435" s="1"/>
    </row>
    <row r="1436" ht="14.25" customHeight="1">
      <c r="A1436" s="1"/>
      <c r="B1436" s="93" t="s">
        <v>1877</v>
      </c>
      <c r="C1436" s="1213">
        <v>250.0</v>
      </c>
      <c r="D1436" s="78">
        <f t="shared" si="118"/>
        <v>87.5</v>
      </c>
      <c r="E1436" s="900"/>
      <c r="F1436" s="249" t="s">
        <v>18</v>
      </c>
      <c r="G1436" s="47"/>
      <c r="H1436" s="1"/>
      <c r="I1436" s="1"/>
      <c r="J1436" s="1"/>
      <c r="K1436" s="1"/>
      <c r="L1436" s="1"/>
      <c r="M1436" s="1"/>
      <c r="N1436" s="1"/>
      <c r="O1436" s="1"/>
      <c r="P1436" s="1"/>
      <c r="Q1436" s="1"/>
      <c r="R1436" s="1"/>
      <c r="S1436" s="1"/>
    </row>
    <row r="1437" ht="14.25" customHeight="1">
      <c r="A1437" s="1"/>
      <c r="B1437" s="93" t="s">
        <v>753</v>
      </c>
      <c r="C1437" s="1213">
        <v>500.0</v>
      </c>
      <c r="D1437" s="78">
        <f t="shared" si="118"/>
        <v>175</v>
      </c>
      <c r="E1437" s="900"/>
      <c r="F1437" s="249" t="s">
        <v>18</v>
      </c>
      <c r="G1437" s="47"/>
      <c r="H1437" s="1"/>
      <c r="I1437" s="1"/>
      <c r="J1437" s="1"/>
      <c r="K1437" s="1"/>
      <c r="L1437" s="1"/>
      <c r="M1437" s="1"/>
      <c r="N1437" s="1"/>
      <c r="O1437" s="1"/>
      <c r="P1437" s="1"/>
      <c r="Q1437" s="1"/>
      <c r="R1437" s="1"/>
      <c r="S1437" s="1"/>
    </row>
    <row r="1438" ht="14.25" customHeight="1">
      <c r="A1438" s="1"/>
      <c r="B1438" s="93" t="s">
        <v>103</v>
      </c>
      <c r="C1438" s="1213">
        <v>100.0</v>
      </c>
      <c r="D1438" s="78">
        <f t="shared" si="118"/>
        <v>35</v>
      </c>
      <c r="E1438" s="900"/>
      <c r="F1438" s="249" t="s">
        <v>18</v>
      </c>
      <c r="G1438" s="47"/>
      <c r="H1438" s="1"/>
      <c r="I1438" s="1"/>
      <c r="J1438" s="1"/>
      <c r="K1438" s="1"/>
      <c r="L1438" s="1"/>
      <c r="M1438" s="1"/>
      <c r="N1438" s="1"/>
      <c r="O1438" s="1"/>
      <c r="P1438" s="1"/>
      <c r="Q1438" s="1"/>
      <c r="R1438" s="1"/>
      <c r="S1438" s="1"/>
    </row>
    <row r="1439" ht="14.25" customHeight="1">
      <c r="A1439" s="1"/>
      <c r="B1439" s="105" t="s">
        <v>52</v>
      </c>
      <c r="C1439" s="1216">
        <v>250.0</v>
      </c>
      <c r="D1439" s="56">
        <f t="shared" si="118"/>
        <v>87.5</v>
      </c>
      <c r="E1439" s="1604"/>
      <c r="F1439" s="518" t="s">
        <v>18</v>
      </c>
      <c r="G1439" s="47"/>
      <c r="H1439" s="1"/>
      <c r="I1439" s="1"/>
      <c r="J1439" s="1"/>
      <c r="K1439" s="1"/>
      <c r="L1439" s="1"/>
      <c r="M1439" s="1"/>
      <c r="N1439" s="1"/>
      <c r="O1439" s="1"/>
      <c r="P1439" s="1"/>
      <c r="Q1439" s="1"/>
      <c r="R1439" s="1"/>
      <c r="S1439" s="1"/>
    </row>
    <row r="1440" ht="14.25" customHeight="1">
      <c r="A1440" s="1"/>
      <c r="B1440" s="68" t="s">
        <v>3213</v>
      </c>
      <c r="C1440" s="1202">
        <v>60.0</v>
      </c>
      <c r="D1440" s="155">
        <f t="shared" si="118"/>
        <v>21</v>
      </c>
      <c r="E1440" s="899"/>
      <c r="F1440" s="216" t="s">
        <v>14</v>
      </c>
      <c r="G1440" s="1"/>
      <c r="H1440" s="1"/>
      <c r="I1440" s="1"/>
      <c r="J1440" s="1"/>
      <c r="K1440" s="1"/>
      <c r="L1440" s="1"/>
      <c r="M1440" s="1"/>
      <c r="N1440" s="1"/>
      <c r="O1440" s="1"/>
      <c r="P1440" s="1"/>
      <c r="Q1440" s="1"/>
      <c r="R1440" s="1"/>
      <c r="S1440" s="1"/>
    </row>
    <row r="1441" ht="14.25" customHeight="1">
      <c r="A1441" s="1"/>
      <c r="B1441" s="138" t="s">
        <v>31</v>
      </c>
      <c r="C1441" s="351">
        <v>1100.0</v>
      </c>
      <c r="D1441" s="146">
        <f>(C1441*D1444)/C1444</f>
        <v>385</v>
      </c>
      <c r="E1441" s="1607"/>
      <c r="F1441" s="242" t="s">
        <v>18</v>
      </c>
      <c r="G1441" s="1"/>
      <c r="H1441" s="1"/>
      <c r="I1441" s="1"/>
      <c r="J1441" s="1"/>
      <c r="K1441" s="1"/>
      <c r="L1441" s="1"/>
      <c r="M1441" s="1"/>
      <c r="N1441" s="1"/>
      <c r="O1441" s="1"/>
      <c r="P1441" s="1"/>
      <c r="Q1441" s="1"/>
      <c r="R1441" s="1"/>
      <c r="S1441" s="1"/>
    </row>
    <row r="1442" ht="14.25" customHeight="1">
      <c r="A1442" s="1"/>
      <c r="B1442" s="68" t="s">
        <v>850</v>
      </c>
      <c r="C1442" s="1202">
        <v>15.0</v>
      </c>
      <c r="D1442" s="155">
        <f>(C1442*D1440)/C1440</f>
        <v>5.25</v>
      </c>
      <c r="E1442" s="899"/>
      <c r="F1442" s="216" t="s">
        <v>14</v>
      </c>
      <c r="G1442" s="44" t="s">
        <v>3214</v>
      </c>
      <c r="H1442" s="1"/>
      <c r="I1442" s="1"/>
      <c r="J1442" s="1"/>
      <c r="K1442" s="1"/>
      <c r="L1442" s="1"/>
      <c r="M1442" s="1"/>
      <c r="N1442" s="1"/>
      <c r="O1442" s="1"/>
      <c r="P1442" s="1"/>
      <c r="Q1442" s="1"/>
      <c r="R1442" s="1"/>
      <c r="S1442" s="1"/>
    </row>
    <row r="1443" ht="14.25" customHeight="1">
      <c r="A1443" s="1"/>
      <c r="B1443" s="93" t="s">
        <v>252</v>
      </c>
      <c r="C1443" s="1213">
        <v>100.0</v>
      </c>
      <c r="D1443" s="78">
        <f>(C1443*D1445)/C1445</f>
        <v>35</v>
      </c>
      <c r="E1443" s="900"/>
      <c r="F1443" s="249" t="s">
        <v>18</v>
      </c>
      <c r="G1443" s="47"/>
      <c r="H1443" s="1"/>
      <c r="I1443" s="1"/>
      <c r="J1443" s="1"/>
      <c r="K1443" s="1"/>
      <c r="L1443" s="1"/>
      <c r="M1443" s="1"/>
      <c r="N1443" s="1"/>
      <c r="O1443" s="1"/>
      <c r="P1443" s="1"/>
      <c r="Q1443" s="1"/>
      <c r="R1443" s="1"/>
      <c r="S1443" s="1"/>
    </row>
    <row r="1444" ht="14.25" customHeight="1">
      <c r="A1444" s="1"/>
      <c r="B1444" s="105" t="s">
        <v>112</v>
      </c>
      <c r="C1444" s="1216">
        <v>100.0</v>
      </c>
      <c r="D1444" s="56">
        <f>(C1444*D1443)/C1443</f>
        <v>35</v>
      </c>
      <c r="E1444" s="1604"/>
      <c r="F1444" s="518" t="s">
        <v>18</v>
      </c>
      <c r="G1444" s="76"/>
      <c r="H1444" s="1"/>
      <c r="I1444" s="1"/>
      <c r="J1444" s="1"/>
      <c r="K1444" s="1"/>
      <c r="L1444" s="1"/>
      <c r="M1444" s="1"/>
      <c r="N1444" s="1"/>
      <c r="O1444" s="1"/>
      <c r="P1444" s="1"/>
      <c r="Q1444" s="1"/>
      <c r="R1444" s="1"/>
      <c r="S1444" s="1"/>
    </row>
    <row r="1445" ht="14.25" customHeight="1">
      <c r="A1445" s="1"/>
      <c r="B1445" s="119" t="s">
        <v>984</v>
      </c>
      <c r="C1445" s="1209">
        <v>35.0</v>
      </c>
      <c r="D1445" s="129">
        <f t="shared" ref="D1445:D1450" si="119">(C1445*D1442)/C1442</f>
        <v>12.25</v>
      </c>
      <c r="E1445" s="1583"/>
      <c r="F1445" s="520" t="s">
        <v>5</v>
      </c>
      <c r="G1445" s="3123" t="s">
        <v>3219</v>
      </c>
      <c r="H1445" s="1"/>
      <c r="I1445" s="1"/>
      <c r="J1445" s="1"/>
      <c r="K1445" s="1"/>
      <c r="L1445" s="1"/>
      <c r="M1445" s="1"/>
      <c r="N1445" s="1"/>
      <c r="O1445" s="1"/>
      <c r="P1445" s="1"/>
      <c r="Q1445" s="1"/>
      <c r="R1445" s="1"/>
      <c r="S1445" s="1"/>
    </row>
    <row r="1446" ht="14.25" customHeight="1">
      <c r="A1446" s="1"/>
      <c r="B1446" s="93" t="s">
        <v>3221</v>
      </c>
      <c r="C1446" s="1213">
        <v>1.0</v>
      </c>
      <c r="D1446" s="129">
        <f t="shared" si="119"/>
        <v>0.35</v>
      </c>
      <c r="E1446" s="1583"/>
      <c r="F1446" s="249" t="s">
        <v>366</v>
      </c>
      <c r="G1446" s="1937"/>
      <c r="H1446" s="1"/>
      <c r="I1446" s="1"/>
      <c r="J1446" s="1"/>
      <c r="K1446" s="1"/>
      <c r="L1446" s="1"/>
      <c r="M1446" s="1"/>
      <c r="N1446" s="1"/>
      <c r="O1446" s="1"/>
      <c r="P1446" s="1"/>
      <c r="Q1446" s="1"/>
      <c r="R1446" s="1"/>
      <c r="S1446" s="1"/>
    </row>
    <row r="1447" ht="14.25" customHeight="1">
      <c r="A1447" s="1"/>
      <c r="B1447" s="105" t="s">
        <v>13</v>
      </c>
      <c r="C1447" s="1216">
        <v>1.0</v>
      </c>
      <c r="D1447" s="129">
        <f t="shared" si="119"/>
        <v>0.35</v>
      </c>
      <c r="E1447" s="1583"/>
      <c r="F1447" s="249" t="s">
        <v>366</v>
      </c>
      <c r="G1447" s="3124"/>
      <c r="H1447" s="1"/>
      <c r="I1447" s="1"/>
      <c r="J1447" s="1"/>
      <c r="K1447" s="1"/>
      <c r="L1447" s="1"/>
      <c r="M1447" s="1"/>
      <c r="N1447" s="1"/>
      <c r="O1447" s="1"/>
      <c r="P1447" s="1"/>
      <c r="Q1447" s="1"/>
      <c r="R1447" s="1"/>
      <c r="S1447" s="1"/>
    </row>
    <row r="1448" ht="14.25" customHeight="1">
      <c r="A1448" s="1"/>
      <c r="B1448" s="119" t="s">
        <v>963</v>
      </c>
      <c r="C1448" s="1209">
        <v>2.5</v>
      </c>
      <c r="D1448" s="129">
        <f t="shared" si="119"/>
        <v>0.875</v>
      </c>
      <c r="E1448" s="1583"/>
      <c r="F1448" s="520" t="s">
        <v>14</v>
      </c>
      <c r="G1448" s="1587" t="s">
        <v>1562</v>
      </c>
      <c r="H1448" s="1"/>
      <c r="I1448" s="1"/>
      <c r="J1448" s="1"/>
      <c r="K1448" s="1"/>
      <c r="L1448" s="1"/>
      <c r="M1448" s="1"/>
      <c r="N1448" s="1"/>
      <c r="O1448" s="1"/>
      <c r="P1448" s="1"/>
      <c r="Q1448" s="1"/>
      <c r="R1448" s="1"/>
      <c r="S1448" s="1"/>
    </row>
    <row r="1449" ht="14.25" customHeight="1">
      <c r="A1449" s="1"/>
      <c r="B1449" s="93" t="s">
        <v>858</v>
      </c>
      <c r="C1449" s="1213">
        <v>10.0</v>
      </c>
      <c r="D1449" s="129">
        <f t="shared" si="119"/>
        <v>3.5</v>
      </c>
      <c r="E1449" s="1583"/>
      <c r="F1449" s="249" t="s">
        <v>9</v>
      </c>
      <c r="G1449" s="47"/>
      <c r="H1449" s="1"/>
      <c r="I1449" s="1"/>
      <c r="J1449" s="1"/>
      <c r="K1449" s="1"/>
      <c r="L1449" s="1"/>
      <c r="M1449" s="1"/>
      <c r="N1449" s="1"/>
      <c r="O1449" s="1"/>
      <c r="P1449" s="1"/>
      <c r="Q1449" s="1"/>
      <c r="R1449" s="1"/>
      <c r="S1449" s="1"/>
    </row>
    <row r="1450" ht="14.25" customHeight="1">
      <c r="A1450" s="1"/>
      <c r="B1450" s="105" t="s">
        <v>114</v>
      </c>
      <c r="C1450" s="1216">
        <v>2.5</v>
      </c>
      <c r="D1450" s="129">
        <f t="shared" si="119"/>
        <v>0.875</v>
      </c>
      <c r="E1450" s="1614"/>
      <c r="F1450" s="518" t="s">
        <v>5</v>
      </c>
      <c r="G1450" s="76"/>
      <c r="H1450" s="1"/>
      <c r="I1450" s="1"/>
      <c r="J1450" s="1"/>
      <c r="K1450" s="1"/>
      <c r="L1450" s="1"/>
      <c r="M1450" s="1"/>
      <c r="N1450" s="1"/>
      <c r="O1450" s="1"/>
      <c r="P1450" s="1"/>
      <c r="Q1450" s="1"/>
      <c r="R1450" s="1"/>
      <c r="S1450" s="1"/>
    </row>
    <row r="1451" ht="14.25" customHeight="1">
      <c r="A1451" s="1"/>
      <c r="B1451" s="1326" t="s">
        <v>1660</v>
      </c>
      <c r="C1451" s="18"/>
      <c r="D1451" s="18"/>
      <c r="E1451" s="18"/>
      <c r="F1451" s="19"/>
      <c r="G1451" s="1"/>
      <c r="H1451" s="1"/>
      <c r="I1451" s="1"/>
      <c r="J1451" s="1"/>
      <c r="K1451" s="1"/>
      <c r="L1451" s="1"/>
      <c r="M1451" s="1"/>
      <c r="N1451" s="1"/>
      <c r="O1451" s="1"/>
      <c r="P1451" s="1"/>
      <c r="Q1451" s="1"/>
      <c r="R1451" s="1"/>
      <c r="S1451" s="1"/>
    </row>
    <row r="1452" ht="14.25" customHeight="1">
      <c r="A1452" s="1"/>
      <c r="B1452" s="68" t="s">
        <v>1274</v>
      </c>
      <c r="C1452" s="1202">
        <v>6.0</v>
      </c>
      <c r="D1452" s="155">
        <f>(C1452*D1450)/C1450</f>
        <v>2.1</v>
      </c>
      <c r="E1452" s="899"/>
      <c r="F1452" s="216" t="s">
        <v>14</v>
      </c>
      <c r="G1452" s="610" t="s">
        <v>3585</v>
      </c>
      <c r="H1452" s="1"/>
      <c r="I1452" s="1"/>
      <c r="J1452" s="1"/>
      <c r="K1452" s="1"/>
      <c r="L1452" s="1"/>
      <c r="M1452" s="1"/>
      <c r="N1452" s="1"/>
      <c r="O1452" s="1"/>
      <c r="P1452" s="1"/>
      <c r="Q1452" s="1"/>
      <c r="R1452" s="1"/>
      <c r="S1452" s="1"/>
    </row>
    <row r="1453" ht="14.25" customHeight="1">
      <c r="A1453" s="1"/>
      <c r="B1453" s="93" t="s">
        <v>1559</v>
      </c>
      <c r="C1453" s="1213">
        <v>100.0</v>
      </c>
      <c r="D1453" s="78">
        <f t="shared" ref="D1453:D1456" si="120">(C1453*D1452)/C1452</f>
        <v>35</v>
      </c>
      <c r="E1453" s="900"/>
      <c r="F1453" s="249" t="s">
        <v>18</v>
      </c>
      <c r="G1453" s="47"/>
      <c r="H1453" s="1"/>
      <c r="I1453" s="1"/>
      <c r="J1453" s="1"/>
      <c r="K1453" s="1"/>
      <c r="L1453" s="1"/>
      <c r="M1453" s="1"/>
      <c r="N1453" s="1"/>
      <c r="O1453" s="1"/>
      <c r="P1453" s="1"/>
      <c r="Q1453" s="1"/>
      <c r="R1453" s="1"/>
      <c r="S1453" s="1"/>
    </row>
    <row r="1454" ht="14.25" customHeight="1">
      <c r="A1454" s="1"/>
      <c r="B1454" s="93" t="s">
        <v>1321</v>
      </c>
      <c r="C1454" s="1213">
        <v>6.0</v>
      </c>
      <c r="D1454" s="78">
        <f t="shared" si="120"/>
        <v>2.1</v>
      </c>
      <c r="E1454" s="900"/>
      <c r="F1454" s="249" t="s">
        <v>18</v>
      </c>
      <c r="G1454" s="47"/>
      <c r="H1454" s="1"/>
      <c r="I1454" s="1"/>
      <c r="J1454" s="1"/>
      <c r="K1454" s="1"/>
      <c r="L1454" s="1"/>
      <c r="M1454" s="1"/>
      <c r="N1454" s="1"/>
      <c r="O1454" s="1"/>
      <c r="P1454" s="1"/>
      <c r="Q1454" s="1"/>
      <c r="R1454" s="1"/>
      <c r="S1454" s="1"/>
    </row>
    <row r="1455" ht="14.25" customHeight="1">
      <c r="A1455" s="1"/>
      <c r="B1455" s="93" t="s">
        <v>113</v>
      </c>
      <c r="C1455" s="1213">
        <v>6.0</v>
      </c>
      <c r="D1455" s="78">
        <f t="shared" si="120"/>
        <v>2.1</v>
      </c>
      <c r="E1455" s="900"/>
      <c r="F1455" s="249" t="s">
        <v>18</v>
      </c>
      <c r="G1455" s="47"/>
      <c r="H1455" s="1"/>
      <c r="I1455" s="1"/>
      <c r="J1455" s="1"/>
      <c r="K1455" s="1"/>
      <c r="L1455" s="1"/>
      <c r="M1455" s="1"/>
      <c r="N1455" s="1"/>
      <c r="O1455" s="1"/>
      <c r="P1455" s="1"/>
      <c r="Q1455" s="1"/>
      <c r="R1455" s="1"/>
      <c r="S1455" s="1"/>
    </row>
    <row r="1456" ht="14.25" customHeight="1">
      <c r="A1456" s="1"/>
      <c r="B1456" s="105" t="s">
        <v>103</v>
      </c>
      <c r="C1456" s="1216">
        <v>6.0</v>
      </c>
      <c r="D1456" s="56">
        <f t="shared" si="120"/>
        <v>2.1</v>
      </c>
      <c r="E1456" s="1604"/>
      <c r="F1456" s="518" t="s">
        <v>18</v>
      </c>
      <c r="G1456" s="76"/>
      <c r="H1456" s="1"/>
      <c r="I1456" s="1"/>
      <c r="J1456" s="1"/>
      <c r="K1456" s="1"/>
      <c r="L1456" s="1"/>
      <c r="M1456" s="1"/>
      <c r="N1456" s="1"/>
      <c r="O1456" s="1"/>
      <c r="P1456" s="1"/>
      <c r="Q1456" s="1"/>
      <c r="R1456" s="1"/>
      <c r="S1456" s="1"/>
    </row>
    <row r="1457" ht="14.25" customHeight="1">
      <c r="A1457" s="1"/>
      <c r="B1457" s="2275" t="s">
        <v>119</v>
      </c>
      <c r="C1457" s="1446" t="s">
        <v>47</v>
      </c>
      <c r="D1457" s="184"/>
      <c r="E1457" s="184"/>
      <c r="F1457" s="1"/>
      <c r="G1457" s="1"/>
      <c r="H1457" s="1"/>
      <c r="I1457" s="1"/>
      <c r="J1457" s="1"/>
      <c r="K1457" s="1"/>
      <c r="L1457" s="1"/>
      <c r="M1457" s="1"/>
      <c r="N1457" s="1"/>
      <c r="O1457" s="1"/>
      <c r="P1457" s="1"/>
      <c r="Q1457" s="1"/>
      <c r="R1457" s="1"/>
      <c r="S1457" s="1"/>
    </row>
    <row r="1458" ht="14.25" customHeight="1">
      <c r="A1458" s="1"/>
      <c r="B1458" s="550" t="s">
        <v>1583</v>
      </c>
      <c r="C1458" s="1363">
        <v>42778.0</v>
      </c>
      <c r="D1458" s="184"/>
      <c r="E1458" s="184"/>
      <c r="F1458" s="1"/>
      <c r="G1458" s="1"/>
      <c r="H1458" s="1"/>
      <c r="I1458" s="1"/>
      <c r="J1458" s="1"/>
      <c r="K1458" s="1"/>
      <c r="L1458" s="1"/>
      <c r="M1458" s="1"/>
      <c r="N1458" s="1"/>
      <c r="O1458" s="1"/>
      <c r="P1458" s="1"/>
      <c r="Q1458" s="1"/>
      <c r="R1458" s="1"/>
      <c r="S1458" s="1"/>
    </row>
    <row r="1459" ht="14.25" customHeight="1">
      <c r="A1459" s="1"/>
      <c r="B1459" s="342" t="s">
        <v>1585</v>
      </c>
      <c r="C1459" s="1363"/>
      <c r="D1459" s="184"/>
      <c r="E1459" s="184"/>
      <c r="F1459" s="1"/>
      <c r="G1459" s="1"/>
      <c r="H1459" s="1"/>
      <c r="I1459" s="1"/>
      <c r="J1459" s="1"/>
      <c r="K1459" s="1"/>
      <c r="L1459" s="1"/>
      <c r="M1459" s="1"/>
      <c r="N1459" s="1"/>
      <c r="O1459" s="1"/>
      <c r="P1459" s="1"/>
      <c r="Q1459" s="1"/>
      <c r="R1459" s="1"/>
      <c r="S1459" s="1"/>
    </row>
    <row r="1460" ht="14.25" customHeight="1">
      <c r="A1460" s="1"/>
      <c r="B1460" s="1"/>
      <c r="C1460" s="107"/>
      <c r="D1460" s="184"/>
      <c r="E1460" s="184"/>
      <c r="F1460" s="1"/>
      <c r="G1460" s="1"/>
      <c r="H1460" s="1"/>
      <c r="I1460" s="1"/>
      <c r="J1460" s="1"/>
      <c r="K1460" s="1"/>
      <c r="L1460" s="1"/>
      <c r="M1460" s="1"/>
      <c r="N1460" s="1"/>
      <c r="O1460" s="1"/>
      <c r="P1460" s="1"/>
      <c r="Q1460" s="1"/>
      <c r="R1460" s="1"/>
      <c r="S1460" s="1"/>
    </row>
    <row r="1461" ht="14.25" customHeight="1">
      <c r="A1461" s="1"/>
      <c r="B1461" s="1"/>
      <c r="C1461" s="107"/>
      <c r="D1461" s="184"/>
      <c r="E1461" s="184"/>
      <c r="F1461" s="1"/>
      <c r="G1461" s="1"/>
      <c r="H1461" s="1"/>
      <c r="I1461" s="1"/>
      <c r="J1461" s="1"/>
      <c r="K1461" s="1"/>
      <c r="L1461" s="1"/>
      <c r="M1461" s="1"/>
      <c r="N1461" s="1"/>
      <c r="O1461" s="1"/>
      <c r="P1461" s="1"/>
      <c r="Q1461" s="1"/>
      <c r="R1461" s="1"/>
      <c r="S1461" s="1"/>
    </row>
    <row r="1462" ht="14.25" customHeight="1">
      <c r="A1462" s="1"/>
      <c r="B1462" s="1"/>
      <c r="C1462" s="107"/>
      <c r="D1462" s="184"/>
      <c r="E1462" s="184"/>
      <c r="F1462" s="1"/>
      <c r="G1462" s="1"/>
      <c r="H1462" s="1"/>
      <c r="I1462" s="1"/>
      <c r="J1462" s="1"/>
      <c r="K1462" s="1"/>
      <c r="L1462" s="1"/>
      <c r="M1462" s="1"/>
      <c r="N1462" s="1"/>
      <c r="O1462" s="1"/>
      <c r="P1462" s="1"/>
      <c r="Q1462" s="1"/>
      <c r="R1462" s="1"/>
      <c r="S1462" s="1"/>
    </row>
    <row r="1463" ht="14.25" customHeight="1">
      <c r="A1463" s="1112"/>
      <c r="B1463" s="1"/>
      <c r="C1463" s="107"/>
      <c r="D1463" s="184"/>
      <c r="E1463" s="184"/>
      <c r="F1463" s="1"/>
      <c r="G1463" s="1112"/>
      <c r="H1463" s="1"/>
      <c r="I1463" s="1"/>
      <c r="J1463" s="1"/>
      <c r="K1463" s="1"/>
      <c r="L1463" s="1"/>
      <c r="M1463" s="1"/>
      <c r="N1463" s="1"/>
      <c r="O1463" s="1"/>
      <c r="P1463" s="1"/>
      <c r="Q1463" s="1"/>
      <c r="R1463" s="1"/>
      <c r="S1463" s="1"/>
    </row>
    <row r="1464" ht="14.25" customHeight="1">
      <c r="A1464" s="1112"/>
      <c r="B1464" s="1"/>
      <c r="C1464" s="107"/>
      <c r="D1464" s="184"/>
      <c r="E1464" s="184"/>
      <c r="F1464" s="1"/>
      <c r="G1464" s="1112"/>
      <c r="H1464" s="1"/>
      <c r="I1464" s="1"/>
      <c r="J1464" s="1"/>
      <c r="K1464" s="1"/>
      <c r="L1464" s="1"/>
      <c r="M1464" s="1"/>
      <c r="N1464" s="1"/>
      <c r="O1464" s="1"/>
      <c r="P1464" s="1"/>
      <c r="Q1464" s="1"/>
      <c r="R1464" s="1"/>
      <c r="S1464" s="1"/>
    </row>
    <row r="1465" ht="14.25" customHeight="1">
      <c r="A1465" s="1112"/>
      <c r="B1465" s="656" t="s">
        <v>1008</v>
      </c>
      <c r="C1465" s="18"/>
      <c r="D1465" s="18"/>
      <c r="E1465" s="18"/>
      <c r="F1465" s="19"/>
      <c r="G1465" s="3125"/>
      <c r="H1465" s="1"/>
      <c r="I1465" s="1640" t="s">
        <v>119</v>
      </c>
      <c r="J1465" s="1"/>
      <c r="K1465" s="1"/>
      <c r="L1465" s="1"/>
      <c r="M1465" s="1"/>
      <c r="N1465" s="1"/>
      <c r="O1465" s="1"/>
      <c r="P1465" s="1"/>
      <c r="Q1465" s="1"/>
      <c r="R1465" s="1"/>
      <c r="S1465" s="1"/>
    </row>
    <row r="1466" ht="14.25" customHeight="1">
      <c r="A1466" s="1112"/>
      <c r="B1466" s="163" t="s">
        <v>171</v>
      </c>
      <c r="C1466" s="221">
        <v>10.0</v>
      </c>
      <c r="D1466" s="164">
        <v>60.0</v>
      </c>
      <c r="E1466" s="1731"/>
      <c r="F1466" s="169" t="s">
        <v>5</v>
      </c>
      <c r="G1466" s="44" t="s">
        <v>3586</v>
      </c>
      <c r="H1466" s="3126" t="s">
        <v>3587</v>
      </c>
      <c r="I1466" s="3127" t="s">
        <v>800</v>
      </c>
      <c r="J1466" s="1"/>
      <c r="K1466" s="1"/>
      <c r="L1466" s="1"/>
      <c r="M1466" s="1"/>
      <c r="N1466" s="1"/>
      <c r="O1466" s="1"/>
      <c r="P1466" s="1"/>
      <c r="Q1466" s="1"/>
      <c r="R1466" s="1"/>
      <c r="S1466" s="1"/>
    </row>
    <row r="1467" ht="14.25" customHeight="1">
      <c r="A1467" s="1112"/>
      <c r="B1467" s="177" t="s">
        <v>3138</v>
      </c>
      <c r="C1467" s="27">
        <v>2.25</v>
      </c>
      <c r="D1467" s="201">
        <f t="shared" ref="D1467:D1479" si="121">(C1467*D1466)/C1466</f>
        <v>13.5</v>
      </c>
      <c r="E1467" s="1735"/>
      <c r="F1467" s="204" t="s">
        <v>14</v>
      </c>
      <c r="G1467" s="47"/>
      <c r="H1467" s="3128">
        <v>4.0</v>
      </c>
      <c r="I1467" s="68">
        <v>1.0</v>
      </c>
      <c r="J1467" s="3129">
        <f t="shared" ref="J1467:J1488" si="122">I1467*D1467</f>
        <v>13.5</v>
      </c>
      <c r="K1467" s="1"/>
      <c r="L1467" s="1"/>
      <c r="M1467" s="1"/>
      <c r="N1467" s="1"/>
      <c r="O1467" s="1"/>
      <c r="P1467" s="1"/>
      <c r="Q1467" s="1"/>
      <c r="R1467" s="1"/>
      <c r="S1467" s="1"/>
    </row>
    <row r="1468" ht="14.25" customHeight="1">
      <c r="A1468" s="1112"/>
      <c r="B1468" s="177" t="s">
        <v>3588</v>
      </c>
      <c r="C1468" s="27">
        <v>1.25</v>
      </c>
      <c r="D1468" s="201">
        <f t="shared" si="121"/>
        <v>7.5</v>
      </c>
      <c r="E1468" s="1735"/>
      <c r="F1468" s="204" t="s">
        <v>14</v>
      </c>
      <c r="G1468" s="47"/>
      <c r="H1468" s="3130">
        <v>2.0</v>
      </c>
      <c r="I1468" s="93">
        <v>1008.0</v>
      </c>
      <c r="J1468" s="1741">
        <f t="shared" si="122"/>
        <v>7560</v>
      </c>
      <c r="K1468" s="1"/>
      <c r="L1468" s="1"/>
      <c r="M1468" s="1"/>
      <c r="N1468" s="1"/>
      <c r="O1468" s="1"/>
      <c r="P1468" s="1"/>
      <c r="Q1468" s="1"/>
      <c r="R1468" s="1"/>
      <c r="S1468" s="1"/>
    </row>
    <row r="1469" ht="14.25" customHeight="1">
      <c r="A1469" s="1112"/>
      <c r="B1469" s="177" t="s">
        <v>3589</v>
      </c>
      <c r="C1469" s="27">
        <v>0.75</v>
      </c>
      <c r="D1469" s="201">
        <f t="shared" si="121"/>
        <v>4.5</v>
      </c>
      <c r="E1469" s="1735"/>
      <c r="F1469" s="204" t="s">
        <v>14</v>
      </c>
      <c r="G1469" s="47"/>
      <c r="H1469" s="3130">
        <v>2.0</v>
      </c>
      <c r="I1469" s="93">
        <v>768.0</v>
      </c>
      <c r="J1469" s="1741">
        <f t="shared" si="122"/>
        <v>3456</v>
      </c>
      <c r="K1469" s="1"/>
      <c r="L1469" s="1"/>
      <c r="M1469" s="1"/>
      <c r="N1469" s="1"/>
      <c r="O1469" s="1"/>
      <c r="P1469" s="1"/>
      <c r="Q1469" s="1"/>
      <c r="R1469" s="1"/>
      <c r="S1469" s="1"/>
    </row>
    <row r="1470" ht="14.25" customHeight="1">
      <c r="A1470" s="1112"/>
      <c r="B1470" s="177" t="s">
        <v>3590</v>
      </c>
      <c r="C1470" s="27">
        <v>2.25</v>
      </c>
      <c r="D1470" s="201">
        <f t="shared" si="121"/>
        <v>13.5</v>
      </c>
      <c r="E1470" s="1735"/>
      <c r="F1470" s="204" t="s">
        <v>14</v>
      </c>
      <c r="G1470" s="47"/>
      <c r="H1470" s="3130">
        <v>4.0</v>
      </c>
      <c r="I1470" s="93">
        <v>420.0</v>
      </c>
      <c r="J1470" s="1741">
        <f t="shared" si="122"/>
        <v>5670</v>
      </c>
      <c r="K1470" s="1"/>
      <c r="L1470" s="1"/>
      <c r="M1470" s="1"/>
      <c r="N1470" s="1"/>
      <c r="O1470" s="1"/>
      <c r="P1470" s="1"/>
      <c r="Q1470" s="1"/>
      <c r="R1470" s="1"/>
      <c r="S1470" s="1"/>
    </row>
    <row r="1471" ht="14.25" customHeight="1">
      <c r="A1471" s="1112"/>
      <c r="B1471" s="177" t="s">
        <v>3591</v>
      </c>
      <c r="C1471" s="27">
        <v>1.0</v>
      </c>
      <c r="D1471" s="201">
        <f t="shared" si="121"/>
        <v>6</v>
      </c>
      <c r="E1471" s="1735"/>
      <c r="F1471" s="204" t="s">
        <v>14</v>
      </c>
      <c r="G1471" s="47"/>
      <c r="H1471" s="3130">
        <v>4.0</v>
      </c>
      <c r="I1471" s="93">
        <v>720.0</v>
      </c>
      <c r="J1471" s="1741">
        <f t="shared" si="122"/>
        <v>4320</v>
      </c>
      <c r="K1471" s="1"/>
      <c r="L1471" s="1"/>
      <c r="M1471" s="1"/>
      <c r="N1471" s="1"/>
      <c r="O1471" s="1"/>
      <c r="P1471" s="1"/>
      <c r="Q1471" s="1"/>
      <c r="R1471" s="1"/>
      <c r="S1471" s="1"/>
    </row>
    <row r="1472" ht="14.25" customHeight="1">
      <c r="A1472" s="1112"/>
      <c r="B1472" s="177" t="s">
        <v>3592</v>
      </c>
      <c r="C1472" s="27">
        <v>1.0</v>
      </c>
      <c r="D1472" s="201">
        <f t="shared" si="121"/>
        <v>6</v>
      </c>
      <c r="E1472" s="1735"/>
      <c r="F1472" s="204" t="s">
        <v>14</v>
      </c>
      <c r="G1472" s="47"/>
      <c r="H1472" s="3131">
        <v>1.0</v>
      </c>
      <c r="I1472" s="93">
        <v>500.0</v>
      </c>
      <c r="J1472" s="1741">
        <f t="shared" si="122"/>
        <v>3000</v>
      </c>
      <c r="K1472" s="1"/>
      <c r="L1472" s="1"/>
      <c r="M1472" s="1"/>
      <c r="N1472" s="1"/>
      <c r="O1472" s="1"/>
      <c r="P1472" s="1"/>
      <c r="Q1472" s="1"/>
      <c r="R1472" s="1"/>
      <c r="S1472" s="1"/>
    </row>
    <row r="1473" ht="14.25" customHeight="1">
      <c r="A1473" s="1112"/>
      <c r="B1473" s="177" t="s">
        <v>3593</v>
      </c>
      <c r="C1473" s="27">
        <v>0.25</v>
      </c>
      <c r="D1473" s="201">
        <f t="shared" si="121"/>
        <v>1.5</v>
      </c>
      <c r="E1473" s="1735"/>
      <c r="F1473" s="204" t="s">
        <v>366</v>
      </c>
      <c r="G1473" s="47"/>
      <c r="H1473" s="763"/>
      <c r="I1473" s="93">
        <v>60.0</v>
      </c>
      <c r="J1473" s="1741">
        <f t="shared" si="122"/>
        <v>90</v>
      </c>
      <c r="K1473" s="1"/>
      <c r="L1473" s="1"/>
      <c r="M1473" s="1"/>
      <c r="N1473" s="1"/>
      <c r="O1473" s="1"/>
      <c r="P1473" s="1"/>
      <c r="Q1473" s="1"/>
      <c r="R1473" s="1"/>
      <c r="S1473" s="1"/>
    </row>
    <row r="1474" ht="14.25" customHeight="1">
      <c r="A1474" s="1112"/>
      <c r="B1474" s="177" t="s">
        <v>31</v>
      </c>
      <c r="C1474" s="27">
        <v>125.0</v>
      </c>
      <c r="D1474" s="201">
        <f t="shared" si="121"/>
        <v>750</v>
      </c>
      <c r="E1474" s="1735"/>
      <c r="F1474" s="204" t="s">
        <v>18</v>
      </c>
      <c r="G1474" s="47"/>
      <c r="H1474" s="763"/>
      <c r="I1474" s="93">
        <v>100.0</v>
      </c>
      <c r="J1474" s="1741">
        <f t="shared" si="122"/>
        <v>75000</v>
      </c>
      <c r="K1474" s="1"/>
      <c r="L1474" s="1"/>
      <c r="M1474" s="1"/>
      <c r="N1474" s="1"/>
      <c r="O1474" s="1"/>
      <c r="P1474" s="1"/>
      <c r="Q1474" s="1"/>
      <c r="R1474" s="1"/>
      <c r="S1474" s="1"/>
    </row>
    <row r="1475" ht="14.25" customHeight="1">
      <c r="A1475" s="1112"/>
      <c r="B1475" s="262" t="s">
        <v>52</v>
      </c>
      <c r="C1475" s="50">
        <v>20.0</v>
      </c>
      <c r="D1475" s="265">
        <f t="shared" si="121"/>
        <v>120</v>
      </c>
      <c r="E1475" s="2164"/>
      <c r="F1475" s="267" t="s">
        <v>18</v>
      </c>
      <c r="G1475" s="76"/>
      <c r="H1475" s="763"/>
      <c r="I1475" s="93">
        <v>600.0</v>
      </c>
      <c r="J1475" s="1741">
        <f t="shared" si="122"/>
        <v>72000</v>
      </c>
      <c r="K1475" s="1"/>
      <c r="L1475" s="1"/>
      <c r="M1475" s="1"/>
      <c r="N1475" s="1"/>
      <c r="O1475" s="1"/>
      <c r="P1475" s="1"/>
      <c r="Q1475" s="1"/>
      <c r="R1475" s="1"/>
      <c r="S1475" s="1"/>
    </row>
    <row r="1476" ht="14.25" customHeight="1">
      <c r="A1476" s="1112"/>
      <c r="B1476" s="163" t="s">
        <v>98</v>
      </c>
      <c r="C1476" s="221">
        <v>75.0</v>
      </c>
      <c r="D1476" s="164">
        <f t="shared" si="121"/>
        <v>450</v>
      </c>
      <c r="E1476" s="1731"/>
      <c r="F1476" s="169" t="s">
        <v>18</v>
      </c>
      <c r="G1476" s="264" t="s">
        <v>3594</v>
      </c>
      <c r="H1476" s="763"/>
      <c r="I1476" s="93">
        <v>300.0</v>
      </c>
      <c r="J1476" s="1741">
        <f t="shared" si="122"/>
        <v>135000</v>
      </c>
      <c r="K1476" s="1"/>
      <c r="L1476" s="1"/>
      <c r="M1476" s="1"/>
      <c r="N1476" s="1"/>
      <c r="O1476" s="1"/>
      <c r="P1476" s="1"/>
      <c r="Q1476" s="1"/>
      <c r="R1476" s="1"/>
      <c r="S1476" s="1"/>
    </row>
    <row r="1477" ht="14.25" customHeight="1">
      <c r="A1477" s="1112"/>
      <c r="B1477" s="177" t="s">
        <v>95</v>
      </c>
      <c r="C1477" s="27">
        <v>30.0</v>
      </c>
      <c r="D1477" s="201">
        <f t="shared" si="121"/>
        <v>180</v>
      </c>
      <c r="E1477" s="1735"/>
      <c r="F1477" s="204" t="s">
        <v>18</v>
      </c>
      <c r="G1477" s="66"/>
      <c r="H1477" s="763"/>
      <c r="I1477" s="93">
        <v>400.0</v>
      </c>
      <c r="J1477" s="1741">
        <f t="shared" si="122"/>
        <v>72000</v>
      </c>
      <c r="K1477" s="1"/>
      <c r="L1477" s="1"/>
      <c r="M1477" s="1"/>
      <c r="N1477" s="1"/>
      <c r="O1477" s="1"/>
      <c r="P1477" s="1"/>
      <c r="Q1477" s="1"/>
      <c r="R1477" s="1"/>
      <c r="S1477" s="1"/>
    </row>
    <row r="1478" ht="14.25" customHeight="1">
      <c r="A1478" s="1112"/>
      <c r="B1478" s="177" t="s">
        <v>884</v>
      </c>
      <c r="C1478" s="27">
        <v>10.0</v>
      </c>
      <c r="D1478" s="201">
        <f t="shared" si="121"/>
        <v>60</v>
      </c>
      <c r="E1478" s="1735"/>
      <c r="F1478" s="204" t="s">
        <v>18</v>
      </c>
      <c r="G1478" s="66"/>
      <c r="H1478" s="763"/>
      <c r="I1478" s="93">
        <v>150.0</v>
      </c>
      <c r="J1478" s="1741">
        <f t="shared" si="122"/>
        <v>9000</v>
      </c>
      <c r="K1478" s="1"/>
      <c r="L1478" s="1"/>
      <c r="M1478" s="1"/>
      <c r="N1478" s="1"/>
      <c r="O1478" s="1"/>
      <c r="P1478" s="1"/>
      <c r="Q1478" s="1"/>
      <c r="R1478" s="1"/>
      <c r="S1478" s="1"/>
    </row>
    <row r="1479" ht="14.25" customHeight="1">
      <c r="A1479" s="1112"/>
      <c r="B1479" s="177" t="s">
        <v>130</v>
      </c>
      <c r="C1479" s="27">
        <v>60.0</v>
      </c>
      <c r="D1479" s="201">
        <f t="shared" si="121"/>
        <v>360</v>
      </c>
      <c r="E1479" s="1735"/>
      <c r="F1479" s="204" t="s">
        <v>18</v>
      </c>
      <c r="G1479" s="66"/>
      <c r="H1479" s="763"/>
      <c r="I1479" s="93">
        <v>270.0</v>
      </c>
      <c r="J1479" s="1741">
        <f t="shared" si="122"/>
        <v>97200</v>
      </c>
      <c r="K1479" s="1"/>
      <c r="L1479" s="1"/>
      <c r="M1479" s="1"/>
      <c r="N1479" s="1"/>
      <c r="O1479" s="1"/>
      <c r="P1479" s="1"/>
      <c r="Q1479" s="1"/>
      <c r="R1479" s="1"/>
      <c r="S1479" s="1"/>
    </row>
    <row r="1480" ht="14.25" customHeight="1">
      <c r="A1480" s="1112"/>
      <c r="B1480" s="177" t="s">
        <v>3595</v>
      </c>
      <c r="C1480" s="27">
        <v>100.0</v>
      </c>
      <c r="D1480" s="201">
        <f t="shared" ref="D1480:D1481" si="123">(C1480*D1486)/C1486</f>
        <v>600</v>
      </c>
      <c r="E1480" s="1735"/>
      <c r="F1480" s="204" t="s">
        <v>18</v>
      </c>
      <c r="G1480" s="66"/>
      <c r="H1480" s="1105" t="s">
        <v>3596</v>
      </c>
      <c r="I1480" s="93">
        <v>810.0</v>
      </c>
      <c r="J1480" s="1741">
        <f t="shared" si="122"/>
        <v>486000</v>
      </c>
      <c r="K1480" s="1"/>
      <c r="L1480" s="1"/>
      <c r="M1480" s="1"/>
      <c r="N1480" s="1"/>
      <c r="O1480" s="1"/>
      <c r="P1480" s="1"/>
      <c r="Q1480" s="1"/>
      <c r="R1480" s="1"/>
      <c r="S1480" s="1"/>
    </row>
    <row r="1481" ht="14.25" customHeight="1">
      <c r="A1481" s="1112"/>
      <c r="B1481" s="208" t="s">
        <v>3597</v>
      </c>
      <c r="C1481" s="236">
        <v>1.5</v>
      </c>
      <c r="D1481" s="257">
        <f t="shared" si="123"/>
        <v>9</v>
      </c>
      <c r="E1481" s="1738"/>
      <c r="F1481" s="212" t="s">
        <v>9</v>
      </c>
      <c r="G1481" s="106"/>
      <c r="H1481" s="763"/>
      <c r="I1481" s="93">
        <v>2700.0</v>
      </c>
      <c r="J1481" s="1741">
        <f t="shared" si="122"/>
        <v>24300</v>
      </c>
      <c r="K1481" s="1"/>
      <c r="L1481" s="1"/>
      <c r="M1481" s="1"/>
      <c r="N1481" s="1"/>
      <c r="O1481" s="1"/>
      <c r="P1481" s="1"/>
      <c r="Q1481" s="1"/>
      <c r="R1481" s="1"/>
      <c r="S1481" s="1"/>
    </row>
    <row r="1482" ht="14.25" customHeight="1">
      <c r="A1482" s="1112"/>
      <c r="B1482" s="157" t="s">
        <v>743</v>
      </c>
      <c r="C1482" s="244">
        <v>200.0</v>
      </c>
      <c r="D1482" s="158">
        <f>(C1482*D1479)/C1479</f>
        <v>1200</v>
      </c>
      <c r="E1482" s="1998"/>
      <c r="F1482" s="159" t="s">
        <v>82</v>
      </c>
      <c r="G1482" s="264" t="s">
        <v>3598</v>
      </c>
      <c r="H1482" s="763"/>
      <c r="I1482" s="93">
        <v>400.0</v>
      </c>
      <c r="J1482" s="1741">
        <f t="shared" si="122"/>
        <v>480000</v>
      </c>
      <c r="K1482" s="1"/>
      <c r="L1482" s="1"/>
      <c r="M1482" s="1"/>
      <c r="N1482" s="1"/>
      <c r="O1482" s="1"/>
      <c r="P1482" s="1"/>
      <c r="Q1482" s="1"/>
      <c r="R1482" s="1"/>
      <c r="S1482" s="1"/>
    </row>
    <row r="1483" ht="14.25" customHeight="1">
      <c r="A1483" s="1112"/>
      <c r="B1483" s="3132" t="s">
        <v>3599</v>
      </c>
      <c r="C1483" s="3133">
        <v>35.0</v>
      </c>
      <c r="D1483" s="3134">
        <f t="shared" ref="D1483:D1486" si="124">(C1483*D1482)/C1482</f>
        <v>210</v>
      </c>
      <c r="E1483" s="3135"/>
      <c r="F1483" s="3136" t="s">
        <v>18</v>
      </c>
      <c r="G1483" s="66"/>
      <c r="H1483" s="763"/>
      <c r="I1483" s="93">
        <v>60.0</v>
      </c>
      <c r="J1483" s="1741">
        <f t="shared" si="122"/>
        <v>12600</v>
      </c>
      <c r="K1483" s="1"/>
      <c r="L1483" s="1"/>
      <c r="M1483" s="1"/>
      <c r="N1483" s="1"/>
      <c r="O1483" s="1"/>
      <c r="P1483" s="1"/>
      <c r="Q1483" s="1"/>
      <c r="R1483" s="1"/>
      <c r="S1483" s="1"/>
    </row>
    <row r="1484" ht="14.25" customHeight="1">
      <c r="A1484" s="1112"/>
      <c r="B1484" s="3137" t="s">
        <v>97</v>
      </c>
      <c r="C1484" s="3138">
        <v>15.0</v>
      </c>
      <c r="D1484" s="3139">
        <f t="shared" si="124"/>
        <v>90</v>
      </c>
      <c r="E1484" s="3140"/>
      <c r="F1484" s="3141" t="s">
        <v>18</v>
      </c>
      <c r="G1484" s="66"/>
      <c r="H1484" s="763"/>
      <c r="I1484" s="93">
        <v>300.0</v>
      </c>
      <c r="J1484" s="1741">
        <f t="shared" si="122"/>
        <v>27000</v>
      </c>
      <c r="K1484" s="1"/>
      <c r="L1484" s="1"/>
      <c r="M1484" s="1"/>
      <c r="N1484" s="1"/>
      <c r="O1484" s="1"/>
      <c r="P1484" s="1"/>
      <c r="Q1484" s="1"/>
      <c r="R1484" s="1"/>
      <c r="S1484" s="1"/>
    </row>
    <row r="1485" ht="14.25" customHeight="1">
      <c r="A1485" s="1112"/>
      <c r="B1485" s="3137" t="s">
        <v>98</v>
      </c>
      <c r="C1485" s="3138">
        <v>10.0</v>
      </c>
      <c r="D1485" s="3139">
        <f t="shared" si="124"/>
        <v>60</v>
      </c>
      <c r="E1485" s="3140"/>
      <c r="F1485" s="3141" t="s">
        <v>18</v>
      </c>
      <c r="G1485" s="66"/>
      <c r="H1485" s="1920"/>
      <c r="I1485" s="93">
        <v>150.0</v>
      </c>
      <c r="J1485" s="1741">
        <f t="shared" si="122"/>
        <v>9000</v>
      </c>
      <c r="K1485" s="1"/>
      <c r="L1485" s="1"/>
      <c r="M1485" s="1"/>
      <c r="N1485" s="1"/>
      <c r="O1485" s="1"/>
      <c r="P1485" s="1"/>
      <c r="Q1485" s="1"/>
      <c r="R1485" s="1"/>
      <c r="S1485" s="1"/>
    </row>
    <row r="1486" ht="14.25" customHeight="1">
      <c r="A1486" s="1112"/>
      <c r="B1486" s="208" t="s">
        <v>103</v>
      </c>
      <c r="C1486" s="236">
        <v>10.0</v>
      </c>
      <c r="D1486" s="257">
        <f t="shared" si="124"/>
        <v>60</v>
      </c>
      <c r="E1486" s="1738"/>
      <c r="F1486" s="212" t="s">
        <v>18</v>
      </c>
      <c r="G1486" s="106"/>
      <c r="H1486" s="1"/>
      <c r="I1486" s="93">
        <v>151.0</v>
      </c>
      <c r="J1486" s="1741">
        <f t="shared" si="122"/>
        <v>9060</v>
      </c>
      <c r="K1486" s="1"/>
      <c r="L1486" s="1"/>
      <c r="M1486" s="1"/>
      <c r="N1486" s="1"/>
      <c r="O1486" s="1"/>
      <c r="P1486" s="1"/>
      <c r="Q1486" s="1"/>
      <c r="R1486" s="1"/>
      <c r="S1486" s="1"/>
    </row>
    <row r="1487" ht="14.25" customHeight="1">
      <c r="A1487" s="1112"/>
      <c r="B1487" s="25" t="s">
        <v>13</v>
      </c>
      <c r="C1487" s="218">
        <v>125.0</v>
      </c>
      <c r="D1487" s="526">
        <f t="shared" ref="D1487:D1488" si="125">(C1487*D1480)/C1480</f>
        <v>750</v>
      </c>
      <c r="E1487" s="2144"/>
      <c r="F1487" s="28" t="s">
        <v>18</v>
      </c>
      <c r="G1487" s="2151"/>
      <c r="H1487" s="1"/>
      <c r="I1487" s="93">
        <v>152.0</v>
      </c>
      <c r="J1487" s="1741">
        <f t="shared" si="122"/>
        <v>114000</v>
      </c>
      <c r="K1487" s="1"/>
      <c r="L1487" s="1"/>
      <c r="M1487" s="1"/>
      <c r="N1487" s="1"/>
      <c r="O1487" s="1"/>
      <c r="P1487" s="1"/>
      <c r="Q1487" s="1"/>
      <c r="R1487" s="1"/>
      <c r="S1487" s="1"/>
    </row>
    <row r="1488" ht="14.25" customHeight="1">
      <c r="A1488" s="1112"/>
      <c r="B1488" s="458" t="s">
        <v>114</v>
      </c>
      <c r="C1488" s="71">
        <v>0.25</v>
      </c>
      <c r="D1488" s="608">
        <f t="shared" si="125"/>
        <v>1.5</v>
      </c>
      <c r="E1488" s="2150"/>
      <c r="F1488" s="463" t="s">
        <v>5</v>
      </c>
      <c r="G1488" s="784" t="s">
        <v>204</v>
      </c>
      <c r="H1488" s="1"/>
      <c r="I1488" s="93">
        <v>153.0</v>
      </c>
      <c r="J1488" s="1741">
        <f t="shared" si="122"/>
        <v>229.5</v>
      </c>
      <c r="K1488" s="1"/>
      <c r="L1488" s="1"/>
      <c r="M1488" s="1"/>
      <c r="N1488" s="1"/>
      <c r="O1488" s="1"/>
      <c r="P1488" s="1"/>
      <c r="Q1488" s="1"/>
      <c r="R1488" s="1"/>
      <c r="S1488" s="1"/>
    </row>
    <row r="1489" ht="14.25" customHeight="1">
      <c r="A1489" s="3142" t="s">
        <v>2502</v>
      </c>
      <c r="B1489" s="68" t="s">
        <v>3600</v>
      </c>
      <c r="C1489" s="145">
        <v>10.0</v>
      </c>
      <c r="D1489" s="155">
        <f>(C1489*D1485)/C1485</f>
        <v>60</v>
      </c>
      <c r="E1489" s="899"/>
      <c r="F1489" s="216" t="s">
        <v>3601</v>
      </c>
      <c r="G1489" s="336"/>
      <c r="H1489" s="2226"/>
      <c r="I1489" s="119"/>
      <c r="J1489" s="1584">
        <v>0.0</v>
      </c>
      <c r="K1489" s="1"/>
      <c r="L1489" s="1"/>
      <c r="M1489" s="1"/>
      <c r="N1489" s="1"/>
      <c r="O1489" s="1"/>
      <c r="P1489" s="1"/>
      <c r="Q1489" s="1"/>
      <c r="R1489" s="1"/>
      <c r="S1489" s="1"/>
    </row>
    <row r="1490" ht="14.25" customHeight="1">
      <c r="A1490" s="47"/>
      <c r="B1490" s="93" t="s">
        <v>3600</v>
      </c>
      <c r="C1490" s="195">
        <v>10.0</v>
      </c>
      <c r="D1490" s="78">
        <f t="shared" ref="D1490:D1492" si="126">(C1490*D1489)/C1489</f>
        <v>60</v>
      </c>
      <c r="E1490" s="900"/>
      <c r="F1490" s="249" t="s">
        <v>3602</v>
      </c>
      <c r="G1490" s="1112"/>
      <c r="H1490" s="921"/>
      <c r="I1490" s="93"/>
      <c r="J1490" s="1588">
        <v>0.0</v>
      </c>
      <c r="K1490" s="1"/>
      <c r="L1490" s="1"/>
      <c r="M1490" s="1"/>
      <c r="N1490" s="1"/>
      <c r="O1490" s="1"/>
      <c r="P1490" s="1"/>
      <c r="Q1490" s="1"/>
      <c r="R1490" s="1"/>
      <c r="S1490" s="1"/>
    </row>
    <row r="1491" ht="14.25" customHeight="1">
      <c r="A1491" s="47"/>
      <c r="B1491" s="93" t="s">
        <v>3600</v>
      </c>
      <c r="C1491" s="195">
        <v>10.0</v>
      </c>
      <c r="D1491" s="78">
        <f t="shared" si="126"/>
        <v>60</v>
      </c>
      <c r="E1491" s="900"/>
      <c r="F1491" s="249" t="s">
        <v>3603</v>
      </c>
      <c r="G1491" s="1112"/>
      <c r="H1491" s="921"/>
      <c r="I1491" s="93"/>
      <c r="J1491" s="1588">
        <v>0.0</v>
      </c>
      <c r="K1491" s="1"/>
      <c r="L1491" s="1"/>
      <c r="M1491" s="1"/>
      <c r="N1491" s="1"/>
      <c r="O1491" s="1"/>
      <c r="P1491" s="1"/>
      <c r="Q1491" s="1"/>
      <c r="R1491" s="1"/>
      <c r="S1491" s="1"/>
    </row>
    <row r="1492" ht="14.25" customHeight="1">
      <c r="A1492" s="76"/>
      <c r="B1492" s="105" t="s">
        <v>3600</v>
      </c>
      <c r="C1492" s="200">
        <v>10.0</v>
      </c>
      <c r="D1492" s="56">
        <f t="shared" si="126"/>
        <v>60</v>
      </c>
      <c r="E1492" s="1604"/>
      <c r="F1492" s="518" t="s">
        <v>3604</v>
      </c>
      <c r="G1492" s="1112"/>
      <c r="H1492" s="3143"/>
      <c r="I1492" s="105"/>
      <c r="J1492" s="1605">
        <v>0.0</v>
      </c>
      <c r="K1492" s="1"/>
      <c r="L1492" s="1"/>
      <c r="M1492" s="1"/>
      <c r="N1492" s="1"/>
      <c r="O1492" s="1"/>
      <c r="P1492" s="1"/>
      <c r="Q1492" s="1"/>
      <c r="R1492" s="1"/>
      <c r="S1492" s="1"/>
    </row>
    <row r="1493" ht="14.25" customHeight="1">
      <c r="A1493" s="2296"/>
      <c r="B1493" s="1"/>
      <c r="C1493" s="107"/>
      <c r="D1493" s="184"/>
      <c r="E1493" s="184"/>
      <c r="F1493" s="1"/>
      <c r="G1493" s="1112"/>
      <c r="H1493" s="590" t="s">
        <v>842</v>
      </c>
      <c r="I1493" s="1859"/>
      <c r="J1493" s="1860">
        <f>SUM(J1467:J1488)</f>
        <v>1646499</v>
      </c>
      <c r="K1493" s="1"/>
      <c r="L1493" s="1"/>
      <c r="M1493" s="1"/>
      <c r="N1493" s="1"/>
      <c r="O1493" s="1"/>
      <c r="P1493" s="1"/>
      <c r="Q1493" s="1"/>
      <c r="R1493" s="1"/>
      <c r="S1493" s="1"/>
    </row>
    <row r="1494" ht="14.25" customHeight="1">
      <c r="A1494" s="2296"/>
      <c r="B1494" s="1"/>
      <c r="C1494" s="107"/>
      <c r="D1494" s="184"/>
      <c r="E1494" s="184"/>
      <c r="F1494" s="1"/>
      <c r="G1494" s="1112"/>
      <c r="H1494" s="2978" t="s">
        <v>1343</v>
      </c>
      <c r="I1494" s="2980">
        <v>12.0</v>
      </c>
      <c r="J1494" s="855">
        <f>I1494/100*J1493</f>
        <v>197579.88</v>
      </c>
      <c r="K1494" s="1"/>
      <c r="L1494" s="1"/>
      <c r="M1494" s="1"/>
      <c r="N1494" s="1"/>
      <c r="O1494" s="1"/>
      <c r="P1494" s="1"/>
      <c r="Q1494" s="1"/>
      <c r="R1494" s="1"/>
      <c r="S1494" s="1"/>
    </row>
    <row r="1495" ht="14.25" customHeight="1">
      <c r="A1495" s="2296"/>
      <c r="B1495" s="1"/>
      <c r="C1495" s="107"/>
      <c r="D1495" s="184"/>
      <c r="E1495" s="184"/>
      <c r="F1495" s="1"/>
      <c r="G1495" s="1112"/>
      <c r="H1495" s="2979" t="s">
        <v>852</v>
      </c>
      <c r="I1495" s="858"/>
      <c r="J1495" s="859">
        <f>SUM(J1493:J1494)</f>
        <v>1844078.88</v>
      </c>
      <c r="K1495" s="1"/>
      <c r="L1495" s="1"/>
      <c r="M1495" s="1"/>
      <c r="N1495" s="1"/>
      <c r="O1495" s="1"/>
      <c r="P1495" s="1"/>
      <c r="Q1495" s="1"/>
      <c r="R1495" s="1"/>
      <c r="S1495" s="1"/>
    </row>
    <row r="1496" ht="14.25" customHeight="1">
      <c r="A1496" s="2296"/>
      <c r="B1496" s="1"/>
      <c r="C1496" s="107"/>
      <c r="D1496" s="184"/>
      <c r="E1496" s="184"/>
      <c r="F1496" s="1"/>
      <c r="G1496" s="1112"/>
      <c r="H1496" s="1194" t="s">
        <v>3384</v>
      </c>
      <c r="I1496" s="863"/>
      <c r="J1496" s="864">
        <f>J1495/D1466</f>
        <v>30734.648</v>
      </c>
      <c r="K1496" s="1"/>
      <c r="L1496" s="1"/>
      <c r="M1496" s="1"/>
      <c r="N1496" s="1"/>
      <c r="O1496" s="1"/>
      <c r="P1496" s="1"/>
      <c r="Q1496" s="1"/>
      <c r="R1496" s="1"/>
      <c r="S1496" s="1"/>
    </row>
    <row r="1497" ht="14.25" customHeight="1">
      <c r="A1497" s="2296"/>
      <c r="B1497" s="1499" t="s">
        <v>502</v>
      </c>
      <c r="C1497" s="1500">
        <v>40724.0</v>
      </c>
      <c r="D1497" s="1127"/>
      <c r="E1497" s="1127"/>
      <c r="F1497" s="11"/>
      <c r="G1497" s="141"/>
      <c r="H1497" s="1196" t="s">
        <v>3386</v>
      </c>
      <c r="I1497" s="868"/>
      <c r="J1497" s="3144">
        <v>0.25</v>
      </c>
      <c r="K1497" s="1"/>
      <c r="L1497" s="1"/>
      <c r="M1497" s="1"/>
      <c r="N1497" s="1"/>
      <c r="O1497" s="1"/>
      <c r="P1497" s="1"/>
      <c r="Q1497" s="1"/>
      <c r="R1497" s="1"/>
      <c r="S1497" s="1"/>
    </row>
    <row r="1498" ht="14.25" customHeight="1">
      <c r="A1498" s="2296"/>
      <c r="B1498" s="664" t="s">
        <v>3605</v>
      </c>
      <c r="C1498" s="1501">
        <v>41084.0</v>
      </c>
      <c r="D1498" s="1127"/>
      <c r="E1498" s="1127"/>
      <c r="F1498" s="11"/>
      <c r="G1498" s="141"/>
      <c r="H1498" s="1199" t="s">
        <v>880</v>
      </c>
      <c r="I1498" s="875"/>
      <c r="J1498" s="876">
        <f>J1497*J1496</f>
        <v>7683.662</v>
      </c>
      <c r="K1498" s="1"/>
      <c r="L1498" s="1"/>
      <c r="M1498" s="1"/>
      <c r="N1498" s="1"/>
      <c r="O1498" s="1"/>
      <c r="P1498" s="1"/>
      <c r="Q1498" s="1"/>
      <c r="R1498" s="1"/>
      <c r="S1498" s="1"/>
    </row>
    <row r="1499" ht="14.25" customHeight="1">
      <c r="A1499" s="2296"/>
      <c r="B1499" s="11"/>
      <c r="C1499" s="1167"/>
      <c r="D1499" s="1127"/>
      <c r="E1499" s="1127"/>
      <c r="F1499" s="11"/>
      <c r="G1499" s="141"/>
      <c r="H1499" s="1203" t="s">
        <v>1356</v>
      </c>
      <c r="I1499" s="879"/>
      <c r="J1499" s="882">
        <f>D1466/J1497</f>
        <v>240</v>
      </c>
      <c r="K1499" s="1"/>
      <c r="L1499" s="1"/>
      <c r="M1499" s="1"/>
      <c r="N1499" s="1"/>
      <c r="O1499" s="1"/>
      <c r="P1499" s="1"/>
      <c r="Q1499" s="1"/>
      <c r="R1499" s="1"/>
      <c r="S1499" s="1"/>
    </row>
    <row r="1500" ht="14.25" customHeight="1">
      <c r="A1500" s="1112"/>
      <c r="B1500" s="3145" t="s">
        <v>3606</v>
      </c>
      <c r="C1500" s="3146"/>
      <c r="D1500" s="3147"/>
      <c r="E1500" s="3147"/>
      <c r="F1500" s="3146"/>
      <c r="G1500" s="3148"/>
      <c r="H1500" s="1"/>
      <c r="I1500" s="1"/>
      <c r="J1500" s="1"/>
      <c r="K1500" s="1"/>
      <c r="L1500" s="1"/>
      <c r="M1500" s="1"/>
      <c r="N1500" s="1"/>
      <c r="O1500" s="1"/>
      <c r="P1500" s="1"/>
      <c r="Q1500" s="1"/>
      <c r="R1500" s="1"/>
      <c r="S1500" s="1"/>
    </row>
    <row r="1501" ht="14.25" customHeight="1">
      <c r="A1501" s="1112"/>
      <c r="B1501" s="2372"/>
      <c r="C1501" s="1494"/>
      <c r="D1501" s="184"/>
      <c r="E1501" s="184"/>
      <c r="F1501" s="561"/>
      <c r="G1501" s="3149"/>
      <c r="H1501" s="107"/>
      <c r="I1501" s="1"/>
      <c r="J1501" s="1"/>
      <c r="K1501" s="1"/>
      <c r="L1501" s="1"/>
      <c r="M1501" s="1"/>
      <c r="N1501" s="1"/>
      <c r="O1501" s="1"/>
      <c r="P1501" s="1"/>
      <c r="Q1501" s="1"/>
      <c r="R1501" s="1"/>
      <c r="S1501" s="1"/>
    </row>
    <row r="1502" ht="14.25" customHeight="1">
      <c r="A1502" s="1"/>
      <c r="B1502" s="1"/>
      <c r="C1502" s="107"/>
      <c r="D1502" s="184"/>
      <c r="E1502" s="184"/>
      <c r="F1502" s="1"/>
      <c r="G1502" s="1"/>
      <c r="H1502" s="1"/>
      <c r="I1502" s="1"/>
      <c r="J1502" s="1"/>
      <c r="K1502" s="1"/>
      <c r="L1502" s="1"/>
      <c r="M1502" s="1"/>
      <c r="N1502" s="1"/>
      <c r="O1502" s="1"/>
      <c r="P1502" s="1"/>
      <c r="Q1502" s="1"/>
      <c r="R1502" s="1"/>
      <c r="S1502" s="1"/>
    </row>
    <row r="1503" ht="14.25" customHeight="1">
      <c r="A1503" s="1"/>
      <c r="B1503" s="1"/>
      <c r="C1503" s="107"/>
      <c r="D1503" s="184"/>
      <c r="E1503" s="184"/>
      <c r="F1503" s="1"/>
      <c r="G1503" s="1"/>
      <c r="H1503" s="1"/>
      <c r="I1503" s="1"/>
      <c r="J1503" s="1"/>
      <c r="K1503" s="1"/>
      <c r="L1503" s="1"/>
      <c r="M1503" s="1"/>
      <c r="N1503" s="1"/>
      <c r="O1503" s="1"/>
      <c r="P1503" s="1"/>
      <c r="Q1503" s="1"/>
      <c r="R1503" s="1"/>
      <c r="S1503" s="1"/>
    </row>
    <row r="1504" ht="14.25" customHeight="1">
      <c r="A1504" s="1"/>
      <c r="B1504" s="1"/>
      <c r="C1504" s="107"/>
      <c r="D1504" s="184"/>
      <c r="E1504" s="184"/>
      <c r="F1504" s="1"/>
      <c r="G1504" s="1"/>
      <c r="H1504" s="1"/>
      <c r="I1504" s="1"/>
      <c r="J1504" s="1"/>
      <c r="K1504" s="1"/>
      <c r="L1504" s="1"/>
      <c r="M1504" s="1"/>
      <c r="N1504" s="1"/>
      <c r="O1504" s="1"/>
      <c r="P1504" s="1"/>
      <c r="Q1504" s="1"/>
      <c r="R1504" s="1"/>
      <c r="S1504" s="1"/>
    </row>
    <row r="1505" ht="14.25" customHeight="1">
      <c r="A1505" s="1"/>
      <c r="B1505" s="1"/>
      <c r="C1505" s="107"/>
      <c r="D1505" s="184"/>
      <c r="E1505" s="184"/>
      <c r="F1505" s="1"/>
      <c r="G1505" s="1"/>
      <c r="H1505" s="1"/>
      <c r="I1505" s="1"/>
      <c r="J1505" s="1"/>
      <c r="K1505" s="1"/>
      <c r="L1505" s="1"/>
      <c r="M1505" s="1"/>
      <c r="N1505" s="1"/>
      <c r="O1505" s="1"/>
      <c r="P1505" s="1"/>
      <c r="Q1505" s="1"/>
      <c r="R1505" s="1"/>
      <c r="S1505" s="1"/>
    </row>
    <row r="1506" ht="14.25" customHeight="1">
      <c r="A1506" s="1"/>
      <c r="B1506" s="1"/>
      <c r="C1506" s="107"/>
      <c r="D1506" s="184"/>
      <c r="E1506" s="184"/>
      <c r="F1506" s="1"/>
      <c r="G1506" s="1"/>
      <c r="H1506" s="1"/>
      <c r="I1506" s="1"/>
      <c r="J1506" s="1"/>
      <c r="K1506" s="1"/>
      <c r="L1506" s="1"/>
      <c r="M1506" s="1"/>
      <c r="N1506" s="1"/>
      <c r="O1506" s="1"/>
      <c r="P1506" s="1"/>
      <c r="Q1506" s="1"/>
      <c r="R1506" s="1"/>
      <c r="S1506" s="1"/>
    </row>
    <row r="1507" ht="14.25" customHeight="1">
      <c r="A1507" s="1"/>
      <c r="B1507" s="306" t="s">
        <v>3607</v>
      </c>
      <c r="C1507" s="5"/>
      <c r="D1507" s="5"/>
      <c r="E1507" s="5"/>
      <c r="F1507" s="6"/>
      <c r="G1507" s="3150" t="s">
        <v>1077</v>
      </c>
      <c r="H1507" s="1"/>
      <c r="I1507" s="1"/>
      <c r="J1507" s="1"/>
      <c r="K1507" s="1"/>
      <c r="L1507" s="1"/>
      <c r="M1507" s="1"/>
      <c r="N1507" s="1"/>
      <c r="O1507" s="1"/>
      <c r="P1507" s="1"/>
      <c r="Q1507" s="1"/>
      <c r="R1507" s="1"/>
      <c r="S1507" s="1"/>
    </row>
    <row r="1508" ht="14.25" customHeight="1">
      <c r="A1508" s="1"/>
      <c r="B1508" s="1177" t="s">
        <v>3608</v>
      </c>
      <c r="C1508" s="3151">
        <v>100.0</v>
      </c>
      <c r="D1508" s="218">
        <v>46.0</v>
      </c>
      <c r="E1508" s="219"/>
      <c r="F1508" s="428" t="s">
        <v>5</v>
      </c>
      <c r="G1508" s="1"/>
      <c r="H1508" s="1"/>
      <c r="I1508" s="1"/>
      <c r="J1508" s="1"/>
      <c r="K1508" s="1"/>
      <c r="L1508" s="1"/>
      <c r="M1508" s="1"/>
      <c r="N1508" s="1"/>
      <c r="O1508" s="1"/>
      <c r="P1508" s="1"/>
      <c r="Q1508" s="1"/>
      <c r="R1508" s="1"/>
      <c r="S1508" s="1"/>
    </row>
    <row r="1509" ht="14.25" customHeight="1">
      <c r="A1509" s="1"/>
      <c r="B1509" s="119" t="s">
        <v>3609</v>
      </c>
      <c r="C1509" s="221">
        <v>46.0</v>
      </c>
      <c r="D1509" s="218">
        <f t="shared" ref="D1509:D1510" si="127">(C1509*D1508)/C1508</f>
        <v>21.16</v>
      </c>
      <c r="E1509" s="219"/>
      <c r="F1509" s="432" t="s">
        <v>14</v>
      </c>
      <c r="G1509" s="1"/>
      <c r="H1509" s="1"/>
      <c r="I1509" s="1"/>
      <c r="J1509" s="1"/>
      <c r="K1509" s="1"/>
      <c r="L1509" s="1"/>
      <c r="M1509" s="1"/>
      <c r="N1509" s="1"/>
      <c r="O1509" s="1"/>
      <c r="P1509" s="1"/>
      <c r="Q1509" s="1"/>
      <c r="R1509" s="1"/>
      <c r="S1509" s="1"/>
    </row>
    <row r="1510" ht="14.25" customHeight="1">
      <c r="A1510" s="1"/>
      <c r="B1510" s="93" t="s">
        <v>3610</v>
      </c>
      <c r="C1510" s="2043">
        <v>16.0</v>
      </c>
      <c r="D1510" s="712">
        <f t="shared" si="127"/>
        <v>7.36</v>
      </c>
      <c r="E1510" s="713"/>
      <c r="F1510" s="249" t="s">
        <v>366</v>
      </c>
      <c r="G1510" s="1"/>
      <c r="H1510" s="1"/>
      <c r="I1510" s="1"/>
      <c r="J1510" s="1"/>
      <c r="K1510" s="1"/>
      <c r="L1510" s="1"/>
      <c r="M1510" s="1"/>
      <c r="N1510" s="1"/>
      <c r="O1510" s="1"/>
      <c r="P1510" s="1"/>
      <c r="Q1510" s="1"/>
      <c r="R1510" s="1"/>
      <c r="S1510" s="1"/>
    </row>
    <row r="1511" ht="14.25" customHeight="1">
      <c r="A1511" s="1"/>
      <c r="B1511" s="208" t="s">
        <v>31</v>
      </c>
      <c r="C1511" s="236">
        <v>1200.0</v>
      </c>
      <c r="D1511" s="236">
        <f>(C1511*D1509)/C1509</f>
        <v>552</v>
      </c>
      <c r="E1511" s="237"/>
      <c r="F1511" s="475" t="s">
        <v>18</v>
      </c>
      <c r="G1511" s="1"/>
      <c r="H1511" s="1"/>
      <c r="I1511" s="1"/>
      <c r="J1511" s="1"/>
      <c r="K1511" s="1"/>
      <c r="L1511" s="1"/>
      <c r="M1511" s="1"/>
      <c r="N1511" s="1"/>
      <c r="O1511" s="1"/>
      <c r="P1511" s="1"/>
      <c r="Q1511" s="1"/>
      <c r="R1511" s="1"/>
      <c r="S1511" s="1"/>
    </row>
    <row r="1512" ht="14.25" customHeight="1">
      <c r="A1512" s="1"/>
      <c r="B1512" s="163" t="s">
        <v>743</v>
      </c>
      <c r="C1512" s="221">
        <v>5.0</v>
      </c>
      <c r="D1512" s="221">
        <f t="shared" ref="D1512:D1519" si="128">(C1512*D1511)/C1511</f>
        <v>2.3</v>
      </c>
      <c r="E1512" s="222"/>
      <c r="F1512" s="432" t="s">
        <v>5</v>
      </c>
      <c r="G1512" s="1"/>
      <c r="H1512" s="1"/>
      <c r="I1512" s="1"/>
      <c r="J1512" s="1"/>
      <c r="K1512" s="1"/>
      <c r="L1512" s="1"/>
      <c r="M1512" s="1"/>
      <c r="N1512" s="1"/>
      <c r="O1512" s="1"/>
      <c r="P1512" s="1"/>
      <c r="Q1512" s="1"/>
      <c r="R1512" s="1"/>
      <c r="S1512" s="1"/>
    </row>
    <row r="1513" ht="14.25" customHeight="1">
      <c r="A1513" s="1"/>
      <c r="B1513" s="177" t="s">
        <v>98</v>
      </c>
      <c r="C1513" s="27">
        <v>150.0</v>
      </c>
      <c r="D1513" s="27">
        <f t="shared" si="128"/>
        <v>69</v>
      </c>
      <c r="E1513" s="29"/>
      <c r="F1513" s="441" t="s">
        <v>18</v>
      </c>
      <c r="G1513" s="1"/>
      <c r="H1513" s="1"/>
      <c r="I1513" s="1"/>
      <c r="J1513" s="1"/>
      <c r="K1513" s="1"/>
      <c r="L1513" s="1"/>
      <c r="M1513" s="1"/>
      <c r="N1513" s="1"/>
      <c r="O1513" s="1"/>
      <c r="P1513" s="1"/>
      <c r="Q1513" s="1"/>
      <c r="R1513" s="1"/>
      <c r="S1513" s="1"/>
    </row>
    <row r="1514" ht="14.25" customHeight="1">
      <c r="A1514" s="1"/>
      <c r="B1514" s="177" t="s">
        <v>1498</v>
      </c>
      <c r="C1514" s="27">
        <v>250.0</v>
      </c>
      <c r="D1514" s="27">
        <f t="shared" si="128"/>
        <v>115</v>
      </c>
      <c r="E1514" s="29"/>
      <c r="F1514" s="441" t="s">
        <v>18</v>
      </c>
      <c r="G1514" s="1"/>
      <c r="H1514" s="1"/>
      <c r="I1514" s="1"/>
      <c r="J1514" s="1"/>
      <c r="K1514" s="1"/>
      <c r="L1514" s="1"/>
      <c r="M1514" s="1"/>
      <c r="N1514" s="1"/>
      <c r="O1514" s="1"/>
      <c r="P1514" s="1"/>
      <c r="Q1514" s="1"/>
      <c r="R1514" s="1"/>
      <c r="S1514" s="1"/>
    </row>
    <row r="1515" ht="14.25" customHeight="1">
      <c r="A1515" s="1"/>
      <c r="B1515" s="177" t="s">
        <v>882</v>
      </c>
      <c r="C1515" s="27">
        <v>50.0</v>
      </c>
      <c r="D1515" s="27">
        <f t="shared" si="128"/>
        <v>23</v>
      </c>
      <c r="E1515" s="29"/>
      <c r="F1515" s="441" t="s">
        <v>5</v>
      </c>
      <c r="G1515" s="1"/>
      <c r="H1515" s="1"/>
      <c r="I1515" s="1"/>
      <c r="J1515" s="1"/>
      <c r="K1515" s="1"/>
      <c r="L1515" s="1"/>
      <c r="M1515" s="1"/>
      <c r="N1515" s="1"/>
      <c r="O1515" s="1"/>
      <c r="P1515" s="1"/>
      <c r="Q1515" s="1"/>
      <c r="R1515" s="1"/>
      <c r="S1515" s="1"/>
    </row>
    <row r="1516" ht="14.25" customHeight="1">
      <c r="A1516" s="1"/>
      <c r="B1516" s="262" t="s">
        <v>13</v>
      </c>
      <c r="C1516" s="50">
        <v>1.2</v>
      </c>
      <c r="D1516" s="50">
        <f t="shared" si="128"/>
        <v>0.552</v>
      </c>
      <c r="E1516" s="54"/>
      <c r="F1516" s="1268" t="s">
        <v>14</v>
      </c>
      <c r="G1516" s="1"/>
      <c r="H1516" s="1"/>
      <c r="I1516" s="1"/>
      <c r="J1516" s="1"/>
      <c r="K1516" s="1"/>
      <c r="L1516" s="1"/>
      <c r="M1516" s="1"/>
      <c r="N1516" s="1"/>
      <c r="O1516" s="1"/>
      <c r="P1516" s="1"/>
      <c r="Q1516" s="1"/>
      <c r="R1516" s="1"/>
      <c r="S1516" s="1"/>
    </row>
    <row r="1517" ht="14.25" customHeight="1">
      <c r="A1517" s="1"/>
      <c r="B1517" s="262" t="s">
        <v>31</v>
      </c>
      <c r="C1517" s="50">
        <v>150.0</v>
      </c>
      <c r="D1517" s="50">
        <f t="shared" si="128"/>
        <v>69</v>
      </c>
      <c r="E1517" s="54"/>
      <c r="F1517" s="1268" t="s">
        <v>18</v>
      </c>
      <c r="G1517" s="1"/>
      <c r="H1517" s="1"/>
      <c r="I1517" s="1"/>
      <c r="J1517" s="1"/>
      <c r="K1517" s="1"/>
      <c r="L1517" s="1"/>
      <c r="M1517" s="1"/>
      <c r="N1517" s="1"/>
      <c r="O1517" s="1"/>
      <c r="P1517" s="1"/>
      <c r="Q1517" s="1"/>
      <c r="R1517" s="1"/>
      <c r="S1517" s="1"/>
    </row>
    <row r="1518" ht="14.25" customHeight="1">
      <c r="A1518" s="1"/>
      <c r="B1518" s="208" t="s">
        <v>3425</v>
      </c>
      <c r="C1518" s="236">
        <v>10.0</v>
      </c>
      <c r="D1518" s="236">
        <f t="shared" si="128"/>
        <v>4.6</v>
      </c>
      <c r="E1518" s="237"/>
      <c r="F1518" s="475" t="s">
        <v>5</v>
      </c>
      <c r="G1518" s="1"/>
      <c r="H1518" s="1"/>
      <c r="I1518" s="1"/>
      <c r="J1518" s="1"/>
      <c r="K1518" s="1"/>
      <c r="L1518" s="1"/>
      <c r="M1518" s="1"/>
      <c r="N1518" s="1"/>
      <c r="O1518" s="1"/>
      <c r="P1518" s="1"/>
      <c r="Q1518" s="1"/>
      <c r="R1518" s="1"/>
      <c r="S1518" s="1"/>
    </row>
    <row r="1519" ht="14.25" customHeight="1">
      <c r="A1519" s="1"/>
      <c r="B1519" s="208" t="s">
        <v>335</v>
      </c>
      <c r="C1519" s="236">
        <v>2.5</v>
      </c>
      <c r="D1519" s="236">
        <f t="shared" si="128"/>
        <v>1.15</v>
      </c>
      <c r="E1519" s="237"/>
      <c r="F1519" s="475" t="s">
        <v>5</v>
      </c>
      <c r="G1519" s="1"/>
      <c r="H1519" s="1"/>
      <c r="I1519" s="1"/>
      <c r="J1519" s="1"/>
      <c r="K1519" s="1"/>
      <c r="L1519" s="1"/>
      <c r="M1519" s="1"/>
      <c r="N1519" s="1"/>
      <c r="O1519" s="1"/>
      <c r="P1519" s="1"/>
      <c r="Q1519" s="1"/>
      <c r="R1519" s="1"/>
      <c r="S1519" s="1"/>
    </row>
    <row r="1520" ht="14.25" customHeight="1">
      <c r="A1520" s="1"/>
      <c r="B1520" s="2325" t="s">
        <v>186</v>
      </c>
      <c r="C1520" s="2326"/>
      <c r="D1520" s="2326">
        <v>43492.0</v>
      </c>
      <c r="E1520" s="3152"/>
      <c r="F1520" s="107"/>
      <c r="G1520" s="1"/>
      <c r="H1520" s="1"/>
      <c r="I1520" s="1"/>
      <c r="J1520" s="1"/>
      <c r="K1520" s="1"/>
      <c r="L1520" s="1"/>
      <c r="M1520" s="1"/>
      <c r="N1520" s="1"/>
      <c r="O1520" s="1"/>
      <c r="P1520" s="1"/>
      <c r="Q1520" s="1"/>
      <c r="R1520" s="1"/>
      <c r="S1520" s="1"/>
    </row>
    <row r="1521" ht="14.25" customHeight="1">
      <c r="A1521" s="1"/>
      <c r="B1521" s="664" t="s">
        <v>50</v>
      </c>
      <c r="C1521" s="2326"/>
      <c r="D1521" s="2813">
        <v>43559.0</v>
      </c>
      <c r="E1521" s="3153"/>
      <c r="F1521" s="107"/>
      <c r="G1521" s="1"/>
      <c r="H1521" s="1"/>
      <c r="I1521" s="1"/>
      <c r="J1521" s="1"/>
      <c r="K1521" s="1"/>
      <c r="L1521" s="1"/>
      <c r="M1521" s="1"/>
      <c r="N1521" s="1"/>
      <c r="O1521" s="1"/>
      <c r="P1521" s="1"/>
      <c r="Q1521" s="1"/>
      <c r="R1521" s="1"/>
      <c r="S1521" s="1"/>
    </row>
    <row r="1522" ht="14.25" customHeight="1">
      <c r="A1522" s="1"/>
      <c r="B1522" s="1"/>
      <c r="C1522" s="107"/>
      <c r="D1522" s="184"/>
      <c r="E1522" s="184"/>
      <c r="F1522" s="1"/>
      <c r="G1522" s="1"/>
      <c r="H1522" s="1"/>
      <c r="I1522" s="1"/>
      <c r="J1522" s="1"/>
      <c r="K1522" s="1"/>
      <c r="L1522" s="1"/>
      <c r="M1522" s="1"/>
      <c r="N1522" s="1"/>
      <c r="O1522" s="1"/>
      <c r="P1522" s="1"/>
      <c r="Q1522" s="1"/>
      <c r="R1522" s="1"/>
      <c r="S1522" s="1"/>
    </row>
    <row r="1523" ht="14.25" customHeight="1">
      <c r="A1523" s="1"/>
      <c r="B1523" s="2275" t="s">
        <v>119</v>
      </c>
      <c r="C1523" s="1446" t="s">
        <v>47</v>
      </c>
      <c r="D1523" s="184"/>
      <c r="E1523" s="184"/>
      <c r="F1523" s="1"/>
      <c r="G1523" s="1"/>
      <c r="H1523" s="1"/>
      <c r="I1523" s="1"/>
      <c r="J1523" s="1"/>
      <c r="K1523" s="1"/>
      <c r="L1523" s="1"/>
      <c r="M1523" s="1"/>
      <c r="N1523" s="1"/>
      <c r="O1523" s="1"/>
      <c r="P1523" s="1"/>
      <c r="Q1523" s="1"/>
      <c r="R1523" s="1"/>
      <c r="S1523" s="1"/>
    </row>
    <row r="1524" ht="14.25" customHeight="1">
      <c r="A1524" s="1"/>
      <c r="B1524" s="1"/>
      <c r="C1524" s="107"/>
      <c r="D1524" s="184"/>
      <c r="E1524" s="184"/>
      <c r="F1524" s="1"/>
      <c r="G1524" s="1"/>
      <c r="H1524" s="1"/>
      <c r="I1524" s="1"/>
      <c r="J1524" s="1"/>
      <c r="K1524" s="1"/>
      <c r="L1524" s="1"/>
      <c r="M1524" s="1"/>
      <c r="N1524" s="1"/>
      <c r="O1524" s="1"/>
      <c r="P1524" s="1"/>
      <c r="Q1524" s="1"/>
      <c r="R1524" s="1"/>
      <c r="S1524" s="1"/>
    </row>
    <row r="1525" ht="14.25" customHeight="1">
      <c r="A1525" s="1"/>
      <c r="B1525" s="1"/>
      <c r="C1525" s="107"/>
      <c r="D1525" s="184"/>
      <c r="E1525" s="184"/>
      <c r="F1525" s="1"/>
      <c r="G1525" s="1"/>
      <c r="H1525" s="1"/>
      <c r="I1525" s="1"/>
      <c r="J1525" s="1"/>
      <c r="K1525" s="1"/>
      <c r="L1525" s="1"/>
      <c r="M1525" s="1"/>
      <c r="N1525" s="1"/>
      <c r="O1525" s="1"/>
      <c r="P1525" s="1"/>
      <c r="Q1525" s="1"/>
      <c r="R1525" s="1"/>
      <c r="S1525" s="1"/>
    </row>
    <row r="1526" ht="14.25" customHeight="1">
      <c r="A1526" s="1"/>
      <c r="B1526" s="1"/>
      <c r="C1526" s="107"/>
      <c r="D1526" s="184"/>
      <c r="E1526" s="184"/>
      <c r="F1526" s="1"/>
      <c r="G1526" s="1"/>
      <c r="H1526" s="1"/>
      <c r="I1526" s="1"/>
      <c r="J1526" s="1"/>
      <c r="K1526" s="1"/>
      <c r="L1526" s="1"/>
      <c r="M1526" s="1"/>
      <c r="N1526" s="1"/>
      <c r="O1526" s="1"/>
      <c r="P1526" s="1"/>
      <c r="Q1526" s="1"/>
      <c r="R1526" s="1"/>
      <c r="S1526" s="1"/>
    </row>
    <row r="1527" ht="14.25" customHeight="1">
      <c r="A1527" s="1"/>
      <c r="B1527" s="1"/>
      <c r="C1527" s="107"/>
      <c r="D1527" s="184"/>
      <c r="E1527" s="184"/>
      <c r="F1527" s="1"/>
      <c r="G1527" s="1"/>
      <c r="H1527" s="1"/>
      <c r="I1527" s="1"/>
      <c r="J1527" s="1"/>
      <c r="K1527" s="1"/>
      <c r="L1527" s="1"/>
      <c r="M1527" s="1"/>
      <c r="N1527" s="1"/>
      <c r="O1527" s="1"/>
      <c r="P1527" s="1"/>
      <c r="Q1527" s="1"/>
      <c r="R1527" s="1"/>
      <c r="S1527" s="1"/>
    </row>
    <row r="1528" ht="14.25" customHeight="1">
      <c r="A1528" s="1"/>
      <c r="B1528" s="111" t="s">
        <v>3611</v>
      </c>
      <c r="C1528" s="5"/>
      <c r="D1528" s="5"/>
      <c r="E1528" s="5"/>
      <c r="F1528" s="6"/>
      <c r="G1528" s="3154" t="s">
        <v>1077</v>
      </c>
      <c r="H1528" s="1"/>
      <c r="I1528" s="1"/>
      <c r="J1528" s="1"/>
      <c r="K1528" s="1"/>
      <c r="L1528" s="1"/>
      <c r="M1528" s="1"/>
      <c r="N1528" s="1"/>
      <c r="O1528" s="1"/>
      <c r="P1528" s="1"/>
      <c r="Q1528" s="1"/>
      <c r="R1528" s="1"/>
      <c r="S1528" s="1"/>
    </row>
    <row r="1529" ht="14.25" customHeight="1">
      <c r="A1529" s="1"/>
      <c r="B1529" s="173" t="s">
        <v>3612</v>
      </c>
      <c r="C1529" s="275">
        <v>25.0</v>
      </c>
      <c r="D1529" s="275">
        <v>25.0</v>
      </c>
      <c r="E1529" s="433"/>
      <c r="F1529" s="547" t="s">
        <v>5</v>
      </c>
      <c r="G1529" s="1"/>
      <c r="H1529" s="1"/>
      <c r="I1529" s="1"/>
      <c r="J1529" s="1"/>
      <c r="K1529" s="1"/>
      <c r="L1529" s="1"/>
      <c r="M1529" s="1"/>
      <c r="N1529" s="1"/>
      <c r="O1529" s="1"/>
      <c r="P1529" s="1"/>
      <c r="Q1529" s="1"/>
      <c r="R1529" s="1"/>
      <c r="S1529" s="1"/>
    </row>
    <row r="1530" ht="14.25" customHeight="1">
      <c r="A1530" s="1"/>
      <c r="B1530" s="3155" t="s">
        <v>3613</v>
      </c>
      <c r="C1530" s="238">
        <v>25.0</v>
      </c>
      <c r="D1530" s="238">
        <f>(C1530*D1529)/C1529</f>
        <v>25</v>
      </c>
      <c r="E1530" s="282"/>
      <c r="F1530" s="520" t="s">
        <v>14</v>
      </c>
      <c r="G1530" s="2387" t="s">
        <v>3614</v>
      </c>
      <c r="H1530" s="1"/>
      <c r="I1530" s="1"/>
      <c r="J1530" s="1"/>
      <c r="K1530" s="1"/>
      <c r="L1530" s="1"/>
      <c r="M1530" s="1"/>
      <c r="N1530" s="1"/>
      <c r="O1530" s="1"/>
      <c r="P1530" s="1"/>
      <c r="Q1530" s="1"/>
      <c r="R1530" s="1"/>
      <c r="S1530" s="1"/>
    </row>
    <row r="1531" ht="14.25" customHeight="1">
      <c r="A1531" s="1"/>
      <c r="B1531" s="1367" t="s">
        <v>3615</v>
      </c>
      <c r="C1531" s="279">
        <v>4.0</v>
      </c>
      <c r="D1531" s="279">
        <f t="shared" ref="D1531:D1532" si="129">(C1531*D1529)/C1529</f>
        <v>4</v>
      </c>
      <c r="E1531" s="280"/>
      <c r="F1531" s="242" t="s">
        <v>14</v>
      </c>
      <c r="G1531" s="76"/>
      <c r="H1531" s="1"/>
      <c r="I1531" s="1"/>
      <c r="J1531" s="1"/>
      <c r="K1531" s="1"/>
      <c r="L1531" s="1"/>
      <c r="M1531" s="1"/>
      <c r="N1531" s="1"/>
      <c r="O1531" s="1"/>
      <c r="P1531" s="1"/>
      <c r="Q1531" s="1"/>
      <c r="R1531" s="1"/>
      <c r="S1531" s="1"/>
    </row>
    <row r="1532" ht="14.25" customHeight="1">
      <c r="A1532" s="1"/>
      <c r="B1532" s="68" t="s">
        <v>91</v>
      </c>
      <c r="C1532" s="145">
        <v>0.5</v>
      </c>
      <c r="D1532" s="145">
        <f t="shared" si="129"/>
        <v>0.5</v>
      </c>
      <c r="E1532" s="147"/>
      <c r="F1532" s="216" t="s">
        <v>5</v>
      </c>
      <c r="G1532" s="763"/>
      <c r="H1532" s="1"/>
      <c r="I1532" s="1"/>
      <c r="J1532" s="1"/>
      <c r="K1532" s="1"/>
      <c r="L1532" s="1"/>
      <c r="M1532" s="1"/>
      <c r="N1532" s="1"/>
      <c r="O1532" s="1"/>
      <c r="P1532" s="1"/>
      <c r="Q1532" s="1"/>
      <c r="R1532" s="1"/>
      <c r="S1532" s="1"/>
    </row>
    <row r="1533" ht="14.25" customHeight="1">
      <c r="A1533" s="1"/>
      <c r="B1533" s="93" t="s">
        <v>97</v>
      </c>
      <c r="C1533" s="195">
        <v>56.0</v>
      </c>
      <c r="D1533" s="195">
        <f>(C1533*D1532)/C1532</f>
        <v>56</v>
      </c>
      <c r="E1533" s="196"/>
      <c r="F1533" s="249" t="s">
        <v>18</v>
      </c>
      <c r="G1533" s="763"/>
      <c r="H1533" s="1"/>
      <c r="I1533" s="1"/>
      <c r="J1533" s="1"/>
      <c r="K1533" s="1"/>
      <c r="L1533" s="1"/>
      <c r="M1533" s="1"/>
      <c r="N1533" s="1"/>
      <c r="O1533" s="1"/>
      <c r="P1533" s="1"/>
      <c r="Q1533" s="1"/>
      <c r="R1533" s="1"/>
      <c r="S1533" s="1"/>
    </row>
    <row r="1534" ht="14.25" customHeight="1">
      <c r="A1534" s="1"/>
      <c r="B1534" s="93" t="s">
        <v>149</v>
      </c>
      <c r="C1534" s="195">
        <v>125.0</v>
      </c>
      <c r="D1534" s="195">
        <f>(C1534*D1532)/C1532</f>
        <v>125</v>
      </c>
      <c r="E1534" s="196"/>
      <c r="F1534" s="249" t="s">
        <v>82</v>
      </c>
      <c r="G1534" s="763"/>
      <c r="H1534" s="1"/>
      <c r="I1534" s="1"/>
      <c r="J1534" s="1"/>
      <c r="K1534" s="1"/>
      <c r="L1534" s="1"/>
      <c r="M1534" s="1"/>
      <c r="N1534" s="1"/>
      <c r="O1534" s="1"/>
      <c r="P1534" s="1"/>
      <c r="Q1534" s="1"/>
      <c r="R1534" s="1"/>
      <c r="S1534" s="1"/>
    </row>
    <row r="1535" ht="14.25" customHeight="1">
      <c r="A1535" s="1"/>
      <c r="B1535" s="93" t="s">
        <v>3616</v>
      </c>
      <c r="C1535" s="195">
        <v>80.0</v>
      </c>
      <c r="D1535" s="195">
        <f>(C1535*D1534)/C1534</f>
        <v>80</v>
      </c>
      <c r="E1535" s="196"/>
      <c r="F1535" s="249" t="s">
        <v>18</v>
      </c>
      <c r="G1535" s="763"/>
      <c r="H1535" s="1"/>
      <c r="I1535" s="1"/>
      <c r="J1535" s="1"/>
      <c r="K1535" s="1"/>
      <c r="L1535" s="1"/>
      <c r="M1535" s="1"/>
      <c r="N1535" s="1"/>
      <c r="O1535" s="1"/>
      <c r="P1535" s="1"/>
      <c r="Q1535" s="1"/>
      <c r="R1535" s="1"/>
      <c r="S1535" s="1"/>
    </row>
    <row r="1536" ht="14.25" customHeight="1">
      <c r="A1536" s="1"/>
      <c r="B1536" s="93" t="s">
        <v>101</v>
      </c>
      <c r="C1536" s="195">
        <v>0.32</v>
      </c>
      <c r="D1536" s="195">
        <f>(C1536*D1533)/C1533</f>
        <v>0.32</v>
      </c>
      <c r="E1536" s="196"/>
      <c r="F1536" s="249" t="s">
        <v>5</v>
      </c>
      <c r="G1536" s="763"/>
      <c r="H1536" s="1"/>
      <c r="I1536" s="1"/>
      <c r="J1536" s="1"/>
      <c r="K1536" s="1"/>
      <c r="L1536" s="1"/>
      <c r="M1536" s="1"/>
      <c r="N1536" s="1"/>
      <c r="O1536" s="1"/>
      <c r="P1536" s="1"/>
      <c r="Q1536" s="1"/>
      <c r="R1536" s="1"/>
      <c r="S1536" s="1"/>
    </row>
    <row r="1537" ht="14.25" customHeight="1">
      <c r="A1537" s="1"/>
      <c r="B1537" s="93" t="s">
        <v>103</v>
      </c>
      <c r="C1537" s="195">
        <v>40.0</v>
      </c>
      <c r="D1537" s="195">
        <f t="shared" ref="D1537:D1548" si="130">(C1537*D1536)/C1536</f>
        <v>40</v>
      </c>
      <c r="E1537" s="196"/>
      <c r="F1537" s="249" t="s">
        <v>18</v>
      </c>
      <c r="G1537" s="763"/>
      <c r="H1537" s="1"/>
      <c r="I1537" s="1"/>
      <c r="J1537" s="1"/>
      <c r="K1537" s="1"/>
      <c r="L1537" s="1"/>
      <c r="M1537" s="1"/>
      <c r="N1537" s="1"/>
      <c r="O1537" s="1"/>
      <c r="P1537" s="1"/>
      <c r="Q1537" s="1"/>
      <c r="R1537" s="1"/>
      <c r="S1537" s="1"/>
    </row>
    <row r="1538" ht="14.25" customHeight="1">
      <c r="A1538" s="1"/>
      <c r="B1538" s="105" t="s">
        <v>31</v>
      </c>
      <c r="C1538" s="200">
        <v>320.0</v>
      </c>
      <c r="D1538" s="200">
        <f t="shared" si="130"/>
        <v>320</v>
      </c>
      <c r="E1538" s="202"/>
      <c r="F1538" s="518" t="s">
        <v>18</v>
      </c>
      <c r="G1538" s="763"/>
      <c r="H1538" s="1"/>
      <c r="I1538" s="1"/>
      <c r="J1538" s="1"/>
      <c r="K1538" s="1"/>
      <c r="L1538" s="1"/>
      <c r="M1538" s="1"/>
      <c r="N1538" s="1"/>
      <c r="O1538" s="1"/>
      <c r="P1538" s="1"/>
      <c r="Q1538" s="1"/>
      <c r="R1538" s="1"/>
      <c r="S1538" s="1"/>
    </row>
    <row r="1539" ht="14.25" customHeight="1">
      <c r="A1539" s="1"/>
      <c r="B1539" s="173" t="s">
        <v>2762</v>
      </c>
      <c r="C1539" s="275">
        <v>6.0</v>
      </c>
      <c r="D1539" s="275">
        <f t="shared" si="130"/>
        <v>6</v>
      </c>
      <c r="E1539" s="433"/>
      <c r="F1539" s="547" t="s">
        <v>14</v>
      </c>
      <c r="G1539" s="770" t="s">
        <v>3617</v>
      </c>
      <c r="H1539" s="1"/>
      <c r="I1539" s="1"/>
      <c r="J1539" s="1"/>
      <c r="K1539" s="1"/>
      <c r="L1539" s="1"/>
      <c r="M1539" s="1"/>
      <c r="N1539" s="1"/>
      <c r="O1539" s="1"/>
      <c r="P1539" s="1"/>
      <c r="Q1539" s="1"/>
      <c r="R1539" s="1"/>
      <c r="S1539" s="1"/>
    </row>
    <row r="1540" ht="14.25" customHeight="1">
      <c r="A1540" s="1"/>
      <c r="B1540" s="68" t="s">
        <v>1244</v>
      </c>
      <c r="C1540" s="145">
        <v>250.0</v>
      </c>
      <c r="D1540" s="145">
        <f t="shared" si="130"/>
        <v>250</v>
      </c>
      <c r="E1540" s="147"/>
      <c r="F1540" s="216" t="s">
        <v>18</v>
      </c>
      <c r="G1540" s="47"/>
      <c r="H1540" s="1"/>
      <c r="I1540" s="1"/>
      <c r="J1540" s="1"/>
      <c r="K1540" s="1"/>
      <c r="L1540" s="1"/>
      <c r="M1540" s="1"/>
      <c r="N1540" s="1"/>
      <c r="O1540" s="1"/>
      <c r="P1540" s="1"/>
      <c r="Q1540" s="1"/>
      <c r="R1540" s="1"/>
      <c r="S1540" s="1"/>
    </row>
    <row r="1541" ht="14.25" customHeight="1">
      <c r="A1541" s="1"/>
      <c r="B1541" s="93" t="s">
        <v>2778</v>
      </c>
      <c r="C1541" s="195">
        <v>4.0</v>
      </c>
      <c r="D1541" s="195">
        <f t="shared" si="130"/>
        <v>4</v>
      </c>
      <c r="E1541" s="196"/>
      <c r="F1541" s="249" t="s">
        <v>741</v>
      </c>
      <c r="G1541" s="47"/>
      <c r="H1541" s="1"/>
      <c r="I1541" s="1"/>
      <c r="J1541" s="1"/>
      <c r="K1541" s="1"/>
      <c r="L1541" s="1"/>
      <c r="M1541" s="1"/>
      <c r="N1541" s="1"/>
      <c r="O1541" s="1"/>
      <c r="P1541" s="1"/>
      <c r="Q1541" s="1"/>
      <c r="R1541" s="1"/>
      <c r="S1541" s="1"/>
    </row>
    <row r="1542" ht="14.25" customHeight="1">
      <c r="A1542" s="1"/>
      <c r="B1542" s="93" t="s">
        <v>3618</v>
      </c>
      <c r="C1542" s="195">
        <v>50.0</v>
      </c>
      <c r="D1542" s="195">
        <f t="shared" si="130"/>
        <v>50</v>
      </c>
      <c r="E1542" s="196"/>
      <c r="F1542" s="249" t="s">
        <v>18</v>
      </c>
      <c r="G1542" s="47"/>
      <c r="H1542" s="1"/>
      <c r="I1542" s="1"/>
      <c r="J1542" s="1"/>
      <c r="K1542" s="1"/>
      <c r="L1542" s="1"/>
      <c r="M1542" s="1"/>
      <c r="N1542" s="1"/>
      <c r="O1542" s="1"/>
      <c r="P1542" s="1"/>
      <c r="Q1542" s="1"/>
      <c r="R1542" s="1"/>
      <c r="S1542" s="1"/>
    </row>
    <row r="1543" ht="14.25" customHeight="1">
      <c r="A1543" s="1"/>
      <c r="B1543" s="105" t="s">
        <v>1132</v>
      </c>
      <c r="C1543" s="200">
        <v>400.0</v>
      </c>
      <c r="D1543" s="200">
        <f t="shared" si="130"/>
        <v>400</v>
      </c>
      <c r="E1543" s="202"/>
      <c r="F1543" s="518" t="s">
        <v>18</v>
      </c>
      <c r="G1543" s="47"/>
      <c r="H1543" s="1"/>
      <c r="I1543" s="1"/>
      <c r="J1543" s="1"/>
      <c r="K1543" s="1"/>
      <c r="L1543" s="1"/>
      <c r="M1543" s="1"/>
      <c r="N1543" s="1"/>
      <c r="O1543" s="1"/>
      <c r="P1543" s="1"/>
      <c r="Q1543" s="1"/>
      <c r="R1543" s="1"/>
      <c r="S1543" s="1"/>
    </row>
    <row r="1544" ht="14.25" customHeight="1">
      <c r="A1544" s="1"/>
      <c r="B1544" s="68" t="s">
        <v>2781</v>
      </c>
      <c r="C1544" s="145">
        <v>100.0</v>
      </c>
      <c r="D1544" s="145">
        <f t="shared" si="130"/>
        <v>100</v>
      </c>
      <c r="E1544" s="147"/>
      <c r="F1544" s="216" t="s">
        <v>18</v>
      </c>
      <c r="G1544" s="76"/>
      <c r="H1544" s="1"/>
      <c r="I1544" s="1"/>
      <c r="J1544" s="1"/>
      <c r="K1544" s="1"/>
      <c r="L1544" s="1"/>
      <c r="M1544" s="1"/>
      <c r="N1544" s="1"/>
      <c r="O1544" s="1"/>
      <c r="P1544" s="1"/>
      <c r="Q1544" s="1"/>
      <c r="R1544" s="1"/>
      <c r="S1544" s="1"/>
    </row>
    <row r="1545" ht="14.25" customHeight="1">
      <c r="A1545" s="1"/>
      <c r="B1545" s="119" t="s">
        <v>3619</v>
      </c>
      <c r="C1545" s="238">
        <v>50.0</v>
      </c>
      <c r="D1545" s="238">
        <f t="shared" si="130"/>
        <v>50</v>
      </c>
      <c r="E1545" s="282"/>
      <c r="F1545" s="520" t="s">
        <v>18</v>
      </c>
      <c r="G1545" s="1"/>
      <c r="H1545" s="1"/>
      <c r="I1545" s="1"/>
      <c r="J1545" s="1"/>
      <c r="K1545" s="1"/>
      <c r="L1545" s="1"/>
      <c r="M1545" s="1"/>
      <c r="N1545" s="1"/>
      <c r="O1545" s="1"/>
      <c r="P1545" s="1"/>
      <c r="Q1545" s="1"/>
      <c r="R1545" s="1"/>
      <c r="S1545" s="1"/>
    </row>
    <row r="1546" ht="14.25" customHeight="1">
      <c r="A1546" s="1"/>
      <c r="B1546" s="93" t="s">
        <v>3179</v>
      </c>
      <c r="C1546" s="195">
        <v>50.0</v>
      </c>
      <c r="D1546" s="195">
        <f t="shared" si="130"/>
        <v>50</v>
      </c>
      <c r="E1546" s="196"/>
      <c r="F1546" s="249" t="s">
        <v>18</v>
      </c>
      <c r="G1546" s="1"/>
      <c r="H1546" s="1"/>
      <c r="I1546" s="1"/>
      <c r="J1546" s="1"/>
      <c r="K1546" s="1"/>
      <c r="L1546" s="1"/>
      <c r="M1546" s="1"/>
      <c r="N1546" s="1"/>
      <c r="O1546" s="1"/>
      <c r="P1546" s="1"/>
      <c r="Q1546" s="1"/>
      <c r="R1546" s="1"/>
      <c r="S1546" s="1"/>
    </row>
    <row r="1547" ht="14.25" customHeight="1">
      <c r="A1547" s="1"/>
      <c r="B1547" s="377" t="s">
        <v>112</v>
      </c>
      <c r="C1547" s="195">
        <v>40.0</v>
      </c>
      <c r="D1547" s="195">
        <f t="shared" si="130"/>
        <v>40</v>
      </c>
      <c r="E1547" s="196"/>
      <c r="F1547" s="249" t="s">
        <v>18</v>
      </c>
      <c r="G1547" s="1"/>
      <c r="H1547" s="1"/>
      <c r="I1547" s="1"/>
      <c r="J1547" s="1"/>
      <c r="K1547" s="1"/>
      <c r="L1547" s="1"/>
      <c r="M1547" s="1"/>
      <c r="N1547" s="1"/>
      <c r="O1547" s="1"/>
      <c r="P1547" s="1"/>
      <c r="Q1547" s="1"/>
      <c r="R1547" s="1"/>
      <c r="S1547" s="1"/>
    </row>
    <row r="1548" ht="14.25" customHeight="1">
      <c r="A1548" s="1"/>
      <c r="B1548" s="1163" t="s">
        <v>114</v>
      </c>
      <c r="C1548" s="152">
        <v>1.2000000000000002</v>
      </c>
      <c r="D1548" s="200">
        <f t="shared" si="130"/>
        <v>1.2</v>
      </c>
      <c r="E1548" s="154"/>
      <c r="F1548" s="288" t="s">
        <v>5</v>
      </c>
      <c r="G1548" s="1"/>
      <c r="H1548" s="1"/>
      <c r="I1548" s="1"/>
      <c r="J1548" s="1"/>
      <c r="K1548" s="1"/>
      <c r="L1548" s="1"/>
      <c r="M1548" s="1"/>
      <c r="N1548" s="1"/>
      <c r="O1548" s="1"/>
      <c r="P1548" s="1"/>
      <c r="Q1548" s="1"/>
      <c r="R1548" s="1"/>
      <c r="S1548" s="1"/>
    </row>
    <row r="1549" ht="14.25" customHeight="1">
      <c r="A1549" s="1"/>
      <c r="B1549" s="3156"/>
      <c r="C1549" s="673"/>
      <c r="D1549" s="673"/>
      <c r="E1549" s="673"/>
      <c r="F1549" s="673"/>
      <c r="G1549" s="673"/>
      <c r="H1549" s="1"/>
      <c r="I1549" s="1"/>
      <c r="J1549" s="1"/>
      <c r="K1549" s="1"/>
      <c r="L1549" s="1"/>
      <c r="M1549" s="1"/>
      <c r="N1549" s="1"/>
      <c r="O1549" s="1"/>
      <c r="P1549" s="1"/>
      <c r="Q1549" s="1"/>
      <c r="R1549" s="1"/>
      <c r="S1549" s="1"/>
    </row>
    <row r="1550" ht="14.25" customHeight="1">
      <c r="A1550" s="1"/>
      <c r="B1550" s="2325" t="s">
        <v>186</v>
      </c>
      <c r="C1550" s="2326"/>
      <c r="D1550" s="2326">
        <v>43492.0</v>
      </c>
      <c r="E1550" s="3152"/>
      <c r="F1550" s="1"/>
      <c r="G1550" s="1"/>
      <c r="H1550" s="1"/>
      <c r="I1550" s="1"/>
      <c r="J1550" s="1"/>
      <c r="K1550" s="1"/>
      <c r="L1550" s="1"/>
      <c r="M1550" s="1"/>
      <c r="N1550" s="1"/>
      <c r="O1550" s="1"/>
      <c r="P1550" s="1"/>
      <c r="Q1550" s="1"/>
      <c r="R1550" s="1"/>
      <c r="S1550" s="1"/>
    </row>
    <row r="1551" ht="14.25" customHeight="1">
      <c r="A1551" s="1"/>
      <c r="B1551" s="664" t="s">
        <v>50</v>
      </c>
      <c r="C1551" s="2326"/>
      <c r="D1551" s="2813">
        <v>43557.0</v>
      </c>
      <c r="E1551" s="3153"/>
      <c r="F1551" s="1"/>
      <c r="G1551" s="1"/>
      <c r="H1551" s="1"/>
      <c r="I1551" s="1"/>
      <c r="J1551" s="1"/>
      <c r="K1551" s="1"/>
      <c r="L1551" s="1"/>
      <c r="M1551" s="1"/>
      <c r="N1551" s="1"/>
      <c r="O1551" s="1"/>
      <c r="P1551" s="1"/>
      <c r="Q1551" s="1"/>
      <c r="R1551" s="1"/>
      <c r="S1551" s="1"/>
    </row>
    <row r="1552" ht="14.25" customHeight="1">
      <c r="A1552" s="1"/>
      <c r="B1552" s="1"/>
      <c r="C1552" s="107"/>
      <c r="D1552" s="184"/>
      <c r="E1552" s="184"/>
      <c r="F1552" s="1"/>
      <c r="G1552" s="1"/>
      <c r="H1552" s="1"/>
      <c r="I1552" s="1"/>
      <c r="J1552" s="1"/>
      <c r="K1552" s="1"/>
      <c r="L1552" s="1"/>
      <c r="M1552" s="1"/>
      <c r="N1552" s="1"/>
      <c r="O1552" s="1"/>
      <c r="P1552" s="1"/>
      <c r="Q1552" s="1"/>
      <c r="R1552" s="1"/>
      <c r="S1552" s="1"/>
    </row>
    <row r="1553" ht="14.25" customHeight="1">
      <c r="A1553" s="1"/>
      <c r="B1553" s="2275" t="s">
        <v>119</v>
      </c>
      <c r="C1553" s="107"/>
      <c r="D1553" s="184"/>
      <c r="E1553" s="184"/>
      <c r="F1553" s="1"/>
      <c r="G1553" s="1"/>
      <c r="H1553" s="1"/>
      <c r="I1553" s="1"/>
      <c r="J1553" s="1"/>
      <c r="K1553" s="1"/>
      <c r="L1553" s="1"/>
      <c r="M1553" s="1"/>
      <c r="N1553" s="1"/>
      <c r="O1553" s="1"/>
      <c r="P1553" s="1"/>
      <c r="Q1553" s="1"/>
      <c r="R1553" s="1"/>
      <c r="S1553" s="1"/>
    </row>
    <row r="1554" ht="14.25" customHeight="1">
      <c r="A1554" s="1"/>
      <c r="B1554" s="1"/>
      <c r="C1554" s="107"/>
      <c r="D1554" s="184"/>
      <c r="E1554" s="184"/>
      <c r="F1554" s="1"/>
      <c r="G1554" s="1"/>
      <c r="H1554" s="1"/>
      <c r="I1554" s="1"/>
      <c r="J1554" s="1"/>
      <c r="K1554" s="1"/>
      <c r="L1554" s="1"/>
      <c r="M1554" s="1"/>
      <c r="N1554" s="1"/>
      <c r="O1554" s="1"/>
      <c r="P1554" s="1"/>
      <c r="Q1554" s="1"/>
      <c r="R1554" s="1"/>
      <c r="S1554" s="1"/>
    </row>
    <row r="1555" ht="14.25" customHeight="1">
      <c r="A1555" s="1"/>
      <c r="B1555" s="1"/>
      <c r="C1555" s="107"/>
      <c r="D1555" s="184"/>
      <c r="E1555" s="184"/>
      <c r="F1555" s="1"/>
      <c r="G1555" s="1"/>
      <c r="H1555" s="1"/>
      <c r="I1555" s="1"/>
      <c r="J1555" s="1"/>
      <c r="K1555" s="1"/>
      <c r="L1555" s="1"/>
      <c r="M1555" s="1"/>
      <c r="N1555" s="1"/>
      <c r="O1555" s="1"/>
      <c r="P1555" s="1"/>
      <c r="Q1555" s="1"/>
      <c r="R1555" s="1"/>
      <c r="S1555" s="1"/>
    </row>
    <row r="1556" ht="14.25" customHeight="1">
      <c r="A1556" s="1"/>
      <c r="B1556" s="3157" t="s">
        <v>3620</v>
      </c>
      <c r="C1556" s="5"/>
      <c r="D1556" s="5"/>
      <c r="E1556" s="5"/>
      <c r="F1556" s="6"/>
      <c r="G1556" s="3154" t="s">
        <v>1077</v>
      </c>
      <c r="H1556" s="1"/>
      <c r="I1556" s="1"/>
      <c r="J1556" s="1"/>
      <c r="K1556" s="1"/>
      <c r="L1556" s="1"/>
      <c r="M1556" s="1"/>
      <c r="N1556" s="1"/>
      <c r="O1556" s="1"/>
      <c r="P1556" s="1"/>
      <c r="Q1556" s="1"/>
      <c r="R1556" s="1"/>
      <c r="S1556" s="1"/>
    </row>
    <row r="1557" ht="14.25" customHeight="1">
      <c r="A1557" s="1"/>
      <c r="B1557" s="173" t="s">
        <v>3621</v>
      </c>
      <c r="C1557" s="275">
        <v>25.0</v>
      </c>
      <c r="D1557" s="275">
        <v>38.0</v>
      </c>
      <c r="E1557" s="433"/>
      <c r="F1557" s="547" t="s">
        <v>5</v>
      </c>
      <c r="G1557" s="1"/>
      <c r="H1557" s="1"/>
      <c r="I1557" s="1"/>
      <c r="J1557" s="1"/>
      <c r="K1557" s="1"/>
      <c r="L1557" s="1"/>
      <c r="M1557" s="1"/>
      <c r="N1557" s="1"/>
      <c r="O1557" s="1"/>
      <c r="P1557" s="1"/>
      <c r="Q1557" s="1"/>
      <c r="R1557" s="1"/>
      <c r="S1557" s="1"/>
    </row>
    <row r="1558" ht="14.25" customHeight="1">
      <c r="A1558" s="1"/>
      <c r="B1558" s="1590" t="s">
        <v>3622</v>
      </c>
      <c r="C1558" s="145">
        <v>20.0</v>
      </c>
      <c r="D1558" s="145">
        <f>(C1558*D1557)/C1557</f>
        <v>30.4</v>
      </c>
      <c r="E1558" s="147"/>
      <c r="F1558" s="216" t="s">
        <v>14</v>
      </c>
      <c r="G1558" s="2387" t="s">
        <v>3614</v>
      </c>
      <c r="H1558" s="1"/>
      <c r="I1558" s="1"/>
      <c r="J1558" s="1"/>
      <c r="K1558" s="1"/>
      <c r="L1558" s="1"/>
      <c r="M1558" s="1"/>
      <c r="N1558" s="1"/>
      <c r="O1558" s="1"/>
      <c r="P1558" s="1"/>
      <c r="Q1558" s="1"/>
      <c r="R1558" s="1"/>
      <c r="S1558" s="1"/>
    </row>
    <row r="1559" ht="14.25" customHeight="1">
      <c r="A1559" s="1"/>
      <c r="B1559" s="675" t="s">
        <v>3615</v>
      </c>
      <c r="C1559" s="200">
        <v>6.0</v>
      </c>
      <c r="D1559" s="200">
        <f t="shared" ref="D1559:D1560" si="131">(C1559*D1557)/C1557</f>
        <v>9.12</v>
      </c>
      <c r="E1559" s="202"/>
      <c r="F1559" s="518" t="s">
        <v>18</v>
      </c>
      <c r="G1559" s="76"/>
      <c r="H1559" s="1"/>
      <c r="I1559" s="1"/>
      <c r="J1559" s="1"/>
      <c r="K1559" s="1"/>
      <c r="L1559" s="1"/>
      <c r="M1559" s="1"/>
      <c r="N1559" s="1"/>
      <c r="O1559" s="1"/>
      <c r="P1559" s="1"/>
      <c r="Q1559" s="1"/>
      <c r="R1559" s="1"/>
      <c r="S1559" s="1"/>
    </row>
    <row r="1560" ht="14.25" customHeight="1">
      <c r="A1560" s="1"/>
      <c r="B1560" s="68" t="s">
        <v>91</v>
      </c>
      <c r="C1560" s="145">
        <v>0.5</v>
      </c>
      <c r="D1560" s="145">
        <f t="shared" si="131"/>
        <v>0.76</v>
      </c>
      <c r="E1560" s="147"/>
      <c r="F1560" s="216" t="s">
        <v>5</v>
      </c>
      <c r="G1560" s="2658"/>
      <c r="H1560" s="1"/>
      <c r="I1560" s="1"/>
      <c r="J1560" s="1"/>
      <c r="K1560" s="1"/>
      <c r="L1560" s="1"/>
      <c r="M1560" s="1"/>
      <c r="N1560" s="1"/>
      <c r="O1560" s="1"/>
      <c r="P1560" s="1"/>
      <c r="Q1560" s="1"/>
      <c r="R1560" s="1"/>
      <c r="S1560" s="1"/>
    </row>
    <row r="1561" ht="14.25" customHeight="1">
      <c r="A1561" s="1"/>
      <c r="B1561" s="93" t="s">
        <v>97</v>
      </c>
      <c r="C1561" s="195">
        <v>56.0</v>
      </c>
      <c r="D1561" s="195">
        <f>(C1561*D1560)/C1560</f>
        <v>85.12</v>
      </c>
      <c r="E1561" s="196"/>
      <c r="F1561" s="249" t="s">
        <v>18</v>
      </c>
      <c r="G1561" s="2667"/>
      <c r="H1561" s="1"/>
      <c r="I1561" s="1"/>
      <c r="J1561" s="1"/>
      <c r="K1561" s="1"/>
      <c r="L1561" s="1"/>
      <c r="M1561" s="1"/>
      <c r="N1561" s="1"/>
      <c r="O1561" s="1"/>
      <c r="P1561" s="1"/>
      <c r="Q1561" s="1"/>
      <c r="R1561" s="1"/>
      <c r="S1561" s="1"/>
    </row>
    <row r="1562" ht="14.25" customHeight="1">
      <c r="A1562" s="1"/>
      <c r="B1562" s="93" t="s">
        <v>149</v>
      </c>
      <c r="C1562" s="195">
        <v>96.0</v>
      </c>
      <c r="D1562" s="195">
        <f>(C1562*D1560)/C1560</f>
        <v>145.92</v>
      </c>
      <c r="E1562" s="196"/>
      <c r="F1562" s="249" t="s">
        <v>82</v>
      </c>
      <c r="G1562" s="1"/>
      <c r="H1562" s="1"/>
      <c r="I1562" s="1"/>
      <c r="J1562" s="1"/>
      <c r="K1562" s="1"/>
      <c r="L1562" s="1"/>
      <c r="M1562" s="1"/>
      <c r="N1562" s="1"/>
      <c r="O1562" s="1"/>
      <c r="P1562" s="1"/>
      <c r="Q1562" s="1"/>
      <c r="R1562" s="1"/>
      <c r="S1562" s="1"/>
    </row>
    <row r="1563" ht="14.25" customHeight="1">
      <c r="A1563" s="1"/>
      <c r="B1563" s="93" t="s">
        <v>3616</v>
      </c>
      <c r="C1563" s="195">
        <v>80.0</v>
      </c>
      <c r="D1563" s="195">
        <f>(C1563*D1562)/C1562</f>
        <v>121.6</v>
      </c>
      <c r="E1563" s="196"/>
      <c r="F1563" s="249" t="s">
        <v>18</v>
      </c>
      <c r="G1563" s="1"/>
      <c r="H1563" s="1"/>
      <c r="I1563" s="1"/>
      <c r="J1563" s="1"/>
      <c r="K1563" s="1"/>
      <c r="L1563" s="1"/>
      <c r="M1563" s="1"/>
      <c r="N1563" s="1"/>
      <c r="O1563" s="1"/>
      <c r="P1563" s="1"/>
      <c r="Q1563" s="1"/>
      <c r="R1563" s="1"/>
      <c r="S1563" s="1"/>
    </row>
    <row r="1564" ht="14.25" customHeight="1">
      <c r="A1564" s="1"/>
      <c r="B1564" s="93" t="s">
        <v>101</v>
      </c>
      <c r="C1564" s="195">
        <v>0.32</v>
      </c>
      <c r="D1564" s="195">
        <f>(C1564*D1561)/C1561</f>
        <v>0.4864</v>
      </c>
      <c r="E1564" s="196"/>
      <c r="F1564" s="249" t="s">
        <v>5</v>
      </c>
      <c r="G1564" s="1"/>
      <c r="H1564" s="1"/>
      <c r="I1564" s="1"/>
      <c r="J1564" s="1"/>
      <c r="K1564" s="1"/>
      <c r="L1564" s="1"/>
      <c r="M1564" s="1"/>
      <c r="N1564" s="1"/>
      <c r="O1564" s="1"/>
      <c r="P1564" s="1"/>
      <c r="Q1564" s="1"/>
      <c r="R1564" s="1"/>
      <c r="S1564" s="1"/>
    </row>
    <row r="1565" ht="14.25" customHeight="1">
      <c r="A1565" s="1"/>
      <c r="B1565" s="93" t="s">
        <v>52</v>
      </c>
      <c r="C1565" s="195">
        <v>60.0</v>
      </c>
      <c r="D1565" s="195">
        <f t="shared" ref="D1565:D1566" si="132">(C1565*D1563)/C1563</f>
        <v>91.2</v>
      </c>
      <c r="E1565" s="196"/>
      <c r="F1565" s="249" t="s">
        <v>18</v>
      </c>
      <c r="G1565" s="1"/>
      <c r="H1565" s="1"/>
      <c r="I1565" s="1"/>
      <c r="J1565" s="1"/>
      <c r="K1565" s="1"/>
      <c r="L1565" s="1"/>
      <c r="M1565" s="1"/>
      <c r="N1565" s="1"/>
      <c r="O1565" s="1"/>
      <c r="P1565" s="1"/>
      <c r="Q1565" s="1"/>
      <c r="R1565" s="1"/>
      <c r="S1565" s="1"/>
    </row>
    <row r="1566" ht="14.25" customHeight="1">
      <c r="A1566" s="1"/>
      <c r="B1566" s="93" t="s">
        <v>103</v>
      </c>
      <c r="C1566" s="195">
        <v>60.0</v>
      </c>
      <c r="D1566" s="195">
        <f t="shared" si="132"/>
        <v>91.2</v>
      </c>
      <c r="E1566" s="196"/>
      <c r="F1566" s="249" t="s">
        <v>18</v>
      </c>
      <c r="G1566" s="1"/>
      <c r="H1566" s="1"/>
      <c r="I1566" s="1"/>
      <c r="J1566" s="1"/>
      <c r="K1566" s="1"/>
      <c r="L1566" s="1"/>
      <c r="M1566" s="1"/>
      <c r="N1566" s="1"/>
      <c r="O1566" s="1"/>
      <c r="P1566" s="1"/>
      <c r="Q1566" s="1"/>
      <c r="R1566" s="1"/>
      <c r="S1566" s="1"/>
    </row>
    <row r="1567" ht="14.25" customHeight="1">
      <c r="A1567" s="1"/>
      <c r="B1567" s="138" t="s">
        <v>31</v>
      </c>
      <c r="C1567" s="279">
        <v>320.0</v>
      </c>
      <c r="D1567" s="279">
        <f t="shared" ref="D1567:D1571" si="133">(C1567*D1566)/C1566</f>
        <v>486.4</v>
      </c>
      <c r="E1567" s="280"/>
      <c r="F1567" s="242" t="s">
        <v>18</v>
      </c>
      <c r="G1567" s="1"/>
      <c r="H1567" s="1"/>
      <c r="I1567" s="1"/>
      <c r="J1567" s="1"/>
      <c r="K1567" s="1"/>
      <c r="L1567" s="1"/>
      <c r="M1567" s="1"/>
      <c r="N1567" s="1"/>
      <c r="O1567" s="1"/>
      <c r="P1567" s="1"/>
      <c r="Q1567" s="1"/>
      <c r="R1567" s="1"/>
      <c r="S1567" s="1"/>
    </row>
    <row r="1568" ht="14.25" customHeight="1">
      <c r="A1568" s="1"/>
      <c r="B1568" s="68" t="s">
        <v>3623</v>
      </c>
      <c r="C1568" s="145">
        <v>6.0</v>
      </c>
      <c r="D1568" s="145">
        <f t="shared" si="133"/>
        <v>9.12</v>
      </c>
      <c r="E1568" s="147"/>
      <c r="F1568" s="216" t="s">
        <v>14</v>
      </c>
      <c r="G1568" s="638" t="s">
        <v>3617</v>
      </c>
      <c r="H1568" s="1"/>
      <c r="I1568" s="1"/>
      <c r="J1568" s="1"/>
      <c r="K1568" s="1"/>
      <c r="L1568" s="1"/>
      <c r="M1568" s="1"/>
      <c r="N1568" s="1"/>
      <c r="O1568" s="1"/>
      <c r="P1568" s="1"/>
      <c r="Q1568" s="1"/>
      <c r="R1568" s="1"/>
      <c r="S1568" s="1"/>
    </row>
    <row r="1569" ht="14.25" customHeight="1">
      <c r="A1569" s="1"/>
      <c r="B1569" s="93" t="s">
        <v>3624</v>
      </c>
      <c r="C1569" s="195">
        <v>250.0</v>
      </c>
      <c r="D1569" s="195">
        <f t="shared" si="133"/>
        <v>380</v>
      </c>
      <c r="E1569" s="196"/>
      <c r="F1569" s="249" t="s">
        <v>18</v>
      </c>
      <c r="G1569" s="47"/>
      <c r="H1569" s="1"/>
      <c r="I1569" s="1"/>
      <c r="J1569" s="1"/>
      <c r="K1569" s="1"/>
      <c r="L1569" s="1"/>
      <c r="M1569" s="1"/>
      <c r="N1569" s="1"/>
      <c r="O1569" s="1"/>
      <c r="P1569" s="1"/>
      <c r="Q1569" s="1"/>
      <c r="R1569" s="1"/>
      <c r="S1569" s="1"/>
    </row>
    <row r="1570" ht="14.25" customHeight="1">
      <c r="A1570" s="1"/>
      <c r="B1570" s="93" t="s">
        <v>3618</v>
      </c>
      <c r="C1570" s="195">
        <v>80.0</v>
      </c>
      <c r="D1570" s="195">
        <f t="shared" si="133"/>
        <v>121.6</v>
      </c>
      <c r="E1570" s="196"/>
      <c r="F1570" s="249" t="s">
        <v>18</v>
      </c>
      <c r="G1570" s="47"/>
      <c r="H1570" s="1"/>
      <c r="I1570" s="1"/>
      <c r="J1570" s="1"/>
      <c r="K1570" s="1"/>
      <c r="L1570" s="1"/>
      <c r="M1570" s="1"/>
      <c r="N1570" s="1"/>
      <c r="O1570" s="1"/>
      <c r="P1570" s="1"/>
      <c r="Q1570" s="1"/>
      <c r="R1570" s="1"/>
      <c r="S1570" s="1"/>
    </row>
    <row r="1571" ht="14.25" customHeight="1">
      <c r="A1571" s="1"/>
      <c r="B1571" s="105" t="s">
        <v>3337</v>
      </c>
      <c r="C1571" s="200">
        <v>400.0</v>
      </c>
      <c r="D1571" s="200">
        <f t="shared" si="133"/>
        <v>608</v>
      </c>
      <c r="E1571" s="202"/>
      <c r="F1571" s="518" t="s">
        <v>18</v>
      </c>
      <c r="G1571" s="76"/>
      <c r="H1571" s="1"/>
      <c r="I1571" s="1"/>
      <c r="J1571" s="1"/>
      <c r="K1571" s="1"/>
      <c r="L1571" s="1"/>
      <c r="M1571" s="1"/>
      <c r="N1571" s="1"/>
      <c r="O1571" s="1"/>
      <c r="P1571" s="1"/>
      <c r="Q1571" s="1"/>
      <c r="R1571" s="1"/>
      <c r="S1571" s="1"/>
    </row>
    <row r="1572" ht="14.25" customHeight="1">
      <c r="A1572" s="1"/>
      <c r="B1572" s="119" t="s">
        <v>3619</v>
      </c>
      <c r="C1572" s="238">
        <v>40.0</v>
      </c>
      <c r="D1572" s="238">
        <f t="shared" ref="D1572:D1573" si="134">(C1572*D1570)/C1570</f>
        <v>60.8</v>
      </c>
      <c r="E1572" s="282"/>
      <c r="F1572" s="520" t="s">
        <v>18</v>
      </c>
      <c r="G1572" s="1"/>
      <c r="H1572" s="1"/>
      <c r="I1572" s="1"/>
      <c r="J1572" s="1"/>
      <c r="K1572" s="1"/>
      <c r="L1572" s="1"/>
      <c r="M1572" s="1"/>
      <c r="N1572" s="1"/>
      <c r="O1572" s="1"/>
      <c r="P1572" s="1"/>
      <c r="Q1572" s="1"/>
      <c r="R1572" s="1"/>
      <c r="S1572" s="1"/>
    </row>
    <row r="1573" ht="14.25" customHeight="1">
      <c r="A1573" s="1"/>
      <c r="B1573" s="119" t="s">
        <v>2781</v>
      </c>
      <c r="C1573" s="238">
        <v>60.0</v>
      </c>
      <c r="D1573" s="195">
        <f t="shared" si="134"/>
        <v>91.2</v>
      </c>
      <c r="E1573" s="282"/>
      <c r="F1573" s="520" t="s">
        <v>18</v>
      </c>
      <c r="G1573" s="1"/>
      <c r="H1573" s="1"/>
      <c r="I1573" s="1"/>
      <c r="J1573" s="1"/>
      <c r="K1573" s="1"/>
      <c r="L1573" s="1"/>
      <c r="M1573" s="1"/>
      <c r="N1573" s="1"/>
      <c r="O1573" s="1"/>
      <c r="P1573" s="1"/>
      <c r="Q1573" s="1"/>
      <c r="R1573" s="1"/>
      <c r="S1573" s="1"/>
    </row>
    <row r="1574" ht="14.25" customHeight="1">
      <c r="A1574" s="1"/>
      <c r="B1574" s="93" t="s">
        <v>3179</v>
      </c>
      <c r="C1574" s="195">
        <v>40.0</v>
      </c>
      <c r="D1574" s="195">
        <f t="shared" ref="D1574:D1576" si="135">(C1574*D1573)/C1573</f>
        <v>60.8</v>
      </c>
      <c r="E1574" s="196"/>
      <c r="F1574" s="249" t="s">
        <v>18</v>
      </c>
      <c r="G1574" s="1"/>
      <c r="H1574" s="1"/>
      <c r="I1574" s="1"/>
      <c r="J1574" s="1"/>
      <c r="K1574" s="1"/>
      <c r="L1574" s="1"/>
      <c r="M1574" s="1"/>
      <c r="N1574" s="1"/>
      <c r="O1574" s="1"/>
      <c r="P1574" s="1"/>
      <c r="Q1574" s="1"/>
      <c r="R1574" s="1"/>
      <c r="S1574" s="1"/>
    </row>
    <row r="1575" ht="14.25" customHeight="1">
      <c r="A1575" s="1"/>
      <c r="B1575" s="377" t="s">
        <v>112</v>
      </c>
      <c r="C1575" s="195">
        <v>40.0</v>
      </c>
      <c r="D1575" s="195">
        <f t="shared" si="135"/>
        <v>60.8</v>
      </c>
      <c r="E1575" s="196"/>
      <c r="F1575" s="249" t="s">
        <v>18</v>
      </c>
      <c r="G1575" s="1"/>
      <c r="H1575" s="1"/>
      <c r="I1575" s="1"/>
      <c r="J1575" s="1"/>
      <c r="K1575" s="1"/>
      <c r="L1575" s="1"/>
      <c r="M1575" s="1"/>
      <c r="N1575" s="1"/>
      <c r="O1575" s="1"/>
      <c r="P1575" s="1"/>
      <c r="Q1575" s="1"/>
      <c r="R1575" s="1"/>
      <c r="S1575" s="1"/>
    </row>
    <row r="1576" ht="14.25" customHeight="1">
      <c r="A1576" s="1"/>
      <c r="B1576" s="1726" t="s">
        <v>114</v>
      </c>
      <c r="C1576" s="238">
        <v>1.2000000000000002</v>
      </c>
      <c r="D1576" s="195">
        <f t="shared" si="135"/>
        <v>1.824</v>
      </c>
      <c r="E1576" s="282"/>
      <c r="F1576" s="520" t="s">
        <v>5</v>
      </c>
      <c r="G1576" s="1"/>
      <c r="H1576" s="1"/>
      <c r="I1576" s="1"/>
      <c r="J1576" s="1"/>
      <c r="K1576" s="1"/>
      <c r="L1576" s="1"/>
      <c r="M1576" s="1"/>
      <c r="N1576" s="1"/>
      <c r="O1576" s="1"/>
      <c r="P1576" s="1"/>
      <c r="Q1576" s="1"/>
      <c r="R1576" s="1"/>
      <c r="S1576" s="1"/>
    </row>
    <row r="1577" ht="14.25" customHeight="1">
      <c r="A1577" s="1"/>
      <c r="B1577" s="2325" t="s">
        <v>186</v>
      </c>
      <c r="C1577" s="2326"/>
      <c r="D1577" s="2326">
        <v>43492.0</v>
      </c>
      <c r="E1577" s="3152"/>
      <c r="F1577" s="3158"/>
      <c r="G1577" s="1"/>
      <c r="H1577" s="1"/>
      <c r="I1577" s="1"/>
      <c r="J1577" s="1"/>
      <c r="K1577" s="1"/>
      <c r="L1577" s="1"/>
      <c r="M1577" s="1"/>
      <c r="N1577" s="1"/>
      <c r="O1577" s="1"/>
      <c r="P1577" s="1"/>
      <c r="Q1577" s="1"/>
      <c r="R1577" s="1"/>
      <c r="S1577" s="1"/>
    </row>
    <row r="1578" ht="14.25" customHeight="1">
      <c r="A1578" s="1"/>
      <c r="B1578" s="3159" t="s">
        <v>50</v>
      </c>
      <c r="C1578" s="2813"/>
      <c r="D1578" s="2813">
        <v>43557.0</v>
      </c>
      <c r="E1578" s="3153"/>
      <c r="F1578" s="1"/>
      <c r="G1578" s="1"/>
      <c r="H1578" s="1"/>
      <c r="I1578" s="1"/>
      <c r="J1578" s="1"/>
      <c r="K1578" s="1"/>
      <c r="L1578" s="1"/>
      <c r="M1578" s="1"/>
      <c r="N1578" s="1"/>
      <c r="O1578" s="1"/>
      <c r="P1578" s="1"/>
      <c r="Q1578" s="1"/>
      <c r="R1578" s="1"/>
      <c r="S1578" s="1"/>
    </row>
    <row r="1579" ht="14.25" customHeight="1">
      <c r="A1579" s="1"/>
      <c r="B1579" s="1"/>
      <c r="C1579" s="107"/>
      <c r="D1579" s="184"/>
      <c r="E1579" s="184"/>
      <c r="F1579" s="1"/>
      <c r="G1579" s="1"/>
      <c r="H1579" s="1"/>
      <c r="I1579" s="1"/>
      <c r="J1579" s="1"/>
      <c r="K1579" s="1"/>
      <c r="L1579" s="1"/>
      <c r="M1579" s="1"/>
      <c r="N1579" s="1"/>
      <c r="O1579" s="1"/>
      <c r="P1579" s="1"/>
      <c r="Q1579" s="1"/>
      <c r="R1579" s="1"/>
      <c r="S1579" s="1"/>
    </row>
    <row r="1580" ht="14.25" customHeight="1">
      <c r="A1580" s="1"/>
      <c r="B1580" s="1"/>
      <c r="C1580" s="107"/>
      <c r="D1580" s="184"/>
      <c r="E1580" s="184"/>
      <c r="F1580" s="1"/>
      <c r="G1580" s="1"/>
      <c r="H1580" s="1"/>
      <c r="I1580" s="1"/>
      <c r="J1580" s="1"/>
      <c r="K1580" s="1"/>
      <c r="L1580" s="1"/>
      <c r="M1580" s="1"/>
      <c r="N1580" s="1"/>
      <c r="O1580" s="1"/>
      <c r="P1580" s="1"/>
      <c r="Q1580" s="1"/>
      <c r="R1580" s="1"/>
      <c r="S1580" s="1"/>
    </row>
    <row r="1581" ht="14.25" customHeight="1">
      <c r="A1581" s="1"/>
      <c r="B1581" s="2275" t="s">
        <v>119</v>
      </c>
      <c r="C1581" s="107"/>
      <c r="D1581" s="184"/>
      <c r="E1581" s="184"/>
      <c r="F1581" s="1"/>
      <c r="G1581" s="1"/>
      <c r="H1581" s="1"/>
      <c r="I1581" s="1"/>
      <c r="J1581" s="1"/>
      <c r="K1581" s="1"/>
      <c r="L1581" s="1"/>
      <c r="M1581" s="1"/>
      <c r="N1581" s="1"/>
      <c r="O1581" s="1"/>
      <c r="P1581" s="1"/>
      <c r="Q1581" s="1"/>
      <c r="R1581" s="1"/>
      <c r="S1581" s="1"/>
    </row>
    <row r="1582" ht="14.25" customHeight="1">
      <c r="A1582" s="1"/>
      <c r="B1582" s="1"/>
      <c r="C1582" s="107"/>
      <c r="D1582" s="184"/>
      <c r="E1582" s="184"/>
      <c r="F1582" s="1"/>
      <c r="G1582" s="1"/>
      <c r="H1582" s="1"/>
      <c r="I1582" s="1"/>
      <c r="J1582" s="1"/>
      <c r="K1582" s="1"/>
      <c r="L1582" s="1"/>
      <c r="M1582" s="1"/>
      <c r="N1582" s="1"/>
      <c r="O1582" s="1"/>
      <c r="P1582" s="1"/>
      <c r="Q1582" s="1"/>
      <c r="R1582" s="1"/>
      <c r="S1582" s="1"/>
    </row>
    <row r="1583" ht="14.25" customHeight="1">
      <c r="A1583" s="1"/>
      <c r="B1583" s="1"/>
      <c r="C1583" s="107"/>
      <c r="D1583" s="184"/>
      <c r="E1583" s="184"/>
      <c r="F1583" s="1"/>
      <c r="G1583" s="1"/>
      <c r="H1583" s="1"/>
      <c r="I1583" s="1"/>
      <c r="J1583" s="1"/>
      <c r="K1583" s="1"/>
      <c r="L1583" s="1"/>
      <c r="M1583" s="1"/>
      <c r="N1583" s="1"/>
      <c r="O1583" s="1"/>
      <c r="P1583" s="1"/>
      <c r="Q1583" s="1"/>
      <c r="R1583" s="1"/>
      <c r="S1583" s="1"/>
    </row>
    <row r="1584" ht="14.25" customHeight="1">
      <c r="A1584" s="1"/>
      <c r="B1584" s="1"/>
      <c r="C1584" s="107"/>
      <c r="D1584" s="184"/>
      <c r="E1584" s="184"/>
      <c r="F1584" s="1"/>
      <c r="G1584" s="1"/>
      <c r="H1584" s="1"/>
      <c r="I1584" s="1"/>
      <c r="J1584" s="1"/>
      <c r="K1584" s="1"/>
      <c r="L1584" s="1"/>
      <c r="M1584" s="1"/>
      <c r="N1584" s="1"/>
      <c r="O1584" s="1"/>
      <c r="P1584" s="1"/>
      <c r="Q1584" s="1"/>
      <c r="R1584" s="1"/>
      <c r="S1584" s="1"/>
    </row>
    <row r="1585" ht="14.25" customHeight="1">
      <c r="A1585" s="1"/>
      <c r="B1585" s="1"/>
      <c r="C1585" s="107"/>
      <c r="D1585" s="184"/>
      <c r="E1585" s="184"/>
      <c r="F1585" s="1"/>
      <c r="G1585" s="1"/>
      <c r="H1585" s="1"/>
      <c r="I1585" s="1"/>
      <c r="J1585" s="1"/>
      <c r="K1585" s="1"/>
      <c r="L1585" s="1"/>
      <c r="M1585" s="1"/>
      <c r="N1585" s="1"/>
      <c r="O1585" s="1"/>
      <c r="P1585" s="1"/>
      <c r="Q1585" s="1"/>
      <c r="R1585" s="1"/>
      <c r="S1585" s="1"/>
    </row>
    <row r="1586" ht="14.25" customHeight="1">
      <c r="A1586" s="1"/>
      <c r="B1586" s="647" t="s">
        <v>3625</v>
      </c>
      <c r="C1586" s="18"/>
      <c r="D1586" s="18"/>
      <c r="E1586" s="18"/>
      <c r="F1586" s="19"/>
      <c r="G1586" s="1"/>
      <c r="H1586" s="1"/>
      <c r="I1586" s="1"/>
      <c r="J1586" s="1"/>
      <c r="K1586" s="1"/>
      <c r="L1586" s="1"/>
      <c r="M1586" s="1"/>
      <c r="N1586" s="1"/>
      <c r="O1586" s="1"/>
      <c r="P1586" s="1"/>
      <c r="Q1586" s="1"/>
      <c r="R1586" s="1"/>
      <c r="S1586" s="1"/>
    </row>
    <row r="1587" ht="14.25" customHeight="1">
      <c r="A1587" s="1"/>
      <c r="B1587" s="51" t="s">
        <v>1839</v>
      </c>
      <c r="C1587" s="190">
        <v>50.0</v>
      </c>
      <c r="D1587" s="190">
        <v>10.0</v>
      </c>
      <c r="E1587" s="192"/>
      <c r="F1587" s="1593" t="s">
        <v>5</v>
      </c>
      <c r="G1587" s="763"/>
      <c r="H1587" s="1"/>
      <c r="I1587" s="1"/>
      <c r="J1587" s="1"/>
      <c r="K1587" s="1"/>
      <c r="L1587" s="1"/>
      <c r="M1587" s="1"/>
      <c r="N1587" s="1"/>
      <c r="O1587" s="1"/>
      <c r="P1587" s="1"/>
      <c r="Q1587" s="1"/>
      <c r="R1587" s="1"/>
      <c r="S1587" s="1"/>
    </row>
    <row r="1588" ht="14.25" customHeight="1">
      <c r="A1588" s="1"/>
      <c r="B1588" s="68" t="s">
        <v>3626</v>
      </c>
      <c r="C1588" s="145">
        <v>1.4</v>
      </c>
      <c r="D1588" s="221">
        <f>(C1588*D1587)/C1587</f>
        <v>0.28</v>
      </c>
      <c r="E1588" s="222"/>
      <c r="F1588" s="1157" t="s">
        <v>5</v>
      </c>
      <c r="G1588" s="763"/>
      <c r="H1588" s="1"/>
      <c r="I1588" s="1"/>
      <c r="J1588" s="1"/>
      <c r="K1588" s="1"/>
      <c r="L1588" s="1"/>
      <c r="M1588" s="1"/>
      <c r="N1588" s="1"/>
      <c r="O1588" s="1"/>
      <c r="P1588" s="1"/>
      <c r="Q1588" s="1"/>
      <c r="R1588" s="1"/>
      <c r="S1588" s="1"/>
    </row>
    <row r="1589" ht="14.25" customHeight="1">
      <c r="A1589" s="1"/>
      <c r="B1589" s="93" t="s">
        <v>3627</v>
      </c>
      <c r="C1589" s="195">
        <v>40.0</v>
      </c>
      <c r="D1589" s="195">
        <f t="shared" ref="D1589:D1590" si="136">(D1588*C1589)/C1588</f>
        <v>8</v>
      </c>
      <c r="E1589" s="196"/>
      <c r="F1589" s="1158" t="s">
        <v>14</v>
      </c>
      <c r="G1589" s="1"/>
      <c r="H1589" s="1"/>
      <c r="I1589" s="1"/>
      <c r="J1589" s="1"/>
      <c r="K1589" s="1"/>
      <c r="L1589" s="1"/>
      <c r="M1589" s="1"/>
      <c r="N1589" s="1"/>
      <c r="O1589" s="1"/>
      <c r="P1589" s="1"/>
      <c r="Q1589" s="1"/>
      <c r="R1589" s="1"/>
      <c r="S1589" s="1"/>
    </row>
    <row r="1590" ht="14.25" customHeight="1">
      <c r="A1590" s="1"/>
      <c r="B1590" s="93" t="s">
        <v>3628</v>
      </c>
      <c r="C1590" s="195">
        <v>250.0</v>
      </c>
      <c r="D1590" s="195">
        <f t="shared" si="136"/>
        <v>50</v>
      </c>
      <c r="E1590" s="196"/>
      <c r="F1590" s="1158" t="s">
        <v>18</v>
      </c>
      <c r="G1590" s="1658" t="s">
        <v>3629</v>
      </c>
      <c r="H1590" s="1"/>
      <c r="I1590" s="1"/>
      <c r="J1590" s="1"/>
      <c r="K1590" s="1"/>
      <c r="L1590" s="1"/>
      <c r="M1590" s="1"/>
      <c r="N1590" s="1"/>
      <c r="O1590" s="1"/>
      <c r="P1590" s="1"/>
      <c r="Q1590" s="1"/>
      <c r="R1590" s="1"/>
      <c r="S1590" s="1"/>
    </row>
    <row r="1591" ht="14.25" customHeight="1">
      <c r="A1591" s="1"/>
      <c r="B1591" s="93" t="s">
        <v>3630</v>
      </c>
      <c r="C1591" s="195">
        <v>1.4</v>
      </c>
      <c r="D1591" s="27">
        <f>(C1591*D1590)/C1590</f>
        <v>0.28</v>
      </c>
      <c r="E1591" s="29"/>
      <c r="F1591" s="1158" t="s">
        <v>5</v>
      </c>
      <c r="G1591" s="66"/>
      <c r="H1591" s="1"/>
      <c r="I1591" s="1"/>
      <c r="J1591" s="1"/>
      <c r="K1591" s="1"/>
      <c r="L1591" s="1"/>
      <c r="M1591" s="1"/>
      <c r="N1591" s="1"/>
      <c r="O1591" s="1"/>
      <c r="P1591" s="1"/>
      <c r="Q1591" s="1"/>
      <c r="R1591" s="1"/>
      <c r="S1591" s="1"/>
    </row>
    <row r="1592" ht="14.25" customHeight="1">
      <c r="A1592" s="1"/>
      <c r="B1592" s="3160" t="s">
        <v>3631</v>
      </c>
      <c r="C1592" s="195">
        <v>12.5</v>
      </c>
      <c r="D1592" s="195">
        <f t="shared" ref="D1592:D1593" si="137">(C1592*D1589)/C1589</f>
        <v>2.5</v>
      </c>
      <c r="E1592" s="196"/>
      <c r="F1592" s="1158" t="s">
        <v>14</v>
      </c>
      <c r="G1592" s="66"/>
      <c r="H1592" s="1"/>
      <c r="I1592" s="1"/>
      <c r="J1592" s="1"/>
      <c r="K1592" s="1"/>
      <c r="L1592" s="1"/>
      <c r="M1592" s="1"/>
      <c r="N1592" s="1"/>
      <c r="O1592" s="1"/>
      <c r="P1592" s="1"/>
      <c r="Q1592" s="1"/>
      <c r="R1592" s="1"/>
      <c r="S1592" s="1"/>
    </row>
    <row r="1593" ht="14.25" customHeight="1">
      <c r="A1593" s="1"/>
      <c r="B1593" s="3161" t="s">
        <v>437</v>
      </c>
      <c r="C1593" s="279">
        <v>125.0</v>
      </c>
      <c r="D1593" s="279">
        <f t="shared" si="137"/>
        <v>25</v>
      </c>
      <c r="E1593" s="280"/>
      <c r="F1593" s="1219" t="s">
        <v>18</v>
      </c>
      <c r="G1593" s="106"/>
      <c r="H1593" s="1"/>
      <c r="I1593" s="1"/>
      <c r="J1593" s="1"/>
      <c r="K1593" s="1"/>
      <c r="L1593" s="1"/>
      <c r="M1593" s="1"/>
      <c r="N1593" s="1"/>
      <c r="O1593" s="1"/>
      <c r="P1593" s="1"/>
      <c r="Q1593" s="1"/>
      <c r="R1593" s="1"/>
      <c r="S1593" s="1"/>
    </row>
    <row r="1594" ht="14.25" customHeight="1">
      <c r="A1594" s="1"/>
      <c r="B1594" s="68" t="s">
        <v>3632</v>
      </c>
      <c r="C1594" s="145">
        <v>0.4</v>
      </c>
      <c r="D1594" s="221">
        <f t="shared" ref="D1594:D1595" si="138">(C1594*D1588)/C1588</f>
        <v>0.08</v>
      </c>
      <c r="E1594" s="222"/>
      <c r="F1594" s="1157" t="s">
        <v>5</v>
      </c>
      <c r="G1594" s="998"/>
      <c r="H1594" s="1"/>
      <c r="I1594" s="1"/>
      <c r="J1594" s="1"/>
      <c r="K1594" s="1"/>
      <c r="L1594" s="1"/>
      <c r="M1594" s="1"/>
      <c r="N1594" s="1"/>
      <c r="O1594" s="1"/>
      <c r="P1594" s="1"/>
      <c r="Q1594" s="1"/>
      <c r="R1594" s="1"/>
      <c r="S1594" s="1"/>
    </row>
    <row r="1595" ht="14.25" customHeight="1">
      <c r="A1595" s="1"/>
      <c r="B1595" s="93" t="s">
        <v>97</v>
      </c>
      <c r="C1595" s="195">
        <v>0.1</v>
      </c>
      <c r="D1595" s="27">
        <f t="shared" si="138"/>
        <v>0.02</v>
      </c>
      <c r="E1595" s="29"/>
      <c r="F1595" s="1158" t="s">
        <v>5</v>
      </c>
      <c r="G1595" s="1100" t="s">
        <v>3633</v>
      </c>
      <c r="H1595" s="1"/>
      <c r="I1595" s="1"/>
      <c r="J1595" s="1"/>
      <c r="K1595" s="1"/>
      <c r="L1595" s="1"/>
      <c r="M1595" s="1"/>
      <c r="N1595" s="1"/>
      <c r="O1595" s="1"/>
      <c r="P1595" s="1"/>
      <c r="Q1595" s="1"/>
      <c r="R1595" s="1"/>
      <c r="S1595" s="1"/>
    </row>
    <row r="1596" ht="14.25" customHeight="1">
      <c r="A1596" s="1"/>
      <c r="B1596" s="93" t="s">
        <v>98</v>
      </c>
      <c r="C1596" s="195">
        <v>0.1</v>
      </c>
      <c r="D1596" s="27">
        <f>(C1596*D1592)/C1592</f>
        <v>0.02</v>
      </c>
      <c r="E1596" s="29"/>
      <c r="F1596" s="1158" t="s">
        <v>18</v>
      </c>
      <c r="G1596" s="47"/>
      <c r="H1596" s="1"/>
      <c r="I1596" s="1"/>
      <c r="J1596" s="1"/>
      <c r="K1596" s="1"/>
      <c r="L1596" s="1"/>
      <c r="M1596" s="1"/>
      <c r="N1596" s="1"/>
      <c r="O1596" s="1"/>
      <c r="P1596" s="1"/>
      <c r="Q1596" s="1"/>
      <c r="R1596" s="1"/>
      <c r="S1596" s="1"/>
    </row>
    <row r="1597" ht="14.25" customHeight="1">
      <c r="A1597" s="1"/>
      <c r="B1597" s="93" t="s">
        <v>3634</v>
      </c>
      <c r="C1597" s="195">
        <v>0.25</v>
      </c>
      <c r="D1597" s="27">
        <f t="shared" ref="D1597:D1602" si="139">(C1597*D1596)/C1596</f>
        <v>0.05</v>
      </c>
      <c r="E1597" s="29"/>
      <c r="F1597" s="1158" t="s">
        <v>14</v>
      </c>
      <c r="G1597" s="47"/>
      <c r="H1597" s="1"/>
      <c r="I1597" s="1"/>
      <c r="J1597" s="1"/>
      <c r="K1597" s="1"/>
      <c r="L1597" s="1"/>
      <c r="M1597" s="1"/>
      <c r="N1597" s="1"/>
      <c r="O1597" s="1"/>
      <c r="P1597" s="1"/>
      <c r="Q1597" s="1"/>
      <c r="R1597" s="1"/>
      <c r="S1597" s="1"/>
    </row>
    <row r="1598" ht="14.25" customHeight="1">
      <c r="A1598" s="1"/>
      <c r="B1598" s="93" t="s">
        <v>2589</v>
      </c>
      <c r="C1598" s="195">
        <v>0.4</v>
      </c>
      <c r="D1598" s="27">
        <f t="shared" si="139"/>
        <v>0.08</v>
      </c>
      <c r="E1598" s="29"/>
      <c r="F1598" s="1158" t="s">
        <v>14</v>
      </c>
      <c r="G1598" s="47"/>
      <c r="H1598" s="1"/>
      <c r="I1598" s="1"/>
      <c r="J1598" s="1"/>
      <c r="K1598" s="1"/>
      <c r="L1598" s="1"/>
      <c r="M1598" s="1"/>
      <c r="N1598" s="1"/>
      <c r="O1598" s="1"/>
      <c r="P1598" s="1"/>
      <c r="Q1598" s="1"/>
      <c r="R1598" s="1"/>
      <c r="S1598" s="1"/>
    </row>
    <row r="1599" ht="14.25" customHeight="1">
      <c r="A1599" s="1"/>
      <c r="B1599" s="93" t="s">
        <v>103</v>
      </c>
      <c r="C1599" s="195">
        <v>0.1</v>
      </c>
      <c r="D1599" s="27">
        <f t="shared" si="139"/>
        <v>0.02</v>
      </c>
      <c r="E1599" s="29"/>
      <c r="F1599" s="1158" t="s">
        <v>14</v>
      </c>
      <c r="G1599" s="47"/>
      <c r="H1599" s="1"/>
      <c r="I1599" s="1"/>
      <c r="J1599" s="1"/>
      <c r="K1599" s="1"/>
      <c r="L1599" s="1"/>
      <c r="M1599" s="1"/>
      <c r="N1599" s="1"/>
      <c r="O1599" s="1"/>
      <c r="P1599" s="1"/>
      <c r="Q1599" s="1"/>
      <c r="R1599" s="1"/>
      <c r="S1599" s="1"/>
    </row>
    <row r="1600" ht="14.25" customHeight="1">
      <c r="A1600" s="1"/>
      <c r="B1600" s="93" t="s">
        <v>2692</v>
      </c>
      <c r="C1600" s="195">
        <v>0.9</v>
      </c>
      <c r="D1600" s="195">
        <f t="shared" si="139"/>
        <v>0.18</v>
      </c>
      <c r="E1600" s="196"/>
      <c r="F1600" s="1158" t="s">
        <v>14</v>
      </c>
      <c r="G1600" s="47"/>
      <c r="H1600" s="1"/>
      <c r="I1600" s="1"/>
      <c r="J1600" s="1"/>
      <c r="K1600" s="1"/>
      <c r="L1600" s="1"/>
      <c r="M1600" s="1"/>
      <c r="N1600" s="1"/>
      <c r="O1600" s="1"/>
      <c r="P1600" s="1"/>
      <c r="Q1600" s="1"/>
      <c r="R1600" s="1"/>
      <c r="S1600" s="1"/>
    </row>
    <row r="1601" ht="14.25" customHeight="1">
      <c r="A1601" s="1"/>
      <c r="B1601" s="93" t="s">
        <v>52</v>
      </c>
      <c r="C1601" s="195">
        <v>0.15</v>
      </c>
      <c r="D1601" s="27">
        <f t="shared" si="139"/>
        <v>0.03</v>
      </c>
      <c r="E1601" s="29"/>
      <c r="F1601" s="1158" t="s">
        <v>14</v>
      </c>
      <c r="G1601" s="47"/>
      <c r="H1601" s="1"/>
      <c r="I1601" s="1"/>
      <c r="J1601" s="1"/>
      <c r="K1601" s="1"/>
      <c r="L1601" s="1"/>
      <c r="M1601" s="1"/>
      <c r="N1601" s="1"/>
      <c r="O1601" s="1"/>
      <c r="P1601" s="1"/>
      <c r="Q1601" s="1"/>
      <c r="R1601" s="1"/>
      <c r="S1601" s="1"/>
    </row>
    <row r="1602" ht="14.25" customHeight="1">
      <c r="A1602" s="1"/>
      <c r="B1602" s="93" t="s">
        <v>527</v>
      </c>
      <c r="C1602" s="195">
        <v>2.5</v>
      </c>
      <c r="D1602" s="27">
        <f t="shared" si="139"/>
        <v>0.5</v>
      </c>
      <c r="E1602" s="29"/>
      <c r="F1602" s="1158" t="s">
        <v>526</v>
      </c>
      <c r="G1602" s="47"/>
      <c r="H1602" s="1"/>
      <c r="I1602" s="1"/>
      <c r="J1602" s="1"/>
      <c r="K1602" s="1"/>
      <c r="L1602" s="1"/>
      <c r="M1602" s="1"/>
      <c r="N1602" s="1"/>
      <c r="O1602" s="1"/>
      <c r="P1602" s="1"/>
      <c r="Q1602" s="1"/>
      <c r="R1602" s="1"/>
      <c r="S1602" s="1"/>
    </row>
    <row r="1603" ht="14.25" customHeight="1">
      <c r="A1603" s="1"/>
      <c r="B1603" s="93" t="s">
        <v>79</v>
      </c>
      <c r="C1603" s="195">
        <v>5.0</v>
      </c>
      <c r="D1603" s="27">
        <f>(C1603*D1601)/C1601</f>
        <v>1</v>
      </c>
      <c r="E1603" s="29"/>
      <c r="F1603" s="1158" t="s">
        <v>14</v>
      </c>
      <c r="G1603" s="47"/>
      <c r="H1603" s="1"/>
      <c r="I1603" s="1"/>
      <c r="J1603" s="1"/>
      <c r="K1603" s="1"/>
      <c r="L1603" s="1"/>
      <c r="M1603" s="1"/>
      <c r="N1603" s="1"/>
      <c r="O1603" s="1"/>
      <c r="P1603" s="1"/>
      <c r="Q1603" s="1"/>
      <c r="R1603" s="1"/>
      <c r="S1603" s="1"/>
    </row>
    <row r="1604" ht="14.25" customHeight="1">
      <c r="A1604" s="1"/>
      <c r="B1604" s="105" t="s">
        <v>31</v>
      </c>
      <c r="C1604" s="200">
        <v>150.0</v>
      </c>
      <c r="D1604" s="236">
        <f>(C1604*D1603)/C1603</f>
        <v>30</v>
      </c>
      <c r="E1604" s="237"/>
      <c r="F1604" s="1182" t="s">
        <v>18</v>
      </c>
      <c r="G1604" s="47"/>
      <c r="H1604" s="1"/>
      <c r="I1604" s="1"/>
      <c r="J1604" s="1"/>
      <c r="K1604" s="1"/>
      <c r="L1604" s="1"/>
      <c r="M1604" s="1"/>
      <c r="N1604" s="1"/>
      <c r="O1604" s="1"/>
      <c r="P1604" s="1"/>
      <c r="Q1604" s="1"/>
      <c r="R1604" s="1"/>
      <c r="S1604" s="1"/>
    </row>
    <row r="1605" ht="14.25" customHeight="1">
      <c r="A1605" s="1"/>
      <c r="B1605" s="119" t="s">
        <v>2135</v>
      </c>
      <c r="C1605" s="238">
        <v>25.0</v>
      </c>
      <c r="D1605" s="244">
        <f t="shared" ref="D1605:D1606" si="140">(C1605*D1600)/C1600</f>
        <v>5</v>
      </c>
      <c r="E1605" s="246"/>
      <c r="F1605" s="1184" t="s">
        <v>18</v>
      </c>
      <c r="G1605" s="76"/>
      <c r="H1605" s="1"/>
      <c r="I1605" s="1"/>
      <c r="J1605" s="1"/>
      <c r="K1605" s="1"/>
      <c r="L1605" s="1"/>
      <c r="M1605" s="1"/>
      <c r="N1605" s="1"/>
      <c r="O1605" s="1"/>
      <c r="P1605" s="1"/>
      <c r="Q1605" s="1"/>
      <c r="R1605" s="1"/>
      <c r="S1605" s="1"/>
    </row>
    <row r="1606" ht="14.25" customHeight="1">
      <c r="A1606" s="1"/>
      <c r="B1606" s="93" t="s">
        <v>3635</v>
      </c>
      <c r="C1606" s="195">
        <v>25.0</v>
      </c>
      <c r="D1606" s="27">
        <f t="shared" si="140"/>
        <v>5</v>
      </c>
      <c r="E1606" s="29"/>
      <c r="F1606" s="1158" t="s">
        <v>18</v>
      </c>
      <c r="G1606" s="1"/>
      <c r="H1606" s="1"/>
      <c r="I1606" s="1"/>
      <c r="J1606" s="1"/>
      <c r="K1606" s="1"/>
      <c r="L1606" s="1"/>
      <c r="M1606" s="1"/>
      <c r="N1606" s="1"/>
      <c r="O1606" s="1"/>
      <c r="P1606" s="1"/>
      <c r="Q1606" s="1"/>
      <c r="R1606" s="1"/>
      <c r="S1606" s="1"/>
    </row>
    <row r="1607" ht="14.25" customHeight="1">
      <c r="A1607" s="1"/>
      <c r="B1607" s="93" t="s">
        <v>1027</v>
      </c>
      <c r="C1607" s="195">
        <v>35.0</v>
      </c>
      <c r="D1607" s="27">
        <f t="shared" ref="D1607:D1610" si="141">(C1607*D1603)/C1603</f>
        <v>7</v>
      </c>
      <c r="E1607" s="29"/>
      <c r="F1607" s="1158" t="s">
        <v>18</v>
      </c>
      <c r="G1607" s="1"/>
      <c r="H1607" s="1"/>
      <c r="I1607" s="1"/>
      <c r="J1607" s="1"/>
      <c r="K1607" s="1"/>
      <c r="L1607" s="1"/>
      <c r="M1607" s="1"/>
      <c r="N1607" s="1"/>
      <c r="O1607" s="1"/>
      <c r="P1607" s="1"/>
      <c r="Q1607" s="1"/>
      <c r="R1607" s="1"/>
      <c r="S1607" s="1"/>
    </row>
    <row r="1608" ht="14.25" customHeight="1">
      <c r="A1608" s="1"/>
      <c r="B1608" s="93" t="s">
        <v>288</v>
      </c>
      <c r="C1608" s="195">
        <v>25.0</v>
      </c>
      <c r="D1608" s="27">
        <f t="shared" si="141"/>
        <v>5</v>
      </c>
      <c r="E1608" s="29"/>
      <c r="F1608" s="1158" t="s">
        <v>18</v>
      </c>
      <c r="G1608" s="1"/>
      <c r="H1608" s="1"/>
      <c r="I1608" s="1"/>
      <c r="J1608" s="1"/>
      <c r="K1608" s="1"/>
      <c r="L1608" s="1"/>
      <c r="M1608" s="1"/>
      <c r="N1608" s="1"/>
      <c r="O1608" s="1"/>
      <c r="P1608" s="1"/>
      <c r="Q1608" s="1"/>
      <c r="R1608" s="1"/>
      <c r="S1608" s="1"/>
    </row>
    <row r="1609" ht="14.25" customHeight="1">
      <c r="A1609" s="1"/>
      <c r="B1609" s="138" t="s">
        <v>3636</v>
      </c>
      <c r="C1609" s="195">
        <v>20.0</v>
      </c>
      <c r="D1609" s="27">
        <f t="shared" si="141"/>
        <v>4</v>
      </c>
      <c r="E1609" s="29"/>
      <c r="F1609" s="1158" t="s">
        <v>18</v>
      </c>
      <c r="G1609" s="1"/>
      <c r="H1609" s="1"/>
      <c r="I1609" s="1"/>
      <c r="J1609" s="1"/>
      <c r="K1609" s="1"/>
      <c r="L1609" s="1"/>
      <c r="M1609" s="1"/>
      <c r="N1609" s="1"/>
      <c r="O1609" s="1"/>
      <c r="P1609" s="1"/>
      <c r="Q1609" s="1"/>
      <c r="R1609" s="1"/>
      <c r="S1609" s="1"/>
    </row>
    <row r="1610" ht="14.25" customHeight="1">
      <c r="A1610" s="1"/>
      <c r="B1610" s="105" t="s">
        <v>2693</v>
      </c>
      <c r="C1610" s="200">
        <v>5.0</v>
      </c>
      <c r="D1610" s="236">
        <f t="shared" si="141"/>
        <v>1</v>
      </c>
      <c r="E1610" s="237"/>
      <c r="F1610" s="1182" t="s">
        <v>526</v>
      </c>
      <c r="G1610" s="1"/>
      <c r="H1610" s="1"/>
      <c r="I1610" s="1"/>
      <c r="J1610" s="1"/>
      <c r="K1610" s="1"/>
      <c r="L1610" s="1"/>
      <c r="M1610" s="1"/>
      <c r="N1610" s="1"/>
      <c r="O1610" s="1"/>
      <c r="P1610" s="1"/>
      <c r="Q1610" s="1"/>
      <c r="R1610" s="1"/>
      <c r="S1610" s="1"/>
    </row>
    <row r="1611" ht="14.25" customHeight="1">
      <c r="A1611" s="1"/>
      <c r="B1611" s="2325" t="s">
        <v>186</v>
      </c>
      <c r="C1611" s="2326"/>
      <c r="D1611" s="2326">
        <v>43492.0</v>
      </c>
      <c r="E1611" s="3152"/>
      <c r="F1611" s="107"/>
      <c r="G1611" s="1"/>
      <c r="H1611" s="1"/>
      <c r="I1611" s="1"/>
      <c r="J1611" s="1"/>
      <c r="K1611" s="1"/>
      <c r="L1611" s="1"/>
      <c r="M1611" s="1"/>
      <c r="N1611" s="1"/>
      <c r="O1611" s="1"/>
      <c r="P1611" s="1"/>
      <c r="Q1611" s="1"/>
      <c r="R1611" s="1"/>
      <c r="S1611" s="1"/>
    </row>
    <row r="1612" ht="14.25" customHeight="1">
      <c r="A1612" s="1"/>
      <c r="B1612" s="664" t="s">
        <v>50</v>
      </c>
      <c r="C1612" s="2326"/>
      <c r="D1612" s="3162">
        <v>43559.0</v>
      </c>
      <c r="E1612" s="3163"/>
      <c r="F1612" s="107"/>
      <c r="G1612" s="1"/>
      <c r="H1612" s="1"/>
      <c r="I1612" s="1"/>
      <c r="J1612" s="1"/>
      <c r="K1612" s="1"/>
      <c r="L1612" s="1"/>
      <c r="M1612" s="1"/>
      <c r="N1612" s="1"/>
      <c r="O1612" s="1"/>
      <c r="P1612" s="1"/>
      <c r="Q1612" s="1"/>
      <c r="R1612" s="1"/>
      <c r="S1612" s="1"/>
    </row>
    <row r="1613" ht="14.25" customHeight="1">
      <c r="A1613" s="1"/>
      <c r="B1613" s="1"/>
      <c r="C1613" s="107"/>
      <c r="D1613" s="184"/>
      <c r="E1613" s="184"/>
      <c r="F1613" s="1"/>
      <c r="G1613" s="1"/>
      <c r="H1613" s="1"/>
      <c r="I1613" s="1"/>
      <c r="J1613" s="1"/>
      <c r="K1613" s="1"/>
      <c r="L1613" s="1"/>
      <c r="M1613" s="1"/>
      <c r="N1613" s="1"/>
      <c r="O1613" s="1"/>
      <c r="P1613" s="1"/>
      <c r="Q1613" s="1"/>
      <c r="R1613" s="1"/>
      <c r="S1613" s="1"/>
    </row>
    <row r="1614" ht="14.25" customHeight="1">
      <c r="A1614" s="1"/>
      <c r="B1614" s="1"/>
      <c r="C1614" s="107"/>
      <c r="D1614" s="184"/>
      <c r="E1614" s="184"/>
      <c r="F1614" s="1"/>
      <c r="G1614" s="1"/>
      <c r="H1614" s="1"/>
      <c r="I1614" s="1"/>
      <c r="J1614" s="1"/>
      <c r="K1614" s="1"/>
      <c r="L1614" s="1"/>
      <c r="M1614" s="1"/>
      <c r="N1614" s="1"/>
      <c r="O1614" s="1"/>
      <c r="P1614" s="1"/>
      <c r="Q1614" s="1"/>
      <c r="R1614" s="1"/>
      <c r="S1614" s="1"/>
    </row>
    <row r="1615" ht="14.25" customHeight="1">
      <c r="A1615" s="1"/>
      <c r="B1615" s="2275" t="s">
        <v>119</v>
      </c>
      <c r="C1615" s="107"/>
      <c r="D1615" s="184"/>
      <c r="E1615" s="184"/>
      <c r="F1615" s="1"/>
      <c r="G1615" s="1"/>
      <c r="H1615" s="1"/>
      <c r="I1615" s="1"/>
      <c r="J1615" s="1"/>
      <c r="K1615" s="1"/>
      <c r="L1615" s="1"/>
      <c r="M1615" s="1"/>
      <c r="N1615" s="1"/>
      <c r="O1615" s="1"/>
      <c r="P1615" s="1"/>
      <c r="Q1615" s="1"/>
      <c r="R1615" s="1"/>
      <c r="S1615" s="1"/>
    </row>
    <row r="1616" ht="14.25" customHeight="1">
      <c r="A1616" s="1"/>
      <c r="B1616" s="1"/>
      <c r="C1616" s="107"/>
      <c r="D1616" s="184"/>
      <c r="E1616" s="184"/>
      <c r="F1616" s="1"/>
      <c r="G1616" s="1"/>
      <c r="H1616" s="1"/>
      <c r="I1616" s="1"/>
      <c r="J1616" s="1"/>
      <c r="K1616" s="1"/>
      <c r="L1616" s="1"/>
      <c r="M1616" s="1"/>
      <c r="N1616" s="1"/>
      <c r="O1616" s="1"/>
      <c r="P1616" s="1"/>
      <c r="Q1616" s="1"/>
      <c r="R1616" s="1"/>
      <c r="S1616" s="1"/>
    </row>
    <row r="1617" ht="14.25" customHeight="1">
      <c r="A1617" s="1"/>
      <c r="B1617" s="1"/>
      <c r="C1617" s="107"/>
      <c r="D1617" s="184"/>
      <c r="E1617" s="184"/>
      <c r="F1617" s="1"/>
      <c r="G1617" s="1"/>
      <c r="H1617" s="1"/>
      <c r="I1617" s="1"/>
      <c r="J1617" s="1"/>
      <c r="K1617" s="1"/>
      <c r="L1617" s="1"/>
      <c r="M1617" s="1"/>
      <c r="N1617" s="1"/>
      <c r="O1617" s="1"/>
      <c r="P1617" s="1"/>
      <c r="Q1617" s="1"/>
      <c r="R1617" s="1"/>
      <c r="S1617" s="1"/>
    </row>
    <row r="1618" ht="14.25" customHeight="1">
      <c r="A1618" s="1"/>
      <c r="B1618" s="1"/>
      <c r="C1618" s="107"/>
      <c r="D1618" s="184"/>
      <c r="E1618" s="184"/>
      <c r="F1618" s="1"/>
      <c r="G1618" s="1"/>
      <c r="H1618" s="1"/>
      <c r="I1618" s="1"/>
      <c r="J1618" s="1"/>
      <c r="K1618" s="1"/>
      <c r="L1618" s="1"/>
      <c r="M1618" s="1"/>
      <c r="N1618" s="1"/>
      <c r="O1618" s="1"/>
      <c r="P1618" s="1"/>
      <c r="Q1618" s="1"/>
      <c r="R1618" s="1"/>
      <c r="S1618" s="1"/>
    </row>
    <row r="1619" ht="14.25" customHeight="1">
      <c r="A1619" s="1"/>
      <c r="B1619" s="2997" t="s">
        <v>998</v>
      </c>
      <c r="C1619" s="2998"/>
      <c r="D1619" s="2998"/>
      <c r="E1619" s="2998"/>
      <c r="F1619" s="2999"/>
      <c r="G1619" s="1"/>
      <c r="H1619" s="1"/>
      <c r="I1619" s="1"/>
      <c r="J1619" s="1"/>
      <c r="K1619" s="1"/>
      <c r="L1619" s="1"/>
      <c r="M1619" s="1"/>
      <c r="N1619" s="1"/>
      <c r="O1619" s="1"/>
      <c r="P1619" s="1"/>
      <c r="Q1619" s="1"/>
      <c r="R1619" s="1"/>
      <c r="S1619" s="1"/>
    </row>
    <row r="1620" ht="14.25" customHeight="1">
      <c r="A1620" s="1"/>
      <c r="B1620" s="3000" t="s">
        <v>1</v>
      </c>
      <c r="C1620" s="3001">
        <v>30.0</v>
      </c>
      <c r="D1620" s="3164">
        <v>90.0</v>
      </c>
      <c r="E1620" s="3165"/>
      <c r="F1620" s="3002" t="s">
        <v>190</v>
      </c>
      <c r="G1620" s="1270" t="s">
        <v>3637</v>
      </c>
      <c r="H1620" s="1"/>
      <c r="I1620" s="1"/>
      <c r="J1620" s="1"/>
      <c r="K1620" s="1"/>
      <c r="L1620" s="1"/>
      <c r="M1620" s="1"/>
      <c r="N1620" s="1"/>
      <c r="O1620" s="1"/>
      <c r="P1620" s="1"/>
      <c r="Q1620" s="1"/>
      <c r="R1620" s="1"/>
      <c r="S1620" s="1"/>
    </row>
    <row r="1621" ht="14.25" customHeight="1">
      <c r="A1621" s="1"/>
      <c r="B1621" s="3166" t="s">
        <v>3638</v>
      </c>
      <c r="C1621" s="316">
        <v>4.0</v>
      </c>
      <c r="D1621" s="316">
        <f t="shared" ref="D1621:D1622" si="142">(C1621*D1620)/C1620</f>
        <v>12</v>
      </c>
      <c r="E1621" s="2091"/>
      <c r="F1621" s="772" t="s">
        <v>14</v>
      </c>
      <c r="G1621" s="1100" t="s">
        <v>3639</v>
      </c>
      <c r="H1621" s="1"/>
      <c r="I1621" s="1"/>
      <c r="J1621" s="1"/>
      <c r="K1621" s="1"/>
      <c r="L1621" s="1"/>
      <c r="M1621" s="1"/>
      <c r="N1621" s="1"/>
      <c r="O1621" s="1"/>
      <c r="P1621" s="1"/>
      <c r="Q1621" s="1"/>
      <c r="R1621" s="1"/>
      <c r="S1621" s="1"/>
    </row>
    <row r="1622" ht="14.25" customHeight="1">
      <c r="A1622" s="1"/>
      <c r="B1622" s="3167" t="s">
        <v>3640</v>
      </c>
      <c r="C1622" s="321">
        <v>3.0</v>
      </c>
      <c r="D1622" s="321">
        <f t="shared" si="142"/>
        <v>9</v>
      </c>
      <c r="E1622" s="2095"/>
      <c r="F1622" s="769" t="s">
        <v>14</v>
      </c>
      <c r="G1622" s="47"/>
      <c r="H1622" s="1"/>
      <c r="I1622" s="1"/>
      <c r="J1622" s="1"/>
      <c r="K1622" s="1"/>
      <c r="L1622" s="1"/>
      <c r="M1622" s="1"/>
      <c r="N1622" s="1"/>
      <c r="O1622" s="1"/>
      <c r="P1622" s="1"/>
      <c r="Q1622" s="1"/>
      <c r="R1622" s="1"/>
      <c r="S1622" s="1"/>
    </row>
    <row r="1623" ht="14.25" customHeight="1">
      <c r="A1623" s="1"/>
      <c r="B1623" s="3167" t="s">
        <v>3641</v>
      </c>
      <c r="C1623" s="321">
        <v>4.0</v>
      </c>
      <c r="D1623" s="321">
        <f t="shared" ref="D1623:D1625" si="143">(C1623*D1621)/C1621</f>
        <v>12</v>
      </c>
      <c r="E1623" s="2095"/>
      <c r="F1623" s="769" t="s">
        <v>14</v>
      </c>
      <c r="G1623" s="47"/>
      <c r="H1623" s="1"/>
      <c r="I1623" s="1"/>
      <c r="J1623" s="1"/>
      <c r="K1623" s="1"/>
      <c r="L1623" s="1"/>
      <c r="M1623" s="1"/>
      <c r="N1623" s="1"/>
      <c r="O1623" s="1"/>
      <c r="P1623" s="1"/>
      <c r="Q1623" s="1"/>
      <c r="R1623" s="1"/>
      <c r="S1623" s="1"/>
    </row>
    <row r="1624" ht="14.25" customHeight="1">
      <c r="A1624" s="1"/>
      <c r="B1624" s="3167" t="s">
        <v>3642</v>
      </c>
      <c r="C1624" s="321">
        <v>4.0</v>
      </c>
      <c r="D1624" s="321">
        <f t="shared" si="143"/>
        <v>12</v>
      </c>
      <c r="E1624" s="2095"/>
      <c r="F1624" s="769" t="s">
        <v>14</v>
      </c>
      <c r="G1624" s="47"/>
      <c r="H1624" s="1"/>
      <c r="I1624" s="1"/>
      <c r="J1624" s="1"/>
      <c r="K1624" s="1"/>
      <c r="L1624" s="1"/>
      <c r="M1624" s="1"/>
      <c r="N1624" s="1"/>
      <c r="O1624" s="1"/>
      <c r="P1624" s="1"/>
      <c r="Q1624" s="1"/>
      <c r="R1624" s="1"/>
      <c r="S1624" s="1"/>
    </row>
    <row r="1625" ht="14.25" customHeight="1">
      <c r="A1625" s="1"/>
      <c r="B1625" s="3167" t="s">
        <v>3643</v>
      </c>
      <c r="C1625" s="321">
        <v>2.5</v>
      </c>
      <c r="D1625" s="321">
        <f t="shared" si="143"/>
        <v>7.5</v>
      </c>
      <c r="E1625" s="2095"/>
      <c r="F1625" s="769" t="s">
        <v>14</v>
      </c>
      <c r="G1625" s="47"/>
      <c r="H1625" s="1"/>
      <c r="I1625" s="1"/>
      <c r="J1625" s="1"/>
      <c r="K1625" s="1"/>
      <c r="L1625" s="1"/>
      <c r="M1625" s="1"/>
      <c r="N1625" s="1"/>
      <c r="O1625" s="1"/>
      <c r="P1625" s="1"/>
      <c r="Q1625" s="1"/>
      <c r="R1625" s="1"/>
      <c r="S1625" s="1"/>
    </row>
    <row r="1626" ht="19.5" customHeight="1">
      <c r="A1626" s="1"/>
      <c r="B1626" s="3167" t="s">
        <v>3644</v>
      </c>
      <c r="C1626" s="321">
        <v>3.0</v>
      </c>
      <c r="D1626" s="321">
        <f t="shared" ref="D1626:D1627" si="144">(C1626*D1625)/C1625</f>
        <v>9</v>
      </c>
      <c r="E1626" s="2095"/>
      <c r="F1626" s="769" t="s">
        <v>14</v>
      </c>
      <c r="G1626" s="47"/>
      <c r="H1626" s="1"/>
      <c r="I1626" s="1"/>
      <c r="J1626" s="1"/>
      <c r="K1626" s="1"/>
      <c r="L1626" s="1"/>
      <c r="M1626" s="1"/>
      <c r="N1626" s="1"/>
      <c r="O1626" s="1"/>
      <c r="P1626" s="1"/>
      <c r="Q1626" s="1"/>
      <c r="R1626" s="1"/>
      <c r="S1626" s="1"/>
    </row>
    <row r="1627" ht="15.75" customHeight="1">
      <c r="A1627" s="1"/>
      <c r="B1627" s="3168" t="s">
        <v>2203</v>
      </c>
      <c r="C1627" s="318">
        <v>1.0</v>
      </c>
      <c r="D1627" s="318">
        <f t="shared" si="144"/>
        <v>3</v>
      </c>
      <c r="E1627" s="2109"/>
      <c r="F1627" s="775" t="s">
        <v>14</v>
      </c>
      <c r="G1627" s="76"/>
      <c r="H1627" s="1"/>
      <c r="I1627" s="1"/>
      <c r="J1627" s="1"/>
      <c r="K1627" s="1"/>
      <c r="L1627" s="1"/>
      <c r="M1627" s="1"/>
      <c r="N1627" s="1"/>
      <c r="O1627" s="1"/>
      <c r="P1627" s="1"/>
      <c r="Q1627" s="1"/>
      <c r="R1627" s="1"/>
      <c r="S1627" s="1"/>
    </row>
    <row r="1628" ht="15.0" customHeight="1">
      <c r="A1628" s="1"/>
      <c r="B1628" s="3169" t="s">
        <v>491</v>
      </c>
      <c r="C1628" s="839">
        <v>0.5</v>
      </c>
      <c r="D1628" s="839">
        <f t="shared" ref="D1628:D1631" si="145">(C1628*D1625)/C1625</f>
        <v>1.5</v>
      </c>
      <c r="E1628" s="2110"/>
      <c r="F1628" s="3170" t="s">
        <v>5</v>
      </c>
      <c r="G1628" s="1100" t="s">
        <v>3645</v>
      </c>
      <c r="H1628" s="1"/>
      <c r="I1628" s="1"/>
      <c r="J1628" s="1"/>
      <c r="K1628" s="1"/>
      <c r="L1628" s="1"/>
      <c r="M1628" s="1"/>
      <c r="N1628" s="1"/>
      <c r="O1628" s="1"/>
      <c r="P1628" s="1"/>
      <c r="Q1628" s="1"/>
      <c r="R1628" s="1"/>
      <c r="S1628" s="1"/>
    </row>
    <row r="1629" ht="15.0" customHeight="1">
      <c r="A1629" s="1"/>
      <c r="B1629" s="3169" t="s">
        <v>95</v>
      </c>
      <c r="C1629" s="839">
        <v>25.0</v>
      </c>
      <c r="D1629" s="839">
        <f t="shared" si="145"/>
        <v>75</v>
      </c>
      <c r="E1629" s="2110"/>
      <c r="F1629" s="3170" t="s">
        <v>18</v>
      </c>
      <c r="G1629" s="47"/>
      <c r="H1629" s="1"/>
      <c r="I1629" s="1"/>
      <c r="J1629" s="1"/>
      <c r="K1629" s="1"/>
      <c r="L1629" s="1"/>
      <c r="M1629" s="1"/>
      <c r="N1629" s="1"/>
      <c r="O1629" s="1"/>
      <c r="P1629" s="1"/>
      <c r="Q1629" s="1"/>
      <c r="R1629" s="1"/>
      <c r="S1629" s="1"/>
    </row>
    <row r="1630" ht="15.0" customHeight="1">
      <c r="A1630" s="1"/>
      <c r="B1630" s="3169" t="s">
        <v>2706</v>
      </c>
      <c r="C1630" s="839">
        <v>5.0</v>
      </c>
      <c r="D1630" s="839">
        <f t="shared" si="145"/>
        <v>15</v>
      </c>
      <c r="E1630" s="2110"/>
      <c r="F1630" s="3170" t="s">
        <v>3646</v>
      </c>
      <c r="G1630" s="47"/>
      <c r="H1630" s="1"/>
      <c r="I1630" s="1"/>
      <c r="J1630" s="1"/>
      <c r="K1630" s="1"/>
      <c r="L1630" s="1"/>
      <c r="M1630" s="1"/>
      <c r="N1630" s="1"/>
      <c r="O1630" s="1"/>
      <c r="P1630" s="1"/>
      <c r="Q1630" s="1"/>
      <c r="R1630" s="1"/>
      <c r="S1630" s="1"/>
    </row>
    <row r="1631" ht="15.0" customHeight="1">
      <c r="A1631" s="1"/>
      <c r="B1631" s="3169" t="s">
        <v>3647</v>
      </c>
      <c r="C1631" s="839">
        <v>100.0</v>
      </c>
      <c r="D1631" s="839">
        <f t="shared" si="145"/>
        <v>300</v>
      </c>
      <c r="E1631" s="2110"/>
      <c r="F1631" s="3170" t="s">
        <v>18</v>
      </c>
      <c r="G1631" s="47"/>
      <c r="H1631" s="1"/>
      <c r="I1631" s="1"/>
      <c r="J1631" s="1"/>
      <c r="K1631" s="1"/>
      <c r="L1631" s="1"/>
      <c r="M1631" s="1"/>
      <c r="N1631" s="1"/>
      <c r="O1631" s="1"/>
      <c r="P1631" s="1"/>
      <c r="Q1631" s="1"/>
      <c r="R1631" s="1"/>
      <c r="S1631" s="1"/>
    </row>
    <row r="1632" ht="15.0" customHeight="1">
      <c r="A1632" s="1"/>
      <c r="B1632" s="1142" t="s">
        <v>3648</v>
      </c>
      <c r="C1632" s="321">
        <v>10.0</v>
      </c>
      <c r="D1632" s="321">
        <f>(C1632*D1630)/C1630</f>
        <v>30</v>
      </c>
      <c r="E1632" s="2095"/>
      <c r="F1632" s="3171" t="s">
        <v>1197</v>
      </c>
      <c r="G1632" s="47"/>
      <c r="H1632" s="1"/>
      <c r="I1632" s="1"/>
      <c r="J1632" s="1"/>
      <c r="K1632" s="1"/>
      <c r="L1632" s="1"/>
      <c r="M1632" s="1"/>
      <c r="N1632" s="1"/>
      <c r="O1632" s="1"/>
      <c r="P1632" s="1"/>
      <c r="Q1632" s="1"/>
      <c r="R1632" s="1"/>
      <c r="S1632" s="1"/>
    </row>
    <row r="1633" ht="15.0" customHeight="1">
      <c r="A1633" s="1"/>
      <c r="B1633" s="1142" t="s">
        <v>3649</v>
      </c>
      <c r="C1633" s="321">
        <v>250.0</v>
      </c>
      <c r="D1633" s="321">
        <f t="shared" ref="D1633:D1634" si="146">(C1633*D1632)/C1632</f>
        <v>750</v>
      </c>
      <c r="E1633" s="2095"/>
      <c r="F1633" s="3171" t="s">
        <v>18</v>
      </c>
      <c r="G1633" s="47"/>
      <c r="H1633" s="1"/>
      <c r="I1633" s="1"/>
      <c r="J1633" s="1"/>
      <c r="K1633" s="1"/>
      <c r="L1633" s="1"/>
      <c r="M1633" s="1"/>
      <c r="N1633" s="1"/>
      <c r="O1633" s="1"/>
      <c r="P1633" s="1"/>
      <c r="Q1633" s="1"/>
      <c r="R1633" s="1"/>
      <c r="S1633" s="1"/>
    </row>
    <row r="1634" ht="15.0" customHeight="1">
      <c r="A1634" s="1"/>
      <c r="B1634" s="1142" t="s">
        <v>746</v>
      </c>
      <c r="C1634" s="321">
        <v>250.0</v>
      </c>
      <c r="D1634" s="321">
        <f t="shared" si="146"/>
        <v>750</v>
      </c>
      <c r="E1634" s="2095"/>
      <c r="F1634" s="3171" t="s">
        <v>1364</v>
      </c>
      <c r="G1634" s="47"/>
      <c r="H1634" s="1"/>
      <c r="I1634" s="1"/>
      <c r="J1634" s="1"/>
      <c r="K1634" s="1"/>
      <c r="L1634" s="1"/>
      <c r="M1634" s="1"/>
      <c r="N1634" s="1"/>
      <c r="O1634" s="1"/>
      <c r="P1634" s="1"/>
      <c r="Q1634" s="1"/>
      <c r="R1634" s="1"/>
      <c r="S1634" s="1"/>
    </row>
    <row r="1635" ht="15.0" customHeight="1">
      <c r="A1635" s="1"/>
      <c r="B1635" s="1142" t="s">
        <v>3640</v>
      </c>
      <c r="C1635" s="321">
        <v>1.0</v>
      </c>
      <c r="D1635" s="321">
        <f t="shared" ref="D1635:D1640" si="147">(C1635*D1633)/C1633</f>
        <v>3</v>
      </c>
      <c r="E1635" s="2095"/>
      <c r="F1635" s="3171" t="s">
        <v>366</v>
      </c>
      <c r="G1635" s="47"/>
      <c r="H1635" s="1"/>
      <c r="I1635" s="1"/>
      <c r="J1635" s="1"/>
      <c r="K1635" s="1"/>
      <c r="L1635" s="1"/>
      <c r="M1635" s="1"/>
      <c r="N1635" s="1"/>
      <c r="O1635" s="1"/>
      <c r="P1635" s="1"/>
      <c r="Q1635" s="1"/>
      <c r="R1635" s="1"/>
      <c r="S1635" s="1"/>
    </row>
    <row r="1636" ht="15.0" customHeight="1">
      <c r="A1636" s="1"/>
      <c r="B1636" s="1142" t="s">
        <v>3650</v>
      </c>
      <c r="C1636" s="321">
        <v>5.0</v>
      </c>
      <c r="D1636" s="321">
        <f t="shared" si="147"/>
        <v>15</v>
      </c>
      <c r="E1636" s="2095"/>
      <c r="F1636" s="3171" t="s">
        <v>366</v>
      </c>
      <c r="G1636" s="47"/>
      <c r="H1636" s="1"/>
      <c r="I1636" s="1"/>
      <c r="J1636" s="1"/>
      <c r="K1636" s="1"/>
      <c r="L1636" s="1"/>
      <c r="M1636" s="1"/>
      <c r="N1636" s="1"/>
      <c r="O1636" s="1"/>
      <c r="P1636" s="1"/>
      <c r="Q1636" s="1"/>
      <c r="R1636" s="1"/>
      <c r="S1636" s="1"/>
    </row>
    <row r="1637" ht="15.75" customHeight="1">
      <c r="A1637" s="1"/>
      <c r="B1637" s="1142" t="s">
        <v>2589</v>
      </c>
      <c r="C1637" s="321">
        <v>200.0</v>
      </c>
      <c r="D1637" s="321">
        <f t="shared" si="147"/>
        <v>600</v>
      </c>
      <c r="E1637" s="2095"/>
      <c r="F1637" s="3171" t="s">
        <v>18</v>
      </c>
      <c r="G1637" s="47"/>
      <c r="H1637" s="1"/>
      <c r="I1637" s="1"/>
      <c r="J1637" s="1"/>
      <c r="K1637" s="1"/>
      <c r="L1637" s="1"/>
      <c r="M1637" s="1"/>
      <c r="N1637" s="1"/>
      <c r="O1637" s="1"/>
      <c r="P1637" s="1"/>
      <c r="Q1637" s="1"/>
      <c r="R1637" s="1"/>
      <c r="S1637" s="1"/>
    </row>
    <row r="1638" ht="15.0" customHeight="1">
      <c r="A1638" s="1"/>
      <c r="B1638" s="1142" t="s">
        <v>391</v>
      </c>
      <c r="C1638" s="321">
        <v>50.0</v>
      </c>
      <c r="D1638" s="321">
        <f t="shared" si="147"/>
        <v>150</v>
      </c>
      <c r="E1638" s="2095"/>
      <c r="F1638" s="3171" t="s">
        <v>18</v>
      </c>
      <c r="G1638" s="47"/>
      <c r="H1638" s="1"/>
      <c r="I1638" s="1"/>
      <c r="J1638" s="1"/>
      <c r="K1638" s="1"/>
      <c r="L1638" s="1"/>
      <c r="M1638" s="1"/>
      <c r="N1638" s="1"/>
      <c r="O1638" s="1"/>
      <c r="P1638" s="1"/>
      <c r="Q1638" s="1"/>
      <c r="R1638" s="1"/>
      <c r="S1638" s="1"/>
    </row>
    <row r="1639" ht="15.0" customHeight="1">
      <c r="A1639" s="1"/>
      <c r="B1639" s="1142" t="s">
        <v>2386</v>
      </c>
      <c r="C1639" s="321">
        <v>30.0</v>
      </c>
      <c r="D1639" s="321">
        <f t="shared" si="147"/>
        <v>90</v>
      </c>
      <c r="E1639" s="2095"/>
      <c r="F1639" s="3171" t="s">
        <v>18</v>
      </c>
      <c r="G1639" s="47"/>
      <c r="H1639" s="1"/>
      <c r="I1639" s="1"/>
      <c r="J1639" s="1"/>
      <c r="K1639" s="1"/>
      <c r="L1639" s="1"/>
      <c r="M1639" s="1"/>
      <c r="N1639" s="1"/>
      <c r="O1639" s="1"/>
      <c r="P1639" s="1"/>
      <c r="Q1639" s="1"/>
      <c r="R1639" s="1"/>
      <c r="S1639" s="1"/>
    </row>
    <row r="1640" ht="15.0" customHeight="1">
      <c r="A1640" s="1"/>
      <c r="B1640" s="1142" t="s">
        <v>112</v>
      </c>
      <c r="C1640" s="321">
        <v>30.0</v>
      </c>
      <c r="D1640" s="321">
        <f t="shared" si="147"/>
        <v>90</v>
      </c>
      <c r="E1640" s="2095"/>
      <c r="F1640" s="3171" t="s">
        <v>18</v>
      </c>
      <c r="G1640" s="76"/>
      <c r="H1640" s="1"/>
      <c r="I1640" s="1"/>
      <c r="J1640" s="1"/>
      <c r="K1640" s="1"/>
      <c r="L1640" s="1"/>
      <c r="M1640" s="1"/>
      <c r="N1640" s="1"/>
      <c r="O1640" s="1"/>
      <c r="P1640" s="1"/>
      <c r="Q1640" s="1"/>
      <c r="R1640" s="1"/>
      <c r="S1640" s="1"/>
    </row>
    <row r="1641" ht="15.0" customHeight="1">
      <c r="A1641" s="1"/>
      <c r="B1641" s="2325" t="s">
        <v>186</v>
      </c>
      <c r="C1641" s="2326"/>
      <c r="D1641" s="2326">
        <v>43403.0</v>
      </c>
      <c r="E1641" s="3152"/>
      <c r="F1641" s="1"/>
      <c r="G1641" s="1"/>
      <c r="H1641" s="1"/>
      <c r="I1641" s="1"/>
      <c r="J1641" s="1"/>
      <c r="K1641" s="1"/>
      <c r="L1641" s="1"/>
      <c r="M1641" s="1"/>
      <c r="N1641" s="1"/>
      <c r="O1641" s="1"/>
      <c r="P1641" s="1"/>
      <c r="Q1641" s="1"/>
      <c r="R1641" s="1"/>
      <c r="S1641" s="1"/>
    </row>
    <row r="1642" ht="15.75" customHeight="1">
      <c r="A1642" s="1"/>
      <c r="B1642" s="664" t="s">
        <v>50</v>
      </c>
      <c r="C1642" s="2326"/>
      <c r="D1642" s="2326">
        <v>43403.0</v>
      </c>
      <c r="E1642" s="3152"/>
      <c r="F1642" s="1"/>
      <c r="G1642" s="1"/>
      <c r="H1642" s="1"/>
      <c r="I1642" s="1"/>
      <c r="J1642" s="1"/>
      <c r="K1642" s="1"/>
      <c r="L1642" s="1"/>
      <c r="M1642" s="1"/>
      <c r="N1642" s="1"/>
      <c r="O1642" s="1"/>
      <c r="P1642" s="1"/>
      <c r="Q1642" s="1"/>
      <c r="R1642" s="1"/>
      <c r="S1642" s="1"/>
    </row>
    <row r="1643" ht="15.75" customHeight="1">
      <c r="A1643" s="1"/>
      <c r="B1643" s="1"/>
      <c r="C1643" s="1"/>
      <c r="D1643" s="1"/>
      <c r="E1643" s="1"/>
      <c r="F1643" s="1"/>
      <c r="G1643" s="1"/>
      <c r="H1643" s="1"/>
      <c r="I1643" s="1"/>
      <c r="J1643" s="1"/>
      <c r="K1643" s="1"/>
      <c r="L1643" s="1"/>
      <c r="M1643" s="1"/>
      <c r="N1643" s="1"/>
      <c r="O1643" s="1"/>
      <c r="P1643" s="1"/>
      <c r="Q1643" s="1"/>
      <c r="R1643" s="1"/>
      <c r="S1643" s="1"/>
    </row>
    <row r="1644" ht="15.75" customHeight="1">
      <c r="A1644" s="1"/>
      <c r="B1644" s="2275" t="s">
        <v>119</v>
      </c>
      <c r="C1644" s="107"/>
      <c r="D1644" s="184"/>
      <c r="E1644" s="184"/>
      <c r="F1644" s="1"/>
      <c r="G1644" s="1"/>
      <c r="H1644" s="1"/>
      <c r="I1644" s="1"/>
      <c r="J1644" s="1"/>
      <c r="K1644" s="1"/>
      <c r="L1644" s="1"/>
      <c r="M1644" s="1"/>
      <c r="N1644" s="1"/>
      <c r="O1644" s="1"/>
      <c r="P1644" s="1"/>
      <c r="Q1644" s="1"/>
      <c r="R1644" s="1"/>
      <c r="S1644" s="1"/>
    </row>
    <row r="1645" ht="15.0" customHeight="1">
      <c r="A1645" s="1"/>
      <c r="B1645" s="1"/>
      <c r="C1645" s="107"/>
      <c r="D1645" s="184"/>
      <c r="E1645" s="184"/>
      <c r="F1645" s="1"/>
      <c r="G1645" s="1"/>
      <c r="H1645" s="1"/>
      <c r="I1645" s="1"/>
      <c r="J1645" s="1"/>
      <c r="K1645" s="1"/>
      <c r="L1645" s="1"/>
      <c r="M1645" s="1"/>
      <c r="N1645" s="1"/>
      <c r="O1645" s="1"/>
      <c r="P1645" s="1"/>
      <c r="Q1645" s="1"/>
      <c r="R1645" s="1"/>
      <c r="S1645" s="1"/>
    </row>
    <row r="1646" ht="15.0" customHeight="1">
      <c r="A1646" s="1"/>
      <c r="B1646" s="1"/>
      <c r="C1646" s="107"/>
      <c r="D1646" s="184"/>
      <c r="E1646" s="184"/>
      <c r="F1646" s="1"/>
      <c r="G1646" s="1"/>
      <c r="H1646" s="1"/>
      <c r="I1646" s="1"/>
      <c r="J1646" s="1"/>
      <c r="K1646" s="1"/>
      <c r="L1646" s="1"/>
      <c r="M1646" s="1"/>
      <c r="N1646" s="1"/>
      <c r="O1646" s="1"/>
      <c r="P1646" s="1"/>
      <c r="Q1646" s="1"/>
      <c r="R1646" s="1"/>
      <c r="S1646" s="1"/>
    </row>
    <row r="1647" ht="14.25" customHeight="1">
      <c r="A1647" s="1"/>
      <c r="B1647" s="1"/>
      <c r="C1647" s="107"/>
      <c r="D1647" s="184"/>
      <c r="E1647" s="184"/>
      <c r="F1647" s="1"/>
      <c r="G1647" s="1"/>
      <c r="H1647" s="1"/>
      <c r="I1647" s="1"/>
      <c r="J1647" s="1"/>
      <c r="K1647" s="1"/>
      <c r="L1647" s="1"/>
      <c r="M1647" s="1"/>
      <c r="N1647" s="1"/>
      <c r="O1647" s="1"/>
      <c r="P1647" s="1"/>
      <c r="Q1647" s="1"/>
      <c r="R1647" s="1"/>
      <c r="S1647" s="1"/>
    </row>
    <row r="1648" ht="14.25" customHeight="1">
      <c r="A1648" s="1"/>
      <c r="B1648" s="1"/>
      <c r="C1648" s="107"/>
      <c r="D1648" s="107"/>
      <c r="E1648" s="107"/>
      <c r="F1648" s="107"/>
      <c r="G1648" s="1"/>
      <c r="H1648" s="1"/>
      <c r="I1648" s="1"/>
      <c r="J1648" s="1"/>
      <c r="K1648" s="1"/>
      <c r="L1648" s="1"/>
      <c r="M1648" s="1"/>
      <c r="N1648" s="1"/>
      <c r="O1648" s="1"/>
      <c r="P1648" s="1"/>
      <c r="Q1648" s="1"/>
      <c r="R1648" s="1"/>
      <c r="S1648" s="1"/>
    </row>
    <row r="1649" ht="14.25" customHeight="1">
      <c r="A1649" s="1"/>
      <c r="B1649" s="511" t="s">
        <v>1095</v>
      </c>
      <c r="C1649" s="18"/>
      <c r="D1649" s="18"/>
      <c r="E1649" s="18"/>
      <c r="F1649" s="19"/>
      <c r="G1649" s="1"/>
      <c r="H1649" s="511" t="s">
        <v>3651</v>
      </c>
      <c r="I1649" s="18"/>
      <c r="J1649" s="18"/>
      <c r="K1649" s="19"/>
      <c r="L1649" s="1"/>
      <c r="M1649" s="1"/>
      <c r="N1649" s="1"/>
      <c r="O1649" s="1"/>
      <c r="P1649" s="1"/>
      <c r="Q1649" s="1"/>
      <c r="R1649" s="1"/>
      <c r="S1649" s="1"/>
    </row>
    <row r="1650" ht="14.25" customHeight="1">
      <c r="A1650" s="1"/>
      <c r="B1650" s="51" t="s">
        <v>1</v>
      </c>
      <c r="C1650" s="190">
        <v>10.0</v>
      </c>
      <c r="D1650" s="513">
        <v>15.0</v>
      </c>
      <c r="E1650" s="1576"/>
      <c r="F1650" s="514" t="s">
        <v>5</v>
      </c>
      <c r="G1650" s="1"/>
      <c r="H1650" s="51" t="s">
        <v>1</v>
      </c>
      <c r="I1650" s="190">
        <v>10.0</v>
      </c>
      <c r="J1650" s="513">
        <v>10.0</v>
      </c>
      <c r="K1650" s="514" t="s">
        <v>5</v>
      </c>
      <c r="L1650" s="1"/>
      <c r="M1650" s="1"/>
      <c r="N1650" s="1"/>
      <c r="O1650" s="1"/>
      <c r="P1650" s="1"/>
      <c r="Q1650" s="1"/>
      <c r="R1650" s="1"/>
      <c r="S1650" s="1"/>
    </row>
    <row r="1651" ht="14.25" customHeight="1">
      <c r="A1651" s="1"/>
      <c r="B1651" s="1590" t="s">
        <v>1189</v>
      </c>
      <c r="C1651" s="145">
        <v>10.0</v>
      </c>
      <c r="D1651" s="155">
        <f t="shared" ref="D1651:D1653" si="148">(C1651*D1650)/C1650</f>
        <v>15</v>
      </c>
      <c r="E1651" s="899"/>
      <c r="F1651" s="216" t="s">
        <v>93</v>
      </c>
      <c r="G1651" s="1"/>
      <c r="H1651" s="1590" t="s">
        <v>1189</v>
      </c>
      <c r="I1651" s="145">
        <v>20.0</v>
      </c>
      <c r="J1651" s="155">
        <f t="shared" ref="J1651:J1653" si="149">(I1651*J1650)/I1650</f>
        <v>20</v>
      </c>
      <c r="K1651" s="216" t="s">
        <v>93</v>
      </c>
      <c r="L1651" s="1"/>
      <c r="M1651" s="1"/>
      <c r="N1651" s="1"/>
      <c r="O1651" s="1"/>
      <c r="P1651" s="1"/>
      <c r="Q1651" s="1"/>
      <c r="R1651" s="1"/>
      <c r="S1651" s="1"/>
    </row>
    <row r="1652" ht="14.25" customHeight="1">
      <c r="A1652" s="1"/>
      <c r="B1652" s="1594" t="s">
        <v>1161</v>
      </c>
      <c r="C1652" s="195">
        <v>1.0</v>
      </c>
      <c r="D1652" s="78">
        <f t="shared" si="148"/>
        <v>1.5</v>
      </c>
      <c r="E1652" s="900"/>
      <c r="F1652" s="249" t="s">
        <v>366</v>
      </c>
      <c r="G1652" s="1"/>
      <c r="H1652" s="1594" t="s">
        <v>1161</v>
      </c>
      <c r="I1652" s="195">
        <v>2.0</v>
      </c>
      <c r="J1652" s="78">
        <f t="shared" si="149"/>
        <v>2</v>
      </c>
      <c r="K1652" s="249" t="s">
        <v>366</v>
      </c>
      <c r="L1652" s="1"/>
      <c r="M1652" s="1"/>
      <c r="N1652" s="1"/>
      <c r="O1652" s="1"/>
      <c r="P1652" s="1"/>
      <c r="Q1652" s="1"/>
      <c r="R1652" s="1"/>
      <c r="S1652" s="1"/>
    </row>
    <row r="1653" ht="14.25" customHeight="1">
      <c r="A1653" s="1"/>
      <c r="B1653" s="1367" t="s">
        <v>3652</v>
      </c>
      <c r="C1653" s="279">
        <v>1.0</v>
      </c>
      <c r="D1653" s="146">
        <f t="shared" si="148"/>
        <v>1.5</v>
      </c>
      <c r="E1653" s="1607"/>
      <c r="F1653" s="242" t="s">
        <v>366</v>
      </c>
      <c r="G1653" s="1"/>
      <c r="H1653" s="1367" t="s">
        <v>1024</v>
      </c>
      <c r="I1653" s="279">
        <v>0.5</v>
      </c>
      <c r="J1653" s="78">
        <f t="shared" si="149"/>
        <v>0.5</v>
      </c>
      <c r="K1653" s="249" t="s">
        <v>366</v>
      </c>
      <c r="L1653" s="1"/>
      <c r="M1653" s="1"/>
      <c r="N1653" s="1"/>
      <c r="O1653" s="1"/>
      <c r="P1653" s="1"/>
      <c r="Q1653" s="1"/>
      <c r="R1653" s="1"/>
      <c r="S1653" s="1"/>
    </row>
    <row r="1654" ht="14.25" customHeight="1">
      <c r="A1654" s="1"/>
      <c r="B1654" s="68" t="s">
        <v>91</v>
      </c>
      <c r="C1654" s="145">
        <v>0.3</v>
      </c>
      <c r="D1654" s="155">
        <f>(C1654*D1651)/C1651</f>
        <v>0.45</v>
      </c>
      <c r="E1654" s="899"/>
      <c r="F1654" s="216" t="s">
        <v>5</v>
      </c>
      <c r="G1654" s="1"/>
      <c r="H1654" s="1367" t="s">
        <v>3652</v>
      </c>
      <c r="I1654" s="279">
        <v>1.0</v>
      </c>
      <c r="J1654" s="146">
        <f>(I1654*J1652)/I1652</f>
        <v>1</v>
      </c>
      <c r="K1654" s="242" t="s">
        <v>366</v>
      </c>
      <c r="L1654" s="1"/>
      <c r="M1654" s="1"/>
      <c r="N1654" s="1"/>
      <c r="O1654" s="1"/>
      <c r="P1654" s="1"/>
      <c r="Q1654" s="1"/>
      <c r="R1654" s="1"/>
      <c r="S1654" s="1"/>
    </row>
    <row r="1655" ht="14.25" customHeight="1">
      <c r="A1655" s="1"/>
      <c r="B1655" s="93" t="s">
        <v>97</v>
      </c>
      <c r="C1655" s="195">
        <v>30.0</v>
      </c>
      <c r="D1655" s="78">
        <f>(C1655*D1653)/C1653</f>
        <v>45</v>
      </c>
      <c r="E1655" s="900"/>
      <c r="F1655" s="249" t="s">
        <v>18</v>
      </c>
      <c r="G1655" s="1"/>
      <c r="H1655" s="68" t="s">
        <v>91</v>
      </c>
      <c r="I1655" s="145">
        <v>0.2</v>
      </c>
      <c r="J1655" s="155">
        <f>(I1655*J1651)/I1651</f>
        <v>0.2</v>
      </c>
      <c r="K1655" s="216" t="s">
        <v>5</v>
      </c>
      <c r="L1655" s="1"/>
      <c r="M1655" s="1"/>
      <c r="N1655" s="1"/>
      <c r="O1655" s="1"/>
      <c r="P1655" s="1"/>
      <c r="Q1655" s="1"/>
      <c r="R1655" s="1"/>
      <c r="S1655" s="1"/>
    </row>
    <row r="1656" ht="14.25" customHeight="1">
      <c r="A1656" s="1"/>
      <c r="B1656" s="93" t="s">
        <v>98</v>
      </c>
      <c r="C1656" s="195">
        <v>15.0</v>
      </c>
      <c r="D1656" s="78">
        <f>(C1656*D1653)/C1653</f>
        <v>22.5</v>
      </c>
      <c r="E1656" s="900"/>
      <c r="F1656" s="249" t="s">
        <v>18</v>
      </c>
      <c r="G1656" s="1"/>
      <c r="H1656" s="93" t="s">
        <v>97</v>
      </c>
      <c r="I1656" s="195">
        <v>30.0</v>
      </c>
      <c r="J1656" s="78">
        <f>(I1656*J1654)/I1654</f>
        <v>30</v>
      </c>
      <c r="K1656" s="249" t="s">
        <v>18</v>
      </c>
      <c r="L1656" s="1"/>
      <c r="M1656" s="1"/>
      <c r="N1656" s="1"/>
      <c r="O1656" s="1"/>
      <c r="P1656" s="1"/>
      <c r="Q1656" s="1"/>
      <c r="R1656" s="1"/>
      <c r="S1656" s="1"/>
    </row>
    <row r="1657" ht="14.25" customHeight="1">
      <c r="A1657" s="1"/>
      <c r="B1657" s="93" t="s">
        <v>103</v>
      </c>
      <c r="C1657" s="195">
        <v>15.0</v>
      </c>
      <c r="D1657" s="78">
        <f>(C1657*D1656)/C1656</f>
        <v>22.5</v>
      </c>
      <c r="E1657" s="900"/>
      <c r="F1657" s="249" t="s">
        <v>18</v>
      </c>
      <c r="G1657" s="1"/>
      <c r="H1657" s="93" t="s">
        <v>98</v>
      </c>
      <c r="I1657" s="195">
        <v>15.0</v>
      </c>
      <c r="J1657" s="78">
        <f>(I1657*J1654)/I1654</f>
        <v>15</v>
      </c>
      <c r="K1657" s="249" t="s">
        <v>18</v>
      </c>
      <c r="L1657" s="1"/>
      <c r="M1657" s="1"/>
      <c r="N1657" s="1"/>
      <c r="O1657" s="1"/>
      <c r="P1657" s="1"/>
      <c r="Q1657" s="1"/>
      <c r="R1657" s="1"/>
      <c r="S1657" s="1"/>
    </row>
    <row r="1658" ht="14.25" customHeight="1">
      <c r="A1658" s="1"/>
      <c r="B1658" s="93" t="s">
        <v>2877</v>
      </c>
      <c r="C1658" s="195">
        <v>10.0</v>
      </c>
      <c r="D1658" s="78">
        <f>(C1658*D1655)/C1655</f>
        <v>15</v>
      </c>
      <c r="E1658" s="900"/>
      <c r="F1658" s="249" t="s">
        <v>3653</v>
      </c>
      <c r="G1658" s="1"/>
      <c r="H1658" s="93" t="s">
        <v>103</v>
      </c>
      <c r="I1658" s="195">
        <v>15.0</v>
      </c>
      <c r="J1658" s="78">
        <f>(I1658*J1657)/I1657</f>
        <v>15</v>
      </c>
      <c r="K1658" s="249" t="s">
        <v>18</v>
      </c>
      <c r="L1658" s="1"/>
      <c r="M1658" s="1"/>
      <c r="N1658" s="1"/>
      <c r="O1658" s="1"/>
      <c r="P1658" s="1"/>
      <c r="Q1658" s="1"/>
      <c r="R1658" s="1"/>
      <c r="S1658" s="1"/>
    </row>
    <row r="1659" ht="15.0" customHeight="1">
      <c r="A1659" s="1"/>
      <c r="B1659" s="93" t="s">
        <v>3654</v>
      </c>
      <c r="C1659" s="195">
        <v>20.0</v>
      </c>
      <c r="D1659" s="78">
        <f t="shared" ref="D1659:D1661" si="150">(C1659*D1657)/C1657</f>
        <v>30</v>
      </c>
      <c r="E1659" s="900"/>
      <c r="F1659" s="249" t="s">
        <v>18</v>
      </c>
      <c r="G1659" s="1"/>
      <c r="H1659" s="93" t="s">
        <v>2877</v>
      </c>
      <c r="I1659" s="195">
        <v>10.0</v>
      </c>
      <c r="J1659" s="78">
        <f>(I1659*J1656)/I1656</f>
        <v>10</v>
      </c>
      <c r="K1659" s="249" t="s">
        <v>3653</v>
      </c>
      <c r="L1659" s="1"/>
      <c r="M1659" s="1"/>
      <c r="N1659" s="1"/>
      <c r="O1659" s="1"/>
      <c r="P1659" s="1"/>
      <c r="Q1659" s="1"/>
      <c r="R1659" s="1"/>
      <c r="S1659" s="1"/>
    </row>
    <row r="1660" ht="15.75" customHeight="1">
      <c r="A1660" s="1"/>
      <c r="B1660" s="93" t="s">
        <v>149</v>
      </c>
      <c r="C1660" s="195">
        <v>40.0</v>
      </c>
      <c r="D1660" s="78">
        <f t="shared" si="150"/>
        <v>60</v>
      </c>
      <c r="E1660" s="900"/>
      <c r="F1660" s="249" t="s">
        <v>18</v>
      </c>
      <c r="G1660" s="1"/>
      <c r="H1660" s="93" t="s">
        <v>3654</v>
      </c>
      <c r="I1660" s="195">
        <v>20.0</v>
      </c>
      <c r="J1660" s="78">
        <f t="shared" ref="J1660:J1662" si="151">(I1660*J1658)/I1658</f>
        <v>20</v>
      </c>
      <c r="K1660" s="249" t="s">
        <v>18</v>
      </c>
      <c r="L1660" s="1"/>
      <c r="M1660" s="1"/>
      <c r="N1660" s="1"/>
      <c r="O1660" s="1"/>
      <c r="P1660" s="1"/>
      <c r="Q1660" s="1"/>
      <c r="R1660" s="1"/>
      <c r="S1660" s="1"/>
    </row>
    <row r="1661" ht="15.0" customHeight="1">
      <c r="A1661" s="1"/>
      <c r="B1661" s="138" t="s">
        <v>101</v>
      </c>
      <c r="C1661" s="279">
        <v>0.32</v>
      </c>
      <c r="D1661" s="146">
        <f t="shared" si="150"/>
        <v>0.48</v>
      </c>
      <c r="E1661" s="1607"/>
      <c r="F1661" s="242" t="s">
        <v>5</v>
      </c>
      <c r="G1661" s="1"/>
      <c r="H1661" s="93" t="s">
        <v>149</v>
      </c>
      <c r="I1661" s="195">
        <v>40.0</v>
      </c>
      <c r="J1661" s="78">
        <f t="shared" si="151"/>
        <v>40</v>
      </c>
      <c r="K1661" s="249" t="s">
        <v>18</v>
      </c>
      <c r="L1661" s="1"/>
      <c r="M1661" s="1"/>
      <c r="N1661" s="1"/>
      <c r="O1661" s="1"/>
      <c r="P1661" s="1"/>
      <c r="Q1661" s="1"/>
      <c r="R1661" s="1"/>
      <c r="S1661" s="1"/>
    </row>
    <row r="1662" ht="15.0" customHeight="1">
      <c r="A1662" s="1"/>
      <c r="B1662" s="68" t="s">
        <v>1091</v>
      </c>
      <c r="C1662" s="145">
        <v>80.0</v>
      </c>
      <c r="D1662" s="155">
        <f t="shared" ref="D1662:D1673" si="152">(C1662*D1661)/C1661</f>
        <v>120</v>
      </c>
      <c r="E1662" s="899"/>
      <c r="F1662" s="216" t="s">
        <v>18</v>
      </c>
      <c r="G1662" s="1"/>
      <c r="H1662" s="138" t="s">
        <v>101</v>
      </c>
      <c r="I1662" s="279">
        <v>0.2</v>
      </c>
      <c r="J1662" s="146">
        <f t="shared" si="151"/>
        <v>0.2</v>
      </c>
      <c r="K1662" s="242" t="s">
        <v>5</v>
      </c>
      <c r="L1662" s="1"/>
      <c r="M1662" s="1"/>
      <c r="N1662" s="1"/>
      <c r="O1662" s="1"/>
      <c r="P1662" s="1"/>
      <c r="Q1662" s="1"/>
      <c r="R1662" s="1"/>
      <c r="S1662" s="1"/>
    </row>
    <row r="1663" ht="15.0" customHeight="1">
      <c r="A1663" s="1"/>
      <c r="B1663" s="93" t="s">
        <v>3655</v>
      </c>
      <c r="C1663" s="195">
        <v>15.0</v>
      </c>
      <c r="D1663" s="78">
        <f t="shared" si="152"/>
        <v>22.5</v>
      </c>
      <c r="E1663" s="900"/>
      <c r="F1663" s="249" t="s">
        <v>18</v>
      </c>
      <c r="G1663" s="1"/>
      <c r="H1663" s="68" t="s">
        <v>1091</v>
      </c>
      <c r="I1663" s="145">
        <v>80.0</v>
      </c>
      <c r="J1663" s="155">
        <f t="shared" ref="J1663:J1674" si="153">(I1663*J1662)/I1662</f>
        <v>80</v>
      </c>
      <c r="K1663" s="216" t="s">
        <v>18</v>
      </c>
      <c r="L1663" s="1"/>
      <c r="M1663" s="1"/>
      <c r="N1663" s="1"/>
      <c r="O1663" s="1"/>
      <c r="P1663" s="1"/>
      <c r="Q1663" s="1"/>
      <c r="R1663" s="1"/>
      <c r="S1663" s="1"/>
    </row>
    <row r="1664" ht="15.0" customHeight="1">
      <c r="A1664" s="1"/>
      <c r="B1664" s="93" t="s">
        <v>3656</v>
      </c>
      <c r="C1664" s="195">
        <v>15.0</v>
      </c>
      <c r="D1664" s="78">
        <f t="shared" si="152"/>
        <v>22.5</v>
      </c>
      <c r="E1664" s="900"/>
      <c r="F1664" s="249" t="s">
        <v>18</v>
      </c>
      <c r="G1664" s="1"/>
      <c r="H1664" s="93" t="s">
        <v>3655</v>
      </c>
      <c r="I1664" s="195">
        <v>15.0</v>
      </c>
      <c r="J1664" s="78">
        <f t="shared" si="153"/>
        <v>15</v>
      </c>
      <c r="K1664" s="249" t="s">
        <v>18</v>
      </c>
      <c r="L1664" s="1"/>
      <c r="M1664" s="1"/>
      <c r="N1664" s="1"/>
      <c r="O1664" s="1"/>
      <c r="P1664" s="1"/>
      <c r="Q1664" s="1"/>
      <c r="R1664" s="1"/>
      <c r="S1664" s="1"/>
    </row>
    <row r="1665" ht="15.75" customHeight="1">
      <c r="A1665" s="1"/>
      <c r="B1665" s="93" t="s">
        <v>112</v>
      </c>
      <c r="C1665" s="195">
        <v>15.0</v>
      </c>
      <c r="D1665" s="78">
        <f t="shared" si="152"/>
        <v>22.5</v>
      </c>
      <c r="E1665" s="900"/>
      <c r="F1665" s="249" t="s">
        <v>18</v>
      </c>
      <c r="G1665" s="1"/>
      <c r="H1665" s="93" t="s">
        <v>3656</v>
      </c>
      <c r="I1665" s="195">
        <v>15.0</v>
      </c>
      <c r="J1665" s="78">
        <f t="shared" si="153"/>
        <v>15</v>
      </c>
      <c r="K1665" s="249" t="s">
        <v>18</v>
      </c>
      <c r="L1665" s="1"/>
      <c r="M1665" s="1"/>
      <c r="N1665" s="1"/>
      <c r="O1665" s="1"/>
      <c r="P1665" s="1"/>
      <c r="Q1665" s="1"/>
      <c r="R1665" s="1"/>
      <c r="S1665" s="1"/>
    </row>
    <row r="1666" ht="14.25" customHeight="1">
      <c r="A1666" s="1"/>
      <c r="B1666" s="93" t="s">
        <v>2781</v>
      </c>
      <c r="C1666" s="195">
        <v>10.0</v>
      </c>
      <c r="D1666" s="78">
        <f t="shared" si="152"/>
        <v>15</v>
      </c>
      <c r="E1666" s="900"/>
      <c r="F1666" s="249" t="s">
        <v>18</v>
      </c>
      <c r="G1666" s="1"/>
      <c r="H1666" s="93" t="s">
        <v>112</v>
      </c>
      <c r="I1666" s="195">
        <v>15.0</v>
      </c>
      <c r="J1666" s="78">
        <f t="shared" si="153"/>
        <v>15</v>
      </c>
      <c r="K1666" s="249" t="s">
        <v>18</v>
      </c>
      <c r="L1666" s="1"/>
      <c r="M1666" s="1"/>
      <c r="N1666" s="1"/>
      <c r="O1666" s="1"/>
      <c r="P1666" s="1"/>
      <c r="Q1666" s="1"/>
      <c r="R1666" s="1"/>
      <c r="S1666" s="1"/>
    </row>
    <row r="1667" ht="14.25" customHeight="1">
      <c r="A1667" s="1"/>
      <c r="B1667" s="93" t="s">
        <v>31</v>
      </c>
      <c r="C1667" s="195">
        <v>80.0</v>
      </c>
      <c r="D1667" s="78">
        <f t="shared" si="152"/>
        <v>120</v>
      </c>
      <c r="E1667" s="900"/>
      <c r="F1667" s="249" t="s">
        <v>18</v>
      </c>
      <c r="G1667" s="1"/>
      <c r="H1667" s="93" t="s">
        <v>2781</v>
      </c>
      <c r="I1667" s="195">
        <v>10.0</v>
      </c>
      <c r="J1667" s="78">
        <f t="shared" si="153"/>
        <v>10</v>
      </c>
      <c r="K1667" s="249" t="s">
        <v>18</v>
      </c>
      <c r="L1667" s="1"/>
      <c r="M1667" s="1"/>
      <c r="N1667" s="1"/>
      <c r="O1667" s="1"/>
      <c r="P1667" s="1"/>
      <c r="Q1667" s="1"/>
      <c r="R1667" s="1"/>
      <c r="S1667" s="1"/>
    </row>
    <row r="1668" ht="14.25" customHeight="1">
      <c r="A1668" s="1"/>
      <c r="B1668" s="105" t="s">
        <v>2762</v>
      </c>
      <c r="C1668" s="200">
        <v>2.0</v>
      </c>
      <c r="D1668" s="56">
        <f t="shared" si="152"/>
        <v>3</v>
      </c>
      <c r="E1668" s="1604"/>
      <c r="F1668" s="518" t="s">
        <v>14</v>
      </c>
      <c r="G1668" s="1"/>
      <c r="H1668" s="93" t="s">
        <v>31</v>
      </c>
      <c r="I1668" s="195">
        <v>80.0</v>
      </c>
      <c r="J1668" s="78">
        <f t="shared" si="153"/>
        <v>80</v>
      </c>
      <c r="K1668" s="249" t="s">
        <v>18</v>
      </c>
      <c r="L1668" s="1"/>
      <c r="M1668" s="1"/>
      <c r="N1668" s="1"/>
      <c r="O1668" s="1"/>
      <c r="P1668" s="1"/>
      <c r="Q1668" s="1"/>
      <c r="R1668" s="1"/>
      <c r="S1668" s="1"/>
    </row>
    <row r="1669" ht="14.25" customHeight="1">
      <c r="A1669" s="1"/>
      <c r="B1669" s="119" t="s">
        <v>2775</v>
      </c>
      <c r="C1669" s="238">
        <v>0.4</v>
      </c>
      <c r="D1669" s="129">
        <f t="shared" si="152"/>
        <v>0.6</v>
      </c>
      <c r="E1669" s="1583"/>
      <c r="F1669" s="520" t="s">
        <v>14</v>
      </c>
      <c r="G1669" s="1"/>
      <c r="H1669" s="138" t="s">
        <v>2762</v>
      </c>
      <c r="I1669" s="279">
        <v>2.0</v>
      </c>
      <c r="J1669" s="146">
        <f t="shared" si="153"/>
        <v>2</v>
      </c>
      <c r="K1669" s="242" t="s">
        <v>14</v>
      </c>
      <c r="L1669" s="1"/>
      <c r="M1669" s="1"/>
      <c r="N1669" s="1"/>
      <c r="O1669" s="1"/>
      <c r="P1669" s="1"/>
      <c r="Q1669" s="1"/>
      <c r="R1669" s="1"/>
      <c r="S1669" s="1"/>
    </row>
    <row r="1670" ht="15.75" customHeight="1">
      <c r="A1670" s="1"/>
      <c r="B1670" s="93" t="s">
        <v>2778</v>
      </c>
      <c r="C1670" s="195">
        <v>2.0</v>
      </c>
      <c r="D1670" s="155">
        <f t="shared" si="152"/>
        <v>3</v>
      </c>
      <c r="E1670" s="1583"/>
      <c r="F1670" s="249" t="s">
        <v>741</v>
      </c>
      <c r="G1670" s="1"/>
      <c r="H1670" s="68" t="s">
        <v>2775</v>
      </c>
      <c r="I1670" s="145">
        <v>0.4</v>
      </c>
      <c r="J1670" s="155">
        <f t="shared" si="153"/>
        <v>0.4</v>
      </c>
      <c r="K1670" s="216" t="s">
        <v>14</v>
      </c>
      <c r="L1670" s="1"/>
      <c r="M1670" s="1"/>
      <c r="N1670" s="1"/>
      <c r="O1670" s="1"/>
      <c r="P1670" s="1"/>
      <c r="Q1670" s="1"/>
      <c r="R1670" s="1"/>
      <c r="S1670" s="1"/>
    </row>
    <row r="1671" ht="14.25" customHeight="1">
      <c r="A1671" s="1"/>
      <c r="B1671" s="93" t="s">
        <v>1244</v>
      </c>
      <c r="C1671" s="195">
        <v>50.0</v>
      </c>
      <c r="D1671" s="155">
        <f t="shared" si="152"/>
        <v>75</v>
      </c>
      <c r="E1671" s="1583"/>
      <c r="F1671" s="249" t="s">
        <v>18</v>
      </c>
      <c r="G1671" s="1"/>
      <c r="H1671" s="93" t="s">
        <v>2778</v>
      </c>
      <c r="I1671" s="195">
        <v>2.0</v>
      </c>
      <c r="J1671" s="78">
        <f t="shared" si="153"/>
        <v>2</v>
      </c>
      <c r="K1671" s="249" t="s">
        <v>741</v>
      </c>
      <c r="L1671" s="1"/>
      <c r="M1671" s="1"/>
      <c r="N1671" s="1"/>
      <c r="O1671" s="1"/>
      <c r="P1671" s="1"/>
      <c r="Q1671" s="1"/>
      <c r="R1671" s="1"/>
      <c r="S1671" s="1"/>
    </row>
    <row r="1672" ht="14.25" customHeight="1">
      <c r="A1672" s="1"/>
      <c r="B1672" s="93" t="s">
        <v>1163</v>
      </c>
      <c r="C1672" s="195">
        <v>0.2</v>
      </c>
      <c r="D1672" s="155">
        <f t="shared" si="152"/>
        <v>0.3</v>
      </c>
      <c r="E1672" s="1583"/>
      <c r="F1672" s="249" t="s">
        <v>14</v>
      </c>
      <c r="G1672" s="1"/>
      <c r="H1672" s="93" t="s">
        <v>3657</v>
      </c>
      <c r="I1672" s="195">
        <v>100.0</v>
      </c>
      <c r="J1672" s="78">
        <f t="shared" si="153"/>
        <v>100</v>
      </c>
      <c r="K1672" s="249" t="s">
        <v>18</v>
      </c>
      <c r="L1672" s="1"/>
      <c r="M1672" s="1"/>
      <c r="N1672" s="1"/>
      <c r="O1672" s="1"/>
      <c r="P1672" s="1"/>
      <c r="Q1672" s="1"/>
      <c r="R1672" s="1"/>
      <c r="S1672" s="1"/>
    </row>
    <row r="1673" ht="14.25" customHeight="1">
      <c r="A1673" s="1"/>
      <c r="B1673" s="1153" t="s">
        <v>114</v>
      </c>
      <c r="C1673" s="275">
        <v>1.2000000000000002</v>
      </c>
      <c r="D1673" s="155">
        <f t="shared" si="152"/>
        <v>1.8</v>
      </c>
      <c r="E1673" s="1576"/>
      <c r="F1673" s="547" t="s">
        <v>5</v>
      </c>
      <c r="G1673" s="1"/>
      <c r="H1673" s="105" t="s">
        <v>3658</v>
      </c>
      <c r="I1673" s="200">
        <v>100.0</v>
      </c>
      <c r="J1673" s="56">
        <f t="shared" si="153"/>
        <v>100</v>
      </c>
      <c r="K1673" s="518" t="s">
        <v>18</v>
      </c>
      <c r="L1673" s="1"/>
      <c r="M1673" s="1"/>
      <c r="N1673" s="1"/>
      <c r="O1673" s="1"/>
      <c r="P1673" s="1"/>
      <c r="Q1673" s="1"/>
      <c r="R1673" s="1"/>
      <c r="S1673" s="1"/>
    </row>
    <row r="1674" ht="14.25" customHeight="1">
      <c r="A1674" s="1"/>
      <c r="B1674" s="2325" t="s">
        <v>186</v>
      </c>
      <c r="C1674" s="2326"/>
      <c r="D1674" s="796">
        <v>43392.0</v>
      </c>
      <c r="E1674" s="3172"/>
      <c r="F1674" s="107"/>
      <c r="G1674" s="1"/>
      <c r="H1674" s="1163" t="s">
        <v>114</v>
      </c>
      <c r="I1674" s="152">
        <v>1.2000000000000002</v>
      </c>
      <c r="J1674" s="129">
        <f t="shared" si="153"/>
        <v>1.2</v>
      </c>
      <c r="K1674" s="288" t="s">
        <v>5</v>
      </c>
      <c r="L1674" s="1"/>
      <c r="M1674" s="1"/>
      <c r="N1674" s="1"/>
      <c r="O1674" s="1"/>
      <c r="P1674" s="1"/>
      <c r="Q1674" s="1"/>
      <c r="R1674" s="1"/>
      <c r="S1674" s="1"/>
    </row>
    <row r="1675" ht="14.25" customHeight="1">
      <c r="A1675" s="1"/>
      <c r="B1675" s="664" t="s">
        <v>50</v>
      </c>
      <c r="C1675" s="2326"/>
      <c r="D1675" s="796">
        <v>43526.0</v>
      </c>
      <c r="E1675" s="3172"/>
      <c r="F1675" s="1"/>
      <c r="G1675" s="1"/>
      <c r="H1675" s="1"/>
      <c r="I1675" s="1"/>
      <c r="J1675" s="1"/>
      <c r="K1675" s="1"/>
      <c r="L1675" s="1"/>
      <c r="M1675" s="1"/>
      <c r="N1675" s="1"/>
      <c r="O1675" s="1"/>
      <c r="P1675" s="1"/>
      <c r="Q1675" s="1"/>
      <c r="R1675" s="1"/>
      <c r="S1675" s="1"/>
    </row>
    <row r="1676" ht="14.25" customHeight="1">
      <c r="A1676" s="1"/>
      <c r="B1676" s="1"/>
      <c r="C1676" s="107"/>
      <c r="D1676" s="184"/>
      <c r="E1676" s="184"/>
      <c r="F1676" s="1"/>
      <c r="G1676" s="1"/>
      <c r="H1676" s="1"/>
      <c r="I1676" s="1"/>
      <c r="J1676" s="1"/>
      <c r="K1676" s="1"/>
      <c r="L1676" s="1"/>
      <c r="M1676" s="1"/>
      <c r="N1676" s="1"/>
      <c r="O1676" s="1"/>
      <c r="P1676" s="1"/>
      <c r="Q1676" s="1"/>
      <c r="R1676" s="1"/>
      <c r="S1676" s="1"/>
    </row>
    <row r="1677" ht="15.75" customHeight="1">
      <c r="A1677" s="1"/>
      <c r="B1677" s="2275" t="s">
        <v>119</v>
      </c>
      <c r="C1677" s="107"/>
      <c r="D1677" s="184"/>
      <c r="E1677" s="184"/>
      <c r="F1677" s="1"/>
      <c r="G1677" s="1"/>
      <c r="H1677" s="1"/>
      <c r="I1677" s="1"/>
      <c r="J1677" s="1"/>
      <c r="K1677" s="1"/>
      <c r="L1677" s="1"/>
      <c r="M1677" s="1"/>
      <c r="N1677" s="1"/>
      <c r="O1677" s="1"/>
      <c r="P1677" s="1"/>
      <c r="Q1677" s="1"/>
      <c r="R1677" s="1"/>
      <c r="S1677" s="1"/>
    </row>
    <row r="1678" ht="15.75" customHeight="1">
      <c r="A1678" s="1"/>
      <c r="B1678" s="1"/>
      <c r="C1678" s="107"/>
      <c r="D1678" s="184"/>
      <c r="E1678" s="184"/>
      <c r="F1678" s="1"/>
      <c r="G1678" s="1"/>
      <c r="H1678" s="1"/>
      <c r="I1678" s="1"/>
      <c r="J1678" s="1"/>
      <c r="K1678" s="1"/>
      <c r="L1678" s="1"/>
      <c r="M1678" s="1"/>
      <c r="N1678" s="1"/>
      <c r="O1678" s="1"/>
      <c r="P1678" s="1"/>
      <c r="Q1678" s="1"/>
      <c r="R1678" s="1"/>
      <c r="S1678" s="1"/>
    </row>
    <row r="1679" ht="15.0" customHeight="1">
      <c r="A1679" s="1"/>
      <c r="B1679" s="1"/>
      <c r="C1679" s="107"/>
      <c r="D1679" s="184"/>
      <c r="E1679" s="184"/>
      <c r="F1679" s="1"/>
      <c r="G1679" s="1"/>
      <c r="H1679" s="1"/>
      <c r="I1679" s="1"/>
      <c r="J1679" s="1"/>
      <c r="K1679" s="1"/>
      <c r="L1679" s="1"/>
      <c r="M1679" s="1"/>
      <c r="N1679" s="1"/>
      <c r="O1679" s="1"/>
      <c r="P1679" s="1"/>
      <c r="Q1679" s="1"/>
      <c r="R1679" s="1"/>
      <c r="S1679" s="1"/>
    </row>
    <row r="1680" ht="15.0" customHeight="1">
      <c r="A1680" s="1"/>
      <c r="B1680" s="1"/>
      <c r="C1680" s="107"/>
      <c r="D1680" s="184"/>
      <c r="E1680" s="184"/>
      <c r="F1680" s="1"/>
      <c r="G1680" s="1"/>
      <c r="H1680" s="1"/>
      <c r="I1680" s="1"/>
      <c r="J1680" s="1"/>
      <c r="K1680" s="1"/>
      <c r="L1680" s="1"/>
      <c r="M1680" s="1"/>
      <c r="N1680" s="1"/>
      <c r="O1680" s="1"/>
      <c r="P1680" s="1"/>
      <c r="Q1680" s="1"/>
      <c r="R1680" s="1"/>
      <c r="S1680" s="1"/>
    </row>
    <row r="1681" ht="14.25" customHeight="1">
      <c r="A1681" s="1"/>
      <c r="B1681" s="1"/>
      <c r="C1681" s="107"/>
      <c r="D1681" s="184"/>
      <c r="E1681" s="184"/>
      <c r="F1681" s="1"/>
      <c r="G1681" s="1"/>
      <c r="H1681" s="1"/>
      <c r="I1681" s="1"/>
      <c r="J1681" s="1"/>
      <c r="K1681" s="1"/>
      <c r="L1681" s="1"/>
      <c r="M1681" s="1"/>
      <c r="N1681" s="1"/>
      <c r="O1681" s="1"/>
      <c r="P1681" s="1"/>
      <c r="Q1681" s="1"/>
      <c r="R1681" s="1"/>
      <c r="S1681" s="1"/>
    </row>
    <row r="1682" ht="14.25" customHeight="1">
      <c r="A1682" s="1"/>
      <c r="B1682" s="1"/>
      <c r="C1682" s="107"/>
      <c r="D1682" s="184"/>
      <c r="E1682" s="184"/>
      <c r="F1682" s="1"/>
      <c r="G1682" s="1"/>
      <c r="H1682" s="1"/>
      <c r="I1682" s="1"/>
      <c r="J1682" s="1"/>
      <c r="K1682" s="1"/>
      <c r="L1682" s="1"/>
      <c r="M1682" s="1"/>
      <c r="N1682" s="1"/>
      <c r="O1682" s="1"/>
      <c r="P1682" s="1"/>
      <c r="Q1682" s="1"/>
      <c r="R1682" s="1"/>
      <c r="S1682" s="1"/>
    </row>
    <row r="1683" ht="14.25" customHeight="1">
      <c r="A1683" s="1"/>
      <c r="B1683" s="913" t="s">
        <v>3659</v>
      </c>
      <c r="C1683" s="5"/>
      <c r="D1683" s="5"/>
      <c r="E1683" s="5"/>
      <c r="F1683" s="6"/>
      <c r="G1683" s="1"/>
      <c r="H1683" s="1"/>
      <c r="I1683" s="1"/>
      <c r="J1683" s="1"/>
      <c r="K1683" s="1"/>
      <c r="L1683" s="1"/>
      <c r="M1683" s="1"/>
      <c r="N1683" s="1"/>
      <c r="O1683" s="1"/>
      <c r="P1683" s="1"/>
      <c r="Q1683" s="1"/>
      <c r="R1683" s="1"/>
      <c r="S1683" s="1"/>
    </row>
    <row r="1684" ht="14.25" customHeight="1">
      <c r="A1684" s="1"/>
      <c r="B1684" s="1565" t="s">
        <v>1</v>
      </c>
      <c r="C1684" s="319">
        <v>24.0</v>
      </c>
      <c r="D1684" s="2255">
        <v>40.0</v>
      </c>
      <c r="E1684" s="2255"/>
      <c r="F1684" s="3173" t="s">
        <v>5</v>
      </c>
      <c r="G1684" s="1"/>
      <c r="H1684" s="1"/>
      <c r="I1684" s="1"/>
      <c r="J1684" s="1"/>
      <c r="K1684" s="1"/>
      <c r="L1684" s="1"/>
      <c r="M1684" s="1"/>
      <c r="N1684" s="1"/>
      <c r="O1684" s="1"/>
      <c r="P1684" s="1"/>
      <c r="Q1684" s="1"/>
      <c r="R1684" s="1"/>
      <c r="S1684" s="1"/>
    </row>
    <row r="1685" ht="15.75" customHeight="1">
      <c r="A1685" s="1"/>
      <c r="B1685" s="68" t="s">
        <v>91</v>
      </c>
      <c r="C1685" s="145">
        <v>1.0</v>
      </c>
      <c r="D1685" s="516">
        <f t="shared" ref="D1685:D1686" si="154">(C1685*D1684)/C1684</f>
        <v>1.666666667</v>
      </c>
      <c r="E1685" s="1652"/>
      <c r="F1685" s="137" t="s">
        <v>5</v>
      </c>
      <c r="G1685" s="610" t="s">
        <v>3660</v>
      </c>
      <c r="H1685" s="1"/>
      <c r="I1685" s="1"/>
      <c r="J1685" s="1"/>
      <c r="K1685" s="1"/>
      <c r="L1685" s="1"/>
      <c r="M1685" s="1"/>
      <c r="N1685" s="1"/>
      <c r="O1685" s="1"/>
      <c r="P1685" s="1"/>
      <c r="Q1685" s="1"/>
      <c r="R1685" s="1"/>
      <c r="S1685" s="1"/>
    </row>
    <row r="1686" ht="15.0" customHeight="1">
      <c r="A1686" s="1"/>
      <c r="B1686" s="93" t="s">
        <v>2876</v>
      </c>
      <c r="C1686" s="195">
        <v>80.0</v>
      </c>
      <c r="D1686" s="521">
        <f t="shared" si="154"/>
        <v>133.3333333</v>
      </c>
      <c r="E1686" s="1653"/>
      <c r="F1686" s="165" t="s">
        <v>18</v>
      </c>
      <c r="G1686" s="47"/>
      <c r="H1686" s="1"/>
      <c r="I1686" s="1"/>
      <c r="J1686" s="1"/>
      <c r="K1686" s="1"/>
      <c r="L1686" s="1"/>
      <c r="M1686" s="1"/>
      <c r="N1686" s="1"/>
      <c r="O1686" s="1"/>
      <c r="P1686" s="1"/>
      <c r="Q1686" s="1"/>
      <c r="R1686" s="1"/>
      <c r="S1686" s="1"/>
    </row>
    <row r="1687" ht="15.0" customHeight="1">
      <c r="A1687" s="1"/>
      <c r="B1687" s="93" t="s">
        <v>103</v>
      </c>
      <c r="C1687" s="195">
        <v>48.0</v>
      </c>
      <c r="D1687" s="521">
        <f t="shared" ref="D1687:D1688" si="155">(C1687*D1685)/C1685</f>
        <v>80</v>
      </c>
      <c r="E1687" s="1653"/>
      <c r="F1687" s="165" t="s">
        <v>18</v>
      </c>
      <c r="G1687" s="47"/>
      <c r="H1687" s="1"/>
      <c r="I1687" s="1"/>
      <c r="J1687" s="1"/>
      <c r="K1687" s="1"/>
      <c r="L1687" s="1"/>
      <c r="M1687" s="1"/>
      <c r="N1687" s="1"/>
      <c r="O1687" s="1"/>
      <c r="P1687" s="1"/>
      <c r="Q1687" s="1"/>
      <c r="R1687" s="1"/>
      <c r="S1687" s="1"/>
    </row>
    <row r="1688" ht="15.0" customHeight="1">
      <c r="A1688" s="1"/>
      <c r="B1688" s="93" t="s">
        <v>52</v>
      </c>
      <c r="C1688" s="195">
        <v>60.0</v>
      </c>
      <c r="D1688" s="521">
        <f t="shared" si="155"/>
        <v>100</v>
      </c>
      <c r="E1688" s="1653"/>
      <c r="F1688" s="165" t="s">
        <v>18</v>
      </c>
      <c r="G1688" s="47"/>
      <c r="H1688" s="1"/>
      <c r="I1688" s="1"/>
      <c r="J1688" s="1"/>
      <c r="K1688" s="1"/>
      <c r="L1688" s="1"/>
      <c r="M1688" s="1"/>
      <c r="N1688" s="1"/>
      <c r="O1688" s="1"/>
      <c r="P1688" s="1"/>
      <c r="Q1688" s="1"/>
      <c r="R1688" s="1"/>
      <c r="S1688" s="1"/>
    </row>
    <row r="1689" ht="15.0" customHeight="1">
      <c r="A1689" s="1"/>
      <c r="B1689" s="1061" t="s">
        <v>92</v>
      </c>
      <c r="C1689" s="195">
        <v>240.0</v>
      </c>
      <c r="D1689" s="521">
        <f t="shared" ref="D1689:D1693" si="156">(C1689*D1688)/C1688</f>
        <v>400</v>
      </c>
      <c r="E1689" s="1653"/>
      <c r="F1689" s="165" t="s">
        <v>18</v>
      </c>
      <c r="G1689" s="47"/>
      <c r="H1689" s="1"/>
      <c r="I1689" s="1"/>
      <c r="J1689" s="1"/>
      <c r="K1689" s="1"/>
      <c r="L1689" s="1"/>
      <c r="M1689" s="1"/>
      <c r="N1689" s="1"/>
      <c r="O1689" s="1"/>
      <c r="P1689" s="1"/>
      <c r="Q1689" s="1"/>
      <c r="R1689" s="1"/>
      <c r="S1689" s="1"/>
    </row>
    <row r="1690" ht="14.25" customHeight="1">
      <c r="A1690" s="1"/>
      <c r="B1690" s="1061" t="s">
        <v>112</v>
      </c>
      <c r="C1690" s="195">
        <v>80.0</v>
      </c>
      <c r="D1690" s="521">
        <f t="shared" si="156"/>
        <v>133.3333333</v>
      </c>
      <c r="E1690" s="1653"/>
      <c r="F1690" s="165" t="s">
        <v>18</v>
      </c>
      <c r="G1690" s="47"/>
      <c r="H1690" s="1"/>
      <c r="I1690" s="1"/>
      <c r="J1690" s="1"/>
      <c r="K1690" s="1"/>
      <c r="L1690" s="1"/>
      <c r="M1690" s="1"/>
      <c r="N1690" s="1"/>
      <c r="O1690" s="1"/>
      <c r="P1690" s="1"/>
      <c r="Q1690" s="1"/>
      <c r="R1690" s="1"/>
      <c r="S1690" s="1"/>
    </row>
    <row r="1691" ht="14.25" customHeight="1">
      <c r="A1691" s="1"/>
      <c r="B1691" s="1063" t="s">
        <v>101</v>
      </c>
      <c r="C1691" s="279">
        <v>0.5</v>
      </c>
      <c r="D1691" s="842">
        <f t="shared" si="156"/>
        <v>0.8333333333</v>
      </c>
      <c r="E1691" s="1655"/>
      <c r="F1691" s="281" t="s">
        <v>5</v>
      </c>
      <c r="G1691" s="76"/>
      <c r="H1691" s="1"/>
      <c r="I1691" s="1"/>
      <c r="J1691" s="1"/>
      <c r="K1691" s="1"/>
      <c r="L1691" s="1"/>
      <c r="M1691" s="1"/>
      <c r="N1691" s="1"/>
      <c r="O1691" s="1"/>
      <c r="P1691" s="1"/>
      <c r="Q1691" s="1"/>
      <c r="R1691" s="1"/>
      <c r="S1691" s="1"/>
    </row>
    <row r="1692" ht="14.25" customHeight="1">
      <c r="A1692" s="1"/>
      <c r="B1692" s="1058" t="s">
        <v>2639</v>
      </c>
      <c r="C1692" s="145">
        <v>20.0</v>
      </c>
      <c r="D1692" s="516">
        <f t="shared" si="156"/>
        <v>33.33333333</v>
      </c>
      <c r="E1692" s="1652"/>
      <c r="F1692" s="137" t="s">
        <v>5</v>
      </c>
      <c r="G1692" s="653" t="s">
        <v>3661</v>
      </c>
      <c r="H1692" s="1"/>
      <c r="I1692" s="1"/>
      <c r="J1692" s="1"/>
      <c r="K1692" s="1"/>
      <c r="L1692" s="1"/>
      <c r="M1692" s="1"/>
      <c r="N1692" s="1"/>
      <c r="O1692" s="1"/>
      <c r="P1692" s="1"/>
      <c r="Q1692" s="1"/>
      <c r="R1692" s="1"/>
      <c r="S1692" s="1"/>
    </row>
    <row r="1693" ht="14.25" customHeight="1">
      <c r="A1693" s="1"/>
      <c r="B1693" s="1063" t="s">
        <v>1610</v>
      </c>
      <c r="C1693" s="279">
        <v>4.0</v>
      </c>
      <c r="D1693" s="842">
        <f t="shared" si="156"/>
        <v>6.666666667</v>
      </c>
      <c r="E1693" s="1655"/>
      <c r="F1693" s="281" t="s">
        <v>5</v>
      </c>
      <c r="G1693" s="76"/>
      <c r="H1693" s="1"/>
      <c r="I1693" s="1"/>
      <c r="J1693" s="1"/>
      <c r="K1693" s="1"/>
      <c r="L1693" s="1"/>
      <c r="M1693" s="1"/>
      <c r="N1693" s="1"/>
      <c r="O1693" s="1"/>
      <c r="P1693" s="1"/>
      <c r="Q1693" s="1"/>
      <c r="R1693" s="1"/>
      <c r="S1693" s="1"/>
    </row>
    <row r="1694" ht="14.25" customHeight="1">
      <c r="A1694" s="1"/>
      <c r="B1694" s="68" t="s">
        <v>3662</v>
      </c>
      <c r="C1694" s="145">
        <v>1.0</v>
      </c>
      <c r="D1694" s="516">
        <f>(C1694*D1690)/C1690</f>
        <v>1.666666667</v>
      </c>
      <c r="E1694" s="1652"/>
      <c r="F1694" s="137" t="s">
        <v>18</v>
      </c>
      <c r="G1694" s="826" t="s">
        <v>3663</v>
      </c>
      <c r="H1694" s="1"/>
      <c r="I1694" s="1"/>
      <c r="J1694" s="1"/>
      <c r="K1694" s="1"/>
      <c r="L1694" s="1"/>
      <c r="M1694" s="1"/>
      <c r="N1694" s="1"/>
      <c r="O1694" s="1"/>
      <c r="P1694" s="1"/>
      <c r="Q1694" s="1"/>
      <c r="R1694" s="1"/>
      <c r="S1694" s="1"/>
    </row>
    <row r="1695" ht="14.25" customHeight="1">
      <c r="A1695" s="1"/>
      <c r="B1695" s="93" t="s">
        <v>3664</v>
      </c>
      <c r="C1695" s="195">
        <v>1.0</v>
      </c>
      <c r="D1695" s="521">
        <f t="shared" ref="D1695:D1701" si="157">(C1695*D1694)/C1694</f>
        <v>1.666666667</v>
      </c>
      <c r="E1695" s="1653"/>
      <c r="F1695" s="165" t="s">
        <v>366</v>
      </c>
      <c r="G1695" s="66"/>
      <c r="H1695" s="1"/>
      <c r="I1695" s="1"/>
      <c r="J1695" s="1"/>
      <c r="K1695" s="1"/>
      <c r="L1695" s="1"/>
      <c r="M1695" s="1"/>
      <c r="N1695" s="1"/>
      <c r="O1695" s="1"/>
      <c r="P1695" s="1"/>
      <c r="Q1695" s="1"/>
      <c r="R1695" s="1"/>
      <c r="S1695" s="1"/>
    </row>
    <row r="1696" ht="14.25" customHeight="1">
      <c r="A1696" s="1"/>
      <c r="B1696" s="93" t="s">
        <v>112</v>
      </c>
      <c r="C1696" s="195">
        <v>24.0</v>
      </c>
      <c r="D1696" s="521">
        <f t="shared" si="157"/>
        <v>40</v>
      </c>
      <c r="E1696" s="1653"/>
      <c r="F1696" s="165" t="s">
        <v>14</v>
      </c>
      <c r="G1696" s="66"/>
      <c r="H1696" s="1"/>
      <c r="I1696" s="1"/>
      <c r="J1696" s="1"/>
      <c r="K1696" s="1"/>
      <c r="L1696" s="1"/>
      <c r="M1696" s="1"/>
      <c r="N1696" s="1"/>
      <c r="O1696" s="1"/>
      <c r="P1696" s="1"/>
      <c r="Q1696" s="1"/>
      <c r="R1696" s="1"/>
      <c r="S1696" s="1"/>
    </row>
    <row r="1697" ht="14.25" customHeight="1">
      <c r="A1697" s="1"/>
      <c r="B1697" s="138" t="s">
        <v>3665</v>
      </c>
      <c r="C1697" s="279">
        <v>300.0</v>
      </c>
      <c r="D1697" s="842">
        <f t="shared" si="157"/>
        <v>500</v>
      </c>
      <c r="E1697" s="1655"/>
      <c r="F1697" s="281" t="s">
        <v>366</v>
      </c>
      <c r="G1697" s="106"/>
      <c r="H1697" s="1"/>
      <c r="I1697" s="1"/>
      <c r="J1697" s="1"/>
      <c r="K1697" s="1"/>
      <c r="L1697" s="1"/>
      <c r="M1697" s="1"/>
      <c r="N1697" s="1"/>
      <c r="O1697" s="1"/>
      <c r="P1697" s="1"/>
      <c r="Q1697" s="1"/>
      <c r="R1697" s="1"/>
      <c r="S1697" s="1"/>
    </row>
    <row r="1698" ht="14.25" customHeight="1">
      <c r="A1698" s="1"/>
      <c r="B1698" s="68" t="s">
        <v>31</v>
      </c>
      <c r="C1698" s="145">
        <v>300.0</v>
      </c>
      <c r="D1698" s="516">
        <f t="shared" si="157"/>
        <v>500</v>
      </c>
      <c r="E1698" s="1652"/>
      <c r="F1698" s="137" t="s">
        <v>18</v>
      </c>
      <c r="G1698" s="610" t="s">
        <v>3666</v>
      </c>
      <c r="H1698" s="1"/>
      <c r="I1698" s="1"/>
      <c r="J1698" s="1"/>
      <c r="K1698" s="1"/>
      <c r="L1698" s="1"/>
      <c r="M1698" s="1"/>
      <c r="N1698" s="1"/>
      <c r="O1698" s="1"/>
      <c r="P1698" s="1"/>
      <c r="Q1698" s="1"/>
      <c r="R1698" s="1"/>
      <c r="S1698" s="1"/>
    </row>
    <row r="1699" ht="14.25" customHeight="1">
      <c r="A1699" s="1"/>
      <c r="B1699" s="3174" t="s">
        <v>59</v>
      </c>
      <c r="C1699" s="195">
        <v>2.0</v>
      </c>
      <c r="D1699" s="521">
        <f t="shared" si="157"/>
        <v>3.333333333</v>
      </c>
      <c r="E1699" s="1653"/>
      <c r="F1699" s="165" t="s">
        <v>5</v>
      </c>
      <c r="G1699" s="47"/>
      <c r="H1699" s="1"/>
      <c r="I1699" s="1"/>
      <c r="J1699" s="1"/>
      <c r="K1699" s="1"/>
      <c r="L1699" s="1"/>
      <c r="M1699" s="1"/>
      <c r="N1699" s="1"/>
      <c r="O1699" s="1"/>
      <c r="P1699" s="1"/>
      <c r="Q1699" s="1"/>
      <c r="R1699" s="1"/>
      <c r="S1699" s="1"/>
    </row>
    <row r="1700" ht="14.25" customHeight="1">
      <c r="A1700" s="1"/>
      <c r="B1700" s="93" t="s">
        <v>525</v>
      </c>
      <c r="C1700" s="195">
        <v>2.0</v>
      </c>
      <c r="D1700" s="521">
        <f t="shared" si="157"/>
        <v>3.333333333</v>
      </c>
      <c r="E1700" s="1653"/>
      <c r="F1700" s="165" t="s">
        <v>93</v>
      </c>
      <c r="G1700" s="47"/>
      <c r="H1700" s="1"/>
      <c r="I1700" s="1"/>
      <c r="J1700" s="1"/>
      <c r="K1700" s="1"/>
      <c r="L1700" s="1"/>
      <c r="M1700" s="1"/>
      <c r="N1700" s="1"/>
      <c r="O1700" s="1"/>
      <c r="P1700" s="1"/>
      <c r="Q1700" s="1"/>
      <c r="R1700" s="1"/>
      <c r="S1700" s="1"/>
    </row>
    <row r="1701" ht="14.25" customHeight="1">
      <c r="A1701" s="1"/>
      <c r="B1701" s="105" t="s">
        <v>3667</v>
      </c>
      <c r="C1701" s="200">
        <v>2.0</v>
      </c>
      <c r="D1701" s="517">
        <f t="shared" si="157"/>
        <v>3.333333333</v>
      </c>
      <c r="E1701" s="1656"/>
      <c r="F1701" s="172" t="s">
        <v>526</v>
      </c>
      <c r="G1701" s="76"/>
      <c r="H1701" s="1"/>
      <c r="I1701" s="1"/>
      <c r="J1701" s="1"/>
      <c r="K1701" s="1"/>
      <c r="L1701" s="1"/>
      <c r="M1701" s="1"/>
      <c r="N1701" s="1"/>
      <c r="O1701" s="1"/>
      <c r="P1701" s="1"/>
      <c r="Q1701" s="1"/>
      <c r="R1701" s="1"/>
      <c r="S1701" s="1"/>
    </row>
    <row r="1702" ht="14.25" customHeight="1">
      <c r="A1702" s="1"/>
      <c r="B1702" s="305" t="s">
        <v>120</v>
      </c>
      <c r="C1702" s="804">
        <v>43360.0</v>
      </c>
      <c r="D1702" s="107"/>
      <c r="E1702" s="107"/>
      <c r="F1702" s="107"/>
      <c r="G1702" s="2281"/>
      <c r="H1702" s="1"/>
      <c r="I1702" s="1"/>
      <c r="J1702" s="1"/>
      <c r="K1702" s="1"/>
      <c r="L1702" s="1"/>
      <c r="M1702" s="1"/>
      <c r="N1702" s="1"/>
      <c r="O1702" s="1"/>
      <c r="P1702" s="1"/>
      <c r="Q1702" s="1"/>
      <c r="R1702" s="1"/>
      <c r="S1702" s="1"/>
    </row>
    <row r="1703" ht="18.75" customHeight="1">
      <c r="A1703" s="1"/>
      <c r="B1703" s="305" t="s">
        <v>50</v>
      </c>
      <c r="C1703" s="1188">
        <v>43493.0</v>
      </c>
      <c r="D1703" s="107"/>
      <c r="E1703" s="107"/>
      <c r="F1703" s="107"/>
      <c r="G1703" s="2281"/>
      <c r="H1703" s="1"/>
      <c r="I1703" s="1"/>
      <c r="J1703" s="1"/>
      <c r="K1703" s="1"/>
      <c r="L1703" s="1"/>
      <c r="M1703" s="1"/>
      <c r="N1703" s="1"/>
      <c r="O1703" s="1"/>
      <c r="P1703" s="1"/>
      <c r="Q1703" s="1"/>
      <c r="R1703" s="1"/>
      <c r="S1703" s="1"/>
    </row>
    <row r="1704" ht="18.75" customHeight="1">
      <c r="A1704" s="1"/>
      <c r="B1704" s="1"/>
      <c r="C1704" s="107"/>
      <c r="D1704" s="184"/>
      <c r="E1704" s="184"/>
      <c r="F1704" s="1"/>
      <c r="G1704" s="1"/>
      <c r="H1704" s="1"/>
      <c r="I1704" s="1"/>
      <c r="J1704" s="1"/>
      <c r="K1704" s="1"/>
      <c r="L1704" s="1"/>
      <c r="M1704" s="1"/>
      <c r="N1704" s="1"/>
      <c r="O1704" s="1"/>
      <c r="P1704" s="1"/>
      <c r="Q1704" s="1"/>
      <c r="R1704" s="1"/>
      <c r="S1704" s="1"/>
    </row>
    <row r="1705" ht="18.75" customHeight="1">
      <c r="A1705" s="1"/>
      <c r="B1705" s="2275" t="s">
        <v>119</v>
      </c>
      <c r="C1705" s="107"/>
      <c r="D1705" s="184"/>
      <c r="E1705" s="184"/>
      <c r="F1705" s="1"/>
      <c r="G1705" s="1"/>
      <c r="H1705" s="1"/>
      <c r="I1705" s="1"/>
      <c r="J1705" s="1"/>
      <c r="K1705" s="1"/>
      <c r="L1705" s="1"/>
      <c r="M1705" s="1"/>
      <c r="N1705" s="1"/>
      <c r="O1705" s="1"/>
      <c r="P1705" s="1"/>
      <c r="Q1705" s="1"/>
      <c r="R1705" s="1"/>
      <c r="S1705" s="1"/>
    </row>
    <row r="1706" ht="18.75" customHeight="1">
      <c r="A1706" s="1"/>
      <c r="B1706" s="1"/>
      <c r="C1706" s="107"/>
      <c r="D1706" s="184"/>
      <c r="E1706" s="184"/>
      <c r="F1706" s="1"/>
      <c r="G1706" s="1"/>
      <c r="H1706" s="1"/>
      <c r="I1706" s="1"/>
      <c r="J1706" s="1"/>
      <c r="K1706" s="1"/>
      <c r="L1706" s="1"/>
      <c r="M1706" s="1"/>
      <c r="N1706" s="1"/>
      <c r="O1706" s="1"/>
      <c r="P1706" s="1"/>
      <c r="Q1706" s="1"/>
      <c r="R1706" s="1"/>
      <c r="S1706" s="1"/>
    </row>
    <row r="1707" ht="18.75" customHeight="1">
      <c r="A1707" s="1"/>
      <c r="B1707" s="1"/>
      <c r="C1707" s="107"/>
      <c r="D1707" s="184"/>
      <c r="E1707" s="184"/>
      <c r="F1707" s="1"/>
      <c r="G1707" s="1"/>
      <c r="H1707" s="1"/>
      <c r="I1707" s="1"/>
      <c r="J1707" s="1"/>
      <c r="K1707" s="1"/>
      <c r="L1707" s="1"/>
      <c r="M1707" s="1"/>
      <c r="N1707" s="1"/>
      <c r="O1707" s="1"/>
      <c r="P1707" s="1"/>
      <c r="Q1707" s="1"/>
      <c r="R1707" s="1"/>
      <c r="S1707" s="1"/>
    </row>
    <row r="1708" ht="18.75" customHeight="1">
      <c r="A1708" s="1"/>
      <c r="B1708" s="1"/>
      <c r="C1708" s="107"/>
      <c r="D1708" s="184"/>
      <c r="E1708" s="184"/>
      <c r="F1708" s="1"/>
      <c r="G1708" s="1"/>
      <c r="H1708" s="1"/>
      <c r="I1708" s="1"/>
      <c r="J1708" s="1"/>
      <c r="K1708" s="1"/>
      <c r="L1708" s="1"/>
      <c r="M1708" s="1"/>
      <c r="N1708" s="1"/>
      <c r="O1708" s="1"/>
      <c r="P1708" s="1"/>
      <c r="Q1708" s="1"/>
      <c r="R1708" s="1"/>
      <c r="S1708" s="1"/>
    </row>
    <row r="1709" ht="18.75" customHeight="1">
      <c r="A1709" s="1"/>
      <c r="B1709" s="1"/>
      <c r="C1709" s="107"/>
      <c r="D1709" s="184"/>
      <c r="E1709" s="184"/>
      <c r="F1709" s="1"/>
      <c r="G1709" s="1"/>
      <c r="H1709" s="1"/>
      <c r="I1709" s="1"/>
      <c r="J1709" s="1"/>
      <c r="K1709" s="1"/>
      <c r="L1709" s="1"/>
      <c r="M1709" s="1"/>
      <c r="N1709" s="1"/>
      <c r="O1709" s="1"/>
      <c r="P1709" s="1"/>
      <c r="Q1709" s="1"/>
      <c r="R1709" s="1"/>
      <c r="S1709" s="1"/>
    </row>
    <row r="1710" ht="15.0" customHeight="1">
      <c r="A1710" s="1"/>
      <c r="B1710" s="209" t="s">
        <v>3668</v>
      </c>
      <c r="C1710" s="18"/>
      <c r="D1710" s="18"/>
      <c r="E1710" s="18"/>
      <c r="F1710" s="19"/>
      <c r="G1710" s="1"/>
      <c r="H1710" s="1"/>
      <c r="I1710" s="1"/>
      <c r="J1710" s="1"/>
      <c r="K1710" s="1"/>
      <c r="L1710" s="1"/>
      <c r="M1710" s="1"/>
      <c r="N1710" s="1"/>
      <c r="O1710" s="1"/>
      <c r="P1710" s="1"/>
      <c r="Q1710" s="1"/>
      <c r="R1710" s="1"/>
      <c r="S1710" s="1"/>
    </row>
    <row r="1711" ht="15.75" customHeight="1">
      <c r="A1711" s="1"/>
      <c r="B1711" s="51" t="s">
        <v>1</v>
      </c>
      <c r="C1711" s="190">
        <v>40.0</v>
      </c>
      <c r="D1711" s="513">
        <v>40.0</v>
      </c>
      <c r="E1711" s="1576"/>
      <c r="F1711" s="125" t="s">
        <v>5</v>
      </c>
      <c r="G1711" s="1"/>
      <c r="H1711" s="1"/>
      <c r="I1711" s="1"/>
      <c r="J1711" s="1"/>
      <c r="K1711" s="1"/>
      <c r="L1711" s="1"/>
      <c r="M1711" s="1"/>
      <c r="N1711" s="1"/>
      <c r="O1711" s="1"/>
      <c r="P1711" s="1"/>
      <c r="Q1711" s="1"/>
      <c r="R1711" s="1"/>
      <c r="S1711" s="1"/>
    </row>
    <row r="1712" ht="15.75" customHeight="1">
      <c r="A1712" s="1"/>
      <c r="B1712" s="68" t="s">
        <v>91</v>
      </c>
      <c r="C1712" s="145">
        <v>1.0</v>
      </c>
      <c r="D1712" s="516">
        <f t="shared" ref="D1712:D1735" si="158">(C1712*D1711)/C1711</f>
        <v>1</v>
      </c>
      <c r="E1712" s="1652"/>
      <c r="F1712" s="137" t="s">
        <v>5</v>
      </c>
      <c r="G1712" s="610" t="s">
        <v>3669</v>
      </c>
      <c r="H1712" s="1"/>
      <c r="I1712" s="1"/>
      <c r="J1712" s="1"/>
      <c r="K1712" s="1"/>
      <c r="L1712" s="1"/>
      <c r="M1712" s="1"/>
      <c r="N1712" s="1"/>
      <c r="O1712" s="1"/>
      <c r="P1712" s="1"/>
      <c r="Q1712" s="1"/>
      <c r="R1712" s="1"/>
      <c r="S1712" s="1"/>
    </row>
    <row r="1713" ht="15.75" customHeight="1">
      <c r="A1713" s="1"/>
      <c r="B1713" s="93" t="s">
        <v>3670</v>
      </c>
      <c r="C1713" s="23">
        <v>4.0</v>
      </c>
      <c r="D1713" s="521">
        <f t="shared" si="158"/>
        <v>4</v>
      </c>
      <c r="E1713" s="1653"/>
      <c r="F1713" s="165" t="s">
        <v>14</v>
      </c>
      <c r="G1713" s="47"/>
      <c r="H1713" s="1"/>
      <c r="I1713" s="1"/>
      <c r="J1713" s="1"/>
      <c r="K1713" s="1"/>
      <c r="L1713" s="1"/>
      <c r="M1713" s="1"/>
      <c r="N1713" s="1"/>
      <c r="O1713" s="1"/>
      <c r="P1713" s="1"/>
      <c r="Q1713" s="1"/>
      <c r="R1713" s="1"/>
      <c r="S1713" s="1"/>
    </row>
    <row r="1714" ht="15.75" customHeight="1">
      <c r="A1714" s="1"/>
      <c r="B1714" s="93" t="s">
        <v>2690</v>
      </c>
      <c r="C1714" s="23">
        <v>4.0</v>
      </c>
      <c r="D1714" s="521">
        <f t="shared" si="158"/>
        <v>4</v>
      </c>
      <c r="E1714" s="1653"/>
      <c r="F1714" s="165" t="s">
        <v>14</v>
      </c>
      <c r="G1714" s="47"/>
      <c r="H1714" s="1"/>
      <c r="I1714" s="1"/>
      <c r="J1714" s="1"/>
      <c r="K1714" s="1"/>
      <c r="L1714" s="1"/>
      <c r="M1714" s="1"/>
      <c r="N1714" s="1"/>
      <c r="O1714" s="1"/>
      <c r="P1714" s="1"/>
      <c r="Q1714" s="1"/>
      <c r="R1714" s="1"/>
      <c r="S1714" s="1"/>
    </row>
    <row r="1715" ht="15.75" customHeight="1">
      <c r="A1715" s="1"/>
      <c r="B1715" s="93" t="s">
        <v>3671</v>
      </c>
      <c r="C1715" s="23">
        <v>4.0</v>
      </c>
      <c r="D1715" s="521">
        <f t="shared" si="158"/>
        <v>4</v>
      </c>
      <c r="E1715" s="1653"/>
      <c r="F1715" s="165" t="s">
        <v>14</v>
      </c>
      <c r="G1715" s="47"/>
      <c r="H1715" s="1"/>
      <c r="I1715" s="1"/>
      <c r="J1715" s="1"/>
      <c r="K1715" s="1"/>
      <c r="L1715" s="1"/>
      <c r="M1715" s="1"/>
      <c r="N1715" s="1"/>
      <c r="O1715" s="1"/>
      <c r="P1715" s="1"/>
      <c r="Q1715" s="1"/>
      <c r="R1715" s="1"/>
      <c r="S1715" s="1"/>
    </row>
    <row r="1716" ht="14.25" customHeight="1">
      <c r="A1716" s="1"/>
      <c r="B1716" s="93" t="s">
        <v>153</v>
      </c>
      <c r="C1716" s="23">
        <v>4.0</v>
      </c>
      <c r="D1716" s="521">
        <f t="shared" si="158"/>
        <v>4</v>
      </c>
      <c r="E1716" s="1653"/>
      <c r="F1716" s="165" t="s">
        <v>14</v>
      </c>
      <c r="G1716" s="47"/>
      <c r="H1716" s="1"/>
      <c r="I1716" s="1"/>
      <c r="J1716" s="1"/>
      <c r="K1716" s="1"/>
      <c r="L1716" s="1"/>
      <c r="M1716" s="1"/>
      <c r="N1716" s="1"/>
      <c r="O1716" s="1"/>
      <c r="P1716" s="1"/>
      <c r="Q1716" s="1"/>
      <c r="R1716" s="1"/>
      <c r="S1716" s="1"/>
    </row>
    <row r="1717" ht="14.25" customHeight="1">
      <c r="A1717" s="1"/>
      <c r="B1717" s="2074" t="s">
        <v>3672</v>
      </c>
      <c r="C1717" s="2936">
        <v>4.0</v>
      </c>
      <c r="D1717" s="521">
        <f t="shared" si="158"/>
        <v>4</v>
      </c>
      <c r="E1717" s="1653"/>
      <c r="F1717" s="165" t="s">
        <v>14</v>
      </c>
      <c r="G1717" s="47"/>
      <c r="H1717" s="1"/>
      <c r="I1717" s="1"/>
      <c r="J1717" s="1"/>
      <c r="K1717" s="1"/>
      <c r="L1717" s="1"/>
      <c r="M1717" s="1"/>
      <c r="N1717" s="1"/>
      <c r="O1717" s="1"/>
      <c r="P1717" s="1"/>
      <c r="Q1717" s="1"/>
      <c r="R1717" s="1"/>
      <c r="S1717" s="1"/>
    </row>
    <row r="1718" ht="14.25" customHeight="1">
      <c r="A1718" s="1"/>
      <c r="B1718" s="138" t="s">
        <v>329</v>
      </c>
      <c r="C1718" s="45">
        <v>2.4</v>
      </c>
      <c r="D1718" s="842">
        <f t="shared" si="158"/>
        <v>2.4</v>
      </c>
      <c r="E1718" s="1655"/>
      <c r="F1718" s="281" t="s">
        <v>14</v>
      </c>
      <c r="G1718" s="76"/>
      <c r="H1718" s="1"/>
      <c r="I1718" s="1"/>
      <c r="J1718" s="1"/>
      <c r="K1718" s="1"/>
      <c r="L1718" s="1"/>
      <c r="M1718" s="1"/>
      <c r="N1718" s="1"/>
      <c r="O1718" s="1"/>
      <c r="P1718" s="1"/>
      <c r="Q1718" s="1"/>
      <c r="R1718" s="1"/>
      <c r="S1718" s="1"/>
    </row>
    <row r="1719" ht="14.25" customHeight="1">
      <c r="A1719" s="1"/>
      <c r="B1719" s="173" t="s">
        <v>31</v>
      </c>
      <c r="C1719" s="275">
        <v>0.4</v>
      </c>
      <c r="D1719" s="546">
        <f t="shared" si="158"/>
        <v>0.4</v>
      </c>
      <c r="E1719" s="1808"/>
      <c r="F1719" s="278" t="s">
        <v>366</v>
      </c>
      <c r="G1719" s="1"/>
      <c r="H1719" s="1"/>
      <c r="I1719" s="1"/>
      <c r="J1719" s="1"/>
      <c r="K1719" s="1"/>
      <c r="L1719" s="1"/>
      <c r="M1719" s="1"/>
      <c r="N1719" s="1"/>
      <c r="O1719" s="1"/>
      <c r="P1719" s="1"/>
      <c r="Q1719" s="1"/>
      <c r="R1719" s="1"/>
      <c r="S1719" s="1"/>
    </row>
    <row r="1720" ht="14.25" customHeight="1">
      <c r="A1720" s="1"/>
      <c r="B1720" s="119" t="s">
        <v>91</v>
      </c>
      <c r="C1720" s="238">
        <v>1.0</v>
      </c>
      <c r="D1720" s="519">
        <f t="shared" si="158"/>
        <v>1</v>
      </c>
      <c r="E1720" s="1657"/>
      <c r="F1720" s="176" t="s">
        <v>5</v>
      </c>
      <c r="G1720" s="1491" t="s">
        <v>3673</v>
      </c>
      <c r="H1720" s="1"/>
      <c r="I1720" s="1"/>
      <c r="J1720" s="1"/>
      <c r="K1720" s="1"/>
      <c r="L1720" s="1"/>
      <c r="M1720" s="1"/>
      <c r="N1720" s="1"/>
      <c r="O1720" s="1"/>
      <c r="P1720" s="1"/>
      <c r="Q1720" s="1"/>
      <c r="R1720" s="1"/>
      <c r="S1720" s="1"/>
    </row>
    <row r="1721" ht="14.25" customHeight="1">
      <c r="A1721" s="1"/>
      <c r="B1721" s="93" t="s">
        <v>98</v>
      </c>
      <c r="C1721" s="195">
        <v>100.0</v>
      </c>
      <c r="D1721" s="521">
        <f t="shared" si="158"/>
        <v>100</v>
      </c>
      <c r="E1721" s="1653"/>
      <c r="F1721" s="165" t="s">
        <v>18</v>
      </c>
      <c r="G1721" s="47"/>
      <c r="H1721" s="1"/>
      <c r="I1721" s="1"/>
      <c r="J1721" s="1"/>
      <c r="K1721" s="1"/>
      <c r="L1721" s="1"/>
      <c r="M1721" s="1"/>
      <c r="N1721" s="1"/>
      <c r="O1721" s="1"/>
      <c r="P1721" s="1"/>
      <c r="Q1721" s="1"/>
      <c r="R1721" s="1"/>
      <c r="S1721" s="1"/>
    </row>
    <row r="1722" ht="14.25" customHeight="1">
      <c r="A1722" s="1"/>
      <c r="B1722" s="105" t="s">
        <v>103</v>
      </c>
      <c r="C1722" s="200">
        <v>160.0</v>
      </c>
      <c r="D1722" s="517">
        <f t="shared" si="158"/>
        <v>160</v>
      </c>
      <c r="E1722" s="1656"/>
      <c r="F1722" s="172" t="s">
        <v>18</v>
      </c>
      <c r="G1722" s="76"/>
      <c r="H1722" s="1"/>
      <c r="I1722" s="1"/>
      <c r="J1722" s="1"/>
      <c r="K1722" s="1"/>
      <c r="L1722" s="1"/>
      <c r="M1722" s="1"/>
      <c r="N1722" s="1"/>
      <c r="O1722" s="1"/>
      <c r="P1722" s="1"/>
      <c r="Q1722" s="1"/>
      <c r="R1722" s="1"/>
      <c r="S1722" s="1"/>
    </row>
    <row r="1723" ht="14.25" customHeight="1">
      <c r="A1723" s="1"/>
      <c r="B1723" s="1067" t="s">
        <v>92</v>
      </c>
      <c r="C1723" s="238">
        <v>400.0</v>
      </c>
      <c r="D1723" s="519">
        <f t="shared" si="158"/>
        <v>400</v>
      </c>
      <c r="E1723" s="1657"/>
      <c r="F1723" s="176" t="s">
        <v>18</v>
      </c>
      <c r="G1723" s="610" t="s">
        <v>3674</v>
      </c>
      <c r="H1723" s="1"/>
      <c r="I1723" s="1"/>
      <c r="J1723" s="1"/>
      <c r="K1723" s="1"/>
      <c r="L1723" s="1"/>
      <c r="M1723" s="1"/>
      <c r="N1723" s="1"/>
      <c r="O1723" s="1"/>
      <c r="P1723" s="1"/>
      <c r="Q1723" s="1"/>
      <c r="R1723" s="1"/>
      <c r="S1723" s="1"/>
    </row>
    <row r="1724" ht="14.25" customHeight="1">
      <c r="A1724" s="1"/>
      <c r="B1724" s="1061" t="s">
        <v>112</v>
      </c>
      <c r="C1724" s="195">
        <v>150.0</v>
      </c>
      <c r="D1724" s="521">
        <f t="shared" si="158"/>
        <v>150</v>
      </c>
      <c r="E1724" s="1653"/>
      <c r="F1724" s="165" t="s">
        <v>18</v>
      </c>
      <c r="G1724" s="47"/>
      <c r="H1724" s="1"/>
      <c r="I1724" s="1"/>
      <c r="J1724" s="1"/>
      <c r="K1724" s="1"/>
      <c r="L1724" s="1"/>
      <c r="M1724" s="1"/>
      <c r="N1724" s="1"/>
      <c r="O1724" s="1"/>
      <c r="P1724" s="1"/>
      <c r="Q1724" s="1"/>
      <c r="R1724" s="1"/>
      <c r="S1724" s="1"/>
    </row>
    <row r="1725" ht="14.25" customHeight="1">
      <c r="A1725" s="1"/>
      <c r="B1725" s="93" t="s">
        <v>321</v>
      </c>
      <c r="C1725" s="195">
        <v>150.0</v>
      </c>
      <c r="D1725" s="521">
        <f t="shared" si="158"/>
        <v>150</v>
      </c>
      <c r="E1725" s="1653"/>
      <c r="F1725" s="165" t="s">
        <v>18</v>
      </c>
      <c r="G1725" s="47"/>
      <c r="H1725" s="1"/>
      <c r="I1725" s="1"/>
      <c r="J1725" s="1"/>
      <c r="K1725" s="1"/>
      <c r="L1725" s="1"/>
      <c r="M1725" s="1"/>
      <c r="N1725" s="1"/>
      <c r="O1725" s="1"/>
      <c r="P1725" s="1"/>
      <c r="Q1725" s="1"/>
      <c r="R1725" s="1"/>
      <c r="S1725" s="1"/>
    </row>
    <row r="1726" ht="14.25" customHeight="1">
      <c r="A1726" s="1"/>
      <c r="B1726" s="105" t="s">
        <v>1132</v>
      </c>
      <c r="C1726" s="200">
        <v>0.8</v>
      </c>
      <c r="D1726" s="517">
        <f t="shared" si="158"/>
        <v>0.8</v>
      </c>
      <c r="E1726" s="1656"/>
      <c r="F1726" s="172" t="s">
        <v>366</v>
      </c>
      <c r="G1726" s="47"/>
      <c r="H1726" s="1"/>
      <c r="I1726" s="1"/>
      <c r="J1726" s="1"/>
      <c r="K1726" s="1"/>
      <c r="L1726" s="1"/>
      <c r="M1726" s="1"/>
      <c r="N1726" s="1"/>
      <c r="O1726" s="1"/>
      <c r="P1726" s="1"/>
      <c r="Q1726" s="1"/>
      <c r="R1726" s="1"/>
      <c r="S1726" s="1"/>
    </row>
    <row r="1727" ht="14.25" customHeight="1">
      <c r="A1727" s="1"/>
      <c r="B1727" s="68" t="s">
        <v>52</v>
      </c>
      <c r="C1727" s="145">
        <v>120.0</v>
      </c>
      <c r="D1727" s="516">
        <f t="shared" si="158"/>
        <v>120</v>
      </c>
      <c r="E1727" s="1652"/>
      <c r="F1727" s="137" t="s">
        <v>18</v>
      </c>
      <c r="G1727" s="47"/>
      <c r="H1727" s="1"/>
      <c r="I1727" s="1"/>
      <c r="J1727" s="1"/>
      <c r="K1727" s="1"/>
      <c r="L1727" s="1"/>
      <c r="M1727" s="1"/>
      <c r="N1727" s="1"/>
      <c r="O1727" s="1"/>
      <c r="P1727" s="1"/>
      <c r="Q1727" s="1"/>
      <c r="R1727" s="1"/>
      <c r="S1727" s="1"/>
    </row>
    <row r="1728" ht="14.25" customHeight="1">
      <c r="A1728" s="1"/>
      <c r="B1728" s="105" t="s">
        <v>1092</v>
      </c>
      <c r="C1728" s="200">
        <v>16.0</v>
      </c>
      <c r="D1728" s="517">
        <f t="shared" si="158"/>
        <v>16</v>
      </c>
      <c r="E1728" s="1656"/>
      <c r="F1728" s="172" t="s">
        <v>14</v>
      </c>
      <c r="G1728" s="76"/>
      <c r="H1728" s="1"/>
      <c r="I1728" s="1"/>
      <c r="J1728" s="1"/>
      <c r="K1728" s="1"/>
      <c r="L1728" s="1"/>
      <c r="M1728" s="1"/>
      <c r="N1728" s="1"/>
      <c r="O1728" s="1"/>
      <c r="P1728" s="1"/>
      <c r="Q1728" s="1"/>
      <c r="R1728" s="1"/>
      <c r="S1728" s="1"/>
    </row>
    <row r="1729" ht="14.25" customHeight="1">
      <c r="A1729" s="1"/>
      <c r="B1729" s="68" t="s">
        <v>3675</v>
      </c>
      <c r="C1729" s="145">
        <v>20.0</v>
      </c>
      <c r="D1729" s="516">
        <f t="shared" si="158"/>
        <v>20</v>
      </c>
      <c r="E1729" s="1652"/>
      <c r="F1729" s="137" t="s">
        <v>366</v>
      </c>
      <c r="G1729" s="1"/>
      <c r="H1729" s="1"/>
      <c r="I1729" s="1"/>
      <c r="J1729" s="1"/>
      <c r="K1729" s="1"/>
      <c r="L1729" s="1"/>
      <c r="M1729" s="1"/>
      <c r="N1729" s="1"/>
      <c r="O1729" s="1"/>
      <c r="P1729" s="1"/>
      <c r="Q1729" s="1"/>
      <c r="R1729" s="1"/>
      <c r="S1729" s="1"/>
    </row>
    <row r="1730" ht="14.25" customHeight="1">
      <c r="A1730" s="1"/>
      <c r="B1730" s="138" t="s">
        <v>31</v>
      </c>
      <c r="C1730" s="279">
        <v>400.0</v>
      </c>
      <c r="D1730" s="521">
        <f t="shared" si="158"/>
        <v>400</v>
      </c>
      <c r="E1730" s="1655"/>
      <c r="F1730" s="281" t="s">
        <v>18</v>
      </c>
      <c r="G1730" s="1"/>
      <c r="H1730" s="1"/>
      <c r="I1730" s="1"/>
      <c r="J1730" s="1"/>
      <c r="K1730" s="1"/>
      <c r="L1730" s="1"/>
      <c r="M1730" s="1"/>
      <c r="N1730" s="1"/>
      <c r="O1730" s="1"/>
      <c r="P1730" s="1"/>
      <c r="Q1730" s="1"/>
      <c r="R1730" s="1"/>
      <c r="S1730" s="1"/>
    </row>
    <row r="1731" ht="14.25" customHeight="1">
      <c r="A1731" s="1"/>
      <c r="B1731" s="1401" t="s">
        <v>3676</v>
      </c>
      <c r="C1731" s="145">
        <v>320.0</v>
      </c>
      <c r="D1731" s="521">
        <f t="shared" si="158"/>
        <v>320</v>
      </c>
      <c r="E1731" s="1657"/>
      <c r="F1731" s="137" t="s">
        <v>18</v>
      </c>
      <c r="G1731" s="1"/>
      <c r="H1731" s="1"/>
      <c r="I1731" s="1"/>
      <c r="J1731" s="1"/>
      <c r="K1731" s="1"/>
      <c r="L1731" s="1"/>
      <c r="M1731" s="1"/>
      <c r="N1731" s="1"/>
      <c r="O1731" s="1"/>
      <c r="P1731" s="1"/>
      <c r="Q1731" s="1"/>
      <c r="R1731" s="1"/>
      <c r="S1731" s="1"/>
    </row>
    <row r="1732" ht="14.25" customHeight="1">
      <c r="A1732" s="1"/>
      <c r="B1732" s="149" t="s">
        <v>1027</v>
      </c>
      <c r="C1732" s="152">
        <v>80.0</v>
      </c>
      <c r="D1732" s="517">
        <f t="shared" si="158"/>
        <v>80</v>
      </c>
      <c r="E1732" s="2360"/>
      <c r="F1732" s="156" t="s">
        <v>18</v>
      </c>
      <c r="G1732" s="1"/>
      <c r="H1732" s="1"/>
      <c r="I1732" s="1"/>
      <c r="J1732" s="1"/>
      <c r="K1732" s="1"/>
      <c r="L1732" s="1"/>
      <c r="M1732" s="1"/>
      <c r="N1732" s="1"/>
      <c r="O1732" s="1"/>
      <c r="P1732" s="1"/>
      <c r="Q1732" s="1"/>
      <c r="R1732" s="1"/>
      <c r="S1732" s="1"/>
    </row>
    <row r="1733" ht="14.25" customHeight="1">
      <c r="A1733" s="1"/>
      <c r="B1733" s="68" t="s">
        <v>1588</v>
      </c>
      <c r="C1733" s="145">
        <v>4.0</v>
      </c>
      <c r="D1733" s="516">
        <f t="shared" si="158"/>
        <v>4</v>
      </c>
      <c r="E1733" s="1652"/>
      <c r="F1733" s="137" t="s">
        <v>5</v>
      </c>
      <c r="G1733" s="1"/>
      <c r="H1733" s="1"/>
      <c r="I1733" s="1"/>
      <c r="J1733" s="1"/>
      <c r="K1733" s="1"/>
      <c r="L1733" s="1"/>
      <c r="M1733" s="1"/>
      <c r="N1733" s="1"/>
      <c r="O1733" s="1"/>
      <c r="P1733" s="1"/>
      <c r="Q1733" s="1"/>
      <c r="R1733" s="1"/>
      <c r="S1733" s="1"/>
    </row>
    <row r="1734" ht="14.25" customHeight="1">
      <c r="A1734" s="1"/>
      <c r="B1734" s="93" t="s">
        <v>2715</v>
      </c>
      <c r="C1734" s="195">
        <v>0.4</v>
      </c>
      <c r="D1734" s="521">
        <f t="shared" si="158"/>
        <v>0.4</v>
      </c>
      <c r="E1734" s="1653"/>
      <c r="F1734" s="165" t="s">
        <v>14</v>
      </c>
      <c r="G1734" s="1"/>
      <c r="H1734" s="1"/>
      <c r="I1734" s="1"/>
      <c r="J1734" s="1"/>
      <c r="K1734" s="1"/>
      <c r="L1734" s="1"/>
      <c r="M1734" s="1"/>
      <c r="N1734" s="1"/>
      <c r="O1734" s="1"/>
      <c r="P1734" s="1"/>
      <c r="Q1734" s="1"/>
      <c r="R1734" s="1"/>
      <c r="S1734" s="1"/>
    </row>
    <row r="1735" ht="14.25" customHeight="1">
      <c r="A1735" s="1"/>
      <c r="B1735" s="105" t="s">
        <v>3677</v>
      </c>
      <c r="C1735" s="200">
        <v>0.4</v>
      </c>
      <c r="D1735" s="517">
        <f t="shared" si="158"/>
        <v>0.4</v>
      </c>
      <c r="E1735" s="1656"/>
      <c r="F1735" s="172" t="s">
        <v>14</v>
      </c>
      <c r="G1735" s="1"/>
      <c r="H1735" s="1"/>
      <c r="I1735" s="1"/>
      <c r="J1735" s="1"/>
      <c r="K1735" s="1"/>
      <c r="L1735" s="1"/>
      <c r="M1735" s="1"/>
      <c r="N1735" s="1"/>
      <c r="O1735" s="1"/>
      <c r="P1735" s="1"/>
      <c r="Q1735" s="1"/>
      <c r="R1735" s="1"/>
      <c r="S1735" s="1"/>
    </row>
    <row r="1736" ht="14.25" customHeight="1">
      <c r="A1736" s="1"/>
      <c r="B1736" s="90" t="s">
        <v>120</v>
      </c>
      <c r="C1736" s="1188">
        <v>43360.0</v>
      </c>
      <c r="D1736" s="107"/>
      <c r="E1736" s="107"/>
      <c r="F1736" s="107"/>
      <c r="G1736" s="1"/>
      <c r="H1736" s="1"/>
      <c r="I1736" s="1"/>
      <c r="J1736" s="1"/>
      <c r="K1736" s="1"/>
      <c r="L1736" s="1"/>
      <c r="M1736" s="1"/>
      <c r="N1736" s="1"/>
      <c r="O1736" s="1"/>
      <c r="P1736" s="1"/>
      <c r="Q1736" s="1"/>
      <c r="R1736" s="1"/>
      <c r="S1736" s="1"/>
    </row>
    <row r="1737" ht="14.25" customHeight="1">
      <c r="A1737" s="1"/>
      <c r="B1737" s="305" t="s">
        <v>50</v>
      </c>
      <c r="C1737" s="1188">
        <v>43498.0</v>
      </c>
      <c r="D1737" s="107"/>
      <c r="E1737" s="107"/>
      <c r="F1737" s="107"/>
      <c r="G1737" s="1"/>
      <c r="H1737" s="1"/>
      <c r="I1737" s="1"/>
      <c r="J1737" s="1"/>
      <c r="K1737" s="1"/>
      <c r="L1737" s="1"/>
      <c r="M1737" s="1"/>
      <c r="N1737" s="1"/>
      <c r="O1737" s="1"/>
      <c r="P1737" s="1"/>
      <c r="Q1737" s="1"/>
      <c r="R1737" s="1"/>
      <c r="S1737" s="1"/>
    </row>
    <row r="1738" ht="14.25" customHeight="1">
      <c r="A1738" s="1"/>
      <c r="B1738" s="1"/>
      <c r="C1738" s="107"/>
      <c r="D1738" s="184"/>
      <c r="E1738" s="184"/>
      <c r="F1738" s="1"/>
      <c r="G1738" s="1"/>
      <c r="H1738" s="1"/>
      <c r="I1738" s="1"/>
      <c r="J1738" s="1"/>
      <c r="K1738" s="1"/>
      <c r="L1738" s="1"/>
      <c r="M1738" s="1"/>
      <c r="N1738" s="1"/>
      <c r="O1738" s="1"/>
      <c r="P1738" s="1"/>
      <c r="Q1738" s="1"/>
      <c r="R1738" s="1"/>
      <c r="S1738" s="1"/>
    </row>
    <row r="1739" ht="14.25" customHeight="1">
      <c r="A1739" s="1"/>
      <c r="B1739" s="2275" t="s">
        <v>119</v>
      </c>
      <c r="C1739" s="107"/>
      <c r="D1739" s="184"/>
      <c r="E1739" s="184"/>
      <c r="F1739" s="1"/>
      <c r="G1739" s="1"/>
      <c r="H1739" s="1"/>
      <c r="I1739" s="1"/>
      <c r="J1739" s="1"/>
      <c r="K1739" s="1"/>
      <c r="L1739" s="1"/>
      <c r="M1739" s="1"/>
      <c r="N1739" s="1"/>
      <c r="O1739" s="1"/>
      <c r="P1739" s="1"/>
      <c r="Q1739" s="1"/>
      <c r="R1739" s="1"/>
      <c r="S1739" s="1"/>
    </row>
    <row r="1740" ht="14.25" customHeight="1">
      <c r="A1740" s="1"/>
      <c r="B1740" s="1"/>
      <c r="C1740" s="107"/>
      <c r="D1740" s="184"/>
      <c r="E1740" s="184"/>
      <c r="F1740" s="1"/>
      <c r="G1740" s="1"/>
      <c r="H1740" s="1"/>
      <c r="I1740" s="1"/>
      <c r="J1740" s="1"/>
      <c r="K1740" s="1"/>
      <c r="L1740" s="1"/>
      <c r="M1740" s="1"/>
      <c r="N1740" s="1"/>
      <c r="O1740" s="1"/>
      <c r="P1740" s="1"/>
      <c r="Q1740" s="1"/>
      <c r="R1740" s="1"/>
      <c r="S1740" s="1"/>
    </row>
    <row r="1741" ht="14.25" customHeight="1">
      <c r="A1741" s="1"/>
      <c r="B1741" s="1"/>
      <c r="C1741" s="107"/>
      <c r="D1741" s="184"/>
      <c r="E1741" s="184"/>
      <c r="F1741" s="1"/>
      <c r="G1741" s="1"/>
      <c r="H1741" s="1"/>
      <c r="I1741" s="1"/>
      <c r="J1741" s="1"/>
      <c r="K1741" s="1"/>
      <c r="L1741" s="1"/>
      <c r="M1741" s="1"/>
      <c r="N1741" s="1"/>
      <c r="O1741" s="1"/>
      <c r="P1741" s="1"/>
      <c r="Q1741" s="1"/>
      <c r="R1741" s="1"/>
      <c r="S1741" s="1"/>
    </row>
    <row r="1742" ht="14.25" customHeight="1">
      <c r="A1742" s="1"/>
      <c r="B1742" s="1"/>
      <c r="C1742" s="107"/>
      <c r="D1742" s="184"/>
      <c r="E1742" s="184"/>
      <c r="F1742" s="1"/>
      <c r="G1742" s="1"/>
      <c r="H1742" s="1"/>
      <c r="I1742" s="1"/>
      <c r="J1742" s="1"/>
      <c r="K1742" s="1"/>
      <c r="L1742" s="1"/>
      <c r="M1742" s="1"/>
      <c r="N1742" s="1"/>
      <c r="O1742" s="1"/>
      <c r="P1742" s="1"/>
      <c r="Q1742" s="1"/>
      <c r="R1742" s="1"/>
      <c r="S1742" s="1"/>
    </row>
    <row r="1743" ht="14.25" customHeight="1">
      <c r="A1743" s="1"/>
      <c r="B1743" s="1"/>
      <c r="C1743" s="107"/>
      <c r="D1743" s="184"/>
      <c r="E1743" s="184"/>
      <c r="F1743" s="1"/>
      <c r="G1743" s="1"/>
      <c r="H1743" s="1"/>
      <c r="I1743" s="1"/>
      <c r="J1743" s="1"/>
      <c r="K1743" s="1"/>
      <c r="L1743" s="1"/>
      <c r="M1743" s="1"/>
      <c r="N1743" s="1"/>
      <c r="O1743" s="1"/>
      <c r="P1743" s="1"/>
      <c r="Q1743" s="1"/>
      <c r="R1743" s="1"/>
      <c r="S1743" s="1"/>
    </row>
    <row r="1744" ht="14.25" customHeight="1">
      <c r="A1744" s="1"/>
      <c r="B1744" s="511" t="s">
        <v>3678</v>
      </c>
      <c r="C1744" s="18"/>
      <c r="D1744" s="18"/>
      <c r="E1744" s="18"/>
      <c r="F1744" s="19"/>
      <c r="G1744" s="1866"/>
      <c r="H1744" s="1"/>
      <c r="I1744" s="1"/>
      <c r="J1744" s="1"/>
      <c r="K1744" s="1"/>
      <c r="L1744" s="1"/>
      <c r="M1744" s="1"/>
      <c r="N1744" s="1"/>
      <c r="O1744" s="1"/>
      <c r="P1744" s="1"/>
      <c r="Q1744" s="1"/>
      <c r="R1744" s="1"/>
      <c r="S1744" s="1"/>
    </row>
    <row r="1745" ht="14.25" customHeight="1">
      <c r="A1745" s="1"/>
      <c r="B1745" s="173" t="s">
        <v>3679</v>
      </c>
      <c r="C1745" s="275">
        <v>100.0</v>
      </c>
      <c r="D1745" s="275">
        <v>5.0</v>
      </c>
      <c r="E1745" s="433"/>
      <c r="F1745" s="278" t="s">
        <v>5</v>
      </c>
      <c r="G1745" s="562"/>
      <c r="H1745" s="1"/>
      <c r="I1745" s="1"/>
      <c r="J1745" s="1"/>
      <c r="K1745" s="1"/>
      <c r="L1745" s="1"/>
      <c r="M1745" s="1"/>
      <c r="N1745" s="1"/>
      <c r="O1745" s="1"/>
      <c r="P1745" s="1"/>
      <c r="Q1745" s="1"/>
      <c r="R1745" s="1"/>
      <c r="S1745" s="1"/>
    </row>
    <row r="1746" ht="14.25" customHeight="1">
      <c r="A1746" s="1"/>
      <c r="B1746" s="68" t="s">
        <v>1664</v>
      </c>
      <c r="C1746" s="145">
        <v>750.0</v>
      </c>
      <c r="D1746" s="145">
        <f t="shared" ref="D1746:D1763" si="159">C1746*D1745/C1745</f>
        <v>37.5</v>
      </c>
      <c r="E1746" s="147"/>
      <c r="F1746" s="137" t="s">
        <v>18</v>
      </c>
      <c r="G1746" s="610" t="s">
        <v>3680</v>
      </c>
      <c r="H1746" s="1"/>
      <c r="I1746" s="1"/>
      <c r="J1746" s="1"/>
      <c r="K1746" s="1"/>
      <c r="L1746" s="1"/>
      <c r="M1746" s="1"/>
      <c r="N1746" s="1"/>
      <c r="O1746" s="1"/>
      <c r="P1746" s="1"/>
      <c r="Q1746" s="1"/>
      <c r="R1746" s="1"/>
      <c r="S1746" s="1"/>
    </row>
    <row r="1747" ht="14.25" customHeight="1">
      <c r="A1747" s="1"/>
      <c r="B1747" s="93" t="s">
        <v>162</v>
      </c>
      <c r="C1747" s="195">
        <v>200.0</v>
      </c>
      <c r="D1747" s="195">
        <f t="shared" si="159"/>
        <v>10</v>
      </c>
      <c r="E1747" s="196"/>
      <c r="F1747" s="165" t="s">
        <v>18</v>
      </c>
      <c r="G1747" s="47"/>
      <c r="H1747" s="1"/>
      <c r="I1747" s="1"/>
      <c r="J1747" s="1"/>
      <c r="K1747" s="1"/>
      <c r="L1747" s="1"/>
      <c r="M1747" s="1"/>
      <c r="N1747" s="1"/>
      <c r="O1747" s="1"/>
      <c r="P1747" s="1"/>
      <c r="Q1747" s="1"/>
      <c r="R1747" s="1"/>
      <c r="S1747" s="1"/>
    </row>
    <row r="1748" ht="14.25" customHeight="1">
      <c r="A1748" s="1"/>
      <c r="B1748" s="93" t="s">
        <v>3091</v>
      </c>
      <c r="C1748" s="195">
        <v>40.0</v>
      </c>
      <c r="D1748" s="195">
        <f t="shared" si="159"/>
        <v>2</v>
      </c>
      <c r="E1748" s="196"/>
      <c r="F1748" s="165" t="s">
        <v>14</v>
      </c>
      <c r="G1748" s="47"/>
      <c r="H1748" s="1"/>
      <c r="I1748" s="1"/>
      <c r="J1748" s="1"/>
      <c r="K1748" s="1"/>
      <c r="L1748" s="1"/>
      <c r="M1748" s="1"/>
      <c r="N1748" s="1"/>
      <c r="O1748" s="1"/>
      <c r="P1748" s="1"/>
      <c r="Q1748" s="1"/>
      <c r="R1748" s="1"/>
      <c r="S1748" s="1"/>
    </row>
    <row r="1749" ht="14.25" customHeight="1">
      <c r="A1749" s="1"/>
      <c r="B1749" s="93" t="s">
        <v>3681</v>
      </c>
      <c r="C1749" s="195">
        <v>2250.0</v>
      </c>
      <c r="D1749" s="195">
        <f t="shared" si="159"/>
        <v>112.5</v>
      </c>
      <c r="E1749" s="196"/>
      <c r="F1749" s="165" t="s">
        <v>18</v>
      </c>
      <c r="G1749" s="47"/>
      <c r="H1749" s="1"/>
      <c r="I1749" s="1"/>
      <c r="J1749" s="1"/>
      <c r="K1749" s="1"/>
      <c r="L1749" s="1"/>
      <c r="M1749" s="1"/>
      <c r="N1749" s="1"/>
      <c r="O1749" s="1"/>
      <c r="P1749" s="1"/>
      <c r="Q1749" s="1"/>
      <c r="R1749" s="1"/>
      <c r="S1749" s="1"/>
    </row>
    <row r="1750" ht="14.25" customHeight="1">
      <c r="A1750" s="1"/>
      <c r="B1750" s="105" t="s">
        <v>1132</v>
      </c>
      <c r="C1750" s="200">
        <v>2250.0</v>
      </c>
      <c r="D1750" s="200">
        <f t="shared" si="159"/>
        <v>112.5</v>
      </c>
      <c r="E1750" s="202"/>
      <c r="F1750" s="172" t="s">
        <v>18</v>
      </c>
      <c r="G1750" s="76"/>
      <c r="H1750" s="1"/>
      <c r="I1750" s="1"/>
      <c r="J1750" s="1"/>
      <c r="K1750" s="1"/>
      <c r="L1750" s="1"/>
      <c r="M1750" s="1"/>
      <c r="N1750" s="1"/>
      <c r="O1750" s="1"/>
      <c r="P1750" s="1"/>
      <c r="Q1750" s="1"/>
      <c r="R1750" s="1"/>
      <c r="S1750" s="1"/>
    </row>
    <row r="1751" ht="14.25" customHeight="1">
      <c r="A1751" s="1"/>
      <c r="B1751" s="68" t="s">
        <v>491</v>
      </c>
      <c r="C1751" s="145">
        <v>4.5</v>
      </c>
      <c r="D1751" s="145">
        <f t="shared" si="159"/>
        <v>0.225</v>
      </c>
      <c r="E1751" s="147"/>
      <c r="F1751" s="137" t="s">
        <v>5</v>
      </c>
      <c r="G1751" s="610" t="s">
        <v>3682</v>
      </c>
      <c r="H1751" s="1"/>
      <c r="I1751" s="1"/>
      <c r="J1751" s="1"/>
      <c r="K1751" s="1"/>
      <c r="L1751" s="1"/>
      <c r="M1751" s="1"/>
      <c r="N1751" s="1"/>
      <c r="O1751" s="1"/>
      <c r="P1751" s="1"/>
      <c r="Q1751" s="1"/>
      <c r="R1751" s="1"/>
      <c r="S1751" s="1"/>
    </row>
    <row r="1752" ht="14.25" customHeight="1">
      <c r="A1752" s="1"/>
      <c r="B1752" s="93" t="s">
        <v>52</v>
      </c>
      <c r="C1752" s="195">
        <v>100.0</v>
      </c>
      <c r="D1752" s="195">
        <f t="shared" si="159"/>
        <v>5</v>
      </c>
      <c r="E1752" s="196"/>
      <c r="F1752" s="165" t="s">
        <v>18</v>
      </c>
      <c r="G1752" s="47"/>
      <c r="H1752" s="1"/>
      <c r="I1752" s="1"/>
      <c r="J1752" s="1"/>
      <c r="K1752" s="1"/>
      <c r="L1752" s="1"/>
      <c r="M1752" s="1"/>
      <c r="N1752" s="1"/>
      <c r="O1752" s="1"/>
      <c r="P1752" s="1"/>
      <c r="Q1752" s="1"/>
      <c r="R1752" s="1"/>
      <c r="S1752" s="1"/>
    </row>
    <row r="1753" ht="14.25" customHeight="1">
      <c r="A1753" s="1"/>
      <c r="B1753" s="93" t="s">
        <v>103</v>
      </c>
      <c r="C1753" s="195">
        <v>80.0</v>
      </c>
      <c r="D1753" s="195">
        <f t="shared" si="159"/>
        <v>4</v>
      </c>
      <c r="E1753" s="196"/>
      <c r="F1753" s="165" t="s">
        <v>18</v>
      </c>
      <c r="G1753" s="47"/>
      <c r="H1753" s="1"/>
      <c r="I1753" s="1"/>
      <c r="J1753" s="1"/>
      <c r="K1753" s="1"/>
      <c r="L1753" s="1"/>
      <c r="M1753" s="1"/>
      <c r="N1753" s="1"/>
      <c r="O1753" s="1"/>
      <c r="P1753" s="1"/>
      <c r="Q1753" s="1"/>
      <c r="R1753" s="1"/>
      <c r="S1753" s="1"/>
    </row>
    <row r="1754" ht="14.25" customHeight="1">
      <c r="A1754" s="1"/>
      <c r="B1754" s="93" t="s">
        <v>149</v>
      </c>
      <c r="C1754" s="195">
        <v>900.0</v>
      </c>
      <c r="D1754" s="195">
        <f t="shared" si="159"/>
        <v>45</v>
      </c>
      <c r="E1754" s="196"/>
      <c r="F1754" s="165" t="s">
        <v>18</v>
      </c>
      <c r="G1754" s="47"/>
      <c r="H1754" s="1"/>
      <c r="I1754" s="1"/>
      <c r="J1754" s="1"/>
      <c r="K1754" s="1"/>
      <c r="L1754" s="1"/>
      <c r="M1754" s="1"/>
      <c r="N1754" s="1"/>
      <c r="O1754" s="1"/>
      <c r="P1754" s="1"/>
      <c r="Q1754" s="1"/>
      <c r="R1754" s="1"/>
      <c r="S1754" s="1"/>
    </row>
    <row r="1755" ht="14.25" customHeight="1">
      <c r="A1755" s="1"/>
      <c r="B1755" s="93" t="s">
        <v>39</v>
      </c>
      <c r="C1755" s="195">
        <v>300.0</v>
      </c>
      <c r="D1755" s="195">
        <f t="shared" si="159"/>
        <v>15</v>
      </c>
      <c r="E1755" s="196"/>
      <c r="F1755" s="165" t="s">
        <v>18</v>
      </c>
      <c r="G1755" s="47"/>
      <c r="H1755" s="1"/>
      <c r="I1755" s="1"/>
      <c r="J1755" s="1"/>
      <c r="K1755" s="1"/>
      <c r="L1755" s="1"/>
      <c r="M1755" s="1"/>
      <c r="N1755" s="1"/>
      <c r="O1755" s="1"/>
      <c r="P1755" s="1"/>
      <c r="Q1755" s="1"/>
      <c r="R1755" s="1"/>
      <c r="S1755" s="1"/>
    </row>
    <row r="1756" ht="14.25" customHeight="1">
      <c r="A1756" s="1"/>
      <c r="B1756" s="93" t="s">
        <v>1027</v>
      </c>
      <c r="C1756" s="195">
        <v>180.0</v>
      </c>
      <c r="D1756" s="195">
        <f t="shared" si="159"/>
        <v>9</v>
      </c>
      <c r="E1756" s="196"/>
      <c r="F1756" s="165" t="s">
        <v>18</v>
      </c>
      <c r="G1756" s="47"/>
      <c r="H1756" s="1"/>
      <c r="I1756" s="1"/>
      <c r="J1756" s="1"/>
      <c r="K1756" s="1"/>
      <c r="L1756" s="1"/>
      <c r="M1756" s="1"/>
      <c r="N1756" s="1"/>
      <c r="O1756" s="1"/>
      <c r="P1756" s="1"/>
      <c r="Q1756" s="1"/>
      <c r="R1756" s="1"/>
      <c r="S1756" s="1"/>
    </row>
    <row r="1757" ht="14.25" customHeight="1">
      <c r="A1757" s="1"/>
      <c r="B1757" s="93" t="s">
        <v>3683</v>
      </c>
      <c r="C1757" s="195">
        <v>180.0</v>
      </c>
      <c r="D1757" s="195">
        <f t="shared" si="159"/>
        <v>9</v>
      </c>
      <c r="E1757" s="196"/>
      <c r="F1757" s="165" t="s">
        <v>18</v>
      </c>
      <c r="G1757" s="47"/>
      <c r="H1757" s="1"/>
      <c r="I1757" s="1"/>
      <c r="J1757" s="1"/>
      <c r="K1757" s="1"/>
      <c r="L1757" s="1"/>
      <c r="M1757" s="1"/>
      <c r="N1757" s="1"/>
      <c r="O1757" s="1"/>
      <c r="P1757" s="1"/>
      <c r="Q1757" s="1"/>
      <c r="R1757" s="1"/>
      <c r="S1757" s="1"/>
    </row>
    <row r="1758" ht="15.0" customHeight="1">
      <c r="A1758" s="1"/>
      <c r="B1758" s="93" t="s">
        <v>1941</v>
      </c>
      <c r="C1758" s="195">
        <v>240.0</v>
      </c>
      <c r="D1758" s="195">
        <f t="shared" si="159"/>
        <v>12</v>
      </c>
      <c r="E1758" s="196"/>
      <c r="F1758" s="165" t="s">
        <v>18</v>
      </c>
      <c r="G1758" s="47"/>
      <c r="H1758" s="1"/>
      <c r="I1758" s="1"/>
      <c r="J1758" s="1"/>
      <c r="K1758" s="1"/>
      <c r="L1758" s="1"/>
      <c r="M1758" s="1"/>
      <c r="N1758" s="1"/>
      <c r="O1758" s="1"/>
      <c r="P1758" s="1"/>
      <c r="Q1758" s="1"/>
      <c r="R1758" s="1"/>
      <c r="S1758" s="1"/>
    </row>
    <row r="1759" ht="14.25" customHeight="1">
      <c r="A1759" s="1"/>
      <c r="B1759" s="93" t="s">
        <v>288</v>
      </c>
      <c r="C1759" s="195">
        <v>120.0</v>
      </c>
      <c r="D1759" s="195">
        <f t="shared" si="159"/>
        <v>6</v>
      </c>
      <c r="E1759" s="196"/>
      <c r="F1759" s="165" t="s">
        <v>18</v>
      </c>
      <c r="G1759" s="47"/>
      <c r="H1759" s="1"/>
      <c r="I1759" s="1"/>
      <c r="J1759" s="1"/>
      <c r="K1759" s="1"/>
      <c r="L1759" s="1"/>
      <c r="M1759" s="1"/>
      <c r="N1759" s="1"/>
      <c r="O1759" s="1"/>
      <c r="P1759" s="1"/>
      <c r="Q1759" s="1"/>
      <c r="R1759" s="1"/>
      <c r="S1759" s="1"/>
    </row>
    <row r="1760" ht="14.25" customHeight="1">
      <c r="A1760" s="1"/>
      <c r="B1760" s="105" t="s">
        <v>3684</v>
      </c>
      <c r="C1760" s="200">
        <v>150.0</v>
      </c>
      <c r="D1760" s="200">
        <f t="shared" si="159"/>
        <v>7.5</v>
      </c>
      <c r="E1760" s="202"/>
      <c r="F1760" s="172" t="s">
        <v>18</v>
      </c>
      <c r="G1760" s="76"/>
      <c r="H1760" s="1"/>
      <c r="I1760" s="1"/>
      <c r="J1760" s="1"/>
      <c r="K1760" s="1"/>
      <c r="L1760" s="1"/>
      <c r="M1760" s="1"/>
      <c r="N1760" s="1"/>
      <c r="O1760" s="1"/>
      <c r="P1760" s="1"/>
      <c r="Q1760" s="1"/>
      <c r="R1760" s="1"/>
      <c r="S1760" s="1"/>
    </row>
    <row r="1761" ht="14.25" customHeight="1">
      <c r="A1761" s="1"/>
      <c r="B1761" s="119" t="s">
        <v>31</v>
      </c>
      <c r="C1761" s="238">
        <v>0.9</v>
      </c>
      <c r="D1761" s="238">
        <f t="shared" si="159"/>
        <v>0.045</v>
      </c>
      <c r="E1761" s="282"/>
      <c r="F1761" s="176" t="s">
        <v>14</v>
      </c>
      <c r="G1761" s="770" t="s">
        <v>3685</v>
      </c>
      <c r="H1761" s="1"/>
      <c r="I1761" s="1"/>
      <c r="J1761" s="1"/>
      <c r="K1761" s="1"/>
      <c r="L1761" s="1"/>
      <c r="M1761" s="1"/>
      <c r="N1761" s="1"/>
      <c r="O1761" s="1"/>
      <c r="P1761" s="1"/>
      <c r="Q1761" s="1"/>
      <c r="R1761" s="1"/>
      <c r="S1761" s="1"/>
    </row>
    <row r="1762" ht="14.25" customHeight="1">
      <c r="A1762" s="1"/>
      <c r="B1762" s="93" t="s">
        <v>13</v>
      </c>
      <c r="C1762" s="195">
        <v>400.0</v>
      </c>
      <c r="D1762" s="195">
        <f t="shared" si="159"/>
        <v>20</v>
      </c>
      <c r="E1762" s="196"/>
      <c r="F1762" s="165" t="s">
        <v>18</v>
      </c>
      <c r="G1762" s="47"/>
      <c r="H1762" s="1"/>
      <c r="I1762" s="1"/>
      <c r="J1762" s="1"/>
      <c r="K1762" s="1"/>
      <c r="L1762" s="1"/>
      <c r="M1762" s="1"/>
      <c r="N1762" s="1"/>
      <c r="O1762" s="1"/>
      <c r="P1762" s="1"/>
      <c r="Q1762" s="1"/>
      <c r="R1762" s="1"/>
      <c r="S1762" s="1"/>
    </row>
    <row r="1763" ht="14.25" customHeight="1">
      <c r="A1763" s="1"/>
      <c r="B1763" s="138" t="s">
        <v>2292</v>
      </c>
      <c r="C1763" s="279">
        <v>9.0</v>
      </c>
      <c r="D1763" s="195">
        <f t="shared" si="159"/>
        <v>0.45</v>
      </c>
      <c r="E1763" s="280"/>
      <c r="F1763" s="281" t="s">
        <v>5</v>
      </c>
      <c r="G1763" s="76"/>
      <c r="H1763" s="1"/>
      <c r="I1763" s="1"/>
      <c r="J1763" s="1"/>
      <c r="K1763" s="1"/>
      <c r="L1763" s="1"/>
      <c r="M1763" s="1"/>
      <c r="N1763" s="1"/>
      <c r="O1763" s="1"/>
      <c r="P1763" s="1"/>
      <c r="Q1763" s="1"/>
      <c r="R1763" s="1"/>
      <c r="S1763" s="1"/>
    </row>
    <row r="1764" ht="14.25" customHeight="1">
      <c r="A1764" s="1"/>
      <c r="B1764" s="511" t="s">
        <v>3394</v>
      </c>
      <c r="C1764" s="18"/>
      <c r="D1764" s="18"/>
      <c r="E1764" s="18"/>
      <c r="F1764" s="19"/>
      <c r="G1764" s="562"/>
      <c r="H1764" s="1"/>
      <c r="I1764" s="1"/>
      <c r="J1764" s="1"/>
      <c r="K1764" s="1"/>
      <c r="L1764" s="1"/>
      <c r="M1764" s="1"/>
      <c r="N1764" s="1"/>
      <c r="O1764" s="1"/>
      <c r="P1764" s="1"/>
      <c r="Q1764" s="1"/>
      <c r="R1764" s="1"/>
      <c r="S1764" s="1"/>
    </row>
    <row r="1765" ht="14.25" customHeight="1">
      <c r="A1765" s="1"/>
      <c r="B1765" s="173" t="s">
        <v>1388</v>
      </c>
      <c r="C1765" s="275">
        <v>400.0</v>
      </c>
      <c r="D1765" s="275">
        <v>400.0</v>
      </c>
      <c r="E1765" s="433"/>
      <c r="F1765" s="278" t="s">
        <v>999</v>
      </c>
      <c r="G1765" s="562"/>
      <c r="H1765" s="1"/>
      <c r="I1765" s="1"/>
      <c r="J1765" s="1"/>
      <c r="K1765" s="1"/>
      <c r="L1765" s="1"/>
      <c r="M1765" s="1"/>
      <c r="N1765" s="1"/>
      <c r="O1765" s="1"/>
      <c r="P1765" s="1"/>
      <c r="Q1765" s="1"/>
      <c r="R1765" s="1"/>
      <c r="S1765" s="1"/>
    </row>
    <row r="1766" ht="14.25" customHeight="1">
      <c r="A1766" s="1"/>
      <c r="B1766" s="119" t="s">
        <v>3264</v>
      </c>
      <c r="C1766" s="238">
        <v>2.2</v>
      </c>
      <c r="D1766" s="982">
        <f t="shared" ref="D1766:D1778" si="160">C1766*D1765/C1765</f>
        <v>2.2</v>
      </c>
      <c r="E1766" s="3175"/>
      <c r="F1766" s="176" t="s">
        <v>14</v>
      </c>
      <c r="G1766" s="3176" t="s">
        <v>3686</v>
      </c>
      <c r="H1766" s="1"/>
      <c r="I1766" s="1"/>
      <c r="J1766" s="1"/>
      <c r="K1766" s="1"/>
      <c r="L1766" s="1"/>
      <c r="M1766" s="1"/>
      <c r="N1766" s="1"/>
      <c r="O1766" s="1"/>
      <c r="P1766" s="1"/>
      <c r="Q1766" s="1"/>
      <c r="R1766" s="1"/>
      <c r="S1766" s="1"/>
    </row>
    <row r="1767" ht="14.25" customHeight="1">
      <c r="A1767" s="1"/>
      <c r="B1767" s="93" t="s">
        <v>1161</v>
      </c>
      <c r="C1767" s="195">
        <v>1.5</v>
      </c>
      <c r="D1767" s="40">
        <f t="shared" si="160"/>
        <v>1.5</v>
      </c>
      <c r="E1767" s="2434"/>
      <c r="F1767" s="165" t="s">
        <v>14</v>
      </c>
      <c r="G1767" s="3176" t="s">
        <v>3687</v>
      </c>
      <c r="H1767" s="1"/>
      <c r="I1767" s="1"/>
      <c r="J1767" s="1"/>
      <c r="K1767" s="1"/>
      <c r="L1767" s="1"/>
      <c r="M1767" s="1"/>
      <c r="N1767" s="1"/>
      <c r="O1767" s="1"/>
      <c r="P1767" s="1"/>
      <c r="Q1767" s="1"/>
      <c r="R1767" s="1"/>
      <c r="S1767" s="1"/>
    </row>
    <row r="1768" ht="14.25" customHeight="1">
      <c r="A1768" s="1"/>
      <c r="B1768" s="93" t="s">
        <v>3688</v>
      </c>
      <c r="C1768" s="195">
        <v>180.0</v>
      </c>
      <c r="D1768" s="195">
        <f t="shared" si="160"/>
        <v>180</v>
      </c>
      <c r="E1768" s="196"/>
      <c r="F1768" s="165" t="s">
        <v>18</v>
      </c>
      <c r="G1768" s="770" t="s">
        <v>3617</v>
      </c>
      <c r="H1768" s="1"/>
      <c r="I1768" s="1"/>
      <c r="J1768" s="1"/>
      <c r="K1768" s="1"/>
      <c r="L1768" s="1"/>
      <c r="M1768" s="1"/>
      <c r="N1768" s="1"/>
      <c r="O1768" s="1"/>
      <c r="P1768" s="1"/>
      <c r="Q1768" s="1"/>
      <c r="R1768" s="1"/>
      <c r="S1768" s="1"/>
    </row>
    <row r="1769" ht="14.25" customHeight="1">
      <c r="A1769" s="1"/>
      <c r="B1769" s="93" t="s">
        <v>3689</v>
      </c>
      <c r="C1769" s="195">
        <v>3.0</v>
      </c>
      <c r="D1769" s="195">
        <f t="shared" si="160"/>
        <v>3</v>
      </c>
      <c r="E1769" s="196"/>
      <c r="F1769" s="165" t="s">
        <v>526</v>
      </c>
      <c r="G1769" s="76"/>
      <c r="H1769" s="1"/>
      <c r="I1769" s="1"/>
      <c r="J1769" s="1"/>
      <c r="K1769" s="1"/>
      <c r="L1769" s="1"/>
      <c r="M1769" s="1"/>
      <c r="N1769" s="1"/>
      <c r="O1769" s="1"/>
      <c r="P1769" s="1"/>
      <c r="Q1769" s="1"/>
      <c r="R1769" s="1"/>
      <c r="S1769" s="1"/>
    </row>
    <row r="1770" ht="14.25" customHeight="1">
      <c r="A1770" s="1"/>
      <c r="B1770" s="93" t="s">
        <v>1274</v>
      </c>
      <c r="C1770" s="195">
        <v>0.32</v>
      </c>
      <c r="D1770" s="195">
        <f t="shared" si="160"/>
        <v>0.32</v>
      </c>
      <c r="E1770" s="196"/>
      <c r="F1770" s="165" t="s">
        <v>366</v>
      </c>
      <c r="G1770" s="562"/>
      <c r="H1770" s="1"/>
      <c r="I1770" s="1"/>
      <c r="J1770" s="1"/>
      <c r="K1770" s="1"/>
      <c r="L1770" s="1"/>
      <c r="M1770" s="1"/>
      <c r="N1770" s="1"/>
      <c r="O1770" s="1"/>
      <c r="P1770" s="1"/>
      <c r="Q1770" s="1"/>
      <c r="R1770" s="1"/>
      <c r="S1770" s="1"/>
    </row>
    <row r="1771" ht="14.25" customHeight="1">
      <c r="A1771" s="1"/>
      <c r="B1771" s="93" t="s">
        <v>39</v>
      </c>
      <c r="C1771" s="195">
        <v>64.0</v>
      </c>
      <c r="D1771" s="195">
        <f t="shared" si="160"/>
        <v>64</v>
      </c>
      <c r="E1771" s="196"/>
      <c r="F1771" s="165" t="s">
        <v>18</v>
      </c>
      <c r="G1771" s="610" t="s">
        <v>3690</v>
      </c>
      <c r="H1771" s="1"/>
      <c r="I1771" s="1"/>
      <c r="J1771" s="1"/>
      <c r="K1771" s="1"/>
      <c r="L1771" s="1"/>
      <c r="M1771" s="1"/>
      <c r="N1771" s="1"/>
      <c r="O1771" s="1"/>
      <c r="P1771" s="1"/>
      <c r="Q1771" s="1"/>
      <c r="R1771" s="1"/>
      <c r="S1771" s="1"/>
    </row>
    <row r="1772" ht="14.25" customHeight="1">
      <c r="A1772" s="1"/>
      <c r="B1772" s="93" t="s">
        <v>3691</v>
      </c>
      <c r="C1772" s="195">
        <v>120.0</v>
      </c>
      <c r="D1772" s="195">
        <f t="shared" si="160"/>
        <v>120</v>
      </c>
      <c r="E1772" s="196"/>
      <c r="F1772" s="165" t="s">
        <v>18</v>
      </c>
      <c r="G1772" s="47"/>
      <c r="H1772" s="1"/>
      <c r="I1772" s="1"/>
      <c r="J1772" s="1"/>
      <c r="K1772" s="1"/>
      <c r="L1772" s="1"/>
      <c r="M1772" s="1"/>
      <c r="N1772" s="1"/>
      <c r="O1772" s="1"/>
      <c r="P1772" s="1"/>
      <c r="Q1772" s="1"/>
      <c r="R1772" s="1"/>
      <c r="S1772" s="1"/>
    </row>
    <row r="1773" ht="14.25" customHeight="1">
      <c r="A1773" s="1"/>
      <c r="B1773" s="93" t="s">
        <v>112</v>
      </c>
      <c r="C1773" s="195">
        <v>40.0</v>
      </c>
      <c r="D1773" s="195">
        <f t="shared" si="160"/>
        <v>40</v>
      </c>
      <c r="E1773" s="196"/>
      <c r="F1773" s="165" t="s">
        <v>18</v>
      </c>
      <c r="G1773" s="47"/>
      <c r="H1773" s="1"/>
      <c r="I1773" s="1"/>
      <c r="J1773" s="1"/>
      <c r="K1773" s="1"/>
      <c r="L1773" s="1"/>
      <c r="M1773" s="1"/>
      <c r="N1773" s="1"/>
      <c r="O1773" s="1"/>
      <c r="P1773" s="1"/>
      <c r="Q1773" s="1"/>
      <c r="R1773" s="1"/>
      <c r="S1773" s="1"/>
    </row>
    <row r="1774" ht="14.25" customHeight="1">
      <c r="A1774" s="1"/>
      <c r="B1774" s="93" t="s">
        <v>105</v>
      </c>
      <c r="C1774" s="195">
        <v>40.0</v>
      </c>
      <c r="D1774" s="195">
        <f t="shared" si="160"/>
        <v>40</v>
      </c>
      <c r="E1774" s="196"/>
      <c r="F1774" s="165" t="s">
        <v>18</v>
      </c>
      <c r="G1774" s="47"/>
      <c r="H1774" s="1"/>
      <c r="I1774" s="1"/>
      <c r="J1774" s="1"/>
      <c r="K1774" s="1"/>
      <c r="L1774" s="1"/>
      <c r="M1774" s="1"/>
      <c r="N1774" s="1"/>
      <c r="O1774" s="1"/>
      <c r="P1774" s="1"/>
      <c r="Q1774" s="1"/>
      <c r="R1774" s="1"/>
      <c r="S1774" s="1"/>
    </row>
    <row r="1775" ht="14.25" customHeight="1">
      <c r="A1775" s="1"/>
      <c r="B1775" s="93" t="s">
        <v>1027</v>
      </c>
      <c r="C1775" s="195">
        <v>48.0</v>
      </c>
      <c r="D1775" s="195">
        <f t="shared" si="160"/>
        <v>48</v>
      </c>
      <c r="E1775" s="196"/>
      <c r="F1775" s="165" t="s">
        <v>18</v>
      </c>
      <c r="G1775" s="47"/>
      <c r="H1775" s="1"/>
      <c r="I1775" s="1"/>
      <c r="J1775" s="1"/>
      <c r="K1775" s="1"/>
      <c r="L1775" s="1"/>
      <c r="M1775" s="1"/>
      <c r="N1775" s="1"/>
      <c r="O1775" s="1"/>
      <c r="P1775" s="1"/>
      <c r="Q1775" s="1"/>
      <c r="R1775" s="1"/>
      <c r="S1775" s="1"/>
    </row>
    <row r="1776" ht="14.25" customHeight="1">
      <c r="A1776" s="1"/>
      <c r="B1776" s="93" t="s">
        <v>1941</v>
      </c>
      <c r="C1776" s="195">
        <v>48.0</v>
      </c>
      <c r="D1776" s="195">
        <f t="shared" si="160"/>
        <v>48</v>
      </c>
      <c r="E1776" s="196"/>
      <c r="F1776" s="165" t="s">
        <v>18</v>
      </c>
      <c r="G1776" s="47"/>
      <c r="H1776" s="1"/>
      <c r="I1776" s="1"/>
      <c r="J1776" s="1"/>
      <c r="K1776" s="1"/>
      <c r="L1776" s="1"/>
      <c r="M1776" s="1"/>
      <c r="N1776" s="1"/>
      <c r="O1776" s="1"/>
      <c r="P1776" s="1"/>
      <c r="Q1776" s="1"/>
      <c r="R1776" s="1"/>
      <c r="S1776" s="1"/>
    </row>
    <row r="1777" ht="14.25" customHeight="1">
      <c r="A1777" s="1"/>
      <c r="B1777" s="93" t="s">
        <v>288</v>
      </c>
      <c r="C1777" s="195">
        <v>32.0</v>
      </c>
      <c r="D1777" s="195">
        <f t="shared" si="160"/>
        <v>32</v>
      </c>
      <c r="E1777" s="196"/>
      <c r="F1777" s="165" t="s">
        <v>18</v>
      </c>
      <c r="G1777" s="47"/>
      <c r="H1777" s="1"/>
      <c r="I1777" s="1"/>
      <c r="J1777" s="1"/>
      <c r="K1777" s="1"/>
      <c r="L1777" s="1"/>
      <c r="M1777" s="1"/>
      <c r="N1777" s="1"/>
      <c r="O1777" s="1"/>
      <c r="P1777" s="1"/>
      <c r="Q1777" s="1"/>
      <c r="R1777" s="1"/>
      <c r="S1777" s="1"/>
    </row>
    <row r="1778" ht="14.25" customHeight="1">
      <c r="A1778" s="1"/>
      <c r="B1778" s="105" t="s">
        <v>31</v>
      </c>
      <c r="C1778" s="200">
        <v>80.0</v>
      </c>
      <c r="D1778" s="200">
        <f t="shared" si="160"/>
        <v>80</v>
      </c>
      <c r="E1778" s="202"/>
      <c r="F1778" s="172" t="s">
        <v>18</v>
      </c>
      <c r="G1778" s="76"/>
      <c r="H1778" s="1"/>
      <c r="I1778" s="1"/>
      <c r="J1778" s="1"/>
      <c r="K1778" s="1"/>
      <c r="L1778" s="1"/>
      <c r="M1778" s="1"/>
      <c r="N1778" s="1"/>
      <c r="O1778" s="1"/>
      <c r="P1778" s="1"/>
      <c r="Q1778" s="1"/>
      <c r="R1778" s="1"/>
      <c r="S1778" s="1"/>
    </row>
    <row r="1779" ht="14.25" customHeight="1">
      <c r="A1779" s="1"/>
      <c r="B1779" s="203" t="s">
        <v>120</v>
      </c>
      <c r="C1779" s="1363">
        <v>43252.0</v>
      </c>
      <c r="D1779" s="107"/>
      <c r="E1779" s="107"/>
      <c r="F1779" s="1"/>
      <c r="G1779" s="1"/>
      <c r="H1779" s="1"/>
      <c r="I1779" s="1"/>
      <c r="J1779" s="1"/>
      <c r="K1779" s="1"/>
      <c r="L1779" s="1"/>
      <c r="M1779" s="1"/>
      <c r="N1779" s="1"/>
      <c r="O1779" s="1"/>
      <c r="P1779" s="1"/>
      <c r="Q1779" s="1"/>
      <c r="R1779" s="1"/>
      <c r="S1779" s="1"/>
    </row>
    <row r="1780" ht="14.25" customHeight="1">
      <c r="A1780" s="1"/>
      <c r="B1780" s="203" t="s">
        <v>50</v>
      </c>
      <c r="C1780" s="1363">
        <v>43259.0</v>
      </c>
      <c r="D1780" s="107"/>
      <c r="E1780" s="107"/>
      <c r="F1780" s="1"/>
      <c r="G1780" s="1"/>
      <c r="H1780" s="1"/>
      <c r="I1780" s="1"/>
      <c r="J1780" s="1"/>
      <c r="K1780" s="1"/>
      <c r="L1780" s="1"/>
      <c r="M1780" s="1"/>
      <c r="N1780" s="1"/>
      <c r="O1780" s="1"/>
      <c r="P1780" s="1"/>
      <c r="Q1780" s="1"/>
      <c r="R1780" s="1"/>
      <c r="S1780" s="1"/>
    </row>
    <row r="1781" ht="14.25" customHeight="1">
      <c r="A1781" s="1"/>
      <c r="B1781" s="1"/>
      <c r="C1781" s="107"/>
      <c r="D1781" s="184"/>
      <c r="E1781" s="184"/>
      <c r="F1781" s="107"/>
      <c r="G1781" s="1"/>
      <c r="H1781" s="1"/>
      <c r="I1781" s="1"/>
      <c r="J1781" s="1"/>
      <c r="K1781" s="1"/>
      <c r="L1781" s="1"/>
      <c r="M1781" s="1"/>
      <c r="N1781" s="1"/>
      <c r="O1781" s="1"/>
      <c r="P1781" s="1"/>
      <c r="Q1781" s="1"/>
      <c r="R1781" s="1"/>
      <c r="S1781" s="1"/>
    </row>
    <row r="1782" ht="14.25" customHeight="1">
      <c r="A1782" s="1"/>
      <c r="B1782" s="1"/>
      <c r="C1782" s="107"/>
      <c r="D1782" s="184"/>
      <c r="E1782" s="184"/>
      <c r="F1782" s="1"/>
      <c r="G1782" s="1"/>
      <c r="H1782" s="1"/>
      <c r="I1782" s="1"/>
      <c r="J1782" s="1"/>
      <c r="K1782" s="1"/>
      <c r="L1782" s="1"/>
      <c r="M1782" s="1"/>
      <c r="N1782" s="1"/>
      <c r="O1782" s="1"/>
      <c r="P1782" s="1"/>
      <c r="Q1782" s="1"/>
      <c r="R1782" s="1"/>
      <c r="S1782" s="1"/>
    </row>
    <row r="1783" ht="14.25" customHeight="1">
      <c r="A1783" s="1"/>
      <c r="B1783" s="2275" t="s">
        <v>119</v>
      </c>
      <c r="C1783" s="107"/>
      <c r="D1783" s="184"/>
      <c r="E1783" s="184"/>
      <c r="F1783" s="1"/>
      <c r="G1783" s="1"/>
      <c r="H1783" s="1"/>
      <c r="I1783" s="1"/>
      <c r="J1783" s="1"/>
      <c r="K1783" s="1"/>
      <c r="L1783" s="1"/>
      <c r="M1783" s="1"/>
      <c r="N1783" s="1"/>
      <c r="O1783" s="1"/>
      <c r="P1783" s="1"/>
      <c r="Q1783" s="1"/>
      <c r="R1783" s="1"/>
      <c r="S1783" s="1"/>
    </row>
    <row r="1784" ht="14.25" customHeight="1">
      <c r="A1784" s="1"/>
      <c r="B1784" s="1"/>
      <c r="C1784" s="107"/>
      <c r="D1784" s="184"/>
      <c r="E1784" s="184"/>
      <c r="F1784" s="1"/>
      <c r="G1784" s="1"/>
      <c r="H1784" s="1"/>
      <c r="I1784" s="1"/>
      <c r="J1784" s="1"/>
      <c r="K1784" s="1"/>
      <c r="L1784" s="1"/>
      <c r="M1784" s="1"/>
      <c r="N1784" s="1"/>
      <c r="O1784" s="1"/>
      <c r="P1784" s="1"/>
      <c r="Q1784" s="1"/>
      <c r="R1784" s="1"/>
      <c r="S1784" s="1"/>
    </row>
    <row r="1785" ht="14.25" customHeight="1">
      <c r="A1785" s="1"/>
      <c r="B1785" s="1"/>
      <c r="C1785" s="107"/>
      <c r="D1785" s="184"/>
      <c r="E1785" s="184"/>
      <c r="F1785" s="1"/>
      <c r="G1785" s="1"/>
      <c r="H1785" s="1"/>
      <c r="I1785" s="1"/>
      <c r="J1785" s="1"/>
      <c r="K1785" s="1"/>
      <c r="L1785" s="1"/>
      <c r="M1785" s="1"/>
      <c r="N1785" s="1"/>
      <c r="O1785" s="1"/>
      <c r="P1785" s="1"/>
      <c r="Q1785" s="1"/>
      <c r="R1785" s="1"/>
      <c r="S1785" s="1"/>
    </row>
    <row r="1786" ht="14.25" customHeight="1">
      <c r="A1786" s="1"/>
      <c r="B1786" s="1"/>
      <c r="C1786" s="107"/>
      <c r="D1786" s="184"/>
      <c r="E1786" s="184"/>
      <c r="F1786" s="1"/>
      <c r="G1786" s="1"/>
      <c r="H1786" s="1"/>
      <c r="I1786" s="1"/>
      <c r="J1786" s="1"/>
      <c r="K1786" s="1"/>
      <c r="L1786" s="1"/>
      <c r="M1786" s="1"/>
      <c r="N1786" s="1"/>
      <c r="O1786" s="1"/>
      <c r="P1786" s="1"/>
      <c r="Q1786" s="1"/>
      <c r="R1786" s="1"/>
      <c r="S1786" s="1"/>
    </row>
    <row r="1787" ht="14.25" customHeight="1">
      <c r="A1787" s="1"/>
      <c r="B1787" s="511" t="s">
        <v>3692</v>
      </c>
      <c r="C1787" s="18"/>
      <c r="D1787" s="18"/>
      <c r="E1787" s="18"/>
      <c r="F1787" s="19"/>
      <c r="G1787" s="1"/>
      <c r="H1787" s="1"/>
      <c r="I1787" s="1"/>
      <c r="J1787" s="1"/>
      <c r="K1787" s="1"/>
      <c r="L1787" s="1"/>
      <c r="M1787" s="1"/>
      <c r="N1787" s="1"/>
      <c r="O1787" s="1"/>
      <c r="P1787" s="1"/>
      <c r="Q1787" s="1"/>
      <c r="R1787" s="1"/>
      <c r="S1787" s="1"/>
    </row>
    <row r="1788" ht="14.25" customHeight="1">
      <c r="A1788" s="1"/>
      <c r="B1788" s="51" t="s">
        <v>1</v>
      </c>
      <c r="C1788" s="190">
        <v>35.0</v>
      </c>
      <c r="D1788" s="190">
        <v>10.5</v>
      </c>
      <c r="E1788" s="192"/>
      <c r="F1788" s="514" t="s">
        <v>5</v>
      </c>
      <c r="G1788" s="1021"/>
      <c r="H1788" s="1"/>
      <c r="I1788" s="1"/>
      <c r="J1788" s="1"/>
      <c r="K1788" s="1"/>
      <c r="L1788" s="1"/>
      <c r="M1788" s="1"/>
      <c r="N1788" s="1"/>
      <c r="O1788" s="1"/>
      <c r="P1788" s="1"/>
      <c r="Q1788" s="1"/>
      <c r="R1788" s="1"/>
      <c r="S1788" s="1"/>
    </row>
    <row r="1789" ht="14.25" customHeight="1">
      <c r="A1789" s="1"/>
      <c r="B1789" s="68" t="s">
        <v>2487</v>
      </c>
      <c r="C1789" s="145">
        <v>20.0</v>
      </c>
      <c r="D1789" s="145">
        <f t="shared" ref="D1789:D1810" si="161">(C1789*D1788)/C1788</f>
        <v>6</v>
      </c>
      <c r="E1789" s="147"/>
      <c r="F1789" s="216" t="s">
        <v>14</v>
      </c>
      <c r="G1789" s="2036" t="s">
        <v>3693</v>
      </c>
      <c r="H1789" s="1"/>
      <c r="I1789" s="1"/>
      <c r="J1789" s="1"/>
      <c r="K1789" s="1"/>
      <c r="L1789" s="1"/>
      <c r="M1789" s="1"/>
      <c r="N1789" s="1"/>
      <c r="O1789" s="1"/>
      <c r="P1789" s="1"/>
      <c r="Q1789" s="1"/>
      <c r="R1789" s="1"/>
      <c r="S1789" s="1"/>
    </row>
    <row r="1790" ht="14.25" customHeight="1">
      <c r="A1790" s="1"/>
      <c r="B1790" s="105" t="s">
        <v>1161</v>
      </c>
      <c r="C1790" s="200">
        <v>10.0</v>
      </c>
      <c r="D1790" s="145">
        <f t="shared" si="161"/>
        <v>3</v>
      </c>
      <c r="E1790" s="419"/>
      <c r="F1790" s="518" t="s">
        <v>14</v>
      </c>
      <c r="G1790" s="76"/>
      <c r="H1790" s="1"/>
      <c r="I1790" s="1"/>
      <c r="J1790" s="1"/>
      <c r="K1790" s="1"/>
      <c r="L1790" s="1"/>
      <c r="M1790" s="1"/>
      <c r="N1790" s="1"/>
      <c r="O1790" s="1"/>
      <c r="P1790" s="1"/>
      <c r="Q1790" s="1"/>
      <c r="R1790" s="1"/>
      <c r="S1790" s="1"/>
    </row>
    <row r="1791" ht="14.25" customHeight="1">
      <c r="A1791" s="1"/>
      <c r="B1791" s="119" t="s">
        <v>3694</v>
      </c>
      <c r="C1791" s="238">
        <v>8.0</v>
      </c>
      <c r="D1791" s="145">
        <f t="shared" si="161"/>
        <v>2.4</v>
      </c>
      <c r="E1791" s="282"/>
      <c r="F1791" s="520" t="s">
        <v>5</v>
      </c>
      <c r="G1791" s="1565"/>
      <c r="H1791" s="1"/>
      <c r="I1791" s="1"/>
      <c r="J1791" s="1"/>
      <c r="K1791" s="1"/>
      <c r="L1791" s="1"/>
      <c r="M1791" s="1"/>
      <c r="N1791" s="1"/>
      <c r="O1791" s="1"/>
      <c r="P1791" s="1"/>
      <c r="Q1791" s="1"/>
      <c r="R1791" s="1"/>
      <c r="S1791" s="1"/>
    </row>
    <row r="1792" ht="14.25" customHeight="1">
      <c r="A1792" s="1"/>
      <c r="B1792" s="149" t="s">
        <v>31</v>
      </c>
      <c r="C1792" s="152">
        <v>100.0</v>
      </c>
      <c r="D1792" s="145">
        <f t="shared" si="161"/>
        <v>30</v>
      </c>
      <c r="E1792" s="419"/>
      <c r="F1792" s="288" t="s">
        <v>18</v>
      </c>
      <c r="G1792" s="763"/>
      <c r="H1792" s="1"/>
      <c r="I1792" s="1"/>
      <c r="J1792" s="1"/>
      <c r="K1792" s="1"/>
      <c r="L1792" s="1"/>
      <c r="M1792" s="1"/>
      <c r="N1792" s="1"/>
      <c r="O1792" s="1"/>
      <c r="P1792" s="1"/>
      <c r="Q1792" s="1"/>
      <c r="R1792" s="1"/>
      <c r="S1792" s="1"/>
    </row>
    <row r="1793" ht="14.25" customHeight="1">
      <c r="A1793" s="1"/>
      <c r="B1793" s="138" t="s">
        <v>1217</v>
      </c>
      <c r="C1793" s="279">
        <v>14.0</v>
      </c>
      <c r="D1793" s="145">
        <f t="shared" si="161"/>
        <v>4.2</v>
      </c>
      <c r="E1793" s="419"/>
      <c r="F1793" s="242" t="s">
        <v>14</v>
      </c>
      <c r="G1793" s="763"/>
      <c r="H1793" s="1"/>
      <c r="I1793" s="1"/>
      <c r="J1793" s="1"/>
      <c r="K1793" s="1"/>
      <c r="L1793" s="1"/>
      <c r="M1793" s="1"/>
      <c r="N1793" s="1"/>
      <c r="O1793" s="1"/>
      <c r="P1793" s="1"/>
      <c r="Q1793" s="1"/>
      <c r="R1793" s="1"/>
      <c r="S1793" s="1"/>
    </row>
    <row r="1794" ht="14.25" customHeight="1">
      <c r="A1794" s="1"/>
      <c r="B1794" s="68" t="s">
        <v>746</v>
      </c>
      <c r="C1794" s="145">
        <v>0.2</v>
      </c>
      <c r="D1794" s="145">
        <f t="shared" si="161"/>
        <v>0.06</v>
      </c>
      <c r="E1794" s="147"/>
      <c r="F1794" s="216" t="s">
        <v>18</v>
      </c>
      <c r="G1794" s="1100" t="s">
        <v>3695</v>
      </c>
      <c r="H1794" s="1"/>
      <c r="I1794" s="1"/>
      <c r="J1794" s="1"/>
      <c r="K1794" s="1"/>
      <c r="L1794" s="1"/>
      <c r="M1794" s="1"/>
      <c r="N1794" s="1"/>
      <c r="O1794" s="1"/>
      <c r="P1794" s="1"/>
      <c r="Q1794" s="1"/>
      <c r="R1794" s="1"/>
      <c r="S1794" s="1"/>
    </row>
    <row r="1795" ht="14.25" customHeight="1">
      <c r="A1795" s="1"/>
      <c r="B1795" s="93" t="s">
        <v>1132</v>
      </c>
      <c r="C1795" s="195">
        <v>0.6</v>
      </c>
      <c r="D1795" s="145">
        <f t="shared" si="161"/>
        <v>0.18</v>
      </c>
      <c r="E1795" s="282"/>
      <c r="F1795" s="249" t="s">
        <v>18</v>
      </c>
      <c r="G1795" s="47"/>
      <c r="H1795" s="1"/>
      <c r="I1795" s="1"/>
      <c r="J1795" s="1"/>
      <c r="K1795" s="1"/>
      <c r="L1795" s="1"/>
      <c r="M1795" s="1"/>
      <c r="N1795" s="1"/>
      <c r="O1795" s="1"/>
      <c r="P1795" s="1"/>
      <c r="Q1795" s="1"/>
      <c r="R1795" s="1"/>
      <c r="S1795" s="1"/>
    </row>
    <row r="1796" ht="14.25" customHeight="1">
      <c r="A1796" s="1"/>
      <c r="B1796" s="105" t="s">
        <v>1243</v>
      </c>
      <c r="C1796" s="200">
        <v>0.4</v>
      </c>
      <c r="D1796" s="145">
        <f t="shared" si="161"/>
        <v>0.12</v>
      </c>
      <c r="E1796" s="419"/>
      <c r="F1796" s="518" t="s">
        <v>18</v>
      </c>
      <c r="G1796" s="76"/>
      <c r="H1796" s="1"/>
      <c r="I1796" s="1"/>
      <c r="J1796" s="1"/>
      <c r="K1796" s="1"/>
      <c r="L1796" s="1"/>
      <c r="M1796" s="1"/>
      <c r="N1796" s="1"/>
      <c r="O1796" s="1"/>
      <c r="P1796" s="1"/>
      <c r="Q1796" s="1"/>
      <c r="R1796" s="1"/>
      <c r="S1796" s="1"/>
    </row>
    <row r="1797" ht="14.25" customHeight="1">
      <c r="A1797" s="1"/>
      <c r="B1797" s="119" t="s">
        <v>3696</v>
      </c>
      <c r="C1797" s="238">
        <v>0.8</v>
      </c>
      <c r="D1797" s="145">
        <f t="shared" si="161"/>
        <v>0.24</v>
      </c>
      <c r="E1797" s="282"/>
      <c r="F1797" s="520" t="s">
        <v>5</v>
      </c>
      <c r="G1797" s="1100" t="s">
        <v>3697</v>
      </c>
      <c r="H1797" s="1"/>
      <c r="I1797" s="1"/>
      <c r="J1797" s="1"/>
      <c r="K1797" s="1"/>
      <c r="L1797" s="1"/>
      <c r="M1797" s="1"/>
      <c r="N1797" s="1"/>
      <c r="O1797" s="1"/>
      <c r="P1797" s="1"/>
      <c r="Q1797" s="1"/>
      <c r="R1797" s="1"/>
      <c r="S1797" s="1"/>
    </row>
    <row r="1798" ht="14.25" customHeight="1">
      <c r="A1798" s="1"/>
      <c r="B1798" s="93" t="s">
        <v>97</v>
      </c>
      <c r="C1798" s="195">
        <v>75.0</v>
      </c>
      <c r="D1798" s="145">
        <f t="shared" si="161"/>
        <v>22.5</v>
      </c>
      <c r="E1798" s="282"/>
      <c r="F1798" s="249" t="s">
        <v>18</v>
      </c>
      <c r="G1798" s="47"/>
      <c r="H1798" s="1"/>
      <c r="I1798" s="1"/>
      <c r="J1798" s="1"/>
      <c r="K1798" s="1"/>
      <c r="L1798" s="1"/>
      <c r="M1798" s="1"/>
      <c r="N1798" s="1"/>
      <c r="O1798" s="1"/>
      <c r="P1798" s="1"/>
      <c r="Q1798" s="1"/>
      <c r="R1798" s="1"/>
      <c r="S1798" s="1"/>
    </row>
    <row r="1799" ht="14.25" customHeight="1">
      <c r="A1799" s="1"/>
      <c r="B1799" s="93" t="s">
        <v>148</v>
      </c>
      <c r="C1799" s="195">
        <v>180.0</v>
      </c>
      <c r="D1799" s="145">
        <f t="shared" si="161"/>
        <v>54</v>
      </c>
      <c r="E1799" s="282"/>
      <c r="F1799" s="249" t="s">
        <v>18</v>
      </c>
      <c r="G1799" s="47"/>
      <c r="H1799" s="1"/>
      <c r="I1799" s="1"/>
      <c r="J1799" s="1"/>
      <c r="K1799" s="1"/>
      <c r="L1799" s="1"/>
      <c r="M1799" s="1"/>
      <c r="N1799" s="1"/>
      <c r="O1799" s="1"/>
      <c r="P1799" s="1"/>
      <c r="Q1799" s="1"/>
      <c r="R1799" s="1"/>
      <c r="S1799" s="1"/>
    </row>
    <row r="1800" ht="14.25" customHeight="1">
      <c r="A1800" s="1"/>
      <c r="B1800" s="93" t="s">
        <v>1177</v>
      </c>
      <c r="C1800" s="195">
        <v>240.0</v>
      </c>
      <c r="D1800" s="145">
        <f t="shared" si="161"/>
        <v>72</v>
      </c>
      <c r="E1800" s="282"/>
      <c r="F1800" s="249" t="s">
        <v>18</v>
      </c>
      <c r="G1800" s="47"/>
      <c r="H1800" s="1"/>
      <c r="I1800" s="1"/>
      <c r="J1800" s="1"/>
      <c r="K1800" s="1"/>
      <c r="L1800" s="1"/>
      <c r="M1800" s="1"/>
      <c r="N1800" s="1"/>
      <c r="O1800" s="1"/>
      <c r="P1800" s="1"/>
      <c r="Q1800" s="1"/>
      <c r="R1800" s="1"/>
      <c r="S1800" s="1"/>
    </row>
    <row r="1801" ht="14.25" customHeight="1">
      <c r="A1801" s="1"/>
      <c r="B1801" s="93" t="s">
        <v>103</v>
      </c>
      <c r="C1801" s="195">
        <v>105.0</v>
      </c>
      <c r="D1801" s="145">
        <f t="shared" si="161"/>
        <v>31.5</v>
      </c>
      <c r="E1801" s="282"/>
      <c r="F1801" s="249" t="s">
        <v>18</v>
      </c>
      <c r="G1801" s="47"/>
      <c r="H1801" s="1"/>
      <c r="I1801" s="1"/>
      <c r="J1801" s="1"/>
      <c r="K1801" s="1"/>
      <c r="L1801" s="1"/>
      <c r="M1801" s="1"/>
      <c r="N1801" s="1"/>
      <c r="O1801" s="1"/>
      <c r="P1801" s="1"/>
      <c r="Q1801" s="1"/>
      <c r="R1801" s="1"/>
      <c r="S1801" s="1"/>
    </row>
    <row r="1802" ht="14.25" customHeight="1">
      <c r="A1802" s="1"/>
      <c r="B1802" s="93" t="s">
        <v>66</v>
      </c>
      <c r="C1802" s="195">
        <v>15.0</v>
      </c>
      <c r="D1802" s="145">
        <f t="shared" si="161"/>
        <v>4.5</v>
      </c>
      <c r="E1802" s="282"/>
      <c r="F1802" s="249" t="s">
        <v>18</v>
      </c>
      <c r="G1802" s="47"/>
      <c r="H1802" s="1"/>
      <c r="I1802" s="1"/>
      <c r="J1802" s="1"/>
      <c r="K1802" s="1"/>
      <c r="L1802" s="1"/>
      <c r="M1802" s="1"/>
      <c r="N1802" s="1"/>
      <c r="O1802" s="1"/>
      <c r="P1802" s="1"/>
      <c r="Q1802" s="1"/>
      <c r="R1802" s="1"/>
      <c r="S1802" s="1"/>
    </row>
    <row r="1803" ht="14.25" customHeight="1">
      <c r="A1803" s="1"/>
      <c r="B1803" s="138" t="s">
        <v>31</v>
      </c>
      <c r="C1803" s="279">
        <v>350.0</v>
      </c>
      <c r="D1803" s="145">
        <f t="shared" si="161"/>
        <v>105</v>
      </c>
      <c r="E1803" s="419"/>
      <c r="F1803" s="242" t="s">
        <v>18</v>
      </c>
      <c r="G1803" s="76"/>
      <c r="H1803" s="1"/>
      <c r="I1803" s="1"/>
      <c r="J1803" s="1"/>
      <c r="K1803" s="1"/>
      <c r="L1803" s="1"/>
      <c r="M1803" s="1"/>
      <c r="N1803" s="1"/>
      <c r="O1803" s="1"/>
      <c r="P1803" s="1"/>
      <c r="Q1803" s="1"/>
      <c r="R1803" s="1"/>
      <c r="S1803" s="1"/>
    </row>
    <row r="1804" ht="14.25" customHeight="1">
      <c r="A1804" s="1"/>
      <c r="B1804" s="68" t="s">
        <v>234</v>
      </c>
      <c r="C1804" s="145">
        <v>100.0</v>
      </c>
      <c r="D1804" s="145">
        <f t="shared" si="161"/>
        <v>30</v>
      </c>
      <c r="E1804" s="147"/>
      <c r="F1804" s="216" t="s">
        <v>18</v>
      </c>
      <c r="G1804" s="1369"/>
      <c r="H1804" s="1"/>
      <c r="I1804" s="1"/>
      <c r="J1804" s="1"/>
      <c r="K1804" s="1"/>
      <c r="L1804" s="1"/>
      <c r="M1804" s="1"/>
      <c r="N1804" s="1"/>
      <c r="O1804" s="1"/>
      <c r="P1804" s="1"/>
      <c r="Q1804" s="1"/>
      <c r="R1804" s="1"/>
      <c r="S1804" s="1"/>
    </row>
    <row r="1805" ht="14.25" customHeight="1">
      <c r="A1805" s="1"/>
      <c r="B1805" s="93" t="s">
        <v>1027</v>
      </c>
      <c r="C1805" s="195">
        <v>150.0</v>
      </c>
      <c r="D1805" s="145">
        <f t="shared" si="161"/>
        <v>45</v>
      </c>
      <c r="E1805" s="282"/>
      <c r="F1805" s="249" t="s">
        <v>18</v>
      </c>
      <c r="G1805" s="1369"/>
      <c r="H1805" s="1"/>
      <c r="I1805" s="1"/>
      <c r="J1805" s="1"/>
      <c r="K1805" s="1"/>
      <c r="L1805" s="1"/>
      <c r="M1805" s="1"/>
      <c r="N1805" s="1"/>
      <c r="O1805" s="1"/>
      <c r="P1805" s="1"/>
      <c r="Q1805" s="1"/>
      <c r="R1805" s="1"/>
      <c r="S1805" s="1"/>
    </row>
    <row r="1806" ht="14.25" customHeight="1">
      <c r="A1806" s="1"/>
      <c r="B1806" s="93" t="s">
        <v>1657</v>
      </c>
      <c r="C1806" s="195">
        <v>200.0</v>
      </c>
      <c r="D1806" s="145">
        <f t="shared" si="161"/>
        <v>60</v>
      </c>
      <c r="E1806" s="282"/>
      <c r="F1806" s="249" t="s">
        <v>18</v>
      </c>
      <c r="G1806" s="1369"/>
      <c r="H1806" s="1"/>
      <c r="I1806" s="1"/>
      <c r="J1806" s="1"/>
      <c r="K1806" s="1"/>
      <c r="L1806" s="1"/>
      <c r="M1806" s="1"/>
      <c r="N1806" s="1"/>
      <c r="O1806" s="1"/>
      <c r="P1806" s="1"/>
      <c r="Q1806" s="1"/>
      <c r="R1806" s="1"/>
      <c r="S1806" s="1"/>
    </row>
    <row r="1807" ht="14.25" customHeight="1">
      <c r="A1807" s="1"/>
      <c r="B1807" s="138" t="s">
        <v>2358</v>
      </c>
      <c r="C1807" s="279">
        <v>100.0</v>
      </c>
      <c r="D1807" s="145">
        <f t="shared" si="161"/>
        <v>30</v>
      </c>
      <c r="E1807" s="419"/>
      <c r="F1807" s="242" t="s">
        <v>18</v>
      </c>
      <c r="G1807" s="1369"/>
      <c r="H1807" s="1"/>
      <c r="I1807" s="1"/>
      <c r="J1807" s="1"/>
      <c r="K1807" s="1"/>
      <c r="L1807" s="1"/>
      <c r="M1807" s="1"/>
      <c r="N1807" s="1"/>
      <c r="O1807" s="1"/>
      <c r="P1807" s="1"/>
      <c r="Q1807" s="1"/>
      <c r="R1807" s="1"/>
      <c r="S1807" s="1"/>
    </row>
    <row r="1808" ht="15.0" customHeight="1">
      <c r="A1808" s="1"/>
      <c r="B1808" s="138" t="s">
        <v>288</v>
      </c>
      <c r="C1808" s="279">
        <v>200.0</v>
      </c>
      <c r="D1808" s="145">
        <f t="shared" si="161"/>
        <v>60</v>
      </c>
      <c r="E1808" s="419"/>
      <c r="F1808" s="242" t="s">
        <v>18</v>
      </c>
      <c r="G1808" s="1369"/>
      <c r="H1808" s="1"/>
      <c r="I1808" s="1"/>
      <c r="J1808" s="1"/>
      <c r="K1808" s="1"/>
      <c r="L1808" s="1"/>
      <c r="M1808" s="1"/>
      <c r="N1808" s="1"/>
      <c r="O1808" s="1"/>
      <c r="P1808" s="1"/>
      <c r="Q1808" s="1"/>
      <c r="R1808" s="1"/>
      <c r="S1808" s="1"/>
    </row>
    <row r="1809" ht="14.25" customHeight="1">
      <c r="A1809" s="1"/>
      <c r="B1809" s="68" t="s">
        <v>13</v>
      </c>
      <c r="C1809" s="145">
        <v>250.0</v>
      </c>
      <c r="D1809" s="145">
        <f t="shared" si="161"/>
        <v>75</v>
      </c>
      <c r="E1809" s="147"/>
      <c r="F1809" s="216" t="s">
        <v>18</v>
      </c>
      <c r="G1809" s="1369"/>
      <c r="H1809" s="1"/>
      <c r="I1809" s="1"/>
      <c r="J1809" s="1"/>
      <c r="K1809" s="1"/>
      <c r="L1809" s="1"/>
      <c r="M1809" s="1"/>
      <c r="N1809" s="1"/>
      <c r="O1809" s="1"/>
      <c r="P1809" s="1"/>
      <c r="Q1809" s="1"/>
      <c r="R1809" s="1"/>
      <c r="S1809" s="1"/>
    </row>
    <row r="1810" ht="14.25" customHeight="1">
      <c r="A1810" s="1"/>
      <c r="B1810" s="105" t="s">
        <v>3698</v>
      </c>
      <c r="C1810" s="200">
        <v>1.0</v>
      </c>
      <c r="D1810" s="145">
        <f t="shared" si="161"/>
        <v>0.3</v>
      </c>
      <c r="E1810" s="419"/>
      <c r="F1810" s="518" t="s">
        <v>5</v>
      </c>
      <c r="G1810" s="1"/>
      <c r="H1810" s="1"/>
      <c r="I1810" s="1"/>
      <c r="J1810" s="1"/>
      <c r="K1810" s="1"/>
      <c r="L1810" s="1"/>
      <c r="M1810" s="1"/>
      <c r="N1810" s="1"/>
      <c r="O1810" s="1"/>
      <c r="P1810" s="1"/>
      <c r="Q1810" s="1"/>
      <c r="R1810" s="1"/>
      <c r="S1810" s="1"/>
    </row>
    <row r="1811" ht="14.25" customHeight="1">
      <c r="A1811" s="1"/>
      <c r="B1811" s="90" t="s">
        <v>120</v>
      </c>
      <c r="C1811" s="1188">
        <v>43218.0</v>
      </c>
      <c r="D1811" s="107"/>
      <c r="E1811" s="107"/>
      <c r="F1811" s="1"/>
      <c r="G1811" s="1"/>
      <c r="H1811" s="1"/>
      <c r="I1811" s="1"/>
      <c r="J1811" s="1"/>
      <c r="K1811" s="1"/>
      <c r="L1811" s="1"/>
      <c r="M1811" s="1"/>
      <c r="N1811" s="1"/>
      <c r="O1811" s="1"/>
      <c r="P1811" s="1"/>
      <c r="Q1811" s="1"/>
      <c r="R1811" s="1"/>
      <c r="S1811" s="1"/>
    </row>
    <row r="1812" ht="15.75" customHeight="1">
      <c r="A1812" s="1"/>
      <c r="B1812" s="305" t="s">
        <v>50</v>
      </c>
      <c r="C1812" s="1188">
        <v>43249.0</v>
      </c>
      <c r="D1812" s="107"/>
      <c r="E1812" s="107"/>
      <c r="F1812" s="1"/>
      <c r="G1812" s="1"/>
      <c r="H1812" s="1"/>
      <c r="I1812" s="1"/>
      <c r="J1812" s="1"/>
      <c r="K1812" s="1"/>
      <c r="L1812" s="1"/>
      <c r="M1812" s="1"/>
      <c r="N1812" s="1"/>
      <c r="O1812" s="1"/>
      <c r="P1812" s="1"/>
      <c r="Q1812" s="1"/>
      <c r="R1812" s="1"/>
      <c r="S1812" s="1"/>
    </row>
    <row r="1813" ht="14.25" customHeight="1">
      <c r="A1813" s="1"/>
      <c r="B1813" s="1"/>
      <c r="C1813" s="107"/>
      <c r="D1813" s="107"/>
      <c r="E1813" s="107"/>
      <c r="F1813" s="107"/>
      <c r="G1813" s="1"/>
      <c r="H1813" s="1"/>
      <c r="I1813" s="1"/>
      <c r="J1813" s="1"/>
      <c r="K1813" s="1"/>
      <c r="L1813" s="1"/>
      <c r="M1813" s="1"/>
      <c r="N1813" s="1"/>
      <c r="O1813" s="1"/>
      <c r="P1813" s="1"/>
      <c r="Q1813" s="1"/>
      <c r="R1813" s="1"/>
      <c r="S1813" s="1"/>
    </row>
    <row r="1814" ht="14.25" customHeight="1">
      <c r="A1814" s="1"/>
      <c r="B1814" s="1"/>
      <c r="C1814" s="107"/>
      <c r="D1814" s="184"/>
      <c r="E1814" s="184"/>
      <c r="F1814" s="1"/>
      <c r="G1814" s="1"/>
      <c r="H1814" s="1"/>
      <c r="I1814" s="1"/>
      <c r="J1814" s="1"/>
      <c r="K1814" s="1"/>
      <c r="L1814" s="1"/>
      <c r="M1814" s="1"/>
      <c r="N1814" s="1"/>
      <c r="O1814" s="1"/>
      <c r="P1814" s="1"/>
      <c r="Q1814" s="1"/>
      <c r="R1814" s="1"/>
      <c r="S1814" s="1"/>
    </row>
    <row r="1815" ht="15.0" customHeight="1">
      <c r="A1815" s="1"/>
      <c r="B1815" s="2275" t="s">
        <v>119</v>
      </c>
      <c r="C1815" s="107"/>
      <c r="D1815" s="184"/>
      <c r="E1815" s="184"/>
      <c r="F1815" s="1"/>
      <c r="G1815" s="1"/>
      <c r="H1815" s="1"/>
      <c r="I1815" s="1"/>
      <c r="J1815" s="1"/>
      <c r="K1815" s="1"/>
      <c r="L1815" s="1"/>
      <c r="M1815" s="1"/>
      <c r="N1815" s="1"/>
      <c r="O1815" s="1"/>
      <c r="P1815" s="1"/>
      <c r="Q1815" s="1"/>
      <c r="R1815" s="1"/>
      <c r="S1815" s="1"/>
    </row>
    <row r="1816" ht="14.25" customHeight="1">
      <c r="A1816" s="1"/>
      <c r="B1816" s="1"/>
      <c r="C1816" s="107"/>
      <c r="D1816" s="184"/>
      <c r="E1816" s="184"/>
      <c r="F1816" s="1"/>
      <c r="G1816" s="1"/>
      <c r="H1816" s="1"/>
      <c r="I1816" s="1"/>
      <c r="J1816" s="1"/>
      <c r="K1816" s="1"/>
      <c r="L1816" s="1"/>
      <c r="M1816" s="1"/>
      <c r="N1816" s="1"/>
      <c r="O1816" s="1"/>
      <c r="P1816" s="1"/>
      <c r="Q1816" s="1"/>
      <c r="R1816" s="1"/>
      <c r="S1816" s="1"/>
    </row>
    <row r="1817" ht="15.75" customHeight="1">
      <c r="A1817" s="1"/>
      <c r="B1817" s="1"/>
      <c r="C1817" s="107"/>
      <c r="D1817" s="184"/>
      <c r="E1817" s="184"/>
      <c r="F1817" s="1"/>
      <c r="G1817" s="1"/>
      <c r="H1817" s="1"/>
      <c r="I1817" s="1"/>
      <c r="J1817" s="1"/>
      <c r="K1817" s="1"/>
      <c r="L1817" s="1"/>
      <c r="M1817" s="1"/>
      <c r="N1817" s="1"/>
      <c r="O1817" s="1"/>
      <c r="P1817" s="1"/>
      <c r="Q1817" s="1"/>
      <c r="R1817" s="1"/>
      <c r="S1817" s="1"/>
    </row>
    <row r="1818" ht="14.25" customHeight="1">
      <c r="A1818" s="1"/>
      <c r="B1818" s="1"/>
      <c r="C1818" s="107"/>
      <c r="D1818" s="184"/>
      <c r="E1818" s="184"/>
      <c r="F1818" s="1"/>
      <c r="G1818" s="1"/>
      <c r="H1818" s="1"/>
      <c r="I1818" s="1"/>
      <c r="J1818" s="1"/>
      <c r="K1818" s="1"/>
      <c r="L1818" s="1"/>
      <c r="M1818" s="1"/>
      <c r="N1818" s="1"/>
      <c r="O1818" s="1"/>
      <c r="P1818" s="1"/>
      <c r="Q1818" s="1"/>
      <c r="R1818" s="1"/>
      <c r="S1818" s="1"/>
    </row>
    <row r="1819" ht="14.25" customHeight="1">
      <c r="A1819" s="1"/>
      <c r="B1819" s="656" t="s">
        <v>3699</v>
      </c>
      <c r="C1819" s="18"/>
      <c r="D1819" s="18"/>
      <c r="E1819" s="18"/>
      <c r="F1819" s="19"/>
      <c r="G1819" s="495"/>
      <c r="H1819" s="1"/>
      <c r="I1819" s="1"/>
      <c r="J1819" s="1"/>
      <c r="K1819" s="1"/>
      <c r="L1819" s="1"/>
      <c r="M1819" s="1"/>
      <c r="N1819" s="1"/>
      <c r="O1819" s="1"/>
      <c r="P1819" s="1"/>
      <c r="Q1819" s="1"/>
      <c r="R1819" s="1"/>
      <c r="S1819" s="1"/>
    </row>
    <row r="1820" ht="14.25" customHeight="1">
      <c r="A1820" s="1"/>
      <c r="B1820" s="25" t="s">
        <v>1</v>
      </c>
      <c r="C1820" s="410">
        <v>80.0</v>
      </c>
      <c r="D1820" s="50">
        <v>10.0</v>
      </c>
      <c r="E1820" s="3177"/>
      <c r="F1820" s="428" t="s">
        <v>5</v>
      </c>
      <c r="G1820" s="495"/>
      <c r="H1820" s="1"/>
      <c r="I1820" s="1"/>
      <c r="J1820" s="1"/>
      <c r="K1820" s="1"/>
      <c r="L1820" s="1"/>
      <c r="M1820" s="1"/>
      <c r="N1820" s="1"/>
      <c r="O1820" s="1"/>
      <c r="P1820" s="1"/>
      <c r="Q1820" s="1"/>
      <c r="R1820" s="1"/>
      <c r="S1820" s="1"/>
    </row>
    <row r="1821" ht="14.25" customHeight="1">
      <c r="A1821" s="1"/>
      <c r="B1821" s="25" t="s">
        <v>1023</v>
      </c>
      <c r="C1821" s="131">
        <v>30.0</v>
      </c>
      <c r="D1821" s="221">
        <f t="shared" ref="D1821:D1825" si="162">(C1821*D1820)/C1820</f>
        <v>3.75</v>
      </c>
      <c r="E1821" s="222"/>
      <c r="F1821" s="432" t="s">
        <v>14</v>
      </c>
      <c r="G1821" s="495"/>
      <c r="H1821" s="1"/>
      <c r="I1821" s="1"/>
      <c r="J1821" s="1"/>
      <c r="K1821" s="1"/>
      <c r="L1821" s="1"/>
      <c r="M1821" s="1"/>
      <c r="N1821" s="1"/>
      <c r="O1821" s="1"/>
      <c r="P1821" s="1"/>
      <c r="Q1821" s="1"/>
      <c r="R1821" s="1"/>
      <c r="S1821" s="1"/>
    </row>
    <row r="1822" ht="14.25" customHeight="1">
      <c r="A1822" s="1"/>
      <c r="B1822" s="262" t="s">
        <v>3700</v>
      </c>
      <c r="C1822" s="1360">
        <v>20.0</v>
      </c>
      <c r="D1822" s="50">
        <f t="shared" si="162"/>
        <v>2.5</v>
      </c>
      <c r="E1822" s="54"/>
      <c r="F1822" s="1268" t="s">
        <v>14</v>
      </c>
      <c r="G1822" s="495"/>
      <c r="H1822" s="1"/>
      <c r="I1822" s="1"/>
      <c r="J1822" s="1"/>
      <c r="K1822" s="1"/>
      <c r="L1822" s="1"/>
      <c r="M1822" s="1"/>
      <c r="N1822" s="1"/>
      <c r="O1822" s="1"/>
      <c r="P1822" s="1"/>
      <c r="Q1822" s="1"/>
      <c r="R1822" s="1"/>
      <c r="S1822" s="1"/>
    </row>
    <row r="1823" ht="14.25" customHeight="1">
      <c r="A1823" s="1"/>
      <c r="B1823" s="163" t="s">
        <v>91</v>
      </c>
      <c r="C1823" s="131">
        <v>1.2</v>
      </c>
      <c r="D1823" s="221">
        <f t="shared" si="162"/>
        <v>0.15</v>
      </c>
      <c r="E1823" s="222"/>
      <c r="F1823" s="432" t="s">
        <v>5</v>
      </c>
      <c r="G1823" s="44" t="s">
        <v>3701</v>
      </c>
      <c r="H1823" s="1"/>
      <c r="I1823" s="1"/>
      <c r="J1823" s="1"/>
      <c r="K1823" s="1"/>
      <c r="L1823" s="1"/>
      <c r="M1823" s="1"/>
      <c r="N1823" s="1"/>
      <c r="O1823" s="1"/>
      <c r="P1823" s="1"/>
      <c r="Q1823" s="1"/>
      <c r="R1823" s="1"/>
      <c r="S1823" s="1"/>
    </row>
    <row r="1824" ht="14.25" customHeight="1">
      <c r="A1824" s="1"/>
      <c r="B1824" s="177" t="s">
        <v>747</v>
      </c>
      <c r="C1824" s="160">
        <v>200.0</v>
      </c>
      <c r="D1824" s="27">
        <f t="shared" si="162"/>
        <v>25</v>
      </c>
      <c r="E1824" s="29"/>
      <c r="F1824" s="441" t="s">
        <v>18</v>
      </c>
      <c r="G1824" s="47"/>
      <c r="H1824" s="1"/>
      <c r="I1824" s="1"/>
      <c r="J1824" s="1"/>
      <c r="K1824" s="1"/>
      <c r="L1824" s="1"/>
      <c r="M1824" s="1"/>
      <c r="N1824" s="1"/>
      <c r="O1824" s="1"/>
      <c r="P1824" s="1"/>
      <c r="Q1824" s="1"/>
      <c r="R1824" s="1"/>
      <c r="S1824" s="1"/>
    </row>
    <row r="1825" ht="14.25" customHeight="1">
      <c r="A1825" s="1"/>
      <c r="B1825" s="177" t="s">
        <v>97</v>
      </c>
      <c r="C1825" s="160">
        <v>200.0</v>
      </c>
      <c r="D1825" s="27">
        <f t="shared" si="162"/>
        <v>25</v>
      </c>
      <c r="E1825" s="29"/>
      <c r="F1825" s="441" t="s">
        <v>18</v>
      </c>
      <c r="G1825" s="47"/>
      <c r="H1825" s="1"/>
      <c r="I1825" s="1"/>
      <c r="J1825" s="1"/>
      <c r="K1825" s="1"/>
      <c r="L1825" s="1"/>
      <c r="M1825" s="1"/>
      <c r="N1825" s="1"/>
      <c r="O1825" s="1"/>
      <c r="P1825" s="1"/>
      <c r="Q1825" s="1"/>
      <c r="R1825" s="1"/>
      <c r="S1825" s="1"/>
    </row>
    <row r="1826" ht="14.25" customHeight="1">
      <c r="A1826" s="1"/>
      <c r="B1826" s="177" t="s">
        <v>103</v>
      </c>
      <c r="C1826" s="160">
        <v>100.0</v>
      </c>
      <c r="D1826" s="27">
        <f>(C1826*D1824)/C1824</f>
        <v>12.5</v>
      </c>
      <c r="E1826" s="29"/>
      <c r="F1826" s="441" t="s">
        <v>18</v>
      </c>
      <c r="G1826" s="47"/>
      <c r="H1826" s="1"/>
      <c r="I1826" s="1"/>
      <c r="J1826" s="1"/>
      <c r="K1826" s="1"/>
      <c r="L1826" s="1"/>
      <c r="M1826" s="1"/>
      <c r="N1826" s="1"/>
      <c r="O1826" s="1"/>
      <c r="P1826" s="1"/>
      <c r="Q1826" s="1"/>
      <c r="R1826" s="1"/>
      <c r="S1826" s="1"/>
    </row>
    <row r="1827" ht="14.25" customHeight="1">
      <c r="A1827" s="1"/>
      <c r="B1827" s="177" t="s">
        <v>101</v>
      </c>
      <c r="C1827" s="160">
        <v>1.25</v>
      </c>
      <c r="D1827" s="27">
        <f t="shared" ref="D1827:D1831" si="163">(C1827*D1826)/C1826</f>
        <v>0.15625</v>
      </c>
      <c r="E1827" s="29"/>
      <c r="F1827" s="441" t="s">
        <v>5</v>
      </c>
      <c r="G1827" s="47"/>
      <c r="H1827" s="1"/>
      <c r="I1827" s="1"/>
      <c r="J1827" s="1"/>
      <c r="K1827" s="1"/>
      <c r="L1827" s="1"/>
      <c r="M1827" s="1"/>
      <c r="N1827" s="1"/>
      <c r="O1827" s="1"/>
      <c r="P1827" s="1"/>
      <c r="Q1827" s="1"/>
      <c r="R1827" s="1"/>
      <c r="S1827" s="1"/>
    </row>
    <row r="1828" ht="14.25" customHeight="1">
      <c r="A1828" s="1"/>
      <c r="B1828" s="177" t="s">
        <v>92</v>
      </c>
      <c r="C1828" s="160">
        <v>400.0</v>
      </c>
      <c r="D1828" s="27">
        <f t="shared" si="163"/>
        <v>50</v>
      </c>
      <c r="E1828" s="29"/>
      <c r="F1828" s="441" t="s">
        <v>18</v>
      </c>
      <c r="G1828" s="47"/>
      <c r="H1828" s="1"/>
      <c r="I1828" s="1"/>
      <c r="J1828" s="1"/>
      <c r="K1828" s="1"/>
      <c r="L1828" s="1"/>
      <c r="M1828" s="1"/>
      <c r="N1828" s="1"/>
      <c r="O1828" s="1"/>
      <c r="P1828" s="1"/>
      <c r="Q1828" s="1"/>
      <c r="R1828" s="1"/>
      <c r="S1828" s="1"/>
    </row>
    <row r="1829" ht="14.25" customHeight="1">
      <c r="A1829" s="1"/>
      <c r="B1829" s="177" t="s">
        <v>3702</v>
      </c>
      <c r="C1829" s="160">
        <v>3.0</v>
      </c>
      <c r="D1829" s="27">
        <f t="shared" si="163"/>
        <v>0.375</v>
      </c>
      <c r="E1829" s="29"/>
      <c r="F1829" s="441" t="s">
        <v>366</v>
      </c>
      <c r="G1829" s="47"/>
      <c r="H1829" s="1"/>
      <c r="I1829" s="1"/>
      <c r="J1829" s="1"/>
      <c r="K1829" s="1"/>
      <c r="L1829" s="1"/>
      <c r="M1829" s="1"/>
      <c r="N1829" s="1"/>
      <c r="O1829" s="1"/>
      <c r="P1829" s="1"/>
      <c r="Q1829" s="1"/>
      <c r="R1829" s="1"/>
      <c r="S1829" s="1"/>
    </row>
    <row r="1830" ht="14.25" customHeight="1">
      <c r="A1830" s="1"/>
      <c r="B1830" s="177" t="s">
        <v>3703</v>
      </c>
      <c r="C1830" s="160">
        <v>15.0</v>
      </c>
      <c r="D1830" s="27">
        <f t="shared" si="163"/>
        <v>1.875</v>
      </c>
      <c r="E1830" s="29"/>
      <c r="F1830" s="441" t="s">
        <v>366</v>
      </c>
      <c r="G1830" s="47"/>
      <c r="H1830" s="1"/>
      <c r="I1830" s="1"/>
      <c r="J1830" s="1"/>
      <c r="K1830" s="1"/>
      <c r="L1830" s="1"/>
      <c r="M1830" s="1"/>
      <c r="N1830" s="1"/>
      <c r="O1830" s="1"/>
      <c r="P1830" s="1"/>
      <c r="Q1830" s="1"/>
      <c r="R1830" s="1"/>
      <c r="S1830" s="1"/>
    </row>
    <row r="1831" ht="14.25" customHeight="1">
      <c r="A1831" s="1"/>
      <c r="B1831" s="177" t="s">
        <v>3704</v>
      </c>
      <c r="C1831" s="160">
        <v>500.0</v>
      </c>
      <c r="D1831" s="27">
        <f t="shared" si="163"/>
        <v>62.5</v>
      </c>
      <c r="E1831" s="29"/>
      <c r="F1831" s="441" t="s">
        <v>18</v>
      </c>
      <c r="G1831" s="47"/>
      <c r="H1831" s="1"/>
      <c r="I1831" s="1"/>
      <c r="J1831" s="1"/>
      <c r="K1831" s="1"/>
      <c r="L1831" s="1"/>
      <c r="M1831" s="1"/>
      <c r="N1831" s="1"/>
      <c r="O1831" s="1"/>
      <c r="P1831" s="1"/>
      <c r="Q1831" s="1"/>
      <c r="R1831" s="1"/>
      <c r="S1831" s="1"/>
    </row>
    <row r="1832" ht="14.25" customHeight="1">
      <c r="A1832" s="1"/>
      <c r="B1832" s="177" t="s">
        <v>52</v>
      </c>
      <c r="C1832" s="160">
        <v>150.0</v>
      </c>
      <c r="D1832" s="27">
        <f>(C1832*D1828)/C1828</f>
        <v>18.75</v>
      </c>
      <c r="E1832" s="29"/>
      <c r="F1832" s="441" t="s">
        <v>18</v>
      </c>
      <c r="G1832" s="47"/>
      <c r="H1832" s="1"/>
      <c r="I1832" s="1"/>
      <c r="J1832" s="1"/>
      <c r="K1832" s="1"/>
      <c r="L1832" s="1"/>
      <c r="M1832" s="1"/>
      <c r="N1832" s="1"/>
      <c r="O1832" s="1"/>
      <c r="P1832" s="1"/>
      <c r="Q1832" s="1"/>
      <c r="R1832" s="1"/>
      <c r="S1832" s="1"/>
    </row>
    <row r="1833" ht="14.25" customHeight="1">
      <c r="A1833" s="1"/>
      <c r="B1833" s="177" t="s">
        <v>1026</v>
      </c>
      <c r="C1833" s="174">
        <v>200.0</v>
      </c>
      <c r="D1833" s="27">
        <f t="shared" ref="D1833:D1836" si="164">(C1833*D1832)/C1832</f>
        <v>25</v>
      </c>
      <c r="E1833" s="246"/>
      <c r="F1833" s="437" t="s">
        <v>18</v>
      </c>
      <c r="G1833" s="47"/>
      <c r="H1833" s="1"/>
      <c r="I1833" s="1"/>
      <c r="J1833" s="1"/>
      <c r="K1833" s="1"/>
      <c r="L1833" s="1"/>
      <c r="M1833" s="1"/>
      <c r="N1833" s="1"/>
      <c r="O1833" s="1"/>
      <c r="P1833" s="1"/>
      <c r="Q1833" s="1"/>
      <c r="R1833" s="1"/>
      <c r="S1833" s="1"/>
    </row>
    <row r="1834" ht="14.25" customHeight="1">
      <c r="A1834" s="1"/>
      <c r="B1834" s="177" t="s">
        <v>3705</v>
      </c>
      <c r="C1834" s="160">
        <v>200.0</v>
      </c>
      <c r="D1834" s="27">
        <f t="shared" si="164"/>
        <v>25</v>
      </c>
      <c r="E1834" s="29"/>
      <c r="F1834" s="441" t="s">
        <v>18</v>
      </c>
      <c r="G1834" s="47"/>
      <c r="H1834" s="1"/>
      <c r="I1834" s="1"/>
      <c r="J1834" s="1"/>
      <c r="K1834" s="1"/>
      <c r="L1834" s="1"/>
      <c r="M1834" s="1"/>
      <c r="N1834" s="1"/>
      <c r="O1834" s="1"/>
      <c r="P1834" s="1"/>
      <c r="Q1834" s="1"/>
      <c r="R1834" s="1"/>
      <c r="S1834" s="1"/>
    </row>
    <row r="1835" ht="14.25" customHeight="1">
      <c r="A1835" s="1"/>
      <c r="B1835" s="208" t="s">
        <v>3706</v>
      </c>
      <c r="C1835" s="167">
        <v>250.0</v>
      </c>
      <c r="D1835" s="236">
        <f t="shared" si="164"/>
        <v>31.25</v>
      </c>
      <c r="E1835" s="237"/>
      <c r="F1835" s="475" t="s">
        <v>18</v>
      </c>
      <c r="G1835" s="76"/>
      <c r="H1835" s="1"/>
      <c r="I1835" s="1"/>
      <c r="J1835" s="1"/>
      <c r="K1835" s="1"/>
      <c r="L1835" s="1"/>
      <c r="M1835" s="1"/>
      <c r="N1835" s="1"/>
      <c r="O1835" s="1"/>
      <c r="P1835" s="1"/>
      <c r="Q1835" s="1"/>
      <c r="R1835" s="1"/>
      <c r="S1835" s="1"/>
    </row>
    <row r="1836" ht="14.25" customHeight="1">
      <c r="A1836" s="1"/>
      <c r="B1836" s="325" t="s">
        <v>59</v>
      </c>
      <c r="C1836" s="368">
        <v>25.0</v>
      </c>
      <c r="D1836" s="236">
        <f t="shared" si="164"/>
        <v>3.125</v>
      </c>
      <c r="E1836" s="371"/>
      <c r="F1836" s="3178" t="s">
        <v>2147</v>
      </c>
      <c r="G1836" s="679"/>
      <c r="H1836" s="1"/>
      <c r="I1836" s="1"/>
      <c r="J1836" s="1"/>
      <c r="K1836" s="1"/>
      <c r="L1836" s="1"/>
      <c r="M1836" s="1"/>
      <c r="N1836" s="1"/>
      <c r="O1836" s="1"/>
      <c r="P1836" s="1"/>
      <c r="Q1836" s="1"/>
      <c r="R1836" s="1"/>
      <c r="S1836" s="1"/>
    </row>
    <row r="1837" ht="14.25" customHeight="1">
      <c r="A1837" s="1"/>
      <c r="B1837" s="458" t="s">
        <v>31</v>
      </c>
      <c r="C1837" s="275">
        <v>1350.0</v>
      </c>
      <c r="D1837" s="71">
        <f>(C1837*D1835)/C1835</f>
        <v>168.75</v>
      </c>
      <c r="E1837" s="75"/>
      <c r="F1837" s="1394" t="s">
        <v>18</v>
      </c>
      <c r="G1837" s="679"/>
      <c r="H1837" s="1"/>
      <c r="I1837" s="1"/>
      <c r="J1837" s="1"/>
      <c r="K1837" s="1"/>
      <c r="L1837" s="1"/>
      <c r="M1837" s="1"/>
      <c r="N1837" s="1"/>
      <c r="O1837" s="1"/>
      <c r="P1837" s="1"/>
      <c r="Q1837" s="1"/>
      <c r="R1837" s="1"/>
      <c r="S1837" s="1"/>
    </row>
    <row r="1838" ht="14.25" customHeight="1">
      <c r="A1838" s="1"/>
      <c r="B1838" s="157" t="s">
        <v>350</v>
      </c>
      <c r="C1838" s="174">
        <v>3.0</v>
      </c>
      <c r="D1838" s="244">
        <f>(C1838*D1835)/C1835</f>
        <v>0.375</v>
      </c>
      <c r="E1838" s="246"/>
      <c r="F1838" s="3179" t="s">
        <v>14</v>
      </c>
      <c r="G1838" s="44"/>
      <c r="H1838" s="1"/>
      <c r="I1838" s="1"/>
      <c r="J1838" s="1"/>
      <c r="K1838" s="1"/>
      <c r="L1838" s="1"/>
      <c r="M1838" s="1"/>
      <c r="N1838" s="1"/>
      <c r="O1838" s="1"/>
      <c r="P1838" s="1"/>
      <c r="Q1838" s="1"/>
      <c r="R1838" s="1"/>
      <c r="S1838" s="1"/>
    </row>
    <row r="1839" ht="14.25" customHeight="1">
      <c r="A1839" s="1"/>
      <c r="B1839" s="177" t="s">
        <v>2796</v>
      </c>
      <c r="C1839" s="160">
        <v>12.0</v>
      </c>
      <c r="D1839" s="27">
        <f t="shared" ref="D1839:D1840" si="165">(C1839*D1838)/C1838</f>
        <v>1.5</v>
      </c>
      <c r="E1839" s="29"/>
      <c r="F1839" s="3180" t="s">
        <v>9</v>
      </c>
      <c r="G1839" s="47"/>
      <c r="H1839" s="1"/>
      <c r="I1839" s="1"/>
      <c r="J1839" s="1"/>
      <c r="K1839" s="1"/>
      <c r="L1839" s="1"/>
      <c r="M1839" s="1"/>
      <c r="N1839" s="1"/>
      <c r="O1839" s="1"/>
      <c r="P1839" s="1"/>
      <c r="Q1839" s="1"/>
      <c r="R1839" s="1"/>
      <c r="S1839" s="1"/>
    </row>
    <row r="1840" ht="14.25" customHeight="1">
      <c r="A1840" s="1"/>
      <c r="B1840" s="177" t="s">
        <v>80</v>
      </c>
      <c r="C1840" s="160">
        <v>1000.0</v>
      </c>
      <c r="D1840" s="27">
        <f t="shared" si="165"/>
        <v>125</v>
      </c>
      <c r="E1840" s="29"/>
      <c r="F1840" s="441" t="s">
        <v>18</v>
      </c>
      <c r="G1840" s="76"/>
      <c r="H1840" s="1"/>
      <c r="I1840" s="1"/>
      <c r="J1840" s="1"/>
      <c r="K1840" s="1"/>
      <c r="L1840" s="1"/>
      <c r="M1840" s="1"/>
      <c r="N1840" s="1"/>
      <c r="O1840" s="1"/>
      <c r="P1840" s="1"/>
      <c r="Q1840" s="1"/>
      <c r="R1840" s="1"/>
      <c r="S1840" s="1"/>
    </row>
    <row r="1841" ht="14.25" customHeight="1">
      <c r="A1841" s="1"/>
      <c r="B1841" s="90" t="s">
        <v>120</v>
      </c>
      <c r="C1841" s="1188">
        <v>43151.0</v>
      </c>
      <c r="D1841" s="107"/>
      <c r="E1841" s="107"/>
      <c r="F1841" s="107"/>
      <c r="G1841" s="1"/>
      <c r="H1841" s="1"/>
      <c r="I1841" s="1"/>
      <c r="J1841" s="1"/>
      <c r="K1841" s="1"/>
      <c r="L1841" s="1"/>
      <c r="M1841" s="1"/>
      <c r="N1841" s="1"/>
      <c r="O1841" s="1"/>
      <c r="P1841" s="1"/>
      <c r="Q1841" s="1"/>
      <c r="R1841" s="1"/>
      <c r="S1841" s="1"/>
    </row>
    <row r="1842" ht="14.25" customHeight="1">
      <c r="A1842" s="1"/>
      <c r="B1842" s="305" t="s">
        <v>50</v>
      </c>
      <c r="C1842" s="1188">
        <v>43210.0</v>
      </c>
      <c r="D1842" s="107"/>
      <c r="E1842" s="107"/>
      <c r="F1842" s="107"/>
      <c r="G1842" s="1"/>
      <c r="H1842" s="1"/>
      <c r="I1842" s="1"/>
      <c r="J1842" s="1"/>
      <c r="K1842" s="1"/>
      <c r="L1842" s="1"/>
      <c r="M1842" s="1"/>
      <c r="N1842" s="1"/>
      <c r="O1842" s="1"/>
      <c r="P1842" s="1"/>
      <c r="Q1842" s="1"/>
      <c r="R1842" s="1"/>
      <c r="S1842" s="1"/>
    </row>
    <row r="1843" ht="14.25" customHeight="1">
      <c r="A1843" s="1"/>
      <c r="B1843" s="2275" t="s">
        <v>119</v>
      </c>
      <c r="C1843" s="107"/>
      <c r="D1843" s="184"/>
      <c r="E1843" s="184"/>
      <c r="F1843" s="1"/>
      <c r="G1843" s="1"/>
      <c r="H1843" s="1"/>
      <c r="I1843" s="1"/>
      <c r="J1843" s="1"/>
      <c r="K1843" s="1"/>
      <c r="L1843" s="1"/>
      <c r="M1843" s="1"/>
      <c r="N1843" s="1"/>
      <c r="O1843" s="1"/>
      <c r="P1843" s="1"/>
      <c r="Q1843" s="1"/>
      <c r="R1843" s="1"/>
      <c r="S1843" s="1"/>
    </row>
    <row r="1844" ht="14.25" customHeight="1">
      <c r="A1844" s="1"/>
      <c r="B1844" s="1"/>
      <c r="C1844" s="107"/>
      <c r="D1844" s="184"/>
      <c r="E1844" s="184"/>
      <c r="F1844" s="1"/>
      <c r="G1844" s="1"/>
      <c r="H1844" s="1"/>
      <c r="I1844" s="1"/>
      <c r="J1844" s="1"/>
      <c r="K1844" s="1"/>
      <c r="L1844" s="1"/>
      <c r="M1844" s="1"/>
      <c r="N1844" s="1"/>
      <c r="O1844" s="1"/>
      <c r="P1844" s="1"/>
      <c r="Q1844" s="1"/>
      <c r="R1844" s="1"/>
      <c r="S1844" s="1"/>
    </row>
    <row r="1845" ht="14.25" customHeight="1">
      <c r="A1845" s="1"/>
      <c r="B1845" s="1"/>
      <c r="C1845" s="107"/>
      <c r="D1845" s="184"/>
      <c r="E1845" s="184"/>
      <c r="F1845" s="1"/>
      <c r="G1845" s="1"/>
      <c r="H1845" s="1"/>
      <c r="I1845" s="1"/>
      <c r="J1845" s="1"/>
      <c r="K1845" s="1"/>
      <c r="L1845" s="1"/>
      <c r="M1845" s="1"/>
      <c r="N1845" s="1"/>
      <c r="O1845" s="1"/>
      <c r="P1845" s="1"/>
      <c r="Q1845" s="1"/>
      <c r="R1845" s="1"/>
      <c r="S1845" s="1"/>
    </row>
    <row r="1846" ht="14.25" customHeight="1">
      <c r="A1846" s="1"/>
      <c r="B1846" s="1"/>
      <c r="C1846" s="107"/>
      <c r="D1846" s="184"/>
      <c r="E1846" s="184"/>
      <c r="F1846" s="1"/>
      <c r="G1846" s="1"/>
      <c r="H1846" s="1"/>
      <c r="I1846" s="1"/>
      <c r="J1846" s="1"/>
      <c r="K1846" s="1"/>
      <c r="L1846" s="1"/>
      <c r="M1846" s="1"/>
      <c r="N1846" s="1"/>
      <c r="O1846" s="1"/>
      <c r="P1846" s="1"/>
      <c r="Q1846" s="1"/>
      <c r="R1846" s="1"/>
      <c r="S1846" s="1"/>
    </row>
    <row r="1847" ht="14.25" customHeight="1">
      <c r="A1847" s="1"/>
      <c r="B1847" s="577" t="s">
        <v>3707</v>
      </c>
      <c r="C1847" s="18"/>
      <c r="D1847" s="18"/>
      <c r="E1847" s="18"/>
      <c r="F1847" s="19"/>
      <c r="G1847" s="1"/>
      <c r="H1847" s="1"/>
      <c r="I1847" s="1"/>
      <c r="J1847" s="1"/>
      <c r="K1847" s="1"/>
      <c r="L1847" s="1"/>
      <c r="M1847" s="1"/>
      <c r="N1847" s="1"/>
      <c r="O1847" s="1"/>
      <c r="P1847" s="1"/>
      <c r="Q1847" s="1"/>
      <c r="R1847" s="1"/>
      <c r="S1847" s="1"/>
    </row>
    <row r="1848" ht="14.25" customHeight="1">
      <c r="A1848" s="1"/>
      <c r="B1848" s="51" t="s">
        <v>1</v>
      </c>
      <c r="C1848" s="121">
        <v>8.0</v>
      </c>
      <c r="D1848" s="190">
        <v>15.0</v>
      </c>
      <c r="E1848" s="192"/>
      <c r="F1848" s="1593" t="s">
        <v>5</v>
      </c>
      <c r="G1848" s="1"/>
      <c r="H1848" s="1"/>
      <c r="I1848" s="1"/>
      <c r="J1848" s="1"/>
      <c r="K1848" s="1"/>
      <c r="L1848" s="1"/>
      <c r="M1848" s="1"/>
      <c r="N1848" s="1"/>
      <c r="O1848" s="1"/>
      <c r="P1848" s="1"/>
      <c r="Q1848" s="1"/>
      <c r="R1848" s="1"/>
      <c r="S1848" s="1"/>
    </row>
    <row r="1849" ht="14.25" customHeight="1">
      <c r="A1849" s="1"/>
      <c r="B1849" s="68" t="s">
        <v>91</v>
      </c>
      <c r="C1849" s="1202">
        <v>0.4</v>
      </c>
      <c r="D1849" s="145">
        <f t="shared" ref="D1849:D1851" si="166">(C1849*D1848)/C1848</f>
        <v>0.75</v>
      </c>
      <c r="E1849" s="147"/>
      <c r="F1849" s="1157" t="s">
        <v>5</v>
      </c>
      <c r="G1849" s="770" t="s">
        <v>1881</v>
      </c>
      <c r="H1849" s="1"/>
      <c r="I1849" s="1"/>
      <c r="J1849" s="1"/>
      <c r="K1849" s="1"/>
      <c r="L1849" s="1"/>
      <c r="M1849" s="1"/>
      <c r="N1849" s="1"/>
      <c r="O1849" s="1"/>
      <c r="P1849" s="1"/>
      <c r="Q1849" s="1"/>
      <c r="R1849" s="1"/>
      <c r="S1849" s="1"/>
    </row>
    <row r="1850" ht="14.25" customHeight="1">
      <c r="A1850" s="1"/>
      <c r="B1850" s="93" t="s">
        <v>97</v>
      </c>
      <c r="C1850" s="1213">
        <v>50.0</v>
      </c>
      <c r="D1850" s="195">
        <f t="shared" si="166"/>
        <v>93.75</v>
      </c>
      <c r="E1850" s="196"/>
      <c r="F1850" s="1158" t="s">
        <v>18</v>
      </c>
      <c r="G1850" s="47"/>
      <c r="H1850" s="1"/>
      <c r="I1850" s="1"/>
      <c r="J1850" s="1"/>
      <c r="K1850" s="1"/>
      <c r="L1850" s="1"/>
      <c r="M1850" s="1"/>
      <c r="N1850" s="1"/>
      <c r="O1850" s="1"/>
      <c r="P1850" s="1"/>
      <c r="Q1850" s="1"/>
      <c r="R1850" s="1"/>
      <c r="S1850" s="1"/>
    </row>
    <row r="1851" ht="14.25" customHeight="1">
      <c r="A1851" s="1"/>
      <c r="B1851" s="93" t="s">
        <v>103</v>
      </c>
      <c r="C1851" s="1213">
        <v>30.0</v>
      </c>
      <c r="D1851" s="195">
        <f t="shared" si="166"/>
        <v>56.25</v>
      </c>
      <c r="E1851" s="196"/>
      <c r="F1851" s="1158" t="s">
        <v>18</v>
      </c>
      <c r="G1851" s="47"/>
      <c r="H1851" s="1"/>
      <c r="I1851" s="1"/>
      <c r="J1851" s="1"/>
      <c r="K1851" s="1"/>
      <c r="L1851" s="1"/>
      <c r="M1851" s="1"/>
      <c r="N1851" s="1"/>
      <c r="O1851" s="1"/>
      <c r="P1851" s="1"/>
      <c r="Q1851" s="1"/>
      <c r="R1851" s="1"/>
      <c r="S1851" s="1"/>
    </row>
    <row r="1852" ht="14.25" customHeight="1">
      <c r="A1852" s="1"/>
      <c r="B1852" s="93" t="s">
        <v>52</v>
      </c>
      <c r="C1852" s="1213">
        <v>50.0</v>
      </c>
      <c r="D1852" s="195">
        <f t="shared" ref="D1852:D1857" si="167">(C1852*D1850)/C1850</f>
        <v>93.75</v>
      </c>
      <c r="E1852" s="196"/>
      <c r="F1852" s="1158" t="s">
        <v>18</v>
      </c>
      <c r="G1852" s="47"/>
      <c r="H1852" s="1"/>
      <c r="I1852" s="1"/>
      <c r="J1852" s="1"/>
      <c r="K1852" s="1"/>
      <c r="L1852" s="1"/>
      <c r="M1852" s="1"/>
      <c r="N1852" s="1"/>
      <c r="O1852" s="1"/>
      <c r="P1852" s="1"/>
      <c r="Q1852" s="1"/>
      <c r="R1852" s="1"/>
      <c r="S1852" s="1"/>
    </row>
    <row r="1853" ht="14.25" customHeight="1">
      <c r="A1853" s="1"/>
      <c r="B1853" s="93" t="s">
        <v>63</v>
      </c>
      <c r="C1853" s="1213">
        <v>30.0</v>
      </c>
      <c r="D1853" s="195">
        <f t="shared" si="167"/>
        <v>56.25</v>
      </c>
      <c r="E1853" s="196"/>
      <c r="F1853" s="1158" t="s">
        <v>18</v>
      </c>
      <c r="G1853" s="47"/>
      <c r="H1853" s="1"/>
      <c r="I1853" s="1"/>
      <c r="J1853" s="1"/>
      <c r="K1853" s="1"/>
      <c r="L1853" s="1"/>
      <c r="M1853" s="1"/>
      <c r="N1853" s="1"/>
      <c r="O1853" s="1"/>
      <c r="P1853" s="1"/>
      <c r="Q1853" s="1"/>
      <c r="R1853" s="1"/>
      <c r="S1853" s="1"/>
    </row>
    <row r="1854" ht="14.25" customHeight="1">
      <c r="A1854" s="1"/>
      <c r="B1854" s="138" t="s">
        <v>3708</v>
      </c>
      <c r="C1854" s="351">
        <v>50.0</v>
      </c>
      <c r="D1854" s="279">
        <f t="shared" si="167"/>
        <v>93.75</v>
      </c>
      <c r="E1854" s="280"/>
      <c r="F1854" s="1219" t="s">
        <v>18</v>
      </c>
      <c r="G1854" s="76"/>
      <c r="H1854" s="1"/>
      <c r="I1854" s="1"/>
      <c r="J1854" s="1"/>
      <c r="K1854" s="1"/>
      <c r="L1854" s="1"/>
      <c r="M1854" s="1"/>
      <c r="N1854" s="1"/>
      <c r="O1854" s="1"/>
      <c r="P1854" s="1"/>
      <c r="Q1854" s="1"/>
      <c r="R1854" s="1"/>
      <c r="S1854" s="1"/>
    </row>
    <row r="1855" ht="14.25" customHeight="1">
      <c r="A1855" s="1"/>
      <c r="B1855" s="751" t="s">
        <v>3709</v>
      </c>
      <c r="C1855" s="1234">
        <v>10.0</v>
      </c>
      <c r="D1855" s="275">
        <f t="shared" si="167"/>
        <v>18.75</v>
      </c>
      <c r="E1855" s="433"/>
      <c r="F1855" s="1610" t="s">
        <v>93</v>
      </c>
      <c r="G1855" s="3181" t="s">
        <v>3710</v>
      </c>
      <c r="H1855" s="1"/>
      <c r="I1855" s="1"/>
      <c r="J1855" s="1"/>
      <c r="K1855" s="1"/>
      <c r="L1855" s="1"/>
      <c r="M1855" s="1"/>
      <c r="N1855" s="1"/>
      <c r="O1855" s="1"/>
      <c r="P1855" s="1"/>
      <c r="Q1855" s="1"/>
      <c r="R1855" s="1"/>
      <c r="S1855" s="1"/>
    </row>
    <row r="1856" ht="14.25" customHeight="1">
      <c r="A1856" s="1"/>
      <c r="B1856" s="51" t="s">
        <v>1274</v>
      </c>
      <c r="C1856" s="121">
        <v>60.0</v>
      </c>
      <c r="D1856" s="190">
        <f t="shared" si="167"/>
        <v>112.5</v>
      </c>
      <c r="E1856" s="192"/>
      <c r="F1856" s="1593" t="s">
        <v>18</v>
      </c>
      <c r="G1856" s="592" t="s">
        <v>3711</v>
      </c>
      <c r="H1856" s="1"/>
      <c r="I1856" s="1"/>
      <c r="J1856" s="1"/>
      <c r="K1856" s="1"/>
      <c r="L1856" s="1"/>
      <c r="M1856" s="1"/>
      <c r="N1856" s="1"/>
      <c r="O1856" s="1"/>
      <c r="P1856" s="1"/>
      <c r="Q1856" s="1"/>
      <c r="R1856" s="1"/>
      <c r="S1856" s="1"/>
    </row>
    <row r="1857" ht="14.25" customHeight="1">
      <c r="A1857" s="1"/>
      <c r="B1857" s="68" t="s">
        <v>3712</v>
      </c>
      <c r="C1857" s="1202">
        <v>200.0</v>
      </c>
      <c r="D1857" s="145">
        <f t="shared" si="167"/>
        <v>375</v>
      </c>
      <c r="E1857" s="147"/>
      <c r="F1857" s="1157" t="s">
        <v>18</v>
      </c>
      <c r="G1857" s="44" t="s">
        <v>3713</v>
      </c>
      <c r="H1857" s="1"/>
      <c r="I1857" s="1"/>
      <c r="J1857" s="1"/>
      <c r="K1857" s="1"/>
      <c r="L1857" s="1"/>
      <c r="M1857" s="1"/>
      <c r="N1857" s="1"/>
      <c r="O1857" s="1"/>
      <c r="P1857" s="1"/>
      <c r="Q1857" s="1"/>
      <c r="R1857" s="1"/>
      <c r="S1857" s="1"/>
    </row>
    <row r="1858" ht="14.25" customHeight="1">
      <c r="A1858" s="1"/>
      <c r="B1858" s="93" t="s">
        <v>3714</v>
      </c>
      <c r="C1858" s="1213">
        <v>200.0</v>
      </c>
      <c r="D1858" s="195">
        <f t="shared" ref="D1858:D1860" si="168">(C1858*D1855)/C1855</f>
        <v>375</v>
      </c>
      <c r="E1858" s="196"/>
      <c r="F1858" s="1158" t="s">
        <v>18</v>
      </c>
      <c r="G1858" s="47"/>
      <c r="H1858" s="1"/>
      <c r="I1858" s="1"/>
      <c r="J1858" s="1"/>
      <c r="K1858" s="1"/>
      <c r="L1858" s="1"/>
      <c r="M1858" s="1"/>
      <c r="N1858" s="1"/>
      <c r="O1858" s="1"/>
      <c r="P1858" s="1"/>
      <c r="Q1858" s="1"/>
      <c r="R1858" s="1"/>
      <c r="S1858" s="1"/>
    </row>
    <row r="1859" ht="14.25" customHeight="1">
      <c r="A1859" s="1"/>
      <c r="B1859" s="105" t="s">
        <v>31</v>
      </c>
      <c r="C1859" s="1216">
        <v>50.0</v>
      </c>
      <c r="D1859" s="200">
        <f t="shared" si="168"/>
        <v>93.75</v>
      </c>
      <c r="E1859" s="202"/>
      <c r="F1859" s="1182" t="s">
        <v>18</v>
      </c>
      <c r="G1859" s="76"/>
      <c r="H1859" s="1"/>
      <c r="I1859" s="1"/>
      <c r="J1859" s="1"/>
      <c r="K1859" s="1"/>
      <c r="L1859" s="1"/>
      <c r="M1859" s="1"/>
      <c r="N1859" s="1"/>
      <c r="O1859" s="1"/>
      <c r="P1859" s="1"/>
      <c r="Q1859" s="1"/>
      <c r="R1859" s="1"/>
      <c r="S1859" s="1"/>
    </row>
    <row r="1860" ht="14.25" customHeight="1">
      <c r="A1860" s="1"/>
      <c r="B1860" s="119" t="s">
        <v>3715</v>
      </c>
      <c r="C1860" s="1209">
        <v>120.0</v>
      </c>
      <c r="D1860" s="238">
        <f t="shared" si="168"/>
        <v>225</v>
      </c>
      <c r="E1860" s="282"/>
      <c r="F1860" s="1184" t="s">
        <v>18</v>
      </c>
      <c r="G1860" s="610" t="s">
        <v>3716</v>
      </c>
      <c r="H1860" s="1"/>
      <c r="I1860" s="1"/>
      <c r="J1860" s="1"/>
      <c r="K1860" s="1"/>
      <c r="L1860" s="1"/>
      <c r="M1860" s="1"/>
      <c r="N1860" s="1"/>
      <c r="O1860" s="1"/>
      <c r="P1860" s="1"/>
      <c r="Q1860" s="1"/>
      <c r="R1860" s="1"/>
      <c r="S1860" s="1"/>
    </row>
    <row r="1861" ht="14.25" customHeight="1">
      <c r="A1861" s="1"/>
      <c r="B1861" s="3182" t="s">
        <v>80</v>
      </c>
      <c r="C1861" s="3183">
        <v>200.0</v>
      </c>
      <c r="D1861" s="195">
        <f t="shared" ref="D1861:D1863" si="169">(C1861*D1859)/C1859</f>
        <v>375</v>
      </c>
      <c r="E1861" s="196"/>
      <c r="F1861" s="1079" t="s">
        <v>18</v>
      </c>
      <c r="G1861" s="47"/>
      <c r="H1861" s="1"/>
      <c r="I1861" s="1"/>
      <c r="J1861" s="1"/>
      <c r="K1861" s="1"/>
      <c r="L1861" s="1"/>
      <c r="M1861" s="1"/>
      <c r="N1861" s="1"/>
      <c r="O1861" s="1"/>
      <c r="P1861" s="1"/>
      <c r="Q1861" s="1"/>
      <c r="R1861" s="1"/>
      <c r="S1861" s="1"/>
    </row>
    <row r="1862" ht="14.25" customHeight="1">
      <c r="A1862" s="1"/>
      <c r="B1862" s="3182" t="s">
        <v>31</v>
      </c>
      <c r="C1862" s="3183">
        <v>80.0</v>
      </c>
      <c r="D1862" s="195">
        <f t="shared" si="169"/>
        <v>150</v>
      </c>
      <c r="E1862" s="196"/>
      <c r="F1862" s="1079" t="s">
        <v>18</v>
      </c>
      <c r="G1862" s="47"/>
      <c r="H1862" s="1"/>
      <c r="I1862" s="1"/>
      <c r="J1862" s="1"/>
      <c r="K1862" s="1"/>
      <c r="L1862" s="1"/>
      <c r="M1862" s="1"/>
      <c r="N1862" s="1"/>
      <c r="O1862" s="1"/>
      <c r="P1862" s="1"/>
      <c r="Q1862" s="1"/>
      <c r="R1862" s="1"/>
      <c r="S1862" s="1"/>
    </row>
    <row r="1863" ht="14.25" customHeight="1">
      <c r="A1863" s="1"/>
      <c r="B1863" s="105" t="s">
        <v>3717</v>
      </c>
      <c r="C1863" s="1216">
        <v>150.0</v>
      </c>
      <c r="D1863" s="200">
        <f t="shared" si="169"/>
        <v>281.25</v>
      </c>
      <c r="E1863" s="202"/>
      <c r="F1863" s="1182" t="s">
        <v>18</v>
      </c>
      <c r="G1863" s="76"/>
      <c r="H1863" s="1"/>
      <c r="I1863" s="1"/>
      <c r="J1863" s="1"/>
      <c r="K1863" s="1"/>
      <c r="L1863" s="1"/>
      <c r="M1863" s="1"/>
      <c r="N1863" s="1"/>
      <c r="O1863" s="1"/>
      <c r="P1863" s="1"/>
      <c r="Q1863" s="1"/>
      <c r="R1863" s="1"/>
      <c r="S1863" s="1"/>
    </row>
    <row r="1864" ht="14.25" customHeight="1">
      <c r="A1864" s="1"/>
      <c r="B1864" s="1"/>
      <c r="C1864" s="107"/>
      <c r="D1864" s="107"/>
      <c r="E1864" s="107"/>
      <c r="F1864" s="107"/>
      <c r="G1864" s="1"/>
      <c r="H1864" s="1"/>
      <c r="I1864" s="1"/>
      <c r="J1864" s="1"/>
      <c r="K1864" s="1"/>
      <c r="L1864" s="1"/>
      <c r="M1864" s="1"/>
      <c r="N1864" s="1"/>
      <c r="O1864" s="1"/>
      <c r="P1864" s="1"/>
      <c r="Q1864" s="1"/>
      <c r="R1864" s="1"/>
      <c r="S1864" s="1"/>
    </row>
    <row r="1865" ht="14.25" customHeight="1">
      <c r="A1865" s="1"/>
      <c r="B1865" s="2275" t="s">
        <v>119</v>
      </c>
      <c r="C1865" s="107"/>
      <c r="D1865" s="107"/>
      <c r="E1865" s="107"/>
      <c r="F1865" s="107"/>
      <c r="G1865" s="1"/>
      <c r="H1865" s="1"/>
      <c r="I1865" s="1"/>
      <c r="J1865" s="1"/>
      <c r="K1865" s="1"/>
      <c r="L1865" s="1"/>
      <c r="M1865" s="1"/>
      <c r="N1865" s="1"/>
      <c r="O1865" s="1"/>
      <c r="P1865" s="1"/>
      <c r="Q1865" s="1"/>
      <c r="R1865" s="1"/>
      <c r="S1865" s="1"/>
    </row>
    <row r="1866" ht="15.0" customHeight="1">
      <c r="A1866" s="1"/>
      <c r="B1866" s="90" t="s">
        <v>120</v>
      </c>
      <c r="C1866" s="1188">
        <v>43109.0</v>
      </c>
      <c r="D1866" s="107"/>
      <c r="E1866" s="107"/>
      <c r="F1866" s="107"/>
      <c r="G1866" s="1"/>
      <c r="H1866" s="1"/>
      <c r="I1866" s="1"/>
      <c r="J1866" s="1"/>
      <c r="K1866" s="1"/>
      <c r="L1866" s="1"/>
      <c r="M1866" s="1"/>
      <c r="N1866" s="1"/>
      <c r="O1866" s="1"/>
      <c r="P1866" s="1"/>
      <c r="Q1866" s="1"/>
      <c r="R1866" s="1"/>
      <c r="S1866" s="1"/>
    </row>
    <row r="1867" ht="14.25" customHeight="1">
      <c r="A1867" s="1"/>
      <c r="B1867" s="305" t="s">
        <v>50</v>
      </c>
      <c r="C1867" s="1188">
        <v>43109.0</v>
      </c>
      <c r="D1867" s="107"/>
      <c r="E1867" s="107"/>
      <c r="F1867" s="107"/>
      <c r="G1867" s="1"/>
      <c r="H1867" s="1"/>
      <c r="I1867" s="1"/>
      <c r="J1867" s="1"/>
      <c r="K1867" s="1"/>
      <c r="L1867" s="1"/>
      <c r="M1867" s="1"/>
      <c r="N1867" s="1"/>
      <c r="O1867" s="1"/>
      <c r="P1867" s="1"/>
      <c r="Q1867" s="1"/>
      <c r="R1867" s="1"/>
      <c r="S1867" s="1"/>
    </row>
    <row r="1868" ht="14.25" customHeight="1">
      <c r="A1868" s="1"/>
      <c r="B1868" s="1"/>
      <c r="C1868" s="107"/>
      <c r="D1868" s="184"/>
      <c r="E1868" s="184"/>
      <c r="F1868" s="1"/>
      <c r="G1868" s="1"/>
      <c r="H1868" s="1"/>
      <c r="I1868" s="1"/>
      <c r="J1868" s="1"/>
      <c r="K1868" s="1"/>
      <c r="L1868" s="1"/>
      <c r="M1868" s="1"/>
      <c r="N1868" s="1"/>
      <c r="O1868" s="1"/>
      <c r="P1868" s="1"/>
      <c r="Q1868" s="1"/>
      <c r="R1868" s="1"/>
      <c r="S1868" s="1"/>
    </row>
    <row r="1869" ht="14.25" customHeight="1">
      <c r="A1869" s="1"/>
      <c r="B1869" s="1"/>
      <c r="C1869" s="107"/>
      <c r="D1869" s="184"/>
      <c r="E1869" s="184"/>
      <c r="F1869" s="1"/>
      <c r="G1869" s="1"/>
      <c r="H1869" s="1"/>
      <c r="I1869" s="1"/>
      <c r="J1869" s="1"/>
      <c r="K1869" s="1"/>
      <c r="L1869" s="1"/>
      <c r="M1869" s="1"/>
      <c r="N1869" s="1"/>
      <c r="O1869" s="1"/>
      <c r="P1869" s="1"/>
      <c r="Q1869" s="1"/>
      <c r="R1869" s="1"/>
      <c r="S1869" s="1"/>
    </row>
    <row r="1870" ht="14.25" customHeight="1">
      <c r="A1870" s="1"/>
      <c r="B1870" s="511" t="s">
        <v>3718</v>
      </c>
      <c r="C1870" s="18"/>
      <c r="D1870" s="18"/>
      <c r="E1870" s="18"/>
      <c r="F1870" s="19"/>
      <c r="G1870" s="1866"/>
      <c r="H1870" s="1"/>
      <c r="I1870" s="1"/>
      <c r="J1870" s="1"/>
      <c r="K1870" s="1"/>
      <c r="L1870" s="1"/>
      <c r="M1870" s="1"/>
      <c r="N1870" s="1"/>
      <c r="O1870" s="1"/>
      <c r="P1870" s="1"/>
      <c r="Q1870" s="1"/>
      <c r="R1870" s="1"/>
      <c r="S1870" s="1"/>
    </row>
    <row r="1871" ht="14.25" customHeight="1">
      <c r="A1871" s="1"/>
      <c r="B1871" s="512" t="s">
        <v>1</v>
      </c>
      <c r="C1871" s="190">
        <v>10.0</v>
      </c>
      <c r="D1871" s="190">
        <v>25.0</v>
      </c>
      <c r="E1871" s="192"/>
      <c r="F1871" s="1593" t="s">
        <v>5</v>
      </c>
      <c r="G1871" s="562"/>
      <c r="H1871" s="1"/>
      <c r="I1871" s="1"/>
      <c r="J1871" s="1"/>
      <c r="K1871" s="1"/>
      <c r="L1871" s="1"/>
      <c r="M1871" s="1"/>
      <c r="N1871" s="1"/>
      <c r="O1871" s="1"/>
      <c r="P1871" s="1"/>
      <c r="Q1871" s="1"/>
      <c r="R1871" s="1"/>
      <c r="S1871" s="1"/>
    </row>
    <row r="1872" ht="14.25" customHeight="1">
      <c r="A1872" s="1"/>
      <c r="B1872" s="68" t="s">
        <v>2433</v>
      </c>
      <c r="C1872" s="1202">
        <v>2.5</v>
      </c>
      <c r="D1872" s="1192">
        <f>(C1872*D1875)/C1875</f>
        <v>6.25</v>
      </c>
      <c r="E1872" s="2946"/>
      <c r="F1872" s="1157" t="s">
        <v>14</v>
      </c>
      <c r="G1872" s="638"/>
      <c r="H1872" s="1"/>
      <c r="I1872" s="1"/>
      <c r="J1872" s="1"/>
      <c r="K1872" s="1"/>
      <c r="L1872" s="1"/>
      <c r="M1872" s="1"/>
      <c r="N1872" s="1"/>
      <c r="O1872" s="1"/>
      <c r="P1872" s="1"/>
      <c r="Q1872" s="1"/>
      <c r="R1872" s="1"/>
      <c r="S1872" s="1"/>
    </row>
    <row r="1873" ht="14.25" customHeight="1">
      <c r="A1873" s="1"/>
      <c r="B1873" s="93" t="s">
        <v>2440</v>
      </c>
      <c r="C1873" s="1213">
        <v>2.5</v>
      </c>
      <c r="D1873" s="1878">
        <f>(C1873*D1874)/C1874</f>
        <v>6.25</v>
      </c>
      <c r="E1873" s="2943"/>
      <c r="F1873" s="1158" t="s">
        <v>14</v>
      </c>
      <c r="G1873" s="47"/>
      <c r="H1873" s="1"/>
      <c r="I1873" s="1"/>
      <c r="J1873" s="1"/>
      <c r="K1873" s="1"/>
      <c r="L1873" s="1"/>
      <c r="M1873" s="1"/>
      <c r="N1873" s="1"/>
      <c r="O1873" s="1"/>
      <c r="P1873" s="1"/>
      <c r="Q1873" s="1"/>
      <c r="R1873" s="1"/>
      <c r="S1873" s="1"/>
    </row>
    <row r="1874" ht="14.25" customHeight="1">
      <c r="A1874" s="1"/>
      <c r="B1874" s="93" t="s">
        <v>3719</v>
      </c>
      <c r="C1874" s="1213">
        <v>3.0</v>
      </c>
      <c r="D1874" s="1878">
        <f>(C1874*D1871)/C1871</f>
        <v>7.5</v>
      </c>
      <c r="E1874" s="2943"/>
      <c r="F1874" s="1158" t="s">
        <v>14</v>
      </c>
      <c r="G1874" s="47"/>
      <c r="H1874" s="1"/>
      <c r="I1874" s="1"/>
      <c r="J1874" s="1"/>
      <c r="K1874" s="1"/>
      <c r="L1874" s="1"/>
      <c r="M1874" s="1"/>
      <c r="N1874" s="1"/>
      <c r="O1874" s="1"/>
      <c r="P1874" s="1"/>
      <c r="Q1874" s="1"/>
      <c r="R1874" s="1"/>
      <c r="S1874" s="1"/>
    </row>
    <row r="1875" ht="14.25" customHeight="1">
      <c r="A1875" s="1"/>
      <c r="B1875" s="138" t="s">
        <v>3720</v>
      </c>
      <c r="C1875" s="351">
        <v>1.0</v>
      </c>
      <c r="D1875" s="2703">
        <f t="shared" ref="D1875:D1879" si="170">(C1875*D1873)/C1873</f>
        <v>2.5</v>
      </c>
      <c r="E1875" s="3184"/>
      <c r="F1875" s="1219" t="s">
        <v>14</v>
      </c>
      <c r="G1875" s="76"/>
      <c r="H1875" s="1"/>
      <c r="I1875" s="1"/>
      <c r="J1875" s="1"/>
      <c r="K1875" s="1"/>
      <c r="L1875" s="1"/>
      <c r="M1875" s="1"/>
      <c r="N1875" s="1"/>
      <c r="O1875" s="1"/>
      <c r="P1875" s="1"/>
      <c r="Q1875" s="1"/>
      <c r="R1875" s="1"/>
      <c r="S1875" s="1"/>
    </row>
    <row r="1876" ht="14.25" customHeight="1">
      <c r="A1876" s="1"/>
      <c r="B1876" s="68" t="s">
        <v>491</v>
      </c>
      <c r="C1876" s="145">
        <v>0.4</v>
      </c>
      <c r="D1876" s="145">
        <f t="shared" si="170"/>
        <v>1</v>
      </c>
      <c r="E1876" s="147"/>
      <c r="F1876" s="1157" t="s">
        <v>5</v>
      </c>
      <c r="G1876" s="3185" t="s">
        <v>3721</v>
      </c>
      <c r="H1876" s="1"/>
      <c r="I1876" s="1"/>
      <c r="J1876" s="1"/>
      <c r="K1876" s="1"/>
      <c r="L1876" s="1"/>
      <c r="M1876" s="1"/>
      <c r="N1876" s="1"/>
      <c r="O1876" s="1"/>
      <c r="P1876" s="1"/>
      <c r="Q1876" s="1"/>
      <c r="R1876" s="1"/>
      <c r="S1876" s="1"/>
    </row>
    <row r="1877" ht="14.25" customHeight="1">
      <c r="A1877" s="1"/>
      <c r="B1877" s="93" t="s">
        <v>369</v>
      </c>
      <c r="C1877" s="195">
        <v>0.075</v>
      </c>
      <c r="D1877" s="195">
        <f t="shared" si="170"/>
        <v>0.1875</v>
      </c>
      <c r="E1877" s="196"/>
      <c r="F1877" s="1158" t="s">
        <v>14</v>
      </c>
      <c r="G1877" s="66"/>
      <c r="H1877" s="1"/>
      <c r="I1877" s="1"/>
      <c r="J1877" s="1"/>
      <c r="K1877" s="1"/>
      <c r="L1877" s="1"/>
      <c r="M1877" s="1"/>
      <c r="N1877" s="1"/>
      <c r="O1877" s="1"/>
      <c r="P1877" s="1"/>
      <c r="Q1877" s="1"/>
      <c r="R1877" s="1"/>
      <c r="S1877" s="1"/>
    </row>
    <row r="1878" ht="14.25" customHeight="1">
      <c r="A1878" s="1"/>
      <c r="B1878" s="93" t="s">
        <v>103</v>
      </c>
      <c r="C1878" s="195">
        <v>0.01</v>
      </c>
      <c r="D1878" s="195">
        <f t="shared" si="170"/>
        <v>0.025</v>
      </c>
      <c r="E1878" s="196"/>
      <c r="F1878" s="1158" t="s">
        <v>18</v>
      </c>
      <c r="G1878" s="66"/>
      <c r="H1878" s="1"/>
      <c r="I1878" s="1"/>
      <c r="J1878" s="1"/>
      <c r="K1878" s="1"/>
      <c r="L1878" s="1"/>
      <c r="M1878" s="1"/>
      <c r="N1878" s="1"/>
      <c r="O1878" s="1"/>
      <c r="P1878" s="1"/>
      <c r="Q1878" s="1"/>
      <c r="R1878" s="1"/>
      <c r="S1878" s="1"/>
    </row>
    <row r="1879" ht="14.25" customHeight="1">
      <c r="A1879" s="1"/>
      <c r="B1879" s="105" t="s">
        <v>52</v>
      </c>
      <c r="C1879" s="200">
        <v>0.025</v>
      </c>
      <c r="D1879" s="200">
        <f t="shared" si="170"/>
        <v>0.0625</v>
      </c>
      <c r="E1879" s="202"/>
      <c r="F1879" s="1182" t="s">
        <v>18</v>
      </c>
      <c r="G1879" s="66"/>
      <c r="H1879" s="1"/>
      <c r="I1879" s="1"/>
      <c r="J1879" s="1"/>
      <c r="K1879" s="1"/>
      <c r="L1879" s="1"/>
      <c r="M1879" s="1"/>
      <c r="N1879" s="1"/>
      <c r="O1879" s="1"/>
      <c r="P1879" s="1"/>
      <c r="Q1879" s="1"/>
      <c r="R1879" s="1"/>
      <c r="S1879" s="1"/>
    </row>
    <row r="1880" ht="14.25" customHeight="1">
      <c r="A1880" s="1"/>
      <c r="B1880" s="119" t="s">
        <v>1132</v>
      </c>
      <c r="C1880" s="238">
        <v>0.32</v>
      </c>
      <c r="D1880" s="657">
        <f t="shared" ref="D1880:D1881" si="171">(C1880*D1876)/C1876</f>
        <v>0.8</v>
      </c>
      <c r="E1880" s="2950"/>
      <c r="F1880" s="1184" t="s">
        <v>14</v>
      </c>
      <c r="G1880" s="610" t="s">
        <v>3722</v>
      </c>
      <c r="H1880" s="1"/>
      <c r="I1880" s="1"/>
      <c r="J1880" s="1"/>
      <c r="K1880" s="1"/>
      <c r="L1880" s="1"/>
      <c r="M1880" s="1"/>
      <c r="N1880" s="1"/>
      <c r="O1880" s="1"/>
      <c r="P1880" s="1"/>
      <c r="Q1880" s="1"/>
      <c r="R1880" s="1"/>
      <c r="S1880" s="1"/>
    </row>
    <row r="1881" ht="14.25" customHeight="1">
      <c r="A1881" s="1"/>
      <c r="B1881" s="93" t="s">
        <v>1243</v>
      </c>
      <c r="C1881" s="195">
        <v>0.1</v>
      </c>
      <c r="D1881" s="195">
        <f t="shared" si="171"/>
        <v>0.25</v>
      </c>
      <c r="E1881" s="196"/>
      <c r="F1881" s="1158" t="s">
        <v>14</v>
      </c>
      <c r="G1881" s="47"/>
      <c r="H1881" s="1"/>
      <c r="I1881" s="1"/>
      <c r="J1881" s="1"/>
      <c r="K1881" s="1"/>
      <c r="L1881" s="1"/>
      <c r="M1881" s="1"/>
      <c r="N1881" s="1"/>
      <c r="O1881" s="1"/>
      <c r="P1881" s="1"/>
      <c r="Q1881" s="1"/>
      <c r="R1881" s="1"/>
      <c r="S1881" s="1"/>
    </row>
    <row r="1882" ht="14.25" customHeight="1">
      <c r="A1882" s="1"/>
      <c r="B1882" s="138" t="s">
        <v>1244</v>
      </c>
      <c r="C1882" s="279">
        <v>0.1</v>
      </c>
      <c r="D1882" s="279">
        <f t="shared" ref="D1882:D1884" si="172">(C1882*D1880)/C1880</f>
        <v>0.25</v>
      </c>
      <c r="E1882" s="280"/>
      <c r="F1882" s="1219" t="s">
        <v>14</v>
      </c>
      <c r="G1882" s="76"/>
      <c r="H1882" s="1"/>
      <c r="I1882" s="1"/>
      <c r="J1882" s="1"/>
      <c r="K1882" s="1"/>
      <c r="L1882" s="1"/>
      <c r="M1882" s="1"/>
      <c r="N1882" s="1"/>
      <c r="O1882" s="1"/>
      <c r="P1882" s="1"/>
      <c r="Q1882" s="1"/>
      <c r="R1882" s="1"/>
      <c r="S1882" s="1"/>
    </row>
    <row r="1883" ht="14.25" customHeight="1">
      <c r="A1883" s="1"/>
      <c r="B1883" s="173" t="s">
        <v>3723</v>
      </c>
      <c r="C1883" s="275">
        <v>1.0</v>
      </c>
      <c r="D1883" s="275">
        <f t="shared" si="172"/>
        <v>2.5</v>
      </c>
      <c r="E1883" s="433"/>
      <c r="F1883" s="1610" t="s">
        <v>14</v>
      </c>
      <c r="G1883" s="638"/>
      <c r="H1883" s="1"/>
      <c r="I1883" s="1"/>
      <c r="J1883" s="1"/>
      <c r="K1883" s="1"/>
      <c r="L1883" s="1"/>
      <c r="M1883" s="1"/>
      <c r="N1883" s="1"/>
      <c r="O1883" s="1"/>
      <c r="P1883" s="1"/>
      <c r="Q1883" s="1"/>
      <c r="R1883" s="1"/>
      <c r="S1883" s="1"/>
    </row>
    <row r="1884" ht="14.25" customHeight="1">
      <c r="A1884" s="1"/>
      <c r="B1884" s="51" t="s">
        <v>157</v>
      </c>
      <c r="C1884" s="190">
        <v>3.5</v>
      </c>
      <c r="D1884" s="275">
        <f t="shared" si="172"/>
        <v>8.75</v>
      </c>
      <c r="E1884" s="192"/>
      <c r="F1884" s="1593" t="s">
        <v>3724</v>
      </c>
      <c r="G1884" s="47"/>
      <c r="H1884" s="1"/>
      <c r="I1884" s="1"/>
      <c r="J1884" s="1"/>
      <c r="K1884" s="1"/>
      <c r="L1884" s="1"/>
      <c r="M1884" s="1"/>
      <c r="N1884" s="1"/>
      <c r="O1884" s="1"/>
      <c r="P1884" s="1"/>
      <c r="Q1884" s="1"/>
      <c r="R1884" s="1"/>
      <c r="S1884" s="1"/>
    </row>
    <row r="1885" ht="14.25" customHeight="1">
      <c r="A1885" s="1"/>
      <c r="B1885" s="68" t="s">
        <v>31</v>
      </c>
      <c r="C1885" s="145">
        <v>0.12</v>
      </c>
      <c r="D1885" s="145">
        <f>(C1885*D1882)/C1882</f>
        <v>0.3</v>
      </c>
      <c r="E1885" s="147"/>
      <c r="F1885" s="1157" t="s">
        <v>366</v>
      </c>
      <c r="G1885" s="47"/>
      <c r="H1885" s="1"/>
      <c r="I1885" s="1"/>
      <c r="J1885" s="1"/>
      <c r="K1885" s="1"/>
      <c r="L1885" s="1"/>
      <c r="M1885" s="1"/>
      <c r="N1885" s="1"/>
      <c r="O1885" s="1"/>
      <c r="P1885" s="1"/>
      <c r="Q1885" s="1"/>
      <c r="R1885" s="1"/>
      <c r="S1885" s="1"/>
    </row>
    <row r="1886" ht="14.25" customHeight="1">
      <c r="A1886" s="1"/>
      <c r="B1886" s="93" t="s">
        <v>288</v>
      </c>
      <c r="C1886" s="195">
        <v>20.0</v>
      </c>
      <c r="D1886" s="195">
        <f t="shared" ref="D1886:D1887" si="173">(C1886*D1882)/C1882</f>
        <v>50</v>
      </c>
      <c r="E1886" s="196"/>
      <c r="F1886" s="1158" t="s">
        <v>18</v>
      </c>
      <c r="G1886" s="47"/>
      <c r="H1886" s="1"/>
      <c r="I1886" s="1"/>
      <c r="J1886" s="1"/>
      <c r="K1886" s="1"/>
      <c r="L1886" s="1"/>
      <c r="M1886" s="1"/>
      <c r="N1886" s="1"/>
      <c r="O1886" s="1"/>
      <c r="P1886" s="1"/>
      <c r="Q1886" s="1"/>
      <c r="R1886" s="1"/>
      <c r="S1886" s="1"/>
    </row>
    <row r="1887" ht="14.25" customHeight="1">
      <c r="A1887" s="1"/>
      <c r="B1887" s="93" t="s">
        <v>1027</v>
      </c>
      <c r="C1887" s="195">
        <v>10.0</v>
      </c>
      <c r="D1887" s="195">
        <f t="shared" si="173"/>
        <v>25</v>
      </c>
      <c r="E1887" s="196"/>
      <c r="F1887" s="1158" t="s">
        <v>18</v>
      </c>
      <c r="G1887" s="47"/>
      <c r="H1887" s="1"/>
      <c r="I1887" s="1"/>
      <c r="J1887" s="1"/>
      <c r="K1887" s="1"/>
      <c r="L1887" s="1"/>
      <c r="M1887" s="1"/>
      <c r="N1887" s="1"/>
      <c r="O1887" s="1"/>
      <c r="P1887" s="1"/>
      <c r="Q1887" s="1"/>
      <c r="R1887" s="1"/>
      <c r="S1887" s="1"/>
    </row>
    <row r="1888" ht="14.25" customHeight="1">
      <c r="A1888" s="1"/>
      <c r="B1888" s="105" t="s">
        <v>402</v>
      </c>
      <c r="C1888" s="200">
        <v>0.18</v>
      </c>
      <c r="D1888" s="200">
        <f t="shared" ref="D1888:D1890" si="174">(C1888*D1886)/C1886</f>
        <v>0.45</v>
      </c>
      <c r="E1888" s="202"/>
      <c r="F1888" s="1182" t="s">
        <v>14</v>
      </c>
      <c r="G1888" s="76"/>
      <c r="H1888" s="1"/>
      <c r="I1888" s="1"/>
      <c r="J1888" s="1"/>
      <c r="K1888" s="1"/>
      <c r="L1888" s="1"/>
      <c r="M1888" s="1"/>
      <c r="N1888" s="1"/>
      <c r="O1888" s="1"/>
      <c r="P1888" s="1"/>
      <c r="Q1888" s="1"/>
      <c r="R1888" s="1"/>
      <c r="S1888" s="1"/>
    </row>
    <row r="1889" ht="14.25" customHeight="1">
      <c r="A1889" s="1"/>
      <c r="B1889" s="149" t="s">
        <v>3510</v>
      </c>
      <c r="C1889" s="152">
        <v>0.1</v>
      </c>
      <c r="D1889" s="200">
        <f t="shared" si="174"/>
        <v>0.25</v>
      </c>
      <c r="E1889" s="154"/>
      <c r="F1889" s="1225" t="s">
        <v>14</v>
      </c>
      <c r="G1889" s="638" t="s">
        <v>204</v>
      </c>
      <c r="H1889" s="1"/>
      <c r="I1889" s="1"/>
      <c r="J1889" s="1"/>
      <c r="K1889" s="1"/>
      <c r="L1889" s="1"/>
      <c r="M1889" s="1"/>
      <c r="N1889" s="1"/>
      <c r="O1889" s="1"/>
      <c r="P1889" s="1"/>
      <c r="Q1889" s="1"/>
      <c r="R1889" s="1"/>
      <c r="S1889" s="1"/>
    </row>
    <row r="1890" ht="14.25" customHeight="1">
      <c r="A1890" s="1"/>
      <c r="B1890" s="149" t="s">
        <v>3511</v>
      </c>
      <c r="C1890" s="152">
        <v>0.2</v>
      </c>
      <c r="D1890" s="200">
        <f t="shared" si="174"/>
        <v>0.5</v>
      </c>
      <c r="E1890" s="154"/>
      <c r="F1890" s="1225" t="s">
        <v>14</v>
      </c>
      <c r="G1890" s="47"/>
      <c r="H1890" s="1"/>
      <c r="I1890" s="1"/>
      <c r="J1890" s="1"/>
      <c r="K1890" s="1"/>
      <c r="L1890" s="1"/>
      <c r="M1890" s="1"/>
      <c r="N1890" s="1"/>
      <c r="O1890" s="1"/>
      <c r="P1890" s="1"/>
      <c r="Q1890" s="1"/>
      <c r="R1890" s="1"/>
      <c r="S1890" s="1"/>
    </row>
    <row r="1891" ht="14.25" customHeight="1">
      <c r="A1891" s="1"/>
      <c r="B1891" s="149" t="s">
        <v>2292</v>
      </c>
      <c r="C1891" s="152">
        <v>0.75</v>
      </c>
      <c r="D1891" s="152">
        <f>(C1891*D1887)/C1887</f>
        <v>1.875</v>
      </c>
      <c r="E1891" s="154"/>
      <c r="F1891" s="1225" t="s">
        <v>3724</v>
      </c>
      <c r="G1891" s="76"/>
      <c r="H1891" s="1"/>
      <c r="I1891" s="1"/>
      <c r="J1891" s="1"/>
      <c r="K1891" s="1"/>
      <c r="L1891" s="1"/>
      <c r="M1891" s="1"/>
      <c r="N1891" s="1"/>
      <c r="O1891" s="1"/>
      <c r="P1891" s="1"/>
      <c r="Q1891" s="1"/>
      <c r="R1891" s="1"/>
      <c r="S1891" s="1"/>
    </row>
    <row r="1892" ht="14.25" customHeight="1">
      <c r="A1892" s="1"/>
      <c r="B1892" s="1"/>
      <c r="C1892" s="107"/>
      <c r="D1892" s="107"/>
      <c r="E1892" s="107"/>
      <c r="F1892" s="107"/>
      <c r="G1892" s="1"/>
      <c r="H1892" s="1"/>
      <c r="I1892" s="1"/>
      <c r="J1892" s="1"/>
      <c r="K1892" s="1"/>
      <c r="L1892" s="1"/>
      <c r="M1892" s="1"/>
      <c r="N1892" s="1"/>
      <c r="O1892" s="1"/>
      <c r="P1892" s="1"/>
      <c r="Q1892" s="1"/>
      <c r="R1892" s="1"/>
      <c r="S1892" s="1"/>
    </row>
    <row r="1893" ht="14.25" customHeight="1">
      <c r="A1893" s="1"/>
      <c r="B1893" s="2275" t="s">
        <v>119</v>
      </c>
      <c r="C1893" s="107"/>
      <c r="D1893" s="107"/>
      <c r="E1893" s="107"/>
      <c r="F1893" s="107"/>
      <c r="G1893" s="1"/>
      <c r="H1893" s="1"/>
      <c r="I1893" s="1"/>
      <c r="J1893" s="1"/>
      <c r="K1893" s="1"/>
      <c r="L1893" s="1"/>
      <c r="M1893" s="1"/>
      <c r="N1893" s="1"/>
      <c r="O1893" s="1"/>
      <c r="P1893" s="1"/>
      <c r="Q1893" s="1"/>
      <c r="R1893" s="1"/>
      <c r="S1893" s="1"/>
    </row>
    <row r="1894" ht="14.25" customHeight="1">
      <c r="A1894" s="1"/>
      <c r="B1894" s="90" t="s">
        <v>120</v>
      </c>
      <c r="C1894" s="1188">
        <v>43106.0</v>
      </c>
      <c r="D1894" s="107"/>
      <c r="E1894" s="107"/>
      <c r="F1894" s="107"/>
      <c r="G1894" s="1"/>
      <c r="H1894" s="1"/>
      <c r="I1894" s="1"/>
      <c r="J1894" s="1"/>
      <c r="K1894" s="1"/>
      <c r="L1894" s="1"/>
      <c r="M1894" s="1"/>
      <c r="N1894" s="1"/>
      <c r="O1894" s="1"/>
      <c r="P1894" s="1"/>
      <c r="Q1894" s="1"/>
      <c r="R1894" s="1"/>
      <c r="S1894" s="1"/>
    </row>
    <row r="1895" ht="14.25" customHeight="1">
      <c r="A1895" s="1"/>
      <c r="B1895" s="305" t="s">
        <v>50</v>
      </c>
      <c r="C1895" s="1188">
        <v>43106.0</v>
      </c>
      <c r="D1895" s="107"/>
      <c r="E1895" s="107"/>
      <c r="F1895" s="107"/>
      <c r="G1895" s="1"/>
      <c r="H1895" s="1"/>
      <c r="I1895" s="1"/>
      <c r="J1895" s="1"/>
      <c r="K1895" s="1"/>
      <c r="L1895" s="1"/>
      <c r="M1895" s="1"/>
      <c r="N1895" s="1"/>
      <c r="O1895" s="1"/>
      <c r="P1895" s="1"/>
      <c r="Q1895" s="1"/>
      <c r="R1895" s="1"/>
      <c r="S1895" s="1"/>
    </row>
    <row r="1896" ht="14.25" customHeight="1">
      <c r="A1896" s="1"/>
      <c r="B1896" s="1"/>
      <c r="C1896" s="107"/>
      <c r="D1896" s="184"/>
      <c r="E1896" s="184"/>
      <c r="F1896" s="1"/>
      <c r="G1896" s="1"/>
      <c r="H1896" s="1"/>
      <c r="I1896" s="1"/>
      <c r="J1896" s="1"/>
      <c r="K1896" s="1"/>
      <c r="L1896" s="1"/>
      <c r="M1896" s="1"/>
      <c r="N1896" s="1"/>
      <c r="O1896" s="1"/>
      <c r="P1896" s="1"/>
      <c r="Q1896" s="1"/>
      <c r="R1896" s="1"/>
      <c r="S1896" s="1"/>
    </row>
    <row r="1897" ht="14.25" customHeight="1">
      <c r="A1897" s="1"/>
      <c r="B1897" s="1"/>
      <c r="C1897" s="107"/>
      <c r="D1897" s="184"/>
      <c r="E1897" s="184"/>
      <c r="F1897" s="1"/>
      <c r="G1897" s="1"/>
      <c r="H1897" s="1"/>
      <c r="I1897" s="1"/>
      <c r="J1897" s="1"/>
      <c r="K1897" s="1"/>
      <c r="L1897" s="1"/>
      <c r="M1897" s="1"/>
      <c r="N1897" s="1"/>
      <c r="O1897" s="1"/>
      <c r="P1897" s="1"/>
      <c r="Q1897" s="1"/>
      <c r="R1897" s="1"/>
      <c r="S1897" s="1"/>
    </row>
    <row r="1898" ht="14.25" customHeight="1">
      <c r="A1898" s="1"/>
      <c r="B1898" s="1"/>
      <c r="C1898" s="107"/>
      <c r="D1898" s="184"/>
      <c r="E1898" s="184"/>
      <c r="F1898" s="1"/>
      <c r="G1898" s="1"/>
      <c r="H1898" s="1"/>
      <c r="I1898" s="1"/>
      <c r="J1898" s="1"/>
      <c r="K1898" s="1"/>
      <c r="L1898" s="1"/>
      <c r="M1898" s="1"/>
      <c r="N1898" s="1"/>
      <c r="O1898" s="1"/>
      <c r="P1898" s="1"/>
      <c r="Q1898" s="1"/>
      <c r="R1898" s="1"/>
      <c r="S1898" s="1"/>
    </row>
    <row r="1899" ht="14.25" customHeight="1">
      <c r="A1899" s="1"/>
      <c r="B1899" s="577" t="s">
        <v>1119</v>
      </c>
      <c r="C1899" s="18"/>
      <c r="D1899" s="18"/>
      <c r="E1899" s="18"/>
      <c r="F1899" s="19"/>
      <c r="G1899" s="1"/>
      <c r="H1899" s="1"/>
      <c r="I1899" s="1"/>
      <c r="J1899" s="1"/>
      <c r="K1899" s="1"/>
      <c r="L1899" s="1"/>
      <c r="M1899" s="1"/>
      <c r="N1899" s="1"/>
      <c r="O1899" s="1"/>
      <c r="P1899" s="1"/>
      <c r="Q1899" s="1"/>
      <c r="R1899" s="1"/>
      <c r="S1899" s="1"/>
    </row>
    <row r="1900" ht="14.25" customHeight="1">
      <c r="A1900" s="1"/>
      <c r="B1900" s="51" t="s">
        <v>1</v>
      </c>
      <c r="C1900" s="121">
        <v>1.5</v>
      </c>
      <c r="D1900" s="190">
        <v>40.0</v>
      </c>
      <c r="E1900" s="192"/>
      <c r="F1900" s="514" t="s">
        <v>5</v>
      </c>
      <c r="G1900" s="1"/>
      <c r="H1900" s="1"/>
      <c r="I1900" s="1"/>
      <c r="J1900" s="1"/>
      <c r="K1900" s="1"/>
      <c r="L1900" s="1"/>
      <c r="M1900" s="1"/>
      <c r="N1900" s="1"/>
      <c r="O1900" s="1"/>
      <c r="P1900" s="1"/>
      <c r="Q1900" s="1"/>
      <c r="R1900" s="1"/>
      <c r="S1900" s="1"/>
    </row>
    <row r="1901" ht="14.25" customHeight="1">
      <c r="A1901" s="1"/>
      <c r="B1901" s="68" t="s">
        <v>91</v>
      </c>
      <c r="C1901" s="1202">
        <v>0.04</v>
      </c>
      <c r="D1901" s="145">
        <f t="shared" ref="D1901:D1903" si="175">(C1901*D1900)/C1900</f>
        <v>1.066666667</v>
      </c>
      <c r="E1901" s="147"/>
      <c r="F1901" s="216" t="s">
        <v>5</v>
      </c>
      <c r="G1901" s="770" t="s">
        <v>1881</v>
      </c>
      <c r="H1901" s="1"/>
      <c r="I1901" s="1"/>
      <c r="J1901" s="1"/>
      <c r="K1901" s="1"/>
      <c r="L1901" s="1"/>
      <c r="M1901" s="1"/>
      <c r="N1901" s="1"/>
      <c r="O1901" s="1"/>
      <c r="P1901" s="1"/>
      <c r="Q1901" s="1"/>
      <c r="R1901" s="1"/>
      <c r="S1901" s="1"/>
    </row>
    <row r="1902" ht="14.25" customHeight="1">
      <c r="A1902" s="1"/>
      <c r="B1902" s="93" t="s">
        <v>103</v>
      </c>
      <c r="C1902" s="1213">
        <v>1.2</v>
      </c>
      <c r="D1902" s="195">
        <f t="shared" si="175"/>
        <v>32</v>
      </c>
      <c r="E1902" s="196"/>
      <c r="F1902" s="249" t="s">
        <v>18</v>
      </c>
      <c r="G1902" s="47"/>
      <c r="H1902" s="1"/>
      <c r="I1902" s="1"/>
      <c r="J1902" s="1"/>
      <c r="K1902" s="1"/>
      <c r="L1902" s="1"/>
      <c r="M1902" s="1"/>
      <c r="N1902" s="1"/>
      <c r="O1902" s="1"/>
      <c r="P1902" s="1"/>
      <c r="Q1902" s="1"/>
      <c r="R1902" s="1"/>
      <c r="S1902" s="1"/>
    </row>
    <row r="1903" ht="14.25" customHeight="1">
      <c r="A1903" s="1"/>
      <c r="B1903" s="93" t="s">
        <v>3725</v>
      </c>
      <c r="C1903" s="1213">
        <v>6.0</v>
      </c>
      <c r="D1903" s="195">
        <f t="shared" si="175"/>
        <v>160</v>
      </c>
      <c r="E1903" s="196"/>
      <c r="F1903" s="249" t="s">
        <v>18</v>
      </c>
      <c r="G1903" s="47"/>
      <c r="H1903" s="1"/>
      <c r="I1903" s="1"/>
      <c r="J1903" s="1"/>
      <c r="K1903" s="1"/>
      <c r="L1903" s="1"/>
      <c r="M1903" s="1"/>
      <c r="N1903" s="1"/>
      <c r="O1903" s="1"/>
      <c r="P1903" s="1"/>
      <c r="Q1903" s="1"/>
      <c r="R1903" s="1"/>
      <c r="S1903" s="1"/>
    </row>
    <row r="1904" ht="14.25" customHeight="1">
      <c r="A1904" s="1"/>
      <c r="B1904" s="138" t="s">
        <v>753</v>
      </c>
      <c r="C1904" s="351">
        <v>9.0</v>
      </c>
      <c r="D1904" s="279">
        <f>(C1904*D1914)/C1914</f>
        <v>240</v>
      </c>
      <c r="E1904" s="280"/>
      <c r="F1904" s="242" t="s">
        <v>18</v>
      </c>
      <c r="G1904" s="76"/>
      <c r="H1904" s="1"/>
      <c r="I1904" s="1"/>
      <c r="J1904" s="1"/>
      <c r="K1904" s="1"/>
      <c r="L1904" s="1"/>
      <c r="M1904" s="1"/>
      <c r="N1904" s="1"/>
      <c r="O1904" s="1"/>
      <c r="P1904" s="1"/>
      <c r="Q1904" s="1"/>
      <c r="R1904" s="1"/>
      <c r="S1904" s="1"/>
    </row>
    <row r="1905" ht="14.25" customHeight="1">
      <c r="A1905" s="1"/>
      <c r="B1905" s="173" t="s">
        <v>3726</v>
      </c>
      <c r="C1905" s="1234">
        <v>50.0</v>
      </c>
      <c r="D1905" s="275">
        <f>(C1905*D1912)/C1912</f>
        <v>1333.333333</v>
      </c>
      <c r="E1905" s="433"/>
      <c r="F1905" s="547" t="s">
        <v>18</v>
      </c>
      <c r="G1905" s="610" t="s">
        <v>3727</v>
      </c>
      <c r="H1905" s="1"/>
      <c r="I1905" s="1"/>
      <c r="J1905" s="1"/>
      <c r="K1905" s="1"/>
      <c r="L1905" s="1"/>
      <c r="M1905" s="1"/>
      <c r="N1905" s="1"/>
      <c r="O1905" s="1"/>
      <c r="P1905" s="1"/>
      <c r="Q1905" s="1"/>
      <c r="R1905" s="1"/>
      <c r="S1905" s="1"/>
    </row>
    <row r="1906" ht="14.25" customHeight="1">
      <c r="A1906" s="1"/>
      <c r="B1906" s="149" t="s">
        <v>947</v>
      </c>
      <c r="C1906" s="1220">
        <v>50.0</v>
      </c>
      <c r="D1906" s="152">
        <f>(C1906*D1905)/C1905</f>
        <v>1333.333333</v>
      </c>
      <c r="E1906" s="154"/>
      <c r="F1906" s="288" t="s">
        <v>18</v>
      </c>
      <c r="G1906" s="47"/>
      <c r="H1906" s="1"/>
      <c r="I1906" s="1"/>
      <c r="J1906" s="1"/>
      <c r="K1906" s="1"/>
      <c r="L1906" s="1"/>
      <c r="M1906" s="1"/>
      <c r="N1906" s="1"/>
      <c r="O1906" s="1"/>
      <c r="P1906" s="1"/>
      <c r="Q1906" s="1"/>
      <c r="R1906" s="1"/>
      <c r="S1906" s="1"/>
    </row>
    <row r="1907" ht="14.25" customHeight="1">
      <c r="A1907" s="1"/>
      <c r="B1907" s="68" t="s">
        <v>1189</v>
      </c>
      <c r="C1907" s="1202">
        <v>1.5</v>
      </c>
      <c r="D1907" s="145">
        <f>(C1907*D1913)/C1913</f>
        <v>40</v>
      </c>
      <c r="E1907" s="147"/>
      <c r="F1907" s="216" t="s">
        <v>526</v>
      </c>
      <c r="G1907" s="47"/>
      <c r="H1907" s="1"/>
      <c r="I1907" s="1"/>
      <c r="J1907" s="1"/>
      <c r="K1907" s="1"/>
      <c r="L1907" s="1"/>
      <c r="M1907" s="1"/>
      <c r="N1907" s="1"/>
      <c r="O1907" s="1"/>
      <c r="P1907" s="1"/>
      <c r="Q1907" s="1"/>
      <c r="R1907" s="1"/>
      <c r="S1907" s="1"/>
    </row>
    <row r="1908" ht="14.25" customHeight="1">
      <c r="A1908" s="1"/>
      <c r="B1908" s="93" t="s">
        <v>1161</v>
      </c>
      <c r="C1908" s="1213">
        <v>0.2</v>
      </c>
      <c r="D1908" s="195">
        <f t="shared" ref="D1908:D1910" si="176">(C1908*D1907)/C1907</f>
        <v>5.333333333</v>
      </c>
      <c r="E1908" s="196"/>
      <c r="F1908" s="249" t="s">
        <v>14</v>
      </c>
      <c r="G1908" s="47"/>
      <c r="H1908" s="1"/>
      <c r="I1908" s="1"/>
      <c r="J1908" s="1"/>
      <c r="K1908" s="1"/>
      <c r="L1908" s="1"/>
      <c r="M1908" s="1"/>
      <c r="N1908" s="1"/>
      <c r="O1908" s="1"/>
      <c r="P1908" s="1"/>
      <c r="Q1908" s="1"/>
      <c r="R1908" s="1"/>
      <c r="S1908" s="1"/>
    </row>
    <row r="1909" ht="14.25" customHeight="1">
      <c r="A1909" s="1"/>
      <c r="B1909" s="93" t="s">
        <v>3728</v>
      </c>
      <c r="C1909" s="1213">
        <v>0.2</v>
      </c>
      <c r="D1909" s="195">
        <f t="shared" si="176"/>
        <v>5.333333333</v>
      </c>
      <c r="E1909" s="196"/>
      <c r="F1909" s="249" t="s">
        <v>14</v>
      </c>
      <c r="G1909" s="47"/>
      <c r="H1909" s="1"/>
      <c r="I1909" s="1"/>
      <c r="J1909" s="1"/>
      <c r="K1909" s="1"/>
      <c r="L1909" s="1"/>
      <c r="M1909" s="1"/>
      <c r="N1909" s="1"/>
      <c r="O1909" s="1"/>
      <c r="P1909" s="1"/>
      <c r="Q1909" s="1"/>
      <c r="R1909" s="1"/>
      <c r="S1909" s="1"/>
    </row>
    <row r="1910" ht="14.25" customHeight="1">
      <c r="A1910" s="1"/>
      <c r="B1910" s="93" t="s">
        <v>3729</v>
      </c>
      <c r="C1910" s="1213">
        <v>0.2</v>
      </c>
      <c r="D1910" s="195">
        <f t="shared" si="176"/>
        <v>5.333333333</v>
      </c>
      <c r="E1910" s="196"/>
      <c r="F1910" s="249" t="s">
        <v>14</v>
      </c>
      <c r="G1910" s="47"/>
      <c r="H1910" s="1"/>
      <c r="I1910" s="1"/>
      <c r="J1910" s="1"/>
      <c r="K1910" s="1"/>
      <c r="L1910" s="1"/>
      <c r="M1910" s="1"/>
      <c r="N1910" s="1"/>
      <c r="O1910" s="1"/>
      <c r="P1910" s="1"/>
      <c r="Q1910" s="1"/>
      <c r="R1910" s="1"/>
      <c r="S1910" s="1"/>
    </row>
    <row r="1911" ht="14.25" customHeight="1">
      <c r="A1911" s="1"/>
      <c r="B1911" s="3186" t="s">
        <v>1610</v>
      </c>
      <c r="C1911" s="3187">
        <v>0.2</v>
      </c>
      <c r="D1911" s="200">
        <f t="shared" ref="D1911:D1912" si="177">(C1911*D1909)/C1909</f>
        <v>5.333333333</v>
      </c>
      <c r="E1911" s="202"/>
      <c r="F1911" s="3188" t="s">
        <v>14</v>
      </c>
      <c r="G1911" s="76"/>
      <c r="H1911" s="1"/>
      <c r="I1911" s="1"/>
      <c r="J1911" s="1"/>
      <c r="K1911" s="1"/>
      <c r="L1911" s="1"/>
      <c r="M1911" s="1"/>
      <c r="N1911" s="1"/>
      <c r="O1911" s="1"/>
      <c r="P1911" s="1"/>
      <c r="Q1911" s="1"/>
      <c r="R1911" s="1"/>
      <c r="S1911" s="1"/>
    </row>
    <row r="1912" ht="14.25" customHeight="1">
      <c r="A1912" s="1"/>
      <c r="B1912" s="3189" t="s">
        <v>3730</v>
      </c>
      <c r="C1912" s="3190">
        <v>0.5</v>
      </c>
      <c r="D1912" s="275">
        <f t="shared" si="177"/>
        <v>13.33333333</v>
      </c>
      <c r="E1912" s="433"/>
      <c r="F1912" s="1774" t="s">
        <v>5</v>
      </c>
      <c r="G1912" s="241" t="s">
        <v>3731</v>
      </c>
      <c r="H1912" s="1"/>
      <c r="I1912" s="1"/>
      <c r="J1912" s="1"/>
      <c r="K1912" s="1"/>
      <c r="L1912" s="1"/>
      <c r="M1912" s="1"/>
      <c r="N1912" s="1"/>
      <c r="O1912" s="1"/>
      <c r="P1912" s="1"/>
      <c r="Q1912" s="1"/>
      <c r="R1912" s="1"/>
      <c r="S1912" s="1"/>
    </row>
    <row r="1913" ht="14.25" customHeight="1">
      <c r="A1913" s="1"/>
      <c r="B1913" s="68" t="s">
        <v>52</v>
      </c>
      <c r="C1913" s="1202">
        <v>6.0</v>
      </c>
      <c r="D1913" s="145">
        <f>(C1913*D1904)/C1904</f>
        <v>160</v>
      </c>
      <c r="E1913" s="147"/>
      <c r="F1913" s="216" t="s">
        <v>18</v>
      </c>
      <c r="G1913" s="610" t="s">
        <v>3732</v>
      </c>
      <c r="H1913" s="1"/>
      <c r="I1913" s="1"/>
      <c r="J1913" s="1"/>
      <c r="K1913" s="1"/>
      <c r="L1913" s="1"/>
      <c r="M1913" s="1"/>
      <c r="N1913" s="1"/>
      <c r="O1913" s="1"/>
      <c r="P1913" s="1"/>
      <c r="Q1913" s="1"/>
      <c r="R1913" s="1"/>
      <c r="S1913" s="1"/>
    </row>
    <row r="1914" ht="14.25" customHeight="1">
      <c r="A1914" s="1"/>
      <c r="B1914" s="93" t="s">
        <v>112</v>
      </c>
      <c r="C1914" s="1213">
        <v>3.0</v>
      </c>
      <c r="D1914" s="195">
        <f t="shared" ref="D1914:D1916" si="178">(C1914*D1902)/C1902</f>
        <v>80</v>
      </c>
      <c r="E1914" s="196"/>
      <c r="F1914" s="249" t="s">
        <v>18</v>
      </c>
      <c r="G1914" s="47"/>
      <c r="H1914" s="1"/>
      <c r="I1914" s="1"/>
      <c r="J1914" s="1"/>
      <c r="K1914" s="1"/>
      <c r="L1914" s="1"/>
      <c r="M1914" s="1"/>
      <c r="N1914" s="1"/>
      <c r="O1914" s="1"/>
      <c r="P1914" s="1"/>
      <c r="Q1914" s="1"/>
      <c r="R1914" s="1"/>
      <c r="S1914" s="1"/>
    </row>
    <row r="1915" ht="14.25" customHeight="1">
      <c r="A1915" s="1"/>
      <c r="B1915" s="93" t="s">
        <v>3733</v>
      </c>
      <c r="C1915" s="1213">
        <v>15.0</v>
      </c>
      <c r="D1915" s="195">
        <f t="shared" si="178"/>
        <v>400</v>
      </c>
      <c r="E1915" s="196"/>
      <c r="F1915" s="249" t="s">
        <v>18</v>
      </c>
      <c r="G1915" s="47"/>
      <c r="H1915" s="1"/>
      <c r="I1915" s="1"/>
      <c r="J1915" s="1"/>
      <c r="K1915" s="1"/>
      <c r="L1915" s="1"/>
      <c r="M1915" s="1"/>
      <c r="N1915" s="1"/>
      <c r="O1915" s="1"/>
      <c r="P1915" s="1"/>
      <c r="Q1915" s="1"/>
      <c r="R1915" s="1"/>
      <c r="S1915" s="1"/>
    </row>
    <row r="1916" ht="14.25" customHeight="1">
      <c r="A1916" s="1"/>
      <c r="B1916" s="105" t="s">
        <v>1027</v>
      </c>
      <c r="C1916" s="1216">
        <v>6.0</v>
      </c>
      <c r="D1916" s="200">
        <f t="shared" si="178"/>
        <v>160</v>
      </c>
      <c r="E1916" s="202"/>
      <c r="F1916" s="518" t="s">
        <v>18</v>
      </c>
      <c r="G1916" s="76"/>
      <c r="H1916" s="1"/>
      <c r="I1916" s="1"/>
      <c r="J1916" s="1"/>
      <c r="K1916" s="1"/>
      <c r="L1916" s="1"/>
      <c r="M1916" s="1"/>
      <c r="N1916" s="1"/>
      <c r="O1916" s="1"/>
      <c r="P1916" s="1"/>
      <c r="Q1916" s="1"/>
      <c r="R1916" s="1"/>
      <c r="S1916" s="1"/>
    </row>
    <row r="1917" ht="14.25" customHeight="1">
      <c r="A1917" s="1"/>
      <c r="B1917" s="1"/>
      <c r="C1917" s="107"/>
      <c r="D1917" s="184"/>
      <c r="E1917" s="184"/>
      <c r="F1917" s="1"/>
      <c r="G1917" s="1"/>
      <c r="H1917" s="1"/>
      <c r="I1917" s="1"/>
      <c r="J1917" s="1"/>
      <c r="K1917" s="1"/>
      <c r="L1917" s="1"/>
      <c r="M1917" s="1"/>
      <c r="N1917" s="1"/>
      <c r="O1917" s="1"/>
      <c r="P1917" s="1"/>
      <c r="Q1917" s="1"/>
      <c r="R1917" s="1"/>
      <c r="S1917" s="1"/>
    </row>
    <row r="1918" ht="14.25" customHeight="1">
      <c r="A1918" s="1"/>
      <c r="B1918" s="1"/>
      <c r="C1918" s="107"/>
      <c r="D1918" s="184"/>
      <c r="E1918" s="184"/>
      <c r="F1918" s="1"/>
      <c r="G1918" s="1"/>
      <c r="H1918" s="1"/>
      <c r="I1918" s="1"/>
      <c r="J1918" s="1"/>
      <c r="K1918" s="1"/>
      <c r="L1918" s="1"/>
      <c r="M1918" s="1"/>
      <c r="N1918" s="1"/>
      <c r="O1918" s="1"/>
      <c r="P1918" s="1"/>
      <c r="Q1918" s="1"/>
      <c r="R1918" s="1"/>
      <c r="S1918" s="1"/>
    </row>
    <row r="1919" ht="14.25" customHeight="1">
      <c r="A1919" s="1"/>
      <c r="B1919" s="2275" t="s">
        <v>119</v>
      </c>
      <c r="C1919" s="107"/>
      <c r="D1919" s="184"/>
      <c r="E1919" s="184"/>
      <c r="F1919" s="1"/>
      <c r="G1919" s="1"/>
      <c r="H1919" s="1"/>
      <c r="I1919" s="1"/>
      <c r="J1919" s="1"/>
      <c r="K1919" s="1"/>
      <c r="L1919" s="1"/>
      <c r="M1919" s="1"/>
      <c r="N1919" s="1"/>
      <c r="O1919" s="1"/>
      <c r="P1919" s="1"/>
      <c r="Q1919" s="1"/>
      <c r="R1919" s="1"/>
      <c r="S1919" s="1"/>
    </row>
    <row r="1920" ht="14.25" customHeight="1">
      <c r="A1920" s="1"/>
      <c r="B1920" s="90" t="s">
        <v>120</v>
      </c>
      <c r="C1920" s="1188"/>
      <c r="D1920" s="184"/>
      <c r="E1920" s="184"/>
      <c r="F1920" s="1"/>
      <c r="G1920" s="1"/>
      <c r="H1920" s="1"/>
      <c r="I1920" s="1"/>
      <c r="J1920" s="1"/>
      <c r="K1920" s="1"/>
      <c r="L1920" s="1"/>
      <c r="M1920" s="1"/>
      <c r="N1920" s="1"/>
      <c r="O1920" s="1"/>
      <c r="P1920" s="1"/>
      <c r="Q1920" s="1"/>
      <c r="R1920" s="1"/>
      <c r="S1920" s="1"/>
    </row>
    <row r="1921" ht="14.25" customHeight="1">
      <c r="A1921" s="1"/>
      <c r="B1921" s="305" t="s">
        <v>50</v>
      </c>
      <c r="C1921" s="1188"/>
      <c r="D1921" s="184"/>
      <c r="E1921" s="184"/>
      <c r="F1921" s="1"/>
      <c r="G1921" s="1"/>
      <c r="H1921" s="1"/>
      <c r="I1921" s="1"/>
      <c r="J1921" s="1"/>
      <c r="K1921" s="1"/>
      <c r="L1921" s="1"/>
      <c r="M1921" s="1"/>
      <c r="N1921" s="1"/>
      <c r="O1921" s="1"/>
      <c r="P1921" s="1"/>
      <c r="Q1921" s="1"/>
      <c r="R1921" s="1"/>
      <c r="S1921" s="1"/>
    </row>
    <row r="1922" ht="14.25" customHeight="1">
      <c r="A1922" s="1"/>
      <c r="B1922" s="1"/>
      <c r="C1922" s="107"/>
      <c r="D1922" s="184"/>
      <c r="E1922" s="184"/>
      <c r="F1922" s="1"/>
      <c r="G1922" s="1"/>
      <c r="H1922" s="1"/>
      <c r="I1922" s="1"/>
      <c r="J1922" s="1"/>
      <c r="K1922" s="1"/>
      <c r="L1922" s="1"/>
      <c r="M1922" s="1"/>
      <c r="N1922" s="1"/>
      <c r="O1922" s="1"/>
      <c r="P1922" s="1"/>
      <c r="Q1922" s="1"/>
      <c r="R1922" s="1"/>
      <c r="S1922" s="1"/>
    </row>
    <row r="1923" ht="14.25" customHeight="1">
      <c r="A1923" s="1"/>
      <c r="B1923" s="1"/>
      <c r="C1923" s="107"/>
      <c r="D1923" s="184"/>
      <c r="E1923" s="184"/>
      <c r="F1923" s="1"/>
      <c r="G1923" s="1"/>
      <c r="H1923" s="1"/>
      <c r="I1923" s="1"/>
      <c r="J1923" s="1"/>
      <c r="K1923" s="1"/>
      <c r="L1923" s="1"/>
      <c r="M1923" s="1"/>
      <c r="N1923" s="1"/>
      <c r="O1923" s="1"/>
      <c r="P1923" s="1"/>
      <c r="Q1923" s="1"/>
      <c r="R1923" s="1"/>
      <c r="S1923" s="1"/>
    </row>
    <row r="1924" ht="14.25" customHeight="1">
      <c r="A1924" s="1"/>
      <c r="B1924" s="1"/>
      <c r="C1924" s="107"/>
      <c r="D1924" s="184"/>
      <c r="E1924" s="184"/>
      <c r="F1924" s="1"/>
      <c r="G1924" s="1"/>
      <c r="H1924" s="1"/>
      <c r="I1924" s="1"/>
      <c r="J1924" s="1"/>
      <c r="K1924" s="1"/>
      <c r="L1924" s="1"/>
      <c r="M1924" s="1"/>
      <c r="N1924" s="1"/>
      <c r="O1924" s="1"/>
      <c r="P1924" s="1"/>
      <c r="Q1924" s="1"/>
      <c r="R1924" s="1"/>
      <c r="S1924" s="1"/>
    </row>
    <row r="1925" ht="14.25" customHeight="1">
      <c r="A1925" s="1"/>
      <c r="B1925" s="1"/>
      <c r="C1925" s="107"/>
      <c r="D1925" s="184"/>
      <c r="E1925" s="184"/>
      <c r="F1925" s="1"/>
      <c r="G1925" s="1"/>
      <c r="H1925" s="1"/>
      <c r="I1925" s="1"/>
      <c r="J1925" s="1"/>
      <c r="K1925" s="1"/>
      <c r="L1925" s="1"/>
      <c r="M1925" s="1"/>
      <c r="N1925" s="1"/>
      <c r="O1925" s="1"/>
      <c r="P1925" s="1"/>
      <c r="Q1925" s="1"/>
      <c r="R1925" s="1"/>
      <c r="S1925" s="1"/>
    </row>
    <row r="1926" ht="14.25" customHeight="1">
      <c r="A1926" s="1"/>
      <c r="B1926" s="1"/>
      <c r="C1926" s="107"/>
      <c r="D1926" s="184"/>
      <c r="E1926" s="184"/>
      <c r="F1926" s="1"/>
      <c r="G1926" s="1"/>
      <c r="H1926" s="1"/>
      <c r="I1926" s="1"/>
      <c r="J1926" s="1"/>
      <c r="K1926" s="1"/>
      <c r="L1926" s="1"/>
      <c r="M1926" s="1"/>
      <c r="N1926" s="1"/>
      <c r="O1926" s="1"/>
      <c r="P1926" s="1"/>
      <c r="Q1926" s="1"/>
      <c r="R1926" s="1"/>
      <c r="S1926" s="1"/>
    </row>
    <row r="1927" ht="14.25" customHeight="1">
      <c r="A1927" s="1"/>
      <c r="B1927" s="3191" t="s">
        <v>3734</v>
      </c>
      <c r="C1927" s="1917"/>
      <c r="D1927" s="1917"/>
      <c r="E1927" s="1917"/>
      <c r="F1927" s="1919"/>
      <c r="G1927" s="1"/>
      <c r="H1927" s="1"/>
      <c r="I1927" s="1"/>
      <c r="J1927" s="1"/>
      <c r="K1927" s="1"/>
      <c r="L1927" s="1"/>
      <c r="M1927" s="1"/>
      <c r="N1927" s="1"/>
      <c r="O1927" s="1"/>
      <c r="P1927" s="1"/>
      <c r="Q1927" s="1"/>
      <c r="R1927" s="1"/>
      <c r="S1927" s="1"/>
    </row>
    <row r="1928" ht="14.25" customHeight="1">
      <c r="A1928" s="1"/>
      <c r="B1928" s="1590" t="s">
        <v>1</v>
      </c>
      <c r="C1928" s="3192">
        <v>100.0</v>
      </c>
      <c r="D1928" s="1591">
        <v>40.0</v>
      </c>
      <c r="E1928" s="3193"/>
      <c r="F1928" s="3194" t="s">
        <v>5</v>
      </c>
      <c r="G1928" s="1"/>
      <c r="H1928" s="1"/>
      <c r="I1928" s="1"/>
      <c r="J1928" s="1"/>
      <c r="K1928" s="1"/>
      <c r="L1928" s="1"/>
      <c r="M1928" s="1"/>
      <c r="N1928" s="1"/>
      <c r="O1928" s="1"/>
      <c r="P1928" s="1"/>
      <c r="Q1928" s="1"/>
      <c r="R1928" s="1"/>
      <c r="S1928" s="1"/>
    </row>
    <row r="1929" ht="14.25" customHeight="1">
      <c r="A1929" s="1"/>
      <c r="B1929" s="93" t="s">
        <v>1161</v>
      </c>
      <c r="C1929" s="195">
        <v>40.0</v>
      </c>
      <c r="D1929" s="247">
        <f t="shared" ref="D1929:D1947" si="179">(C1929*D1928)/C1928</f>
        <v>16</v>
      </c>
      <c r="E1929" s="95"/>
      <c r="F1929" s="1158" t="s">
        <v>366</v>
      </c>
      <c r="G1929" s="1"/>
      <c r="H1929" s="1"/>
      <c r="I1929" s="1"/>
      <c r="J1929" s="1"/>
      <c r="K1929" s="1"/>
      <c r="L1929" s="1"/>
      <c r="M1929" s="1"/>
      <c r="N1929" s="1"/>
      <c r="O1929" s="1"/>
      <c r="P1929" s="1"/>
      <c r="Q1929" s="1"/>
      <c r="R1929" s="1"/>
      <c r="S1929" s="1"/>
    </row>
    <row r="1930" ht="14.25" customHeight="1">
      <c r="A1930" s="1"/>
      <c r="B1930" s="105" t="s">
        <v>2854</v>
      </c>
      <c r="C1930" s="200">
        <v>12.0</v>
      </c>
      <c r="D1930" s="522">
        <f t="shared" si="179"/>
        <v>4.8</v>
      </c>
      <c r="E1930" s="114"/>
      <c r="F1930" s="1182" t="s">
        <v>366</v>
      </c>
      <c r="G1930" s="1"/>
      <c r="H1930" s="1"/>
      <c r="I1930" s="1"/>
      <c r="J1930" s="1"/>
      <c r="K1930" s="1"/>
      <c r="L1930" s="1"/>
      <c r="M1930" s="1"/>
      <c r="N1930" s="1"/>
      <c r="O1930" s="1"/>
      <c r="P1930" s="1"/>
      <c r="Q1930" s="1"/>
      <c r="R1930" s="1"/>
      <c r="S1930" s="1"/>
    </row>
    <row r="1931" ht="14.25" customHeight="1">
      <c r="A1931" s="1"/>
      <c r="B1931" s="68" t="s">
        <v>91</v>
      </c>
      <c r="C1931" s="145">
        <v>2.5</v>
      </c>
      <c r="D1931" s="210">
        <f t="shared" si="179"/>
        <v>1</v>
      </c>
      <c r="E1931" s="81"/>
      <c r="F1931" s="1157" t="s">
        <v>5</v>
      </c>
      <c r="G1931" s="1"/>
      <c r="H1931" s="1"/>
      <c r="I1931" s="1"/>
      <c r="J1931" s="1"/>
      <c r="K1931" s="1"/>
      <c r="L1931" s="1"/>
      <c r="M1931" s="1"/>
      <c r="N1931" s="1"/>
      <c r="O1931" s="1"/>
      <c r="P1931" s="1"/>
      <c r="Q1931" s="1"/>
      <c r="R1931" s="1"/>
      <c r="S1931" s="1"/>
    </row>
    <row r="1932" ht="14.25" customHeight="1">
      <c r="A1932" s="1"/>
      <c r="B1932" s="93" t="s">
        <v>113</v>
      </c>
      <c r="C1932" s="195">
        <v>50.0</v>
      </c>
      <c r="D1932" s="247">
        <f t="shared" si="179"/>
        <v>20</v>
      </c>
      <c r="E1932" s="95"/>
      <c r="F1932" s="1158" t="s">
        <v>18</v>
      </c>
      <c r="G1932" s="1"/>
      <c r="H1932" s="1"/>
      <c r="I1932" s="1"/>
      <c r="J1932" s="1"/>
      <c r="K1932" s="1"/>
      <c r="L1932" s="1"/>
      <c r="M1932" s="1"/>
      <c r="N1932" s="1"/>
      <c r="O1932" s="1"/>
      <c r="P1932" s="1"/>
      <c r="Q1932" s="1"/>
      <c r="R1932" s="1"/>
      <c r="S1932" s="1"/>
    </row>
    <row r="1933" ht="14.25" customHeight="1">
      <c r="A1933" s="1"/>
      <c r="B1933" s="93" t="s">
        <v>148</v>
      </c>
      <c r="C1933" s="195">
        <v>400.0</v>
      </c>
      <c r="D1933" s="247">
        <f t="shared" si="179"/>
        <v>160</v>
      </c>
      <c r="E1933" s="95"/>
      <c r="F1933" s="1158" t="s">
        <v>18</v>
      </c>
      <c r="G1933" s="1"/>
      <c r="H1933" s="1"/>
      <c r="I1933" s="1"/>
      <c r="J1933" s="1"/>
      <c r="K1933" s="1"/>
      <c r="L1933" s="1"/>
      <c r="M1933" s="1"/>
      <c r="N1933" s="1"/>
      <c r="O1933" s="1"/>
      <c r="P1933" s="1"/>
      <c r="Q1933" s="1"/>
      <c r="R1933" s="1"/>
      <c r="S1933" s="1"/>
    </row>
    <row r="1934" ht="14.25" customHeight="1">
      <c r="A1934" s="1"/>
      <c r="B1934" s="93" t="s">
        <v>753</v>
      </c>
      <c r="C1934" s="195">
        <v>750.0</v>
      </c>
      <c r="D1934" s="247">
        <f t="shared" si="179"/>
        <v>300</v>
      </c>
      <c r="E1934" s="95"/>
      <c r="F1934" s="1158" t="s">
        <v>18</v>
      </c>
      <c r="G1934" s="1"/>
      <c r="H1934" s="1"/>
      <c r="I1934" s="1"/>
      <c r="J1934" s="1"/>
      <c r="K1934" s="1"/>
      <c r="L1934" s="1"/>
      <c r="M1934" s="1"/>
      <c r="N1934" s="1"/>
      <c r="O1934" s="1"/>
      <c r="P1934" s="1"/>
      <c r="Q1934" s="1"/>
      <c r="R1934" s="1"/>
      <c r="S1934" s="1"/>
    </row>
    <row r="1935" ht="14.25" customHeight="1">
      <c r="A1935" s="1"/>
      <c r="B1935" s="93" t="s">
        <v>103</v>
      </c>
      <c r="C1935" s="195">
        <v>125.0</v>
      </c>
      <c r="D1935" s="247">
        <f t="shared" si="179"/>
        <v>50</v>
      </c>
      <c r="E1935" s="95"/>
      <c r="F1935" s="1158" t="s">
        <v>18</v>
      </c>
      <c r="G1935" s="1"/>
      <c r="H1935" s="1"/>
      <c r="I1935" s="1"/>
      <c r="J1935" s="1"/>
      <c r="K1935" s="1"/>
      <c r="L1935" s="1"/>
      <c r="M1935" s="1"/>
      <c r="N1935" s="1"/>
      <c r="O1935" s="1"/>
      <c r="P1935" s="1"/>
      <c r="Q1935" s="1"/>
      <c r="R1935" s="1"/>
      <c r="S1935" s="1"/>
    </row>
    <row r="1936" ht="14.25" customHeight="1">
      <c r="A1936" s="1"/>
      <c r="B1936" s="93" t="s">
        <v>1657</v>
      </c>
      <c r="C1936" s="195">
        <v>150.0</v>
      </c>
      <c r="D1936" s="247">
        <f t="shared" si="179"/>
        <v>60</v>
      </c>
      <c r="E1936" s="95"/>
      <c r="F1936" s="1158" t="s">
        <v>18</v>
      </c>
      <c r="G1936" s="1"/>
      <c r="H1936" s="1"/>
      <c r="I1936" s="1"/>
      <c r="J1936" s="1"/>
      <c r="K1936" s="1"/>
      <c r="L1936" s="1"/>
      <c r="M1936" s="1"/>
      <c r="N1936" s="1"/>
      <c r="O1936" s="1"/>
      <c r="P1936" s="1"/>
      <c r="Q1936" s="1"/>
      <c r="R1936" s="1"/>
      <c r="S1936" s="1"/>
    </row>
    <row r="1937" ht="14.25" customHeight="1">
      <c r="A1937" s="1"/>
      <c r="B1937" s="1421" t="s">
        <v>2864</v>
      </c>
      <c r="C1937" s="195">
        <v>5.0</v>
      </c>
      <c r="D1937" s="247">
        <f t="shared" si="179"/>
        <v>2</v>
      </c>
      <c r="E1937" s="95"/>
      <c r="F1937" s="1158" t="s">
        <v>366</v>
      </c>
      <c r="G1937" s="1"/>
      <c r="H1937" s="1"/>
      <c r="I1937" s="1"/>
      <c r="J1937" s="1"/>
      <c r="K1937" s="1"/>
      <c r="L1937" s="1"/>
      <c r="M1937" s="1"/>
      <c r="N1937" s="1"/>
      <c r="O1937" s="1"/>
      <c r="P1937" s="1"/>
      <c r="Q1937" s="1"/>
      <c r="R1937" s="1"/>
      <c r="S1937" s="1"/>
    </row>
    <row r="1938" ht="14.25" customHeight="1">
      <c r="A1938" s="1"/>
      <c r="B1938" s="1421" t="s">
        <v>2867</v>
      </c>
      <c r="C1938" s="195">
        <v>5.0</v>
      </c>
      <c r="D1938" s="247">
        <f t="shared" si="179"/>
        <v>2</v>
      </c>
      <c r="E1938" s="95"/>
      <c r="F1938" s="1158" t="s">
        <v>366</v>
      </c>
      <c r="G1938" s="1"/>
      <c r="H1938" s="1"/>
      <c r="I1938" s="1"/>
      <c r="J1938" s="1"/>
      <c r="K1938" s="1"/>
      <c r="L1938" s="1"/>
      <c r="M1938" s="1"/>
      <c r="N1938" s="1"/>
      <c r="O1938" s="1"/>
      <c r="P1938" s="1"/>
      <c r="Q1938" s="1"/>
      <c r="R1938" s="1"/>
      <c r="S1938" s="1"/>
    </row>
    <row r="1939" ht="14.25" customHeight="1">
      <c r="A1939" s="1"/>
      <c r="B1939" s="1421" t="s">
        <v>850</v>
      </c>
      <c r="C1939" s="195">
        <v>5.0</v>
      </c>
      <c r="D1939" s="247">
        <f t="shared" si="179"/>
        <v>2</v>
      </c>
      <c r="E1939" s="95"/>
      <c r="F1939" s="1158" t="s">
        <v>366</v>
      </c>
      <c r="G1939" s="1"/>
      <c r="H1939" s="1"/>
      <c r="I1939" s="1"/>
      <c r="J1939" s="1"/>
      <c r="K1939" s="1"/>
      <c r="L1939" s="1"/>
      <c r="M1939" s="1"/>
      <c r="N1939" s="1"/>
      <c r="O1939" s="1"/>
      <c r="P1939" s="1"/>
      <c r="Q1939" s="1"/>
      <c r="R1939" s="1"/>
      <c r="S1939" s="1"/>
    </row>
    <row r="1940" ht="14.25" customHeight="1">
      <c r="A1940" s="1"/>
      <c r="B1940" s="93" t="s">
        <v>2493</v>
      </c>
      <c r="C1940" s="195">
        <v>500.0</v>
      </c>
      <c r="D1940" s="247">
        <f t="shared" si="179"/>
        <v>200</v>
      </c>
      <c r="E1940" s="95"/>
      <c r="F1940" s="1158" t="s">
        <v>18</v>
      </c>
      <c r="G1940" s="1"/>
      <c r="H1940" s="1"/>
      <c r="I1940" s="1"/>
      <c r="J1940" s="1"/>
      <c r="K1940" s="1"/>
      <c r="L1940" s="1"/>
      <c r="M1940" s="1"/>
      <c r="N1940" s="1"/>
      <c r="O1940" s="1"/>
      <c r="P1940" s="1"/>
      <c r="Q1940" s="1"/>
      <c r="R1940" s="1"/>
      <c r="S1940" s="1"/>
    </row>
    <row r="1941" ht="14.25" customHeight="1">
      <c r="A1941" s="1"/>
      <c r="B1941" s="105" t="s">
        <v>52</v>
      </c>
      <c r="C1941" s="200">
        <v>50.0</v>
      </c>
      <c r="D1941" s="522">
        <f t="shared" si="179"/>
        <v>20</v>
      </c>
      <c r="E1941" s="114"/>
      <c r="F1941" s="1182" t="s">
        <v>18</v>
      </c>
      <c r="G1941" s="1"/>
      <c r="H1941" s="1"/>
      <c r="I1941" s="1"/>
      <c r="J1941" s="1"/>
      <c r="K1941" s="1"/>
      <c r="L1941" s="1"/>
      <c r="M1941" s="1"/>
      <c r="N1941" s="1"/>
      <c r="O1941" s="1"/>
      <c r="P1941" s="1"/>
      <c r="Q1941" s="1"/>
      <c r="R1941" s="1"/>
      <c r="S1941" s="1"/>
    </row>
    <row r="1942" ht="14.25" customHeight="1">
      <c r="A1942" s="1"/>
      <c r="B1942" s="2225" t="s">
        <v>2533</v>
      </c>
      <c r="C1942" s="145">
        <v>13.0</v>
      </c>
      <c r="D1942" s="210">
        <f t="shared" si="179"/>
        <v>5.2</v>
      </c>
      <c r="E1942" s="81"/>
      <c r="F1942" s="1157" t="s">
        <v>366</v>
      </c>
      <c r="G1942" s="1"/>
      <c r="H1942" s="1"/>
      <c r="I1942" s="1"/>
      <c r="J1942" s="1"/>
      <c r="K1942" s="1"/>
      <c r="L1942" s="1"/>
      <c r="M1942" s="1"/>
      <c r="N1942" s="1"/>
      <c r="O1942" s="1"/>
      <c r="P1942" s="1"/>
      <c r="Q1942" s="1"/>
      <c r="R1942" s="1"/>
      <c r="S1942" s="1"/>
    </row>
    <row r="1943" ht="14.25" customHeight="1">
      <c r="A1943" s="1"/>
      <c r="B1943" s="93" t="s">
        <v>31</v>
      </c>
      <c r="C1943" s="195">
        <v>1250.0</v>
      </c>
      <c r="D1943" s="247">
        <f t="shared" si="179"/>
        <v>500</v>
      </c>
      <c r="E1943" s="95"/>
      <c r="F1943" s="1158" t="s">
        <v>18</v>
      </c>
      <c r="G1943" s="1"/>
      <c r="H1943" s="1"/>
      <c r="I1943" s="1"/>
      <c r="J1943" s="1"/>
      <c r="K1943" s="1"/>
      <c r="L1943" s="1"/>
      <c r="M1943" s="1"/>
      <c r="N1943" s="1"/>
      <c r="O1943" s="1"/>
      <c r="P1943" s="1"/>
      <c r="Q1943" s="1"/>
      <c r="R1943" s="1"/>
      <c r="S1943" s="1"/>
    </row>
    <row r="1944" ht="14.25" customHeight="1">
      <c r="A1944" s="1"/>
      <c r="B1944" s="1783" t="s">
        <v>13</v>
      </c>
      <c r="C1944" s="40">
        <v>1.0</v>
      </c>
      <c r="D1944" s="247">
        <f t="shared" si="179"/>
        <v>0.4</v>
      </c>
      <c r="E1944" s="95"/>
      <c r="F1944" s="1158" t="s">
        <v>366</v>
      </c>
      <c r="G1944" s="1"/>
      <c r="H1944" s="1"/>
      <c r="I1944" s="1"/>
      <c r="J1944" s="1"/>
      <c r="K1944" s="1"/>
      <c r="L1944" s="1"/>
      <c r="M1944" s="1"/>
      <c r="N1944" s="1"/>
      <c r="O1944" s="1"/>
      <c r="P1944" s="1"/>
      <c r="Q1944" s="1"/>
      <c r="R1944" s="1"/>
      <c r="S1944" s="1"/>
    </row>
    <row r="1945" ht="14.25" customHeight="1">
      <c r="A1945" s="1"/>
      <c r="B1945" s="1783" t="s">
        <v>335</v>
      </c>
      <c r="C1945" s="40">
        <v>2.5</v>
      </c>
      <c r="D1945" s="247">
        <f t="shared" si="179"/>
        <v>1</v>
      </c>
      <c r="E1945" s="95"/>
      <c r="F1945" s="1158" t="s">
        <v>5</v>
      </c>
      <c r="G1945" s="1"/>
      <c r="H1945" s="1"/>
      <c r="I1945" s="1"/>
      <c r="J1945" s="1"/>
      <c r="K1945" s="1"/>
      <c r="L1945" s="1"/>
      <c r="M1945" s="1"/>
      <c r="N1945" s="1"/>
      <c r="O1945" s="1"/>
      <c r="P1945" s="1"/>
      <c r="Q1945" s="1"/>
      <c r="R1945" s="1"/>
      <c r="S1945" s="1"/>
    </row>
    <row r="1946" ht="14.25" customHeight="1">
      <c r="A1946" s="1"/>
      <c r="B1946" s="1783" t="s">
        <v>2504</v>
      </c>
      <c r="C1946" s="40">
        <v>1.0</v>
      </c>
      <c r="D1946" s="247">
        <f t="shared" si="179"/>
        <v>0.4</v>
      </c>
      <c r="E1946" s="95"/>
      <c r="F1946" s="1158" t="s">
        <v>366</v>
      </c>
      <c r="G1946" s="1"/>
      <c r="H1946" s="1"/>
      <c r="I1946" s="1"/>
      <c r="J1946" s="1"/>
      <c r="K1946" s="1"/>
      <c r="L1946" s="1"/>
      <c r="M1946" s="1"/>
      <c r="N1946" s="1"/>
      <c r="O1946" s="1"/>
      <c r="P1946" s="1"/>
      <c r="Q1946" s="1"/>
      <c r="R1946" s="1"/>
      <c r="S1946" s="1"/>
    </row>
    <row r="1947" ht="14.25" customHeight="1">
      <c r="A1947" s="1"/>
      <c r="B1947" s="1539" t="s">
        <v>59</v>
      </c>
      <c r="C1947" s="2458">
        <v>30.0</v>
      </c>
      <c r="D1947" s="3195">
        <f t="shared" si="179"/>
        <v>12</v>
      </c>
      <c r="E1947" s="3196"/>
      <c r="F1947" s="3197" t="s">
        <v>5</v>
      </c>
      <c r="G1947" s="1"/>
      <c r="H1947" s="1"/>
      <c r="I1947" s="1"/>
      <c r="J1947" s="1"/>
      <c r="K1947" s="1"/>
      <c r="L1947" s="1"/>
      <c r="M1947" s="1"/>
      <c r="N1947" s="1"/>
      <c r="O1947" s="1"/>
      <c r="P1947" s="1"/>
      <c r="Q1947" s="1"/>
      <c r="R1947" s="1"/>
      <c r="S1947" s="1"/>
    </row>
    <row r="1948" ht="14.25" customHeight="1">
      <c r="A1948" s="1"/>
      <c r="B1948" s="302" t="s">
        <v>49</v>
      </c>
      <c r="C1948" s="260">
        <v>43297.0</v>
      </c>
      <c r="D1948" s="558"/>
      <c r="E1948" s="558"/>
      <c r="F1948" s="49"/>
      <c r="G1948" s="1"/>
      <c r="H1948" s="1"/>
      <c r="I1948" s="1"/>
      <c r="J1948" s="1"/>
      <c r="K1948" s="1"/>
      <c r="L1948" s="1"/>
      <c r="M1948" s="1"/>
      <c r="N1948" s="1"/>
      <c r="O1948" s="1"/>
      <c r="P1948" s="1"/>
      <c r="Q1948" s="1"/>
      <c r="R1948" s="1"/>
      <c r="S1948" s="1"/>
    </row>
    <row r="1949" ht="14.25" customHeight="1">
      <c r="A1949" s="1"/>
      <c r="B1949" s="302" t="s">
        <v>50</v>
      </c>
      <c r="C1949" s="260">
        <v>43297.0</v>
      </c>
      <c r="D1949" s="558"/>
      <c r="E1949" s="558"/>
      <c r="F1949" s="49"/>
      <c r="G1949" s="1"/>
      <c r="H1949" s="1"/>
      <c r="I1949" s="1"/>
      <c r="J1949" s="1"/>
      <c r="K1949" s="1"/>
      <c r="L1949" s="1"/>
      <c r="M1949" s="1"/>
      <c r="N1949" s="1"/>
      <c r="O1949" s="1"/>
      <c r="P1949" s="1"/>
      <c r="Q1949" s="1"/>
      <c r="R1949" s="1"/>
      <c r="S1949" s="1"/>
    </row>
    <row r="1950" ht="14.25" customHeight="1">
      <c r="A1950" s="1"/>
      <c r="B1950" s="2275" t="s">
        <v>119</v>
      </c>
      <c r="C1950" s="183" t="s">
        <v>47</v>
      </c>
      <c r="D1950" s="558"/>
      <c r="E1950" s="558"/>
      <c r="F1950" s="49"/>
      <c r="G1950" s="1"/>
      <c r="H1950" s="1"/>
      <c r="I1950" s="1"/>
      <c r="J1950" s="1"/>
      <c r="K1950" s="1"/>
      <c r="L1950" s="1"/>
      <c r="M1950" s="1"/>
      <c r="N1950" s="1"/>
      <c r="O1950" s="1"/>
      <c r="P1950" s="1"/>
      <c r="Q1950" s="1"/>
      <c r="R1950" s="1"/>
      <c r="S1950" s="1"/>
    </row>
    <row r="1951" ht="14.25" customHeight="1">
      <c r="A1951" s="1"/>
      <c r="B1951" s="49"/>
      <c r="C1951" s="49"/>
      <c r="D1951" s="558"/>
      <c r="E1951" s="558"/>
      <c r="F1951" s="49"/>
      <c r="G1951" s="1"/>
      <c r="H1951" s="1"/>
      <c r="I1951" s="1"/>
      <c r="J1951" s="1"/>
      <c r="K1951" s="1"/>
      <c r="L1951" s="1"/>
      <c r="M1951" s="1"/>
      <c r="N1951" s="1"/>
      <c r="O1951" s="1"/>
      <c r="P1951" s="1"/>
      <c r="Q1951" s="1"/>
      <c r="R1951" s="1"/>
      <c r="S1951" s="1"/>
    </row>
    <row r="1952" ht="14.25" customHeight="1">
      <c r="A1952" s="1"/>
      <c r="B1952" s="1"/>
      <c r="C1952" s="107"/>
      <c r="D1952" s="184"/>
      <c r="E1952" s="184"/>
      <c r="F1952" s="1"/>
      <c r="G1952" s="1"/>
      <c r="H1952" s="1"/>
      <c r="I1952" s="1"/>
      <c r="J1952" s="1"/>
      <c r="K1952" s="1"/>
      <c r="L1952" s="1"/>
      <c r="M1952" s="1"/>
      <c r="N1952" s="1"/>
      <c r="O1952" s="1"/>
      <c r="P1952" s="1"/>
      <c r="Q1952" s="1"/>
      <c r="R1952" s="1"/>
      <c r="S1952" s="1"/>
    </row>
    <row r="1953" ht="14.25" customHeight="1">
      <c r="A1953" s="1"/>
      <c r="B1953" s="1"/>
      <c r="C1953" s="107"/>
      <c r="D1953" s="184"/>
      <c r="E1953" s="184"/>
      <c r="F1953" s="1"/>
      <c r="G1953" s="1"/>
      <c r="H1953" s="1"/>
      <c r="I1953" s="1"/>
      <c r="J1953" s="1"/>
      <c r="K1953" s="1"/>
      <c r="L1953" s="1"/>
      <c r="M1953" s="1"/>
      <c r="N1953" s="1"/>
      <c r="O1953" s="1"/>
      <c r="P1953" s="1"/>
      <c r="Q1953" s="1"/>
      <c r="R1953" s="1"/>
      <c r="S1953" s="1"/>
    </row>
    <row r="1954" ht="14.25" customHeight="1">
      <c r="A1954" s="1"/>
      <c r="B1954" s="1"/>
      <c r="C1954" s="107"/>
      <c r="D1954" s="184"/>
      <c r="E1954" s="184"/>
      <c r="F1954" s="1"/>
      <c r="G1954" s="1"/>
      <c r="H1954" s="1"/>
      <c r="I1954" s="1"/>
      <c r="J1954" s="1"/>
      <c r="K1954" s="1"/>
      <c r="L1954" s="1"/>
      <c r="M1954" s="1"/>
      <c r="N1954" s="1"/>
      <c r="O1954" s="1"/>
      <c r="P1954" s="1"/>
      <c r="Q1954" s="1"/>
      <c r="R1954" s="1"/>
      <c r="S1954" s="1"/>
    </row>
    <row r="1955" ht="14.25" customHeight="1">
      <c r="A1955" s="1"/>
      <c r="B1955" s="577" t="s">
        <v>3735</v>
      </c>
      <c r="C1955" s="18"/>
      <c r="D1955" s="18"/>
      <c r="E1955" s="18"/>
      <c r="F1955" s="19"/>
      <c r="G1955" s="1"/>
      <c r="H1955" s="1"/>
      <c r="I1955" s="1"/>
      <c r="J1955" s="1"/>
      <c r="K1955" s="1"/>
      <c r="L1955" s="1"/>
      <c r="M1955" s="1"/>
      <c r="N1955" s="1"/>
      <c r="O1955" s="1"/>
      <c r="P1955" s="1"/>
      <c r="Q1955" s="1"/>
      <c r="R1955" s="1"/>
      <c r="S1955" s="1"/>
    </row>
    <row r="1956" ht="14.25" customHeight="1">
      <c r="A1956" s="1"/>
      <c r="B1956" s="51" t="s">
        <v>1</v>
      </c>
      <c r="C1956" s="53">
        <v>1.5</v>
      </c>
      <c r="D1956" s="513">
        <v>15.0</v>
      </c>
      <c r="E1956" s="1576"/>
      <c r="F1956" s="514" t="s">
        <v>5</v>
      </c>
      <c r="G1956" s="1"/>
      <c r="H1956" s="1"/>
      <c r="I1956" s="1"/>
      <c r="J1956" s="1"/>
      <c r="K1956" s="1"/>
      <c r="L1956" s="1"/>
      <c r="M1956" s="1"/>
      <c r="N1956" s="1"/>
      <c r="O1956" s="1"/>
      <c r="P1956" s="1"/>
      <c r="Q1956" s="1"/>
      <c r="R1956" s="1"/>
      <c r="S1956" s="1"/>
    </row>
    <row r="1957" ht="14.25" customHeight="1">
      <c r="A1957" s="1"/>
      <c r="B1957" s="68" t="s">
        <v>2899</v>
      </c>
      <c r="C1957" s="210">
        <v>0.5</v>
      </c>
      <c r="D1957" s="155">
        <f t="shared" ref="D1957:D1968" si="180">D1956*C1957/C1956</f>
        <v>5</v>
      </c>
      <c r="E1957" s="899"/>
      <c r="F1957" s="216" t="s">
        <v>366</v>
      </c>
      <c r="G1957" s="1"/>
      <c r="H1957" s="1"/>
      <c r="I1957" s="1"/>
      <c r="J1957" s="1"/>
      <c r="K1957" s="1"/>
      <c r="L1957" s="1"/>
      <c r="M1957" s="1"/>
      <c r="N1957" s="1"/>
      <c r="O1957" s="1"/>
      <c r="P1957" s="1"/>
      <c r="Q1957" s="1"/>
      <c r="R1957" s="1"/>
      <c r="S1957" s="1"/>
    </row>
    <row r="1958" ht="14.25" customHeight="1">
      <c r="A1958" s="1"/>
      <c r="B1958" s="93" t="s">
        <v>3736</v>
      </c>
      <c r="C1958" s="247">
        <v>0.35</v>
      </c>
      <c r="D1958" s="78">
        <f t="shared" si="180"/>
        <v>3.5</v>
      </c>
      <c r="E1958" s="900"/>
      <c r="F1958" s="249" t="s">
        <v>366</v>
      </c>
      <c r="G1958" s="1"/>
      <c r="H1958" s="1"/>
      <c r="I1958" s="1"/>
      <c r="J1958" s="1"/>
      <c r="K1958" s="1"/>
      <c r="L1958" s="1"/>
      <c r="M1958" s="1"/>
      <c r="N1958" s="1"/>
      <c r="O1958" s="1"/>
      <c r="P1958" s="1"/>
      <c r="Q1958" s="1"/>
      <c r="R1958" s="1"/>
      <c r="S1958" s="1"/>
    </row>
    <row r="1959" ht="14.25" customHeight="1">
      <c r="A1959" s="1"/>
      <c r="B1959" s="105" t="s">
        <v>3737</v>
      </c>
      <c r="C1959" s="522">
        <v>200.0</v>
      </c>
      <c r="D1959" s="56">
        <f t="shared" si="180"/>
        <v>2000</v>
      </c>
      <c r="E1959" s="1604"/>
      <c r="F1959" s="518" t="s">
        <v>18</v>
      </c>
      <c r="G1959" s="1"/>
      <c r="H1959" s="1"/>
      <c r="I1959" s="1"/>
      <c r="J1959" s="1"/>
      <c r="K1959" s="1"/>
      <c r="L1959" s="1"/>
      <c r="M1959" s="1"/>
      <c r="N1959" s="1"/>
      <c r="O1959" s="1"/>
      <c r="P1959" s="1"/>
      <c r="Q1959" s="1"/>
      <c r="R1959" s="1"/>
      <c r="S1959" s="1"/>
    </row>
    <row r="1960" ht="14.25" customHeight="1">
      <c r="A1960" s="1"/>
      <c r="B1960" s="119" t="s">
        <v>491</v>
      </c>
      <c r="C1960" s="523">
        <v>30.0</v>
      </c>
      <c r="D1960" s="129">
        <f t="shared" si="180"/>
        <v>300</v>
      </c>
      <c r="E1960" s="1583"/>
      <c r="F1960" s="520" t="s">
        <v>82</v>
      </c>
      <c r="G1960" s="1"/>
      <c r="H1960" s="1"/>
      <c r="I1960" s="1"/>
      <c r="J1960" s="1"/>
      <c r="K1960" s="1"/>
      <c r="L1960" s="1"/>
      <c r="M1960" s="1"/>
      <c r="N1960" s="1"/>
      <c r="O1960" s="1"/>
      <c r="P1960" s="1"/>
      <c r="Q1960" s="1"/>
      <c r="R1960" s="1"/>
      <c r="S1960" s="1"/>
    </row>
    <row r="1961" ht="14.25" customHeight="1">
      <c r="A1961" s="1"/>
      <c r="B1961" s="93" t="s">
        <v>97</v>
      </c>
      <c r="C1961" s="247">
        <v>2.5</v>
      </c>
      <c r="D1961" s="78">
        <f t="shared" si="180"/>
        <v>25</v>
      </c>
      <c r="E1961" s="900"/>
      <c r="F1961" s="249" t="s">
        <v>18</v>
      </c>
      <c r="G1961" s="1"/>
      <c r="H1961" s="1"/>
      <c r="I1961" s="1"/>
      <c r="J1961" s="1"/>
      <c r="K1961" s="1"/>
      <c r="L1961" s="1"/>
      <c r="M1961" s="1"/>
      <c r="N1961" s="1"/>
      <c r="O1961" s="1"/>
      <c r="P1961" s="1"/>
      <c r="Q1961" s="1"/>
      <c r="R1961" s="1"/>
      <c r="S1961" s="1"/>
    </row>
    <row r="1962" ht="14.25" customHeight="1">
      <c r="A1962" s="1"/>
      <c r="B1962" s="93" t="s">
        <v>98</v>
      </c>
      <c r="C1962" s="247">
        <v>2.5</v>
      </c>
      <c r="D1962" s="78">
        <f t="shared" si="180"/>
        <v>25</v>
      </c>
      <c r="E1962" s="900"/>
      <c r="F1962" s="249" t="s">
        <v>18</v>
      </c>
      <c r="G1962" s="1"/>
      <c r="H1962" s="1"/>
      <c r="I1962" s="1"/>
      <c r="J1962" s="1"/>
      <c r="K1962" s="1"/>
      <c r="L1962" s="1"/>
      <c r="M1962" s="1"/>
      <c r="N1962" s="1"/>
      <c r="O1962" s="1"/>
      <c r="P1962" s="1"/>
      <c r="Q1962" s="1"/>
      <c r="R1962" s="1"/>
      <c r="S1962" s="1"/>
    </row>
    <row r="1963" ht="14.25" customHeight="1">
      <c r="A1963" s="1"/>
      <c r="B1963" s="93" t="s">
        <v>52</v>
      </c>
      <c r="C1963" s="247">
        <v>2.5</v>
      </c>
      <c r="D1963" s="78">
        <f t="shared" si="180"/>
        <v>25</v>
      </c>
      <c r="E1963" s="900"/>
      <c r="F1963" s="249" t="s">
        <v>82</v>
      </c>
      <c r="G1963" s="1"/>
      <c r="H1963" s="1"/>
      <c r="I1963" s="1"/>
      <c r="J1963" s="1"/>
      <c r="K1963" s="1"/>
      <c r="L1963" s="1"/>
      <c r="M1963" s="1"/>
      <c r="N1963" s="1"/>
      <c r="O1963" s="1"/>
      <c r="P1963" s="1"/>
      <c r="Q1963" s="1"/>
      <c r="R1963" s="1"/>
      <c r="S1963" s="1"/>
    </row>
    <row r="1964" ht="14.25" customHeight="1">
      <c r="A1964" s="1"/>
      <c r="B1964" s="93" t="s">
        <v>103</v>
      </c>
      <c r="C1964" s="247">
        <v>2.5</v>
      </c>
      <c r="D1964" s="78">
        <f t="shared" si="180"/>
        <v>25</v>
      </c>
      <c r="E1964" s="900"/>
      <c r="F1964" s="249" t="s">
        <v>18</v>
      </c>
      <c r="G1964" s="1"/>
      <c r="H1964" s="1"/>
      <c r="I1964" s="1"/>
      <c r="J1964" s="1"/>
      <c r="K1964" s="1"/>
      <c r="L1964" s="1"/>
      <c r="M1964" s="1"/>
      <c r="N1964" s="1"/>
      <c r="O1964" s="1"/>
      <c r="P1964" s="1"/>
      <c r="Q1964" s="1"/>
      <c r="R1964" s="1"/>
      <c r="S1964" s="1"/>
    </row>
    <row r="1965" ht="14.25" customHeight="1">
      <c r="A1965" s="1"/>
      <c r="B1965" s="93" t="s">
        <v>193</v>
      </c>
      <c r="C1965" s="247">
        <v>0.1</v>
      </c>
      <c r="D1965" s="78">
        <f t="shared" si="180"/>
        <v>1</v>
      </c>
      <c r="E1965" s="900"/>
      <c r="F1965" s="249" t="s">
        <v>5</v>
      </c>
      <c r="G1965" s="1"/>
      <c r="H1965" s="1"/>
      <c r="I1965" s="1"/>
      <c r="J1965" s="1"/>
      <c r="K1965" s="1"/>
      <c r="L1965" s="1"/>
      <c r="M1965" s="1"/>
      <c r="N1965" s="1"/>
      <c r="O1965" s="1"/>
      <c r="P1965" s="1"/>
      <c r="Q1965" s="1"/>
      <c r="R1965" s="1"/>
      <c r="S1965" s="1"/>
    </row>
    <row r="1966" ht="14.25" customHeight="1">
      <c r="A1966" s="1"/>
      <c r="B1966" s="93" t="s">
        <v>391</v>
      </c>
      <c r="C1966" s="247">
        <v>2.5</v>
      </c>
      <c r="D1966" s="78">
        <f t="shared" si="180"/>
        <v>25</v>
      </c>
      <c r="E1966" s="900"/>
      <c r="F1966" s="249" t="s">
        <v>18</v>
      </c>
      <c r="G1966" s="1"/>
      <c r="H1966" s="1"/>
      <c r="I1966" s="1"/>
      <c r="J1966" s="1"/>
      <c r="K1966" s="1"/>
      <c r="L1966" s="1"/>
      <c r="M1966" s="1"/>
      <c r="N1966" s="1"/>
      <c r="O1966" s="1"/>
      <c r="P1966" s="1"/>
      <c r="Q1966" s="1"/>
      <c r="R1966" s="1"/>
      <c r="S1966" s="1"/>
    </row>
    <row r="1967" ht="14.25" customHeight="1">
      <c r="A1967" s="1"/>
      <c r="B1967" s="93" t="s">
        <v>2135</v>
      </c>
      <c r="C1967" s="247">
        <v>2.5</v>
      </c>
      <c r="D1967" s="78">
        <f t="shared" si="180"/>
        <v>25</v>
      </c>
      <c r="E1967" s="900"/>
      <c r="F1967" s="249" t="s">
        <v>18</v>
      </c>
      <c r="G1967" s="1"/>
      <c r="H1967" s="1"/>
      <c r="I1967" s="1"/>
      <c r="J1967" s="1"/>
      <c r="K1967" s="1"/>
      <c r="L1967" s="1"/>
      <c r="M1967" s="1"/>
      <c r="N1967" s="1"/>
      <c r="O1967" s="1"/>
      <c r="P1967" s="1"/>
      <c r="Q1967" s="1"/>
      <c r="R1967" s="1"/>
      <c r="S1967" s="1"/>
    </row>
    <row r="1968" ht="14.25" customHeight="1">
      <c r="A1968" s="1"/>
      <c r="B1968" s="93" t="s">
        <v>1026</v>
      </c>
      <c r="C1968" s="247">
        <v>2.5</v>
      </c>
      <c r="D1968" s="78">
        <f t="shared" si="180"/>
        <v>25</v>
      </c>
      <c r="E1968" s="900"/>
      <c r="F1968" s="249" t="s">
        <v>18</v>
      </c>
      <c r="G1968" s="1"/>
      <c r="H1968" s="1"/>
      <c r="I1968" s="1"/>
      <c r="J1968" s="1"/>
      <c r="K1968" s="1"/>
      <c r="L1968" s="1"/>
      <c r="M1968" s="1"/>
      <c r="N1968" s="1"/>
      <c r="O1968" s="1"/>
      <c r="P1968" s="1"/>
      <c r="Q1968" s="1"/>
      <c r="R1968" s="1"/>
      <c r="S1968" s="1"/>
    </row>
    <row r="1969" ht="14.25" customHeight="1">
      <c r="A1969" s="1"/>
      <c r="B1969" s="93" t="s">
        <v>3705</v>
      </c>
      <c r="C1969" s="247">
        <v>2.5</v>
      </c>
      <c r="D1969" s="78">
        <f>D1970*C1969/C1970</f>
        <v>25</v>
      </c>
      <c r="E1969" s="900"/>
      <c r="F1969" s="249" t="s">
        <v>18</v>
      </c>
      <c r="G1969" s="1"/>
      <c r="H1969" s="1"/>
      <c r="I1969" s="1"/>
      <c r="J1969" s="1"/>
      <c r="K1969" s="1"/>
      <c r="L1969" s="1"/>
      <c r="M1969" s="1"/>
      <c r="N1969" s="1"/>
      <c r="O1969" s="1"/>
      <c r="P1969" s="1"/>
      <c r="Q1969" s="1"/>
      <c r="R1969" s="1"/>
      <c r="S1969" s="1"/>
    </row>
    <row r="1970" ht="14.25" customHeight="1">
      <c r="A1970" s="1"/>
      <c r="B1970" s="138" t="s">
        <v>59</v>
      </c>
      <c r="C1970" s="239">
        <v>0.4</v>
      </c>
      <c r="D1970" s="146">
        <f t="shared" ref="D1970:D1972" si="181">D1968*C1970/C1968</f>
        <v>4</v>
      </c>
      <c r="E1970" s="1607"/>
      <c r="F1970" s="242" t="s">
        <v>1557</v>
      </c>
      <c r="G1970" s="1"/>
      <c r="H1970" s="1"/>
      <c r="I1970" s="1"/>
      <c r="J1970" s="1"/>
      <c r="K1970" s="1"/>
      <c r="L1970" s="1"/>
      <c r="M1970" s="1"/>
      <c r="N1970" s="1"/>
      <c r="O1970" s="1"/>
      <c r="P1970" s="1"/>
      <c r="Q1970" s="1"/>
      <c r="R1970" s="1"/>
      <c r="S1970" s="1"/>
    </row>
    <row r="1971" ht="14.25" customHeight="1">
      <c r="A1971" s="1"/>
      <c r="B1971" s="93" t="s">
        <v>31</v>
      </c>
      <c r="C1971" s="247">
        <v>20.0</v>
      </c>
      <c r="D1971" s="78">
        <f t="shared" si="181"/>
        <v>200</v>
      </c>
      <c r="E1971" s="900"/>
      <c r="F1971" s="249" t="s">
        <v>18</v>
      </c>
      <c r="G1971" s="1"/>
      <c r="H1971" s="1"/>
      <c r="I1971" s="1"/>
      <c r="J1971" s="1"/>
      <c r="K1971" s="1"/>
      <c r="L1971" s="1"/>
      <c r="M1971" s="1"/>
      <c r="N1971" s="1"/>
      <c r="O1971" s="1"/>
      <c r="P1971" s="1"/>
      <c r="Q1971" s="1"/>
      <c r="R1971" s="1"/>
      <c r="S1971" s="1"/>
    </row>
    <row r="1972" ht="14.25" customHeight="1">
      <c r="A1972" s="1"/>
      <c r="B1972" s="105" t="s">
        <v>958</v>
      </c>
      <c r="C1972" s="522">
        <v>0.2</v>
      </c>
      <c r="D1972" s="56">
        <f t="shared" si="181"/>
        <v>2</v>
      </c>
      <c r="E1972" s="1604"/>
      <c r="F1972" s="518" t="s">
        <v>1557</v>
      </c>
      <c r="G1972" s="1"/>
      <c r="H1972" s="1"/>
      <c r="I1972" s="1"/>
      <c r="J1972" s="1"/>
      <c r="K1972" s="1"/>
      <c r="L1972" s="1"/>
      <c r="M1972" s="1"/>
      <c r="N1972" s="1"/>
      <c r="O1972" s="1"/>
      <c r="P1972" s="1"/>
      <c r="Q1972" s="1"/>
      <c r="R1972" s="1"/>
      <c r="S1972" s="1"/>
    </row>
    <row r="1973" ht="14.25" customHeight="1">
      <c r="A1973" s="1"/>
      <c r="B1973" s="1"/>
      <c r="C1973" s="1"/>
      <c r="D1973" s="1"/>
      <c r="E1973" s="1"/>
      <c r="F1973" s="1"/>
      <c r="G1973" s="1"/>
      <c r="H1973" s="1"/>
      <c r="I1973" s="1"/>
      <c r="J1973" s="1"/>
      <c r="K1973" s="1"/>
      <c r="L1973" s="1"/>
      <c r="M1973" s="1"/>
      <c r="N1973" s="1"/>
      <c r="O1973" s="1"/>
      <c r="P1973" s="1"/>
      <c r="Q1973" s="1"/>
      <c r="R1973" s="1"/>
      <c r="S1973" s="1"/>
    </row>
    <row r="1974" ht="14.25" customHeight="1">
      <c r="A1974" s="1"/>
      <c r="B1974" s="2275" t="s">
        <v>119</v>
      </c>
      <c r="C1974" s="183" t="s">
        <v>47</v>
      </c>
      <c r="D1974" s="1"/>
      <c r="E1974" s="1"/>
      <c r="F1974" s="1"/>
      <c r="G1974" s="1"/>
      <c r="H1974" s="1"/>
      <c r="I1974" s="1"/>
      <c r="J1974" s="1"/>
      <c r="K1974" s="1"/>
      <c r="L1974" s="1"/>
      <c r="M1974" s="1"/>
      <c r="N1974" s="1"/>
      <c r="O1974" s="1"/>
      <c r="P1974" s="1"/>
      <c r="Q1974" s="1"/>
      <c r="R1974" s="1"/>
      <c r="S1974" s="1"/>
    </row>
    <row r="1975" ht="14.25" customHeight="1">
      <c r="A1975" s="1"/>
      <c r="B1975" s="203" t="s">
        <v>120</v>
      </c>
      <c r="C1975" s="1363">
        <v>43614.0</v>
      </c>
      <c r="D1975" s="1"/>
      <c r="E1975" s="1"/>
      <c r="F1975" s="1"/>
      <c r="G1975" s="1"/>
      <c r="H1975" s="1"/>
      <c r="I1975" s="1"/>
      <c r="J1975" s="1"/>
      <c r="K1975" s="1"/>
      <c r="L1975" s="1"/>
      <c r="M1975" s="1"/>
      <c r="N1975" s="1"/>
      <c r="O1975" s="1"/>
      <c r="P1975" s="1"/>
      <c r="Q1975" s="1"/>
      <c r="R1975" s="1"/>
      <c r="S1975" s="1"/>
    </row>
    <row r="1976" ht="14.25" customHeight="1">
      <c r="A1976" s="1"/>
      <c r="B1976" s="203" t="s">
        <v>50</v>
      </c>
      <c r="C1976" s="1363">
        <v>43614.0</v>
      </c>
      <c r="D1976" s="1"/>
      <c r="E1976" s="1"/>
      <c r="F1976" s="1"/>
      <c r="G1976" s="1"/>
      <c r="H1976" s="1"/>
      <c r="I1976" s="1"/>
      <c r="J1976" s="1"/>
      <c r="K1976" s="1"/>
      <c r="L1976" s="1"/>
      <c r="M1976" s="1"/>
      <c r="N1976" s="1"/>
      <c r="O1976" s="1"/>
      <c r="P1976" s="1"/>
      <c r="Q1976" s="1"/>
      <c r="R1976" s="1"/>
      <c r="S1976" s="1"/>
    </row>
    <row r="1977" ht="14.25" customHeight="1">
      <c r="A1977" s="1"/>
      <c r="B1977" s="1"/>
      <c r="C1977" s="107"/>
      <c r="D1977" s="184"/>
      <c r="E1977" s="184"/>
      <c r="F1977" s="1"/>
      <c r="G1977" s="1"/>
      <c r="H1977" s="1"/>
      <c r="I1977" s="1"/>
      <c r="J1977" s="1"/>
      <c r="K1977" s="1"/>
      <c r="L1977" s="1"/>
      <c r="M1977" s="1"/>
      <c r="N1977" s="1"/>
      <c r="O1977" s="1"/>
      <c r="P1977" s="1"/>
      <c r="Q1977" s="1"/>
      <c r="R1977" s="1"/>
      <c r="S1977" s="1"/>
    </row>
    <row r="1978" ht="14.25" customHeight="1">
      <c r="A1978" s="1"/>
      <c r="B1978" s="1"/>
      <c r="C1978" s="107"/>
      <c r="D1978" s="184"/>
      <c r="E1978" s="184"/>
      <c r="F1978" s="1"/>
      <c r="G1978" s="1"/>
      <c r="H1978" s="1"/>
      <c r="I1978" s="1"/>
      <c r="J1978" s="1"/>
      <c r="K1978" s="1"/>
      <c r="L1978" s="1"/>
      <c r="M1978" s="1"/>
      <c r="N1978" s="1"/>
      <c r="O1978" s="1"/>
      <c r="P1978" s="1"/>
      <c r="Q1978" s="1"/>
      <c r="R1978" s="1"/>
      <c r="S1978" s="1"/>
    </row>
    <row r="1979" ht="14.25" customHeight="1">
      <c r="A1979" s="1"/>
      <c r="B1979" s="1"/>
      <c r="C1979" s="107"/>
      <c r="D1979" s="184"/>
      <c r="E1979" s="184"/>
      <c r="F1979" s="1"/>
      <c r="G1979" s="1"/>
      <c r="H1979" s="1"/>
      <c r="I1979" s="1"/>
      <c r="J1979" s="1"/>
      <c r="K1979" s="1"/>
      <c r="L1979" s="1"/>
      <c r="M1979" s="1"/>
      <c r="N1979" s="1"/>
      <c r="O1979" s="1"/>
      <c r="P1979" s="1"/>
      <c r="Q1979" s="1"/>
      <c r="R1979" s="1"/>
      <c r="S1979" s="1"/>
    </row>
    <row r="1980" ht="14.25" customHeight="1">
      <c r="A1980" s="1"/>
      <c r="B1980" s="1"/>
      <c r="C1980" s="107"/>
      <c r="D1980" s="184"/>
      <c r="E1980" s="184"/>
      <c r="F1980" s="1"/>
      <c r="G1980" s="1"/>
      <c r="H1980" s="1"/>
      <c r="I1980" s="1"/>
      <c r="J1980" s="1"/>
      <c r="K1980" s="1"/>
      <c r="L1980" s="1"/>
      <c r="M1980" s="1"/>
      <c r="N1980" s="1"/>
      <c r="O1980" s="1"/>
      <c r="P1980" s="1"/>
      <c r="Q1980" s="1"/>
      <c r="R1980" s="1"/>
      <c r="S1980" s="1"/>
    </row>
    <row r="1981" ht="14.25" customHeight="1">
      <c r="A1981" s="1"/>
      <c r="B1981" s="209" t="s">
        <v>3738</v>
      </c>
      <c r="C1981" s="18"/>
      <c r="D1981" s="18"/>
      <c r="E1981" s="18"/>
      <c r="F1981" s="19"/>
      <c r="G1981" s="1"/>
      <c r="H1981" s="1"/>
      <c r="I1981" s="1"/>
      <c r="J1981" s="1"/>
      <c r="K1981" s="1"/>
      <c r="L1981" s="1"/>
      <c r="M1981" s="1"/>
      <c r="N1981" s="1"/>
      <c r="O1981" s="1"/>
      <c r="P1981" s="1"/>
      <c r="Q1981" s="1"/>
      <c r="R1981" s="1"/>
      <c r="S1981" s="1"/>
    </row>
    <row r="1982" ht="14.25" customHeight="1">
      <c r="A1982" s="1"/>
      <c r="B1982" s="512" t="s">
        <v>1</v>
      </c>
      <c r="C1982" s="53">
        <v>25.0</v>
      </c>
      <c r="D1982" s="513">
        <v>15.0</v>
      </c>
      <c r="E1982" s="1576"/>
      <c r="F1982" s="514" t="s">
        <v>5</v>
      </c>
      <c r="G1982" s="1"/>
      <c r="H1982" s="1"/>
      <c r="I1982" s="1"/>
      <c r="J1982" s="1"/>
      <c r="K1982" s="1"/>
      <c r="L1982" s="1"/>
      <c r="M1982" s="1"/>
      <c r="N1982" s="1"/>
      <c r="O1982" s="1"/>
      <c r="P1982" s="1"/>
      <c r="Q1982" s="1"/>
      <c r="R1982" s="1"/>
      <c r="S1982" s="1"/>
    </row>
    <row r="1983" ht="14.25" customHeight="1">
      <c r="A1983" s="1"/>
      <c r="B1983" s="68" t="s">
        <v>3739</v>
      </c>
      <c r="C1983" s="210">
        <v>0.75</v>
      </c>
      <c r="D1983" s="516">
        <f>(C1983*D1982)/C1982</f>
        <v>0.45</v>
      </c>
      <c r="E1983" s="1652"/>
      <c r="F1983" s="216" t="s">
        <v>14</v>
      </c>
      <c r="G1983" s="1"/>
      <c r="H1983" s="1"/>
      <c r="I1983" s="1"/>
      <c r="J1983" s="1"/>
      <c r="K1983" s="1"/>
      <c r="L1983" s="1"/>
      <c r="M1983" s="1"/>
      <c r="N1983" s="1"/>
      <c r="O1983" s="1"/>
      <c r="P1983" s="1"/>
      <c r="Q1983" s="1"/>
      <c r="R1983" s="1"/>
      <c r="S1983" s="1"/>
    </row>
    <row r="1984" ht="14.25" customHeight="1">
      <c r="A1984" s="1"/>
      <c r="B1984" s="93" t="s">
        <v>3740</v>
      </c>
      <c r="C1984" s="247">
        <v>1.5</v>
      </c>
      <c r="D1984" s="521">
        <f>(C1984*D1987)/C1987</f>
        <v>0.9</v>
      </c>
      <c r="E1984" s="1653"/>
      <c r="F1984" s="249" t="s">
        <v>2360</v>
      </c>
      <c r="G1984" s="1"/>
      <c r="H1984" s="1"/>
      <c r="I1984" s="1"/>
      <c r="J1984" s="1"/>
      <c r="K1984" s="1"/>
      <c r="L1984" s="1"/>
      <c r="M1984" s="1"/>
      <c r="N1984" s="1"/>
      <c r="O1984" s="1"/>
      <c r="P1984" s="1"/>
      <c r="Q1984" s="1"/>
      <c r="R1984" s="1"/>
      <c r="S1984" s="1"/>
    </row>
    <row r="1985" ht="14.25" customHeight="1">
      <c r="A1985" s="1"/>
      <c r="B1985" s="93" t="s">
        <v>1241</v>
      </c>
      <c r="C1985" s="247">
        <v>0.75</v>
      </c>
      <c r="D1985" s="521">
        <f>(C1985*D1983)/C1983</f>
        <v>0.45</v>
      </c>
      <c r="E1985" s="1653"/>
      <c r="F1985" s="249" t="s">
        <v>2360</v>
      </c>
      <c r="G1985" s="1"/>
      <c r="H1985" s="1"/>
      <c r="I1985" s="1"/>
      <c r="J1985" s="1"/>
      <c r="K1985" s="1"/>
      <c r="L1985" s="1"/>
      <c r="M1985" s="1"/>
      <c r="N1985" s="1"/>
      <c r="O1985" s="1"/>
      <c r="P1985" s="1"/>
      <c r="Q1985" s="1"/>
      <c r="R1985" s="1"/>
      <c r="S1985" s="1"/>
    </row>
    <row r="1986" ht="14.25" customHeight="1">
      <c r="A1986" s="1"/>
      <c r="B1986" s="93" t="s">
        <v>3741</v>
      </c>
      <c r="C1986" s="247">
        <v>35.0</v>
      </c>
      <c r="D1986" s="521">
        <f t="shared" ref="D1986:D1992" si="182">(C1986*D1985)/C1985</f>
        <v>21</v>
      </c>
      <c r="E1986" s="1653"/>
      <c r="F1986" s="249" t="s">
        <v>1342</v>
      </c>
      <c r="G1986" s="1"/>
      <c r="H1986" s="1"/>
      <c r="I1986" s="1"/>
      <c r="J1986" s="1"/>
      <c r="K1986" s="1"/>
      <c r="L1986" s="1"/>
      <c r="M1986" s="1"/>
      <c r="N1986" s="1"/>
      <c r="O1986" s="1"/>
      <c r="P1986" s="1"/>
      <c r="Q1986" s="1"/>
      <c r="R1986" s="1"/>
      <c r="S1986" s="1"/>
    </row>
    <row r="1987" ht="14.25" customHeight="1">
      <c r="A1987" s="1"/>
      <c r="B1987" s="93" t="s">
        <v>3742</v>
      </c>
      <c r="C1987" s="247">
        <v>0.75</v>
      </c>
      <c r="D1987" s="521">
        <f t="shared" si="182"/>
        <v>0.45</v>
      </c>
      <c r="E1987" s="1653"/>
      <c r="F1987" s="249" t="s">
        <v>2360</v>
      </c>
      <c r="G1987" s="1"/>
      <c r="H1987" s="1"/>
      <c r="I1987" s="1"/>
      <c r="J1987" s="1"/>
      <c r="K1987" s="1"/>
      <c r="L1987" s="1"/>
      <c r="M1987" s="1"/>
      <c r="N1987" s="1"/>
      <c r="O1987" s="1"/>
      <c r="P1987" s="1"/>
      <c r="Q1987" s="1"/>
      <c r="R1987" s="1"/>
      <c r="S1987" s="1"/>
    </row>
    <row r="1988" ht="14.25" customHeight="1">
      <c r="A1988" s="1"/>
      <c r="B1988" s="93" t="s">
        <v>3743</v>
      </c>
      <c r="C1988" s="247">
        <v>1.0</v>
      </c>
      <c r="D1988" s="521">
        <f t="shared" si="182"/>
        <v>0.6</v>
      </c>
      <c r="E1988" s="1653"/>
      <c r="F1988" s="249" t="s">
        <v>1679</v>
      </c>
      <c r="G1988" s="1"/>
      <c r="H1988" s="1"/>
      <c r="I1988" s="1"/>
      <c r="J1988" s="1"/>
      <c r="K1988" s="1"/>
      <c r="L1988" s="1"/>
      <c r="M1988" s="1"/>
      <c r="N1988" s="1"/>
      <c r="O1988" s="1"/>
      <c r="P1988" s="1"/>
      <c r="Q1988" s="1"/>
      <c r="R1988" s="1"/>
      <c r="S1988" s="1"/>
    </row>
    <row r="1989" ht="14.25" customHeight="1">
      <c r="A1989" s="1"/>
      <c r="B1989" s="93" t="s">
        <v>1189</v>
      </c>
      <c r="C1989" s="247">
        <v>2.0</v>
      </c>
      <c r="D1989" s="521">
        <f t="shared" si="182"/>
        <v>1.2</v>
      </c>
      <c r="E1989" s="1653"/>
      <c r="F1989" s="249" t="s">
        <v>1679</v>
      </c>
      <c r="G1989" s="1"/>
      <c r="H1989" s="1"/>
      <c r="I1989" s="1"/>
      <c r="J1989" s="1"/>
      <c r="K1989" s="1"/>
      <c r="L1989" s="1"/>
      <c r="M1989" s="1"/>
      <c r="N1989" s="1"/>
      <c r="O1989" s="1"/>
      <c r="P1989" s="1"/>
      <c r="Q1989" s="1"/>
      <c r="R1989" s="1"/>
      <c r="S1989" s="1"/>
    </row>
    <row r="1990" ht="14.25" customHeight="1">
      <c r="A1990" s="1"/>
      <c r="B1990" s="93" t="s">
        <v>3744</v>
      </c>
      <c r="C1990" s="247">
        <v>0.75</v>
      </c>
      <c r="D1990" s="521">
        <f t="shared" si="182"/>
        <v>0.45</v>
      </c>
      <c r="E1990" s="1653"/>
      <c r="F1990" s="249" t="s">
        <v>2360</v>
      </c>
      <c r="G1990" s="1"/>
      <c r="H1990" s="1"/>
      <c r="I1990" s="1"/>
      <c r="J1990" s="1"/>
      <c r="K1990" s="1"/>
      <c r="L1990" s="1"/>
      <c r="M1990" s="1"/>
      <c r="N1990" s="1"/>
      <c r="O1990" s="1"/>
      <c r="P1990" s="1"/>
      <c r="Q1990" s="1"/>
      <c r="R1990" s="1"/>
      <c r="S1990" s="1"/>
    </row>
    <row r="1991" ht="14.25" customHeight="1">
      <c r="A1991" s="1"/>
      <c r="B1991" s="105" t="s">
        <v>551</v>
      </c>
      <c r="C1991" s="522">
        <v>1.0</v>
      </c>
      <c r="D1991" s="517">
        <f t="shared" si="182"/>
        <v>0.6</v>
      </c>
      <c r="E1991" s="1656"/>
      <c r="F1991" s="518" t="s">
        <v>2360</v>
      </c>
      <c r="G1991" s="1"/>
      <c r="H1991" s="1"/>
      <c r="I1991" s="1"/>
      <c r="J1991" s="1"/>
      <c r="K1991" s="1"/>
      <c r="L1991" s="1"/>
      <c r="M1991" s="1"/>
      <c r="N1991" s="1"/>
      <c r="O1991" s="1"/>
      <c r="P1991" s="1"/>
      <c r="Q1991" s="1"/>
      <c r="R1991" s="1"/>
      <c r="S1991" s="1"/>
    </row>
    <row r="1992" ht="14.25" customHeight="1">
      <c r="A1992" s="1"/>
      <c r="B1992" s="68" t="s">
        <v>1853</v>
      </c>
      <c r="C1992" s="210">
        <v>750.0</v>
      </c>
      <c r="D1992" s="1193">
        <f t="shared" si="182"/>
        <v>450</v>
      </c>
      <c r="E1992" s="1884"/>
      <c r="F1992" s="216" t="s">
        <v>18</v>
      </c>
      <c r="G1992" s="1"/>
      <c r="H1992" s="1"/>
      <c r="I1992" s="1"/>
      <c r="J1992" s="1"/>
      <c r="K1992" s="1"/>
      <c r="L1992" s="1"/>
      <c r="M1992" s="1"/>
      <c r="N1992" s="1"/>
      <c r="O1992" s="1"/>
      <c r="P1992" s="1"/>
      <c r="Q1992" s="1"/>
      <c r="R1992" s="1"/>
      <c r="S1992" s="1"/>
    </row>
    <row r="1993" ht="14.25" customHeight="1">
      <c r="A1993" s="1"/>
      <c r="B1993" s="93" t="s">
        <v>2112</v>
      </c>
      <c r="C1993" s="247">
        <v>4.0</v>
      </c>
      <c r="D1993" s="1420">
        <f>(C1993*D1989)/C1989</f>
        <v>2.4</v>
      </c>
      <c r="E1993" s="1886"/>
      <c r="F1993" s="249" t="s">
        <v>14</v>
      </c>
      <c r="G1993" s="1"/>
      <c r="H1993" s="1"/>
      <c r="I1993" s="1"/>
      <c r="J1993" s="1"/>
      <c r="K1993" s="1"/>
      <c r="L1993" s="1"/>
      <c r="M1993" s="1"/>
      <c r="N1993" s="1"/>
      <c r="O1993" s="1"/>
      <c r="P1993" s="1"/>
      <c r="Q1993" s="1"/>
      <c r="R1993" s="1"/>
      <c r="S1993" s="1"/>
    </row>
    <row r="1994" ht="14.25" customHeight="1">
      <c r="A1994" s="1"/>
      <c r="B1994" s="93" t="s">
        <v>3745</v>
      </c>
      <c r="C1994" s="247">
        <v>2.5</v>
      </c>
      <c r="D1994" s="1420">
        <f t="shared" ref="D1994:D2002" si="183">(C1994*D1991)/C1991</f>
        <v>1.5</v>
      </c>
      <c r="E1994" s="1886"/>
      <c r="F1994" s="249" t="s">
        <v>14</v>
      </c>
      <c r="G1994" s="1"/>
      <c r="H1994" s="1"/>
      <c r="I1994" s="1"/>
      <c r="J1994" s="1"/>
      <c r="K1994" s="1"/>
      <c r="L1994" s="1"/>
      <c r="M1994" s="1"/>
      <c r="N1994" s="1"/>
      <c r="O1994" s="1"/>
      <c r="P1994" s="1"/>
      <c r="Q1994" s="1"/>
      <c r="R1994" s="1"/>
      <c r="S1994" s="1"/>
    </row>
    <row r="1995" ht="14.25" customHeight="1">
      <c r="A1995" s="1"/>
      <c r="B1995" s="93" t="s">
        <v>2424</v>
      </c>
      <c r="C1995" s="247">
        <v>2.5</v>
      </c>
      <c r="D1995" s="1420">
        <f t="shared" si="183"/>
        <v>1.5</v>
      </c>
      <c r="E1995" s="1886"/>
      <c r="F1995" s="249" t="s">
        <v>14</v>
      </c>
      <c r="G1995" s="1"/>
      <c r="H1995" s="1"/>
      <c r="I1995" s="1"/>
      <c r="J1995" s="1"/>
      <c r="K1995" s="1"/>
      <c r="L1995" s="1"/>
      <c r="M1995" s="1"/>
      <c r="N1995" s="1"/>
      <c r="O1995" s="1"/>
      <c r="P1995" s="1"/>
      <c r="Q1995" s="1"/>
      <c r="R1995" s="1"/>
      <c r="S1995" s="1"/>
    </row>
    <row r="1996" ht="14.25" customHeight="1">
      <c r="A1996" s="1"/>
      <c r="B1996" s="93" t="s">
        <v>2423</v>
      </c>
      <c r="C1996" s="247">
        <v>2.5</v>
      </c>
      <c r="D1996" s="1420">
        <f t="shared" si="183"/>
        <v>1.5</v>
      </c>
      <c r="E1996" s="1886"/>
      <c r="F1996" s="249" t="s">
        <v>14</v>
      </c>
      <c r="G1996" s="1"/>
      <c r="H1996" s="1"/>
      <c r="I1996" s="1"/>
      <c r="J1996" s="1"/>
      <c r="K1996" s="1"/>
      <c r="L1996" s="1"/>
      <c r="M1996" s="1"/>
      <c r="N1996" s="1"/>
      <c r="O1996" s="1"/>
      <c r="P1996" s="1"/>
      <c r="Q1996" s="1"/>
      <c r="R1996" s="1"/>
      <c r="S1996" s="1"/>
    </row>
    <row r="1997" ht="14.25" customHeight="1">
      <c r="A1997" s="1"/>
      <c r="B1997" s="2074" t="s">
        <v>3746</v>
      </c>
      <c r="C1997" s="3198">
        <v>1.0</v>
      </c>
      <c r="D1997" s="1420">
        <f t="shared" si="183"/>
        <v>0.6</v>
      </c>
      <c r="E1997" s="1886"/>
      <c r="F1997" s="165">
        <v>0.0</v>
      </c>
      <c r="G1997" s="1"/>
      <c r="H1997" s="1"/>
      <c r="I1997" s="1"/>
      <c r="J1997" s="1"/>
      <c r="K1997" s="1"/>
      <c r="L1997" s="1"/>
      <c r="M1997" s="1"/>
      <c r="N1997" s="1"/>
      <c r="O1997" s="1"/>
      <c r="P1997" s="1"/>
      <c r="Q1997" s="1"/>
      <c r="R1997" s="1"/>
      <c r="S1997" s="1"/>
    </row>
    <row r="1998" ht="14.25" customHeight="1">
      <c r="A1998" s="1"/>
      <c r="B1998" s="93" t="s">
        <v>2366</v>
      </c>
      <c r="C1998" s="247">
        <v>12.0</v>
      </c>
      <c r="D1998" s="1420">
        <f t="shared" si="183"/>
        <v>7.2</v>
      </c>
      <c r="E1998" s="1886"/>
      <c r="F1998" s="249" t="s">
        <v>1679</v>
      </c>
      <c r="G1998" s="1"/>
      <c r="H1998" s="1"/>
      <c r="I1998" s="1"/>
      <c r="J1998" s="1"/>
      <c r="K1998" s="1"/>
      <c r="L1998" s="1"/>
      <c r="M1998" s="1"/>
      <c r="N1998" s="1"/>
      <c r="O1998" s="1"/>
      <c r="P1998" s="1"/>
      <c r="Q1998" s="1"/>
      <c r="R1998" s="1"/>
      <c r="S1998" s="1"/>
    </row>
    <row r="1999" ht="14.25" customHeight="1">
      <c r="A1999" s="1"/>
      <c r="B1999" s="93" t="s">
        <v>3747</v>
      </c>
      <c r="C1999" s="247">
        <v>4.0</v>
      </c>
      <c r="D1999" s="1420">
        <f t="shared" si="183"/>
        <v>2.4</v>
      </c>
      <c r="E1999" s="1886"/>
      <c r="F1999" s="249" t="s">
        <v>1679</v>
      </c>
      <c r="G1999" s="1"/>
      <c r="H1999" s="1"/>
      <c r="I1999" s="1"/>
      <c r="J1999" s="1"/>
      <c r="K1999" s="1"/>
      <c r="L1999" s="1"/>
      <c r="M1999" s="1"/>
      <c r="N1999" s="1"/>
      <c r="O1999" s="1"/>
      <c r="P1999" s="1"/>
      <c r="Q1999" s="1"/>
      <c r="R1999" s="1"/>
      <c r="S1999" s="1"/>
    </row>
    <row r="2000" ht="14.25" customHeight="1">
      <c r="A2000" s="1"/>
      <c r="B2000" s="93" t="s">
        <v>3748</v>
      </c>
      <c r="C2000" s="247">
        <v>20.0</v>
      </c>
      <c r="D2000" s="1420">
        <f t="shared" si="183"/>
        <v>12</v>
      </c>
      <c r="E2000" s="1886"/>
      <c r="F2000" s="249" t="s">
        <v>82</v>
      </c>
      <c r="G2000" s="1"/>
      <c r="H2000" s="1"/>
      <c r="I2000" s="1"/>
      <c r="J2000" s="1"/>
      <c r="K2000" s="1"/>
      <c r="L2000" s="1"/>
      <c r="M2000" s="1"/>
      <c r="N2000" s="1"/>
      <c r="O2000" s="1"/>
      <c r="P2000" s="1"/>
      <c r="Q2000" s="1"/>
      <c r="R2000" s="1"/>
      <c r="S2000" s="1"/>
    </row>
    <row r="2001" ht="14.25" customHeight="1">
      <c r="A2001" s="1"/>
      <c r="B2001" s="93" t="s">
        <v>392</v>
      </c>
      <c r="C2001" s="247">
        <v>1.0</v>
      </c>
      <c r="D2001" s="1420">
        <f t="shared" si="183"/>
        <v>0.6</v>
      </c>
      <c r="E2001" s="1886"/>
      <c r="F2001" s="249" t="s">
        <v>2360</v>
      </c>
      <c r="G2001" s="1"/>
      <c r="H2001" s="1"/>
      <c r="I2001" s="1"/>
      <c r="J2001" s="1"/>
      <c r="K2001" s="1"/>
      <c r="L2001" s="1"/>
      <c r="M2001" s="1"/>
      <c r="N2001" s="1"/>
      <c r="O2001" s="1"/>
      <c r="P2001" s="1"/>
      <c r="Q2001" s="1"/>
      <c r="R2001" s="1"/>
      <c r="S2001" s="1"/>
    </row>
    <row r="2002" ht="14.25" customHeight="1">
      <c r="A2002" s="1"/>
      <c r="B2002" s="105" t="s">
        <v>3749</v>
      </c>
      <c r="C2002" s="522">
        <v>2.0</v>
      </c>
      <c r="D2002" s="1897">
        <f t="shared" si="183"/>
        <v>1.2</v>
      </c>
      <c r="E2002" s="1898"/>
      <c r="F2002" s="518" t="s">
        <v>1679</v>
      </c>
      <c r="G2002" s="1"/>
      <c r="H2002" s="1"/>
      <c r="I2002" s="1"/>
      <c r="J2002" s="1"/>
      <c r="K2002" s="1"/>
      <c r="L2002" s="1"/>
      <c r="M2002" s="1"/>
      <c r="N2002" s="1"/>
      <c r="O2002" s="1"/>
      <c r="P2002" s="1"/>
      <c r="Q2002" s="1"/>
      <c r="R2002" s="1"/>
      <c r="S2002" s="1"/>
    </row>
    <row r="2003" ht="14.25" customHeight="1">
      <c r="A2003" s="1"/>
      <c r="B2003" s="1"/>
      <c r="C2003" s="107"/>
      <c r="D2003" s="184"/>
      <c r="E2003" s="184"/>
      <c r="F2003" s="1"/>
      <c r="G2003" s="1"/>
      <c r="H2003" s="1"/>
      <c r="I2003" s="1"/>
      <c r="J2003" s="1"/>
      <c r="K2003" s="1"/>
      <c r="L2003" s="1"/>
      <c r="M2003" s="1"/>
      <c r="N2003" s="1"/>
      <c r="O2003" s="1"/>
      <c r="P2003" s="1"/>
      <c r="Q2003" s="1"/>
      <c r="R2003" s="1"/>
      <c r="S2003" s="1"/>
    </row>
    <row r="2004" ht="14.25" customHeight="1">
      <c r="A2004" s="1"/>
      <c r="B2004" s="1"/>
      <c r="C2004" s="107"/>
      <c r="D2004" s="184"/>
      <c r="E2004" s="184"/>
      <c r="F2004" s="1"/>
      <c r="G2004" s="1"/>
      <c r="H2004" s="1"/>
      <c r="I2004" s="1"/>
      <c r="J2004" s="1"/>
      <c r="K2004" s="1"/>
      <c r="L2004" s="1"/>
      <c r="M2004" s="1"/>
      <c r="N2004" s="1"/>
      <c r="O2004" s="1"/>
      <c r="P2004" s="1"/>
      <c r="Q2004" s="1"/>
      <c r="R2004" s="1"/>
      <c r="S2004" s="1"/>
    </row>
    <row r="2005" ht="14.25" customHeight="1">
      <c r="A2005" s="1"/>
      <c r="B2005" s="1"/>
      <c r="C2005" s="107"/>
      <c r="D2005" s="184"/>
      <c r="E2005" s="184"/>
      <c r="F2005" s="1"/>
      <c r="G2005" s="1"/>
      <c r="H2005" s="1"/>
      <c r="I2005" s="1"/>
      <c r="J2005" s="1"/>
      <c r="K2005" s="1"/>
      <c r="L2005" s="1"/>
      <c r="M2005" s="1"/>
      <c r="N2005" s="1"/>
      <c r="O2005" s="1"/>
      <c r="P2005" s="1"/>
      <c r="Q2005" s="1"/>
      <c r="R2005" s="1"/>
      <c r="S2005" s="1"/>
    </row>
    <row r="2006" ht="14.25" customHeight="1">
      <c r="A2006" s="1"/>
      <c r="B2006" s="1"/>
      <c r="C2006" s="107"/>
      <c r="D2006" s="184"/>
      <c r="E2006" s="184"/>
      <c r="F2006" s="1"/>
      <c r="G2006" s="1"/>
      <c r="H2006" s="1"/>
      <c r="I2006" s="1"/>
      <c r="J2006" s="1"/>
      <c r="K2006" s="1"/>
      <c r="L2006" s="1"/>
      <c r="M2006" s="1"/>
      <c r="N2006" s="1"/>
      <c r="O2006" s="1"/>
      <c r="P2006" s="1"/>
      <c r="Q2006" s="1"/>
      <c r="R2006" s="1"/>
      <c r="S2006" s="1"/>
    </row>
    <row r="2007" ht="14.25" customHeight="1">
      <c r="A2007" s="1"/>
      <c r="B2007" s="1"/>
      <c r="C2007" s="107"/>
      <c r="D2007" s="184"/>
      <c r="E2007" s="184"/>
      <c r="F2007" s="1"/>
      <c r="G2007" s="1"/>
      <c r="H2007" s="1"/>
      <c r="I2007" s="1"/>
      <c r="J2007" s="1"/>
      <c r="K2007" s="1"/>
      <c r="L2007" s="1"/>
      <c r="M2007" s="1"/>
      <c r="N2007" s="1"/>
      <c r="O2007" s="1"/>
      <c r="P2007" s="1"/>
      <c r="Q2007" s="1"/>
      <c r="R2007" s="1"/>
      <c r="S2007" s="1"/>
    </row>
    <row r="2008" ht="14.25" customHeight="1">
      <c r="A2008" s="1"/>
      <c r="B2008" s="1"/>
      <c r="C2008" s="107"/>
      <c r="D2008" s="184"/>
      <c r="E2008" s="184"/>
      <c r="F2008" s="1"/>
      <c r="G2008" s="1"/>
      <c r="H2008" s="1"/>
      <c r="I2008" s="1"/>
      <c r="J2008" s="1"/>
      <c r="K2008" s="1"/>
      <c r="L2008" s="1"/>
      <c r="M2008" s="1"/>
      <c r="N2008" s="1"/>
      <c r="O2008" s="1"/>
      <c r="P2008" s="1"/>
      <c r="Q2008" s="1"/>
      <c r="R2008" s="1"/>
      <c r="S2008" s="1"/>
    </row>
    <row r="2009" ht="14.25" customHeight="1">
      <c r="A2009" s="1"/>
      <c r="B2009" s="1"/>
      <c r="C2009" s="107"/>
      <c r="D2009" s="184"/>
      <c r="E2009" s="184"/>
      <c r="F2009" s="1"/>
      <c r="G2009" s="1"/>
      <c r="H2009" s="1"/>
      <c r="I2009" s="1"/>
      <c r="J2009" s="1"/>
      <c r="K2009" s="1"/>
      <c r="L2009" s="1"/>
      <c r="M2009" s="1"/>
      <c r="N2009" s="1"/>
      <c r="O2009" s="1"/>
      <c r="P2009" s="1"/>
      <c r="Q2009" s="1"/>
      <c r="R2009" s="1"/>
      <c r="S2009" s="1"/>
    </row>
    <row r="2010" ht="14.25" customHeight="1">
      <c r="A2010" s="1"/>
      <c r="B2010" s="1"/>
      <c r="C2010" s="107"/>
      <c r="D2010" s="184"/>
      <c r="E2010" s="184"/>
      <c r="F2010" s="1"/>
      <c r="G2010" s="1"/>
      <c r="H2010" s="1"/>
      <c r="I2010" s="1"/>
      <c r="J2010" s="1"/>
      <c r="K2010" s="1"/>
      <c r="L2010" s="1"/>
      <c r="M2010" s="1"/>
      <c r="N2010" s="1"/>
      <c r="O2010" s="1"/>
      <c r="P2010" s="1"/>
      <c r="Q2010" s="1"/>
      <c r="R2010" s="1"/>
      <c r="S2010" s="1"/>
    </row>
    <row r="2011" ht="14.25" customHeight="1">
      <c r="A2011" s="1"/>
      <c r="B2011" s="1"/>
      <c r="C2011" s="107"/>
      <c r="D2011" s="184"/>
      <c r="E2011" s="184"/>
      <c r="F2011" s="1"/>
      <c r="G2011" s="1"/>
      <c r="H2011" s="1"/>
      <c r="I2011" s="1"/>
      <c r="J2011" s="1"/>
      <c r="K2011" s="1"/>
      <c r="L2011" s="1"/>
      <c r="M2011" s="1"/>
      <c r="N2011" s="1"/>
      <c r="O2011" s="1"/>
      <c r="P2011" s="1"/>
      <c r="Q2011" s="1"/>
      <c r="R2011" s="1"/>
      <c r="S2011" s="1"/>
    </row>
    <row r="2012" ht="14.25" customHeight="1">
      <c r="A2012" s="1"/>
      <c r="B2012" s="1"/>
      <c r="C2012" s="107"/>
      <c r="D2012" s="184"/>
      <c r="E2012" s="184"/>
      <c r="F2012" s="1"/>
      <c r="G2012" s="1"/>
      <c r="H2012" s="1"/>
      <c r="I2012" s="1"/>
      <c r="J2012" s="1"/>
      <c r="K2012" s="1"/>
      <c r="L2012" s="1"/>
      <c r="M2012" s="1"/>
      <c r="N2012" s="1"/>
      <c r="O2012" s="1"/>
      <c r="P2012" s="1"/>
      <c r="Q2012" s="1"/>
      <c r="R2012" s="1"/>
      <c r="S2012" s="1"/>
    </row>
    <row r="2013" ht="14.25" customHeight="1">
      <c r="A2013" s="1"/>
      <c r="B2013" s="1"/>
      <c r="C2013" s="107"/>
      <c r="D2013" s="184"/>
      <c r="E2013" s="184"/>
      <c r="F2013" s="1"/>
      <c r="G2013" s="1"/>
      <c r="H2013" s="1"/>
      <c r="I2013" s="1"/>
      <c r="J2013" s="1"/>
      <c r="K2013" s="1"/>
      <c r="L2013" s="1"/>
      <c r="M2013" s="1"/>
      <c r="N2013" s="1"/>
      <c r="O2013" s="1"/>
      <c r="P2013" s="1"/>
      <c r="Q2013" s="1"/>
      <c r="R2013" s="1"/>
      <c r="S2013" s="1"/>
    </row>
    <row r="2014" ht="14.25" customHeight="1">
      <c r="A2014" s="1"/>
      <c r="B2014" s="1"/>
      <c r="C2014" s="107"/>
      <c r="D2014" s="184"/>
      <c r="E2014" s="184"/>
      <c r="F2014" s="1"/>
      <c r="G2014" s="1"/>
      <c r="H2014" s="1"/>
      <c r="I2014" s="1"/>
      <c r="J2014" s="1"/>
      <c r="K2014" s="1"/>
      <c r="L2014" s="1"/>
      <c r="M2014" s="1"/>
      <c r="N2014" s="1"/>
      <c r="O2014" s="1"/>
      <c r="P2014" s="1"/>
      <c r="Q2014" s="1"/>
      <c r="R2014" s="1"/>
      <c r="S2014" s="1"/>
    </row>
    <row r="2015" ht="14.25" customHeight="1">
      <c r="A2015" s="1"/>
      <c r="B2015" s="1"/>
      <c r="C2015" s="107"/>
      <c r="D2015" s="184"/>
      <c r="E2015" s="184"/>
      <c r="F2015" s="1"/>
      <c r="G2015" s="1"/>
      <c r="H2015" s="1"/>
      <c r="I2015" s="1"/>
      <c r="J2015" s="1"/>
      <c r="K2015" s="1"/>
      <c r="L2015" s="1"/>
      <c r="M2015" s="1"/>
      <c r="N2015" s="1"/>
      <c r="O2015" s="1"/>
      <c r="P2015" s="1"/>
      <c r="Q2015" s="1"/>
      <c r="R2015" s="1"/>
      <c r="S2015" s="1"/>
    </row>
    <row r="2016" ht="15.0" customHeight="1">
      <c r="A2016" s="1"/>
      <c r="B2016" s="1"/>
      <c r="C2016" s="107"/>
      <c r="D2016" s="184"/>
      <c r="E2016" s="184"/>
      <c r="F2016" s="1"/>
      <c r="G2016" s="1"/>
      <c r="H2016" s="1"/>
      <c r="I2016" s="1"/>
      <c r="J2016" s="1"/>
      <c r="K2016" s="1"/>
      <c r="L2016" s="1"/>
      <c r="M2016" s="1"/>
      <c r="N2016" s="1"/>
      <c r="O2016" s="1"/>
      <c r="P2016" s="1"/>
      <c r="Q2016" s="1"/>
      <c r="R2016" s="1"/>
      <c r="S2016" s="1"/>
    </row>
    <row r="2017" ht="14.25" customHeight="1">
      <c r="A2017" s="1"/>
      <c r="B2017" s="1"/>
      <c r="C2017" s="107"/>
      <c r="D2017" s="184"/>
      <c r="E2017" s="184"/>
      <c r="F2017" s="1"/>
      <c r="G2017" s="1"/>
      <c r="H2017" s="1"/>
      <c r="I2017" s="1"/>
      <c r="J2017" s="1"/>
      <c r="K2017" s="1"/>
      <c r="L2017" s="1"/>
      <c r="M2017" s="1"/>
      <c r="N2017" s="1"/>
      <c r="O2017" s="1"/>
      <c r="P2017" s="1"/>
      <c r="Q2017" s="1"/>
      <c r="R2017" s="1"/>
      <c r="S2017" s="1"/>
    </row>
    <row r="2018" ht="14.25" customHeight="1">
      <c r="A2018" s="1"/>
      <c r="B2018" s="1"/>
      <c r="C2018" s="107"/>
      <c r="D2018" s="184"/>
      <c r="E2018" s="184"/>
      <c r="F2018" s="1"/>
      <c r="G2018" s="1"/>
      <c r="H2018" s="1"/>
      <c r="I2018" s="1"/>
      <c r="J2018" s="1"/>
      <c r="K2018" s="1"/>
      <c r="L2018" s="1"/>
      <c r="M2018" s="1"/>
      <c r="N2018" s="1"/>
      <c r="O2018" s="1"/>
      <c r="P2018" s="1"/>
      <c r="Q2018" s="1"/>
      <c r="R2018" s="1"/>
      <c r="S2018" s="1"/>
    </row>
    <row r="2019" ht="14.25" customHeight="1">
      <c r="A2019" s="1"/>
      <c r="B2019" s="1"/>
      <c r="C2019" s="107"/>
      <c r="D2019" s="184"/>
      <c r="E2019" s="184"/>
      <c r="F2019" s="1"/>
      <c r="G2019" s="1"/>
      <c r="H2019" s="1"/>
      <c r="I2019" s="1"/>
      <c r="J2019" s="1"/>
      <c r="K2019" s="1"/>
      <c r="L2019" s="1"/>
      <c r="M2019" s="1"/>
      <c r="N2019" s="1"/>
      <c r="O2019" s="1"/>
      <c r="P2019" s="1"/>
      <c r="Q2019" s="1"/>
      <c r="R2019" s="1"/>
      <c r="S2019" s="1"/>
    </row>
    <row r="2020" ht="14.25" customHeight="1">
      <c r="A2020" s="1"/>
      <c r="B2020" s="1"/>
      <c r="C2020" s="107"/>
      <c r="D2020" s="184"/>
      <c r="E2020" s="184"/>
      <c r="F2020" s="1"/>
      <c r="G2020" s="1"/>
      <c r="H2020" s="1"/>
      <c r="I2020" s="1"/>
      <c r="J2020" s="1"/>
      <c r="K2020" s="1"/>
      <c r="L2020" s="1"/>
      <c r="M2020" s="1"/>
      <c r="N2020" s="1"/>
      <c r="O2020" s="1"/>
      <c r="P2020" s="1"/>
      <c r="Q2020" s="1"/>
      <c r="R2020" s="1"/>
      <c r="S2020" s="1"/>
    </row>
    <row r="2021" ht="14.25" customHeight="1">
      <c r="A2021" s="1"/>
      <c r="B2021" s="1"/>
      <c r="C2021" s="107"/>
      <c r="D2021" s="184"/>
      <c r="E2021" s="184"/>
      <c r="F2021" s="1"/>
      <c r="G2021" s="1"/>
      <c r="H2021" s="1"/>
      <c r="I2021" s="1"/>
      <c r="J2021" s="1"/>
      <c r="K2021" s="1"/>
      <c r="L2021" s="1"/>
      <c r="M2021" s="1"/>
      <c r="N2021" s="1"/>
      <c r="O2021" s="1"/>
      <c r="P2021" s="1"/>
      <c r="Q2021" s="1"/>
      <c r="R2021" s="1"/>
      <c r="S2021" s="1"/>
    </row>
    <row r="2022" ht="14.25" customHeight="1">
      <c r="A2022" s="1"/>
      <c r="B2022" s="1"/>
      <c r="C2022" s="107"/>
      <c r="D2022" s="184"/>
      <c r="E2022" s="184"/>
      <c r="F2022" s="1"/>
      <c r="G2022" s="1"/>
      <c r="H2022" s="1"/>
      <c r="I2022" s="1"/>
      <c r="J2022" s="1"/>
      <c r="K2022" s="1"/>
      <c r="L2022" s="1"/>
      <c r="M2022" s="1"/>
      <c r="N2022" s="1"/>
      <c r="O2022" s="1"/>
      <c r="P2022" s="1"/>
      <c r="Q2022" s="1"/>
      <c r="R2022" s="1"/>
      <c r="S2022" s="1"/>
    </row>
    <row r="2023" ht="14.25" customHeight="1">
      <c r="A2023" s="1"/>
      <c r="B2023" s="1"/>
      <c r="C2023" s="107"/>
      <c r="D2023" s="184"/>
      <c r="E2023" s="184"/>
      <c r="F2023" s="1"/>
      <c r="G2023" s="1"/>
      <c r="H2023" s="1"/>
      <c r="I2023" s="1"/>
      <c r="J2023" s="1"/>
      <c r="K2023" s="1"/>
      <c r="L2023" s="1"/>
      <c r="M2023" s="1"/>
      <c r="N2023" s="1"/>
      <c r="O2023" s="1"/>
      <c r="P2023" s="1"/>
      <c r="Q2023" s="1"/>
      <c r="R2023" s="1"/>
      <c r="S2023" s="1"/>
    </row>
    <row r="2024" ht="14.25" customHeight="1">
      <c r="A2024" s="1"/>
      <c r="B2024" s="1"/>
      <c r="C2024" s="107"/>
      <c r="D2024" s="184"/>
      <c r="E2024" s="184"/>
      <c r="F2024" s="1"/>
      <c r="G2024" s="1"/>
      <c r="H2024" s="1"/>
      <c r="I2024" s="1"/>
      <c r="J2024" s="1"/>
      <c r="K2024" s="1"/>
      <c r="L2024" s="1"/>
      <c r="M2024" s="1"/>
      <c r="N2024" s="1"/>
      <c r="O2024" s="1"/>
      <c r="P2024" s="1"/>
      <c r="Q2024" s="1"/>
      <c r="R2024" s="1"/>
      <c r="S2024" s="1"/>
    </row>
    <row r="2025" ht="15.0" customHeight="1">
      <c r="A2025" s="1"/>
      <c r="B2025" s="1"/>
      <c r="C2025" s="107"/>
      <c r="D2025" s="184"/>
      <c r="E2025" s="184"/>
      <c r="F2025" s="1"/>
      <c r="G2025" s="1"/>
      <c r="H2025" s="1"/>
      <c r="I2025" s="1"/>
      <c r="J2025" s="1"/>
      <c r="K2025" s="1"/>
      <c r="L2025" s="1"/>
      <c r="M2025" s="1"/>
      <c r="N2025" s="1"/>
      <c r="O2025" s="1"/>
      <c r="P2025" s="1"/>
      <c r="Q2025" s="1"/>
      <c r="R2025" s="1"/>
      <c r="S2025" s="1"/>
    </row>
    <row r="2026" ht="14.25" customHeight="1">
      <c r="A2026" s="1"/>
      <c r="B2026" s="1"/>
      <c r="C2026" s="107"/>
      <c r="D2026" s="184"/>
      <c r="E2026" s="184"/>
      <c r="F2026" s="1"/>
      <c r="G2026" s="1"/>
      <c r="H2026" s="1"/>
      <c r="I2026" s="1"/>
      <c r="J2026" s="1"/>
      <c r="K2026" s="1"/>
      <c r="L2026" s="1"/>
      <c r="M2026" s="1"/>
      <c r="N2026" s="1"/>
      <c r="O2026" s="1"/>
      <c r="P2026" s="1"/>
      <c r="Q2026" s="1"/>
      <c r="R2026" s="1"/>
      <c r="S2026" s="1"/>
    </row>
    <row r="2027" ht="14.25" customHeight="1">
      <c r="A2027" s="1"/>
      <c r="B2027" s="1"/>
      <c r="C2027" s="107"/>
      <c r="D2027" s="184"/>
      <c r="E2027" s="184"/>
      <c r="F2027" s="1"/>
      <c r="G2027" s="1"/>
      <c r="H2027" s="1"/>
      <c r="I2027" s="1"/>
      <c r="J2027" s="1"/>
      <c r="K2027" s="1"/>
      <c r="L2027" s="1"/>
      <c r="M2027" s="1"/>
      <c r="N2027" s="1"/>
      <c r="O2027" s="1"/>
      <c r="P2027" s="1"/>
      <c r="Q2027" s="1"/>
      <c r="R2027" s="1"/>
      <c r="S2027" s="1"/>
    </row>
    <row r="2028" ht="14.25" customHeight="1">
      <c r="A2028" s="1"/>
      <c r="B2028" s="1"/>
      <c r="C2028" s="107"/>
      <c r="D2028" s="184"/>
      <c r="E2028" s="184"/>
      <c r="F2028" s="1"/>
      <c r="G2028" s="1"/>
      <c r="H2028" s="1"/>
      <c r="I2028" s="1"/>
      <c r="J2028" s="1"/>
      <c r="K2028" s="1"/>
      <c r="L2028" s="1"/>
      <c r="M2028" s="1"/>
      <c r="N2028" s="1"/>
      <c r="O2028" s="1"/>
      <c r="P2028" s="1"/>
      <c r="Q2028" s="1"/>
      <c r="R2028" s="1"/>
      <c r="S2028" s="1"/>
    </row>
    <row r="2029" ht="14.25" customHeight="1">
      <c r="A2029" s="1"/>
      <c r="B2029" s="1"/>
      <c r="C2029" s="107"/>
      <c r="D2029" s="184"/>
      <c r="E2029" s="184"/>
      <c r="F2029" s="1"/>
      <c r="G2029" s="1"/>
      <c r="H2029" s="1"/>
      <c r="I2029" s="1"/>
      <c r="J2029" s="1"/>
      <c r="K2029" s="1"/>
      <c r="L2029" s="1"/>
      <c r="M2029" s="1"/>
      <c r="N2029" s="1"/>
      <c r="O2029" s="1"/>
      <c r="P2029" s="1"/>
      <c r="Q2029" s="1"/>
      <c r="R2029" s="1"/>
      <c r="S2029" s="1"/>
    </row>
    <row r="2030" ht="14.25" customHeight="1">
      <c r="A2030" s="1"/>
      <c r="B2030" s="1"/>
      <c r="C2030" s="107"/>
      <c r="D2030" s="184"/>
      <c r="E2030" s="184"/>
      <c r="F2030" s="1"/>
      <c r="G2030" s="1"/>
      <c r="H2030" s="1"/>
      <c r="I2030" s="1"/>
      <c r="J2030" s="1"/>
      <c r="K2030" s="1"/>
      <c r="L2030" s="1"/>
      <c r="M2030" s="1"/>
      <c r="N2030" s="1"/>
      <c r="O2030" s="1"/>
      <c r="P2030" s="1"/>
      <c r="Q2030" s="1"/>
      <c r="R2030" s="1"/>
      <c r="S2030" s="1"/>
    </row>
    <row r="2031" ht="14.25" customHeight="1">
      <c r="A2031" s="1"/>
      <c r="B2031" s="1"/>
      <c r="C2031" s="107"/>
      <c r="D2031" s="184"/>
      <c r="E2031" s="184"/>
      <c r="F2031" s="1"/>
      <c r="G2031" s="1"/>
      <c r="H2031" s="1"/>
      <c r="I2031" s="1"/>
      <c r="J2031" s="1"/>
      <c r="K2031" s="1"/>
      <c r="L2031" s="1"/>
      <c r="M2031" s="1"/>
      <c r="N2031" s="1"/>
      <c r="O2031" s="1"/>
      <c r="P2031" s="1"/>
      <c r="Q2031" s="1"/>
      <c r="R2031" s="1"/>
      <c r="S2031" s="1"/>
    </row>
    <row r="2032" ht="14.25" customHeight="1">
      <c r="A2032" s="1"/>
      <c r="B2032" s="1"/>
      <c r="C2032" s="107"/>
      <c r="D2032" s="184"/>
      <c r="E2032" s="184"/>
      <c r="F2032" s="1"/>
      <c r="G2032" s="1"/>
      <c r="H2032" s="1"/>
      <c r="I2032" s="1"/>
      <c r="J2032" s="1"/>
      <c r="K2032" s="1"/>
      <c r="L2032" s="1"/>
      <c r="M2032" s="1"/>
      <c r="N2032" s="1"/>
      <c r="O2032" s="1"/>
      <c r="P2032" s="1"/>
      <c r="Q2032" s="1"/>
      <c r="R2032" s="1"/>
      <c r="S2032" s="1"/>
    </row>
    <row r="2033" ht="14.25" customHeight="1">
      <c r="A2033" s="1"/>
      <c r="B2033" s="1"/>
      <c r="C2033" s="107"/>
      <c r="D2033" s="184"/>
      <c r="E2033" s="184"/>
      <c r="F2033" s="1"/>
      <c r="G2033" s="1"/>
      <c r="H2033" s="1"/>
      <c r="I2033" s="1"/>
      <c r="J2033" s="1"/>
      <c r="K2033" s="1"/>
      <c r="L2033" s="1"/>
      <c r="M2033" s="1"/>
      <c r="N2033" s="1"/>
      <c r="O2033" s="1"/>
      <c r="P2033" s="1"/>
      <c r="Q2033" s="1"/>
      <c r="R2033" s="1"/>
      <c r="S2033" s="1"/>
    </row>
    <row r="2034" ht="15.0" customHeight="1">
      <c r="A2034" s="1"/>
      <c r="B2034" s="1"/>
      <c r="C2034" s="107"/>
      <c r="D2034" s="184"/>
      <c r="E2034" s="184"/>
      <c r="F2034" s="1"/>
      <c r="G2034" s="1"/>
      <c r="H2034" s="1"/>
      <c r="I2034" s="1"/>
      <c r="J2034" s="1"/>
      <c r="K2034" s="1"/>
      <c r="L2034" s="1"/>
      <c r="M2034" s="1"/>
      <c r="N2034" s="1"/>
      <c r="O2034" s="1"/>
      <c r="P2034" s="1"/>
      <c r="Q2034" s="1"/>
      <c r="R2034" s="1"/>
      <c r="S2034" s="1"/>
    </row>
  </sheetData>
  <mergeCells count="294">
    <mergeCell ref="G1244:G1247"/>
    <mergeCell ref="G1249:G1254"/>
    <mergeCell ref="B1259:F1259"/>
    <mergeCell ref="G1263:G1268"/>
    <mergeCell ref="G1269:G1275"/>
    <mergeCell ref="B1281:F1281"/>
    <mergeCell ref="G1282:G1285"/>
    <mergeCell ref="G1286:G1287"/>
    <mergeCell ref="G1290:G1298"/>
    <mergeCell ref="G1299:G1302"/>
    <mergeCell ref="G1306:G1308"/>
    <mergeCell ref="B1313:F1313"/>
    <mergeCell ref="G1318:G1326"/>
    <mergeCell ref="B1336:F1336"/>
    <mergeCell ref="B1528:F1528"/>
    <mergeCell ref="G1530:G1531"/>
    <mergeCell ref="G1539:G1544"/>
    <mergeCell ref="B1556:F1556"/>
    <mergeCell ref="G1558:G1559"/>
    <mergeCell ref="G1568:G1571"/>
    <mergeCell ref="B1586:F1586"/>
    <mergeCell ref="G1590:G1593"/>
    <mergeCell ref="G1595:G1605"/>
    <mergeCell ref="B1619:F1619"/>
    <mergeCell ref="G1621:G1627"/>
    <mergeCell ref="G1628:G1640"/>
    <mergeCell ref="B1649:F1649"/>
    <mergeCell ref="H1649:K1649"/>
    <mergeCell ref="B1683:F1683"/>
    <mergeCell ref="G1685:G1691"/>
    <mergeCell ref="G1692:G1693"/>
    <mergeCell ref="G1694:G1697"/>
    <mergeCell ref="G1698:G1701"/>
    <mergeCell ref="B1710:F1710"/>
    <mergeCell ref="G1712:G1718"/>
    <mergeCell ref="G1720:G1722"/>
    <mergeCell ref="G1723:G1728"/>
    <mergeCell ref="B1744:F1744"/>
    <mergeCell ref="G1746:G1750"/>
    <mergeCell ref="G1751:G1760"/>
    <mergeCell ref="G1761:G1763"/>
    <mergeCell ref="B1764:F1764"/>
    <mergeCell ref="G1768:G1769"/>
    <mergeCell ref="G1771:G1778"/>
    <mergeCell ref="B1787:F1787"/>
    <mergeCell ref="G1789:G1790"/>
    <mergeCell ref="G1794:G1796"/>
    <mergeCell ref="G1797:G1803"/>
    <mergeCell ref="B1819:F1819"/>
    <mergeCell ref="G1823:G1835"/>
    <mergeCell ref="G1838:G1840"/>
    <mergeCell ref="B1847:F1847"/>
    <mergeCell ref="G1849:G1854"/>
    <mergeCell ref="G1857:G1859"/>
    <mergeCell ref="G1860:G1863"/>
    <mergeCell ref="B1870:F1870"/>
    <mergeCell ref="G1905:G1911"/>
    <mergeCell ref="G1913:G1916"/>
    <mergeCell ref="B1927:F1927"/>
    <mergeCell ref="B1955:F1955"/>
    <mergeCell ref="B1981:F1981"/>
    <mergeCell ref="G1872:G1875"/>
    <mergeCell ref="G1876:G1879"/>
    <mergeCell ref="G1880:G1882"/>
    <mergeCell ref="G1883:G1888"/>
    <mergeCell ref="G1889:G1891"/>
    <mergeCell ref="B1899:F1899"/>
    <mergeCell ref="G1901:G1904"/>
    <mergeCell ref="G1054:G1059"/>
    <mergeCell ref="G1060:G1066"/>
    <mergeCell ref="B1072:F1072"/>
    <mergeCell ref="G1074:G1079"/>
    <mergeCell ref="G1080:G1085"/>
    <mergeCell ref="G1086:G1089"/>
    <mergeCell ref="G1093:G1094"/>
    <mergeCell ref="G1096:G1098"/>
    <mergeCell ref="B1103:F1103"/>
    <mergeCell ref="G1104:G1109"/>
    <mergeCell ref="G1112:G1118"/>
    <mergeCell ref="G1119:G1122"/>
    <mergeCell ref="B1128:F1128"/>
    <mergeCell ref="G1129:G1134"/>
    <mergeCell ref="G1135:G1140"/>
    <mergeCell ref="G1142:G1144"/>
    <mergeCell ref="G1145:G1147"/>
    <mergeCell ref="G1149:G1153"/>
    <mergeCell ref="B1158:F1158"/>
    <mergeCell ref="G1160:G1161"/>
    <mergeCell ref="G1162:G1164"/>
    <mergeCell ref="G1165:G1171"/>
    <mergeCell ref="G1172:G1178"/>
    <mergeCell ref="B1180:D1186"/>
    <mergeCell ref="B1190:F1190"/>
    <mergeCell ref="G1191:G1195"/>
    <mergeCell ref="G1197:G1199"/>
    <mergeCell ref="G1201:G1203"/>
    <mergeCell ref="G1204:G1205"/>
    <mergeCell ref="B1210:F1210"/>
    <mergeCell ref="G1212:G1217"/>
    <mergeCell ref="G1219:G1223"/>
    <mergeCell ref="G1224:G1227"/>
    <mergeCell ref="B1233:F1233"/>
    <mergeCell ref="G1235:G1243"/>
    <mergeCell ref="B1373:F1373"/>
    <mergeCell ref="B1399:F1399"/>
    <mergeCell ref="B1430:F1430"/>
    <mergeCell ref="G1442:G1444"/>
    <mergeCell ref="G1448:G1450"/>
    <mergeCell ref="B1451:F1451"/>
    <mergeCell ref="B1465:F1465"/>
    <mergeCell ref="G1476:G1481"/>
    <mergeCell ref="G1482:G1486"/>
    <mergeCell ref="B1507:F1507"/>
    <mergeCell ref="G334:G338"/>
    <mergeCell ref="G341:G342"/>
    <mergeCell ref="B347:F347"/>
    <mergeCell ref="G351:G356"/>
    <mergeCell ref="G357:G364"/>
    <mergeCell ref="G365:G366"/>
    <mergeCell ref="B371:F371"/>
    <mergeCell ref="G373:G375"/>
    <mergeCell ref="G376:G379"/>
    <mergeCell ref="G380:G386"/>
    <mergeCell ref="G387:G394"/>
    <mergeCell ref="B403:F403"/>
    <mergeCell ref="G405:G408"/>
    <mergeCell ref="G409:G413"/>
    <mergeCell ref="B2:F2"/>
    <mergeCell ref="G4:G7"/>
    <mergeCell ref="G9:G15"/>
    <mergeCell ref="G16:G24"/>
    <mergeCell ref="G26:G27"/>
    <mergeCell ref="B33:F33"/>
    <mergeCell ref="G35:G38"/>
    <mergeCell ref="G40:G49"/>
    <mergeCell ref="A51:A53"/>
    <mergeCell ref="G52:G53"/>
    <mergeCell ref="B58:F58"/>
    <mergeCell ref="G60:G65"/>
    <mergeCell ref="G66:G72"/>
    <mergeCell ref="G73:G80"/>
    <mergeCell ref="G167:G170"/>
    <mergeCell ref="G206:G208"/>
    <mergeCell ref="G224:G228"/>
    <mergeCell ref="G229:G235"/>
    <mergeCell ref="G82:G87"/>
    <mergeCell ref="G88:G90"/>
    <mergeCell ref="B96:F96"/>
    <mergeCell ref="B129:F129"/>
    <mergeCell ref="B160:F160"/>
    <mergeCell ref="B175:F175"/>
    <mergeCell ref="B195:F195"/>
    <mergeCell ref="A208:A211"/>
    <mergeCell ref="G209:G211"/>
    <mergeCell ref="B218:F218"/>
    <mergeCell ref="A235:A238"/>
    <mergeCell ref="B242:F242"/>
    <mergeCell ref="B256:F256"/>
    <mergeCell ref="B281:F281"/>
    <mergeCell ref="G283:G288"/>
    <mergeCell ref="G289:G295"/>
    <mergeCell ref="G296:G303"/>
    <mergeCell ref="G305:G310"/>
    <mergeCell ref="B317:F317"/>
    <mergeCell ref="G318:G321"/>
    <mergeCell ref="G323:G331"/>
    <mergeCell ref="G415:G418"/>
    <mergeCell ref="A424:A427"/>
    <mergeCell ref="B424:F424"/>
    <mergeCell ref="G427:G431"/>
    <mergeCell ref="G435:G440"/>
    <mergeCell ref="B446:F446"/>
    <mergeCell ref="G448:G451"/>
    <mergeCell ref="G696:G699"/>
    <mergeCell ref="G700:G702"/>
    <mergeCell ref="B707:F707"/>
    <mergeCell ref="G709:G714"/>
    <mergeCell ref="G715:G724"/>
    <mergeCell ref="G727:G728"/>
    <mergeCell ref="B733:F733"/>
    <mergeCell ref="G733:G738"/>
    <mergeCell ref="G739:G745"/>
    <mergeCell ref="G746:G753"/>
    <mergeCell ref="G754:G756"/>
    <mergeCell ref="G757:G760"/>
    <mergeCell ref="B764:F765"/>
    <mergeCell ref="B770:F770"/>
    <mergeCell ref="G452:G463"/>
    <mergeCell ref="B472:F472"/>
    <mergeCell ref="B492:F492"/>
    <mergeCell ref="G496:G502"/>
    <mergeCell ref="G503:G509"/>
    <mergeCell ref="G510:G514"/>
    <mergeCell ref="B519:F519"/>
    <mergeCell ref="B584:F584"/>
    <mergeCell ref="B606:F606"/>
    <mergeCell ref="H606:K606"/>
    <mergeCell ref="B628:F628"/>
    <mergeCell ref="G520:G521"/>
    <mergeCell ref="G523:G524"/>
    <mergeCell ref="G527:G532"/>
    <mergeCell ref="G535:G541"/>
    <mergeCell ref="G542:G544"/>
    <mergeCell ref="G545:G550"/>
    <mergeCell ref="B557:F557"/>
    <mergeCell ref="G643:G647"/>
    <mergeCell ref="G648:G650"/>
    <mergeCell ref="B655:F655"/>
    <mergeCell ref="G551:G552"/>
    <mergeCell ref="G557:G581"/>
    <mergeCell ref="G586:G590"/>
    <mergeCell ref="G591:G600"/>
    <mergeCell ref="G610:G615"/>
    <mergeCell ref="G616:G620"/>
    <mergeCell ref="G630:G641"/>
    <mergeCell ref="G657:G668"/>
    <mergeCell ref="G670:G673"/>
    <mergeCell ref="G674:G676"/>
    <mergeCell ref="A681:A684"/>
    <mergeCell ref="B681:F681"/>
    <mergeCell ref="G683:G690"/>
    <mergeCell ref="G693:G695"/>
    <mergeCell ref="G761:G763"/>
    <mergeCell ref="G779:G789"/>
    <mergeCell ref="B792:F792"/>
    <mergeCell ref="I792:L792"/>
    <mergeCell ref="M792:N792"/>
    <mergeCell ref="G793:G802"/>
    <mergeCell ref="G803:G805"/>
    <mergeCell ref="G999:G1000"/>
    <mergeCell ref="B1005:F1005"/>
    <mergeCell ref="G1007:G1008"/>
    <mergeCell ref="G1011:G1013"/>
    <mergeCell ref="G1014:G1016"/>
    <mergeCell ref="G1018:G1023"/>
    <mergeCell ref="B1029:F1029"/>
    <mergeCell ref="I1039:L1039"/>
    <mergeCell ref="B1046:F1046"/>
    <mergeCell ref="G806:G809"/>
    <mergeCell ref="G810:G811"/>
    <mergeCell ref="G812:G816"/>
    <mergeCell ref="G817:G819"/>
    <mergeCell ref="B821:G822"/>
    <mergeCell ref="B826:F826"/>
    <mergeCell ref="G828:G830"/>
    <mergeCell ref="G831:G837"/>
    <mergeCell ref="G838:G841"/>
    <mergeCell ref="G842:G843"/>
    <mergeCell ref="G844:G845"/>
    <mergeCell ref="B850:F850"/>
    <mergeCell ref="G852:G854"/>
    <mergeCell ref="G855:G860"/>
    <mergeCell ref="G861:G863"/>
    <mergeCell ref="G865:G866"/>
    <mergeCell ref="G867:G868"/>
    <mergeCell ref="G869:G870"/>
    <mergeCell ref="B875:F875"/>
    <mergeCell ref="G877:G879"/>
    <mergeCell ref="G880:G888"/>
    <mergeCell ref="G891:G892"/>
    <mergeCell ref="G893:G905"/>
    <mergeCell ref="B907:D909"/>
    <mergeCell ref="B913:F913"/>
    <mergeCell ref="G914:G922"/>
    <mergeCell ref="G923:G928"/>
    <mergeCell ref="G929:G930"/>
    <mergeCell ref="G931:G932"/>
    <mergeCell ref="G936:G940"/>
    <mergeCell ref="G941:G950"/>
    <mergeCell ref="G951:G953"/>
    <mergeCell ref="G954:G957"/>
    <mergeCell ref="B965:F965"/>
    <mergeCell ref="N966:Q966"/>
    <mergeCell ref="M1041:M1046"/>
    <mergeCell ref="M1047:M1053"/>
    <mergeCell ref="M1054:M1061"/>
    <mergeCell ref="M1063:M1068"/>
    <mergeCell ref="G959:G960"/>
    <mergeCell ref="G967:G980"/>
    <mergeCell ref="G981:G986"/>
    <mergeCell ref="G987:G990"/>
    <mergeCell ref="G991:G994"/>
    <mergeCell ref="G995:G996"/>
    <mergeCell ref="G997:G998"/>
    <mergeCell ref="G1452:G1456"/>
    <mergeCell ref="G1466:G1475"/>
    <mergeCell ref="A1489:A1492"/>
    <mergeCell ref="G1327:G1330"/>
    <mergeCell ref="G1337:G1342"/>
    <mergeCell ref="G1346:G1354"/>
    <mergeCell ref="G1355:G1358"/>
    <mergeCell ref="G1379:G1388"/>
    <mergeCell ref="G1389:G1391"/>
    <mergeCell ref="G1432:G1439"/>
  </mergeCells>
  <hyperlinks>
    <hyperlink display="BACK" location="'Recipe Index'!D56" ref="B29"/>
    <hyperlink display="HOME" location="'Recipe Index'!B5" ref="C29"/>
    <hyperlink display="BACK" location="'Recipe Index'!B45" ref="B54"/>
    <hyperlink display="HOME" location="'Recipe Index'!B5" ref="C54"/>
    <hyperlink display="BACK" location="'Recipe Index'!B45" ref="B92"/>
    <hyperlink display="HOME" location="'Recipe Index'!B5" ref="C92"/>
    <hyperlink display="BACK" location="'Recipe Index'!B50" ref="B125"/>
    <hyperlink display="HOME" location="'Recipe Index'!B5" ref="C125"/>
    <hyperlink display="BACK" location="'Recipe Index'!B50" ref="B156"/>
    <hyperlink display="HOME" location="'Recipe Index'!B5" ref="C156"/>
    <hyperlink display="BACK" location="'Recipe Index'!B50" ref="B171"/>
    <hyperlink display="HOME" location="'Recipe Index'!B5" ref="C171"/>
    <hyperlink display="BACK" location="'Recipe Index'!B78" ref="B193"/>
    <hyperlink display="HOME" location="'Recipe Index'!B5" ref="C193"/>
    <hyperlink display="BACK" location="'Recipe Index'!B50" ref="B214"/>
    <hyperlink display="HOME" location="'Recipe Index'!B5" ref="C214"/>
    <hyperlink display="BACK" location="'Recipe Index'!B50" ref="B238"/>
    <hyperlink display="HOME" location="'Recipe Index'!B5" ref="C238"/>
    <hyperlink display="BACK" location="'Recipe Index'!B50" ref="B254"/>
    <hyperlink display="HOME" location="'Recipe Index'!B5" ref="C254"/>
    <hyperlink display="BACK" location="'Recipe Index'!B50" ref="B277"/>
    <hyperlink display="HOME" location="'Recipe Index'!B5" ref="C277"/>
    <hyperlink display="BACK" location="'Recipe Index'!B50" ref="B313"/>
    <hyperlink display="HOME" location="'Recipe Index'!B5" ref="C313"/>
    <hyperlink display="BACK" location="'Recipe Index'!B45" ref="B343"/>
    <hyperlink display="HOME" location="'Recipe Index'!B5" ref="C343"/>
    <hyperlink display="BACK" location="'Recipe Index'!B45" ref="B367"/>
    <hyperlink display="HOME" location="'Recipe Index'!B5" ref="C367"/>
    <hyperlink display="BACK" location="'Recipe Index'!B49" ref="B399"/>
    <hyperlink display="HOME" location="'Recipe Index'!B5" ref="C399"/>
    <hyperlink display="BACK" location="'Recipe Index'!B45" ref="B419"/>
    <hyperlink display="HOME" location="'Recipe Index'!B5" ref="C419"/>
    <hyperlink display="BACK" location="'Recipe Index'!B45" ref="B442"/>
    <hyperlink display="HOME" location="'Recipe Index'!B5" ref="C442"/>
    <hyperlink display="BACK" location="'Recipe Index'!B45" ref="B468"/>
    <hyperlink display="HOME" location="'Recipe Index'!B5" ref="C468"/>
    <hyperlink display="BACK" location="'Recipe Index'!B50" ref="B488"/>
    <hyperlink display="HOME" location="'Recipe Index'!B5" ref="C488"/>
    <hyperlink display="BACK" location="'Recipe Index'!B60" ref="B515"/>
    <hyperlink display="HOME" location="'Recipe Index'!B5" ref="C515"/>
    <hyperlink display="BACK" location="'Recipe Index'!B44" ref="B553"/>
    <hyperlink display="HOME" location="'Recipe Index'!B5" ref="C553"/>
    <hyperlink display="BACK" location="'Recipe Index'!B50" ref="B582"/>
    <hyperlink display="HOME" location="'Recipe Index'!B5" ref="C582"/>
    <hyperlink display="BACK" location="'Recipe Index'!B78" ref="B602"/>
    <hyperlink display="HOME" location="'Recipe Index'!B5" ref="C602"/>
    <hyperlink display="BACK" location="'Recipe Index'!B66" ref="B624"/>
    <hyperlink display="HOME" location="'Recipe Index'!B5" ref="C624"/>
    <hyperlink display="BACK" location="'Recipe Index'!B66" ref="H624"/>
    <hyperlink display="HOME" location="'Recipe Index'!B5" ref="I624"/>
    <hyperlink display="BACK" location="'Recipe Index'!B66" ref="B651"/>
    <hyperlink display="HOME" location="'Recipe Index'!B5" ref="C651"/>
    <hyperlink display="BACK" location="'Recipe Index'!B66" ref="B677"/>
    <hyperlink display="HOME" location="'Recipe Index'!B5" ref="C677"/>
    <hyperlink display="BACK" location="'Recipe Index'!B50" ref="B702"/>
    <hyperlink display="HOME" location="'Recipe Index'!B5" ref="C702"/>
    <hyperlink display="BACK" location="'Recipe Index'!B78" ref="B729"/>
    <hyperlink display="HOME" location="'Recipe Index'!B5" ref="C729"/>
    <hyperlink display="BACK" location="'Recipe Index'!B60" ref="B766"/>
    <hyperlink display="HOME" location="'Recipe Index'!B5" ref="C766"/>
    <hyperlink display="BACK" location="'Recipe Index'!B50" ref="B790"/>
    <hyperlink display="HOME" location="'Recipe Index'!B5" ref="C790"/>
    <hyperlink display="BACK" location="'Recipe Index'!B78" ref="B820"/>
    <hyperlink display="HOME" location="'Recipe Index'!B5" ref="C820"/>
    <hyperlink display="BACK" location="'Recipe Index'!B78" ref="B846"/>
    <hyperlink display="HOME" location="'Recipe Index'!B5" ref="C846"/>
    <hyperlink display="BACK" location="'Recipe Index'!B78" ref="B871"/>
    <hyperlink display="HOME" location="'Recipe Index'!B5" ref="C871"/>
    <hyperlink display="BACK" location="'Recipe Index'!B77" ref="B906"/>
    <hyperlink display="HOME" location="'Recipe Index'!B5" ref="C906"/>
    <hyperlink display="BACK" location="'Recipe Index'!B77" ref="B961"/>
    <hyperlink display="HOME" location="'Recipe Index'!B5" ref="C961"/>
    <hyperlink display="BACK" location="'Recipe Index'!B60" ref="N990"/>
    <hyperlink display="HOME" location="'Recipe Index'!B5" ref="O990"/>
    <hyperlink display="BACK" location="'Recipe Index'!B60" ref="B1001"/>
    <hyperlink display="HOME" location="'Recipe Index'!B5" ref="C1001"/>
    <hyperlink display="BACK" location="'Recipe Index'!B60" ref="B1025"/>
    <hyperlink display="HOME" location="'Recipe Index'!B5" ref="C1025"/>
    <hyperlink display="BACK" location="'Recipe Index'!B50" ref="B1044"/>
    <hyperlink display="HOME" location="'Recipe Index'!B5" ref="C1044"/>
    <hyperlink display="BACK" location="'Recipe Index'!B60" ref="B1068"/>
    <hyperlink display="HOME" location="'Recipe Index'!B5" ref="C1068"/>
    <hyperlink display="BACK" location="'Recipe Index'!B77" ref="B1099"/>
    <hyperlink display="HOME" location="'Recipe Index'!B5" ref="C1099"/>
    <hyperlink display="BACK" location="'Recipe Index'!B77" ref="B1124"/>
    <hyperlink display="HOME" location="'Recipe Index'!B5" ref="C1124"/>
    <hyperlink display="BACK" location="'Recipe Index'!B50" ref="B1154"/>
    <hyperlink display="HOME" location="'Recipe Index'!B5" ref="C1154"/>
    <hyperlink display="BACK" location="'Recipe Index'!B96" ref="B1179"/>
    <hyperlink display="HOME" location="'Recipe Index'!B5" ref="C1179"/>
    <hyperlink display="BACK" location="'Recipe Index'!B96" ref="B1206"/>
    <hyperlink display="HOME" location="'Recipe Index'!B5" ref="C1206"/>
    <hyperlink display="BACK" location="'Recipe Index'!B60" ref="B1229"/>
    <hyperlink display="HOME" location="'Recipe Index'!B5" ref="C1229"/>
    <hyperlink display="BACK" location="'Recipe Index'!B96" ref="B1255"/>
    <hyperlink display="HOME" location="'Recipe Index'!B5" ref="C1255"/>
    <hyperlink display="BACK" location="'Recipe Index'!B70" ref="B1277"/>
    <hyperlink display="HOME" location="'Recipe Index'!B5" ref="C1277"/>
    <hyperlink display="BACK" location="'Recipe Index'!B96" ref="B1309"/>
    <hyperlink display="HOME" location="'Recipe Index'!B5" ref="C1309"/>
    <hyperlink display="BACK" location="'Recipe Index'!B78" ref="B1332"/>
    <hyperlink display="HOME" location="'Recipe Index'!B5" ref="C1332"/>
    <hyperlink display="BACK" location="'Recipe Index'!B78" ref="B1362"/>
    <hyperlink display="HOME" location="'Recipe Index'!B5" ref="C1362"/>
    <hyperlink display="BACK" location="'Recipe Index'!B50" ref="B1395"/>
    <hyperlink display="HOME" location="'Recipe Index'!B5" ref="C1395"/>
    <hyperlink display="BACK" location="'Recipe Index'!B50" ref="B1425"/>
    <hyperlink display="HOME" location="'Recipe Index'!B5" ref="C1425"/>
    <hyperlink display="BACK" location="'Recipe Index'!B50" ref="B1457"/>
    <hyperlink display="HOME" location="'Recipe Index'!B5" ref="C1457"/>
    <hyperlink display="BACK" location="'Recipe Index'!B77" ref="I1465"/>
    <hyperlink display="BACK" location="'Recipe Index'!B50" ref="B1523"/>
    <hyperlink display="HOME" location="'Recipe Index'!B5" ref="C1523"/>
    <hyperlink display="BACK" location="'Recipe Index'!B50" ref="B1553"/>
    <hyperlink display="BACK" location="'Recipe Index'!B50" ref="B1581"/>
    <hyperlink display="BACK" location="'Recipe Index'!B50" ref="B1615"/>
    <hyperlink display="BACK" location="'Recipe Index'!B50" ref="B1644"/>
    <hyperlink display="BACK" location="'Recipe Index'!B50" ref="B1677"/>
    <hyperlink display="BACK" location="'Recipe Index'!B50" ref="B1705"/>
    <hyperlink display="BACK" location="'Recipe Index'!B50" ref="B1739"/>
    <hyperlink display="BACK" location="'Recipe Index'!B50" ref="B1783"/>
    <hyperlink display="BACK" location="'Recipe Index'!B50" ref="B1815"/>
    <hyperlink display="BACK" location="'Recipe Index'!B50" ref="B1843"/>
    <hyperlink display="BACK" location="'Recipe Index'!B50" ref="B1865"/>
    <hyperlink display="BACK" location="'Recipe Index'!B50" ref="B1893"/>
    <hyperlink display="BACK" location="'Recipe Index'!B50" ref="B1919"/>
    <hyperlink display="BACK" location="'Recipe Index'!B50" ref="B1950"/>
    <hyperlink display="HOME" location="'Recipe Index'!A2" ref="C1950"/>
    <hyperlink display="BACK" location="'Recipe Index'!B50" ref="B1974"/>
    <hyperlink display="HOME" location="'Recipe Index'!A2" ref="C1974"/>
  </hyperlinks>
  <printOptions/>
  <pageMargins bottom="0.0" footer="0.0" header="0.0" left="0.5" right="0.0" top="0.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9.25"/>
    <col customWidth="1" min="2" max="2" width="29.0"/>
    <col customWidth="1" min="3" max="3" width="14.0"/>
    <col customWidth="1" min="4" max="6" width="9.25"/>
    <col customWidth="1" min="7" max="7" width="30.25"/>
    <col customWidth="1" min="8" max="17" width="9.25"/>
    <col customWidth="1" min="18" max="26" width="14.38"/>
  </cols>
  <sheetData>
    <row r="1" ht="14.25" customHeight="1">
      <c r="A1" s="1"/>
      <c r="B1" s="1"/>
      <c r="C1" s="1"/>
      <c r="D1" s="1"/>
      <c r="E1" s="1"/>
      <c r="F1" s="1"/>
      <c r="G1" s="1"/>
      <c r="H1" s="1"/>
      <c r="I1" s="1"/>
      <c r="J1" s="1"/>
      <c r="K1" s="1"/>
      <c r="L1" s="1"/>
      <c r="M1" s="1"/>
      <c r="N1" s="1"/>
      <c r="O1" s="1"/>
      <c r="P1" s="1"/>
      <c r="Q1" s="1"/>
    </row>
    <row r="2" ht="14.25" customHeight="1">
      <c r="A2" s="1"/>
      <c r="B2" s="1" t="s">
        <v>74</v>
      </c>
      <c r="C2" s="1" t="s">
        <v>3002</v>
      </c>
      <c r="D2" s="1"/>
      <c r="E2" s="1"/>
      <c r="F2" s="1"/>
      <c r="G2" s="1"/>
      <c r="H2" s="1"/>
      <c r="I2" s="1"/>
      <c r="J2" s="1"/>
      <c r="K2" s="1"/>
      <c r="L2" s="1"/>
      <c r="M2" s="1"/>
      <c r="N2" s="1"/>
      <c r="O2" s="1"/>
      <c r="P2" s="1"/>
      <c r="Q2" s="1"/>
    </row>
    <row r="3" ht="14.25" customHeight="1">
      <c r="A3" s="1"/>
      <c r="B3" s="1"/>
      <c r="C3" s="1"/>
      <c r="D3" s="1"/>
      <c r="E3" s="1"/>
      <c r="F3" s="1"/>
      <c r="G3" s="1"/>
      <c r="H3" s="1"/>
      <c r="I3" s="1"/>
      <c r="J3" s="1"/>
      <c r="K3" s="1"/>
      <c r="L3" s="1"/>
      <c r="M3" s="1"/>
      <c r="N3" s="1"/>
      <c r="O3" s="1"/>
      <c r="P3" s="1"/>
      <c r="Q3" s="1"/>
    </row>
    <row r="4" ht="14.25" customHeight="1">
      <c r="A4" s="1"/>
      <c r="B4" s="1"/>
      <c r="C4" s="1"/>
      <c r="D4" s="1"/>
      <c r="E4" s="1"/>
      <c r="F4" s="1"/>
      <c r="G4" s="1"/>
      <c r="H4" s="1"/>
      <c r="I4" s="1"/>
      <c r="J4" s="1"/>
      <c r="K4" s="1"/>
      <c r="L4" s="1"/>
      <c r="M4" s="1"/>
      <c r="N4" s="1"/>
      <c r="O4" s="1"/>
      <c r="P4" s="1"/>
      <c r="Q4" s="1"/>
    </row>
    <row r="5" ht="14.25" customHeight="1">
      <c r="A5" s="1"/>
      <c r="B5" s="1"/>
      <c r="C5" s="1"/>
      <c r="D5" s="1"/>
      <c r="E5" s="1"/>
      <c r="F5" s="1"/>
      <c r="G5" s="1"/>
      <c r="H5" s="1"/>
      <c r="I5" s="1"/>
      <c r="J5" s="1"/>
      <c r="K5" s="1"/>
      <c r="L5" s="1"/>
      <c r="M5" s="1"/>
      <c r="N5" s="1"/>
      <c r="O5" s="1"/>
      <c r="P5" s="1"/>
      <c r="Q5" s="1"/>
    </row>
    <row r="6" ht="14.25" customHeight="1">
      <c r="A6" s="1"/>
      <c r="B6" s="1"/>
      <c r="C6" s="1"/>
      <c r="D6" s="1"/>
      <c r="E6" s="1"/>
      <c r="F6" s="1"/>
      <c r="G6" s="1"/>
      <c r="H6" s="1"/>
      <c r="I6" s="1"/>
      <c r="J6" s="1"/>
      <c r="K6" s="1"/>
      <c r="L6" s="1"/>
      <c r="M6" s="1"/>
      <c r="N6" s="1"/>
      <c r="O6" s="1"/>
      <c r="P6" s="1"/>
      <c r="Q6" s="1"/>
    </row>
    <row r="7" ht="14.25" customHeight="1">
      <c r="A7" s="1"/>
      <c r="B7" s="1"/>
      <c r="C7" s="1"/>
      <c r="D7" s="1"/>
      <c r="E7" s="1"/>
      <c r="F7" s="1"/>
      <c r="G7" s="1"/>
      <c r="H7" s="1"/>
      <c r="I7" s="1"/>
      <c r="J7" s="1"/>
      <c r="K7" s="1"/>
      <c r="L7" s="1"/>
      <c r="M7" s="1"/>
      <c r="N7" s="1"/>
      <c r="O7" s="1"/>
      <c r="P7" s="1"/>
      <c r="Q7" s="1"/>
    </row>
    <row r="8" ht="14.25" customHeight="1">
      <c r="A8" s="1"/>
      <c r="B8" s="1" t="s">
        <v>3003</v>
      </c>
      <c r="C8" s="1" t="s">
        <v>3004</v>
      </c>
      <c r="D8" s="1"/>
      <c r="E8" s="1"/>
      <c r="F8" s="1"/>
      <c r="G8" s="1"/>
      <c r="H8" s="1"/>
      <c r="I8" s="1"/>
      <c r="J8" s="1"/>
      <c r="K8" s="1"/>
      <c r="L8" s="1"/>
      <c r="M8" s="1"/>
      <c r="N8" s="1"/>
      <c r="O8" s="1"/>
      <c r="P8" s="1"/>
      <c r="Q8" s="1"/>
    </row>
    <row r="9" ht="15.0" customHeight="1">
      <c r="A9" s="1"/>
      <c r="B9" s="1" t="s">
        <v>1546</v>
      </c>
      <c r="C9" s="1"/>
      <c r="D9" s="1"/>
      <c r="E9" s="1"/>
      <c r="F9" s="1"/>
      <c r="G9" s="1"/>
      <c r="H9" s="1"/>
      <c r="I9" s="1"/>
      <c r="J9" s="1"/>
      <c r="K9" s="1"/>
      <c r="L9" s="1"/>
      <c r="M9" s="2669" t="s">
        <v>3005</v>
      </c>
      <c r="P9" s="1"/>
      <c r="Q9" s="1"/>
    </row>
    <row r="10" ht="14.25" customHeight="1">
      <c r="A10" s="1"/>
      <c r="B10" s="1" t="s">
        <v>3006</v>
      </c>
      <c r="C10" s="1" t="s">
        <v>3007</v>
      </c>
      <c r="D10" s="1"/>
      <c r="E10" s="1"/>
      <c r="F10" s="1"/>
      <c r="G10" s="1"/>
      <c r="H10" s="1"/>
      <c r="I10" s="1"/>
      <c r="J10" s="1"/>
      <c r="K10" s="1"/>
      <c r="L10" s="1"/>
      <c r="M10" s="1921"/>
      <c r="P10" s="1"/>
      <c r="Q10" s="1"/>
    </row>
    <row r="11" ht="14.25" customHeight="1">
      <c r="A11" s="1"/>
      <c r="B11" s="1" t="s">
        <v>3008</v>
      </c>
      <c r="C11" s="1" t="s">
        <v>3009</v>
      </c>
      <c r="D11" s="1"/>
      <c r="E11" s="1"/>
      <c r="F11" s="1"/>
      <c r="G11" s="1"/>
      <c r="H11" s="1"/>
      <c r="I11" s="1"/>
      <c r="J11" s="1"/>
      <c r="K11" s="1"/>
      <c r="L11" s="1"/>
      <c r="M11" s="1"/>
      <c r="N11" s="1"/>
      <c r="O11" s="1"/>
      <c r="P11" s="1"/>
      <c r="Q11" s="1"/>
    </row>
    <row r="12" ht="14.25" customHeight="1">
      <c r="A12" s="1"/>
      <c r="B12" s="1" t="s">
        <v>3010</v>
      </c>
      <c r="C12" s="1" t="s">
        <v>3011</v>
      </c>
      <c r="D12" s="1"/>
      <c r="E12" s="1"/>
      <c r="F12" s="1"/>
      <c r="G12" s="1"/>
      <c r="H12" s="1"/>
      <c r="I12" s="1"/>
      <c r="J12" s="1"/>
      <c r="K12" s="1"/>
      <c r="L12" s="1"/>
      <c r="M12" s="1"/>
      <c r="N12" s="1"/>
      <c r="O12" s="1"/>
      <c r="P12" s="1"/>
      <c r="Q12" s="1"/>
    </row>
    <row r="13" ht="14.25" customHeight="1">
      <c r="A13" s="1"/>
      <c r="B13" s="1" t="s">
        <v>3012</v>
      </c>
      <c r="C13" s="1" t="s">
        <v>3013</v>
      </c>
      <c r="D13" s="1"/>
      <c r="E13" s="1"/>
      <c r="F13" s="1"/>
      <c r="G13" s="1"/>
      <c r="H13" s="1"/>
      <c r="I13" s="1"/>
      <c r="J13" s="1"/>
      <c r="K13" s="1"/>
      <c r="L13" s="1"/>
      <c r="M13" s="1"/>
      <c r="N13" s="1"/>
      <c r="O13" s="1"/>
      <c r="P13" s="1"/>
      <c r="Q13" s="1"/>
    </row>
    <row r="14" ht="14.25" customHeight="1">
      <c r="A14" s="1"/>
      <c r="B14" s="1" t="s">
        <v>3014</v>
      </c>
      <c r="C14" s="1" t="s">
        <v>3015</v>
      </c>
      <c r="D14" s="1"/>
      <c r="E14" s="1"/>
      <c r="F14" s="1"/>
      <c r="G14" s="1"/>
      <c r="H14" s="1"/>
      <c r="I14" s="1"/>
      <c r="J14" s="1"/>
      <c r="K14" s="1"/>
      <c r="L14" s="1"/>
      <c r="M14" s="1"/>
      <c r="N14" s="1"/>
      <c r="O14" s="1"/>
      <c r="P14" s="1"/>
      <c r="Q14" s="1"/>
    </row>
    <row r="15" ht="14.25" customHeight="1">
      <c r="A15" s="1"/>
      <c r="B15" s="1" t="s">
        <v>3016</v>
      </c>
      <c r="C15" s="1" t="s">
        <v>3017</v>
      </c>
      <c r="D15" s="1"/>
      <c r="E15" s="1"/>
      <c r="F15" s="1"/>
      <c r="G15" s="1" t="s">
        <v>3018</v>
      </c>
      <c r="H15" s="1"/>
      <c r="I15" s="1"/>
      <c r="J15" s="1"/>
      <c r="K15" s="1"/>
      <c r="L15" s="1"/>
      <c r="M15" s="1"/>
      <c r="N15" s="1"/>
      <c r="O15" s="1"/>
      <c r="P15" s="1"/>
      <c r="Q15" s="1"/>
    </row>
    <row r="16" ht="14.25" customHeight="1">
      <c r="A16" s="1"/>
      <c r="B16" s="1" t="s">
        <v>3019</v>
      </c>
      <c r="C16" s="1" t="s">
        <v>3020</v>
      </c>
      <c r="D16" s="1"/>
      <c r="E16" s="1"/>
      <c r="F16" s="1"/>
      <c r="G16" s="1"/>
      <c r="H16" s="1"/>
      <c r="I16" s="1"/>
      <c r="J16" s="1"/>
      <c r="K16" s="1"/>
      <c r="L16" s="1"/>
      <c r="M16" s="1"/>
      <c r="N16" s="1"/>
      <c r="O16" s="1"/>
      <c r="P16" s="1"/>
      <c r="Q16" s="1"/>
    </row>
    <row r="17" ht="14.25" customHeight="1">
      <c r="A17" s="1"/>
      <c r="B17" s="1" t="s">
        <v>3021</v>
      </c>
      <c r="C17" s="1" t="s">
        <v>3022</v>
      </c>
      <c r="D17" s="1"/>
      <c r="E17" s="1"/>
      <c r="F17" s="1"/>
      <c r="G17" s="1"/>
      <c r="H17" s="1"/>
      <c r="I17" s="1"/>
      <c r="J17" s="1"/>
      <c r="K17" s="1"/>
      <c r="L17" s="1"/>
      <c r="M17" s="1"/>
      <c r="N17" s="1"/>
      <c r="O17" s="1"/>
      <c r="P17" s="1">
        <v>10.0</v>
      </c>
      <c r="Q17" s="1">
        <v>16.0</v>
      </c>
    </row>
    <row r="18" ht="14.25" customHeight="1">
      <c r="A18" s="1"/>
      <c r="B18" s="1" t="s">
        <v>3023</v>
      </c>
      <c r="C18" s="1" t="s">
        <v>3024</v>
      </c>
      <c r="D18" s="1"/>
      <c r="E18" s="1"/>
      <c r="F18" s="1"/>
      <c r="G18" s="1"/>
      <c r="H18" s="1"/>
      <c r="I18" s="1"/>
      <c r="J18" s="1"/>
      <c r="K18" s="1"/>
      <c r="L18" s="1"/>
      <c r="M18" s="1"/>
      <c r="N18" s="1"/>
      <c r="O18" s="1"/>
      <c r="P18" s="1">
        <v>14.0</v>
      </c>
      <c r="Q18" s="1">
        <f>1.6*14</f>
        <v>22.4</v>
      </c>
    </row>
    <row r="19" ht="14.25" customHeight="1">
      <c r="A19" s="1"/>
      <c r="B19" s="1" t="s">
        <v>3025</v>
      </c>
      <c r="C19" s="1" t="s">
        <v>3026</v>
      </c>
      <c r="D19" s="1"/>
      <c r="E19" s="1"/>
      <c r="F19" s="1"/>
      <c r="G19" s="1" t="s">
        <v>2722</v>
      </c>
      <c r="H19" s="1" t="s">
        <v>3027</v>
      </c>
      <c r="I19" s="1" t="s">
        <v>2463</v>
      </c>
      <c r="J19" s="1"/>
      <c r="K19" s="1"/>
      <c r="L19" s="1"/>
      <c r="M19" s="1"/>
      <c r="N19" s="1"/>
      <c r="O19" s="1"/>
      <c r="P19" s="1"/>
      <c r="Q19" s="1"/>
    </row>
    <row r="20" ht="14.25" customHeight="1">
      <c r="A20" s="1"/>
      <c r="B20" s="1" t="s">
        <v>3028</v>
      </c>
      <c r="C20" s="1" t="s">
        <v>3029</v>
      </c>
      <c r="D20" s="1"/>
      <c r="E20" s="1"/>
      <c r="F20" s="1"/>
      <c r="G20" s="1" t="s">
        <v>1017</v>
      </c>
      <c r="H20" s="1" t="s">
        <v>3027</v>
      </c>
      <c r="I20" s="1" t="s">
        <v>3031</v>
      </c>
      <c r="J20" s="1"/>
      <c r="K20" s="1"/>
      <c r="L20" s="1"/>
      <c r="M20" s="1"/>
      <c r="N20" s="1"/>
      <c r="O20" s="1"/>
      <c r="P20" s="1"/>
      <c r="Q20" s="1"/>
    </row>
    <row r="21" ht="14.25" customHeight="1">
      <c r="A21" s="1"/>
      <c r="B21" s="1" t="s">
        <v>3032</v>
      </c>
      <c r="C21" s="1" t="s">
        <v>3011</v>
      </c>
      <c r="D21" s="1"/>
      <c r="E21" s="1"/>
      <c r="F21" s="1"/>
      <c r="G21" s="1" t="s">
        <v>1441</v>
      </c>
      <c r="H21" s="1" t="s">
        <v>3027</v>
      </c>
      <c r="I21" s="1" t="s">
        <v>3031</v>
      </c>
      <c r="J21" s="1"/>
      <c r="K21" s="1"/>
      <c r="L21" s="1"/>
      <c r="M21" s="1"/>
      <c r="N21" s="1"/>
      <c r="O21" s="1"/>
      <c r="P21" s="1"/>
      <c r="Q21" s="1"/>
    </row>
    <row r="22" ht="14.25" customHeight="1">
      <c r="A22" s="1"/>
      <c r="B22" s="1" t="s">
        <v>3033</v>
      </c>
      <c r="C22" s="1" t="s">
        <v>3034</v>
      </c>
      <c r="D22" s="1"/>
      <c r="E22" s="1"/>
      <c r="F22" s="1"/>
      <c r="G22" s="1" t="s">
        <v>3035</v>
      </c>
      <c r="H22" s="1" t="s">
        <v>3027</v>
      </c>
      <c r="I22" s="1" t="s">
        <v>3036</v>
      </c>
      <c r="J22" s="1"/>
      <c r="K22" s="1"/>
      <c r="L22" s="1"/>
      <c r="M22" s="1"/>
      <c r="N22" s="1"/>
      <c r="O22" s="1"/>
      <c r="P22" s="1"/>
      <c r="Q22" s="1"/>
    </row>
    <row r="23" ht="14.25" customHeight="1">
      <c r="A23" s="1"/>
      <c r="B23" s="1" t="s">
        <v>3037</v>
      </c>
      <c r="C23" s="1"/>
      <c r="D23" s="1"/>
      <c r="E23" s="1"/>
      <c r="F23" s="1"/>
      <c r="G23" s="1" t="s">
        <v>2465</v>
      </c>
      <c r="H23" s="1" t="s">
        <v>3027</v>
      </c>
      <c r="I23" s="1" t="s">
        <v>2466</v>
      </c>
      <c r="J23" s="1"/>
      <c r="K23" s="1"/>
      <c r="L23" s="1"/>
      <c r="M23" s="1"/>
      <c r="N23" s="1"/>
      <c r="O23" s="1"/>
      <c r="P23" s="1"/>
      <c r="Q23" s="1"/>
    </row>
    <row r="24" ht="14.25" customHeight="1">
      <c r="A24" s="1"/>
      <c r="B24" s="1" t="s">
        <v>3038</v>
      </c>
      <c r="C24" s="1" t="s">
        <v>3039</v>
      </c>
      <c r="D24" s="1"/>
      <c r="E24" s="1"/>
      <c r="F24" s="1"/>
      <c r="G24" s="2340" t="s">
        <v>3040</v>
      </c>
      <c r="H24" s="1201"/>
      <c r="I24" s="373"/>
      <c r="J24" s="1"/>
      <c r="K24" s="1"/>
      <c r="L24" s="1"/>
      <c r="M24" s="1"/>
      <c r="N24" s="1"/>
      <c r="O24" s="1"/>
      <c r="P24" s="1"/>
      <c r="Q24" s="1"/>
    </row>
    <row r="25" ht="14.25" customHeight="1">
      <c r="A25" s="1"/>
      <c r="B25" s="1" t="s">
        <v>3042</v>
      </c>
      <c r="C25" s="1" t="s">
        <v>3029</v>
      </c>
      <c r="D25" s="1"/>
      <c r="E25" s="1" t="s">
        <v>76</v>
      </c>
      <c r="F25" s="1"/>
      <c r="G25" s="1"/>
      <c r="H25" s="1"/>
      <c r="I25" s="1"/>
      <c r="J25" s="1"/>
      <c r="K25" s="1"/>
      <c r="L25" s="1"/>
      <c r="M25" s="1"/>
      <c r="N25" s="1"/>
      <c r="O25" s="1"/>
      <c r="P25" s="1"/>
      <c r="Q25" s="1"/>
    </row>
    <row r="26" ht="14.25" customHeight="1">
      <c r="A26" s="1"/>
      <c r="B26" s="1" t="s">
        <v>3044</v>
      </c>
      <c r="C26" s="1"/>
      <c r="D26" s="1"/>
      <c r="E26" s="1"/>
      <c r="F26" s="1"/>
      <c r="G26" s="1" t="s">
        <v>3045</v>
      </c>
      <c r="H26" s="1308" t="s">
        <v>3046</v>
      </c>
      <c r="I26" s="18"/>
      <c r="J26" s="18"/>
      <c r="K26" s="18"/>
      <c r="L26" s="19"/>
      <c r="M26" s="1"/>
      <c r="N26" s="1"/>
      <c r="O26" s="1"/>
      <c r="P26" s="1"/>
      <c r="Q26" s="1"/>
    </row>
    <row r="27" ht="14.25" customHeight="1">
      <c r="A27" s="1"/>
      <c r="B27" s="1" t="s">
        <v>3048</v>
      </c>
      <c r="C27" s="1" t="s">
        <v>3049</v>
      </c>
      <c r="D27" s="1"/>
      <c r="E27" s="1"/>
      <c r="F27" s="1"/>
      <c r="G27" s="1"/>
      <c r="H27" s="107"/>
      <c r="I27" s="107"/>
      <c r="J27" s="107"/>
      <c r="K27" s="107"/>
      <c r="L27" s="107"/>
      <c r="M27" s="1"/>
      <c r="N27" s="1"/>
      <c r="O27" s="1"/>
      <c r="P27" s="1"/>
      <c r="Q27" s="1"/>
    </row>
    <row r="28" ht="14.25" customHeight="1">
      <c r="A28" s="1"/>
      <c r="B28" s="1" t="s">
        <v>3050</v>
      </c>
      <c r="C28" s="1" t="s">
        <v>3051</v>
      </c>
      <c r="D28" s="1"/>
      <c r="E28" s="1"/>
      <c r="F28" s="1"/>
      <c r="G28" s="1"/>
      <c r="H28" s="107"/>
      <c r="I28" s="107"/>
      <c r="J28" s="107"/>
      <c r="K28" s="107"/>
      <c r="L28" s="107"/>
      <c r="M28" s="1"/>
      <c r="N28" s="1"/>
      <c r="O28" s="1"/>
      <c r="P28" s="1"/>
      <c r="Q28" s="1"/>
    </row>
    <row r="29" ht="14.25" customHeight="1">
      <c r="A29" s="1"/>
      <c r="B29" s="1" t="s">
        <v>3052</v>
      </c>
      <c r="C29" s="1" t="s">
        <v>3029</v>
      </c>
      <c r="D29" s="1"/>
      <c r="E29" s="1"/>
      <c r="F29" s="1"/>
      <c r="G29" s="1"/>
      <c r="H29" s="107"/>
      <c r="I29" s="107"/>
      <c r="J29" s="107"/>
      <c r="K29" s="107"/>
      <c r="L29" s="107"/>
      <c r="M29" s="1"/>
      <c r="N29" s="1"/>
      <c r="O29" s="1"/>
      <c r="P29" s="1"/>
      <c r="Q29" s="1"/>
    </row>
    <row r="30" ht="14.25" customHeight="1">
      <c r="A30" s="1"/>
      <c r="B30" s="1" t="s">
        <v>3053</v>
      </c>
      <c r="C30" s="1" t="s">
        <v>3054</v>
      </c>
      <c r="D30" s="1"/>
      <c r="E30" s="1"/>
      <c r="F30" s="1"/>
      <c r="G30" s="1"/>
      <c r="H30" s="107"/>
      <c r="I30" s="107"/>
      <c r="J30" s="107"/>
      <c r="K30" s="107"/>
      <c r="L30" s="107"/>
      <c r="M30" s="1"/>
      <c r="N30" s="1"/>
      <c r="O30" s="1"/>
      <c r="P30" s="1"/>
      <c r="Q30" s="1"/>
    </row>
    <row r="31" ht="14.25" customHeight="1">
      <c r="A31" s="1"/>
      <c r="B31" s="1" t="s">
        <v>3055</v>
      </c>
      <c r="C31" s="1" t="s">
        <v>3056</v>
      </c>
      <c r="D31" s="1"/>
      <c r="E31" s="1"/>
      <c r="F31" s="1"/>
      <c r="G31" s="1"/>
      <c r="H31" s="107"/>
      <c r="I31" s="107"/>
      <c r="J31" s="107"/>
      <c r="K31" s="107"/>
      <c r="L31" s="107"/>
      <c r="M31" s="1"/>
      <c r="N31" s="1"/>
      <c r="O31" s="1"/>
      <c r="P31" s="1"/>
      <c r="Q31" s="1"/>
    </row>
    <row r="32" ht="14.25" customHeight="1">
      <c r="A32" s="1"/>
      <c r="B32" s="1" t="s">
        <v>3057</v>
      </c>
      <c r="C32" s="1" t="s">
        <v>3058</v>
      </c>
      <c r="D32" s="1"/>
      <c r="E32" s="1"/>
      <c r="F32" s="1"/>
      <c r="G32" s="1"/>
      <c r="H32" s="107"/>
      <c r="I32" s="107"/>
      <c r="J32" s="107"/>
      <c r="K32" s="107"/>
      <c r="L32" s="107"/>
      <c r="M32" s="1"/>
      <c r="N32" s="1"/>
      <c r="O32" s="1"/>
      <c r="P32" s="1"/>
      <c r="Q32" s="1"/>
    </row>
    <row r="33" ht="14.25" customHeight="1">
      <c r="A33" s="1"/>
      <c r="B33" s="1" t="s">
        <v>3059</v>
      </c>
      <c r="C33" s="1" t="s">
        <v>3060</v>
      </c>
      <c r="D33" s="1"/>
      <c r="E33" s="1"/>
      <c r="F33" s="1"/>
      <c r="G33" s="1"/>
      <c r="H33" s="1"/>
      <c r="I33" s="1"/>
      <c r="J33" s="1"/>
      <c r="K33" s="1"/>
      <c r="L33" s="1"/>
      <c r="M33" s="1"/>
      <c r="N33" s="1"/>
      <c r="O33" s="1"/>
      <c r="P33" s="1"/>
      <c r="Q33" s="1"/>
    </row>
    <row r="34" ht="14.25" customHeight="1">
      <c r="A34" s="1"/>
      <c r="B34" s="1" t="s">
        <v>3061</v>
      </c>
      <c r="C34" s="1" t="s">
        <v>3034</v>
      </c>
      <c r="D34" s="1"/>
      <c r="E34" s="1"/>
      <c r="F34" s="1"/>
      <c r="G34" s="1"/>
      <c r="H34" s="1"/>
      <c r="I34" s="1"/>
      <c r="J34" s="1"/>
      <c r="K34" s="1"/>
      <c r="L34" s="1"/>
      <c r="M34" s="1"/>
      <c r="N34" s="1"/>
      <c r="O34" s="1"/>
      <c r="P34" s="1"/>
      <c r="Q34" s="1"/>
    </row>
    <row r="35" ht="14.25" customHeight="1">
      <c r="A35" s="1"/>
      <c r="B35" s="1"/>
      <c r="C35" s="1"/>
      <c r="D35" s="1"/>
      <c r="E35" s="1"/>
      <c r="F35" s="2670" t="s">
        <v>119</v>
      </c>
      <c r="G35" s="1446" t="s">
        <v>47</v>
      </c>
      <c r="H35" s="1"/>
      <c r="I35" s="1"/>
      <c r="J35" s="1"/>
      <c r="K35" s="1"/>
      <c r="L35" s="1"/>
      <c r="M35" s="1"/>
      <c r="N35" s="1"/>
      <c r="O35" s="1"/>
      <c r="P35" s="1"/>
      <c r="Q35" s="1"/>
    </row>
    <row r="36" ht="14.25" customHeight="1">
      <c r="A36" s="1"/>
      <c r="B36" s="766" t="s">
        <v>290</v>
      </c>
      <c r="C36" s="18"/>
      <c r="D36" s="18"/>
      <c r="E36" s="19"/>
      <c r="F36" s="2691"/>
      <c r="G36" s="2691"/>
      <c r="H36" s="1"/>
      <c r="I36" s="1"/>
      <c r="J36" s="1"/>
      <c r="K36" s="1"/>
      <c r="L36" s="1"/>
      <c r="M36" s="1"/>
      <c r="N36" s="1"/>
      <c r="O36" s="1"/>
      <c r="P36" s="1"/>
      <c r="Q36" s="1"/>
    </row>
    <row r="37" ht="14.25" customHeight="1">
      <c r="A37" s="1"/>
      <c r="B37" s="2692" t="s">
        <v>1</v>
      </c>
      <c r="C37" s="2693">
        <v>100.0</v>
      </c>
      <c r="D37" s="2693">
        <v>20.0</v>
      </c>
      <c r="E37" s="547" t="s">
        <v>5</v>
      </c>
      <c r="F37" s="1"/>
      <c r="G37" s="1"/>
      <c r="H37" s="1"/>
      <c r="I37" s="1"/>
      <c r="J37" s="1"/>
      <c r="K37" s="1"/>
      <c r="L37" s="1"/>
      <c r="M37" s="1"/>
      <c r="N37" s="1"/>
      <c r="O37" s="1"/>
      <c r="P37" s="1"/>
      <c r="Q37" s="1"/>
    </row>
    <row r="38" ht="14.25" customHeight="1">
      <c r="A38" s="1"/>
      <c r="B38" s="119" t="s">
        <v>2439</v>
      </c>
      <c r="C38" s="129">
        <v>120.0</v>
      </c>
      <c r="D38" s="129">
        <f t="shared" ref="D38:D40" si="1">D37/C37*C38</f>
        <v>24</v>
      </c>
      <c r="E38" s="520" t="s">
        <v>14</v>
      </c>
      <c r="F38" s="1"/>
      <c r="G38" s="1"/>
      <c r="H38" s="1"/>
      <c r="I38" s="1"/>
      <c r="J38" s="1"/>
      <c r="K38" s="1"/>
      <c r="L38" s="1"/>
      <c r="M38" s="1"/>
      <c r="N38" s="1"/>
      <c r="O38" s="1"/>
      <c r="P38" s="1"/>
      <c r="Q38" s="1"/>
    </row>
    <row r="39" ht="14.25" customHeight="1">
      <c r="A39" s="1"/>
      <c r="B39" s="119" t="s">
        <v>1243</v>
      </c>
      <c r="C39" s="129">
        <v>500.0</v>
      </c>
      <c r="D39" s="129">
        <f t="shared" si="1"/>
        <v>100</v>
      </c>
      <c r="E39" s="520" t="s">
        <v>18</v>
      </c>
      <c r="F39" s="1"/>
      <c r="G39" s="1"/>
      <c r="H39" s="1"/>
      <c r="I39" s="1"/>
      <c r="J39" s="1"/>
      <c r="K39" s="1"/>
      <c r="L39" s="1"/>
      <c r="M39" s="1"/>
      <c r="N39" s="1"/>
      <c r="O39" s="1"/>
      <c r="P39" s="1"/>
      <c r="Q39" s="1"/>
    </row>
    <row r="40" ht="14.25" customHeight="1">
      <c r="A40" s="1"/>
      <c r="B40" s="93" t="s">
        <v>79</v>
      </c>
      <c r="C40" s="78">
        <v>20.0</v>
      </c>
      <c r="D40" s="78">
        <f t="shared" si="1"/>
        <v>4</v>
      </c>
      <c r="E40" s="249" t="s">
        <v>14</v>
      </c>
      <c r="F40" s="1"/>
      <c r="G40" s="1"/>
      <c r="H40" s="1"/>
      <c r="I40" s="1"/>
      <c r="J40" s="1"/>
      <c r="K40" s="1"/>
      <c r="L40" s="1"/>
      <c r="M40" s="1"/>
      <c r="N40" s="1"/>
      <c r="O40" s="1"/>
      <c r="P40" s="1"/>
      <c r="Q40" s="1"/>
    </row>
    <row r="41" ht="14.25" customHeight="1">
      <c r="A41" s="1"/>
      <c r="B41" s="1"/>
      <c r="C41" s="1"/>
      <c r="D41" s="1"/>
      <c r="E41" s="1"/>
      <c r="F41" s="1"/>
      <c r="G41" s="1"/>
      <c r="H41" s="1"/>
      <c r="I41" s="1"/>
      <c r="J41" s="1"/>
      <c r="K41" s="1"/>
      <c r="L41" s="1"/>
      <c r="M41" s="1"/>
      <c r="N41" s="1"/>
      <c r="O41" s="1"/>
      <c r="P41" s="1"/>
      <c r="Q41" s="1"/>
    </row>
    <row r="42" ht="14.25" customHeight="1">
      <c r="A42" s="1"/>
      <c r="B42" s="766" t="s">
        <v>467</v>
      </c>
      <c r="C42" s="18"/>
      <c r="D42" s="18"/>
      <c r="E42" s="19"/>
      <c r="F42" s="1446" t="s">
        <v>119</v>
      </c>
      <c r="G42" s="1446" t="s">
        <v>47</v>
      </c>
      <c r="H42" s="1"/>
      <c r="I42" s="1"/>
      <c r="J42" s="1"/>
      <c r="K42" s="1"/>
      <c r="L42" s="1"/>
      <c r="M42" s="1"/>
      <c r="N42" s="1"/>
      <c r="O42" s="1"/>
      <c r="P42" s="1"/>
      <c r="Q42" s="1"/>
    </row>
    <row r="43" ht="14.25" customHeight="1">
      <c r="A43" s="1"/>
      <c r="B43" s="2692" t="s">
        <v>1</v>
      </c>
      <c r="C43" s="2693">
        <v>18.0</v>
      </c>
      <c r="D43" s="2693">
        <v>25.0</v>
      </c>
      <c r="E43" s="547" t="s">
        <v>5</v>
      </c>
      <c r="F43" s="1"/>
      <c r="G43" s="1"/>
      <c r="H43" s="1"/>
      <c r="I43" s="1"/>
      <c r="J43" s="1"/>
      <c r="K43" s="1"/>
      <c r="L43" s="1"/>
      <c r="M43" s="1"/>
      <c r="N43" s="1"/>
      <c r="O43" s="1"/>
      <c r="P43" s="1"/>
      <c r="Q43" s="1"/>
    </row>
    <row r="44" ht="14.25" customHeight="1">
      <c r="A44" s="1"/>
      <c r="B44" s="119" t="s">
        <v>3066</v>
      </c>
      <c r="C44" s="129">
        <v>24.0</v>
      </c>
      <c r="D44" s="129">
        <f t="shared" ref="D44:D45" si="2">D43/C43*C44</f>
        <v>33.33333333</v>
      </c>
      <c r="E44" s="520" t="s">
        <v>14</v>
      </c>
      <c r="F44" s="1"/>
      <c r="G44" s="1"/>
      <c r="H44" s="1"/>
      <c r="I44" s="1"/>
      <c r="J44" s="1"/>
      <c r="K44" s="1"/>
      <c r="L44" s="1"/>
      <c r="M44" s="1"/>
      <c r="N44" s="1"/>
      <c r="O44" s="1"/>
      <c r="P44" s="1"/>
      <c r="Q44" s="1"/>
    </row>
    <row r="45" ht="14.25" customHeight="1">
      <c r="A45" s="1"/>
      <c r="B45" s="119" t="s">
        <v>3069</v>
      </c>
      <c r="C45" s="129">
        <v>27.0</v>
      </c>
      <c r="D45" s="129">
        <f t="shared" si="2"/>
        <v>37.5</v>
      </c>
      <c r="E45" s="520" t="s">
        <v>14</v>
      </c>
      <c r="F45" s="1"/>
      <c r="G45" s="1"/>
      <c r="H45" s="1"/>
      <c r="I45" s="1"/>
      <c r="J45" s="1"/>
      <c r="K45" s="1"/>
      <c r="L45" s="1"/>
      <c r="M45" s="1"/>
      <c r="N45" s="1"/>
      <c r="O45" s="1"/>
      <c r="P45" s="1"/>
      <c r="Q45" s="1"/>
    </row>
    <row r="46" ht="14.25" customHeight="1">
      <c r="A46" s="1"/>
      <c r="B46" s="1"/>
      <c r="C46" s="1"/>
      <c r="D46" s="1"/>
      <c r="E46" s="1"/>
      <c r="F46" s="1"/>
      <c r="G46" s="1"/>
      <c r="H46" s="1"/>
      <c r="I46" s="1"/>
      <c r="J46" s="1"/>
      <c r="K46" s="1"/>
      <c r="L46" s="1"/>
      <c r="M46" s="1"/>
      <c r="N46" s="1"/>
      <c r="O46" s="1"/>
      <c r="P46" s="1"/>
      <c r="Q46" s="1"/>
    </row>
    <row r="47" ht="14.25" customHeight="1">
      <c r="A47" s="1"/>
      <c r="B47" s="766" t="s">
        <v>518</v>
      </c>
      <c r="C47" s="18"/>
      <c r="D47" s="18"/>
      <c r="E47" s="19"/>
      <c r="F47" s="1446" t="s">
        <v>119</v>
      </c>
      <c r="G47" s="1446" t="s">
        <v>47</v>
      </c>
      <c r="H47" s="1"/>
      <c r="I47" s="1"/>
      <c r="J47" s="1"/>
      <c r="K47" s="1"/>
      <c r="L47" s="1"/>
      <c r="M47" s="1"/>
      <c r="N47" s="1"/>
      <c r="O47" s="1"/>
      <c r="P47" s="1"/>
      <c r="Q47" s="1"/>
    </row>
    <row r="48" ht="14.25" customHeight="1">
      <c r="A48" s="1"/>
      <c r="B48" s="2702" t="s">
        <v>1</v>
      </c>
      <c r="C48" s="2704">
        <v>20.0</v>
      </c>
      <c r="D48" s="2704">
        <v>20.0</v>
      </c>
      <c r="E48" s="514" t="s">
        <v>5</v>
      </c>
      <c r="F48" s="1"/>
      <c r="G48" s="1"/>
      <c r="H48" s="1"/>
      <c r="I48" s="1"/>
      <c r="J48" s="1"/>
      <c r="K48" s="1"/>
      <c r="L48" s="1"/>
      <c r="M48" s="1"/>
      <c r="N48" s="1"/>
      <c r="O48" s="1"/>
      <c r="P48" s="1"/>
      <c r="Q48" s="1"/>
    </row>
    <row r="49" ht="14.25" customHeight="1">
      <c r="A49" s="1"/>
      <c r="B49" s="68" t="s">
        <v>3070</v>
      </c>
      <c r="C49" s="155">
        <v>12.0</v>
      </c>
      <c r="D49" s="155">
        <f t="shared" ref="D49:D52" si="3">D48/C48*C49</f>
        <v>12</v>
      </c>
      <c r="E49" s="216" t="s">
        <v>14</v>
      </c>
      <c r="F49" s="1"/>
      <c r="G49" s="1"/>
      <c r="H49" s="1"/>
      <c r="I49" s="1"/>
      <c r="J49" s="1"/>
      <c r="K49" s="1"/>
      <c r="L49" s="1"/>
      <c r="M49" s="1"/>
      <c r="N49" s="1"/>
      <c r="O49" s="1"/>
      <c r="P49" s="1"/>
      <c r="Q49" s="1"/>
    </row>
    <row r="50" ht="14.25" customHeight="1">
      <c r="A50" s="1"/>
      <c r="B50" s="93" t="s">
        <v>60</v>
      </c>
      <c r="C50" s="78">
        <v>0.5</v>
      </c>
      <c r="D50" s="78">
        <f t="shared" si="3"/>
        <v>0.5</v>
      </c>
      <c r="E50" s="249" t="s">
        <v>14</v>
      </c>
      <c r="F50" s="1"/>
      <c r="G50" s="1"/>
      <c r="H50" s="1"/>
      <c r="I50" s="1"/>
      <c r="J50" s="1"/>
      <c r="K50" s="1"/>
      <c r="L50" s="1"/>
      <c r="M50" s="1"/>
      <c r="N50" s="1"/>
      <c r="O50" s="1"/>
      <c r="P50" s="1"/>
      <c r="Q50" s="1"/>
    </row>
    <row r="51" ht="14.25" customHeight="1">
      <c r="A51" s="1"/>
      <c r="B51" s="93" t="s">
        <v>142</v>
      </c>
      <c r="C51" s="247">
        <v>0.5</v>
      </c>
      <c r="D51" s="78">
        <f t="shared" si="3"/>
        <v>0.5</v>
      </c>
      <c r="E51" s="249" t="s">
        <v>14</v>
      </c>
      <c r="F51" s="1"/>
      <c r="G51" s="1"/>
      <c r="H51" s="1"/>
      <c r="I51" s="1"/>
      <c r="J51" s="1"/>
      <c r="K51" s="1"/>
      <c r="L51" s="1"/>
      <c r="M51" s="1"/>
      <c r="N51" s="1"/>
      <c r="O51" s="1"/>
      <c r="P51" s="1"/>
      <c r="Q51" s="1"/>
    </row>
    <row r="52" ht="14.25" customHeight="1">
      <c r="A52" s="1"/>
      <c r="B52" s="105" t="s">
        <v>1240</v>
      </c>
      <c r="C52" s="522">
        <v>0.5</v>
      </c>
      <c r="D52" s="56">
        <f t="shared" si="3"/>
        <v>0.5</v>
      </c>
      <c r="E52" s="518" t="s">
        <v>14</v>
      </c>
      <c r="F52" s="1"/>
      <c r="G52" s="1"/>
      <c r="H52" s="1"/>
      <c r="I52" s="1"/>
      <c r="J52" s="1"/>
      <c r="K52" s="1"/>
      <c r="L52" s="1"/>
      <c r="M52" s="1"/>
      <c r="N52" s="1"/>
      <c r="O52" s="1"/>
      <c r="P52" s="1"/>
      <c r="Q52" s="1"/>
    </row>
    <row r="53" ht="14.25" customHeight="1">
      <c r="A53" s="1"/>
      <c r="B53" s="1"/>
      <c r="C53" s="1"/>
      <c r="D53" s="1"/>
      <c r="E53" s="1"/>
      <c r="F53" s="1"/>
      <c r="G53" s="1"/>
      <c r="H53" s="1"/>
      <c r="I53" s="1"/>
      <c r="J53" s="1"/>
      <c r="K53" s="1"/>
      <c r="L53" s="1"/>
      <c r="M53" s="1"/>
      <c r="N53" s="1"/>
      <c r="O53" s="1"/>
      <c r="P53" s="1"/>
      <c r="Q53" s="1"/>
    </row>
    <row r="54" ht="14.25" customHeight="1">
      <c r="A54" s="1"/>
      <c r="B54" s="1"/>
      <c r="C54" s="1"/>
      <c r="D54" s="1"/>
      <c r="E54" s="1"/>
      <c r="F54" s="1"/>
      <c r="G54" s="1"/>
      <c r="H54" s="1"/>
      <c r="I54" s="1"/>
      <c r="J54" s="1"/>
      <c r="K54" s="1"/>
      <c r="L54" s="1"/>
      <c r="M54" s="1"/>
      <c r="N54" s="1"/>
      <c r="O54" s="1"/>
      <c r="P54" s="1"/>
      <c r="Q54" s="1"/>
    </row>
    <row r="55" ht="14.25" customHeight="1">
      <c r="A55" s="1"/>
      <c r="B55" s="766" t="s">
        <v>3032</v>
      </c>
      <c r="C55" s="18"/>
      <c r="D55" s="18"/>
      <c r="E55" s="19"/>
      <c r="F55" s="2670" t="s">
        <v>119</v>
      </c>
      <c r="G55" s="1446" t="s">
        <v>47</v>
      </c>
      <c r="H55" s="1"/>
      <c r="I55" s="1"/>
      <c r="J55" s="1"/>
      <c r="K55" s="1"/>
      <c r="L55" s="1"/>
      <c r="M55" s="1"/>
      <c r="N55" s="1"/>
      <c r="O55" s="1"/>
      <c r="P55" s="1"/>
      <c r="Q55" s="1"/>
    </row>
    <row r="56" ht="14.25" customHeight="1">
      <c r="A56" s="1"/>
      <c r="B56" s="2692" t="s">
        <v>1</v>
      </c>
      <c r="C56" s="2693">
        <v>20.0</v>
      </c>
      <c r="D56" s="2693">
        <v>20.0</v>
      </c>
      <c r="E56" s="547" t="s">
        <v>5</v>
      </c>
      <c r="F56" s="1"/>
      <c r="G56" s="1"/>
      <c r="H56" s="1"/>
      <c r="I56" s="1"/>
      <c r="J56" s="1"/>
      <c r="K56" s="1"/>
      <c r="L56" s="1"/>
      <c r="M56" s="1"/>
      <c r="N56" s="1"/>
      <c r="O56" s="1"/>
      <c r="P56" s="1"/>
      <c r="Q56" s="1"/>
    </row>
    <row r="57" ht="14.25" customHeight="1">
      <c r="A57" s="1"/>
      <c r="B57" s="149" t="s">
        <v>1252</v>
      </c>
      <c r="C57" s="274">
        <v>30.0</v>
      </c>
      <c r="D57" s="274">
        <f>D56/C56*C57</f>
        <v>30</v>
      </c>
      <c r="E57" s="288" t="s">
        <v>14</v>
      </c>
      <c r="F57" s="1"/>
      <c r="G57" s="1"/>
      <c r="H57" s="1"/>
      <c r="I57" s="1"/>
      <c r="J57" s="1"/>
      <c r="K57" s="1"/>
      <c r="L57" s="1"/>
      <c r="M57" s="1"/>
      <c r="N57" s="1"/>
      <c r="O57" s="1"/>
      <c r="P57" s="1"/>
      <c r="Q57" s="1"/>
    </row>
    <row r="58" ht="14.25" customHeight="1">
      <c r="A58" s="1"/>
      <c r="B58" s="1"/>
      <c r="C58" s="1"/>
      <c r="D58" s="1"/>
      <c r="E58" s="1"/>
      <c r="F58" s="1"/>
      <c r="G58" s="1"/>
      <c r="H58" s="1"/>
      <c r="I58" s="1"/>
      <c r="J58" s="1"/>
      <c r="K58" s="1"/>
      <c r="L58" s="1"/>
      <c r="M58" s="1"/>
      <c r="N58" s="1"/>
      <c r="O58" s="1"/>
      <c r="P58" s="1"/>
      <c r="Q58" s="1"/>
    </row>
    <row r="59" ht="14.25" customHeight="1">
      <c r="A59" s="1"/>
      <c r="B59" s="1"/>
      <c r="C59" s="1"/>
      <c r="D59" s="1"/>
      <c r="E59" s="1"/>
      <c r="F59" s="1"/>
      <c r="G59" s="1"/>
      <c r="H59" s="1"/>
      <c r="I59" s="1"/>
      <c r="J59" s="1"/>
      <c r="K59" s="1"/>
      <c r="L59" s="1"/>
      <c r="M59" s="1"/>
      <c r="N59" s="1"/>
      <c r="O59" s="1"/>
      <c r="P59" s="1"/>
      <c r="Q59" s="1"/>
    </row>
    <row r="60" ht="14.25" customHeight="1">
      <c r="A60" s="1"/>
      <c r="B60" s="1"/>
      <c r="C60" s="1"/>
      <c r="D60" s="1"/>
      <c r="E60" s="1"/>
      <c r="F60" s="1"/>
      <c r="G60" s="1"/>
      <c r="H60" s="1"/>
      <c r="I60" s="1"/>
      <c r="J60" s="1"/>
      <c r="K60" s="1"/>
      <c r="L60" s="1"/>
      <c r="M60" s="1"/>
      <c r="N60" s="1"/>
      <c r="O60" s="1"/>
      <c r="P60" s="1"/>
      <c r="Q60" s="1"/>
    </row>
    <row r="61" ht="14.25" customHeight="1">
      <c r="A61" s="1"/>
      <c r="B61" s="1"/>
      <c r="C61" s="1"/>
      <c r="D61" s="1"/>
      <c r="E61" s="1"/>
      <c r="F61" s="1"/>
      <c r="G61" s="1"/>
      <c r="H61" s="1"/>
      <c r="I61" s="1"/>
      <c r="J61" s="1"/>
      <c r="K61" s="1"/>
      <c r="L61" s="1"/>
      <c r="M61" s="1"/>
      <c r="N61" s="1"/>
      <c r="O61" s="1"/>
      <c r="P61" s="1"/>
      <c r="Q61" s="1"/>
    </row>
    <row r="62" ht="14.25" customHeight="1">
      <c r="A62" s="1"/>
      <c r="B62" s="1"/>
      <c r="C62" s="1"/>
      <c r="D62" s="1"/>
      <c r="E62" s="1"/>
      <c r="F62" s="1"/>
      <c r="G62" s="1"/>
      <c r="H62" s="1"/>
      <c r="I62" s="1"/>
      <c r="J62" s="1"/>
      <c r="K62" s="1"/>
      <c r="L62" s="1"/>
      <c r="M62" s="1"/>
      <c r="N62" s="1"/>
      <c r="O62" s="1"/>
      <c r="P62" s="1"/>
      <c r="Q62" s="1"/>
    </row>
    <row r="63" ht="14.25" customHeight="1">
      <c r="A63" s="1"/>
      <c r="B63" s="206" t="s">
        <v>772</v>
      </c>
      <c r="C63" s="5"/>
      <c r="D63" s="5"/>
      <c r="E63" s="6"/>
      <c r="F63" s="2670" t="s">
        <v>119</v>
      </c>
      <c r="G63" s="1446" t="s">
        <v>47</v>
      </c>
      <c r="H63" s="1"/>
      <c r="I63" s="1"/>
      <c r="J63" s="1"/>
      <c r="K63" s="1"/>
      <c r="L63" s="1"/>
      <c r="M63" s="1"/>
      <c r="N63" s="1"/>
      <c r="O63" s="1"/>
      <c r="P63" s="1"/>
      <c r="Q63" s="1"/>
    </row>
    <row r="64" ht="14.25" customHeight="1">
      <c r="A64" s="1"/>
      <c r="B64" s="512" t="s">
        <v>1</v>
      </c>
      <c r="C64" s="53">
        <v>90.0</v>
      </c>
      <c r="D64" s="53">
        <v>243.0</v>
      </c>
      <c r="E64" s="514" t="s">
        <v>5</v>
      </c>
      <c r="F64" s="1"/>
      <c r="G64" s="1"/>
      <c r="H64" s="1"/>
      <c r="I64" s="1"/>
      <c r="J64" s="1"/>
      <c r="K64" s="1"/>
      <c r="L64" s="1"/>
      <c r="M64" s="1"/>
      <c r="N64" s="1"/>
      <c r="O64" s="1"/>
      <c r="P64" s="1"/>
      <c r="Q64" s="1"/>
    </row>
    <row r="65" ht="14.25" customHeight="1">
      <c r="A65" s="1"/>
      <c r="B65" s="553" t="s">
        <v>491</v>
      </c>
      <c r="C65" s="210">
        <v>3.0</v>
      </c>
      <c r="D65" s="210">
        <f t="shared" ref="D65:D70" si="4">D64/C64*C65</f>
        <v>8.1</v>
      </c>
      <c r="E65" s="216" t="s">
        <v>5</v>
      </c>
      <c r="F65" s="1"/>
      <c r="G65" s="1"/>
      <c r="H65" s="1"/>
      <c r="I65" s="1"/>
      <c r="J65" s="1"/>
      <c r="K65" s="1"/>
      <c r="L65" s="1"/>
      <c r="M65" s="1"/>
      <c r="N65" s="1"/>
      <c r="O65" s="1"/>
      <c r="P65" s="1"/>
      <c r="Q65" s="1"/>
    </row>
    <row r="66" ht="14.25" customHeight="1">
      <c r="A66" s="1"/>
      <c r="B66" s="554" t="s">
        <v>52</v>
      </c>
      <c r="C66" s="247">
        <v>135.0</v>
      </c>
      <c r="D66" s="247">
        <f t="shared" si="4"/>
        <v>364.5</v>
      </c>
      <c r="E66" s="249" t="s">
        <v>18</v>
      </c>
      <c r="F66" s="1"/>
      <c r="G66" s="1"/>
      <c r="H66" s="1"/>
      <c r="I66" s="1"/>
      <c r="J66" s="1"/>
      <c r="K66" s="1"/>
      <c r="L66" s="1"/>
      <c r="M66" s="1"/>
      <c r="N66" s="1"/>
      <c r="O66" s="1"/>
      <c r="P66" s="1"/>
      <c r="Q66" s="1"/>
    </row>
    <row r="67" ht="14.25" customHeight="1">
      <c r="A67" s="1"/>
      <c r="B67" s="554" t="s">
        <v>1161</v>
      </c>
      <c r="C67" s="247">
        <v>3.0</v>
      </c>
      <c r="D67" s="247">
        <f t="shared" si="4"/>
        <v>8.1</v>
      </c>
      <c r="E67" s="249" t="s">
        <v>14</v>
      </c>
      <c r="F67" s="1"/>
      <c r="G67" s="1"/>
      <c r="H67" s="1"/>
      <c r="I67" s="1"/>
      <c r="J67" s="1"/>
      <c r="K67" s="1"/>
      <c r="L67" s="1"/>
      <c r="M67" s="1"/>
      <c r="N67" s="1"/>
      <c r="O67" s="1"/>
      <c r="P67" s="1"/>
      <c r="Q67" s="1"/>
    </row>
    <row r="68" ht="14.25" customHeight="1">
      <c r="A68" s="1"/>
      <c r="B68" s="554" t="s">
        <v>2433</v>
      </c>
      <c r="C68" s="247">
        <v>2.0</v>
      </c>
      <c r="D68" s="247">
        <f t="shared" si="4"/>
        <v>5.4</v>
      </c>
      <c r="E68" s="249" t="s">
        <v>14</v>
      </c>
      <c r="F68" s="1"/>
      <c r="G68" s="1"/>
      <c r="H68" s="1"/>
      <c r="I68" s="1"/>
      <c r="J68" s="1"/>
      <c r="K68" s="1"/>
      <c r="L68" s="1"/>
      <c r="M68" s="1"/>
      <c r="N68" s="1"/>
      <c r="O68" s="1"/>
      <c r="P68" s="1"/>
      <c r="Q68" s="1"/>
    </row>
    <row r="69" ht="14.25" customHeight="1">
      <c r="A69" s="1"/>
      <c r="B69" s="554" t="s">
        <v>1169</v>
      </c>
      <c r="C69" s="247">
        <v>3.0</v>
      </c>
      <c r="D69" s="247">
        <f t="shared" si="4"/>
        <v>8.1</v>
      </c>
      <c r="E69" s="249" t="s">
        <v>14</v>
      </c>
      <c r="F69" s="1"/>
      <c r="G69" s="1"/>
      <c r="H69" s="1"/>
      <c r="I69" s="1"/>
      <c r="J69" s="1"/>
      <c r="K69" s="1"/>
      <c r="L69" s="1"/>
      <c r="M69" s="1"/>
      <c r="N69" s="1"/>
      <c r="O69" s="1"/>
      <c r="P69" s="1"/>
      <c r="Q69" s="1"/>
    </row>
    <row r="70" ht="14.25" customHeight="1">
      <c r="A70" s="1"/>
      <c r="B70" s="554" t="s">
        <v>1246</v>
      </c>
      <c r="C70" s="247">
        <v>3.0</v>
      </c>
      <c r="D70" s="247">
        <f t="shared" si="4"/>
        <v>8.1</v>
      </c>
      <c r="E70" s="249" t="s">
        <v>14</v>
      </c>
      <c r="F70" s="1"/>
      <c r="G70" s="1"/>
      <c r="H70" s="1"/>
      <c r="I70" s="1"/>
      <c r="J70" s="1"/>
      <c r="K70" s="1"/>
      <c r="L70" s="1"/>
      <c r="M70" s="1"/>
      <c r="N70" s="1"/>
      <c r="O70" s="1"/>
      <c r="P70" s="1"/>
      <c r="Q70" s="1"/>
    </row>
    <row r="71" ht="14.25" customHeight="1">
      <c r="A71" s="1"/>
      <c r="B71" s="554" t="s">
        <v>122</v>
      </c>
      <c r="C71" s="247">
        <v>14.0</v>
      </c>
      <c r="D71" s="247">
        <f t="shared" ref="D71:D72" si="5">D73/C73*C71</f>
        <v>37.8</v>
      </c>
      <c r="E71" s="249" t="s">
        <v>5</v>
      </c>
      <c r="F71" s="1"/>
      <c r="G71" s="1"/>
      <c r="H71" s="1"/>
      <c r="I71" s="1"/>
      <c r="J71" s="1"/>
      <c r="K71" s="1"/>
      <c r="L71" s="1"/>
      <c r="M71" s="1"/>
      <c r="N71" s="1"/>
      <c r="O71" s="1"/>
      <c r="P71" s="1"/>
      <c r="Q71" s="1"/>
    </row>
    <row r="72" ht="14.25" customHeight="1">
      <c r="A72" s="1"/>
      <c r="B72" s="554" t="s">
        <v>59</v>
      </c>
      <c r="C72" s="247">
        <v>35.0</v>
      </c>
      <c r="D72" s="247">
        <f t="shared" si="5"/>
        <v>94.5</v>
      </c>
      <c r="E72" s="249" t="s">
        <v>5</v>
      </c>
      <c r="F72" s="1"/>
      <c r="G72" s="1"/>
      <c r="H72" s="1"/>
      <c r="I72" s="1"/>
      <c r="J72" s="1"/>
      <c r="K72" s="1"/>
      <c r="L72" s="1"/>
      <c r="M72" s="1"/>
      <c r="N72" s="1"/>
      <c r="O72" s="1"/>
      <c r="P72" s="1"/>
      <c r="Q72" s="1"/>
    </row>
    <row r="73" ht="14.25" customHeight="1">
      <c r="A73" s="1"/>
      <c r="B73" s="554" t="s">
        <v>53</v>
      </c>
      <c r="C73" s="247">
        <v>20.0</v>
      </c>
      <c r="D73" s="247">
        <f t="shared" ref="D73:D75" si="6">D70/C70*C73</f>
        <v>54</v>
      </c>
      <c r="E73" s="249" t="s">
        <v>14</v>
      </c>
      <c r="F73" s="1"/>
      <c r="G73" s="1"/>
      <c r="H73" s="1"/>
      <c r="I73" s="1"/>
      <c r="J73" s="1"/>
      <c r="K73" s="1"/>
      <c r="L73" s="1"/>
      <c r="M73" s="1"/>
      <c r="N73" s="1"/>
      <c r="O73" s="1"/>
      <c r="P73" s="1"/>
      <c r="Q73" s="1"/>
    </row>
    <row r="74" ht="14.25" customHeight="1">
      <c r="A74" s="1"/>
      <c r="B74" s="555" t="s">
        <v>31</v>
      </c>
      <c r="C74" s="522">
        <v>1160.0</v>
      </c>
      <c r="D74" s="522">
        <f t="shared" si="6"/>
        <v>3132</v>
      </c>
      <c r="E74" s="518" t="s">
        <v>18</v>
      </c>
      <c r="F74" s="1"/>
      <c r="G74" s="1"/>
      <c r="H74" s="1"/>
      <c r="I74" s="1"/>
      <c r="J74" s="1"/>
      <c r="K74" s="1"/>
      <c r="L74" s="1"/>
      <c r="M74" s="1"/>
      <c r="N74" s="1"/>
      <c r="O74" s="1"/>
      <c r="P74" s="1"/>
      <c r="Q74" s="1"/>
    </row>
    <row r="75" ht="14.25" customHeight="1">
      <c r="A75" s="1"/>
      <c r="B75" s="1171" t="s">
        <v>746</v>
      </c>
      <c r="C75" s="545">
        <v>1500.0</v>
      </c>
      <c r="D75" s="545">
        <f t="shared" si="6"/>
        <v>4050</v>
      </c>
      <c r="E75" s="547" t="s">
        <v>18</v>
      </c>
      <c r="F75" s="1"/>
      <c r="G75" s="1"/>
      <c r="H75" s="1"/>
      <c r="I75" s="1"/>
      <c r="J75" s="1"/>
      <c r="K75" s="1"/>
      <c r="L75" s="1"/>
      <c r="M75" s="1"/>
      <c r="N75" s="1"/>
      <c r="O75" s="1"/>
      <c r="P75" s="1"/>
      <c r="Q75" s="1"/>
    </row>
    <row r="76" ht="14.25" customHeight="1">
      <c r="A76" s="1"/>
      <c r="B76" s="2742" t="s">
        <v>95</v>
      </c>
      <c r="C76" s="523">
        <v>220.0</v>
      </c>
      <c r="D76" s="523">
        <f t="shared" ref="D76:D81" si="7">D75/C75*C76</f>
        <v>594</v>
      </c>
      <c r="E76" s="520" t="s">
        <v>18</v>
      </c>
      <c r="F76" s="1"/>
      <c r="G76" s="1"/>
      <c r="H76" s="1"/>
      <c r="I76" s="1"/>
      <c r="J76" s="1"/>
      <c r="K76" s="1"/>
      <c r="L76" s="1"/>
      <c r="M76" s="1"/>
      <c r="N76" s="1"/>
      <c r="O76" s="1"/>
      <c r="P76" s="1"/>
      <c r="Q76" s="1"/>
    </row>
    <row r="77" ht="14.25" customHeight="1">
      <c r="A77" s="1"/>
      <c r="B77" s="554" t="s">
        <v>96</v>
      </c>
      <c r="C77" s="247">
        <v>75.0</v>
      </c>
      <c r="D77" s="247">
        <f t="shared" si="7"/>
        <v>202.5</v>
      </c>
      <c r="E77" s="249" t="s">
        <v>18</v>
      </c>
      <c r="F77" s="1"/>
      <c r="G77" s="1"/>
      <c r="H77" s="1"/>
      <c r="I77" s="1"/>
      <c r="J77" s="1"/>
      <c r="K77" s="1"/>
      <c r="L77" s="1"/>
      <c r="M77" s="1"/>
      <c r="N77" s="1"/>
      <c r="O77" s="1"/>
      <c r="P77" s="1"/>
      <c r="Q77" s="1"/>
    </row>
    <row r="78" ht="14.25" customHeight="1">
      <c r="A78" s="1"/>
      <c r="B78" s="554" t="s">
        <v>102</v>
      </c>
      <c r="C78" s="247">
        <v>120.0</v>
      </c>
      <c r="D78" s="247">
        <f t="shared" si="7"/>
        <v>324</v>
      </c>
      <c r="E78" s="249" t="s">
        <v>18</v>
      </c>
      <c r="F78" s="1"/>
      <c r="G78" s="1"/>
      <c r="H78" s="1"/>
      <c r="I78" s="1"/>
      <c r="J78" s="1"/>
      <c r="K78" s="1"/>
      <c r="L78" s="1"/>
      <c r="M78" s="1"/>
      <c r="N78" s="1"/>
      <c r="O78" s="1"/>
      <c r="P78" s="1"/>
      <c r="Q78" s="1"/>
    </row>
    <row r="79" ht="14.25" customHeight="1">
      <c r="A79" s="1"/>
      <c r="B79" s="554" t="s">
        <v>39</v>
      </c>
      <c r="C79" s="247">
        <v>400.0</v>
      </c>
      <c r="D79" s="247">
        <f t="shared" si="7"/>
        <v>1080</v>
      </c>
      <c r="E79" s="249" t="s">
        <v>18</v>
      </c>
      <c r="F79" s="1"/>
      <c r="G79" s="1"/>
      <c r="H79" s="1"/>
      <c r="I79" s="1"/>
      <c r="J79" s="1"/>
      <c r="K79" s="1"/>
      <c r="L79" s="1"/>
      <c r="M79" s="1"/>
      <c r="N79" s="1"/>
      <c r="O79" s="1"/>
      <c r="P79" s="1"/>
      <c r="Q79" s="1"/>
    </row>
    <row r="80" ht="14.25" customHeight="1">
      <c r="A80" s="1"/>
      <c r="B80" s="555" t="s">
        <v>149</v>
      </c>
      <c r="C80" s="522">
        <v>500.0</v>
      </c>
      <c r="D80" s="522">
        <f t="shared" si="7"/>
        <v>1350</v>
      </c>
      <c r="E80" s="518" t="s">
        <v>18</v>
      </c>
      <c r="F80" s="1"/>
      <c r="G80" s="1"/>
      <c r="H80" s="1"/>
      <c r="I80" s="1"/>
      <c r="J80" s="1"/>
      <c r="K80" s="1"/>
      <c r="L80" s="1"/>
      <c r="M80" s="1"/>
      <c r="N80" s="1"/>
      <c r="O80" s="1"/>
      <c r="P80" s="1"/>
      <c r="Q80" s="1"/>
    </row>
    <row r="81" ht="14.25" customHeight="1">
      <c r="A81" s="1"/>
      <c r="B81" s="2742" t="s">
        <v>2437</v>
      </c>
      <c r="C81" s="523">
        <v>0.1</v>
      </c>
      <c r="D81" s="523">
        <f t="shared" si="7"/>
        <v>0.27</v>
      </c>
      <c r="E81" s="520" t="s">
        <v>5</v>
      </c>
      <c r="F81" s="1"/>
      <c r="G81" s="1"/>
      <c r="H81" s="1"/>
      <c r="I81" s="1"/>
      <c r="J81" s="1"/>
      <c r="K81" s="1"/>
      <c r="L81" s="1"/>
      <c r="M81" s="1"/>
      <c r="N81" s="1"/>
      <c r="O81" s="1"/>
      <c r="P81" s="1"/>
      <c r="Q81" s="1"/>
    </row>
    <row r="82" ht="14.25" customHeight="1">
      <c r="A82" s="1"/>
      <c r="B82" s="553" t="s">
        <v>1587</v>
      </c>
      <c r="C82" s="210">
        <v>850.0</v>
      </c>
      <c r="D82" s="210">
        <f t="shared" ref="D82:D83" si="8">(C82*D80)/C80</f>
        <v>2295</v>
      </c>
      <c r="E82" s="216" t="s">
        <v>18</v>
      </c>
      <c r="F82" s="1"/>
      <c r="G82" s="1"/>
      <c r="H82" s="1"/>
      <c r="I82" s="1"/>
      <c r="J82" s="1"/>
      <c r="K82" s="1"/>
      <c r="L82" s="1"/>
      <c r="M82" s="1"/>
      <c r="N82" s="1"/>
      <c r="O82" s="1"/>
      <c r="P82" s="1"/>
      <c r="Q82" s="1"/>
    </row>
    <row r="83" ht="14.25" customHeight="1">
      <c r="A83" s="1"/>
      <c r="B83" s="555" t="s">
        <v>1291</v>
      </c>
      <c r="C83" s="522">
        <v>17.0</v>
      </c>
      <c r="D83" s="522">
        <f t="shared" si="8"/>
        <v>45.9</v>
      </c>
      <c r="E83" s="518" t="s">
        <v>93</v>
      </c>
      <c r="F83" s="1"/>
      <c r="G83" s="1"/>
      <c r="H83" s="1"/>
      <c r="I83" s="1"/>
      <c r="J83" s="1"/>
      <c r="K83" s="1"/>
      <c r="L83" s="1"/>
      <c r="M83" s="1"/>
      <c r="N83" s="1"/>
      <c r="O83" s="1"/>
      <c r="P83" s="1"/>
      <c r="Q83" s="1"/>
    </row>
    <row r="84" ht="14.25" customHeight="1">
      <c r="A84" s="1"/>
      <c r="B84" s="1"/>
      <c r="C84" s="1"/>
      <c r="D84" s="1"/>
      <c r="E84" s="1"/>
      <c r="F84" s="1"/>
      <c r="G84" s="1"/>
      <c r="H84" s="1"/>
      <c r="I84" s="1"/>
      <c r="J84" s="1"/>
      <c r="K84" s="1"/>
      <c r="L84" s="1"/>
      <c r="M84" s="1"/>
      <c r="N84" s="1"/>
      <c r="O84" s="1"/>
      <c r="P84" s="1"/>
      <c r="Q84" s="1"/>
    </row>
    <row r="85" ht="14.25" customHeight="1">
      <c r="A85" s="1"/>
      <c r="B85" s="1"/>
      <c r="C85" s="1"/>
      <c r="D85" s="1"/>
      <c r="E85" s="1"/>
      <c r="F85" s="1"/>
      <c r="G85" s="1"/>
      <c r="H85" s="1"/>
      <c r="I85" s="1"/>
      <c r="J85" s="1"/>
      <c r="K85" s="1"/>
      <c r="L85" s="1"/>
      <c r="M85" s="1"/>
      <c r="N85" s="1"/>
      <c r="O85" s="1"/>
      <c r="P85" s="1"/>
      <c r="Q85" s="1"/>
    </row>
    <row r="86" ht="14.25" customHeight="1">
      <c r="A86" s="1"/>
      <c r="B86" s="766" t="s">
        <v>752</v>
      </c>
      <c r="C86" s="18"/>
      <c r="D86" s="18"/>
      <c r="E86" s="19"/>
      <c r="F86" s="2670" t="s">
        <v>119</v>
      </c>
      <c r="G86" s="1446" t="s">
        <v>47</v>
      </c>
      <c r="H86" s="1"/>
      <c r="I86" s="1"/>
      <c r="J86" s="1"/>
      <c r="K86" s="1"/>
      <c r="L86" s="1"/>
      <c r="M86" s="1"/>
      <c r="N86" s="1"/>
      <c r="O86" s="1"/>
      <c r="P86" s="1"/>
      <c r="Q86" s="1"/>
    </row>
    <row r="87" ht="14.25" customHeight="1">
      <c r="A87" s="1"/>
      <c r="B87" s="2756" t="s">
        <v>1388</v>
      </c>
      <c r="C87" s="2757">
        <v>2.5</v>
      </c>
      <c r="D87" s="2757">
        <v>35.0</v>
      </c>
      <c r="E87" s="2758" t="s">
        <v>5</v>
      </c>
      <c r="F87" s="1"/>
      <c r="G87" s="1"/>
      <c r="H87" s="1"/>
      <c r="I87" s="1"/>
      <c r="J87" s="1"/>
      <c r="K87" s="1"/>
      <c r="L87" s="1"/>
      <c r="M87" s="1"/>
      <c r="N87" s="1"/>
      <c r="O87" s="1"/>
      <c r="P87" s="1"/>
      <c r="Q87" s="1"/>
    </row>
    <row r="88" ht="14.25" customHeight="1">
      <c r="A88" s="1"/>
      <c r="B88" s="68" t="s">
        <v>1274</v>
      </c>
      <c r="C88" s="210">
        <v>0.25</v>
      </c>
      <c r="D88" s="210">
        <f t="shared" ref="D88:D91" si="9">(C88*D87)/C87</f>
        <v>3.5</v>
      </c>
      <c r="E88" s="216" t="s">
        <v>366</v>
      </c>
      <c r="F88" s="1"/>
      <c r="G88" s="1"/>
      <c r="H88" s="1"/>
      <c r="I88" s="1"/>
      <c r="J88" s="1"/>
      <c r="K88" s="1"/>
      <c r="L88" s="1"/>
      <c r="M88" s="1"/>
      <c r="N88" s="1"/>
      <c r="O88" s="1"/>
      <c r="P88" s="1"/>
      <c r="Q88" s="1"/>
    </row>
    <row r="89" ht="14.25" customHeight="1">
      <c r="A89" s="1"/>
      <c r="B89" s="93" t="s">
        <v>164</v>
      </c>
      <c r="C89" s="247">
        <v>1.35</v>
      </c>
      <c r="D89" s="247">
        <f t="shared" si="9"/>
        <v>18.9</v>
      </c>
      <c r="E89" s="249" t="s">
        <v>5</v>
      </c>
      <c r="F89" s="1"/>
      <c r="G89" s="1"/>
      <c r="H89" s="1"/>
      <c r="I89" s="1"/>
      <c r="J89" s="1"/>
      <c r="K89" s="1"/>
      <c r="L89" s="1"/>
      <c r="M89" s="1"/>
      <c r="N89" s="1"/>
      <c r="O89" s="1"/>
      <c r="P89" s="1"/>
      <c r="Q89" s="1"/>
    </row>
    <row r="90" ht="14.25" customHeight="1">
      <c r="A90" s="1"/>
      <c r="B90" s="93" t="s">
        <v>491</v>
      </c>
      <c r="C90" s="247">
        <v>0.5</v>
      </c>
      <c r="D90" s="247">
        <f t="shared" si="9"/>
        <v>7</v>
      </c>
      <c r="E90" s="249"/>
      <c r="F90" s="1"/>
      <c r="G90" s="1"/>
      <c r="H90" s="1"/>
      <c r="I90" s="1"/>
      <c r="J90" s="1"/>
      <c r="K90" s="1"/>
      <c r="L90" s="1"/>
      <c r="M90" s="1"/>
      <c r="N90" s="1"/>
      <c r="O90" s="1"/>
      <c r="P90" s="1"/>
      <c r="Q90" s="1"/>
    </row>
    <row r="91" ht="14.25" customHeight="1">
      <c r="A91" s="1"/>
      <c r="B91" s="93" t="s">
        <v>52</v>
      </c>
      <c r="C91" s="247">
        <v>1.0</v>
      </c>
      <c r="D91" s="247">
        <f t="shared" si="9"/>
        <v>14</v>
      </c>
      <c r="E91" s="249"/>
      <c r="F91" s="1"/>
      <c r="G91" s="1"/>
      <c r="H91" s="1"/>
      <c r="I91" s="1"/>
      <c r="J91" s="1"/>
      <c r="K91" s="1"/>
      <c r="L91" s="1"/>
      <c r="M91" s="1"/>
      <c r="N91" s="1"/>
      <c r="O91" s="1"/>
      <c r="P91" s="1"/>
      <c r="Q91" s="1"/>
    </row>
    <row r="92" ht="14.25" customHeight="1">
      <c r="A92" s="1"/>
      <c r="B92" s="93" t="s">
        <v>113</v>
      </c>
      <c r="C92" s="247">
        <v>2.0</v>
      </c>
      <c r="D92" s="247">
        <f>(C92*D90)/C90</f>
        <v>28</v>
      </c>
      <c r="E92" s="249"/>
      <c r="F92" s="1"/>
      <c r="G92" s="1"/>
      <c r="H92" s="1"/>
      <c r="I92" s="1"/>
      <c r="J92" s="1"/>
      <c r="K92" s="1"/>
      <c r="L92" s="1"/>
      <c r="M92" s="1"/>
      <c r="N92" s="1"/>
      <c r="O92" s="1"/>
      <c r="P92" s="1"/>
      <c r="Q92" s="1"/>
    </row>
    <row r="93" ht="14.25" customHeight="1">
      <c r="A93" s="1"/>
      <c r="B93" s="93" t="s">
        <v>1559</v>
      </c>
      <c r="C93" s="247">
        <v>10.0</v>
      </c>
      <c r="D93" s="247">
        <f>(C93*D89)/C89</f>
        <v>140</v>
      </c>
      <c r="E93" s="249" t="s">
        <v>18</v>
      </c>
      <c r="F93" s="1"/>
      <c r="G93" s="1"/>
      <c r="H93" s="1"/>
      <c r="I93" s="1"/>
      <c r="J93" s="1"/>
      <c r="K93" s="1"/>
      <c r="L93" s="1"/>
      <c r="M93" s="1"/>
      <c r="N93" s="1"/>
      <c r="O93" s="1"/>
      <c r="P93" s="1"/>
      <c r="Q93" s="1"/>
    </row>
    <row r="94" ht="14.25" customHeight="1">
      <c r="A94" s="1"/>
      <c r="B94" s="93" t="s">
        <v>103</v>
      </c>
      <c r="C94" s="247">
        <v>3.0</v>
      </c>
      <c r="D94" s="247">
        <f t="shared" ref="D94:D102" si="10">(C94*D93)/C93</f>
        <v>42</v>
      </c>
      <c r="E94" s="249" t="s">
        <v>18</v>
      </c>
      <c r="F94" s="1"/>
      <c r="G94" s="1"/>
      <c r="H94" s="1"/>
      <c r="I94" s="1"/>
      <c r="J94" s="1"/>
      <c r="K94" s="1"/>
      <c r="L94" s="1"/>
      <c r="M94" s="1"/>
      <c r="N94" s="1"/>
      <c r="O94" s="1"/>
      <c r="P94" s="1"/>
      <c r="Q94" s="1"/>
    </row>
    <row r="95" ht="14.25" customHeight="1">
      <c r="A95" s="1"/>
      <c r="B95" s="105" t="s">
        <v>3080</v>
      </c>
      <c r="C95" s="522">
        <v>1.5</v>
      </c>
      <c r="D95" s="522">
        <f t="shared" si="10"/>
        <v>21</v>
      </c>
      <c r="E95" s="518" t="s">
        <v>18</v>
      </c>
      <c r="F95" s="1"/>
      <c r="G95" s="1"/>
      <c r="H95" s="1"/>
      <c r="I95" s="1"/>
      <c r="J95" s="1"/>
      <c r="K95" s="1"/>
      <c r="L95" s="1"/>
      <c r="M95" s="1"/>
      <c r="N95" s="1"/>
      <c r="O95" s="1"/>
      <c r="P95" s="1"/>
      <c r="Q95" s="1"/>
    </row>
    <row r="96" ht="14.25" customHeight="1">
      <c r="A96" s="1"/>
      <c r="B96" s="68" t="s">
        <v>491</v>
      </c>
      <c r="C96" s="210">
        <v>0.1</v>
      </c>
      <c r="D96" s="210">
        <f t="shared" si="10"/>
        <v>1.4</v>
      </c>
      <c r="E96" s="216" t="s">
        <v>5</v>
      </c>
      <c r="F96" s="1"/>
      <c r="G96" s="1"/>
      <c r="H96" s="1"/>
      <c r="I96" s="1"/>
      <c r="J96" s="1"/>
      <c r="K96" s="1"/>
      <c r="L96" s="1"/>
      <c r="M96" s="1"/>
      <c r="N96" s="1"/>
      <c r="O96" s="1"/>
      <c r="P96" s="1"/>
      <c r="Q96" s="1"/>
    </row>
    <row r="97" ht="14.25" customHeight="1">
      <c r="A97" s="1"/>
      <c r="B97" s="93" t="s">
        <v>13</v>
      </c>
      <c r="C97" s="247">
        <v>10.0</v>
      </c>
      <c r="D97" s="247">
        <f t="shared" si="10"/>
        <v>140</v>
      </c>
      <c r="E97" s="249" t="s">
        <v>18</v>
      </c>
      <c r="F97" s="1"/>
      <c r="G97" s="1"/>
      <c r="H97" s="1"/>
      <c r="I97" s="1"/>
      <c r="J97" s="1"/>
      <c r="K97" s="1"/>
      <c r="L97" s="1"/>
      <c r="M97" s="1"/>
      <c r="N97" s="1"/>
      <c r="O97" s="1"/>
      <c r="P97" s="1"/>
      <c r="Q97" s="1"/>
    </row>
    <row r="98" ht="14.25" customHeight="1">
      <c r="A98" s="1"/>
      <c r="B98" s="93" t="s">
        <v>1161</v>
      </c>
      <c r="C98" s="247">
        <v>0.25</v>
      </c>
      <c r="D98" s="247">
        <f t="shared" si="10"/>
        <v>3.5</v>
      </c>
      <c r="E98" s="249" t="s">
        <v>366</v>
      </c>
      <c r="F98" s="1"/>
      <c r="G98" s="1"/>
      <c r="H98" s="1"/>
      <c r="I98" s="1"/>
      <c r="J98" s="1"/>
      <c r="K98" s="1"/>
      <c r="L98" s="1"/>
      <c r="M98" s="1"/>
      <c r="N98" s="1"/>
      <c r="O98" s="1"/>
      <c r="P98" s="1"/>
      <c r="Q98" s="1"/>
    </row>
    <row r="99" ht="14.25" customHeight="1">
      <c r="A99" s="1"/>
      <c r="B99" s="93" t="s">
        <v>2589</v>
      </c>
      <c r="C99" s="247">
        <v>8.0</v>
      </c>
      <c r="D99" s="247">
        <f t="shared" si="10"/>
        <v>112</v>
      </c>
      <c r="E99" s="249" t="s">
        <v>18</v>
      </c>
      <c r="F99" s="1"/>
      <c r="G99" s="1"/>
      <c r="H99" s="1"/>
      <c r="I99" s="1"/>
      <c r="J99" s="1"/>
      <c r="K99" s="1"/>
      <c r="L99" s="1"/>
      <c r="M99" s="1"/>
      <c r="N99" s="1"/>
      <c r="O99" s="1"/>
      <c r="P99" s="1"/>
      <c r="Q99" s="1"/>
    </row>
    <row r="100" ht="14.25" customHeight="1">
      <c r="A100" s="1"/>
      <c r="B100" s="93" t="s">
        <v>3081</v>
      </c>
      <c r="C100" s="247">
        <v>6.0</v>
      </c>
      <c r="D100" s="247">
        <f t="shared" si="10"/>
        <v>84</v>
      </c>
      <c r="E100" s="249" t="s">
        <v>18</v>
      </c>
      <c r="F100" s="1"/>
      <c r="G100" s="1"/>
      <c r="H100" s="1"/>
      <c r="I100" s="1"/>
      <c r="J100" s="1"/>
      <c r="K100" s="1"/>
      <c r="L100" s="1"/>
      <c r="M100" s="1"/>
      <c r="N100" s="1"/>
      <c r="O100" s="1"/>
      <c r="P100" s="1"/>
      <c r="Q100" s="1"/>
    </row>
    <row r="101" ht="14.25" customHeight="1">
      <c r="A101" s="1"/>
      <c r="B101" s="93" t="s">
        <v>103</v>
      </c>
      <c r="C101" s="247">
        <v>2.0</v>
      </c>
      <c r="D101" s="247">
        <f t="shared" si="10"/>
        <v>28</v>
      </c>
      <c r="E101" s="249" t="s">
        <v>18</v>
      </c>
      <c r="F101" s="1"/>
      <c r="G101" s="1"/>
      <c r="H101" s="1"/>
      <c r="I101" s="1"/>
      <c r="J101" s="1"/>
      <c r="K101" s="1"/>
      <c r="L101" s="1"/>
      <c r="M101" s="1"/>
      <c r="N101" s="1"/>
      <c r="O101" s="1"/>
      <c r="P101" s="1"/>
      <c r="Q101" s="1"/>
    </row>
    <row r="102" ht="14.25" customHeight="1">
      <c r="A102" s="1"/>
      <c r="B102" s="93" t="s">
        <v>112</v>
      </c>
      <c r="C102" s="247">
        <v>2.0</v>
      </c>
      <c r="D102" s="247">
        <f t="shared" si="10"/>
        <v>28</v>
      </c>
      <c r="E102" s="249" t="s">
        <v>18</v>
      </c>
      <c r="F102" s="1"/>
      <c r="G102" s="1"/>
      <c r="H102" s="1"/>
      <c r="I102" s="1"/>
      <c r="J102" s="1"/>
      <c r="K102" s="1"/>
      <c r="L102" s="1"/>
      <c r="M102" s="1"/>
      <c r="N102" s="1"/>
      <c r="O102" s="1"/>
      <c r="P102" s="1"/>
      <c r="Q102" s="1"/>
    </row>
    <row r="103" ht="14.25" customHeight="1">
      <c r="A103" s="1"/>
      <c r="B103" s="93" t="s">
        <v>52</v>
      </c>
      <c r="C103" s="247">
        <v>3.0</v>
      </c>
      <c r="D103" s="247">
        <f>(C103*D101)/C101</f>
        <v>42</v>
      </c>
      <c r="E103" s="249" t="s">
        <v>18</v>
      </c>
      <c r="F103" s="1"/>
      <c r="G103" s="1"/>
      <c r="H103" s="1"/>
      <c r="I103" s="1"/>
      <c r="J103" s="1"/>
      <c r="K103" s="1"/>
      <c r="L103" s="1"/>
      <c r="M103" s="1"/>
      <c r="N103" s="1"/>
      <c r="O103" s="1"/>
      <c r="P103" s="1"/>
      <c r="Q103" s="1"/>
    </row>
    <row r="104" ht="14.25" customHeight="1">
      <c r="A104" s="1"/>
      <c r="B104" s="93" t="s">
        <v>3080</v>
      </c>
      <c r="C104" s="247">
        <v>3.0</v>
      </c>
      <c r="D104" s="247">
        <f t="shared" ref="D104:D111" si="11">(C104*D103)/C103</f>
        <v>42</v>
      </c>
      <c r="E104" s="249" t="s">
        <v>18</v>
      </c>
      <c r="F104" s="1"/>
      <c r="G104" s="1"/>
      <c r="H104" s="1"/>
      <c r="I104" s="1"/>
      <c r="J104" s="1"/>
      <c r="K104" s="1"/>
      <c r="L104" s="1"/>
      <c r="M104" s="1"/>
      <c r="N104" s="1"/>
      <c r="O104" s="1"/>
      <c r="P104" s="1"/>
      <c r="Q104" s="1"/>
    </row>
    <row r="105" ht="14.25" customHeight="1">
      <c r="A105" s="1"/>
      <c r="B105" s="93" t="s">
        <v>1559</v>
      </c>
      <c r="C105" s="247">
        <v>24.0</v>
      </c>
      <c r="D105" s="247">
        <f t="shared" si="11"/>
        <v>336</v>
      </c>
      <c r="E105" s="249" t="s">
        <v>18</v>
      </c>
      <c r="F105" s="1"/>
      <c r="G105" s="1"/>
      <c r="H105" s="1"/>
      <c r="I105" s="1"/>
      <c r="J105" s="1"/>
      <c r="K105" s="1"/>
      <c r="L105" s="1"/>
      <c r="M105" s="1"/>
      <c r="N105" s="1"/>
      <c r="O105" s="1"/>
      <c r="P105" s="1"/>
      <c r="Q105" s="1"/>
    </row>
    <row r="106" ht="14.25" customHeight="1">
      <c r="A106" s="1"/>
      <c r="B106" s="93" t="s">
        <v>1027</v>
      </c>
      <c r="C106" s="247">
        <v>5.0</v>
      </c>
      <c r="D106" s="247">
        <f t="shared" si="11"/>
        <v>70</v>
      </c>
      <c r="E106" s="249" t="s">
        <v>18</v>
      </c>
      <c r="F106" s="1"/>
      <c r="G106" s="1"/>
      <c r="H106" s="1"/>
      <c r="I106" s="1"/>
      <c r="J106" s="1"/>
      <c r="K106" s="1"/>
      <c r="L106" s="1"/>
      <c r="M106" s="1"/>
      <c r="N106" s="1"/>
      <c r="O106" s="1"/>
      <c r="P106" s="1"/>
      <c r="Q106" s="1"/>
    </row>
    <row r="107" ht="14.25" customHeight="1">
      <c r="A107" s="1"/>
      <c r="B107" s="93" t="s">
        <v>105</v>
      </c>
      <c r="C107" s="247">
        <v>10.0</v>
      </c>
      <c r="D107" s="247">
        <f t="shared" si="11"/>
        <v>140</v>
      </c>
      <c r="E107" s="249" t="s">
        <v>18</v>
      </c>
      <c r="F107" s="1"/>
      <c r="G107" s="1"/>
      <c r="H107" s="1"/>
      <c r="I107" s="1"/>
      <c r="J107" s="1"/>
      <c r="K107" s="1"/>
      <c r="L107" s="1"/>
      <c r="M107" s="1"/>
      <c r="N107" s="1"/>
      <c r="O107" s="1"/>
      <c r="P107" s="1"/>
      <c r="Q107" s="1"/>
    </row>
    <row r="108" ht="14.25" customHeight="1">
      <c r="A108" s="1"/>
      <c r="B108" s="93" t="s">
        <v>1941</v>
      </c>
      <c r="C108" s="247">
        <v>7.5</v>
      </c>
      <c r="D108" s="247">
        <f t="shared" si="11"/>
        <v>105</v>
      </c>
      <c r="E108" s="249" t="s">
        <v>18</v>
      </c>
      <c r="F108" s="1"/>
      <c r="G108" s="1"/>
      <c r="H108" s="1"/>
      <c r="I108" s="1"/>
      <c r="J108" s="1"/>
      <c r="K108" s="1"/>
      <c r="L108" s="1"/>
      <c r="M108" s="1"/>
      <c r="N108" s="1"/>
      <c r="O108" s="1"/>
      <c r="P108" s="1"/>
      <c r="Q108" s="1"/>
    </row>
    <row r="109" ht="14.25" customHeight="1">
      <c r="A109" s="1"/>
      <c r="B109" s="93" t="s">
        <v>164</v>
      </c>
      <c r="C109" s="247">
        <v>1.4</v>
      </c>
      <c r="D109" s="247">
        <f t="shared" si="11"/>
        <v>19.6</v>
      </c>
      <c r="E109" s="249" t="s">
        <v>5</v>
      </c>
      <c r="F109" s="1"/>
      <c r="G109" s="1"/>
      <c r="H109" s="1"/>
      <c r="I109" s="1"/>
      <c r="J109" s="1"/>
      <c r="K109" s="1"/>
      <c r="L109" s="1"/>
      <c r="M109" s="1"/>
      <c r="N109" s="1"/>
      <c r="O109" s="1"/>
      <c r="P109" s="1"/>
      <c r="Q109" s="1"/>
    </row>
    <row r="110" ht="14.25" customHeight="1">
      <c r="A110" s="1"/>
      <c r="B110" s="105" t="s">
        <v>1916</v>
      </c>
      <c r="C110" s="522">
        <v>0.22</v>
      </c>
      <c r="D110" s="522">
        <f t="shared" si="11"/>
        <v>3.08</v>
      </c>
      <c r="E110" s="518" t="s">
        <v>14</v>
      </c>
      <c r="F110" s="1"/>
      <c r="G110" s="1"/>
      <c r="H110" s="1"/>
      <c r="I110" s="1"/>
      <c r="J110" s="1"/>
      <c r="K110" s="1"/>
      <c r="L110" s="1"/>
      <c r="M110" s="1"/>
      <c r="N110" s="1"/>
      <c r="O110" s="1"/>
      <c r="P110" s="1"/>
      <c r="Q110" s="1"/>
    </row>
    <row r="111" ht="14.25" customHeight="1">
      <c r="A111" s="1"/>
      <c r="B111" s="173" t="s">
        <v>3086</v>
      </c>
      <c r="C111" s="545">
        <v>1.0</v>
      </c>
      <c r="D111" s="545">
        <f t="shared" si="11"/>
        <v>14</v>
      </c>
      <c r="E111" s="547" t="s">
        <v>999</v>
      </c>
      <c r="F111" s="1"/>
      <c r="G111" s="1"/>
      <c r="H111" s="1"/>
      <c r="I111" s="1"/>
      <c r="J111" s="1"/>
      <c r="K111" s="1"/>
      <c r="L111" s="1"/>
      <c r="M111" s="1"/>
      <c r="N111" s="1"/>
      <c r="O111" s="1"/>
      <c r="P111" s="1"/>
      <c r="Q111" s="1"/>
    </row>
    <row r="112" ht="14.25" customHeight="1">
      <c r="A112" s="1"/>
      <c r="B112" s="1"/>
      <c r="C112" s="1"/>
      <c r="D112" s="1"/>
      <c r="E112" s="1"/>
      <c r="F112" s="1"/>
      <c r="G112" s="1"/>
      <c r="H112" s="1"/>
      <c r="I112" s="1"/>
      <c r="J112" s="1"/>
      <c r="K112" s="1"/>
      <c r="L112" s="1"/>
      <c r="M112" s="1"/>
      <c r="N112" s="1"/>
      <c r="O112" s="1"/>
      <c r="P112" s="1"/>
      <c r="Q112" s="1"/>
    </row>
    <row r="113" ht="14.25" customHeight="1">
      <c r="A113" s="1"/>
      <c r="B113" s="1"/>
      <c r="C113" s="1"/>
      <c r="D113" s="1"/>
      <c r="E113" s="1"/>
      <c r="F113" s="1"/>
      <c r="G113" s="1"/>
      <c r="H113" s="1"/>
      <c r="I113" s="1"/>
      <c r="J113" s="1"/>
      <c r="K113" s="1"/>
      <c r="L113" s="1"/>
      <c r="M113" s="1"/>
      <c r="N113" s="1"/>
      <c r="O113" s="1"/>
      <c r="P113" s="1"/>
      <c r="Q113" s="1"/>
    </row>
    <row r="114" ht="14.25" customHeight="1">
      <c r="A114" s="1"/>
      <c r="B114" s="90" t="s">
        <v>120</v>
      </c>
      <c r="C114" s="1932">
        <v>42933.0</v>
      </c>
      <c r="D114" s="1"/>
      <c r="E114" s="1"/>
      <c r="F114" s="1"/>
      <c r="G114" s="1"/>
      <c r="H114" s="1"/>
      <c r="I114" s="1"/>
      <c r="J114" s="1"/>
      <c r="K114" s="1"/>
      <c r="L114" s="1"/>
      <c r="M114" s="1"/>
      <c r="N114" s="1"/>
      <c r="O114" s="1"/>
      <c r="P114" s="1"/>
      <c r="Q114" s="1"/>
    </row>
    <row r="115" ht="14.25" customHeight="1">
      <c r="A115" s="1"/>
      <c r="B115" s="203" t="s">
        <v>50</v>
      </c>
      <c r="C115" s="1932">
        <v>42933.0</v>
      </c>
      <c r="D115" s="1"/>
      <c r="E115" s="1"/>
      <c r="F115" s="1"/>
      <c r="G115" s="1"/>
      <c r="H115" s="1"/>
      <c r="I115" s="1"/>
      <c r="J115" s="1"/>
      <c r="K115" s="1"/>
      <c r="L115" s="1"/>
      <c r="M115" s="1"/>
      <c r="N115" s="1"/>
      <c r="O115" s="1"/>
      <c r="P115" s="1"/>
      <c r="Q115" s="1"/>
    </row>
    <row r="116" ht="14.25" customHeight="1">
      <c r="A116" s="1"/>
      <c r="B116" s="1"/>
      <c r="C116" s="1"/>
      <c r="D116" s="1"/>
      <c r="E116" s="1"/>
      <c r="F116" s="1"/>
      <c r="G116" s="1"/>
      <c r="H116" s="1"/>
      <c r="I116" s="1"/>
      <c r="J116" s="1"/>
      <c r="K116" s="1"/>
      <c r="L116" s="1"/>
      <c r="M116" s="1"/>
      <c r="N116" s="1"/>
      <c r="O116" s="1"/>
      <c r="P116" s="1"/>
      <c r="Q116" s="1"/>
    </row>
    <row r="117" ht="14.25" customHeight="1">
      <c r="A117" s="1"/>
      <c r="B117" s="766" t="s">
        <v>3087</v>
      </c>
      <c r="C117" s="18"/>
      <c r="D117" s="18"/>
      <c r="E117" s="19"/>
      <c r="F117" s="2670" t="s">
        <v>119</v>
      </c>
      <c r="G117" s="1446" t="s">
        <v>47</v>
      </c>
      <c r="H117" s="1"/>
      <c r="I117" s="1"/>
      <c r="J117" s="1"/>
      <c r="K117" s="1"/>
      <c r="L117" s="1"/>
      <c r="M117" s="1"/>
      <c r="N117" s="1"/>
      <c r="O117" s="1"/>
      <c r="P117" s="1"/>
      <c r="Q117" s="1"/>
    </row>
    <row r="118" ht="14.25" customHeight="1">
      <c r="A118" s="1"/>
      <c r="B118" s="751" t="s">
        <v>1</v>
      </c>
      <c r="C118" s="752">
        <v>10.0</v>
      </c>
      <c r="D118" s="752">
        <v>8.0</v>
      </c>
      <c r="E118" s="754" t="s">
        <v>5</v>
      </c>
      <c r="F118" s="1"/>
      <c r="G118" s="1"/>
      <c r="H118" s="1"/>
      <c r="I118" s="1"/>
      <c r="J118" s="1"/>
      <c r="K118" s="1"/>
      <c r="L118" s="1"/>
      <c r="M118" s="1"/>
      <c r="N118" s="1"/>
      <c r="O118" s="1"/>
      <c r="P118" s="1"/>
      <c r="Q118" s="1"/>
    </row>
    <row r="119" ht="14.25" customHeight="1">
      <c r="A119" s="1"/>
      <c r="B119" s="119" t="s">
        <v>3089</v>
      </c>
      <c r="C119" s="523">
        <v>14.0</v>
      </c>
      <c r="D119" s="523">
        <f t="shared" ref="D119:D121" si="12">C119*D118/C118</f>
        <v>11.2</v>
      </c>
      <c r="E119" s="520" t="s">
        <v>366</v>
      </c>
      <c r="F119" s="1"/>
      <c r="G119" s="1"/>
      <c r="H119" s="1"/>
      <c r="I119" s="1"/>
      <c r="J119" s="1"/>
      <c r="K119" s="1"/>
      <c r="L119" s="1"/>
      <c r="M119" s="1"/>
      <c r="N119" s="1"/>
      <c r="O119" s="1"/>
      <c r="P119" s="1"/>
      <c r="Q119" s="1"/>
    </row>
    <row r="120" ht="14.25" customHeight="1">
      <c r="A120" s="1"/>
      <c r="B120" s="93" t="s">
        <v>3091</v>
      </c>
      <c r="C120" s="247">
        <v>3.0</v>
      </c>
      <c r="D120" s="247">
        <f t="shared" si="12"/>
        <v>2.4</v>
      </c>
      <c r="E120" s="249" t="s">
        <v>366</v>
      </c>
      <c r="F120" s="1"/>
      <c r="G120" s="1"/>
      <c r="H120" s="1"/>
      <c r="I120" s="1"/>
      <c r="J120" s="1"/>
      <c r="K120" s="1"/>
      <c r="L120" s="1"/>
      <c r="M120" s="1"/>
      <c r="N120" s="1"/>
      <c r="O120" s="1"/>
      <c r="P120" s="1"/>
      <c r="Q120" s="1"/>
    </row>
    <row r="121" ht="14.25" customHeight="1">
      <c r="A121" s="1"/>
      <c r="B121" s="105" t="s">
        <v>3093</v>
      </c>
      <c r="C121" s="522">
        <v>1.5</v>
      </c>
      <c r="D121" s="522">
        <f t="shared" si="12"/>
        <v>1.2</v>
      </c>
      <c r="E121" s="518" t="s">
        <v>366</v>
      </c>
      <c r="F121" s="1"/>
      <c r="G121" s="1"/>
      <c r="H121" s="1"/>
      <c r="I121" s="1"/>
      <c r="J121" s="1"/>
      <c r="K121" s="1"/>
      <c r="L121" s="1"/>
      <c r="M121" s="1"/>
      <c r="N121" s="1"/>
      <c r="O121" s="1"/>
      <c r="P121" s="1"/>
      <c r="Q121" s="1"/>
    </row>
    <row r="122" ht="14.25" customHeight="1">
      <c r="A122" s="1"/>
      <c r="B122" s="1"/>
      <c r="C122" s="1"/>
      <c r="D122" s="1"/>
      <c r="E122" s="1"/>
      <c r="F122" s="1"/>
      <c r="G122" s="1"/>
      <c r="H122" s="1"/>
      <c r="I122" s="1"/>
      <c r="J122" s="1"/>
      <c r="K122" s="1"/>
      <c r="L122" s="1"/>
      <c r="M122" s="1"/>
      <c r="N122" s="1"/>
      <c r="O122" s="1"/>
      <c r="P122" s="1"/>
      <c r="Q122" s="1"/>
    </row>
    <row r="123" ht="14.25" customHeight="1">
      <c r="A123" s="1"/>
      <c r="B123" s="1"/>
      <c r="C123" s="1"/>
      <c r="D123" s="1"/>
      <c r="E123" s="1"/>
      <c r="F123" s="1"/>
      <c r="G123" s="1"/>
      <c r="H123" s="1"/>
      <c r="I123" s="1"/>
      <c r="J123" s="1"/>
      <c r="K123" s="1"/>
      <c r="L123" s="1"/>
      <c r="M123" s="1"/>
      <c r="N123" s="1"/>
      <c r="O123" s="1"/>
      <c r="P123" s="1"/>
      <c r="Q123" s="1"/>
    </row>
    <row r="124" ht="14.25" customHeight="1">
      <c r="A124" s="1"/>
      <c r="B124" s="1308" t="s">
        <v>3094</v>
      </c>
      <c r="C124" s="18"/>
      <c r="D124" s="18"/>
      <c r="E124" s="19"/>
      <c r="F124" s="2670" t="s">
        <v>119</v>
      </c>
      <c r="G124" s="1446" t="s">
        <v>47</v>
      </c>
      <c r="H124" s="1"/>
      <c r="I124" s="1"/>
      <c r="J124" s="1"/>
      <c r="K124" s="1"/>
      <c r="L124" s="1"/>
      <c r="M124" s="1"/>
      <c r="N124" s="1"/>
      <c r="O124" s="1"/>
      <c r="P124" s="1"/>
      <c r="Q124" s="1"/>
    </row>
    <row r="125" ht="14.25" customHeight="1">
      <c r="A125" s="1"/>
      <c r="B125" s="119" t="s">
        <v>1</v>
      </c>
      <c r="C125" s="523">
        <v>45.0</v>
      </c>
      <c r="D125" s="523">
        <v>90.0</v>
      </c>
      <c r="E125" s="520" t="s">
        <v>5</v>
      </c>
      <c r="F125" s="1"/>
      <c r="G125" s="1"/>
      <c r="H125" s="1"/>
      <c r="I125" s="1"/>
      <c r="J125" s="1"/>
      <c r="K125" s="1"/>
      <c r="L125" s="1"/>
      <c r="M125" s="1"/>
      <c r="N125" s="1"/>
      <c r="O125" s="1"/>
      <c r="P125" s="1"/>
      <c r="Q125" s="1"/>
    </row>
    <row r="126" ht="14.25" customHeight="1">
      <c r="A126" s="1"/>
      <c r="B126" s="93" t="s">
        <v>3096</v>
      </c>
      <c r="C126" s="247">
        <v>30.0</v>
      </c>
      <c r="D126" s="247">
        <f t="shared" ref="D126:D127" si="13">(C126*D125)/C125</f>
        <v>60</v>
      </c>
      <c r="E126" s="249" t="s">
        <v>366</v>
      </c>
      <c r="F126" s="1"/>
      <c r="G126" s="1"/>
      <c r="H126" s="1"/>
      <c r="I126" s="1"/>
      <c r="J126" s="1"/>
      <c r="K126" s="1"/>
      <c r="L126" s="1"/>
      <c r="M126" s="1"/>
      <c r="N126" s="1"/>
      <c r="O126" s="1"/>
      <c r="P126" s="1"/>
      <c r="Q126" s="1"/>
    </row>
    <row r="127" ht="14.25" customHeight="1">
      <c r="A127" s="1"/>
      <c r="B127" s="105" t="s">
        <v>3091</v>
      </c>
      <c r="C127" s="522">
        <v>5.0</v>
      </c>
      <c r="D127" s="522">
        <f t="shared" si="13"/>
        <v>10</v>
      </c>
      <c r="E127" s="518" t="s">
        <v>366</v>
      </c>
      <c r="F127" s="1"/>
      <c r="G127" s="1"/>
      <c r="H127" s="1"/>
      <c r="I127" s="1"/>
      <c r="J127" s="1"/>
      <c r="K127" s="1"/>
      <c r="L127" s="1"/>
      <c r="M127" s="1"/>
      <c r="N127" s="1"/>
      <c r="O127" s="1"/>
      <c r="P127" s="1"/>
      <c r="Q127" s="1"/>
    </row>
    <row r="128" ht="14.25" customHeight="1">
      <c r="A128" s="1"/>
      <c r="B128" s="1"/>
      <c r="C128" s="1"/>
      <c r="D128" s="1"/>
      <c r="E128" s="1"/>
      <c r="F128" s="1"/>
      <c r="G128" s="1"/>
      <c r="H128" s="1"/>
      <c r="I128" s="1"/>
      <c r="J128" s="1"/>
      <c r="K128" s="1"/>
      <c r="L128" s="1"/>
      <c r="M128" s="1"/>
      <c r="N128" s="1"/>
      <c r="O128" s="1"/>
      <c r="P128" s="1"/>
      <c r="Q128" s="1"/>
    </row>
    <row r="129" ht="14.25" customHeight="1">
      <c r="A129" s="1"/>
      <c r="B129" s="1"/>
      <c r="C129" s="1"/>
      <c r="D129" s="1"/>
      <c r="E129" s="1"/>
      <c r="F129" s="1"/>
      <c r="G129" s="1"/>
      <c r="H129" s="1"/>
      <c r="I129" s="1"/>
      <c r="J129" s="1"/>
      <c r="K129" s="1"/>
      <c r="L129" s="1"/>
      <c r="M129" s="1"/>
      <c r="N129" s="1"/>
      <c r="O129" s="1"/>
      <c r="P129" s="1"/>
      <c r="Q129" s="1"/>
    </row>
    <row r="130" ht="14.25" customHeight="1">
      <c r="A130" s="1"/>
      <c r="B130" s="511" t="s">
        <v>3099</v>
      </c>
      <c r="C130" s="18"/>
      <c r="D130" s="18"/>
      <c r="E130" s="19"/>
      <c r="F130" s="2670" t="s">
        <v>119</v>
      </c>
      <c r="G130" s="1446" t="s">
        <v>47</v>
      </c>
      <c r="H130" s="1"/>
      <c r="I130" s="1"/>
      <c r="J130" s="1"/>
      <c r="K130" s="1"/>
      <c r="L130" s="1"/>
      <c r="M130" s="1"/>
      <c r="N130" s="1"/>
      <c r="O130" s="1"/>
      <c r="P130" s="1"/>
      <c r="Q130" s="1"/>
    </row>
    <row r="131" ht="14.25" customHeight="1">
      <c r="A131" s="1"/>
      <c r="B131" s="2773" t="s">
        <v>1</v>
      </c>
      <c r="C131" s="545">
        <v>100.0</v>
      </c>
      <c r="D131" s="783">
        <v>100.0</v>
      </c>
      <c r="E131" s="463" t="s">
        <v>5</v>
      </c>
      <c r="F131" s="1"/>
      <c r="G131" s="1"/>
      <c r="H131" s="1"/>
      <c r="I131" s="1"/>
      <c r="J131" s="1"/>
      <c r="K131" s="1"/>
      <c r="L131" s="1"/>
      <c r="M131" s="1"/>
      <c r="N131" s="1"/>
      <c r="O131" s="1"/>
      <c r="P131" s="1"/>
      <c r="Q131" s="1"/>
    </row>
    <row r="132" ht="14.25" customHeight="1">
      <c r="A132" s="1"/>
      <c r="B132" s="2124" t="s">
        <v>3102</v>
      </c>
      <c r="C132" s="523">
        <v>27.0</v>
      </c>
      <c r="D132" s="767">
        <f t="shared" ref="D132:D138" si="14">(C132*D131)/C131</f>
        <v>27</v>
      </c>
      <c r="E132" s="159" t="s">
        <v>366</v>
      </c>
      <c r="F132" s="1"/>
      <c r="G132" s="1"/>
      <c r="H132" s="1"/>
      <c r="I132" s="1"/>
      <c r="J132" s="1"/>
      <c r="K132" s="1"/>
      <c r="L132" s="1"/>
      <c r="M132" s="1"/>
      <c r="N132" s="1"/>
      <c r="O132" s="1"/>
      <c r="P132" s="1"/>
      <c r="Q132" s="1"/>
    </row>
    <row r="133" ht="14.25" customHeight="1">
      <c r="A133" s="1"/>
      <c r="B133" s="2129" t="s">
        <v>3103</v>
      </c>
      <c r="C133" s="247">
        <v>27.0</v>
      </c>
      <c r="D133" s="500">
        <f t="shared" si="14"/>
        <v>27</v>
      </c>
      <c r="E133" s="204" t="s">
        <v>366</v>
      </c>
      <c r="F133" s="1"/>
      <c r="G133" s="1"/>
      <c r="H133" s="1"/>
      <c r="I133" s="1"/>
      <c r="J133" s="1"/>
      <c r="K133" s="1"/>
      <c r="L133" s="1"/>
      <c r="M133" s="1"/>
      <c r="N133" s="1"/>
      <c r="O133" s="1"/>
      <c r="P133" s="1"/>
      <c r="Q133" s="1"/>
    </row>
    <row r="134" ht="14.25" customHeight="1">
      <c r="A134" s="1"/>
      <c r="B134" s="2129" t="s">
        <v>2449</v>
      </c>
      <c r="C134" s="247">
        <v>15.0</v>
      </c>
      <c r="D134" s="500">
        <f t="shared" si="14"/>
        <v>15</v>
      </c>
      <c r="E134" s="204" t="s">
        <v>366</v>
      </c>
      <c r="F134" s="1"/>
      <c r="G134" s="1"/>
      <c r="H134" s="1"/>
      <c r="I134" s="1"/>
      <c r="J134" s="1"/>
      <c r="K134" s="1"/>
      <c r="L134" s="1"/>
      <c r="M134" s="1"/>
      <c r="N134" s="1"/>
      <c r="O134" s="1"/>
      <c r="P134" s="1"/>
      <c r="Q134" s="1"/>
    </row>
    <row r="135" ht="14.25" customHeight="1">
      <c r="A135" s="1"/>
      <c r="B135" s="2129" t="s">
        <v>3104</v>
      </c>
      <c r="C135" s="247">
        <v>27.0</v>
      </c>
      <c r="D135" s="500">
        <f t="shared" si="14"/>
        <v>27</v>
      </c>
      <c r="E135" s="204" t="s">
        <v>366</v>
      </c>
      <c r="F135" s="1"/>
      <c r="G135" s="1"/>
      <c r="H135" s="1"/>
      <c r="I135" s="1"/>
      <c r="J135" s="1"/>
      <c r="K135" s="1"/>
      <c r="L135" s="1"/>
      <c r="M135" s="1"/>
      <c r="N135" s="1"/>
      <c r="O135" s="1"/>
      <c r="P135" s="1"/>
      <c r="Q135" s="1"/>
    </row>
    <row r="136" ht="14.25" customHeight="1">
      <c r="A136" s="1"/>
      <c r="B136" s="2129" t="s">
        <v>3106</v>
      </c>
      <c r="C136" s="247">
        <v>13.0</v>
      </c>
      <c r="D136" s="500">
        <f t="shared" si="14"/>
        <v>13</v>
      </c>
      <c r="E136" s="204" t="s">
        <v>366</v>
      </c>
      <c r="F136" s="1"/>
      <c r="G136" s="1"/>
      <c r="H136" s="1"/>
      <c r="I136" s="1"/>
      <c r="J136" s="1"/>
      <c r="K136" s="1"/>
      <c r="L136" s="1"/>
      <c r="M136" s="1"/>
      <c r="N136" s="1"/>
      <c r="O136" s="1"/>
      <c r="P136" s="1"/>
      <c r="Q136" s="1"/>
    </row>
    <row r="137" ht="14.25" customHeight="1">
      <c r="A137" s="1"/>
      <c r="B137" s="2129" t="s">
        <v>3108</v>
      </c>
      <c r="C137" s="247">
        <v>8.0</v>
      </c>
      <c r="D137" s="500">
        <f t="shared" si="14"/>
        <v>8</v>
      </c>
      <c r="E137" s="204" t="s">
        <v>366</v>
      </c>
      <c r="F137" s="1"/>
      <c r="G137" s="1"/>
      <c r="H137" s="1"/>
      <c r="I137" s="1"/>
      <c r="J137" s="1"/>
      <c r="K137" s="1"/>
      <c r="L137" s="1"/>
      <c r="M137" s="1"/>
      <c r="N137" s="1"/>
      <c r="O137" s="1"/>
      <c r="P137" s="1"/>
      <c r="Q137" s="1"/>
    </row>
    <row r="138" ht="14.25" customHeight="1">
      <c r="A138" s="1"/>
      <c r="B138" s="2119" t="s">
        <v>3109</v>
      </c>
      <c r="C138" s="522">
        <v>13.0</v>
      </c>
      <c r="D138" s="684">
        <f t="shared" si="14"/>
        <v>13</v>
      </c>
      <c r="E138" s="212" t="s">
        <v>366</v>
      </c>
      <c r="F138" s="1"/>
      <c r="G138" s="1"/>
      <c r="H138" s="1"/>
      <c r="I138" s="1"/>
      <c r="J138" s="1"/>
      <c r="K138" s="1"/>
      <c r="L138" s="1"/>
      <c r="M138" s="1"/>
      <c r="N138" s="1"/>
      <c r="O138" s="1"/>
      <c r="P138" s="1"/>
      <c r="Q138" s="1"/>
    </row>
    <row r="139" ht="14.25" customHeight="1">
      <c r="A139" s="1"/>
      <c r="B139" s="1"/>
      <c r="C139" s="1"/>
      <c r="D139" s="1"/>
      <c r="E139" s="1"/>
      <c r="F139" s="1"/>
      <c r="G139" s="1"/>
      <c r="H139" s="1"/>
      <c r="I139" s="1"/>
      <c r="J139" s="1"/>
      <c r="K139" s="1"/>
      <c r="L139" s="1"/>
      <c r="M139" s="1"/>
      <c r="N139" s="1"/>
      <c r="O139" s="1"/>
      <c r="P139" s="1"/>
      <c r="Q139" s="1"/>
    </row>
    <row r="140" ht="14.25" customHeight="1">
      <c r="A140" s="1"/>
      <c r="B140" s="1326" t="s">
        <v>3111</v>
      </c>
      <c r="C140" s="18"/>
      <c r="D140" s="18"/>
      <c r="E140" s="19"/>
      <c r="F140" s="2670" t="s">
        <v>119</v>
      </c>
      <c r="G140" s="1446" t="s">
        <v>47</v>
      </c>
      <c r="H140" s="1"/>
      <c r="I140" s="1"/>
      <c r="J140" s="1"/>
      <c r="K140" s="1"/>
      <c r="L140" s="1"/>
      <c r="M140" s="1"/>
      <c r="N140" s="1"/>
      <c r="O140" s="1"/>
      <c r="P140" s="1"/>
      <c r="Q140" s="1"/>
    </row>
    <row r="141" ht="14.25" customHeight="1">
      <c r="A141" s="1"/>
      <c r="B141" s="2773" t="s">
        <v>1</v>
      </c>
      <c r="C141" s="545">
        <v>100.0</v>
      </c>
      <c r="D141" s="783">
        <v>25.0</v>
      </c>
      <c r="E141" s="463" t="s">
        <v>5</v>
      </c>
      <c r="F141" s="1"/>
      <c r="G141" s="1"/>
      <c r="H141" s="1"/>
      <c r="I141" s="1"/>
      <c r="J141" s="1"/>
      <c r="K141" s="1"/>
      <c r="L141" s="1"/>
      <c r="M141" s="1"/>
      <c r="N141" s="1"/>
      <c r="O141" s="1"/>
      <c r="P141" s="1"/>
      <c r="Q141" s="1"/>
    </row>
    <row r="142" ht="14.25" customHeight="1">
      <c r="A142" s="1"/>
      <c r="B142" s="119" t="s">
        <v>1161</v>
      </c>
      <c r="C142" s="523">
        <v>55.0</v>
      </c>
      <c r="D142" s="767">
        <f t="shared" ref="D142:D144" si="15">(C142*D141)/C141</f>
        <v>13.75</v>
      </c>
      <c r="E142" s="520" t="s">
        <v>366</v>
      </c>
      <c r="F142" s="1"/>
      <c r="G142" s="1"/>
      <c r="H142" s="1"/>
      <c r="I142" s="1"/>
      <c r="J142" s="1"/>
      <c r="K142" s="1"/>
      <c r="L142" s="1"/>
      <c r="M142" s="1"/>
      <c r="N142" s="1"/>
      <c r="O142" s="1"/>
      <c r="P142" s="1"/>
      <c r="Q142" s="1"/>
    </row>
    <row r="143" ht="14.25" customHeight="1">
      <c r="A143" s="1"/>
      <c r="B143" s="93" t="s">
        <v>2449</v>
      </c>
      <c r="C143" s="247">
        <v>37.5</v>
      </c>
      <c r="D143" s="247">
        <f t="shared" si="15"/>
        <v>9.375</v>
      </c>
      <c r="E143" s="249" t="s">
        <v>366</v>
      </c>
      <c r="F143" s="1"/>
      <c r="G143" s="1"/>
      <c r="H143" s="1"/>
      <c r="I143" s="1"/>
      <c r="J143" s="1"/>
      <c r="K143" s="1"/>
      <c r="L143" s="1"/>
      <c r="M143" s="1"/>
      <c r="N143" s="1"/>
      <c r="O143" s="1"/>
      <c r="P143" s="1"/>
      <c r="Q143" s="1"/>
    </row>
    <row r="144" ht="14.25" customHeight="1">
      <c r="A144" s="1"/>
      <c r="B144" s="105" t="s">
        <v>3113</v>
      </c>
      <c r="C144" s="522">
        <v>20.0</v>
      </c>
      <c r="D144" s="522">
        <f t="shared" si="15"/>
        <v>5</v>
      </c>
      <c r="E144" s="518" t="s">
        <v>366</v>
      </c>
      <c r="F144" s="1"/>
      <c r="G144" s="1"/>
      <c r="H144" s="1"/>
      <c r="I144" s="1"/>
      <c r="J144" s="1"/>
      <c r="K144" s="1"/>
      <c r="L144" s="1"/>
      <c r="M144" s="1"/>
      <c r="N144" s="1"/>
      <c r="O144" s="1"/>
      <c r="P144" s="1"/>
      <c r="Q144" s="1"/>
    </row>
    <row r="145" ht="14.25" customHeight="1">
      <c r="A145" s="1"/>
      <c r="B145" s="1"/>
      <c r="C145" s="1"/>
      <c r="D145" s="1"/>
      <c r="E145" s="1"/>
      <c r="F145" s="1"/>
      <c r="G145" s="1"/>
      <c r="H145" s="1"/>
      <c r="I145" s="1"/>
      <c r="J145" s="1"/>
      <c r="K145" s="1"/>
      <c r="L145" s="1"/>
      <c r="M145" s="1"/>
      <c r="N145" s="1"/>
      <c r="O145" s="1"/>
      <c r="P145" s="1"/>
      <c r="Q145" s="1"/>
    </row>
    <row r="146" ht="14.25" customHeight="1">
      <c r="A146" s="1"/>
      <c r="B146" s="1"/>
      <c r="C146" s="1"/>
      <c r="D146" s="1"/>
      <c r="E146" s="1"/>
      <c r="F146" s="1"/>
      <c r="G146" s="1"/>
      <c r="H146" s="1"/>
      <c r="I146" s="1"/>
      <c r="J146" s="1"/>
      <c r="K146" s="1"/>
      <c r="L146" s="1"/>
      <c r="M146" s="1"/>
      <c r="N146" s="1"/>
      <c r="O146" s="1"/>
      <c r="P146" s="1"/>
      <c r="Q146" s="1"/>
    </row>
    <row r="147" ht="14.25" customHeight="1">
      <c r="A147" s="1"/>
      <c r="B147" s="1"/>
      <c r="C147" s="1"/>
      <c r="D147" s="1"/>
      <c r="E147" s="1"/>
      <c r="F147" s="1"/>
      <c r="G147" s="1"/>
      <c r="H147" s="1"/>
      <c r="I147" s="1"/>
      <c r="J147" s="1"/>
      <c r="K147" s="1"/>
      <c r="L147" s="1"/>
      <c r="M147" s="1"/>
      <c r="N147" s="1"/>
      <c r="O147" s="1"/>
      <c r="P147" s="1"/>
      <c r="Q147" s="1"/>
    </row>
    <row r="148" ht="14.25" customHeight="1">
      <c r="A148" s="1"/>
      <c r="B148" s="1"/>
      <c r="C148" s="1"/>
      <c r="D148" s="1"/>
      <c r="E148" s="1"/>
      <c r="F148" s="1"/>
      <c r="G148" s="1"/>
      <c r="H148" s="1"/>
      <c r="I148" s="1"/>
      <c r="J148" s="1"/>
      <c r="K148" s="1"/>
      <c r="L148" s="1"/>
      <c r="M148" s="1"/>
      <c r="N148" s="1"/>
      <c r="O148" s="1"/>
      <c r="P148" s="1"/>
      <c r="Q148" s="1"/>
    </row>
    <row r="149" ht="14.25" customHeight="1">
      <c r="A149" s="1"/>
      <c r="B149" s="1"/>
      <c r="C149" s="1"/>
      <c r="D149" s="1"/>
      <c r="E149" s="1"/>
      <c r="F149" s="1"/>
      <c r="G149" s="1"/>
      <c r="H149" s="1"/>
      <c r="I149" s="1"/>
      <c r="J149" s="1"/>
      <c r="K149" s="1"/>
      <c r="L149" s="1"/>
      <c r="M149" s="1"/>
      <c r="N149" s="1"/>
      <c r="O149" s="1"/>
      <c r="P149" s="1"/>
      <c r="Q149" s="1"/>
    </row>
    <row r="150" ht="14.25" customHeight="1">
      <c r="A150" s="1"/>
      <c r="B150" s="1"/>
      <c r="C150" s="1"/>
      <c r="D150" s="1"/>
      <c r="E150" s="1"/>
      <c r="F150" s="1"/>
      <c r="G150" s="1"/>
      <c r="H150" s="1"/>
      <c r="I150" s="1"/>
      <c r="J150" s="1"/>
      <c r="K150" s="1"/>
      <c r="L150" s="1"/>
      <c r="M150" s="1"/>
      <c r="N150" s="1"/>
      <c r="O150" s="1"/>
      <c r="P150" s="1"/>
      <c r="Q150" s="1"/>
    </row>
    <row r="151" ht="14.25" customHeight="1">
      <c r="A151" s="1"/>
      <c r="B151" s="1326" t="s">
        <v>288</v>
      </c>
      <c r="C151" s="18"/>
      <c r="D151" s="18"/>
      <c r="E151" s="19"/>
      <c r="F151" s="2670" t="s">
        <v>119</v>
      </c>
      <c r="G151" s="1446" t="s">
        <v>47</v>
      </c>
      <c r="H151" s="1"/>
      <c r="I151" s="1"/>
      <c r="J151" s="1"/>
      <c r="K151" s="1"/>
      <c r="L151" s="1"/>
      <c r="M151" s="1"/>
      <c r="N151" s="1"/>
      <c r="O151" s="1"/>
      <c r="P151" s="1"/>
      <c r="Q151" s="1"/>
    </row>
    <row r="152" ht="14.25" customHeight="1">
      <c r="A152" s="1"/>
      <c r="B152" s="119" t="s">
        <v>98</v>
      </c>
      <c r="C152" s="523">
        <v>1.0</v>
      </c>
      <c r="D152" s="523" t="s">
        <v>366</v>
      </c>
      <c r="E152" s="520"/>
      <c r="F152" s="1"/>
      <c r="G152" s="1"/>
      <c r="H152" s="1"/>
      <c r="I152" s="1"/>
      <c r="J152" s="1"/>
      <c r="K152" s="1"/>
      <c r="L152" s="1"/>
      <c r="M152" s="1"/>
      <c r="N152" s="1"/>
      <c r="O152" s="1"/>
      <c r="P152" s="1"/>
      <c r="Q152" s="1"/>
    </row>
    <row r="153" ht="14.25" customHeight="1">
      <c r="A153" s="1"/>
      <c r="B153" s="93" t="s">
        <v>3115</v>
      </c>
      <c r="C153" s="247">
        <v>0.5</v>
      </c>
      <c r="D153" s="247" t="s">
        <v>366</v>
      </c>
      <c r="E153" s="249"/>
      <c r="F153" s="1"/>
      <c r="G153" s="1"/>
      <c r="H153" s="1"/>
      <c r="I153" s="1"/>
      <c r="J153" s="1"/>
      <c r="K153" s="1"/>
      <c r="L153" s="1"/>
      <c r="M153" s="1"/>
      <c r="N153" s="1"/>
      <c r="O153" s="1"/>
      <c r="P153" s="1"/>
      <c r="Q153" s="1"/>
    </row>
    <row r="154" ht="14.25" customHeight="1">
      <c r="A154" s="1"/>
      <c r="B154" s="93" t="s">
        <v>3117</v>
      </c>
      <c r="C154" s="247">
        <v>0.5</v>
      </c>
      <c r="D154" s="247" t="s">
        <v>366</v>
      </c>
      <c r="E154" s="249"/>
      <c r="F154" s="1"/>
      <c r="G154" s="1"/>
      <c r="H154" s="1"/>
      <c r="I154" s="1"/>
      <c r="J154" s="1"/>
      <c r="K154" s="1"/>
      <c r="L154" s="1"/>
      <c r="M154" s="1"/>
      <c r="N154" s="1"/>
      <c r="O154" s="1"/>
      <c r="P154" s="1"/>
      <c r="Q154" s="1"/>
    </row>
    <row r="155" ht="14.25" customHeight="1">
      <c r="A155" s="1"/>
      <c r="B155" s="93" t="s">
        <v>3118</v>
      </c>
      <c r="C155" s="247">
        <v>200.0</v>
      </c>
      <c r="D155" s="247" t="s">
        <v>18</v>
      </c>
      <c r="E155" s="249"/>
      <c r="F155" s="1"/>
      <c r="G155" s="1"/>
      <c r="H155" s="1"/>
      <c r="I155" s="1"/>
      <c r="J155" s="1"/>
      <c r="K155" s="1"/>
      <c r="L155" s="1"/>
      <c r="M155" s="1"/>
      <c r="N155" s="1"/>
      <c r="O155" s="1"/>
      <c r="P155" s="1"/>
      <c r="Q155" s="1"/>
    </row>
    <row r="156" ht="14.25" customHeight="1">
      <c r="A156" s="1"/>
      <c r="B156" s="93" t="s">
        <v>1179</v>
      </c>
      <c r="C156" s="247">
        <v>200.0</v>
      </c>
      <c r="D156" s="247" t="s">
        <v>18</v>
      </c>
      <c r="E156" s="249"/>
      <c r="F156" s="1"/>
      <c r="G156" s="1"/>
      <c r="H156" s="1"/>
      <c r="I156" s="1"/>
      <c r="J156" s="1"/>
      <c r="K156" s="1"/>
      <c r="L156" s="1"/>
      <c r="M156" s="1"/>
      <c r="N156" s="1"/>
      <c r="O156" s="1"/>
      <c r="P156" s="1"/>
      <c r="Q156" s="1"/>
    </row>
    <row r="157" ht="14.25" customHeight="1">
      <c r="A157" s="1"/>
      <c r="B157" s="93" t="s">
        <v>95</v>
      </c>
      <c r="C157" s="247">
        <v>100.0</v>
      </c>
      <c r="D157" s="247" t="s">
        <v>2162</v>
      </c>
      <c r="E157" s="249"/>
      <c r="F157" s="1"/>
      <c r="G157" s="1"/>
      <c r="H157" s="1"/>
      <c r="I157" s="1"/>
      <c r="J157" s="1"/>
      <c r="K157" s="1"/>
      <c r="L157" s="1"/>
      <c r="M157" s="1"/>
      <c r="N157" s="1"/>
      <c r="O157" s="1"/>
      <c r="P157" s="1"/>
      <c r="Q157" s="1"/>
    </row>
    <row r="158" ht="14.25" customHeight="1">
      <c r="A158" s="1"/>
      <c r="B158" s="93" t="s">
        <v>3119</v>
      </c>
      <c r="C158" s="247">
        <v>200.0</v>
      </c>
      <c r="D158" s="247" t="s">
        <v>18</v>
      </c>
      <c r="E158" s="249"/>
      <c r="F158" s="1"/>
      <c r="G158" s="1"/>
      <c r="H158" s="1"/>
      <c r="I158" s="1"/>
      <c r="J158" s="1"/>
      <c r="K158" s="1"/>
      <c r="L158" s="1"/>
      <c r="M158" s="1"/>
      <c r="N158" s="1"/>
      <c r="O158" s="1"/>
      <c r="P158" s="1"/>
      <c r="Q158" s="1"/>
    </row>
    <row r="159" ht="14.25" customHeight="1">
      <c r="A159" s="1"/>
      <c r="B159" s="93" t="s">
        <v>66</v>
      </c>
      <c r="C159" s="247">
        <v>100.0</v>
      </c>
      <c r="D159" s="247" t="s">
        <v>2162</v>
      </c>
      <c r="E159" s="249"/>
      <c r="F159" s="1"/>
      <c r="G159" s="1"/>
      <c r="H159" s="1"/>
      <c r="I159" s="1"/>
      <c r="J159" s="1"/>
      <c r="K159" s="1"/>
      <c r="L159" s="1"/>
      <c r="M159" s="1"/>
      <c r="N159" s="1"/>
      <c r="O159" s="1"/>
      <c r="P159" s="1"/>
      <c r="Q159" s="1"/>
    </row>
    <row r="160" ht="14.25" customHeight="1">
      <c r="A160" s="1"/>
      <c r="B160" s="93" t="s">
        <v>3120</v>
      </c>
      <c r="C160" s="247">
        <v>10.0</v>
      </c>
      <c r="D160" s="247" t="s">
        <v>3121</v>
      </c>
      <c r="E160" s="249"/>
      <c r="F160" s="1"/>
      <c r="G160" s="1"/>
      <c r="H160" s="1"/>
      <c r="I160" s="1"/>
      <c r="J160" s="1"/>
      <c r="K160" s="1"/>
      <c r="L160" s="1"/>
      <c r="M160" s="1"/>
      <c r="N160" s="1"/>
      <c r="O160" s="1"/>
      <c r="P160" s="1"/>
      <c r="Q160" s="1"/>
    </row>
    <row r="161" ht="14.25" customHeight="1">
      <c r="A161" s="1"/>
      <c r="B161" s="93" t="s">
        <v>3122</v>
      </c>
      <c r="C161" s="247">
        <v>200.0</v>
      </c>
      <c r="D161" s="247" t="s">
        <v>18</v>
      </c>
      <c r="E161" s="249"/>
      <c r="F161" s="1"/>
      <c r="G161" s="1"/>
      <c r="H161" s="1"/>
      <c r="I161" s="1"/>
      <c r="J161" s="1"/>
      <c r="K161" s="1"/>
      <c r="L161" s="1"/>
      <c r="M161" s="1"/>
      <c r="N161" s="1"/>
      <c r="O161" s="1"/>
      <c r="P161" s="1"/>
      <c r="Q161" s="1"/>
    </row>
    <row r="162" ht="14.25" customHeight="1">
      <c r="A162" s="1"/>
      <c r="B162" s="93" t="s">
        <v>884</v>
      </c>
      <c r="C162" s="247">
        <v>200.0</v>
      </c>
      <c r="D162" s="247" t="s">
        <v>18</v>
      </c>
      <c r="E162" s="249"/>
      <c r="F162" s="1"/>
      <c r="G162" s="1"/>
      <c r="H162" s="1"/>
      <c r="I162" s="1"/>
      <c r="J162" s="1"/>
      <c r="K162" s="1"/>
      <c r="L162" s="1"/>
      <c r="M162" s="1"/>
      <c r="N162" s="1"/>
      <c r="O162" s="1"/>
      <c r="P162" s="1"/>
      <c r="Q162" s="1"/>
    </row>
    <row r="163" ht="14.25" customHeight="1">
      <c r="A163" s="1"/>
      <c r="B163" s="93" t="s">
        <v>3123</v>
      </c>
      <c r="C163" s="247">
        <v>200.0</v>
      </c>
      <c r="D163" s="247" t="s">
        <v>18</v>
      </c>
      <c r="E163" s="249"/>
      <c r="F163" s="1"/>
      <c r="G163" s="1"/>
      <c r="H163" s="1"/>
      <c r="I163" s="1"/>
      <c r="J163" s="1"/>
      <c r="K163" s="1"/>
      <c r="L163" s="1"/>
      <c r="M163" s="1"/>
      <c r="N163" s="1"/>
      <c r="O163" s="1"/>
      <c r="P163" s="1"/>
      <c r="Q163" s="1"/>
    </row>
    <row r="164" ht="14.25" customHeight="1">
      <c r="A164" s="1"/>
      <c r="B164" s="105" t="s">
        <v>3124</v>
      </c>
      <c r="C164" s="522">
        <v>100.0</v>
      </c>
      <c r="D164" s="522" t="s">
        <v>18</v>
      </c>
      <c r="E164" s="518"/>
      <c r="F164" s="1"/>
      <c r="G164" s="1"/>
      <c r="H164" s="1"/>
      <c r="I164" s="1"/>
      <c r="J164" s="1"/>
      <c r="K164" s="1"/>
      <c r="L164" s="1"/>
      <c r="M164" s="1"/>
      <c r="N164" s="1"/>
      <c r="O164" s="1"/>
      <c r="P164" s="1"/>
      <c r="Q164" s="1"/>
    </row>
    <row r="165" ht="14.25" customHeight="1">
      <c r="A165" s="1"/>
      <c r="B165" s="1"/>
      <c r="C165" s="1"/>
      <c r="D165" s="1"/>
      <c r="E165" s="1"/>
      <c r="F165" s="1"/>
      <c r="G165" s="1"/>
      <c r="H165" s="1"/>
      <c r="I165" s="1"/>
      <c r="J165" s="1"/>
      <c r="K165" s="1"/>
      <c r="L165" s="1"/>
      <c r="M165" s="1"/>
      <c r="N165" s="1"/>
      <c r="O165" s="1"/>
      <c r="P165" s="1"/>
      <c r="Q165" s="1"/>
    </row>
    <row r="166" ht="14.25" customHeight="1">
      <c r="A166" s="1"/>
      <c r="B166" s="1"/>
      <c r="C166" s="1"/>
      <c r="D166" s="1"/>
      <c r="E166" s="1"/>
      <c r="F166" s="1"/>
      <c r="G166" s="1"/>
      <c r="H166" s="1"/>
      <c r="I166" s="1"/>
      <c r="J166" s="1"/>
      <c r="K166" s="1"/>
      <c r="L166" s="1"/>
      <c r="M166" s="1"/>
      <c r="N166" s="1"/>
      <c r="O166" s="1"/>
      <c r="P166" s="1"/>
      <c r="Q166" s="1"/>
    </row>
    <row r="167" ht="14.25" customHeight="1">
      <c r="A167" s="1"/>
      <c r="B167" s="1"/>
      <c r="C167" s="1"/>
      <c r="D167" s="1"/>
      <c r="E167" s="1"/>
      <c r="F167" s="1"/>
      <c r="G167" s="1"/>
      <c r="H167" s="1"/>
      <c r="I167" s="1"/>
      <c r="J167" s="1"/>
      <c r="K167" s="1"/>
      <c r="L167" s="1"/>
      <c r="M167" s="1"/>
      <c r="N167" s="1"/>
      <c r="O167" s="1"/>
      <c r="P167" s="1"/>
      <c r="Q167" s="1"/>
    </row>
    <row r="168" ht="14.25" customHeight="1">
      <c r="A168" s="1"/>
      <c r="B168" s="1308" t="s">
        <v>3125</v>
      </c>
      <c r="C168" s="18"/>
      <c r="D168" s="18"/>
      <c r="E168" s="19"/>
      <c r="F168" s="2670" t="s">
        <v>119</v>
      </c>
      <c r="G168" s="1446" t="s">
        <v>47</v>
      </c>
      <c r="H168" s="1"/>
      <c r="I168" s="1"/>
      <c r="J168" s="1"/>
      <c r="K168" s="1"/>
      <c r="L168" s="1"/>
      <c r="M168" s="1"/>
      <c r="N168" s="1"/>
      <c r="O168" s="1"/>
      <c r="P168" s="1"/>
      <c r="Q168" s="1"/>
    </row>
    <row r="169" ht="14.25" customHeight="1">
      <c r="A169" s="1"/>
      <c r="B169" s="119" t="s">
        <v>3126</v>
      </c>
      <c r="C169" s="523">
        <v>0.5</v>
      </c>
      <c r="D169" s="523" t="s">
        <v>366</v>
      </c>
      <c r="E169" s="520"/>
      <c r="F169" s="1"/>
      <c r="G169" s="1"/>
      <c r="H169" s="1"/>
      <c r="I169" s="1"/>
      <c r="J169" s="1"/>
      <c r="K169" s="1"/>
      <c r="L169" s="1"/>
      <c r="M169" s="1"/>
      <c r="N169" s="1"/>
      <c r="O169" s="1"/>
      <c r="P169" s="1"/>
      <c r="Q169" s="1"/>
    </row>
    <row r="170" ht="14.25" customHeight="1">
      <c r="A170" s="1"/>
      <c r="B170" s="93" t="s">
        <v>96</v>
      </c>
      <c r="C170" s="247">
        <v>100.0</v>
      </c>
      <c r="D170" s="247" t="s">
        <v>18</v>
      </c>
      <c r="E170" s="249"/>
      <c r="F170" s="1"/>
      <c r="G170" s="1"/>
      <c r="H170" s="1"/>
      <c r="I170" s="1"/>
      <c r="J170" s="1"/>
      <c r="K170" s="1"/>
      <c r="L170" s="1"/>
      <c r="M170" s="1"/>
      <c r="N170" s="1"/>
      <c r="O170" s="1"/>
      <c r="P170" s="1"/>
      <c r="Q170" s="1"/>
    </row>
    <row r="171" ht="14.25" customHeight="1">
      <c r="A171" s="1"/>
      <c r="B171" s="93" t="s">
        <v>3127</v>
      </c>
      <c r="C171" s="247">
        <v>0.5</v>
      </c>
      <c r="D171" s="247" t="s">
        <v>366</v>
      </c>
      <c r="E171" s="249"/>
      <c r="F171" s="1"/>
      <c r="G171" s="1"/>
      <c r="H171" s="1"/>
      <c r="I171" s="1"/>
      <c r="J171" s="1"/>
      <c r="K171" s="1"/>
      <c r="L171" s="1"/>
      <c r="M171" s="1"/>
      <c r="N171" s="1"/>
      <c r="O171" s="1"/>
      <c r="P171" s="1"/>
      <c r="Q171" s="1"/>
    </row>
    <row r="172" ht="14.25" customHeight="1">
      <c r="A172" s="1"/>
      <c r="B172" s="93" t="s">
        <v>3129</v>
      </c>
      <c r="C172" s="247">
        <v>50.0</v>
      </c>
      <c r="D172" s="247" t="s">
        <v>18</v>
      </c>
      <c r="E172" s="249"/>
      <c r="F172" s="1"/>
      <c r="G172" s="1"/>
      <c r="H172" s="1"/>
      <c r="I172" s="1"/>
      <c r="J172" s="1"/>
      <c r="K172" s="1"/>
      <c r="L172" s="1"/>
      <c r="M172" s="1"/>
      <c r="N172" s="1"/>
      <c r="O172" s="1"/>
      <c r="P172" s="1"/>
      <c r="Q172" s="1"/>
    </row>
    <row r="173" ht="14.25" customHeight="1">
      <c r="A173" s="1"/>
      <c r="B173" s="105" t="s">
        <v>1714</v>
      </c>
      <c r="C173" s="522">
        <v>0.5</v>
      </c>
      <c r="D173" s="522" t="s">
        <v>366</v>
      </c>
      <c r="E173" s="518"/>
      <c r="F173" s="1"/>
      <c r="G173" s="1"/>
      <c r="H173" s="1"/>
      <c r="I173" s="1"/>
      <c r="J173" s="1"/>
      <c r="K173" s="1"/>
      <c r="L173" s="1"/>
      <c r="M173" s="1"/>
      <c r="N173" s="1"/>
      <c r="O173" s="1"/>
      <c r="P173" s="1"/>
      <c r="Q173" s="1"/>
    </row>
    <row r="174" ht="14.25" customHeight="1">
      <c r="A174" s="1"/>
      <c r="B174" s="1"/>
      <c r="C174" s="1"/>
      <c r="D174" s="1"/>
      <c r="E174" s="1"/>
      <c r="F174" s="1"/>
      <c r="G174" s="1"/>
      <c r="H174" s="1"/>
      <c r="I174" s="1"/>
      <c r="J174" s="1"/>
      <c r="K174" s="1"/>
      <c r="L174" s="1"/>
      <c r="M174" s="1"/>
      <c r="N174" s="1"/>
      <c r="O174" s="1"/>
      <c r="P174" s="1"/>
      <c r="Q174" s="1"/>
    </row>
    <row r="175" ht="14.25" customHeight="1">
      <c r="A175" s="1"/>
      <c r="B175" s="1"/>
      <c r="C175" s="1"/>
      <c r="D175" s="1"/>
      <c r="E175" s="1"/>
      <c r="F175" s="1"/>
      <c r="G175" s="1"/>
      <c r="H175" s="1"/>
      <c r="I175" s="1"/>
      <c r="J175" s="1"/>
      <c r="K175" s="1"/>
      <c r="L175" s="1"/>
      <c r="M175" s="1"/>
      <c r="N175" s="1"/>
      <c r="O175" s="1"/>
      <c r="P175" s="1"/>
      <c r="Q175" s="1"/>
    </row>
    <row r="176" ht="14.25" customHeight="1">
      <c r="A176" s="1"/>
      <c r="B176" s="209" t="s">
        <v>3130</v>
      </c>
      <c r="C176" s="18"/>
      <c r="D176" s="18"/>
      <c r="E176" s="19"/>
      <c r="F176" s="2670" t="s">
        <v>119</v>
      </c>
      <c r="G176" s="1446" t="s">
        <v>47</v>
      </c>
      <c r="H176" s="1"/>
      <c r="I176" s="1"/>
      <c r="J176" s="1"/>
      <c r="K176" s="1"/>
      <c r="L176" s="1"/>
      <c r="M176" s="1"/>
      <c r="N176" s="1"/>
      <c r="O176" s="1"/>
      <c r="P176" s="1"/>
      <c r="Q176" s="1"/>
    </row>
    <row r="177" ht="14.25" customHeight="1">
      <c r="A177" s="1"/>
      <c r="B177" s="2791" t="s">
        <v>1</v>
      </c>
      <c r="C177" s="753">
        <v>32.0</v>
      </c>
      <c r="D177" s="753">
        <v>25.0</v>
      </c>
      <c r="E177" s="754" t="s">
        <v>5</v>
      </c>
      <c r="F177" s="1"/>
      <c r="G177" s="1"/>
      <c r="H177" s="1"/>
      <c r="I177" s="1"/>
      <c r="J177" s="1"/>
      <c r="K177" s="1"/>
      <c r="L177" s="1"/>
      <c r="M177" s="1"/>
      <c r="N177" s="1"/>
      <c r="O177" s="1"/>
      <c r="P177" s="1"/>
      <c r="Q177" s="1"/>
    </row>
    <row r="178" ht="14.25" customHeight="1">
      <c r="A178" s="1"/>
      <c r="B178" s="119" t="s">
        <v>1161</v>
      </c>
      <c r="C178" s="523">
        <v>13.0</v>
      </c>
      <c r="D178" s="2793">
        <f t="shared" ref="D178:D181" si="16">D177/C177*C178</f>
        <v>10.15625</v>
      </c>
      <c r="E178" s="520" t="s">
        <v>366</v>
      </c>
      <c r="F178" s="1"/>
      <c r="G178" s="1"/>
      <c r="H178" s="1"/>
      <c r="I178" s="1"/>
      <c r="J178" s="1"/>
      <c r="K178" s="1"/>
      <c r="L178" s="1"/>
      <c r="M178" s="1"/>
      <c r="N178" s="1"/>
      <c r="O178" s="1"/>
      <c r="P178" s="1"/>
      <c r="Q178" s="1"/>
    </row>
    <row r="179" ht="14.25" customHeight="1">
      <c r="A179" s="1"/>
      <c r="B179" s="93" t="s">
        <v>3133</v>
      </c>
      <c r="C179" s="247">
        <v>24.0</v>
      </c>
      <c r="D179" s="1473">
        <f t="shared" si="16"/>
        <v>18.75</v>
      </c>
      <c r="E179" s="249" t="s">
        <v>366</v>
      </c>
      <c r="F179" s="1"/>
      <c r="G179" s="1"/>
      <c r="H179" s="1"/>
      <c r="I179" s="1"/>
      <c r="J179" s="1"/>
      <c r="K179" s="1"/>
      <c r="L179" s="1"/>
      <c r="M179" s="1"/>
      <c r="N179" s="1"/>
      <c r="O179" s="1"/>
      <c r="P179" s="1"/>
      <c r="Q179" s="1"/>
    </row>
    <row r="180" ht="14.25" customHeight="1">
      <c r="A180" s="1"/>
      <c r="B180" s="105" t="s">
        <v>3134</v>
      </c>
      <c r="C180" s="522">
        <v>2.0</v>
      </c>
      <c r="D180" s="1474">
        <f t="shared" si="16"/>
        <v>1.5625</v>
      </c>
      <c r="E180" s="518" t="s">
        <v>366</v>
      </c>
      <c r="F180" s="1"/>
      <c r="G180" s="1"/>
      <c r="H180" s="1"/>
      <c r="I180" s="1"/>
      <c r="J180" s="1"/>
      <c r="K180" s="1"/>
      <c r="L180" s="1"/>
      <c r="M180" s="1"/>
      <c r="N180" s="1"/>
      <c r="O180" s="1"/>
      <c r="P180" s="1"/>
      <c r="Q180" s="1"/>
    </row>
    <row r="181" ht="14.25" customHeight="1">
      <c r="A181" s="1"/>
      <c r="B181" s="173" t="s">
        <v>3091</v>
      </c>
      <c r="C181" s="1201">
        <v>3.0</v>
      </c>
      <c r="D181" s="2795">
        <f t="shared" si="16"/>
        <v>2.34375</v>
      </c>
      <c r="E181" s="547" t="s">
        <v>366</v>
      </c>
      <c r="F181" s="1"/>
      <c r="G181" s="1"/>
      <c r="H181" s="1"/>
      <c r="I181" s="1"/>
      <c r="J181" s="1"/>
      <c r="K181" s="1"/>
      <c r="L181" s="1"/>
      <c r="M181" s="1"/>
      <c r="N181" s="1"/>
      <c r="O181" s="1"/>
      <c r="P181" s="1"/>
      <c r="Q181" s="1"/>
    </row>
    <row r="182" ht="14.25" customHeight="1">
      <c r="A182" s="1"/>
      <c r="B182" s="1"/>
      <c r="C182" s="1"/>
      <c r="D182" s="1"/>
      <c r="E182" s="1"/>
      <c r="F182" s="1"/>
      <c r="G182" s="1"/>
      <c r="H182" s="1"/>
      <c r="I182" s="1"/>
      <c r="J182" s="1"/>
      <c r="K182" s="1"/>
      <c r="L182" s="1"/>
      <c r="M182" s="1"/>
      <c r="N182" s="1"/>
      <c r="O182" s="1"/>
      <c r="P182" s="1"/>
      <c r="Q182" s="1"/>
    </row>
    <row r="183" ht="14.25" customHeight="1">
      <c r="A183" s="1"/>
      <c r="B183" s="1"/>
      <c r="C183" s="1"/>
      <c r="D183" s="1"/>
      <c r="E183" s="1"/>
      <c r="F183" s="1"/>
      <c r="G183" s="1"/>
      <c r="H183" s="1"/>
      <c r="I183" s="1"/>
      <c r="J183" s="1"/>
      <c r="K183" s="1"/>
      <c r="L183" s="1"/>
      <c r="M183" s="1"/>
      <c r="N183" s="1"/>
      <c r="O183" s="1"/>
      <c r="P183" s="1"/>
      <c r="Q183" s="1"/>
    </row>
    <row r="184" ht="14.25" customHeight="1">
      <c r="A184" s="1"/>
      <c r="B184" s="1"/>
      <c r="C184" s="1"/>
      <c r="D184" s="1"/>
      <c r="E184" s="1"/>
      <c r="F184" s="1"/>
      <c r="G184" s="1"/>
      <c r="H184" s="1"/>
      <c r="I184" s="1"/>
      <c r="J184" s="1"/>
      <c r="K184" s="1"/>
      <c r="L184" s="1"/>
      <c r="M184" s="1"/>
      <c r="N184" s="1"/>
      <c r="O184" s="1"/>
      <c r="P184" s="1"/>
      <c r="Q184" s="1"/>
    </row>
    <row r="185" ht="14.25" customHeight="1">
      <c r="A185" s="1"/>
      <c r="B185" s="209" t="s">
        <v>3136</v>
      </c>
      <c r="C185" s="18"/>
      <c r="D185" s="18"/>
      <c r="E185" s="19"/>
      <c r="F185" s="2670" t="s">
        <v>119</v>
      </c>
      <c r="G185" s="1446" t="s">
        <v>47</v>
      </c>
      <c r="H185" s="1"/>
      <c r="I185" s="1"/>
      <c r="J185" s="1"/>
      <c r="K185" s="1"/>
      <c r="L185" s="1"/>
      <c r="M185" s="1"/>
      <c r="N185" s="1"/>
      <c r="O185" s="1"/>
      <c r="P185" s="1"/>
      <c r="Q185" s="1"/>
    </row>
    <row r="186" ht="14.25" customHeight="1">
      <c r="A186" s="1"/>
      <c r="B186" s="2791" t="s">
        <v>1</v>
      </c>
      <c r="C186" s="753">
        <v>30.0</v>
      </c>
      <c r="D186" s="753">
        <v>10.0</v>
      </c>
      <c r="E186" s="754" t="s">
        <v>5</v>
      </c>
      <c r="F186" s="1"/>
      <c r="G186" s="1"/>
      <c r="H186" s="1"/>
      <c r="I186" s="1"/>
      <c r="J186" s="1"/>
      <c r="K186" s="1"/>
      <c r="L186" s="1"/>
      <c r="M186" s="1"/>
      <c r="N186" s="1"/>
      <c r="O186" s="1"/>
      <c r="P186" s="1"/>
      <c r="Q186" s="1"/>
    </row>
    <row r="187" ht="14.25" customHeight="1">
      <c r="A187" s="1"/>
      <c r="B187" s="119" t="s">
        <v>3138</v>
      </c>
      <c r="C187" s="523">
        <v>15.0</v>
      </c>
      <c r="D187" s="2793">
        <f t="shared" ref="D187:D190" si="17">D186/C186*C187</f>
        <v>5</v>
      </c>
      <c r="E187" s="520" t="s">
        <v>366</v>
      </c>
      <c r="F187" s="1"/>
      <c r="G187" s="1"/>
      <c r="H187" s="1"/>
      <c r="I187" s="1"/>
      <c r="J187" s="1"/>
      <c r="K187" s="1"/>
      <c r="L187" s="1"/>
      <c r="M187" s="1"/>
      <c r="N187" s="1"/>
      <c r="O187" s="1"/>
      <c r="P187" s="1"/>
      <c r="Q187" s="1"/>
    </row>
    <row r="188" ht="14.25" customHeight="1">
      <c r="A188" s="1"/>
      <c r="B188" s="93" t="s">
        <v>1252</v>
      </c>
      <c r="C188" s="247">
        <v>16.0</v>
      </c>
      <c r="D188" s="1473">
        <f t="shared" si="17"/>
        <v>5.333333333</v>
      </c>
      <c r="E188" s="249" t="s">
        <v>366</v>
      </c>
      <c r="F188" s="1"/>
      <c r="G188" s="1"/>
      <c r="H188" s="1"/>
      <c r="I188" s="1"/>
      <c r="J188" s="1"/>
      <c r="K188" s="1"/>
      <c r="L188" s="1"/>
      <c r="M188" s="1"/>
      <c r="N188" s="1"/>
      <c r="O188" s="1"/>
      <c r="P188" s="1"/>
      <c r="Q188" s="1"/>
    </row>
    <row r="189" ht="14.25" customHeight="1">
      <c r="A189" s="1"/>
      <c r="B189" s="105" t="s">
        <v>1531</v>
      </c>
      <c r="C189" s="522">
        <v>12.0</v>
      </c>
      <c r="D189" s="1474">
        <f t="shared" si="17"/>
        <v>4</v>
      </c>
      <c r="E189" s="518" t="s">
        <v>366</v>
      </c>
      <c r="F189" s="1"/>
      <c r="G189" s="1"/>
      <c r="H189" s="1"/>
      <c r="I189" s="1"/>
      <c r="J189" s="1"/>
      <c r="K189" s="1"/>
      <c r="L189" s="1"/>
      <c r="M189" s="1"/>
      <c r="N189" s="1"/>
      <c r="O189" s="1"/>
      <c r="P189" s="1"/>
      <c r="Q189" s="1"/>
    </row>
    <row r="190" ht="14.25" customHeight="1">
      <c r="A190" s="1"/>
      <c r="B190" s="173" t="s">
        <v>3091</v>
      </c>
      <c r="C190" s="1201">
        <v>3.0</v>
      </c>
      <c r="D190" s="2795">
        <f t="shared" si="17"/>
        <v>1</v>
      </c>
      <c r="E190" s="547" t="s">
        <v>366</v>
      </c>
      <c r="F190" s="1"/>
      <c r="G190" s="1"/>
      <c r="H190" s="1"/>
      <c r="I190" s="1"/>
      <c r="J190" s="1"/>
      <c r="K190" s="1"/>
      <c r="L190" s="1"/>
      <c r="M190" s="1"/>
      <c r="N190" s="1"/>
      <c r="O190" s="1"/>
      <c r="P190" s="1"/>
      <c r="Q190" s="1"/>
    </row>
    <row r="191" ht="14.25" customHeight="1">
      <c r="A191" s="1"/>
      <c r="B191" s="1"/>
      <c r="C191" s="1"/>
      <c r="D191" s="1"/>
      <c r="E191" s="1"/>
      <c r="F191" s="1"/>
      <c r="G191" s="1"/>
      <c r="H191" s="1"/>
      <c r="I191" s="1"/>
      <c r="J191" s="1"/>
      <c r="K191" s="1"/>
      <c r="L191" s="1"/>
      <c r="M191" s="1"/>
      <c r="N191" s="1"/>
      <c r="O191" s="1"/>
      <c r="P191" s="1"/>
      <c r="Q191" s="1"/>
    </row>
    <row r="192" ht="14.25" customHeight="1">
      <c r="A192" s="1"/>
      <c r="B192" s="1"/>
      <c r="C192" s="1"/>
      <c r="D192" s="1"/>
      <c r="E192" s="1"/>
      <c r="F192" s="1"/>
      <c r="G192" s="1"/>
      <c r="H192" s="1"/>
      <c r="I192" s="1"/>
      <c r="J192" s="1"/>
      <c r="K192" s="1"/>
      <c r="L192" s="1"/>
      <c r="M192" s="1"/>
      <c r="N192" s="1"/>
      <c r="O192" s="1"/>
      <c r="P192" s="1"/>
      <c r="Q192" s="1"/>
    </row>
    <row r="193" ht="14.25" customHeight="1">
      <c r="A193" s="1"/>
      <c r="B193" s="1"/>
      <c r="C193" s="107"/>
      <c r="D193" s="107"/>
      <c r="E193" s="107"/>
      <c r="F193" s="1"/>
      <c r="G193" s="1"/>
      <c r="H193" s="1"/>
      <c r="I193" s="1"/>
      <c r="J193" s="1"/>
      <c r="K193" s="1"/>
      <c r="L193" s="1"/>
      <c r="M193" s="1"/>
      <c r="N193" s="1"/>
      <c r="O193" s="1"/>
      <c r="P193" s="1"/>
      <c r="Q193" s="1"/>
    </row>
    <row r="194" ht="14.25" customHeight="1">
      <c r="A194" s="1"/>
      <c r="B194" s="1"/>
      <c r="C194" s="107"/>
      <c r="D194" s="107"/>
      <c r="E194" s="107"/>
      <c r="F194" s="1"/>
      <c r="G194" s="1"/>
      <c r="H194" s="1"/>
      <c r="I194" s="1"/>
      <c r="J194" s="1"/>
      <c r="K194" s="1"/>
      <c r="L194" s="1"/>
      <c r="M194" s="1"/>
      <c r="N194" s="1"/>
      <c r="O194" s="1"/>
      <c r="P194" s="1"/>
      <c r="Q194" s="1"/>
    </row>
    <row r="195" ht="14.25" customHeight="1">
      <c r="A195" s="1"/>
      <c r="B195" s="2798" t="s">
        <v>559</v>
      </c>
      <c r="C195" s="18"/>
      <c r="D195" s="18"/>
      <c r="E195" s="19"/>
      <c r="F195" s="2670" t="s">
        <v>119</v>
      </c>
      <c r="G195" s="1446" t="s">
        <v>47</v>
      </c>
      <c r="H195" s="1"/>
      <c r="I195" s="1"/>
      <c r="J195" s="1"/>
      <c r="K195" s="1"/>
      <c r="L195" s="1"/>
      <c r="M195" s="1"/>
      <c r="N195" s="1"/>
      <c r="O195" s="1"/>
      <c r="P195" s="1"/>
      <c r="Q195" s="1"/>
    </row>
    <row r="196" ht="14.25" customHeight="1">
      <c r="A196" s="1"/>
      <c r="B196" s="51" t="s">
        <v>1</v>
      </c>
      <c r="C196" s="190">
        <v>30.0</v>
      </c>
      <c r="D196" s="513">
        <v>42.0</v>
      </c>
      <c r="E196" s="514" t="s">
        <v>5</v>
      </c>
      <c r="F196" s="2801"/>
      <c r="G196" s="1"/>
      <c r="H196" s="1"/>
      <c r="I196" s="1"/>
      <c r="J196" s="1"/>
      <c r="K196" s="1"/>
      <c r="L196" s="1"/>
      <c r="M196" s="1"/>
      <c r="N196" s="1"/>
      <c r="O196" s="1"/>
      <c r="P196" s="1"/>
      <c r="Q196" s="1"/>
    </row>
    <row r="197" ht="14.25" customHeight="1">
      <c r="A197" s="1"/>
      <c r="B197" s="1590" t="s">
        <v>3143</v>
      </c>
      <c r="C197" s="145">
        <v>12.0</v>
      </c>
      <c r="D197" s="155">
        <f t="shared" ref="D197:D198" si="18">(C197*D196)/C196</f>
        <v>16.8</v>
      </c>
      <c r="E197" s="216" t="s">
        <v>14</v>
      </c>
      <c r="F197" s="2801"/>
      <c r="G197" s="1"/>
      <c r="H197" s="1"/>
      <c r="I197" s="1"/>
      <c r="J197" s="1"/>
      <c r="K197" s="1"/>
      <c r="L197" s="1"/>
      <c r="M197" s="1"/>
      <c r="N197" s="1"/>
      <c r="O197" s="1"/>
      <c r="P197" s="1"/>
      <c r="Q197" s="1"/>
    </row>
    <row r="198" ht="14.25" customHeight="1">
      <c r="A198" s="1"/>
      <c r="B198" s="1594" t="s">
        <v>1161</v>
      </c>
      <c r="C198" s="195">
        <v>3.0</v>
      </c>
      <c r="D198" s="78">
        <f t="shared" si="18"/>
        <v>4.2</v>
      </c>
      <c r="E198" s="249" t="s">
        <v>366</v>
      </c>
      <c r="F198" s="2801"/>
      <c r="G198" s="1"/>
      <c r="H198" s="1"/>
      <c r="I198" s="1"/>
      <c r="J198" s="1"/>
      <c r="K198" s="1"/>
      <c r="L198" s="1"/>
      <c r="M198" s="1"/>
      <c r="N198" s="1"/>
      <c r="O198" s="1"/>
      <c r="P198" s="1"/>
      <c r="Q198" s="1"/>
    </row>
    <row r="199" ht="14.25" customHeight="1">
      <c r="A199" s="1"/>
      <c r="B199" s="1367" t="s">
        <v>1610</v>
      </c>
      <c r="C199" s="279">
        <v>3.0</v>
      </c>
      <c r="D199" s="146">
        <f t="shared" ref="D199:D200" si="19">(C199*D197)/C197</f>
        <v>4.2</v>
      </c>
      <c r="E199" s="242" t="s">
        <v>366</v>
      </c>
      <c r="F199" s="2801"/>
      <c r="G199" s="1"/>
      <c r="H199" s="1"/>
      <c r="I199" s="1"/>
      <c r="J199" s="1"/>
      <c r="K199" s="1"/>
      <c r="L199" s="1"/>
      <c r="M199" s="1"/>
      <c r="N199" s="1"/>
      <c r="O199" s="1"/>
      <c r="P199" s="1"/>
      <c r="Q199" s="1"/>
    </row>
    <row r="200" ht="14.25" customHeight="1">
      <c r="A200" s="1"/>
      <c r="B200" s="675" t="s">
        <v>3144</v>
      </c>
      <c r="C200" s="200">
        <v>0.4</v>
      </c>
      <c r="D200" s="56">
        <f t="shared" si="19"/>
        <v>0.56</v>
      </c>
      <c r="E200" s="518" t="s">
        <v>366</v>
      </c>
      <c r="F200" s="2801"/>
      <c r="G200" s="1"/>
      <c r="H200" s="1"/>
      <c r="I200" s="1"/>
      <c r="J200" s="1"/>
      <c r="K200" s="1"/>
      <c r="L200" s="1"/>
      <c r="M200" s="1"/>
      <c r="N200" s="1"/>
      <c r="O200" s="1"/>
      <c r="P200" s="1"/>
      <c r="Q200" s="1"/>
    </row>
    <row r="201" ht="14.25" customHeight="1">
      <c r="A201" s="1"/>
      <c r="B201" s="2325" t="s">
        <v>186</v>
      </c>
      <c r="C201" s="2326"/>
      <c r="D201" s="2326">
        <v>43402.0</v>
      </c>
      <c r="E201" s="2801"/>
      <c r="F201" s="2801"/>
      <c r="G201" s="1"/>
      <c r="H201" s="1"/>
      <c r="I201" s="1"/>
      <c r="J201" s="1"/>
      <c r="K201" s="1"/>
      <c r="L201" s="1"/>
      <c r="M201" s="1"/>
      <c r="N201" s="1"/>
      <c r="O201" s="1"/>
      <c r="P201" s="1"/>
      <c r="Q201" s="1"/>
    </row>
    <row r="202" ht="14.25" customHeight="1">
      <c r="A202" s="1"/>
      <c r="B202" s="664" t="s">
        <v>50</v>
      </c>
      <c r="C202" s="2326"/>
      <c r="D202" s="2326">
        <v>43402.0</v>
      </c>
      <c r="E202" s="107"/>
      <c r="F202" s="2801"/>
      <c r="G202" s="1"/>
      <c r="H202" s="1"/>
      <c r="I202" s="1"/>
      <c r="J202" s="1"/>
      <c r="K202" s="1"/>
      <c r="L202" s="1"/>
      <c r="M202" s="1"/>
      <c r="N202" s="1"/>
      <c r="O202" s="1"/>
      <c r="P202" s="1"/>
      <c r="Q202" s="1"/>
    </row>
    <row r="203" ht="14.25" customHeight="1">
      <c r="A203" s="1"/>
      <c r="B203" s="1"/>
      <c r="C203" s="1"/>
      <c r="D203" s="1"/>
      <c r="E203" s="1"/>
      <c r="F203" s="1"/>
      <c r="G203" s="1"/>
      <c r="H203" s="1"/>
      <c r="I203" s="1"/>
      <c r="J203" s="1"/>
      <c r="K203" s="1"/>
      <c r="L203" s="1"/>
      <c r="M203" s="1"/>
      <c r="N203" s="1"/>
      <c r="O203" s="1"/>
      <c r="P203" s="1"/>
      <c r="Q203" s="1"/>
    </row>
    <row r="204" ht="14.25" customHeight="1">
      <c r="A204" s="1"/>
      <c r="B204" s="1"/>
      <c r="C204" s="1"/>
      <c r="D204" s="1"/>
      <c r="E204" s="1"/>
      <c r="F204" s="1"/>
      <c r="G204" s="1"/>
      <c r="H204" s="1"/>
      <c r="I204" s="1"/>
      <c r="J204" s="1"/>
      <c r="K204" s="1"/>
      <c r="L204" s="1"/>
      <c r="M204" s="1"/>
      <c r="N204" s="1"/>
      <c r="O204" s="1"/>
      <c r="P204" s="1"/>
      <c r="Q204" s="1"/>
    </row>
    <row r="205" ht="14.25" customHeight="1">
      <c r="A205" s="1"/>
      <c r="B205" s="511" t="s">
        <v>3146</v>
      </c>
      <c r="C205" s="18"/>
      <c r="D205" s="18"/>
      <c r="E205" s="19"/>
      <c r="F205" s="2670" t="s">
        <v>119</v>
      </c>
      <c r="G205" s="1446" t="s">
        <v>47</v>
      </c>
      <c r="H205" s="1"/>
      <c r="I205" s="1"/>
      <c r="J205" s="1"/>
      <c r="K205" s="1"/>
      <c r="L205" s="1"/>
      <c r="M205" s="1"/>
      <c r="N205" s="1"/>
      <c r="O205" s="1"/>
      <c r="P205" s="1"/>
      <c r="Q205" s="1"/>
    </row>
    <row r="206" ht="14.25" customHeight="1">
      <c r="A206" s="1"/>
      <c r="B206" s="51" t="s">
        <v>1</v>
      </c>
      <c r="C206" s="190">
        <v>10.0</v>
      </c>
      <c r="D206" s="513">
        <v>10.0</v>
      </c>
      <c r="E206" s="514" t="s">
        <v>5</v>
      </c>
      <c r="F206" s="1"/>
      <c r="G206" s="1"/>
      <c r="H206" s="1"/>
      <c r="I206" s="1"/>
      <c r="J206" s="1"/>
      <c r="K206" s="1"/>
      <c r="L206" s="1"/>
      <c r="M206" s="1"/>
      <c r="N206" s="1"/>
      <c r="O206" s="1"/>
      <c r="P206" s="1"/>
      <c r="Q206" s="1"/>
    </row>
    <row r="207" ht="14.25" customHeight="1">
      <c r="A207" s="1"/>
      <c r="B207" s="68" t="s">
        <v>2766</v>
      </c>
      <c r="C207" s="145">
        <v>1.8</v>
      </c>
      <c r="D207" s="155">
        <f t="shared" ref="D207:D222" si="20">(C207*D206)/C206</f>
        <v>1.8</v>
      </c>
      <c r="E207" s="216" t="s">
        <v>14</v>
      </c>
      <c r="F207" s="1"/>
      <c r="G207" s="1"/>
      <c r="H207" s="1"/>
      <c r="I207" s="1"/>
      <c r="J207" s="1"/>
      <c r="K207" s="1"/>
      <c r="L207" s="1"/>
      <c r="M207" s="1"/>
      <c r="N207" s="1"/>
      <c r="O207" s="1"/>
      <c r="P207" s="1"/>
      <c r="Q207" s="1"/>
    </row>
    <row r="208" ht="14.25" customHeight="1">
      <c r="A208" s="1"/>
      <c r="B208" s="105" t="s">
        <v>2767</v>
      </c>
      <c r="C208" s="200">
        <v>30.0</v>
      </c>
      <c r="D208" s="56">
        <f t="shared" si="20"/>
        <v>30</v>
      </c>
      <c r="E208" s="518" t="s">
        <v>18</v>
      </c>
      <c r="F208" s="1"/>
      <c r="G208" s="1"/>
      <c r="H208" s="1"/>
      <c r="I208" s="1"/>
      <c r="J208" s="1"/>
      <c r="K208" s="1"/>
      <c r="L208" s="1"/>
      <c r="M208" s="1"/>
      <c r="N208" s="1"/>
      <c r="O208" s="1"/>
      <c r="P208" s="1"/>
      <c r="Q208" s="1"/>
    </row>
    <row r="209" ht="14.25" customHeight="1">
      <c r="A209" s="1"/>
      <c r="B209" s="68" t="s">
        <v>91</v>
      </c>
      <c r="C209" s="145">
        <v>0.25</v>
      </c>
      <c r="D209" s="155">
        <f t="shared" si="20"/>
        <v>0.25</v>
      </c>
      <c r="E209" s="216" t="s">
        <v>5</v>
      </c>
      <c r="F209" s="1"/>
      <c r="G209" s="1"/>
      <c r="H209" s="1"/>
      <c r="I209" s="1"/>
      <c r="J209" s="1"/>
      <c r="K209" s="1"/>
      <c r="L209" s="1"/>
      <c r="M209" s="1"/>
      <c r="N209" s="1"/>
      <c r="O209" s="1"/>
      <c r="P209" s="1"/>
      <c r="Q209" s="1"/>
    </row>
    <row r="210" ht="14.25" customHeight="1">
      <c r="A210" s="1"/>
      <c r="B210" s="93" t="s">
        <v>97</v>
      </c>
      <c r="C210" s="195">
        <v>18.0</v>
      </c>
      <c r="D210" s="78">
        <f t="shared" si="20"/>
        <v>18</v>
      </c>
      <c r="E210" s="249" t="s">
        <v>18</v>
      </c>
      <c r="F210" s="1"/>
      <c r="G210" s="1"/>
      <c r="H210" s="1"/>
      <c r="I210" s="1"/>
      <c r="J210" s="1"/>
      <c r="K210" s="1"/>
      <c r="L210" s="1"/>
      <c r="M210" s="1"/>
      <c r="N210" s="1"/>
      <c r="O210" s="1"/>
      <c r="P210" s="1"/>
      <c r="Q210" s="1"/>
    </row>
    <row r="211" ht="14.25" customHeight="1">
      <c r="A211" s="1"/>
      <c r="B211" s="149" t="s">
        <v>98</v>
      </c>
      <c r="C211" s="152">
        <v>32.0</v>
      </c>
      <c r="D211" s="274">
        <f t="shared" si="20"/>
        <v>32</v>
      </c>
      <c r="E211" s="288" t="s">
        <v>18</v>
      </c>
      <c r="F211" s="1"/>
      <c r="G211" s="1"/>
      <c r="H211" s="1"/>
      <c r="I211" s="1"/>
      <c r="J211" s="1"/>
      <c r="K211" s="1"/>
      <c r="L211" s="1"/>
      <c r="M211" s="1"/>
      <c r="N211" s="1"/>
      <c r="O211" s="1"/>
      <c r="P211" s="1"/>
      <c r="Q211" s="1"/>
    </row>
    <row r="212" ht="14.25" customHeight="1">
      <c r="A212" s="1"/>
      <c r="B212" s="138" t="s">
        <v>101</v>
      </c>
      <c r="C212" s="279">
        <v>0.2</v>
      </c>
      <c r="D212" s="542">
        <f t="shared" si="20"/>
        <v>0.2</v>
      </c>
      <c r="E212" s="242" t="s">
        <v>5</v>
      </c>
      <c r="F212" s="1"/>
      <c r="G212" s="1"/>
      <c r="H212" s="1"/>
      <c r="I212" s="1"/>
      <c r="J212" s="1"/>
      <c r="K212" s="1"/>
      <c r="L212" s="1"/>
      <c r="M212" s="1"/>
      <c r="N212" s="1"/>
      <c r="O212" s="1"/>
      <c r="P212" s="1"/>
      <c r="Q212" s="1"/>
    </row>
    <row r="213" ht="14.25" customHeight="1">
      <c r="A213" s="1"/>
      <c r="B213" s="68" t="s">
        <v>103</v>
      </c>
      <c r="C213" s="145">
        <v>15.0</v>
      </c>
      <c r="D213" s="155">
        <f t="shared" si="20"/>
        <v>15</v>
      </c>
      <c r="E213" s="216" t="s">
        <v>18</v>
      </c>
      <c r="F213" s="1"/>
      <c r="G213" s="1"/>
      <c r="H213" s="1"/>
      <c r="I213" s="1"/>
      <c r="J213" s="1"/>
      <c r="K213" s="1"/>
      <c r="L213" s="1"/>
      <c r="M213" s="1"/>
      <c r="N213" s="1"/>
      <c r="O213" s="1"/>
      <c r="P213" s="1"/>
      <c r="Q213" s="1"/>
    </row>
    <row r="214" ht="14.25" customHeight="1">
      <c r="A214" s="1"/>
      <c r="B214" s="93" t="s">
        <v>3148</v>
      </c>
      <c r="C214" s="195">
        <v>80.0</v>
      </c>
      <c r="D214" s="78">
        <f t="shared" si="20"/>
        <v>80</v>
      </c>
      <c r="E214" s="249" t="s">
        <v>18</v>
      </c>
      <c r="F214" s="1"/>
      <c r="G214" s="1"/>
      <c r="H214" s="1"/>
      <c r="I214" s="1"/>
      <c r="J214" s="1"/>
      <c r="K214" s="1"/>
      <c r="L214" s="1"/>
      <c r="M214" s="1"/>
      <c r="N214" s="1"/>
      <c r="O214" s="1"/>
      <c r="P214" s="1"/>
      <c r="Q214" s="1"/>
    </row>
    <row r="215" ht="14.25" customHeight="1">
      <c r="A215" s="1"/>
      <c r="B215" s="93" t="s">
        <v>208</v>
      </c>
      <c r="C215" s="195">
        <v>32.0</v>
      </c>
      <c r="D215" s="78">
        <f t="shared" si="20"/>
        <v>32</v>
      </c>
      <c r="E215" s="249" t="s">
        <v>18</v>
      </c>
      <c r="F215" s="1"/>
      <c r="G215" s="1"/>
      <c r="H215" s="1"/>
      <c r="I215" s="1"/>
      <c r="J215" s="1"/>
      <c r="K215" s="1"/>
      <c r="L215" s="1"/>
      <c r="M215" s="1"/>
      <c r="N215" s="1"/>
      <c r="O215" s="1"/>
      <c r="P215" s="1"/>
      <c r="Q215" s="1"/>
    </row>
    <row r="216" ht="14.25" customHeight="1">
      <c r="A216" s="1"/>
      <c r="B216" s="377" t="s">
        <v>112</v>
      </c>
      <c r="C216" s="195">
        <v>10.0</v>
      </c>
      <c r="D216" s="78">
        <f t="shared" si="20"/>
        <v>10</v>
      </c>
      <c r="E216" s="249" t="s">
        <v>18</v>
      </c>
      <c r="F216" s="1"/>
      <c r="G216" s="1"/>
      <c r="H216" s="1"/>
      <c r="I216" s="1"/>
      <c r="J216" s="1"/>
      <c r="K216" s="1"/>
      <c r="L216" s="1"/>
      <c r="M216" s="1"/>
      <c r="N216" s="1"/>
      <c r="O216" s="1"/>
      <c r="P216" s="1"/>
      <c r="Q216" s="1"/>
    </row>
    <row r="217" ht="14.25" customHeight="1">
      <c r="A217" s="1"/>
      <c r="B217" s="105" t="s">
        <v>149</v>
      </c>
      <c r="C217" s="200">
        <v>30.0</v>
      </c>
      <c r="D217" s="56">
        <f t="shared" si="20"/>
        <v>30</v>
      </c>
      <c r="E217" s="518" t="s">
        <v>82</v>
      </c>
      <c r="F217" s="1"/>
      <c r="G217" s="1"/>
      <c r="H217" s="1"/>
      <c r="I217" s="1"/>
      <c r="J217" s="1"/>
      <c r="K217" s="1"/>
      <c r="L217" s="1"/>
      <c r="M217" s="1"/>
      <c r="N217" s="1"/>
      <c r="O217" s="1"/>
      <c r="P217" s="1"/>
      <c r="Q217" s="1"/>
    </row>
    <row r="218" ht="14.25" customHeight="1">
      <c r="A218" s="1"/>
      <c r="B218" s="119" t="s">
        <v>1091</v>
      </c>
      <c r="C218" s="238">
        <v>25.0</v>
      </c>
      <c r="D218" s="129">
        <f t="shared" si="20"/>
        <v>25</v>
      </c>
      <c r="E218" s="520" t="s">
        <v>18</v>
      </c>
      <c r="F218" s="1"/>
      <c r="G218" s="1"/>
      <c r="H218" s="1"/>
      <c r="I218" s="1"/>
      <c r="J218" s="1"/>
      <c r="K218" s="1"/>
      <c r="L218" s="1"/>
      <c r="M218" s="1"/>
      <c r="N218" s="1"/>
      <c r="O218" s="1"/>
      <c r="P218" s="1"/>
      <c r="Q218" s="1"/>
    </row>
    <row r="219" ht="14.25" customHeight="1">
      <c r="A219" s="1"/>
      <c r="B219" s="93" t="s">
        <v>31</v>
      </c>
      <c r="C219" s="195">
        <v>75.0</v>
      </c>
      <c r="D219" s="78">
        <f t="shared" si="20"/>
        <v>75</v>
      </c>
      <c r="E219" s="249" t="s">
        <v>18</v>
      </c>
      <c r="F219" s="1"/>
      <c r="G219" s="1"/>
      <c r="H219" s="1"/>
      <c r="I219" s="1"/>
      <c r="J219" s="1"/>
      <c r="K219" s="1"/>
      <c r="L219" s="1"/>
      <c r="M219" s="1"/>
      <c r="N219" s="1"/>
      <c r="O219" s="1"/>
      <c r="P219" s="1"/>
      <c r="Q219" s="1"/>
    </row>
    <row r="220" ht="14.25" customHeight="1">
      <c r="A220" s="1"/>
      <c r="B220" s="93" t="s">
        <v>3150</v>
      </c>
      <c r="C220" s="195">
        <v>1.5</v>
      </c>
      <c r="D220" s="78">
        <f t="shared" si="20"/>
        <v>1.5</v>
      </c>
      <c r="E220" s="249" t="s">
        <v>14</v>
      </c>
      <c r="F220" s="1"/>
      <c r="G220" s="1"/>
      <c r="H220" s="1"/>
      <c r="I220" s="1"/>
      <c r="J220" s="1"/>
      <c r="K220" s="1"/>
      <c r="L220" s="1"/>
      <c r="M220" s="1"/>
      <c r="N220" s="1"/>
      <c r="O220" s="1"/>
      <c r="P220" s="1"/>
      <c r="Q220" s="1"/>
    </row>
    <row r="221" ht="14.25" customHeight="1">
      <c r="A221" s="1"/>
      <c r="B221" s="93" t="s">
        <v>2775</v>
      </c>
      <c r="C221" s="195">
        <v>0.5</v>
      </c>
      <c r="D221" s="78">
        <f t="shared" si="20"/>
        <v>0.5</v>
      </c>
      <c r="E221" s="249" t="s">
        <v>14</v>
      </c>
      <c r="F221" s="1"/>
      <c r="G221" s="1"/>
      <c r="H221" s="1"/>
      <c r="I221" s="1"/>
      <c r="J221" s="1"/>
      <c r="K221" s="1"/>
      <c r="L221" s="1"/>
      <c r="M221" s="1"/>
      <c r="N221" s="1"/>
      <c r="O221" s="1"/>
      <c r="P221" s="1"/>
      <c r="Q221" s="1"/>
    </row>
    <row r="222" ht="14.25" customHeight="1">
      <c r="A222" s="1"/>
      <c r="B222" s="93" t="s">
        <v>2778</v>
      </c>
      <c r="C222" s="195">
        <v>2.0</v>
      </c>
      <c r="D222" s="78">
        <f t="shared" si="20"/>
        <v>2</v>
      </c>
      <c r="E222" s="249" t="s">
        <v>741</v>
      </c>
      <c r="F222" s="1"/>
      <c r="G222" s="1"/>
      <c r="H222" s="1"/>
      <c r="I222" s="1"/>
      <c r="J222" s="1"/>
      <c r="K222" s="1"/>
      <c r="L222" s="1"/>
      <c r="M222" s="1"/>
      <c r="N222" s="1"/>
      <c r="O222" s="1"/>
      <c r="P222" s="1"/>
      <c r="Q222" s="1"/>
    </row>
    <row r="223" ht="14.25" customHeight="1">
      <c r="A223" s="1"/>
      <c r="B223" s="93" t="s">
        <v>3152</v>
      </c>
      <c r="C223" s="195">
        <v>0.2</v>
      </c>
      <c r="D223" s="78">
        <f t="shared" ref="D223:D224" si="21">(C223*D221)/C221</f>
        <v>0.2</v>
      </c>
      <c r="E223" s="249" t="s">
        <v>14</v>
      </c>
      <c r="F223" s="1"/>
      <c r="G223" s="1"/>
      <c r="H223" s="1"/>
      <c r="I223" s="1"/>
      <c r="J223" s="1"/>
      <c r="K223" s="1"/>
      <c r="L223" s="1"/>
      <c r="M223" s="1"/>
      <c r="N223" s="1"/>
      <c r="O223" s="1"/>
      <c r="P223" s="1"/>
      <c r="Q223" s="1"/>
    </row>
    <row r="224" ht="14.25" customHeight="1">
      <c r="A224" s="1"/>
      <c r="B224" s="93" t="s">
        <v>1163</v>
      </c>
      <c r="C224" s="195">
        <v>0.2</v>
      </c>
      <c r="D224" s="78">
        <f t="shared" si="21"/>
        <v>0.2</v>
      </c>
      <c r="E224" s="249" t="s">
        <v>14</v>
      </c>
      <c r="F224" s="1"/>
      <c r="G224" s="1"/>
      <c r="H224" s="1"/>
      <c r="I224" s="1"/>
      <c r="J224" s="1"/>
      <c r="K224" s="1"/>
      <c r="L224" s="1"/>
      <c r="M224" s="1"/>
      <c r="N224" s="1"/>
      <c r="O224" s="1"/>
      <c r="P224" s="1"/>
      <c r="Q224" s="1"/>
    </row>
    <row r="225" ht="14.25" customHeight="1">
      <c r="A225" s="1"/>
      <c r="B225" s="1153" t="s">
        <v>114</v>
      </c>
      <c r="C225" s="275">
        <v>0.5</v>
      </c>
      <c r="D225" s="179">
        <f t="shared" ref="D225:D226" si="22">(C225*D224)/C224</f>
        <v>0.5</v>
      </c>
      <c r="E225" s="547" t="s">
        <v>5</v>
      </c>
      <c r="F225" s="1"/>
      <c r="G225" s="1"/>
      <c r="H225" s="1"/>
      <c r="I225" s="1"/>
      <c r="J225" s="1"/>
      <c r="K225" s="1"/>
      <c r="L225" s="1"/>
      <c r="M225" s="1"/>
      <c r="N225" s="1"/>
      <c r="O225" s="1"/>
      <c r="P225" s="1"/>
      <c r="Q225" s="1"/>
    </row>
    <row r="226" ht="14.25" customHeight="1">
      <c r="A226" s="1"/>
      <c r="B226" s="173" t="s">
        <v>59</v>
      </c>
      <c r="C226" s="275">
        <v>0.5</v>
      </c>
      <c r="D226" s="179">
        <f t="shared" si="22"/>
        <v>0.5</v>
      </c>
      <c r="E226" s="547" t="s">
        <v>18</v>
      </c>
      <c r="F226" s="1"/>
      <c r="G226" s="1"/>
      <c r="H226" s="1"/>
      <c r="I226" s="1"/>
      <c r="J226" s="1"/>
      <c r="K226" s="1"/>
      <c r="L226" s="1"/>
      <c r="M226" s="1"/>
      <c r="N226" s="1"/>
      <c r="O226" s="1"/>
      <c r="P226" s="1"/>
      <c r="Q226" s="1"/>
    </row>
    <row r="227" ht="14.25" customHeight="1">
      <c r="A227" s="1"/>
      <c r="B227" s="2325" t="s">
        <v>186</v>
      </c>
      <c r="C227" s="2326"/>
      <c r="D227" s="2813">
        <v>43562.0</v>
      </c>
      <c r="E227" s="107"/>
      <c r="F227" s="1"/>
      <c r="G227" s="1"/>
      <c r="H227" s="1"/>
      <c r="I227" s="1"/>
      <c r="J227" s="1"/>
      <c r="K227" s="1"/>
      <c r="L227" s="1"/>
      <c r="M227" s="1"/>
      <c r="N227" s="1"/>
      <c r="O227" s="1"/>
      <c r="P227" s="1"/>
      <c r="Q227" s="1"/>
    </row>
    <row r="228" ht="14.25" customHeight="1">
      <c r="A228" s="1"/>
      <c r="B228" s="664" t="s">
        <v>50</v>
      </c>
      <c r="C228" s="2326"/>
      <c r="D228" s="2813"/>
      <c r="E228" s="107"/>
      <c r="F228" s="1"/>
      <c r="G228" s="1"/>
      <c r="H228" s="1"/>
      <c r="I228" s="1"/>
      <c r="J228" s="1"/>
      <c r="K228" s="1"/>
      <c r="L228" s="1"/>
      <c r="M228" s="1"/>
      <c r="N228" s="1"/>
      <c r="O228" s="1"/>
      <c r="P228" s="1"/>
      <c r="Q228" s="1"/>
    </row>
    <row r="229" ht="14.25" customHeight="1">
      <c r="A229" s="1"/>
      <c r="B229" s="1"/>
      <c r="C229" s="107"/>
      <c r="D229" s="107"/>
      <c r="E229" s="107"/>
      <c r="F229" s="1"/>
      <c r="G229" s="1"/>
      <c r="H229" s="1"/>
      <c r="I229" s="1"/>
      <c r="J229" s="1"/>
      <c r="K229" s="1"/>
      <c r="L229" s="1"/>
      <c r="M229" s="1"/>
      <c r="N229" s="1"/>
      <c r="O229" s="1"/>
      <c r="P229" s="1"/>
      <c r="Q229" s="1"/>
    </row>
    <row r="230" ht="14.25" customHeight="1">
      <c r="A230" s="1"/>
      <c r="B230" s="1"/>
      <c r="C230" s="1"/>
      <c r="D230" s="1"/>
      <c r="E230" s="1"/>
      <c r="F230" s="1"/>
      <c r="G230" s="1"/>
      <c r="H230" s="1"/>
      <c r="I230" s="1"/>
      <c r="J230" s="1"/>
      <c r="K230" s="1"/>
      <c r="L230" s="1"/>
      <c r="M230" s="1"/>
      <c r="N230" s="1"/>
      <c r="O230" s="1"/>
      <c r="P230" s="1"/>
      <c r="Q230" s="1"/>
    </row>
    <row r="231" ht="14.25" customHeight="1">
      <c r="A231" s="1"/>
      <c r="B231" s="1"/>
      <c r="C231" s="1"/>
      <c r="D231" s="1"/>
      <c r="E231" s="1"/>
      <c r="F231" s="1"/>
      <c r="G231" s="1"/>
      <c r="H231" s="1"/>
      <c r="I231" s="1"/>
      <c r="J231" s="1"/>
      <c r="K231" s="1"/>
      <c r="L231" s="1"/>
      <c r="M231" s="1"/>
      <c r="N231" s="1"/>
      <c r="O231" s="1"/>
      <c r="P231" s="1"/>
      <c r="Q231" s="1"/>
    </row>
    <row r="232" ht="14.25" customHeight="1">
      <c r="A232" s="1"/>
      <c r="B232" s="1"/>
      <c r="C232" s="1"/>
      <c r="D232" s="1"/>
      <c r="E232" s="1"/>
      <c r="F232" s="1"/>
      <c r="G232" s="1"/>
      <c r="H232" s="1"/>
      <c r="I232" s="1"/>
      <c r="J232" s="1"/>
      <c r="K232" s="1"/>
      <c r="L232" s="1"/>
      <c r="M232" s="1"/>
      <c r="N232" s="1"/>
      <c r="O232" s="1"/>
      <c r="P232" s="1"/>
      <c r="Q232" s="1"/>
    </row>
    <row r="233" ht="14.25" customHeight="1">
      <c r="A233" s="1"/>
      <c r="B233" s="1"/>
      <c r="C233" s="1"/>
      <c r="D233" s="1"/>
      <c r="E233" s="1"/>
      <c r="F233" s="1"/>
      <c r="G233" s="1"/>
      <c r="H233" s="1"/>
      <c r="I233" s="1"/>
      <c r="J233" s="1"/>
      <c r="K233" s="1"/>
      <c r="L233" s="1"/>
      <c r="M233" s="1"/>
      <c r="N233" s="1"/>
      <c r="O233" s="1"/>
      <c r="P233" s="1"/>
      <c r="Q233" s="1"/>
    </row>
    <row r="234" ht="14.25" customHeight="1">
      <c r="A234" s="1"/>
      <c r="B234" s="1"/>
      <c r="C234" s="1"/>
      <c r="D234" s="1"/>
      <c r="E234" s="1"/>
      <c r="F234" s="1"/>
      <c r="G234" s="1"/>
      <c r="H234" s="1"/>
      <c r="I234" s="1"/>
      <c r="J234" s="1"/>
      <c r="K234" s="1"/>
      <c r="L234" s="1"/>
      <c r="M234" s="1"/>
      <c r="N234" s="1"/>
      <c r="O234" s="1"/>
      <c r="P234" s="1"/>
      <c r="Q234" s="1"/>
    </row>
    <row r="235" ht="14.25" customHeight="1">
      <c r="A235" s="1"/>
      <c r="B235" s="1"/>
      <c r="C235" s="1"/>
      <c r="D235" s="1"/>
      <c r="E235" s="1"/>
      <c r="F235" s="1"/>
      <c r="G235" s="1"/>
      <c r="H235" s="1"/>
      <c r="I235" s="1"/>
      <c r="J235" s="1"/>
      <c r="K235" s="1"/>
      <c r="L235" s="1"/>
      <c r="M235" s="1"/>
      <c r="N235" s="1"/>
      <c r="O235" s="1"/>
      <c r="P235" s="1"/>
      <c r="Q235" s="1"/>
    </row>
    <row r="236" ht="14.25" customHeight="1">
      <c r="A236" s="1"/>
      <c r="B236" s="511" t="s">
        <v>3154</v>
      </c>
      <c r="C236" s="18"/>
      <c r="D236" s="18"/>
      <c r="E236" s="19"/>
      <c r="F236" s="2670" t="s">
        <v>119</v>
      </c>
      <c r="G236" s="1446" t="s">
        <v>47</v>
      </c>
      <c r="H236" s="1"/>
      <c r="I236" s="1"/>
      <c r="J236" s="1"/>
      <c r="K236" s="1"/>
      <c r="L236" s="1"/>
      <c r="M236" s="1"/>
      <c r="N236" s="1"/>
      <c r="O236" s="1"/>
      <c r="P236" s="1"/>
      <c r="Q236" s="1"/>
    </row>
    <row r="237" ht="14.25" customHeight="1">
      <c r="A237" s="1"/>
      <c r="B237" s="51" t="s">
        <v>1</v>
      </c>
      <c r="C237" s="190">
        <v>10.0</v>
      </c>
      <c r="D237" s="513">
        <v>10.0</v>
      </c>
      <c r="E237" s="514" t="s">
        <v>5</v>
      </c>
      <c r="F237" s="1"/>
      <c r="G237" s="1"/>
      <c r="H237" s="1"/>
      <c r="I237" s="1"/>
      <c r="J237" s="1"/>
      <c r="K237" s="1"/>
      <c r="L237" s="1"/>
      <c r="M237" s="1"/>
      <c r="N237" s="1"/>
      <c r="O237" s="1"/>
      <c r="P237" s="1"/>
      <c r="Q237" s="1"/>
    </row>
    <row r="238" ht="14.25" customHeight="1">
      <c r="A238" s="1"/>
      <c r="B238" s="68" t="s">
        <v>2766</v>
      </c>
      <c r="C238" s="145">
        <v>2.5</v>
      </c>
      <c r="D238" s="155">
        <f t="shared" ref="D238:D239" si="23">(C238*D237)/C237</f>
        <v>2.5</v>
      </c>
      <c r="E238" s="216" t="s">
        <v>14</v>
      </c>
      <c r="F238" s="1"/>
      <c r="G238" s="1"/>
      <c r="H238" s="1"/>
      <c r="I238" s="1"/>
      <c r="J238" s="1"/>
      <c r="K238" s="1"/>
      <c r="L238" s="1"/>
      <c r="M238" s="1"/>
      <c r="N238" s="1"/>
      <c r="O238" s="1"/>
      <c r="P238" s="1"/>
      <c r="Q238" s="1"/>
    </row>
    <row r="239" ht="14.25" customHeight="1">
      <c r="A239" s="1"/>
      <c r="B239" s="417" t="s">
        <v>1161</v>
      </c>
      <c r="C239" s="418">
        <v>2.0</v>
      </c>
      <c r="D239" s="155">
        <f t="shared" si="23"/>
        <v>2</v>
      </c>
      <c r="E239" s="216" t="s">
        <v>14</v>
      </c>
      <c r="F239" s="1"/>
      <c r="G239" s="1"/>
      <c r="H239" s="1"/>
      <c r="I239" s="1"/>
      <c r="J239" s="1"/>
      <c r="K239" s="1"/>
      <c r="L239" s="1"/>
      <c r="M239" s="1"/>
      <c r="N239" s="1"/>
      <c r="O239" s="1"/>
      <c r="P239" s="1"/>
      <c r="Q239" s="1"/>
    </row>
    <row r="240" ht="14.25" customHeight="1">
      <c r="A240" s="1"/>
      <c r="B240" s="105" t="s">
        <v>2767</v>
      </c>
      <c r="C240" s="200">
        <v>150.0</v>
      </c>
      <c r="D240" s="56">
        <f>(C240*D238)/C238</f>
        <v>150</v>
      </c>
      <c r="E240" s="518" t="s">
        <v>18</v>
      </c>
      <c r="F240" s="1"/>
      <c r="G240" s="1"/>
      <c r="H240" s="1"/>
      <c r="I240" s="1"/>
      <c r="J240" s="1"/>
      <c r="K240" s="1"/>
      <c r="L240" s="1"/>
      <c r="M240" s="1"/>
      <c r="N240" s="1"/>
      <c r="O240" s="1"/>
      <c r="P240" s="1"/>
      <c r="Q240" s="1"/>
    </row>
    <row r="241" ht="14.25" customHeight="1">
      <c r="A241" s="1"/>
      <c r="B241" s="68" t="s">
        <v>91</v>
      </c>
      <c r="C241" s="145">
        <v>0.25</v>
      </c>
      <c r="D241" s="155">
        <f t="shared" ref="D241:D253" si="24">(C241*D240)/C240</f>
        <v>0.25</v>
      </c>
      <c r="E241" s="216" t="s">
        <v>5</v>
      </c>
      <c r="F241" s="1"/>
      <c r="G241" s="1"/>
      <c r="H241" s="1"/>
      <c r="I241" s="1"/>
      <c r="J241" s="1"/>
      <c r="K241" s="1"/>
      <c r="L241" s="1"/>
      <c r="M241" s="1"/>
      <c r="N241" s="1"/>
      <c r="O241" s="1"/>
      <c r="P241" s="1"/>
      <c r="Q241" s="1"/>
    </row>
    <row r="242" ht="14.25" customHeight="1">
      <c r="A242" s="1"/>
      <c r="B242" s="93" t="s">
        <v>97</v>
      </c>
      <c r="C242" s="195">
        <v>18.0</v>
      </c>
      <c r="D242" s="78">
        <f t="shared" si="24"/>
        <v>18</v>
      </c>
      <c r="E242" s="249" t="s">
        <v>18</v>
      </c>
      <c r="F242" s="1"/>
      <c r="G242" s="1"/>
      <c r="H242" s="1"/>
      <c r="I242" s="1"/>
      <c r="J242" s="1"/>
      <c r="K242" s="1"/>
      <c r="L242" s="1"/>
      <c r="M242" s="1"/>
      <c r="N242" s="1"/>
      <c r="O242" s="1"/>
      <c r="P242" s="1"/>
      <c r="Q242" s="1"/>
    </row>
    <row r="243" ht="14.25" customHeight="1">
      <c r="A243" s="1"/>
      <c r="B243" s="149" t="s">
        <v>98</v>
      </c>
      <c r="C243" s="152">
        <v>32.0</v>
      </c>
      <c r="D243" s="274">
        <f t="shared" si="24"/>
        <v>32</v>
      </c>
      <c r="E243" s="288" t="s">
        <v>18</v>
      </c>
      <c r="F243" s="1"/>
      <c r="G243" s="1"/>
      <c r="H243" s="1"/>
      <c r="I243" s="1"/>
      <c r="J243" s="1"/>
      <c r="K243" s="1"/>
      <c r="L243" s="1"/>
      <c r="M243" s="1"/>
      <c r="N243" s="1"/>
      <c r="O243" s="1"/>
      <c r="P243" s="1"/>
      <c r="Q243" s="1"/>
    </row>
    <row r="244" ht="14.25" customHeight="1">
      <c r="A244" s="1"/>
      <c r="B244" s="138" t="s">
        <v>101</v>
      </c>
      <c r="C244" s="279">
        <v>0.2</v>
      </c>
      <c r="D244" s="542">
        <f t="shared" si="24"/>
        <v>0.2</v>
      </c>
      <c r="E244" s="242" t="s">
        <v>5</v>
      </c>
      <c r="F244" s="1"/>
      <c r="G244" s="1"/>
      <c r="H244" s="1"/>
      <c r="I244" s="1"/>
      <c r="J244" s="1"/>
      <c r="K244" s="1"/>
      <c r="L244" s="1"/>
      <c r="M244" s="1"/>
      <c r="N244" s="1"/>
      <c r="O244" s="1"/>
      <c r="P244" s="1"/>
      <c r="Q244" s="1"/>
    </row>
    <row r="245" ht="14.25" customHeight="1">
      <c r="A245" s="1"/>
      <c r="B245" s="68" t="s">
        <v>103</v>
      </c>
      <c r="C245" s="145">
        <v>15.0</v>
      </c>
      <c r="D245" s="155">
        <f t="shared" si="24"/>
        <v>15</v>
      </c>
      <c r="E245" s="216" t="s">
        <v>18</v>
      </c>
      <c r="F245" s="1"/>
      <c r="G245" s="1"/>
      <c r="H245" s="1"/>
      <c r="I245" s="1"/>
      <c r="J245" s="1"/>
      <c r="K245" s="1"/>
      <c r="L245" s="1"/>
      <c r="M245" s="1"/>
      <c r="N245" s="1"/>
      <c r="O245" s="1"/>
      <c r="P245" s="1"/>
      <c r="Q245" s="1"/>
    </row>
    <row r="246" ht="14.25" customHeight="1">
      <c r="A246" s="1"/>
      <c r="B246" s="93" t="s">
        <v>3148</v>
      </c>
      <c r="C246" s="195">
        <v>80.0</v>
      </c>
      <c r="D246" s="78">
        <f t="shared" si="24"/>
        <v>80</v>
      </c>
      <c r="E246" s="249" t="s">
        <v>18</v>
      </c>
      <c r="F246" s="1"/>
      <c r="G246" s="1"/>
      <c r="H246" s="1"/>
      <c r="I246" s="1"/>
      <c r="J246" s="1"/>
      <c r="K246" s="1"/>
      <c r="L246" s="1"/>
      <c r="M246" s="1"/>
      <c r="N246" s="1"/>
      <c r="O246" s="1"/>
      <c r="P246" s="1"/>
      <c r="Q246" s="1"/>
    </row>
    <row r="247" ht="14.25" customHeight="1">
      <c r="A247" s="1"/>
      <c r="B247" s="93" t="s">
        <v>208</v>
      </c>
      <c r="C247" s="195">
        <v>32.0</v>
      </c>
      <c r="D247" s="78">
        <f t="shared" si="24"/>
        <v>32</v>
      </c>
      <c r="E247" s="249" t="s">
        <v>18</v>
      </c>
      <c r="F247" s="1"/>
      <c r="G247" s="1"/>
      <c r="H247" s="1"/>
      <c r="I247" s="1"/>
      <c r="J247" s="1"/>
      <c r="K247" s="1"/>
      <c r="L247" s="1"/>
      <c r="M247" s="1"/>
      <c r="N247" s="1"/>
      <c r="O247" s="1"/>
      <c r="P247" s="1"/>
      <c r="Q247" s="1"/>
    </row>
    <row r="248" ht="14.25" customHeight="1">
      <c r="A248" s="1"/>
      <c r="B248" s="377" t="s">
        <v>112</v>
      </c>
      <c r="C248" s="195">
        <v>10.0</v>
      </c>
      <c r="D248" s="78">
        <f t="shared" si="24"/>
        <v>10</v>
      </c>
      <c r="E248" s="249" t="s">
        <v>18</v>
      </c>
      <c r="F248" s="1"/>
      <c r="G248" s="1"/>
      <c r="H248" s="1"/>
      <c r="I248" s="1"/>
      <c r="J248" s="1"/>
      <c r="K248" s="1"/>
      <c r="L248" s="1"/>
      <c r="M248" s="1"/>
      <c r="N248" s="1"/>
      <c r="O248" s="1"/>
      <c r="P248" s="1"/>
      <c r="Q248" s="1"/>
    </row>
    <row r="249" ht="14.25" customHeight="1">
      <c r="A249" s="1"/>
      <c r="B249" s="105" t="s">
        <v>149</v>
      </c>
      <c r="C249" s="200">
        <v>30.0</v>
      </c>
      <c r="D249" s="56">
        <f t="shared" si="24"/>
        <v>30</v>
      </c>
      <c r="E249" s="518" t="s">
        <v>82</v>
      </c>
      <c r="F249" s="1"/>
      <c r="G249" s="1"/>
      <c r="H249" s="1"/>
      <c r="I249" s="1"/>
      <c r="J249" s="1"/>
      <c r="K249" s="1"/>
      <c r="L249" s="1"/>
      <c r="M249" s="1"/>
      <c r="N249" s="1"/>
      <c r="O249" s="1"/>
      <c r="P249" s="1"/>
      <c r="Q249" s="1"/>
    </row>
    <row r="250" ht="14.25" customHeight="1">
      <c r="A250" s="1"/>
      <c r="B250" s="119" t="s">
        <v>1091</v>
      </c>
      <c r="C250" s="238">
        <v>25.0</v>
      </c>
      <c r="D250" s="129">
        <f t="shared" si="24"/>
        <v>25</v>
      </c>
      <c r="E250" s="520" t="s">
        <v>18</v>
      </c>
      <c r="F250" s="1"/>
      <c r="G250" s="1"/>
      <c r="H250" s="1"/>
      <c r="I250" s="1"/>
      <c r="J250" s="1"/>
      <c r="K250" s="1"/>
      <c r="L250" s="1"/>
      <c r="M250" s="1"/>
      <c r="N250" s="1"/>
      <c r="O250" s="1"/>
      <c r="P250" s="1"/>
      <c r="Q250" s="1"/>
    </row>
    <row r="251" ht="14.25" customHeight="1">
      <c r="A251" s="1"/>
      <c r="B251" s="93" t="s">
        <v>31</v>
      </c>
      <c r="C251" s="195">
        <v>75.0</v>
      </c>
      <c r="D251" s="78">
        <f t="shared" si="24"/>
        <v>75</v>
      </c>
      <c r="E251" s="249" t="s">
        <v>18</v>
      </c>
      <c r="F251" s="1"/>
      <c r="G251" s="1"/>
      <c r="H251" s="1"/>
      <c r="I251" s="1"/>
      <c r="J251" s="1"/>
      <c r="K251" s="1"/>
      <c r="L251" s="1"/>
      <c r="M251" s="1"/>
      <c r="N251" s="1"/>
      <c r="O251" s="1"/>
      <c r="P251" s="1"/>
      <c r="Q251" s="1"/>
    </row>
    <row r="252" ht="14.25" customHeight="1">
      <c r="A252" s="1"/>
      <c r="B252" s="93" t="s">
        <v>3150</v>
      </c>
      <c r="C252" s="195">
        <v>1.5</v>
      </c>
      <c r="D252" s="78">
        <f t="shared" si="24"/>
        <v>1.5</v>
      </c>
      <c r="E252" s="249" t="s">
        <v>14</v>
      </c>
      <c r="F252" s="1"/>
      <c r="G252" s="1"/>
      <c r="H252" s="1"/>
      <c r="I252" s="1"/>
      <c r="J252" s="1"/>
      <c r="K252" s="1"/>
      <c r="L252" s="1"/>
      <c r="M252" s="1"/>
      <c r="N252" s="1"/>
      <c r="O252" s="1"/>
      <c r="P252" s="1"/>
      <c r="Q252" s="1"/>
    </row>
    <row r="253" ht="14.25" customHeight="1">
      <c r="A253" s="1"/>
      <c r="B253" s="93" t="s">
        <v>2775</v>
      </c>
      <c r="C253" s="195">
        <v>0.5</v>
      </c>
      <c r="D253" s="78">
        <f t="shared" si="24"/>
        <v>0.5</v>
      </c>
      <c r="E253" s="249" t="s">
        <v>14</v>
      </c>
      <c r="F253" s="1"/>
      <c r="G253" s="1"/>
      <c r="H253" s="1"/>
      <c r="I253" s="1"/>
      <c r="J253" s="1"/>
      <c r="K253" s="1"/>
      <c r="L253" s="1"/>
      <c r="M253" s="1"/>
      <c r="N253" s="1"/>
      <c r="O253" s="1"/>
      <c r="P253" s="1"/>
      <c r="Q253" s="1"/>
    </row>
    <row r="254" ht="14.25" customHeight="1">
      <c r="A254" s="1"/>
      <c r="B254" s="93" t="s">
        <v>2778</v>
      </c>
      <c r="C254" s="195">
        <v>2.0</v>
      </c>
      <c r="D254" s="78">
        <f>(C254*D252)/C252</f>
        <v>2</v>
      </c>
      <c r="E254" s="249" t="s">
        <v>741</v>
      </c>
      <c r="F254" s="1"/>
      <c r="G254" s="1"/>
      <c r="H254" s="1"/>
      <c r="I254" s="1"/>
      <c r="J254" s="1"/>
      <c r="K254" s="1"/>
      <c r="L254" s="1"/>
      <c r="M254" s="1"/>
      <c r="N254" s="1"/>
      <c r="O254" s="1"/>
      <c r="P254" s="1"/>
      <c r="Q254" s="1"/>
    </row>
    <row r="255" ht="14.25" customHeight="1">
      <c r="A255" s="1"/>
      <c r="B255" s="1153" t="s">
        <v>114</v>
      </c>
      <c r="C255" s="275">
        <v>0.5</v>
      </c>
      <c r="D255" s="179">
        <f>(C255*D254)/C254</f>
        <v>0.5</v>
      </c>
      <c r="E255" s="547" t="s">
        <v>5</v>
      </c>
      <c r="F255" s="1"/>
      <c r="G255" s="1"/>
      <c r="H255" s="1"/>
      <c r="I255" s="1"/>
      <c r="J255" s="1"/>
      <c r="K255" s="1"/>
      <c r="L255" s="1"/>
      <c r="M255" s="1"/>
      <c r="N255" s="1"/>
      <c r="O255" s="1"/>
      <c r="P255" s="1"/>
      <c r="Q255" s="1"/>
    </row>
    <row r="256" ht="14.25" customHeight="1">
      <c r="A256" s="1"/>
      <c r="B256" s="93" t="s">
        <v>3152</v>
      </c>
      <c r="C256" s="195">
        <v>0.2</v>
      </c>
      <c r="D256" s="78">
        <f>(C256*D253)/C253</f>
        <v>0.2</v>
      </c>
      <c r="E256" s="249" t="s">
        <v>14</v>
      </c>
      <c r="F256" s="1"/>
      <c r="G256" s="1"/>
      <c r="H256" s="1"/>
      <c r="I256" s="1"/>
      <c r="J256" s="1"/>
      <c r="K256" s="1"/>
      <c r="L256" s="1"/>
      <c r="M256" s="1"/>
      <c r="N256" s="1"/>
      <c r="O256" s="1"/>
      <c r="P256" s="1"/>
      <c r="Q256" s="1"/>
    </row>
    <row r="257" ht="14.25" customHeight="1">
      <c r="A257" s="1"/>
      <c r="B257" s="93" t="s">
        <v>1163</v>
      </c>
      <c r="C257" s="195">
        <v>0.2</v>
      </c>
      <c r="D257" s="78">
        <f>(C257*D255)/C255</f>
        <v>0.2</v>
      </c>
      <c r="E257" s="249" t="s">
        <v>14</v>
      </c>
      <c r="F257" s="1"/>
      <c r="G257" s="1"/>
      <c r="H257" s="1"/>
      <c r="I257" s="1"/>
      <c r="J257" s="1"/>
      <c r="K257" s="1"/>
      <c r="L257" s="1"/>
      <c r="M257" s="1"/>
      <c r="N257" s="1"/>
      <c r="O257" s="1"/>
      <c r="P257" s="1"/>
      <c r="Q257" s="1"/>
    </row>
    <row r="258" ht="14.25" customHeight="1">
      <c r="A258" s="1"/>
      <c r="B258" s="2325" t="s">
        <v>186</v>
      </c>
      <c r="C258" s="2326"/>
      <c r="D258" s="2813">
        <v>43562.0</v>
      </c>
      <c r="E258" s="107"/>
      <c r="F258" s="1"/>
      <c r="G258" s="1"/>
      <c r="H258" s="1"/>
      <c r="I258" s="1"/>
      <c r="J258" s="1"/>
      <c r="K258" s="1"/>
      <c r="L258" s="1"/>
      <c r="M258" s="1"/>
      <c r="N258" s="1"/>
      <c r="O258" s="1"/>
      <c r="P258" s="1"/>
      <c r="Q258" s="1"/>
    </row>
    <row r="259" ht="14.25" customHeight="1">
      <c r="A259" s="1"/>
      <c r="B259" s="664" t="s">
        <v>50</v>
      </c>
      <c r="C259" s="2326"/>
      <c r="D259" s="2813"/>
      <c r="E259" s="107"/>
      <c r="F259" s="1"/>
      <c r="G259" s="1"/>
      <c r="H259" s="1"/>
      <c r="I259" s="1"/>
      <c r="J259" s="1"/>
      <c r="K259" s="1"/>
      <c r="L259" s="1"/>
      <c r="M259" s="1"/>
      <c r="N259" s="1"/>
      <c r="O259" s="1"/>
      <c r="P259" s="1"/>
      <c r="Q259" s="1"/>
    </row>
    <row r="260" ht="14.25" customHeight="1">
      <c r="A260" s="1"/>
      <c r="B260" s="1"/>
      <c r="C260" s="107"/>
      <c r="D260" s="107"/>
      <c r="E260" s="107"/>
      <c r="F260" s="1"/>
      <c r="G260" s="1"/>
      <c r="H260" s="1"/>
      <c r="I260" s="1"/>
      <c r="J260" s="1"/>
      <c r="K260" s="1"/>
      <c r="L260" s="1"/>
      <c r="M260" s="1"/>
      <c r="N260" s="1"/>
      <c r="O260" s="1"/>
      <c r="P260" s="1"/>
      <c r="Q260" s="1"/>
    </row>
    <row r="261" ht="14.25" customHeight="1">
      <c r="A261" s="1"/>
      <c r="B261" s="1"/>
      <c r="C261" s="1"/>
      <c r="D261" s="1"/>
      <c r="E261" s="1"/>
      <c r="F261" s="1"/>
      <c r="G261" s="1"/>
      <c r="H261" s="1"/>
      <c r="I261" s="1"/>
      <c r="J261" s="1"/>
      <c r="K261" s="1"/>
      <c r="L261" s="1"/>
      <c r="M261" s="1"/>
      <c r="N261" s="1"/>
      <c r="O261" s="1"/>
      <c r="P261" s="1"/>
      <c r="Q261" s="1"/>
    </row>
    <row r="262" ht="14.25" customHeight="1">
      <c r="A262" s="1"/>
      <c r="B262" s="1"/>
      <c r="C262" s="1"/>
      <c r="D262" s="1"/>
      <c r="E262" s="1"/>
      <c r="F262" s="141"/>
      <c r="G262" s="1"/>
      <c r="H262" s="1"/>
      <c r="I262" s="1"/>
      <c r="J262" s="1"/>
      <c r="K262" s="1"/>
      <c r="L262" s="1"/>
      <c r="M262" s="1"/>
      <c r="N262" s="1"/>
      <c r="O262" s="1"/>
      <c r="P262" s="1"/>
      <c r="Q262" s="1"/>
    </row>
    <row r="263" ht="14.25" customHeight="1">
      <c r="A263" s="1"/>
      <c r="B263" s="1"/>
      <c r="C263" s="107"/>
      <c r="D263" s="107"/>
      <c r="E263" s="107"/>
      <c r="F263" s="141"/>
      <c r="G263" s="1"/>
      <c r="H263" s="1"/>
      <c r="I263" s="1"/>
      <c r="J263" s="1"/>
      <c r="K263" s="1"/>
      <c r="L263" s="1"/>
      <c r="M263" s="1"/>
      <c r="N263" s="1"/>
      <c r="O263" s="1"/>
      <c r="P263" s="1"/>
      <c r="Q263" s="1"/>
    </row>
    <row r="264" ht="14.25" customHeight="1">
      <c r="A264" s="1"/>
      <c r="B264" s="656" t="s">
        <v>3147</v>
      </c>
      <c r="C264" s="18"/>
      <c r="D264" s="18"/>
      <c r="E264" s="19"/>
      <c r="F264" s="2670" t="s">
        <v>119</v>
      </c>
      <c r="G264" s="1446" t="s">
        <v>47</v>
      </c>
      <c r="H264" s="1"/>
      <c r="I264" s="1"/>
      <c r="J264" s="1"/>
      <c r="K264" s="1"/>
      <c r="L264" s="1"/>
      <c r="M264" s="1"/>
      <c r="N264" s="1"/>
      <c r="O264" s="1"/>
      <c r="P264" s="1"/>
      <c r="Q264" s="1"/>
    </row>
    <row r="265" ht="14.25" customHeight="1">
      <c r="A265" s="1"/>
      <c r="B265" s="262" t="s">
        <v>1</v>
      </c>
      <c r="C265" s="1360">
        <v>110.0</v>
      </c>
      <c r="D265" s="265">
        <v>10.0</v>
      </c>
      <c r="E265" s="267" t="s">
        <v>5</v>
      </c>
      <c r="F265" s="784" t="s">
        <v>1501</v>
      </c>
      <c r="G265" s="1"/>
      <c r="H265" s="1"/>
      <c r="I265" s="1"/>
      <c r="J265" s="1"/>
      <c r="K265" s="1"/>
      <c r="L265" s="1"/>
      <c r="M265" s="1"/>
      <c r="N265" s="1"/>
      <c r="O265" s="1"/>
      <c r="P265" s="1"/>
      <c r="Q265" s="1"/>
    </row>
    <row r="266" ht="14.25" customHeight="1">
      <c r="A266" s="1"/>
      <c r="B266" s="25" t="s">
        <v>3147</v>
      </c>
      <c r="C266" s="410">
        <v>110.0</v>
      </c>
      <c r="D266" s="526">
        <f>(C266*D265)/C265</f>
        <v>10</v>
      </c>
      <c r="E266" s="28" t="s">
        <v>14</v>
      </c>
      <c r="F266" s="44" t="s">
        <v>3153</v>
      </c>
      <c r="G266" s="1"/>
      <c r="H266" s="1"/>
      <c r="I266" s="1"/>
      <c r="J266" s="1"/>
      <c r="K266" s="1"/>
      <c r="L266" s="1"/>
      <c r="M266" s="1"/>
      <c r="N266" s="1"/>
      <c r="O266" s="1"/>
      <c r="P266" s="1"/>
      <c r="Q266" s="1"/>
    </row>
    <row r="267" ht="14.25" customHeight="1">
      <c r="A267" s="1"/>
      <c r="B267" s="25" t="s">
        <v>1161</v>
      </c>
      <c r="C267" s="410">
        <v>11.0</v>
      </c>
      <c r="D267" s="526">
        <f t="shared" ref="D267:D268" si="25">(C267*D265)/C265</f>
        <v>1</v>
      </c>
      <c r="E267" s="28" t="s">
        <v>14</v>
      </c>
      <c r="F267" s="47"/>
      <c r="G267" s="1"/>
      <c r="H267" s="1"/>
      <c r="I267" s="1"/>
      <c r="J267" s="1"/>
      <c r="K267" s="1"/>
      <c r="L267" s="1"/>
      <c r="M267" s="1"/>
      <c r="N267" s="1"/>
      <c r="O267" s="1"/>
      <c r="P267" s="1"/>
      <c r="Q267" s="1"/>
    </row>
    <row r="268" ht="14.25" customHeight="1">
      <c r="A268" s="1"/>
      <c r="B268" s="25" t="s">
        <v>3151</v>
      </c>
      <c r="C268" s="410">
        <v>2.2</v>
      </c>
      <c r="D268" s="526">
        <f t="shared" si="25"/>
        <v>0.2</v>
      </c>
      <c r="E268" s="28" t="s">
        <v>14</v>
      </c>
      <c r="F268" s="47"/>
      <c r="G268" s="1"/>
      <c r="H268" s="1"/>
      <c r="I268" s="1"/>
      <c r="J268" s="1"/>
      <c r="K268" s="1"/>
      <c r="L268" s="1"/>
      <c r="M268" s="1"/>
      <c r="N268" s="1"/>
      <c r="O268" s="1"/>
      <c r="P268" s="1"/>
      <c r="Q268" s="1"/>
    </row>
    <row r="269" ht="14.25" customHeight="1">
      <c r="A269" s="1"/>
      <c r="B269" s="163" t="s">
        <v>91</v>
      </c>
      <c r="C269" s="131">
        <v>2.2</v>
      </c>
      <c r="D269" s="164">
        <f t="shared" ref="D269:D271" si="26">(C269*D268)/C268</f>
        <v>0.2</v>
      </c>
      <c r="E269" s="169" t="s">
        <v>5</v>
      </c>
      <c r="F269" s="47"/>
      <c r="G269" s="1"/>
      <c r="H269" s="1"/>
      <c r="I269" s="1"/>
      <c r="J269" s="1"/>
      <c r="K269" s="1"/>
      <c r="L269" s="1"/>
      <c r="M269" s="1"/>
      <c r="N269" s="1"/>
      <c r="O269" s="1"/>
      <c r="P269" s="1"/>
      <c r="Q269" s="1"/>
    </row>
    <row r="270" ht="14.25" customHeight="1">
      <c r="A270" s="1"/>
      <c r="B270" s="177" t="s">
        <v>98</v>
      </c>
      <c r="C270" s="160">
        <v>242.0</v>
      </c>
      <c r="D270" s="201">
        <f t="shared" si="26"/>
        <v>22</v>
      </c>
      <c r="E270" s="204" t="s">
        <v>18</v>
      </c>
      <c r="F270" s="47"/>
      <c r="G270" s="1"/>
      <c r="H270" s="1"/>
      <c r="I270" s="1"/>
      <c r="J270" s="1"/>
      <c r="K270" s="1"/>
      <c r="L270" s="1"/>
      <c r="M270" s="1"/>
      <c r="N270" s="1"/>
      <c r="O270" s="1"/>
      <c r="P270" s="1"/>
      <c r="Q270" s="1"/>
    </row>
    <row r="271" ht="14.25" customHeight="1">
      <c r="A271" s="1"/>
      <c r="B271" s="177" t="s">
        <v>148</v>
      </c>
      <c r="C271" s="160">
        <v>242.0</v>
      </c>
      <c r="D271" s="201">
        <f t="shared" si="26"/>
        <v>22</v>
      </c>
      <c r="E271" s="204" t="s">
        <v>18</v>
      </c>
      <c r="F271" s="76"/>
      <c r="G271" s="1"/>
      <c r="H271" s="1"/>
      <c r="I271" s="1"/>
      <c r="J271" s="1"/>
      <c r="K271" s="1"/>
      <c r="L271" s="1"/>
      <c r="M271" s="1"/>
      <c r="N271" s="1"/>
      <c r="O271" s="1"/>
      <c r="P271" s="1"/>
      <c r="Q271" s="1"/>
    </row>
    <row r="272" ht="14.25" customHeight="1">
      <c r="A272" s="1"/>
      <c r="B272" s="262" t="s">
        <v>753</v>
      </c>
      <c r="C272" s="1360">
        <v>495.0</v>
      </c>
      <c r="D272" s="265">
        <f t="shared" ref="D272:D273" si="27">(C272*D273)/C273</f>
        <v>45</v>
      </c>
      <c r="E272" s="267" t="s">
        <v>18</v>
      </c>
      <c r="F272" s="44" t="s">
        <v>3165</v>
      </c>
      <c r="G272" s="1"/>
      <c r="H272" s="1"/>
      <c r="I272" s="1"/>
      <c r="J272" s="1"/>
      <c r="K272" s="1"/>
      <c r="L272" s="1"/>
      <c r="M272" s="1"/>
      <c r="N272" s="1"/>
      <c r="O272" s="1"/>
      <c r="P272" s="1"/>
      <c r="Q272" s="1"/>
    </row>
    <row r="273" ht="14.25" customHeight="1">
      <c r="A273" s="1"/>
      <c r="B273" s="177" t="s">
        <v>103</v>
      </c>
      <c r="C273" s="160">
        <v>77.0</v>
      </c>
      <c r="D273" s="201">
        <f t="shared" si="27"/>
        <v>7</v>
      </c>
      <c r="E273" s="204" t="s">
        <v>18</v>
      </c>
      <c r="F273" s="47"/>
      <c r="G273" s="1"/>
      <c r="H273" s="1"/>
      <c r="I273" s="1"/>
      <c r="J273" s="1"/>
      <c r="K273" s="1"/>
      <c r="L273" s="1"/>
      <c r="M273" s="1"/>
      <c r="N273" s="1"/>
      <c r="O273" s="1"/>
      <c r="P273" s="1"/>
      <c r="Q273" s="1"/>
    </row>
    <row r="274" ht="14.25" customHeight="1">
      <c r="A274" s="1"/>
      <c r="B274" s="177" t="s">
        <v>52</v>
      </c>
      <c r="C274" s="160">
        <v>242.0</v>
      </c>
      <c r="D274" s="201">
        <f t="shared" ref="D274:D275" si="28">(C274*D271)/C271</f>
        <v>22</v>
      </c>
      <c r="E274" s="204" t="s">
        <v>18</v>
      </c>
      <c r="F274" s="47"/>
      <c r="G274" s="1"/>
      <c r="H274" s="1"/>
      <c r="I274" s="1"/>
      <c r="J274" s="1"/>
      <c r="K274" s="1"/>
      <c r="L274" s="1"/>
      <c r="M274" s="1"/>
      <c r="N274" s="1"/>
      <c r="O274" s="1"/>
      <c r="P274" s="1"/>
      <c r="Q274" s="1"/>
    </row>
    <row r="275" ht="14.25" customHeight="1">
      <c r="A275" s="1"/>
      <c r="B275" s="163" t="s">
        <v>3115</v>
      </c>
      <c r="C275" s="131">
        <v>154.0</v>
      </c>
      <c r="D275" s="164">
        <f t="shared" si="28"/>
        <v>14</v>
      </c>
      <c r="E275" s="169" t="s">
        <v>18</v>
      </c>
      <c r="F275" s="47"/>
      <c r="G275" s="1"/>
      <c r="H275" s="1"/>
      <c r="I275" s="1"/>
      <c r="J275" s="1"/>
      <c r="K275" s="1"/>
      <c r="L275" s="1"/>
      <c r="M275" s="1"/>
      <c r="N275" s="1"/>
      <c r="O275" s="1"/>
      <c r="P275" s="1"/>
      <c r="Q275" s="1"/>
    </row>
    <row r="276" ht="14.25" customHeight="1">
      <c r="A276" s="1"/>
      <c r="B276" s="177" t="s">
        <v>98</v>
      </c>
      <c r="C276" s="160">
        <v>99.0</v>
      </c>
      <c r="D276" s="201">
        <f t="shared" ref="D276:D282" si="29">(C276*D275)/C275</f>
        <v>9</v>
      </c>
      <c r="E276" s="204" t="s">
        <v>18</v>
      </c>
      <c r="F276" s="76"/>
      <c r="G276" s="1"/>
      <c r="H276" s="1"/>
      <c r="I276" s="1"/>
      <c r="J276" s="1"/>
      <c r="K276" s="1"/>
      <c r="L276" s="1"/>
      <c r="M276" s="1"/>
      <c r="N276" s="1"/>
      <c r="O276" s="1"/>
      <c r="P276" s="1"/>
      <c r="Q276" s="1"/>
    </row>
    <row r="277" ht="14.25" customHeight="1">
      <c r="A277" s="1"/>
      <c r="B277" s="177" t="s">
        <v>162</v>
      </c>
      <c r="C277" s="160">
        <v>154.0</v>
      </c>
      <c r="D277" s="201">
        <f t="shared" si="29"/>
        <v>14</v>
      </c>
      <c r="E277" s="204" t="s">
        <v>18</v>
      </c>
      <c r="F277" s="141"/>
      <c r="G277" s="1"/>
      <c r="H277" s="1"/>
      <c r="I277" s="1"/>
      <c r="J277" s="1"/>
      <c r="K277" s="1"/>
      <c r="L277" s="1"/>
      <c r="M277" s="1"/>
      <c r="N277" s="1"/>
      <c r="O277" s="1"/>
      <c r="P277" s="1"/>
      <c r="Q277" s="1"/>
    </row>
    <row r="278" ht="14.25" customHeight="1">
      <c r="A278" s="1"/>
      <c r="B278" s="177" t="s">
        <v>350</v>
      </c>
      <c r="C278" s="27">
        <v>5.5</v>
      </c>
      <c r="D278" s="201">
        <f t="shared" si="29"/>
        <v>0.5</v>
      </c>
      <c r="E278" s="204" t="s">
        <v>14</v>
      </c>
      <c r="F278" s="141"/>
      <c r="G278" s="1"/>
      <c r="H278" s="1"/>
      <c r="I278" s="1"/>
      <c r="J278" s="1"/>
      <c r="K278" s="1"/>
      <c r="L278" s="1"/>
      <c r="M278" s="1"/>
      <c r="N278" s="1"/>
      <c r="O278" s="1"/>
      <c r="P278" s="1"/>
      <c r="Q278" s="1"/>
    </row>
    <row r="279" ht="14.25" customHeight="1">
      <c r="A279" s="1"/>
      <c r="B279" s="208" t="s">
        <v>2333</v>
      </c>
      <c r="C279" s="236">
        <v>16.5</v>
      </c>
      <c r="D279" s="257">
        <f t="shared" si="29"/>
        <v>1.5</v>
      </c>
      <c r="E279" s="212" t="s">
        <v>9</v>
      </c>
      <c r="F279" s="141"/>
      <c r="G279" s="1"/>
      <c r="H279" s="1"/>
      <c r="I279" s="1"/>
      <c r="J279" s="1"/>
      <c r="K279" s="1"/>
      <c r="L279" s="1"/>
      <c r="M279" s="1"/>
      <c r="N279" s="1"/>
      <c r="O279" s="1"/>
      <c r="P279" s="1"/>
      <c r="Q279" s="1"/>
    </row>
    <row r="280" ht="14.25" customHeight="1">
      <c r="A280" s="1"/>
      <c r="B280" s="157" t="s">
        <v>31</v>
      </c>
      <c r="C280" s="174">
        <v>1144.0</v>
      </c>
      <c r="D280" s="158">
        <f t="shared" si="29"/>
        <v>104</v>
      </c>
      <c r="E280" s="159" t="s">
        <v>18</v>
      </c>
      <c r="F280" s="1"/>
      <c r="G280" s="1"/>
      <c r="H280" s="1"/>
      <c r="I280" s="1"/>
      <c r="J280" s="1"/>
      <c r="K280" s="1"/>
      <c r="L280" s="1"/>
      <c r="M280" s="1"/>
      <c r="N280" s="1"/>
      <c r="O280" s="1"/>
      <c r="P280" s="1"/>
      <c r="Q280" s="1"/>
    </row>
    <row r="281" ht="14.25" customHeight="1">
      <c r="A281" s="1"/>
      <c r="B281" s="177" t="s">
        <v>13</v>
      </c>
      <c r="C281" s="160">
        <v>0.77</v>
      </c>
      <c r="D281" s="201">
        <f t="shared" si="29"/>
        <v>0.07</v>
      </c>
      <c r="E281" s="204" t="s">
        <v>14</v>
      </c>
      <c r="F281" s="1"/>
      <c r="G281" s="1"/>
      <c r="H281" s="1"/>
      <c r="I281" s="1"/>
      <c r="J281" s="1"/>
      <c r="K281" s="1"/>
      <c r="L281" s="1"/>
      <c r="M281" s="1"/>
      <c r="N281" s="1"/>
      <c r="O281" s="1"/>
      <c r="P281" s="1"/>
      <c r="Q281" s="1"/>
    </row>
    <row r="282" ht="14.25" customHeight="1">
      <c r="A282" s="1"/>
      <c r="B282" s="208" t="s">
        <v>114</v>
      </c>
      <c r="C282" s="236">
        <v>5.5</v>
      </c>
      <c r="D282" s="257">
        <f t="shared" si="29"/>
        <v>0.5</v>
      </c>
      <c r="E282" s="212" t="s">
        <v>5</v>
      </c>
      <c r="F282" s="1"/>
      <c r="G282" s="1"/>
      <c r="H282" s="1"/>
      <c r="I282" s="1"/>
      <c r="J282" s="1"/>
      <c r="K282" s="1"/>
      <c r="L282" s="1"/>
      <c r="M282" s="1"/>
      <c r="N282" s="1"/>
      <c r="O282" s="1"/>
      <c r="P282" s="1"/>
      <c r="Q282" s="1"/>
    </row>
    <row r="283" ht="14.25" customHeight="1">
      <c r="A283" s="1"/>
      <c r="B283" s="2325" t="s">
        <v>186</v>
      </c>
      <c r="C283" s="2326"/>
      <c r="D283" s="2813">
        <v>43562.0</v>
      </c>
      <c r="E283" s="107"/>
      <c r="F283" s="1"/>
      <c r="G283" s="1"/>
      <c r="H283" s="1"/>
      <c r="I283" s="1"/>
      <c r="J283" s="1"/>
      <c r="K283" s="1"/>
      <c r="L283" s="1"/>
      <c r="M283" s="1"/>
      <c r="N283" s="1"/>
      <c r="O283" s="1"/>
      <c r="P283" s="1"/>
      <c r="Q283" s="1"/>
    </row>
    <row r="284" ht="14.25" customHeight="1">
      <c r="A284" s="1"/>
      <c r="B284" s="664" t="s">
        <v>50</v>
      </c>
      <c r="C284" s="2326"/>
      <c r="D284" s="2813"/>
      <c r="E284" s="107"/>
      <c r="F284" s="1"/>
      <c r="G284" s="1"/>
      <c r="H284" s="1"/>
      <c r="I284" s="1"/>
      <c r="J284" s="1"/>
      <c r="K284" s="1"/>
      <c r="L284" s="1"/>
      <c r="M284" s="1"/>
      <c r="N284" s="1"/>
      <c r="O284" s="1"/>
      <c r="P284" s="1"/>
      <c r="Q284" s="1"/>
    </row>
    <row r="285" ht="14.25" customHeight="1">
      <c r="A285" s="1"/>
      <c r="B285" s="1"/>
      <c r="C285" s="107"/>
      <c r="D285" s="107"/>
      <c r="E285" s="107"/>
      <c r="F285" s="1"/>
      <c r="G285" s="1"/>
      <c r="H285" s="1"/>
      <c r="I285" s="1"/>
      <c r="J285" s="1"/>
      <c r="K285" s="1"/>
      <c r="L285" s="1"/>
      <c r="M285" s="1"/>
      <c r="N285" s="1"/>
      <c r="O285" s="1"/>
      <c r="P285" s="1"/>
      <c r="Q285" s="1"/>
    </row>
    <row r="286" ht="14.25" customHeight="1">
      <c r="A286" s="1"/>
      <c r="B286" s="1"/>
      <c r="C286" s="107"/>
      <c r="D286" s="107"/>
      <c r="E286" s="107"/>
      <c r="F286" s="1"/>
      <c r="G286" s="1"/>
      <c r="H286" s="1"/>
      <c r="I286" s="1"/>
      <c r="J286" s="1"/>
      <c r="K286" s="1"/>
      <c r="L286" s="1"/>
      <c r="M286" s="1"/>
      <c r="N286" s="1"/>
      <c r="O286" s="1"/>
      <c r="P286" s="1"/>
      <c r="Q286" s="1"/>
    </row>
    <row r="287" ht="14.25" customHeight="1">
      <c r="A287" s="1"/>
      <c r="B287" s="511" t="s">
        <v>3171</v>
      </c>
      <c r="C287" s="18"/>
      <c r="D287" s="18"/>
      <c r="E287" s="19"/>
      <c r="F287" s="2670" t="s">
        <v>119</v>
      </c>
      <c r="G287" s="1446" t="s">
        <v>47</v>
      </c>
      <c r="H287" s="1"/>
      <c r="I287" s="1"/>
      <c r="J287" s="1"/>
      <c r="K287" s="1"/>
      <c r="L287" s="1"/>
      <c r="M287" s="1"/>
      <c r="N287" s="1"/>
      <c r="O287" s="1"/>
      <c r="P287" s="1"/>
      <c r="Q287" s="1"/>
    </row>
    <row r="288" ht="14.25" customHeight="1">
      <c r="A288" s="1"/>
      <c r="B288" s="51" t="s">
        <v>1</v>
      </c>
      <c r="C288" s="190">
        <v>32.0</v>
      </c>
      <c r="D288" s="190">
        <v>27.0</v>
      </c>
      <c r="E288" s="514" t="s">
        <v>5</v>
      </c>
      <c r="F288" s="1"/>
      <c r="G288" s="1"/>
      <c r="H288" s="1"/>
      <c r="I288" s="1"/>
      <c r="J288" s="1"/>
      <c r="K288" s="1"/>
      <c r="L288" s="1"/>
      <c r="M288" s="1"/>
      <c r="N288" s="1"/>
      <c r="O288" s="1"/>
      <c r="P288" s="1"/>
      <c r="Q288" s="1"/>
    </row>
    <row r="289" ht="14.25" customHeight="1">
      <c r="A289" s="1"/>
      <c r="B289" s="2835" t="s">
        <v>3173</v>
      </c>
      <c r="C289" s="190">
        <v>18.0</v>
      </c>
      <c r="D289" s="1553">
        <f t="shared" ref="D289:D293" si="30">(C289*D288)/C288</f>
        <v>15.1875</v>
      </c>
      <c r="E289" s="514" t="s">
        <v>14</v>
      </c>
      <c r="F289" s="1"/>
      <c r="G289" s="1"/>
      <c r="H289" s="1"/>
      <c r="I289" s="1"/>
      <c r="J289" s="1"/>
      <c r="K289" s="1"/>
      <c r="L289" s="1"/>
      <c r="M289" s="1"/>
      <c r="N289" s="1"/>
      <c r="O289" s="1"/>
      <c r="P289" s="1"/>
      <c r="Q289" s="1"/>
    </row>
    <row r="290" ht="14.25" customHeight="1">
      <c r="A290" s="1"/>
      <c r="B290" s="68" t="s">
        <v>91</v>
      </c>
      <c r="C290" s="145">
        <v>0.16</v>
      </c>
      <c r="D290" s="145">
        <f t="shared" si="30"/>
        <v>0.135</v>
      </c>
      <c r="E290" s="216" t="s">
        <v>5</v>
      </c>
      <c r="F290" s="610" t="s">
        <v>3175</v>
      </c>
      <c r="G290" s="1"/>
      <c r="H290" s="1"/>
      <c r="I290" s="1"/>
      <c r="J290" s="1"/>
      <c r="K290" s="1"/>
      <c r="L290" s="1"/>
      <c r="M290" s="1"/>
      <c r="N290" s="1"/>
      <c r="O290" s="1"/>
      <c r="P290" s="1"/>
      <c r="Q290" s="1"/>
    </row>
    <row r="291" ht="14.25" customHeight="1">
      <c r="A291" s="1"/>
      <c r="B291" s="93" t="s">
        <v>97</v>
      </c>
      <c r="C291" s="195">
        <v>32.0</v>
      </c>
      <c r="D291" s="195">
        <f t="shared" si="30"/>
        <v>27</v>
      </c>
      <c r="E291" s="249" t="s">
        <v>18</v>
      </c>
      <c r="F291" s="47"/>
      <c r="G291" s="1"/>
      <c r="H291" s="1"/>
      <c r="I291" s="1"/>
      <c r="J291" s="1"/>
      <c r="K291" s="1"/>
      <c r="L291" s="1"/>
      <c r="M291" s="1"/>
      <c r="N291" s="1"/>
      <c r="O291" s="1"/>
      <c r="P291" s="1"/>
      <c r="Q291" s="1"/>
    </row>
    <row r="292" ht="14.25" customHeight="1">
      <c r="A292" s="1"/>
      <c r="B292" s="93" t="s">
        <v>101</v>
      </c>
      <c r="C292" s="195">
        <v>0.32</v>
      </c>
      <c r="D292" s="195">
        <f t="shared" si="30"/>
        <v>0.27</v>
      </c>
      <c r="E292" s="249" t="s">
        <v>5</v>
      </c>
      <c r="F292" s="47"/>
      <c r="G292" s="1"/>
      <c r="H292" s="1"/>
      <c r="I292" s="1"/>
      <c r="J292" s="1"/>
      <c r="K292" s="1"/>
      <c r="L292" s="1"/>
      <c r="M292" s="1"/>
      <c r="N292" s="1"/>
      <c r="O292" s="1"/>
      <c r="P292" s="1"/>
      <c r="Q292" s="1"/>
    </row>
    <row r="293" ht="14.25" customHeight="1">
      <c r="A293" s="1"/>
      <c r="B293" s="119" t="s">
        <v>1091</v>
      </c>
      <c r="C293" s="238">
        <v>25.0</v>
      </c>
      <c r="D293" s="982">
        <f t="shared" si="30"/>
        <v>21.09375</v>
      </c>
      <c r="E293" s="520" t="s">
        <v>18</v>
      </c>
      <c r="F293" s="47"/>
      <c r="G293" s="1"/>
      <c r="H293" s="1"/>
      <c r="I293" s="1"/>
      <c r="J293" s="1"/>
      <c r="K293" s="1"/>
      <c r="L293" s="1"/>
      <c r="M293" s="1"/>
      <c r="N293" s="1"/>
      <c r="O293" s="1"/>
      <c r="P293" s="1"/>
      <c r="Q293" s="1"/>
    </row>
    <row r="294" ht="14.25" customHeight="1">
      <c r="A294" s="1"/>
      <c r="B294" s="93" t="s">
        <v>103</v>
      </c>
      <c r="C294" s="195">
        <v>40.0</v>
      </c>
      <c r="D294" s="195">
        <f>(C294*D292)/C292</f>
        <v>33.75</v>
      </c>
      <c r="E294" s="249" t="s">
        <v>18</v>
      </c>
      <c r="F294" s="47"/>
      <c r="G294" s="1"/>
      <c r="H294" s="1"/>
      <c r="I294" s="1"/>
      <c r="J294" s="1"/>
      <c r="K294" s="1"/>
      <c r="L294" s="1"/>
      <c r="M294" s="1"/>
      <c r="N294" s="1"/>
      <c r="O294" s="1"/>
      <c r="P294" s="1"/>
      <c r="Q294" s="1"/>
    </row>
    <row r="295" ht="14.25" customHeight="1">
      <c r="A295" s="1"/>
      <c r="B295" s="93" t="s">
        <v>2350</v>
      </c>
      <c r="C295" s="195">
        <v>1.0</v>
      </c>
      <c r="D295" s="40">
        <f>(C295*D288)/C288</f>
        <v>0.84375</v>
      </c>
      <c r="E295" s="249" t="s">
        <v>366</v>
      </c>
      <c r="F295" s="47"/>
      <c r="G295" s="1"/>
      <c r="H295" s="1"/>
      <c r="I295" s="1"/>
      <c r="J295" s="1"/>
      <c r="K295" s="1"/>
      <c r="L295" s="1"/>
      <c r="M295" s="1"/>
      <c r="N295" s="1"/>
      <c r="O295" s="1"/>
      <c r="P295" s="1"/>
      <c r="Q295" s="1"/>
    </row>
    <row r="296" ht="14.25" customHeight="1">
      <c r="A296" s="1"/>
      <c r="B296" s="93" t="s">
        <v>3176</v>
      </c>
      <c r="C296" s="195">
        <v>1.2</v>
      </c>
      <c r="D296" s="40">
        <f>(C296*D295)/C295</f>
        <v>1.0125</v>
      </c>
      <c r="E296" s="249" t="s">
        <v>366</v>
      </c>
      <c r="F296" s="47"/>
      <c r="G296" s="1"/>
      <c r="H296" s="1"/>
      <c r="I296" s="1"/>
      <c r="J296" s="1"/>
      <c r="K296" s="1"/>
      <c r="L296" s="1"/>
      <c r="M296" s="1"/>
      <c r="N296" s="1"/>
      <c r="O296" s="1"/>
      <c r="P296" s="1"/>
      <c r="Q296" s="1"/>
    </row>
    <row r="297" ht="14.25" customHeight="1">
      <c r="A297" s="1"/>
      <c r="B297" s="93" t="s">
        <v>3177</v>
      </c>
      <c r="C297" s="195">
        <v>1.2</v>
      </c>
      <c r="D297" s="40">
        <f>(C297*D295)/C295</f>
        <v>1.0125</v>
      </c>
      <c r="E297" s="249" t="s">
        <v>366</v>
      </c>
      <c r="F297" s="47"/>
      <c r="G297" s="1"/>
      <c r="H297" s="1"/>
      <c r="I297" s="1"/>
      <c r="J297" s="1"/>
      <c r="K297" s="1"/>
      <c r="L297" s="1"/>
      <c r="M297" s="1"/>
      <c r="N297" s="1"/>
      <c r="O297" s="1"/>
      <c r="P297" s="1"/>
      <c r="Q297" s="1"/>
    </row>
    <row r="298" ht="14.25" customHeight="1">
      <c r="A298" s="1"/>
      <c r="B298" s="93" t="s">
        <v>2781</v>
      </c>
      <c r="C298" s="195">
        <v>96.0</v>
      </c>
      <c r="D298" s="195">
        <f>(C298*D294)/C294</f>
        <v>81</v>
      </c>
      <c r="E298" s="249" t="s">
        <v>18</v>
      </c>
      <c r="F298" s="47"/>
      <c r="G298" s="1"/>
      <c r="H298" s="1"/>
      <c r="I298" s="1"/>
      <c r="J298" s="1"/>
      <c r="K298" s="1"/>
      <c r="L298" s="1"/>
      <c r="M298" s="1"/>
      <c r="N298" s="1"/>
      <c r="O298" s="1"/>
      <c r="P298" s="1"/>
      <c r="Q298" s="1"/>
    </row>
    <row r="299" ht="14.25" customHeight="1">
      <c r="A299" s="1"/>
      <c r="B299" s="93" t="s">
        <v>3179</v>
      </c>
      <c r="C299" s="195">
        <v>64.0</v>
      </c>
      <c r="D299" s="195">
        <f t="shared" ref="D299:D300" si="31">(C299*D298)/C298</f>
        <v>54</v>
      </c>
      <c r="E299" s="249" t="s">
        <v>18</v>
      </c>
      <c r="F299" s="47"/>
      <c r="G299" s="1"/>
      <c r="H299" s="1"/>
      <c r="I299" s="1"/>
      <c r="J299" s="1"/>
      <c r="K299" s="1"/>
      <c r="L299" s="1"/>
      <c r="M299" s="1"/>
      <c r="N299" s="1"/>
      <c r="O299" s="1"/>
      <c r="P299" s="1"/>
      <c r="Q299" s="1"/>
    </row>
    <row r="300" ht="14.25" customHeight="1">
      <c r="A300" s="1"/>
      <c r="B300" s="93" t="s">
        <v>105</v>
      </c>
      <c r="C300" s="195">
        <v>64.0</v>
      </c>
      <c r="D300" s="195">
        <f t="shared" si="31"/>
        <v>54</v>
      </c>
      <c r="E300" s="249" t="s">
        <v>18</v>
      </c>
      <c r="F300" s="47"/>
      <c r="G300" s="1"/>
      <c r="H300" s="1"/>
      <c r="I300" s="1"/>
      <c r="J300" s="1"/>
      <c r="K300" s="1"/>
      <c r="L300" s="1"/>
      <c r="M300" s="1"/>
      <c r="N300" s="1"/>
      <c r="O300" s="1"/>
      <c r="P300" s="1"/>
      <c r="Q300" s="1"/>
    </row>
    <row r="301" ht="14.25" customHeight="1">
      <c r="A301" s="1"/>
      <c r="B301" s="377" t="s">
        <v>112</v>
      </c>
      <c r="C301" s="195">
        <v>64.0</v>
      </c>
      <c r="D301" s="195">
        <f>(C301*D298)/C298</f>
        <v>54</v>
      </c>
      <c r="E301" s="249" t="s">
        <v>18</v>
      </c>
      <c r="F301" s="47"/>
      <c r="G301" s="1"/>
      <c r="H301" s="1"/>
      <c r="I301" s="1"/>
      <c r="J301" s="1"/>
      <c r="K301" s="1"/>
      <c r="L301" s="1"/>
      <c r="M301" s="1"/>
      <c r="N301" s="1"/>
      <c r="O301" s="1"/>
      <c r="P301" s="1"/>
      <c r="Q301" s="1"/>
    </row>
    <row r="302" ht="14.25" customHeight="1">
      <c r="A302" s="1"/>
      <c r="B302" s="138" t="s">
        <v>31</v>
      </c>
      <c r="C302" s="279">
        <v>96.0</v>
      </c>
      <c r="D302" s="279">
        <f t="shared" ref="D302:D306" si="32">(C302*D301)/C301</f>
        <v>81</v>
      </c>
      <c r="E302" s="242" t="s">
        <v>18</v>
      </c>
      <c r="F302" s="76"/>
      <c r="G302" s="1"/>
      <c r="H302" s="1"/>
      <c r="I302" s="1"/>
      <c r="J302" s="1"/>
      <c r="K302" s="1"/>
      <c r="L302" s="1"/>
      <c r="M302" s="1"/>
      <c r="N302" s="1"/>
      <c r="O302" s="1"/>
      <c r="P302" s="1"/>
      <c r="Q302" s="1"/>
    </row>
    <row r="303" ht="14.25" customHeight="1">
      <c r="A303" s="1"/>
      <c r="B303" s="68" t="s">
        <v>491</v>
      </c>
      <c r="C303" s="145">
        <v>0.32</v>
      </c>
      <c r="D303" s="145">
        <f t="shared" si="32"/>
        <v>0.27</v>
      </c>
      <c r="E303" s="216" t="s">
        <v>18</v>
      </c>
      <c r="F303" s="250" t="s">
        <v>1881</v>
      </c>
      <c r="G303" s="1"/>
      <c r="H303" s="1"/>
      <c r="I303" s="1"/>
      <c r="J303" s="1"/>
      <c r="K303" s="1"/>
      <c r="L303" s="1"/>
      <c r="M303" s="1"/>
      <c r="N303" s="1"/>
      <c r="O303" s="1"/>
      <c r="P303" s="1"/>
      <c r="Q303" s="1"/>
    </row>
    <row r="304" ht="14.25" customHeight="1">
      <c r="A304" s="1"/>
      <c r="B304" s="93" t="s">
        <v>97</v>
      </c>
      <c r="C304" s="195">
        <v>32.0</v>
      </c>
      <c r="D304" s="195">
        <f t="shared" si="32"/>
        <v>27</v>
      </c>
      <c r="E304" s="249" t="s">
        <v>18</v>
      </c>
      <c r="F304" s="47"/>
      <c r="G304" s="1"/>
      <c r="H304" s="1"/>
      <c r="I304" s="1"/>
      <c r="J304" s="1"/>
      <c r="K304" s="1"/>
      <c r="L304" s="1"/>
      <c r="M304" s="1"/>
      <c r="N304" s="1"/>
      <c r="O304" s="1"/>
      <c r="P304" s="1"/>
      <c r="Q304" s="1"/>
    </row>
    <row r="305" ht="14.25" customHeight="1">
      <c r="A305" s="1"/>
      <c r="B305" s="93" t="s">
        <v>101</v>
      </c>
      <c r="C305" s="195">
        <v>0.1</v>
      </c>
      <c r="D305" s="40">
        <f t="shared" si="32"/>
        <v>0.084375</v>
      </c>
      <c r="E305" s="249" t="s">
        <v>5</v>
      </c>
      <c r="F305" s="47"/>
      <c r="G305" s="1"/>
      <c r="H305" s="1"/>
      <c r="I305" s="1"/>
      <c r="J305" s="1"/>
      <c r="K305" s="1"/>
      <c r="L305" s="1"/>
      <c r="M305" s="1"/>
      <c r="N305" s="1"/>
      <c r="O305" s="1"/>
      <c r="P305" s="1"/>
      <c r="Q305" s="1"/>
    </row>
    <row r="306" ht="14.25" customHeight="1">
      <c r="A306" s="1"/>
      <c r="B306" s="93" t="s">
        <v>1643</v>
      </c>
      <c r="C306" s="195">
        <v>192.0</v>
      </c>
      <c r="D306" s="195">
        <f t="shared" si="32"/>
        <v>162</v>
      </c>
      <c r="E306" s="249" t="s">
        <v>18</v>
      </c>
      <c r="F306" s="47"/>
      <c r="G306" s="1"/>
      <c r="H306" s="1"/>
      <c r="I306" s="1"/>
      <c r="J306" s="1"/>
      <c r="K306" s="1"/>
      <c r="L306" s="1"/>
      <c r="M306" s="1"/>
      <c r="N306" s="1"/>
      <c r="O306" s="1"/>
      <c r="P306" s="1"/>
      <c r="Q306" s="1"/>
    </row>
    <row r="307" ht="14.25" customHeight="1">
      <c r="A307" s="1"/>
      <c r="B307" s="93" t="s">
        <v>103</v>
      </c>
      <c r="C307" s="195">
        <v>40.0</v>
      </c>
      <c r="D307" s="195">
        <f>(C307*D305)/C305</f>
        <v>33.75</v>
      </c>
      <c r="E307" s="249" t="s">
        <v>18</v>
      </c>
      <c r="F307" s="47"/>
      <c r="G307" s="1"/>
      <c r="H307" s="1"/>
      <c r="I307" s="1"/>
      <c r="J307" s="1"/>
      <c r="K307" s="1"/>
      <c r="L307" s="1"/>
      <c r="M307" s="1"/>
      <c r="N307" s="1"/>
      <c r="O307" s="1"/>
      <c r="P307" s="1"/>
      <c r="Q307" s="1"/>
    </row>
    <row r="308" ht="14.25" customHeight="1">
      <c r="A308" s="1"/>
      <c r="B308" s="93" t="s">
        <v>1091</v>
      </c>
      <c r="C308" s="195">
        <v>16.0</v>
      </c>
      <c r="D308" s="195">
        <f>(C308*D307)/C307</f>
        <v>13.5</v>
      </c>
      <c r="E308" s="249" t="s">
        <v>18</v>
      </c>
      <c r="F308" s="47"/>
      <c r="G308" s="1"/>
      <c r="H308" s="1"/>
      <c r="I308" s="1"/>
      <c r="J308" s="1"/>
      <c r="K308" s="1"/>
      <c r="L308" s="1"/>
      <c r="M308" s="1"/>
      <c r="N308" s="1"/>
      <c r="O308" s="1"/>
      <c r="P308" s="1"/>
      <c r="Q308" s="1"/>
    </row>
    <row r="309" ht="14.25" customHeight="1">
      <c r="A309" s="1"/>
      <c r="B309" s="93" t="s">
        <v>2762</v>
      </c>
      <c r="C309" s="195">
        <v>6.0</v>
      </c>
      <c r="D309" s="1878">
        <f t="shared" ref="D309:D310" si="33">(C309*D303)/C303</f>
        <v>5.0625</v>
      </c>
      <c r="E309" s="249" t="s">
        <v>14</v>
      </c>
      <c r="F309" s="47"/>
      <c r="G309" s="1"/>
      <c r="H309" s="1"/>
      <c r="I309" s="1"/>
      <c r="J309" s="1"/>
      <c r="K309" s="1"/>
      <c r="L309" s="1"/>
      <c r="M309" s="1"/>
      <c r="N309" s="1"/>
      <c r="O309" s="1"/>
      <c r="P309" s="1"/>
      <c r="Q309" s="1"/>
    </row>
    <row r="310" ht="14.25" customHeight="1">
      <c r="A310" s="1"/>
      <c r="B310" s="138" t="s">
        <v>31</v>
      </c>
      <c r="C310" s="279">
        <v>220.0</v>
      </c>
      <c r="D310" s="2703">
        <f t="shared" si="33"/>
        <v>185.625</v>
      </c>
      <c r="E310" s="242" t="s">
        <v>18</v>
      </c>
      <c r="F310" s="76"/>
      <c r="G310" s="1"/>
      <c r="H310" s="1"/>
      <c r="I310" s="1"/>
      <c r="J310" s="1"/>
      <c r="K310" s="1"/>
      <c r="L310" s="1"/>
      <c r="M310" s="1"/>
      <c r="N310" s="1"/>
      <c r="O310" s="1"/>
      <c r="P310" s="1"/>
      <c r="Q310" s="1"/>
    </row>
    <row r="311" ht="14.25" customHeight="1">
      <c r="A311" s="1"/>
      <c r="B311" s="68" t="s">
        <v>2775</v>
      </c>
      <c r="C311" s="145">
        <v>6.0</v>
      </c>
      <c r="D311" s="1192">
        <f t="shared" ref="D311:D313" si="34">(C311*D310)/C310</f>
        <v>5.0625</v>
      </c>
      <c r="E311" s="216" t="s">
        <v>1208</v>
      </c>
      <c r="F311" s="250" t="s">
        <v>3183</v>
      </c>
      <c r="G311" s="1"/>
      <c r="H311" s="1"/>
      <c r="I311" s="1"/>
      <c r="J311" s="1"/>
      <c r="K311" s="1"/>
      <c r="L311" s="1"/>
      <c r="M311" s="1"/>
      <c r="N311" s="1"/>
      <c r="O311" s="1"/>
      <c r="P311" s="1"/>
      <c r="Q311" s="1"/>
    </row>
    <row r="312" ht="14.25" customHeight="1">
      <c r="A312" s="1"/>
      <c r="B312" s="898" t="s">
        <v>3184</v>
      </c>
      <c r="C312" s="195">
        <v>1.2000000000000002</v>
      </c>
      <c r="D312" s="1878">
        <f t="shared" si="34"/>
        <v>1.0125</v>
      </c>
      <c r="E312" s="249" t="s">
        <v>5</v>
      </c>
      <c r="F312" s="47"/>
      <c r="G312" s="1"/>
      <c r="H312" s="1"/>
      <c r="I312" s="1"/>
      <c r="J312" s="1"/>
      <c r="K312" s="1"/>
      <c r="L312" s="1"/>
      <c r="M312" s="1"/>
      <c r="N312" s="1"/>
      <c r="O312" s="1"/>
      <c r="P312" s="1"/>
      <c r="Q312" s="1"/>
    </row>
    <row r="313" ht="14.25" customHeight="1">
      <c r="A313" s="1"/>
      <c r="B313" s="105" t="s">
        <v>3185</v>
      </c>
      <c r="C313" s="200">
        <v>3.2</v>
      </c>
      <c r="D313" s="200">
        <f t="shared" si="34"/>
        <v>2.7</v>
      </c>
      <c r="E313" s="518" t="s">
        <v>5</v>
      </c>
      <c r="F313" s="76"/>
      <c r="G313" s="1"/>
      <c r="H313" s="1"/>
      <c r="I313" s="1"/>
      <c r="J313" s="1"/>
      <c r="K313" s="1"/>
      <c r="L313" s="1"/>
      <c r="M313" s="1"/>
      <c r="N313" s="1"/>
      <c r="O313" s="1"/>
      <c r="P313" s="1"/>
      <c r="Q313" s="1"/>
    </row>
    <row r="314" ht="14.25" customHeight="1">
      <c r="A314" s="1"/>
      <c r="B314" s="2341" t="s">
        <v>120</v>
      </c>
      <c r="C314" s="1929">
        <v>43392.0</v>
      </c>
      <c r="D314" s="107"/>
      <c r="E314" s="107"/>
      <c r="F314" s="1"/>
      <c r="G314" s="1"/>
      <c r="H314" s="1"/>
      <c r="I314" s="1"/>
      <c r="J314" s="1"/>
      <c r="K314" s="1"/>
      <c r="L314" s="1"/>
      <c r="M314" s="1"/>
      <c r="N314" s="1"/>
      <c r="O314" s="1"/>
      <c r="P314" s="1"/>
      <c r="Q314" s="1"/>
    </row>
    <row r="315" ht="14.25" customHeight="1">
      <c r="A315" s="1"/>
      <c r="B315" s="795" t="s">
        <v>50</v>
      </c>
      <c r="C315" s="796">
        <v>43392.0</v>
      </c>
      <c r="D315" s="107"/>
      <c r="E315" s="107"/>
      <c r="F315" s="1"/>
      <c r="G315" s="1"/>
      <c r="H315" s="1"/>
      <c r="I315" s="1"/>
      <c r="J315" s="1"/>
      <c r="K315" s="1"/>
      <c r="L315" s="1"/>
      <c r="M315" s="1"/>
      <c r="N315" s="1"/>
      <c r="O315" s="1"/>
      <c r="P315" s="1"/>
      <c r="Q315" s="1"/>
    </row>
    <row r="316" ht="14.25" customHeight="1">
      <c r="A316" s="1"/>
      <c r="B316" s="1"/>
      <c r="C316" s="1"/>
      <c r="D316" s="1"/>
      <c r="E316" s="1"/>
      <c r="F316" s="1"/>
      <c r="G316" s="1"/>
      <c r="H316" s="1"/>
      <c r="I316" s="1"/>
      <c r="J316" s="1"/>
      <c r="K316" s="1"/>
      <c r="L316" s="1"/>
      <c r="M316" s="1"/>
      <c r="N316" s="1"/>
      <c r="O316" s="1"/>
      <c r="P316" s="1"/>
      <c r="Q316" s="1"/>
    </row>
    <row r="317" ht="14.25" customHeight="1">
      <c r="A317" s="1"/>
      <c r="B317" s="1"/>
      <c r="C317" s="1"/>
      <c r="D317" s="1"/>
      <c r="E317" s="1"/>
      <c r="F317" s="1"/>
      <c r="G317" s="1"/>
      <c r="H317" s="1"/>
      <c r="I317" s="1"/>
      <c r="J317" s="1"/>
      <c r="K317" s="1"/>
      <c r="L317" s="1"/>
      <c r="M317" s="1"/>
      <c r="N317" s="1"/>
      <c r="O317" s="1"/>
      <c r="P317" s="1"/>
      <c r="Q317" s="1"/>
    </row>
    <row r="318" ht="14.25" customHeight="1">
      <c r="A318" s="1"/>
      <c r="B318" s="1"/>
      <c r="C318" s="1"/>
      <c r="D318" s="1"/>
      <c r="E318" s="1"/>
      <c r="F318" s="1"/>
      <c r="G318" s="1"/>
      <c r="H318" s="1"/>
      <c r="I318" s="1"/>
      <c r="J318" s="1"/>
      <c r="K318" s="1"/>
      <c r="L318" s="1"/>
      <c r="M318" s="1"/>
      <c r="N318" s="1"/>
      <c r="O318" s="1"/>
      <c r="P318" s="1"/>
      <c r="Q318" s="1"/>
    </row>
    <row r="319" ht="14.25" customHeight="1">
      <c r="A319" s="1"/>
      <c r="B319" s="1"/>
      <c r="C319" s="1"/>
      <c r="D319" s="1"/>
      <c r="E319" s="1"/>
      <c r="F319" s="1"/>
      <c r="G319" s="1"/>
      <c r="H319" s="1"/>
      <c r="I319" s="1"/>
      <c r="J319" s="1"/>
      <c r="K319" s="1"/>
      <c r="L319" s="1"/>
      <c r="M319" s="1"/>
      <c r="N319" s="1"/>
      <c r="O319" s="1"/>
      <c r="P319" s="1"/>
      <c r="Q319" s="1"/>
    </row>
    <row r="320" ht="14.25" customHeight="1">
      <c r="A320" s="1"/>
      <c r="B320" s="1"/>
      <c r="C320" s="1"/>
      <c r="D320" s="1"/>
      <c r="E320" s="1"/>
      <c r="F320" s="1"/>
      <c r="G320" s="1"/>
      <c r="H320" s="1"/>
      <c r="I320" s="1"/>
      <c r="J320" s="1"/>
      <c r="K320" s="1"/>
      <c r="L320" s="1"/>
      <c r="M320" s="1"/>
      <c r="N320" s="1"/>
      <c r="O320" s="1"/>
      <c r="P320" s="1"/>
      <c r="Q320" s="1"/>
    </row>
    <row r="321" ht="14.25" customHeight="1">
      <c r="A321" s="1"/>
      <c r="B321" s="511" t="s">
        <v>3188</v>
      </c>
      <c r="C321" s="18"/>
      <c r="D321" s="18"/>
      <c r="E321" s="19"/>
      <c r="F321" s="2670" t="s">
        <v>119</v>
      </c>
      <c r="G321" s="1446" t="s">
        <v>47</v>
      </c>
      <c r="H321" s="1"/>
      <c r="I321" s="1"/>
      <c r="J321" s="1"/>
      <c r="K321" s="1"/>
      <c r="L321" s="1"/>
      <c r="M321" s="1"/>
      <c r="N321" s="1"/>
      <c r="O321" s="1"/>
      <c r="P321" s="1"/>
      <c r="Q321" s="1"/>
    </row>
    <row r="322" ht="14.25" customHeight="1">
      <c r="A322" s="1"/>
      <c r="B322" s="51" t="s">
        <v>1</v>
      </c>
      <c r="C322" s="53">
        <v>30.0</v>
      </c>
      <c r="D322" s="190">
        <v>20.0</v>
      </c>
      <c r="E322" s="514" t="s">
        <v>5</v>
      </c>
      <c r="F322" s="1"/>
      <c r="G322" s="1"/>
      <c r="H322" s="1"/>
      <c r="I322" s="1"/>
      <c r="J322" s="1"/>
      <c r="K322" s="1"/>
      <c r="L322" s="1"/>
      <c r="M322" s="1"/>
      <c r="N322" s="1"/>
      <c r="O322" s="1"/>
      <c r="P322" s="1"/>
      <c r="Q322" s="1"/>
    </row>
    <row r="323" ht="14.25" customHeight="1">
      <c r="A323" s="1"/>
      <c r="B323" s="68" t="s">
        <v>3189</v>
      </c>
      <c r="C323" s="210">
        <v>30.0</v>
      </c>
      <c r="D323" s="145">
        <f t="shared" ref="D323:D325" si="35">D322*C323/C322</f>
        <v>20</v>
      </c>
      <c r="E323" s="216" t="s">
        <v>5</v>
      </c>
      <c r="F323" s="1"/>
      <c r="G323" s="1"/>
      <c r="H323" s="1"/>
      <c r="I323" s="1"/>
      <c r="J323" s="1"/>
      <c r="K323" s="1"/>
      <c r="L323" s="1"/>
      <c r="M323" s="1"/>
      <c r="N323" s="1"/>
      <c r="O323" s="1"/>
      <c r="P323" s="1"/>
      <c r="Q323" s="1"/>
    </row>
    <row r="324" ht="14.25" customHeight="1">
      <c r="A324" s="1"/>
      <c r="B324" s="93" t="s">
        <v>1559</v>
      </c>
      <c r="C324" s="247">
        <v>150.0</v>
      </c>
      <c r="D324" s="195">
        <f t="shared" si="35"/>
        <v>100</v>
      </c>
      <c r="E324" s="249" t="s">
        <v>18</v>
      </c>
      <c r="F324" s="1"/>
      <c r="G324" s="1"/>
      <c r="H324" s="1"/>
      <c r="I324" s="1"/>
      <c r="J324" s="1"/>
      <c r="K324" s="1"/>
      <c r="L324" s="1"/>
      <c r="M324" s="1"/>
      <c r="N324" s="1"/>
      <c r="O324" s="1"/>
      <c r="P324" s="1"/>
      <c r="Q324" s="1"/>
    </row>
    <row r="325" ht="14.25" customHeight="1">
      <c r="A325" s="1"/>
      <c r="B325" s="138" t="s">
        <v>3191</v>
      </c>
      <c r="C325" s="239">
        <v>30.0</v>
      </c>
      <c r="D325" s="279">
        <f t="shared" si="35"/>
        <v>20</v>
      </c>
      <c r="E325" s="242" t="s">
        <v>18</v>
      </c>
      <c r="F325" s="1"/>
      <c r="G325" s="1"/>
      <c r="H325" s="1"/>
      <c r="I325" s="1"/>
      <c r="J325" s="1"/>
      <c r="K325" s="1"/>
      <c r="L325" s="1"/>
      <c r="M325" s="1"/>
      <c r="N325" s="1"/>
      <c r="O325" s="1"/>
      <c r="P325" s="1"/>
      <c r="Q325" s="1"/>
    </row>
    <row r="326" ht="14.25" customHeight="1">
      <c r="A326" s="1"/>
      <c r="B326" s="68" t="s">
        <v>91</v>
      </c>
      <c r="C326" s="210">
        <v>0.5</v>
      </c>
      <c r="D326" s="975">
        <f>D323*C326/C323</f>
        <v>0.3333333333</v>
      </c>
      <c r="E326" s="216" t="s">
        <v>5</v>
      </c>
      <c r="F326" s="1"/>
      <c r="G326" s="1"/>
      <c r="H326" s="1"/>
      <c r="I326" s="1"/>
      <c r="J326" s="1"/>
      <c r="K326" s="1"/>
      <c r="L326" s="1"/>
      <c r="M326" s="1"/>
      <c r="N326" s="1"/>
      <c r="O326" s="1"/>
      <c r="P326" s="1"/>
      <c r="Q326" s="1"/>
    </row>
    <row r="327" ht="14.25" customHeight="1">
      <c r="A327" s="1"/>
      <c r="B327" s="93" t="s">
        <v>1201</v>
      </c>
      <c r="C327" s="247">
        <v>100.0</v>
      </c>
      <c r="D327" s="40">
        <f t="shared" ref="D327:D334" si="36">D326*C327/C326</f>
        <v>66.66666667</v>
      </c>
      <c r="E327" s="249" t="s">
        <v>18</v>
      </c>
      <c r="F327" s="1"/>
      <c r="G327" s="1"/>
      <c r="H327" s="1"/>
      <c r="I327" s="1"/>
      <c r="J327" s="1"/>
      <c r="K327" s="1"/>
      <c r="L327" s="1"/>
      <c r="M327" s="1"/>
      <c r="N327" s="1"/>
      <c r="O327" s="1"/>
      <c r="P327" s="1"/>
      <c r="Q327" s="1"/>
    </row>
    <row r="328" ht="14.25" customHeight="1">
      <c r="A328" s="1"/>
      <c r="B328" s="93" t="s">
        <v>1205</v>
      </c>
      <c r="C328" s="247">
        <v>80.0</v>
      </c>
      <c r="D328" s="40">
        <f t="shared" si="36"/>
        <v>53.33333333</v>
      </c>
      <c r="E328" s="249" t="s">
        <v>18</v>
      </c>
      <c r="F328" s="1"/>
      <c r="G328" s="1"/>
      <c r="H328" s="1"/>
      <c r="I328" s="1"/>
      <c r="J328" s="1"/>
      <c r="K328" s="1"/>
      <c r="L328" s="1"/>
      <c r="M328" s="1"/>
      <c r="N328" s="1"/>
      <c r="O328" s="1"/>
      <c r="P328" s="1"/>
      <c r="Q328" s="1"/>
    </row>
    <row r="329" ht="14.25" customHeight="1">
      <c r="A329" s="1"/>
      <c r="B329" s="93" t="s">
        <v>3193</v>
      </c>
      <c r="C329" s="247">
        <v>50.0</v>
      </c>
      <c r="D329" s="40">
        <f t="shared" si="36"/>
        <v>33.33333333</v>
      </c>
      <c r="E329" s="249" t="s">
        <v>18</v>
      </c>
      <c r="F329" s="1"/>
      <c r="G329" s="1"/>
      <c r="H329" s="1"/>
      <c r="I329" s="1"/>
      <c r="J329" s="1"/>
      <c r="K329" s="1"/>
      <c r="L329" s="1"/>
      <c r="M329" s="1"/>
      <c r="N329" s="1"/>
      <c r="O329" s="1"/>
      <c r="P329" s="1"/>
      <c r="Q329" s="1"/>
    </row>
    <row r="330" ht="14.25" customHeight="1">
      <c r="A330" s="1"/>
      <c r="B330" s="93" t="s">
        <v>3194</v>
      </c>
      <c r="C330" s="247">
        <v>330.0</v>
      </c>
      <c r="D330" s="40">
        <f t="shared" si="36"/>
        <v>220</v>
      </c>
      <c r="E330" s="249" t="s">
        <v>18</v>
      </c>
      <c r="F330" s="1"/>
      <c r="G330" s="1"/>
      <c r="H330" s="1"/>
      <c r="I330" s="1"/>
      <c r="J330" s="1"/>
      <c r="K330" s="1"/>
      <c r="L330" s="1"/>
      <c r="M330" s="1"/>
      <c r="N330" s="1"/>
      <c r="O330" s="1"/>
      <c r="P330" s="1"/>
      <c r="Q330" s="1"/>
    </row>
    <row r="331" ht="14.25" customHeight="1">
      <c r="A331" s="1"/>
      <c r="B331" s="93" t="s">
        <v>103</v>
      </c>
      <c r="C331" s="247">
        <v>20.0</v>
      </c>
      <c r="D331" s="40">
        <f t="shared" si="36"/>
        <v>13.33333333</v>
      </c>
      <c r="E331" s="249" t="s">
        <v>18</v>
      </c>
      <c r="F331" s="1"/>
      <c r="G331" s="1"/>
      <c r="H331" s="1"/>
      <c r="I331" s="1"/>
      <c r="J331" s="1"/>
      <c r="K331" s="1"/>
      <c r="L331" s="1"/>
      <c r="M331" s="1"/>
      <c r="N331" s="1"/>
      <c r="O331" s="1"/>
      <c r="P331" s="1"/>
      <c r="Q331" s="1"/>
    </row>
    <row r="332" ht="14.25" customHeight="1">
      <c r="A332" s="1"/>
      <c r="B332" s="138" t="s">
        <v>31</v>
      </c>
      <c r="C332" s="239">
        <v>340.0</v>
      </c>
      <c r="D332" s="1554">
        <f t="shared" si="36"/>
        <v>226.6666667</v>
      </c>
      <c r="E332" s="242" t="s">
        <v>18</v>
      </c>
      <c r="F332" s="1"/>
      <c r="G332" s="1"/>
      <c r="H332" s="1"/>
      <c r="I332" s="1"/>
      <c r="J332" s="1"/>
      <c r="K332" s="1"/>
      <c r="L332" s="1"/>
      <c r="M332" s="1"/>
      <c r="N332" s="1"/>
      <c r="O332" s="1"/>
      <c r="P332" s="1"/>
      <c r="Q332" s="1"/>
    </row>
    <row r="333" ht="14.25" customHeight="1">
      <c r="A333" s="1"/>
      <c r="B333" s="68" t="s">
        <v>142</v>
      </c>
      <c r="C333" s="210">
        <v>5.0</v>
      </c>
      <c r="D333" s="975">
        <f t="shared" si="36"/>
        <v>3.333333333</v>
      </c>
      <c r="E333" s="216" t="s">
        <v>2832</v>
      </c>
      <c r="F333" s="1"/>
      <c r="G333" s="1"/>
      <c r="H333" s="1"/>
      <c r="I333" s="1"/>
      <c r="J333" s="1"/>
      <c r="K333" s="1"/>
      <c r="L333" s="1"/>
      <c r="M333" s="1"/>
      <c r="N333" s="1"/>
      <c r="O333" s="1"/>
      <c r="P333" s="1"/>
      <c r="Q333" s="1"/>
    </row>
    <row r="334" ht="14.25" customHeight="1">
      <c r="A334" s="1"/>
      <c r="B334" s="105" t="s">
        <v>958</v>
      </c>
      <c r="C334" s="522">
        <v>2.0</v>
      </c>
      <c r="D334" s="980">
        <f t="shared" si="36"/>
        <v>1.333333333</v>
      </c>
      <c r="E334" s="518" t="s">
        <v>5</v>
      </c>
      <c r="F334" s="1"/>
      <c r="G334" s="1"/>
      <c r="H334" s="1"/>
      <c r="I334" s="1"/>
      <c r="J334" s="1"/>
      <c r="K334" s="1"/>
      <c r="L334" s="1"/>
      <c r="M334" s="1"/>
      <c r="N334" s="1"/>
      <c r="O334" s="1"/>
      <c r="P334" s="1"/>
      <c r="Q334" s="1"/>
    </row>
    <row r="335" ht="14.25" customHeight="1">
      <c r="A335" s="1"/>
      <c r="B335" s="1"/>
      <c r="C335" s="1"/>
      <c r="D335" s="726"/>
      <c r="E335" s="1"/>
      <c r="F335" s="1"/>
      <c r="G335" s="1"/>
      <c r="H335" s="1"/>
      <c r="I335" s="1"/>
      <c r="J335" s="1"/>
      <c r="K335" s="1"/>
      <c r="L335" s="1"/>
      <c r="M335" s="1"/>
      <c r="N335" s="1"/>
      <c r="O335" s="1"/>
      <c r="P335" s="1"/>
      <c r="Q335" s="1"/>
    </row>
    <row r="336" ht="14.25" customHeight="1">
      <c r="A336" s="1"/>
      <c r="B336" s="1"/>
      <c r="C336" s="1"/>
      <c r="D336" s="1"/>
      <c r="E336" s="1"/>
      <c r="F336" s="1"/>
      <c r="G336" s="1"/>
      <c r="H336" s="1"/>
      <c r="I336" s="1"/>
      <c r="J336" s="1"/>
      <c r="K336" s="1"/>
      <c r="L336" s="1"/>
      <c r="M336" s="1"/>
      <c r="N336" s="1"/>
      <c r="O336" s="1"/>
      <c r="P336" s="1"/>
      <c r="Q336" s="1"/>
    </row>
    <row r="337" ht="14.25" customHeight="1">
      <c r="A337" s="1"/>
      <c r="B337" s="1"/>
      <c r="C337" s="1"/>
      <c r="D337" s="1"/>
      <c r="E337" s="1"/>
      <c r="F337" s="1"/>
      <c r="G337" s="1"/>
      <c r="H337" s="1"/>
      <c r="I337" s="1"/>
      <c r="J337" s="1"/>
      <c r="K337" s="1"/>
      <c r="L337" s="1"/>
      <c r="M337" s="1"/>
      <c r="N337" s="1"/>
      <c r="O337" s="1"/>
      <c r="P337" s="1"/>
      <c r="Q337" s="1"/>
    </row>
    <row r="338" ht="14.25" customHeight="1">
      <c r="A338" s="1"/>
      <c r="B338" s="511" t="s">
        <v>3197</v>
      </c>
      <c r="C338" s="18"/>
      <c r="D338" s="18"/>
      <c r="E338" s="19"/>
      <c r="F338" s="2670" t="s">
        <v>119</v>
      </c>
      <c r="G338" s="1446" t="s">
        <v>47</v>
      </c>
      <c r="H338" s="1"/>
      <c r="I338" s="1"/>
      <c r="J338" s="1"/>
      <c r="K338" s="1"/>
      <c r="L338" s="1"/>
      <c r="M338" s="1"/>
      <c r="N338" s="1"/>
      <c r="O338" s="1"/>
      <c r="P338" s="1"/>
      <c r="Q338" s="1"/>
    </row>
    <row r="339" ht="14.25" customHeight="1">
      <c r="A339" s="1"/>
      <c r="B339" s="173" t="s">
        <v>1</v>
      </c>
      <c r="C339" s="545">
        <v>30.0</v>
      </c>
      <c r="D339" s="275">
        <v>30.0</v>
      </c>
      <c r="E339" s="547" t="s">
        <v>5</v>
      </c>
      <c r="F339" s="1"/>
      <c r="G339" s="1"/>
      <c r="H339" s="1"/>
      <c r="I339" s="1"/>
      <c r="J339" s="1"/>
      <c r="K339" s="1"/>
      <c r="L339" s="1"/>
      <c r="M339" s="1"/>
      <c r="N339" s="1"/>
      <c r="O339" s="1"/>
      <c r="P339" s="1"/>
      <c r="Q339" s="1"/>
    </row>
    <row r="340" ht="14.25" customHeight="1">
      <c r="A340" s="1"/>
      <c r="B340" s="68" t="s">
        <v>91</v>
      </c>
      <c r="C340" s="210">
        <v>0.5</v>
      </c>
      <c r="D340" s="145">
        <f t="shared" ref="D340:D344" si="37">(C340*D339)/C339</f>
        <v>0.5</v>
      </c>
      <c r="E340" s="216" t="s">
        <v>5</v>
      </c>
      <c r="F340" s="1"/>
      <c r="G340" s="1"/>
      <c r="H340" s="1"/>
      <c r="I340" s="1"/>
      <c r="J340" s="1"/>
      <c r="K340" s="1"/>
      <c r="L340" s="1"/>
      <c r="M340" s="1"/>
      <c r="N340" s="1"/>
      <c r="O340" s="1"/>
      <c r="P340" s="1"/>
      <c r="Q340" s="1"/>
    </row>
    <row r="341" ht="14.25" customHeight="1">
      <c r="A341" s="1"/>
      <c r="B341" s="93" t="s">
        <v>97</v>
      </c>
      <c r="C341" s="247">
        <v>5.0</v>
      </c>
      <c r="D341" s="195">
        <f t="shared" si="37"/>
        <v>5</v>
      </c>
      <c r="E341" s="249" t="s">
        <v>18</v>
      </c>
      <c r="F341" s="1"/>
      <c r="G341" s="1"/>
      <c r="H341" s="1"/>
      <c r="I341" s="1"/>
      <c r="J341" s="1"/>
      <c r="K341" s="1"/>
      <c r="L341" s="1"/>
      <c r="M341" s="1"/>
      <c r="N341" s="1"/>
      <c r="O341" s="1"/>
      <c r="P341" s="1"/>
      <c r="Q341" s="1"/>
    </row>
    <row r="342" ht="14.25" customHeight="1">
      <c r="A342" s="1"/>
      <c r="B342" s="93" t="s">
        <v>98</v>
      </c>
      <c r="C342" s="247">
        <v>15.0</v>
      </c>
      <c r="D342" s="195">
        <f t="shared" si="37"/>
        <v>15</v>
      </c>
      <c r="E342" s="249" t="s">
        <v>18</v>
      </c>
      <c r="F342" s="1"/>
      <c r="G342" s="1"/>
      <c r="H342" s="1"/>
      <c r="I342" s="1"/>
      <c r="J342" s="1"/>
      <c r="K342" s="1"/>
      <c r="L342" s="1"/>
      <c r="M342" s="1"/>
      <c r="N342" s="1"/>
      <c r="O342" s="1"/>
      <c r="P342" s="1"/>
      <c r="Q342" s="1"/>
    </row>
    <row r="343" ht="14.25" customHeight="1">
      <c r="A343" s="1"/>
      <c r="B343" s="93" t="s">
        <v>1201</v>
      </c>
      <c r="C343" s="247">
        <v>100.0</v>
      </c>
      <c r="D343" s="195">
        <f t="shared" si="37"/>
        <v>100</v>
      </c>
      <c r="E343" s="249" t="s">
        <v>18</v>
      </c>
      <c r="F343" s="1"/>
      <c r="G343" s="1"/>
      <c r="H343" s="1"/>
      <c r="I343" s="1"/>
      <c r="J343" s="1"/>
      <c r="K343" s="1"/>
      <c r="L343" s="1"/>
      <c r="M343" s="1"/>
      <c r="N343" s="1"/>
      <c r="O343" s="1"/>
      <c r="P343" s="1"/>
      <c r="Q343" s="1"/>
    </row>
    <row r="344" ht="14.25" customHeight="1">
      <c r="A344" s="1"/>
      <c r="B344" s="93" t="s">
        <v>1205</v>
      </c>
      <c r="C344" s="247">
        <v>80.0</v>
      </c>
      <c r="D344" s="195">
        <f t="shared" si="37"/>
        <v>80</v>
      </c>
      <c r="E344" s="249" t="s">
        <v>18</v>
      </c>
      <c r="F344" s="1"/>
      <c r="G344" s="1"/>
      <c r="H344" s="1"/>
      <c r="I344" s="1"/>
      <c r="J344" s="1"/>
      <c r="K344" s="1"/>
      <c r="L344" s="1"/>
      <c r="M344" s="1"/>
      <c r="N344" s="1"/>
      <c r="O344" s="1"/>
      <c r="P344" s="1"/>
      <c r="Q344" s="1"/>
    </row>
    <row r="345" ht="14.25" customHeight="1">
      <c r="A345" s="1"/>
      <c r="B345" s="93" t="s">
        <v>39</v>
      </c>
      <c r="C345" s="247">
        <v>50.0</v>
      </c>
      <c r="D345" s="195">
        <f>(C345*D342)/C342</f>
        <v>50</v>
      </c>
      <c r="E345" s="249" t="s">
        <v>18</v>
      </c>
      <c r="F345" s="1"/>
      <c r="G345" s="1"/>
      <c r="H345" s="1"/>
      <c r="I345" s="1"/>
      <c r="J345" s="1"/>
      <c r="K345" s="1"/>
      <c r="L345" s="1"/>
      <c r="M345" s="1"/>
      <c r="N345" s="1"/>
      <c r="O345" s="1"/>
      <c r="P345" s="1"/>
      <c r="Q345" s="1"/>
    </row>
    <row r="346" ht="14.25" customHeight="1">
      <c r="A346" s="1"/>
      <c r="B346" s="93" t="s">
        <v>149</v>
      </c>
      <c r="C346" s="247">
        <v>50.0</v>
      </c>
      <c r="D346" s="195">
        <f t="shared" ref="D346:D347" si="38">(C346*D344)/C344</f>
        <v>50</v>
      </c>
      <c r="E346" s="249" t="s">
        <v>18</v>
      </c>
      <c r="F346" s="1"/>
      <c r="G346" s="1"/>
      <c r="H346" s="1"/>
      <c r="I346" s="1"/>
      <c r="J346" s="1"/>
      <c r="K346" s="1"/>
      <c r="L346" s="1"/>
      <c r="M346" s="1"/>
      <c r="N346" s="1"/>
      <c r="O346" s="1"/>
      <c r="P346" s="1"/>
      <c r="Q346" s="1"/>
    </row>
    <row r="347" ht="14.25" customHeight="1">
      <c r="A347" s="1"/>
      <c r="B347" s="93" t="s">
        <v>499</v>
      </c>
      <c r="C347" s="247">
        <v>50.0</v>
      </c>
      <c r="D347" s="195">
        <f t="shared" si="38"/>
        <v>50</v>
      </c>
      <c r="E347" s="249" t="s">
        <v>18</v>
      </c>
      <c r="F347" s="1"/>
      <c r="G347" s="1"/>
      <c r="H347" s="1"/>
      <c r="I347" s="1"/>
      <c r="J347" s="1"/>
      <c r="K347" s="1"/>
      <c r="L347" s="1"/>
      <c r="M347" s="1"/>
      <c r="N347" s="1"/>
      <c r="O347" s="1"/>
      <c r="P347" s="1"/>
      <c r="Q347" s="1"/>
    </row>
    <row r="348" ht="14.25" customHeight="1">
      <c r="A348" s="1"/>
      <c r="B348" s="93" t="s">
        <v>103</v>
      </c>
      <c r="C348" s="247">
        <v>20.0</v>
      </c>
      <c r="D348" s="195">
        <f t="shared" ref="D348:D351" si="39">(C348*D347)/C347</f>
        <v>20</v>
      </c>
      <c r="E348" s="249" t="s">
        <v>18</v>
      </c>
      <c r="F348" s="1"/>
      <c r="G348" s="1"/>
      <c r="H348" s="1"/>
      <c r="I348" s="1"/>
      <c r="J348" s="1"/>
      <c r="K348" s="1"/>
      <c r="L348" s="1"/>
      <c r="M348" s="1"/>
      <c r="N348" s="1"/>
      <c r="O348" s="1"/>
      <c r="P348" s="1"/>
      <c r="Q348" s="1"/>
    </row>
    <row r="349" ht="14.25" customHeight="1">
      <c r="A349" s="1"/>
      <c r="B349" s="93" t="s">
        <v>2828</v>
      </c>
      <c r="C349" s="247">
        <v>27.0</v>
      </c>
      <c r="D349" s="195">
        <f t="shared" si="39"/>
        <v>27</v>
      </c>
      <c r="E349" s="249" t="s">
        <v>14</v>
      </c>
      <c r="F349" s="1"/>
      <c r="G349" s="1"/>
      <c r="H349" s="1"/>
      <c r="I349" s="1"/>
      <c r="J349" s="1"/>
      <c r="K349" s="1"/>
      <c r="L349" s="1"/>
      <c r="M349" s="1"/>
      <c r="N349" s="1"/>
      <c r="O349" s="1"/>
      <c r="P349" s="1"/>
      <c r="Q349" s="1"/>
    </row>
    <row r="350" ht="14.25" customHeight="1">
      <c r="A350" s="1"/>
      <c r="B350" s="138" t="s">
        <v>31</v>
      </c>
      <c r="C350" s="239">
        <v>340.0</v>
      </c>
      <c r="D350" s="279">
        <f t="shared" si="39"/>
        <v>340</v>
      </c>
      <c r="E350" s="242" t="s">
        <v>18</v>
      </c>
      <c r="F350" s="1"/>
      <c r="G350" s="1"/>
      <c r="H350" s="1"/>
      <c r="I350" s="1"/>
      <c r="J350" s="1"/>
      <c r="K350" s="1"/>
      <c r="L350" s="1"/>
      <c r="M350" s="1"/>
      <c r="N350" s="1"/>
      <c r="O350" s="1"/>
      <c r="P350" s="1"/>
      <c r="Q350" s="1"/>
    </row>
    <row r="351" ht="14.25" customHeight="1">
      <c r="A351" s="1"/>
      <c r="B351" s="149" t="s">
        <v>3203</v>
      </c>
      <c r="C351" s="272">
        <v>3.0</v>
      </c>
      <c r="D351" s="200">
        <f t="shared" si="39"/>
        <v>3</v>
      </c>
      <c r="E351" s="518" t="s">
        <v>14</v>
      </c>
      <c r="F351" s="1"/>
      <c r="G351" s="1"/>
      <c r="H351" s="1"/>
      <c r="I351" s="1"/>
      <c r="J351" s="1"/>
      <c r="K351" s="1"/>
      <c r="L351" s="1"/>
      <c r="M351" s="1"/>
      <c r="N351" s="1"/>
      <c r="O351" s="1"/>
      <c r="P351" s="1"/>
      <c r="Q351" s="1"/>
    </row>
    <row r="352" ht="14.25" customHeight="1">
      <c r="A352" s="1"/>
      <c r="B352" s="68" t="s">
        <v>142</v>
      </c>
      <c r="C352" s="210">
        <v>5.0</v>
      </c>
      <c r="D352" s="145">
        <f>(C352*D350)/C350</f>
        <v>5</v>
      </c>
      <c r="E352" s="216" t="s">
        <v>2832</v>
      </c>
      <c r="F352" s="1"/>
      <c r="G352" s="1"/>
      <c r="H352" s="1"/>
      <c r="I352" s="1"/>
      <c r="J352" s="1"/>
      <c r="K352" s="1"/>
      <c r="L352" s="1"/>
      <c r="M352" s="1"/>
      <c r="N352" s="1"/>
      <c r="O352" s="1"/>
      <c r="P352" s="1"/>
      <c r="Q352" s="1"/>
    </row>
    <row r="353" ht="14.25" customHeight="1">
      <c r="A353" s="1"/>
      <c r="B353" s="105" t="s">
        <v>958</v>
      </c>
      <c r="C353" s="522">
        <v>2.0</v>
      </c>
      <c r="D353" s="200">
        <f>(C353*D352)/C352</f>
        <v>2</v>
      </c>
      <c r="E353" s="518" t="s">
        <v>5</v>
      </c>
      <c r="F353" s="1"/>
      <c r="G353" s="1"/>
      <c r="H353" s="1"/>
      <c r="I353" s="1"/>
      <c r="J353" s="1"/>
      <c r="K353" s="1"/>
      <c r="L353" s="1"/>
      <c r="M353" s="1"/>
      <c r="N353" s="1"/>
      <c r="O353" s="1"/>
      <c r="P353" s="1"/>
      <c r="Q353" s="1"/>
    </row>
    <row r="354" ht="14.25" customHeight="1">
      <c r="A354" s="1"/>
      <c r="B354" s="1"/>
      <c r="C354" s="1"/>
      <c r="D354" s="1"/>
      <c r="E354" s="1"/>
      <c r="F354" s="1"/>
      <c r="G354" s="1"/>
      <c r="H354" s="1"/>
      <c r="I354" s="1"/>
      <c r="J354" s="1"/>
      <c r="K354" s="1"/>
      <c r="L354" s="1"/>
      <c r="M354" s="1"/>
      <c r="N354" s="1"/>
      <c r="O354" s="1"/>
      <c r="P354" s="1"/>
      <c r="Q354" s="1"/>
    </row>
    <row r="355" ht="14.25" customHeight="1">
      <c r="A355" s="1"/>
      <c r="B355" s="1"/>
      <c r="C355" s="1"/>
      <c r="D355" s="1"/>
      <c r="E355" s="1"/>
      <c r="F355" s="1"/>
      <c r="G355" s="1"/>
      <c r="H355" s="1"/>
      <c r="I355" s="1"/>
      <c r="J355" s="1"/>
      <c r="K355" s="1"/>
      <c r="L355" s="1"/>
      <c r="M355" s="1"/>
      <c r="N355" s="1"/>
      <c r="O355" s="1"/>
      <c r="P355" s="1"/>
      <c r="Q355" s="1"/>
    </row>
    <row r="356" ht="14.25" customHeight="1">
      <c r="A356" s="1"/>
      <c r="B356" s="1"/>
      <c r="C356" s="1"/>
      <c r="D356" s="1"/>
      <c r="E356" s="1"/>
      <c r="F356" s="1"/>
      <c r="G356" s="1"/>
      <c r="H356" s="1"/>
      <c r="I356" s="1"/>
      <c r="J356" s="1"/>
      <c r="K356" s="1"/>
      <c r="L356" s="1"/>
      <c r="M356" s="1"/>
      <c r="N356" s="1"/>
      <c r="O356" s="1"/>
      <c r="P356" s="1"/>
      <c r="Q356" s="1"/>
    </row>
    <row r="357" ht="14.25" customHeight="1">
      <c r="A357" s="1"/>
      <c r="B357" s="2856" t="s">
        <v>3204</v>
      </c>
      <c r="C357" s="18"/>
      <c r="D357" s="18"/>
      <c r="E357" s="19"/>
      <c r="F357" s="2670" t="s">
        <v>119</v>
      </c>
      <c r="G357" s="1446" t="s">
        <v>47</v>
      </c>
      <c r="H357" s="1"/>
      <c r="I357" s="1"/>
      <c r="J357" s="1"/>
      <c r="K357" s="1"/>
      <c r="L357" s="1"/>
      <c r="M357" s="1"/>
      <c r="N357" s="1"/>
      <c r="O357" s="1"/>
      <c r="P357" s="1"/>
      <c r="Q357" s="1"/>
    </row>
    <row r="358" ht="14.25" customHeight="1">
      <c r="A358" s="1"/>
      <c r="B358" s="1746" t="s">
        <v>1</v>
      </c>
      <c r="C358" s="2283">
        <v>10.0</v>
      </c>
      <c r="D358" s="1429">
        <v>12.0</v>
      </c>
      <c r="E358" s="1762" t="s">
        <v>5</v>
      </c>
      <c r="F358" s="1"/>
      <c r="G358" s="1"/>
      <c r="H358" s="1"/>
      <c r="I358" s="1"/>
      <c r="J358" s="1"/>
      <c r="K358" s="1"/>
      <c r="L358" s="1"/>
      <c r="M358" s="1"/>
      <c r="N358" s="1"/>
      <c r="O358" s="1"/>
      <c r="P358" s="1"/>
      <c r="Q358" s="1"/>
    </row>
    <row r="359" ht="14.25" customHeight="1">
      <c r="A359" s="1"/>
      <c r="B359" s="345" t="s">
        <v>3206</v>
      </c>
      <c r="C359" s="2287">
        <v>16.0</v>
      </c>
      <c r="D359" s="666">
        <f t="shared" ref="D359:D364" si="40">(C359*D358)/C358</f>
        <v>19.2</v>
      </c>
      <c r="E359" s="348" t="s">
        <v>366</v>
      </c>
      <c r="F359" s="1"/>
      <c r="G359" s="1"/>
      <c r="H359" s="1"/>
      <c r="I359" s="1"/>
      <c r="J359" s="1"/>
      <c r="K359" s="1"/>
      <c r="L359" s="1"/>
      <c r="M359" s="1"/>
      <c r="N359" s="1"/>
      <c r="O359" s="1"/>
      <c r="P359" s="1"/>
      <c r="Q359" s="1"/>
    </row>
    <row r="360" ht="14.25" customHeight="1">
      <c r="A360" s="1"/>
      <c r="B360" s="606" t="s">
        <v>31</v>
      </c>
      <c r="C360" s="1545">
        <v>0.2</v>
      </c>
      <c r="D360" s="684">
        <f t="shared" si="40"/>
        <v>0.24</v>
      </c>
      <c r="E360" s="1475" t="s">
        <v>366</v>
      </c>
      <c r="F360" s="1"/>
      <c r="G360" s="1"/>
      <c r="H360" s="1"/>
      <c r="I360" s="1"/>
      <c r="J360" s="1"/>
      <c r="K360" s="1"/>
      <c r="L360" s="1"/>
      <c r="M360" s="1"/>
      <c r="N360" s="1"/>
      <c r="O360" s="1"/>
      <c r="P360" s="1"/>
      <c r="Q360" s="1"/>
    </row>
    <row r="361" ht="14.25" customHeight="1">
      <c r="A361" s="1"/>
      <c r="B361" s="345" t="s">
        <v>743</v>
      </c>
      <c r="C361" s="2287">
        <v>0.4</v>
      </c>
      <c r="D361" s="666">
        <f t="shared" si="40"/>
        <v>0.48</v>
      </c>
      <c r="E361" s="348" t="s">
        <v>5</v>
      </c>
      <c r="F361" s="1"/>
      <c r="G361" s="1"/>
      <c r="H361" s="1"/>
      <c r="I361" s="1"/>
      <c r="J361" s="1"/>
      <c r="K361" s="1"/>
      <c r="L361" s="1"/>
      <c r="M361" s="1"/>
      <c r="N361" s="1"/>
      <c r="O361" s="1"/>
      <c r="P361" s="1"/>
      <c r="Q361" s="1"/>
    </row>
    <row r="362" ht="14.25" customHeight="1">
      <c r="A362" s="1"/>
      <c r="B362" s="350" t="s">
        <v>98</v>
      </c>
      <c r="C362" s="1542">
        <v>50.0</v>
      </c>
      <c r="D362" s="500">
        <f t="shared" si="40"/>
        <v>60</v>
      </c>
      <c r="E362" s="352" t="s">
        <v>18</v>
      </c>
      <c r="F362" s="1"/>
      <c r="G362" s="1"/>
      <c r="H362" s="1"/>
      <c r="I362" s="1"/>
      <c r="J362" s="1"/>
      <c r="K362" s="1"/>
      <c r="L362" s="1"/>
      <c r="M362" s="1"/>
      <c r="N362" s="1"/>
      <c r="O362" s="1"/>
      <c r="P362" s="1"/>
      <c r="Q362" s="1"/>
    </row>
    <row r="363" ht="14.25" customHeight="1">
      <c r="A363" s="1"/>
      <c r="B363" s="350" t="s">
        <v>3210</v>
      </c>
      <c r="C363" s="1542">
        <v>80.0</v>
      </c>
      <c r="D363" s="500">
        <f t="shared" si="40"/>
        <v>96</v>
      </c>
      <c r="E363" s="352" t="s">
        <v>18</v>
      </c>
      <c r="F363" s="1"/>
      <c r="G363" s="1"/>
      <c r="H363" s="1"/>
      <c r="I363" s="1"/>
      <c r="J363" s="1"/>
      <c r="K363" s="1"/>
      <c r="L363" s="1"/>
      <c r="M363" s="1"/>
      <c r="N363" s="1"/>
      <c r="O363" s="1"/>
      <c r="P363" s="1"/>
      <c r="Q363" s="1"/>
    </row>
    <row r="364" ht="14.25" customHeight="1">
      <c r="A364" s="1"/>
      <c r="B364" s="606" t="s">
        <v>31</v>
      </c>
      <c r="C364" s="1545">
        <v>120.0</v>
      </c>
      <c r="D364" s="684">
        <f t="shared" si="40"/>
        <v>144</v>
      </c>
      <c r="E364" s="1475" t="s">
        <v>18</v>
      </c>
      <c r="F364" s="1"/>
      <c r="G364" s="1"/>
      <c r="H364" s="1"/>
      <c r="I364" s="1"/>
      <c r="J364" s="1"/>
      <c r="K364" s="1"/>
      <c r="L364" s="1"/>
      <c r="M364" s="1"/>
      <c r="N364" s="1"/>
      <c r="O364" s="1"/>
      <c r="P364" s="1"/>
      <c r="Q364" s="1"/>
    </row>
    <row r="365" ht="14.25" customHeight="1">
      <c r="A365" s="1"/>
      <c r="B365" s="591" t="s">
        <v>1348</v>
      </c>
      <c r="C365" s="2305">
        <v>50.0</v>
      </c>
      <c r="D365" s="767">
        <f>(C365*D367)/C367</f>
        <v>60</v>
      </c>
      <c r="E365" s="1457" t="s">
        <v>18</v>
      </c>
      <c r="F365" s="1"/>
      <c r="G365" s="1"/>
      <c r="H365" s="1"/>
      <c r="I365" s="1"/>
      <c r="J365" s="1"/>
      <c r="K365" s="1"/>
      <c r="L365" s="1"/>
      <c r="M365" s="1"/>
      <c r="N365" s="1"/>
      <c r="O365" s="1"/>
      <c r="P365" s="1"/>
      <c r="Q365" s="1"/>
    </row>
    <row r="366" ht="14.25" customHeight="1">
      <c r="A366" s="1"/>
      <c r="B366" s="345" t="s">
        <v>15</v>
      </c>
      <c r="C366" s="2287">
        <v>5.0</v>
      </c>
      <c r="D366" s="666">
        <f>(C366*D364)/C364</f>
        <v>6</v>
      </c>
      <c r="E366" s="348" t="s">
        <v>5</v>
      </c>
      <c r="F366" s="1"/>
      <c r="G366" s="1"/>
      <c r="H366" s="1"/>
      <c r="I366" s="1"/>
      <c r="J366" s="1"/>
      <c r="K366" s="1"/>
      <c r="L366" s="1"/>
      <c r="M366" s="1"/>
      <c r="N366" s="1"/>
      <c r="O366" s="1"/>
      <c r="P366" s="1"/>
      <c r="Q366" s="1"/>
    </row>
    <row r="367" ht="14.25" customHeight="1">
      <c r="A367" s="1"/>
      <c r="B367" s="606" t="s">
        <v>3212</v>
      </c>
      <c r="C367" s="1545">
        <f>C366*0.2</f>
        <v>1</v>
      </c>
      <c r="D367" s="684">
        <f>(C367*D364)/C364</f>
        <v>1.2</v>
      </c>
      <c r="E367" s="1475" t="s">
        <v>14</v>
      </c>
      <c r="F367" s="1"/>
      <c r="G367" s="1"/>
      <c r="H367" s="1"/>
      <c r="I367" s="1"/>
      <c r="J367" s="1"/>
      <c r="K367" s="1"/>
      <c r="L367" s="1"/>
      <c r="M367" s="1"/>
      <c r="N367" s="1"/>
      <c r="O367" s="1"/>
      <c r="P367" s="1"/>
      <c r="Q367" s="1"/>
    </row>
    <row r="368" ht="14.25" customHeight="1">
      <c r="A368" s="1"/>
      <c r="B368" s="1"/>
      <c r="C368" s="1"/>
      <c r="D368" s="1"/>
      <c r="E368" s="1"/>
      <c r="F368" s="1"/>
      <c r="G368" s="1"/>
      <c r="H368" s="1"/>
      <c r="I368" s="1"/>
      <c r="J368" s="1"/>
      <c r="K368" s="1"/>
      <c r="L368" s="1"/>
      <c r="M368" s="1"/>
      <c r="N368" s="1"/>
      <c r="O368" s="1"/>
      <c r="P368" s="1"/>
      <c r="Q368" s="1"/>
    </row>
    <row r="369" ht="14.25" customHeight="1">
      <c r="A369" s="1"/>
      <c r="B369" s="1"/>
      <c r="C369" s="1"/>
      <c r="D369" s="1"/>
      <c r="E369" s="1"/>
      <c r="F369" s="1"/>
      <c r="G369" s="1"/>
      <c r="H369" s="1"/>
      <c r="I369" s="1"/>
      <c r="J369" s="1"/>
      <c r="K369" s="1"/>
      <c r="L369" s="1"/>
      <c r="M369" s="1"/>
      <c r="N369" s="1"/>
      <c r="O369" s="1"/>
      <c r="P369" s="1"/>
      <c r="Q369" s="1"/>
    </row>
    <row r="370" ht="14.25" customHeight="1">
      <c r="A370" s="1"/>
      <c r="B370" s="1"/>
      <c r="C370" s="1"/>
      <c r="D370" s="1"/>
      <c r="E370" s="1"/>
      <c r="F370" s="1"/>
      <c r="G370" s="1"/>
      <c r="H370" s="1"/>
      <c r="I370" s="1"/>
      <c r="J370" s="1"/>
      <c r="K370" s="1"/>
      <c r="L370" s="1"/>
      <c r="M370" s="1"/>
      <c r="N370" s="1"/>
      <c r="O370" s="1"/>
      <c r="P370" s="1"/>
      <c r="Q370" s="1"/>
    </row>
    <row r="371" ht="14.25" customHeight="1">
      <c r="A371" s="1"/>
      <c r="B371" s="1"/>
      <c r="C371" s="1"/>
      <c r="D371" s="1"/>
      <c r="E371" s="1"/>
      <c r="F371" s="1"/>
      <c r="G371" s="1"/>
      <c r="H371" s="1"/>
      <c r="I371" s="1"/>
      <c r="J371" s="1"/>
      <c r="K371" s="1"/>
      <c r="L371" s="1"/>
      <c r="M371" s="1"/>
      <c r="N371" s="1"/>
      <c r="O371" s="1"/>
      <c r="P371" s="1"/>
      <c r="Q371" s="1"/>
    </row>
    <row r="372" ht="14.25" customHeight="1">
      <c r="A372" s="1"/>
      <c r="B372" s="209" t="s">
        <v>3215</v>
      </c>
      <c r="C372" s="18"/>
      <c r="D372" s="18"/>
      <c r="E372" s="19"/>
      <c r="F372" s="2670" t="s">
        <v>119</v>
      </c>
      <c r="G372" s="1446" t="s">
        <v>47</v>
      </c>
      <c r="H372" s="1"/>
      <c r="I372" s="1"/>
      <c r="J372" s="1"/>
      <c r="K372" s="1"/>
      <c r="L372" s="1"/>
      <c r="M372" s="1"/>
      <c r="N372" s="1"/>
      <c r="O372" s="1"/>
      <c r="P372" s="1"/>
      <c r="Q372" s="1"/>
    </row>
    <row r="373" ht="14.25" customHeight="1">
      <c r="A373" s="1"/>
      <c r="B373" s="51" t="s">
        <v>1</v>
      </c>
      <c r="C373" s="53">
        <v>100.0</v>
      </c>
      <c r="D373" s="190">
        <v>30.0</v>
      </c>
      <c r="E373" s="1593" t="s">
        <v>5</v>
      </c>
      <c r="F373" s="1"/>
      <c r="G373" s="1"/>
      <c r="H373" s="1"/>
      <c r="I373" s="1"/>
      <c r="J373" s="1"/>
      <c r="K373" s="1"/>
      <c r="L373" s="1"/>
      <c r="M373" s="1"/>
      <c r="N373" s="1"/>
      <c r="O373" s="1"/>
      <c r="P373" s="1"/>
      <c r="Q373" s="1"/>
    </row>
    <row r="374" ht="14.25" customHeight="1">
      <c r="A374" s="1"/>
      <c r="B374" s="68" t="s">
        <v>2562</v>
      </c>
      <c r="C374" s="210">
        <v>60.0</v>
      </c>
      <c r="D374" s="145">
        <f t="shared" ref="D374:D375" si="41">(C374*D373)/C373</f>
        <v>18</v>
      </c>
      <c r="E374" s="1157" t="s">
        <v>14</v>
      </c>
      <c r="F374" s="1"/>
      <c r="G374" s="1"/>
      <c r="H374" s="1"/>
      <c r="I374" s="1"/>
      <c r="J374" s="1"/>
      <c r="K374" s="1"/>
      <c r="L374" s="1"/>
      <c r="M374" s="1"/>
      <c r="N374" s="1"/>
      <c r="O374" s="1"/>
      <c r="P374" s="1"/>
      <c r="Q374" s="1"/>
    </row>
    <row r="375" ht="14.25" customHeight="1">
      <c r="A375" s="1"/>
      <c r="B375" s="93" t="s">
        <v>3224</v>
      </c>
      <c r="C375" s="247">
        <v>40.0</v>
      </c>
      <c r="D375" s="195">
        <f t="shared" si="41"/>
        <v>12</v>
      </c>
      <c r="E375" s="1158" t="s">
        <v>14</v>
      </c>
      <c r="F375" s="1"/>
      <c r="G375" s="1"/>
      <c r="H375" s="1"/>
      <c r="I375" s="1"/>
      <c r="J375" s="1"/>
      <c r="K375" s="1"/>
      <c r="L375" s="1"/>
      <c r="M375" s="1"/>
      <c r="N375" s="1"/>
      <c r="O375" s="1"/>
      <c r="P375" s="1"/>
      <c r="Q375" s="1"/>
    </row>
    <row r="376" ht="14.25" customHeight="1">
      <c r="A376" s="1"/>
      <c r="B376" s="105" t="s">
        <v>31</v>
      </c>
      <c r="C376" s="522">
        <v>1500.0</v>
      </c>
      <c r="D376" s="200">
        <f>(C376*D374)/C374</f>
        <v>450</v>
      </c>
      <c r="E376" s="1182" t="s">
        <v>18</v>
      </c>
      <c r="F376" s="1"/>
      <c r="G376" s="1"/>
      <c r="H376" s="1"/>
      <c r="I376" s="1"/>
      <c r="J376" s="1"/>
      <c r="K376" s="1"/>
      <c r="L376" s="1"/>
      <c r="M376" s="1"/>
      <c r="N376" s="1"/>
      <c r="O376" s="1"/>
      <c r="P376" s="1"/>
      <c r="Q376" s="1"/>
    </row>
    <row r="377" ht="14.25" customHeight="1">
      <c r="A377" s="1"/>
      <c r="B377" s="119" t="s">
        <v>34</v>
      </c>
      <c r="C377" s="523">
        <v>3.0</v>
      </c>
      <c r="D377" s="238">
        <f t="shared" ref="D377:D386" si="42">(C377*D376)/C376</f>
        <v>0.9</v>
      </c>
      <c r="E377" s="1184" t="s">
        <v>5</v>
      </c>
      <c r="F377" s="1"/>
      <c r="G377" s="1"/>
      <c r="H377" s="1"/>
      <c r="I377" s="1"/>
      <c r="J377" s="1"/>
      <c r="K377" s="1"/>
      <c r="L377" s="1"/>
      <c r="M377" s="1"/>
      <c r="N377" s="1"/>
      <c r="O377" s="1"/>
      <c r="P377" s="1"/>
      <c r="Q377" s="1"/>
    </row>
    <row r="378" ht="14.25" customHeight="1">
      <c r="A378" s="1"/>
      <c r="B378" s="93" t="s">
        <v>97</v>
      </c>
      <c r="C378" s="247">
        <v>250.0</v>
      </c>
      <c r="D378" s="195">
        <f t="shared" si="42"/>
        <v>75</v>
      </c>
      <c r="E378" s="1158" t="s">
        <v>18</v>
      </c>
      <c r="F378" s="1"/>
      <c r="G378" s="1"/>
      <c r="H378" s="1"/>
      <c r="I378" s="1"/>
      <c r="J378" s="1"/>
      <c r="K378" s="1"/>
      <c r="L378" s="1"/>
      <c r="M378" s="1"/>
      <c r="N378" s="1"/>
      <c r="O378" s="1"/>
      <c r="P378" s="1"/>
      <c r="Q378" s="1"/>
    </row>
    <row r="379" ht="14.25" customHeight="1">
      <c r="A379" s="1"/>
      <c r="B379" s="93" t="s">
        <v>345</v>
      </c>
      <c r="C379" s="247">
        <v>1.0</v>
      </c>
      <c r="D379" s="195">
        <f t="shared" si="42"/>
        <v>0.3</v>
      </c>
      <c r="E379" s="1158" t="s">
        <v>14</v>
      </c>
      <c r="F379" s="1"/>
      <c r="G379" s="1"/>
      <c r="H379" s="1"/>
      <c r="I379" s="1"/>
      <c r="J379" s="1"/>
      <c r="K379" s="1"/>
      <c r="L379" s="1"/>
      <c r="M379" s="1"/>
      <c r="N379" s="1"/>
      <c r="O379" s="1"/>
      <c r="P379" s="1"/>
      <c r="Q379" s="1"/>
    </row>
    <row r="380" ht="14.25" customHeight="1">
      <c r="A380" s="1"/>
      <c r="B380" s="93" t="s">
        <v>311</v>
      </c>
      <c r="C380" s="247">
        <v>1.0</v>
      </c>
      <c r="D380" s="195">
        <f t="shared" si="42"/>
        <v>0.3</v>
      </c>
      <c r="E380" s="1158" t="s">
        <v>14</v>
      </c>
      <c r="F380" s="1"/>
      <c r="G380" s="1"/>
      <c r="H380" s="1"/>
      <c r="I380" s="1"/>
      <c r="J380" s="1"/>
      <c r="K380" s="1"/>
      <c r="L380" s="1"/>
      <c r="M380" s="1"/>
      <c r="N380" s="1"/>
      <c r="O380" s="1"/>
      <c r="P380" s="1"/>
      <c r="Q380" s="1"/>
    </row>
    <row r="381" ht="14.25" customHeight="1">
      <c r="A381" s="1"/>
      <c r="B381" s="1783" t="s">
        <v>83</v>
      </c>
      <c r="C381" s="94">
        <v>1000.0</v>
      </c>
      <c r="D381" s="1213">
        <f t="shared" si="42"/>
        <v>300</v>
      </c>
      <c r="E381" s="2863" t="s">
        <v>18</v>
      </c>
      <c r="F381" s="1"/>
      <c r="G381" s="1"/>
      <c r="H381" s="1"/>
      <c r="I381" s="1"/>
      <c r="J381" s="1"/>
      <c r="K381" s="1"/>
      <c r="L381" s="1"/>
      <c r="M381" s="1"/>
      <c r="N381" s="1"/>
      <c r="O381" s="1"/>
      <c r="P381" s="1"/>
      <c r="Q381" s="1"/>
    </row>
    <row r="382" ht="14.25" customHeight="1">
      <c r="A382" s="1"/>
      <c r="B382" s="93" t="s">
        <v>101</v>
      </c>
      <c r="C382" s="247">
        <v>2.0</v>
      </c>
      <c r="D382" s="195">
        <f t="shared" si="42"/>
        <v>0.6</v>
      </c>
      <c r="E382" s="1158" t="s">
        <v>5</v>
      </c>
      <c r="F382" s="1"/>
      <c r="G382" s="1"/>
      <c r="H382" s="1"/>
      <c r="I382" s="1"/>
      <c r="J382" s="1"/>
      <c r="K382" s="1"/>
      <c r="L382" s="1"/>
      <c r="M382" s="1"/>
      <c r="N382" s="1"/>
      <c r="O382" s="1"/>
      <c r="P382" s="1"/>
      <c r="Q382" s="1"/>
    </row>
    <row r="383" ht="14.25" customHeight="1">
      <c r="A383" s="1"/>
      <c r="B383" s="105" t="s">
        <v>103</v>
      </c>
      <c r="C383" s="522">
        <v>150.0</v>
      </c>
      <c r="D383" s="200">
        <f t="shared" si="42"/>
        <v>45</v>
      </c>
      <c r="E383" s="1182" t="s">
        <v>18</v>
      </c>
      <c r="F383" s="1"/>
      <c r="G383" s="1"/>
      <c r="H383" s="1"/>
      <c r="I383" s="1"/>
      <c r="J383" s="1"/>
      <c r="K383" s="1"/>
      <c r="L383" s="1"/>
      <c r="M383" s="1"/>
      <c r="N383" s="1"/>
      <c r="O383" s="1"/>
      <c r="P383" s="1"/>
      <c r="Q383" s="1"/>
    </row>
    <row r="384" ht="14.25" customHeight="1">
      <c r="A384" s="1"/>
      <c r="B384" s="417" t="s">
        <v>31</v>
      </c>
      <c r="C384" s="541">
        <v>500.0</v>
      </c>
      <c r="D384" s="418">
        <f t="shared" si="42"/>
        <v>150</v>
      </c>
      <c r="E384" s="2337" t="s">
        <v>18</v>
      </c>
      <c r="F384" s="1"/>
      <c r="G384" s="1"/>
      <c r="H384" s="1"/>
      <c r="I384" s="1"/>
      <c r="J384" s="1"/>
      <c r="K384" s="1"/>
      <c r="L384" s="1"/>
      <c r="M384" s="1"/>
      <c r="N384" s="1"/>
      <c r="O384" s="1"/>
      <c r="P384" s="1"/>
      <c r="Q384" s="1"/>
    </row>
    <row r="385" ht="14.25" customHeight="1">
      <c r="A385" s="1"/>
      <c r="B385" s="68" t="s">
        <v>963</v>
      </c>
      <c r="C385" s="210">
        <v>10.0</v>
      </c>
      <c r="D385" s="145">
        <f t="shared" si="42"/>
        <v>3</v>
      </c>
      <c r="E385" s="1157" t="s">
        <v>14</v>
      </c>
      <c r="F385" s="1"/>
      <c r="G385" s="1"/>
      <c r="H385" s="1"/>
      <c r="I385" s="1"/>
      <c r="J385" s="1"/>
      <c r="K385" s="1"/>
      <c r="L385" s="1"/>
      <c r="M385" s="1"/>
      <c r="N385" s="1"/>
      <c r="O385" s="1"/>
      <c r="P385" s="1"/>
      <c r="Q385" s="1"/>
    </row>
    <row r="386" ht="14.25" customHeight="1">
      <c r="A386" s="1"/>
      <c r="B386" s="105" t="s">
        <v>858</v>
      </c>
      <c r="C386" s="522">
        <v>40.0</v>
      </c>
      <c r="D386" s="200">
        <f t="shared" si="42"/>
        <v>12</v>
      </c>
      <c r="E386" s="1182" t="s">
        <v>9</v>
      </c>
      <c r="F386" s="1"/>
      <c r="G386" s="1"/>
      <c r="H386" s="1"/>
      <c r="I386" s="1"/>
      <c r="J386" s="1"/>
      <c r="K386" s="1"/>
      <c r="L386" s="1"/>
      <c r="M386" s="1"/>
      <c r="N386" s="1"/>
      <c r="O386" s="1"/>
      <c r="P386" s="1"/>
      <c r="Q386" s="1"/>
    </row>
    <row r="387" ht="14.25" customHeight="1">
      <c r="A387" s="1"/>
      <c r="B387" s="1"/>
      <c r="C387" s="1"/>
      <c r="D387" s="1"/>
      <c r="E387" s="1"/>
      <c r="F387" s="1"/>
      <c r="G387" s="1"/>
      <c r="H387" s="1"/>
      <c r="I387" s="1"/>
      <c r="J387" s="1"/>
      <c r="K387" s="1"/>
      <c r="L387" s="1"/>
      <c r="M387" s="1"/>
      <c r="N387" s="1"/>
      <c r="O387" s="1"/>
      <c r="P387" s="1"/>
      <c r="Q387" s="1"/>
    </row>
    <row r="388" ht="14.25" customHeight="1">
      <c r="A388" s="1"/>
      <c r="B388" s="1"/>
      <c r="C388" s="1"/>
      <c r="D388" s="1"/>
      <c r="E388" s="1"/>
      <c r="F388" s="1"/>
      <c r="G388" s="1"/>
      <c r="H388" s="1"/>
      <c r="I388" s="1"/>
      <c r="J388" s="1"/>
      <c r="K388" s="1"/>
      <c r="L388" s="1"/>
      <c r="M388" s="1"/>
      <c r="N388" s="1"/>
      <c r="O388" s="1"/>
      <c r="P388" s="1"/>
      <c r="Q388" s="1"/>
    </row>
    <row r="389" ht="14.25" customHeight="1">
      <c r="A389" s="1"/>
      <c r="B389" s="1"/>
      <c r="C389" s="1"/>
      <c r="D389" s="1"/>
      <c r="E389" s="1"/>
      <c r="F389" s="1"/>
      <c r="G389" s="1"/>
      <c r="H389" s="1"/>
      <c r="I389" s="1"/>
      <c r="J389" s="1"/>
      <c r="K389" s="1"/>
      <c r="L389" s="1"/>
      <c r="M389" s="1"/>
      <c r="N389" s="1"/>
      <c r="O389" s="1"/>
      <c r="P389" s="1"/>
      <c r="Q389" s="1"/>
    </row>
    <row r="390" ht="14.25" customHeight="1">
      <c r="A390" s="1"/>
      <c r="B390" s="1"/>
      <c r="C390" s="1"/>
      <c r="D390" s="1"/>
      <c r="E390" s="1"/>
      <c r="F390" s="1"/>
      <c r="G390" s="1"/>
      <c r="H390" s="1"/>
      <c r="I390" s="1"/>
      <c r="J390" s="1"/>
      <c r="K390" s="1"/>
      <c r="L390" s="1"/>
      <c r="M390" s="1"/>
      <c r="N390" s="1"/>
      <c r="O390" s="1"/>
      <c r="P390" s="1"/>
      <c r="Q390" s="1"/>
    </row>
    <row r="391" ht="14.25" customHeight="1">
      <c r="A391" s="1"/>
      <c r="B391" s="206" t="s">
        <v>405</v>
      </c>
      <c r="C391" s="5"/>
      <c r="D391" s="5"/>
      <c r="E391" s="6"/>
      <c r="F391" s="2670" t="s">
        <v>119</v>
      </c>
      <c r="G391" s="1446" t="s">
        <v>47</v>
      </c>
      <c r="H391" s="1"/>
      <c r="I391" s="1"/>
      <c r="J391" s="1"/>
      <c r="K391" s="1"/>
      <c r="L391" s="1"/>
      <c r="M391" s="1"/>
      <c r="N391" s="1"/>
      <c r="O391" s="1"/>
      <c r="P391" s="1"/>
      <c r="Q391" s="1"/>
    </row>
    <row r="392" ht="14.25" customHeight="1">
      <c r="A392" s="1"/>
      <c r="B392" s="51" t="s">
        <v>1</v>
      </c>
      <c r="C392" s="53">
        <v>100.0</v>
      </c>
      <c r="D392" s="513">
        <v>8.0</v>
      </c>
      <c r="E392" s="514" t="s">
        <v>5</v>
      </c>
      <c r="F392" s="1"/>
      <c r="G392" s="1"/>
      <c r="H392" s="1"/>
      <c r="I392" s="1"/>
      <c r="J392" s="1"/>
      <c r="K392" s="1"/>
      <c r="L392" s="1"/>
      <c r="M392" s="1"/>
      <c r="N392" s="1"/>
      <c r="O392" s="1"/>
      <c r="P392" s="1"/>
      <c r="Q392" s="1"/>
    </row>
    <row r="393" ht="14.25" customHeight="1">
      <c r="A393" s="1"/>
      <c r="B393" s="68" t="s">
        <v>2722</v>
      </c>
      <c r="C393" s="210">
        <v>12.0</v>
      </c>
      <c r="D393" s="155">
        <f t="shared" ref="D393:D404" si="43">(C393*D392)/C392</f>
        <v>0.96</v>
      </c>
      <c r="E393" s="216" t="s">
        <v>14</v>
      </c>
      <c r="F393" s="1"/>
      <c r="G393" s="1"/>
      <c r="H393" s="1"/>
      <c r="I393" s="1"/>
      <c r="J393" s="1"/>
      <c r="K393" s="1"/>
      <c r="L393" s="1"/>
      <c r="M393" s="1"/>
      <c r="N393" s="1"/>
      <c r="O393" s="1"/>
      <c r="P393" s="1"/>
      <c r="Q393" s="1"/>
    </row>
    <row r="394" ht="14.25" customHeight="1">
      <c r="A394" s="1"/>
      <c r="B394" s="105" t="s">
        <v>31</v>
      </c>
      <c r="C394" s="522">
        <v>1500.0</v>
      </c>
      <c r="D394" s="56">
        <f t="shared" si="43"/>
        <v>120</v>
      </c>
      <c r="E394" s="518" t="s">
        <v>18</v>
      </c>
      <c r="F394" s="1"/>
      <c r="G394" s="1"/>
      <c r="H394" s="1"/>
      <c r="I394" s="1"/>
      <c r="J394" s="1"/>
      <c r="K394" s="1"/>
      <c r="L394" s="1"/>
      <c r="M394" s="1"/>
      <c r="N394" s="1"/>
      <c r="O394" s="1"/>
      <c r="P394" s="1"/>
      <c r="Q394" s="1"/>
    </row>
    <row r="395" ht="14.25" customHeight="1">
      <c r="A395" s="1"/>
      <c r="B395" s="119" t="s">
        <v>34</v>
      </c>
      <c r="C395" s="523">
        <v>2.0</v>
      </c>
      <c r="D395" s="129">
        <f t="shared" si="43"/>
        <v>0.16</v>
      </c>
      <c r="E395" s="520" t="s">
        <v>5</v>
      </c>
      <c r="F395" s="1"/>
      <c r="G395" s="1"/>
      <c r="H395" s="1"/>
      <c r="I395" s="1"/>
      <c r="J395" s="1"/>
      <c r="K395" s="1"/>
      <c r="L395" s="1"/>
      <c r="M395" s="1"/>
      <c r="N395" s="1"/>
      <c r="O395" s="1"/>
      <c r="P395" s="1"/>
      <c r="Q395" s="1"/>
    </row>
    <row r="396" ht="14.25" customHeight="1">
      <c r="A396" s="1"/>
      <c r="B396" s="93" t="s">
        <v>97</v>
      </c>
      <c r="C396" s="247">
        <v>150.0</v>
      </c>
      <c r="D396" s="78">
        <f t="shared" si="43"/>
        <v>12</v>
      </c>
      <c r="E396" s="249" t="s">
        <v>18</v>
      </c>
      <c r="F396" s="1"/>
      <c r="G396" s="1"/>
      <c r="H396" s="1"/>
      <c r="I396" s="1"/>
      <c r="J396" s="1"/>
      <c r="K396" s="1"/>
      <c r="L396" s="1"/>
      <c r="M396" s="1"/>
      <c r="N396" s="1"/>
      <c r="O396" s="1"/>
      <c r="P396" s="1"/>
      <c r="Q396" s="1"/>
    </row>
    <row r="397" ht="14.25" customHeight="1">
      <c r="A397" s="1"/>
      <c r="B397" s="93" t="s">
        <v>345</v>
      </c>
      <c r="C397" s="247">
        <v>1.0</v>
      </c>
      <c r="D397" s="78">
        <f t="shared" si="43"/>
        <v>0.08</v>
      </c>
      <c r="E397" s="249" t="s">
        <v>14</v>
      </c>
      <c r="F397" s="1"/>
      <c r="G397" s="1"/>
      <c r="H397" s="1"/>
      <c r="I397" s="1"/>
      <c r="J397" s="1"/>
      <c r="K397" s="1"/>
      <c r="L397" s="1"/>
      <c r="M397" s="1"/>
      <c r="N397" s="1"/>
      <c r="O397" s="1"/>
      <c r="P397" s="1"/>
      <c r="Q397" s="1"/>
    </row>
    <row r="398" ht="14.25" customHeight="1">
      <c r="A398" s="1"/>
      <c r="B398" s="93" t="s">
        <v>311</v>
      </c>
      <c r="C398" s="247">
        <v>1.0</v>
      </c>
      <c r="D398" s="78">
        <f t="shared" si="43"/>
        <v>0.08</v>
      </c>
      <c r="E398" s="249" t="s">
        <v>14</v>
      </c>
      <c r="F398" s="1"/>
      <c r="G398" s="1"/>
      <c r="H398" s="1"/>
      <c r="I398" s="1"/>
      <c r="J398" s="1"/>
      <c r="K398" s="1"/>
      <c r="L398" s="1"/>
      <c r="M398" s="1"/>
      <c r="N398" s="1"/>
      <c r="O398" s="1"/>
      <c r="P398" s="1"/>
      <c r="Q398" s="1"/>
    </row>
    <row r="399" ht="14.25" customHeight="1">
      <c r="A399" s="1"/>
      <c r="B399" s="1783" t="s">
        <v>83</v>
      </c>
      <c r="C399" s="94">
        <v>1000.0</v>
      </c>
      <c r="D399" s="94">
        <f t="shared" si="43"/>
        <v>80</v>
      </c>
      <c r="E399" s="1588" t="s">
        <v>18</v>
      </c>
      <c r="F399" s="1"/>
      <c r="G399" s="1"/>
      <c r="H399" s="1"/>
      <c r="I399" s="1"/>
      <c r="J399" s="1"/>
      <c r="K399" s="1"/>
      <c r="L399" s="1"/>
      <c r="M399" s="1"/>
      <c r="N399" s="1"/>
      <c r="O399" s="1"/>
      <c r="P399" s="1"/>
      <c r="Q399" s="1"/>
    </row>
    <row r="400" ht="14.25" customHeight="1">
      <c r="A400" s="1"/>
      <c r="B400" s="93" t="s">
        <v>101</v>
      </c>
      <c r="C400" s="247">
        <v>2.0</v>
      </c>
      <c r="D400" s="78">
        <f t="shared" si="43"/>
        <v>0.16</v>
      </c>
      <c r="E400" s="249" t="s">
        <v>5</v>
      </c>
      <c r="F400" s="1"/>
      <c r="G400" s="1"/>
      <c r="H400" s="1"/>
      <c r="I400" s="1"/>
      <c r="J400" s="1"/>
      <c r="K400" s="1"/>
      <c r="L400" s="1"/>
      <c r="M400" s="1"/>
      <c r="N400" s="1"/>
      <c r="O400" s="1"/>
      <c r="P400" s="1"/>
      <c r="Q400" s="1"/>
    </row>
    <row r="401" ht="14.25" customHeight="1">
      <c r="A401" s="1"/>
      <c r="B401" s="105" t="s">
        <v>103</v>
      </c>
      <c r="C401" s="522">
        <v>150.0</v>
      </c>
      <c r="D401" s="56">
        <f t="shared" si="43"/>
        <v>12</v>
      </c>
      <c r="E401" s="518" t="s">
        <v>18</v>
      </c>
      <c r="F401" s="1"/>
      <c r="G401" s="1"/>
      <c r="H401" s="1"/>
      <c r="I401" s="1"/>
      <c r="J401" s="1"/>
      <c r="K401" s="1"/>
      <c r="L401" s="1"/>
      <c r="M401" s="1"/>
      <c r="N401" s="1"/>
      <c r="O401" s="1"/>
      <c r="P401" s="1"/>
      <c r="Q401" s="1"/>
    </row>
    <row r="402" ht="14.25" customHeight="1">
      <c r="A402" s="1"/>
      <c r="B402" s="417" t="s">
        <v>31</v>
      </c>
      <c r="C402" s="541">
        <v>500.0</v>
      </c>
      <c r="D402" s="542">
        <f t="shared" si="43"/>
        <v>40</v>
      </c>
      <c r="E402" s="543" t="s">
        <v>18</v>
      </c>
      <c r="F402" s="1"/>
      <c r="G402" s="1"/>
      <c r="H402" s="1"/>
      <c r="I402" s="1"/>
      <c r="J402" s="1"/>
      <c r="K402" s="1"/>
      <c r="L402" s="1"/>
      <c r="M402" s="1"/>
      <c r="N402" s="1"/>
      <c r="O402" s="1"/>
      <c r="P402" s="1"/>
      <c r="Q402" s="1"/>
    </row>
    <row r="403" ht="14.25" customHeight="1">
      <c r="A403" s="1"/>
      <c r="B403" s="68" t="s">
        <v>963</v>
      </c>
      <c r="C403" s="210">
        <v>4.0</v>
      </c>
      <c r="D403" s="155">
        <f t="shared" si="43"/>
        <v>0.32</v>
      </c>
      <c r="E403" s="216" t="s">
        <v>14</v>
      </c>
      <c r="F403" s="1"/>
      <c r="G403" s="1"/>
      <c r="H403" s="1"/>
      <c r="I403" s="1"/>
      <c r="J403" s="1"/>
      <c r="K403" s="1"/>
      <c r="L403" s="1"/>
      <c r="M403" s="1"/>
      <c r="N403" s="1"/>
      <c r="O403" s="1"/>
      <c r="P403" s="1"/>
      <c r="Q403" s="1"/>
    </row>
    <row r="404" ht="14.25" customHeight="1">
      <c r="A404" s="1"/>
      <c r="B404" s="105" t="s">
        <v>858</v>
      </c>
      <c r="C404" s="522">
        <v>40.0</v>
      </c>
      <c r="D404" s="56">
        <f t="shared" si="43"/>
        <v>3.2</v>
      </c>
      <c r="E404" s="518" t="s">
        <v>9</v>
      </c>
      <c r="F404" s="1"/>
      <c r="G404" s="1"/>
      <c r="H404" s="1"/>
      <c r="I404" s="1"/>
      <c r="J404" s="1"/>
      <c r="K404" s="1"/>
      <c r="L404" s="1"/>
      <c r="M404" s="1"/>
      <c r="N404" s="1"/>
      <c r="O404" s="1"/>
      <c r="P404" s="1"/>
      <c r="Q404" s="1"/>
    </row>
    <row r="405" ht="14.25" customHeight="1">
      <c r="A405" s="1"/>
      <c r="B405" s="1"/>
      <c r="C405" s="1"/>
      <c r="D405" s="1"/>
      <c r="E405" s="1"/>
      <c r="F405" s="1"/>
      <c r="G405" s="1"/>
      <c r="H405" s="1"/>
      <c r="I405" s="1"/>
      <c r="J405" s="1"/>
      <c r="K405" s="1"/>
      <c r="L405" s="1"/>
      <c r="M405" s="1"/>
      <c r="N405" s="1"/>
      <c r="O405" s="1"/>
      <c r="P405" s="1"/>
      <c r="Q405" s="1"/>
    </row>
    <row r="406" ht="14.25" customHeight="1">
      <c r="A406" s="1"/>
      <c r="B406" s="1"/>
      <c r="C406" s="1"/>
      <c r="D406" s="1"/>
      <c r="E406" s="1"/>
      <c r="F406" s="1"/>
      <c r="G406" s="1"/>
      <c r="H406" s="1"/>
      <c r="I406" s="1"/>
      <c r="J406" s="1"/>
      <c r="K406" s="1"/>
      <c r="L406" s="1"/>
      <c r="M406" s="1"/>
      <c r="N406" s="1"/>
      <c r="O406" s="1"/>
      <c r="P406" s="1"/>
      <c r="Q406" s="1"/>
    </row>
    <row r="407" ht="14.25" customHeight="1">
      <c r="A407" s="1"/>
      <c r="B407" s="1"/>
      <c r="C407" s="1"/>
      <c r="D407" s="1"/>
      <c r="E407" s="1"/>
      <c r="F407" s="1"/>
      <c r="G407" s="1"/>
      <c r="H407" s="1"/>
      <c r="I407" s="1"/>
      <c r="J407" s="1"/>
      <c r="K407" s="1"/>
      <c r="L407" s="1"/>
      <c r="M407" s="1"/>
      <c r="N407" s="1"/>
      <c r="O407" s="1"/>
      <c r="P407" s="1"/>
      <c r="Q407" s="1"/>
    </row>
    <row r="408" ht="14.25" customHeight="1">
      <c r="A408" s="1"/>
      <c r="B408" s="209" t="s">
        <v>3230</v>
      </c>
      <c r="C408" s="18"/>
      <c r="D408" s="18"/>
      <c r="E408" s="19"/>
      <c r="F408" s="2670" t="s">
        <v>119</v>
      </c>
      <c r="G408" s="1446" t="s">
        <v>47</v>
      </c>
      <c r="H408" s="1"/>
      <c r="I408" s="1"/>
      <c r="J408" s="1"/>
      <c r="K408" s="1"/>
      <c r="L408" s="1"/>
      <c r="M408" s="1"/>
      <c r="N408" s="1"/>
      <c r="O408" s="1"/>
      <c r="P408" s="1"/>
      <c r="Q408" s="1"/>
    </row>
    <row r="409" ht="14.25" customHeight="1">
      <c r="A409" s="1"/>
      <c r="B409" s="51" t="s">
        <v>1</v>
      </c>
      <c r="C409" s="121">
        <v>5.0</v>
      </c>
      <c r="D409" s="190">
        <v>5.0</v>
      </c>
      <c r="E409" s="1593" t="s">
        <v>5</v>
      </c>
      <c r="F409" s="1"/>
      <c r="G409" s="1"/>
      <c r="H409" s="1"/>
      <c r="I409" s="1"/>
      <c r="J409" s="1"/>
      <c r="K409" s="1"/>
      <c r="L409" s="1"/>
      <c r="M409" s="1"/>
      <c r="N409" s="1"/>
      <c r="O409" s="1"/>
      <c r="P409" s="1"/>
      <c r="Q409" s="1"/>
    </row>
    <row r="410" ht="14.25" customHeight="1">
      <c r="A410" s="1"/>
      <c r="B410" s="68" t="s">
        <v>1677</v>
      </c>
      <c r="C410" s="1202">
        <v>0.3</v>
      </c>
      <c r="D410" s="145">
        <f>(C410*D409)/C409</f>
        <v>0.3</v>
      </c>
      <c r="E410" s="1157" t="s">
        <v>5</v>
      </c>
      <c r="F410" s="1"/>
      <c r="G410" s="1"/>
      <c r="H410" s="1"/>
      <c r="I410" s="1"/>
      <c r="J410" s="1"/>
      <c r="K410" s="1"/>
      <c r="L410" s="1"/>
      <c r="M410" s="1"/>
      <c r="N410" s="1"/>
      <c r="O410" s="1"/>
      <c r="P410" s="1"/>
      <c r="Q410" s="1"/>
    </row>
    <row r="411" ht="14.25" customHeight="1">
      <c r="A411" s="1"/>
      <c r="B411" s="68" t="s">
        <v>3233</v>
      </c>
      <c r="C411" s="1202">
        <v>3.0</v>
      </c>
      <c r="D411" s="145">
        <f>(C411*D409)/C409</f>
        <v>3</v>
      </c>
      <c r="E411" s="1157" t="s">
        <v>366</v>
      </c>
      <c r="F411" s="1"/>
      <c r="G411" s="1"/>
      <c r="H411" s="1"/>
      <c r="I411" s="1"/>
      <c r="J411" s="1"/>
      <c r="K411" s="1"/>
      <c r="L411" s="1"/>
      <c r="M411" s="1"/>
      <c r="N411" s="1"/>
      <c r="O411" s="1"/>
      <c r="P411" s="1"/>
      <c r="Q411" s="1"/>
    </row>
    <row r="412" ht="14.25" customHeight="1">
      <c r="A412" s="1"/>
      <c r="B412" s="105" t="s">
        <v>3234</v>
      </c>
      <c r="C412" s="1216">
        <v>3.0</v>
      </c>
      <c r="D412" s="200">
        <f t="shared" ref="D412:D422" si="44">(C412*D411)/C411</f>
        <v>3</v>
      </c>
      <c r="E412" s="1182" t="s">
        <v>366</v>
      </c>
      <c r="F412" s="1"/>
      <c r="G412" s="1"/>
      <c r="H412" s="1"/>
      <c r="I412" s="1"/>
      <c r="J412" s="1"/>
      <c r="K412" s="1"/>
      <c r="L412" s="1"/>
      <c r="M412" s="1"/>
      <c r="N412" s="1"/>
      <c r="O412" s="1"/>
      <c r="P412" s="1"/>
      <c r="Q412" s="1"/>
    </row>
    <row r="413" ht="14.25" customHeight="1">
      <c r="A413" s="1"/>
      <c r="B413" s="68" t="s">
        <v>1677</v>
      </c>
      <c r="C413" s="1202">
        <v>100.0</v>
      </c>
      <c r="D413" s="145">
        <f t="shared" si="44"/>
        <v>100</v>
      </c>
      <c r="E413" s="1157" t="s">
        <v>82</v>
      </c>
      <c r="F413" s="1"/>
      <c r="G413" s="1"/>
      <c r="H413" s="1"/>
      <c r="I413" s="1"/>
      <c r="J413" s="1"/>
      <c r="K413" s="1"/>
      <c r="L413" s="1"/>
      <c r="M413" s="1"/>
      <c r="N413" s="1"/>
      <c r="O413" s="1"/>
      <c r="P413" s="1"/>
      <c r="Q413" s="1"/>
    </row>
    <row r="414" ht="14.25" customHeight="1">
      <c r="A414" s="1"/>
      <c r="B414" s="93" t="s">
        <v>3235</v>
      </c>
      <c r="C414" s="1213">
        <v>15.0</v>
      </c>
      <c r="D414" s="195">
        <f t="shared" si="44"/>
        <v>15</v>
      </c>
      <c r="E414" s="1158" t="s">
        <v>18</v>
      </c>
      <c r="F414" s="1"/>
      <c r="G414" s="1"/>
      <c r="H414" s="1"/>
      <c r="I414" s="1"/>
      <c r="J414" s="1"/>
      <c r="K414" s="1"/>
      <c r="L414" s="1"/>
      <c r="M414" s="1"/>
      <c r="N414" s="1"/>
      <c r="O414" s="1"/>
      <c r="P414" s="1"/>
      <c r="Q414" s="1"/>
    </row>
    <row r="415" ht="14.25" customHeight="1">
      <c r="A415" s="1"/>
      <c r="B415" s="93" t="s">
        <v>98</v>
      </c>
      <c r="C415" s="1213">
        <v>20.0</v>
      </c>
      <c r="D415" s="195">
        <f t="shared" si="44"/>
        <v>20</v>
      </c>
      <c r="E415" s="1158" t="s">
        <v>18</v>
      </c>
      <c r="F415" s="1"/>
      <c r="G415" s="1"/>
      <c r="H415" s="1"/>
      <c r="I415" s="1"/>
      <c r="J415" s="1"/>
      <c r="K415" s="1"/>
      <c r="L415" s="1"/>
      <c r="M415" s="1"/>
      <c r="N415" s="1"/>
      <c r="O415" s="1"/>
      <c r="P415" s="1"/>
      <c r="Q415" s="1"/>
    </row>
    <row r="416" ht="14.25" customHeight="1">
      <c r="A416" s="1"/>
      <c r="B416" s="93" t="s">
        <v>3237</v>
      </c>
      <c r="C416" s="1213">
        <v>200.0</v>
      </c>
      <c r="D416" s="195">
        <f t="shared" si="44"/>
        <v>200</v>
      </c>
      <c r="E416" s="1158" t="s">
        <v>82</v>
      </c>
      <c r="F416" s="1"/>
      <c r="G416" s="1"/>
      <c r="H416" s="1"/>
      <c r="I416" s="1"/>
      <c r="J416" s="1"/>
      <c r="K416" s="1"/>
      <c r="L416" s="1"/>
      <c r="M416" s="1"/>
      <c r="N416" s="1"/>
      <c r="O416" s="1"/>
      <c r="P416" s="1"/>
      <c r="Q416" s="1"/>
    </row>
    <row r="417" ht="14.25" customHeight="1">
      <c r="A417" s="1"/>
      <c r="B417" s="93" t="s">
        <v>103</v>
      </c>
      <c r="C417" s="1213">
        <v>10.0</v>
      </c>
      <c r="D417" s="195">
        <f t="shared" si="44"/>
        <v>10</v>
      </c>
      <c r="E417" s="1158" t="s">
        <v>18</v>
      </c>
      <c r="F417" s="1"/>
      <c r="G417" s="1"/>
      <c r="H417" s="1"/>
      <c r="I417" s="1"/>
      <c r="J417" s="1"/>
      <c r="K417" s="1"/>
      <c r="L417" s="1"/>
      <c r="M417" s="1"/>
      <c r="N417" s="1"/>
      <c r="O417" s="1"/>
      <c r="P417" s="1"/>
      <c r="Q417" s="1"/>
    </row>
    <row r="418" ht="14.25" customHeight="1">
      <c r="A418" s="1"/>
      <c r="B418" s="93" t="s">
        <v>3238</v>
      </c>
      <c r="C418" s="1213">
        <v>50.0</v>
      </c>
      <c r="D418" s="195">
        <f t="shared" si="44"/>
        <v>50</v>
      </c>
      <c r="E418" s="1158" t="s">
        <v>18</v>
      </c>
      <c r="F418" s="1"/>
      <c r="G418" s="1"/>
      <c r="H418" s="1"/>
      <c r="I418" s="1"/>
      <c r="J418" s="1"/>
      <c r="K418" s="1"/>
      <c r="L418" s="1"/>
      <c r="M418" s="1"/>
      <c r="N418" s="1"/>
      <c r="O418" s="1"/>
      <c r="P418" s="1"/>
      <c r="Q418" s="1"/>
    </row>
    <row r="419" ht="14.25" customHeight="1">
      <c r="A419" s="1"/>
      <c r="B419" s="93" t="s">
        <v>3240</v>
      </c>
      <c r="C419" s="1213">
        <v>1.0</v>
      </c>
      <c r="D419" s="195">
        <f t="shared" si="44"/>
        <v>1</v>
      </c>
      <c r="E419" s="1158" t="s">
        <v>366</v>
      </c>
      <c r="F419" s="1"/>
      <c r="G419" s="1"/>
      <c r="H419" s="1"/>
      <c r="I419" s="1"/>
      <c r="J419" s="1"/>
      <c r="K419" s="1"/>
      <c r="L419" s="1"/>
      <c r="M419" s="1"/>
      <c r="N419" s="1"/>
      <c r="O419" s="1"/>
      <c r="P419" s="1"/>
      <c r="Q419" s="1"/>
    </row>
    <row r="420" ht="14.25" customHeight="1">
      <c r="A420" s="1"/>
      <c r="B420" s="105" t="s">
        <v>3191</v>
      </c>
      <c r="C420" s="1216">
        <v>20.0</v>
      </c>
      <c r="D420" s="200">
        <f t="shared" si="44"/>
        <v>20</v>
      </c>
      <c r="E420" s="1182" t="s">
        <v>18</v>
      </c>
      <c r="F420" s="1"/>
      <c r="G420" s="1"/>
      <c r="H420" s="1"/>
      <c r="I420" s="1"/>
      <c r="J420" s="1"/>
      <c r="K420" s="1"/>
      <c r="L420" s="1"/>
      <c r="M420" s="1"/>
      <c r="N420" s="1"/>
      <c r="O420" s="1"/>
      <c r="P420" s="1"/>
      <c r="Q420" s="1"/>
    </row>
    <row r="421" ht="14.25" customHeight="1">
      <c r="A421" s="1"/>
      <c r="B421" s="68" t="s">
        <v>963</v>
      </c>
      <c r="C421" s="1202">
        <v>300.0</v>
      </c>
      <c r="D421" s="145">
        <f t="shared" si="44"/>
        <v>300</v>
      </c>
      <c r="E421" s="1157" t="s">
        <v>18</v>
      </c>
      <c r="F421" s="1"/>
      <c r="G421" s="1"/>
      <c r="H421" s="1"/>
      <c r="I421" s="1"/>
      <c r="J421" s="1"/>
      <c r="K421" s="1"/>
      <c r="L421" s="1"/>
      <c r="M421" s="1"/>
      <c r="N421" s="1"/>
      <c r="O421" s="1"/>
      <c r="P421" s="1"/>
      <c r="Q421" s="1"/>
    </row>
    <row r="422" ht="14.25" customHeight="1">
      <c r="A422" s="1"/>
      <c r="B422" s="93" t="s">
        <v>858</v>
      </c>
      <c r="C422" s="1213">
        <v>2.0</v>
      </c>
      <c r="D422" s="195">
        <f t="shared" si="44"/>
        <v>2</v>
      </c>
      <c r="E422" s="1158" t="s">
        <v>9</v>
      </c>
      <c r="F422" s="1"/>
      <c r="G422" s="1"/>
      <c r="H422" s="1"/>
      <c r="I422" s="1"/>
      <c r="J422" s="1"/>
      <c r="K422" s="1"/>
      <c r="L422" s="1"/>
      <c r="M422" s="1"/>
      <c r="N422" s="1"/>
      <c r="O422" s="1"/>
      <c r="P422" s="1"/>
      <c r="Q422" s="1"/>
    </row>
    <row r="423" ht="14.25" customHeight="1">
      <c r="A423" s="1"/>
      <c r="B423" s="93" t="s">
        <v>3241</v>
      </c>
      <c r="C423" s="1213">
        <v>30.0</v>
      </c>
      <c r="D423" s="195">
        <f t="shared" ref="D423:D425" si="45">(C423*D421)/C421</f>
        <v>30</v>
      </c>
      <c r="E423" s="1158" t="s">
        <v>18</v>
      </c>
      <c r="F423" s="1"/>
      <c r="G423" s="1"/>
      <c r="H423" s="1"/>
      <c r="I423" s="1"/>
      <c r="J423" s="1"/>
      <c r="K423" s="1"/>
      <c r="L423" s="1"/>
      <c r="M423" s="1"/>
      <c r="N423" s="1"/>
      <c r="O423" s="1"/>
      <c r="P423" s="1"/>
      <c r="Q423" s="1"/>
    </row>
    <row r="424" ht="14.25" customHeight="1">
      <c r="A424" s="1"/>
      <c r="B424" s="93" t="s">
        <v>1026</v>
      </c>
      <c r="C424" s="1213">
        <v>20.0</v>
      </c>
      <c r="D424" s="195">
        <f t="shared" si="45"/>
        <v>20</v>
      </c>
      <c r="E424" s="1158" t="s">
        <v>18</v>
      </c>
      <c r="F424" s="1"/>
      <c r="G424" s="1"/>
      <c r="H424" s="1"/>
      <c r="I424" s="1"/>
      <c r="J424" s="1"/>
      <c r="K424" s="1"/>
      <c r="L424" s="1"/>
      <c r="M424" s="1"/>
      <c r="N424" s="1"/>
      <c r="O424" s="1"/>
      <c r="P424" s="1"/>
      <c r="Q424" s="1"/>
    </row>
    <row r="425" ht="14.25" customHeight="1">
      <c r="A425" s="1"/>
      <c r="B425" s="93" t="s">
        <v>2781</v>
      </c>
      <c r="C425" s="1213">
        <v>15.0</v>
      </c>
      <c r="D425" s="195">
        <f t="shared" si="45"/>
        <v>15</v>
      </c>
      <c r="E425" s="1158" t="s">
        <v>18</v>
      </c>
      <c r="F425" s="1"/>
      <c r="G425" s="1"/>
      <c r="H425" s="1"/>
      <c r="I425" s="1"/>
      <c r="J425" s="1"/>
      <c r="K425" s="1"/>
      <c r="L425" s="1"/>
      <c r="M425" s="1"/>
      <c r="N425" s="1"/>
      <c r="O425" s="1"/>
      <c r="P425" s="1"/>
      <c r="Q425" s="1"/>
    </row>
    <row r="426" ht="14.25" customHeight="1">
      <c r="A426" s="1"/>
      <c r="B426" s="93" t="s">
        <v>958</v>
      </c>
      <c r="C426" s="1213">
        <v>1.0</v>
      </c>
      <c r="D426" s="195">
        <f t="shared" ref="D426:D429" si="46">(C426*D425)/C425</f>
        <v>1</v>
      </c>
      <c r="E426" s="1158" t="s">
        <v>93</v>
      </c>
      <c r="F426" s="1"/>
      <c r="G426" s="1"/>
      <c r="H426" s="1"/>
      <c r="I426" s="1"/>
      <c r="J426" s="1"/>
      <c r="K426" s="1"/>
      <c r="L426" s="1"/>
      <c r="M426" s="1"/>
      <c r="N426" s="1"/>
      <c r="O426" s="1"/>
      <c r="P426" s="1"/>
      <c r="Q426" s="1"/>
    </row>
    <row r="427" ht="14.25" customHeight="1">
      <c r="A427" s="1"/>
      <c r="B427" s="105" t="s">
        <v>3244</v>
      </c>
      <c r="C427" s="1216">
        <v>100.0</v>
      </c>
      <c r="D427" s="200">
        <f t="shared" si="46"/>
        <v>100</v>
      </c>
      <c r="E427" s="1182" t="s">
        <v>18</v>
      </c>
      <c r="F427" s="1"/>
      <c r="G427" s="1"/>
      <c r="H427" s="1"/>
      <c r="I427" s="1"/>
      <c r="J427" s="1"/>
      <c r="K427" s="1"/>
      <c r="L427" s="1"/>
      <c r="M427" s="1"/>
      <c r="N427" s="1"/>
      <c r="O427" s="1"/>
      <c r="P427" s="1"/>
      <c r="Q427" s="1"/>
    </row>
    <row r="428" ht="14.25" customHeight="1">
      <c r="A428" s="1"/>
      <c r="B428" s="173" t="s">
        <v>164</v>
      </c>
      <c r="C428" s="1234">
        <v>1.0</v>
      </c>
      <c r="D428" s="275">
        <f t="shared" si="46"/>
        <v>1</v>
      </c>
      <c r="E428" s="1610" t="s">
        <v>5</v>
      </c>
      <c r="F428" s="1"/>
      <c r="G428" s="1"/>
      <c r="H428" s="1"/>
      <c r="I428" s="1"/>
      <c r="J428" s="1"/>
      <c r="K428" s="1"/>
      <c r="L428" s="1"/>
      <c r="M428" s="1"/>
      <c r="N428" s="1"/>
      <c r="O428" s="1"/>
      <c r="P428" s="1"/>
      <c r="Q428" s="1"/>
    </row>
    <row r="429" ht="14.25" customHeight="1">
      <c r="A429" s="1"/>
      <c r="B429" s="173" t="s">
        <v>31</v>
      </c>
      <c r="C429" s="1234">
        <v>60.0</v>
      </c>
      <c r="D429" s="275">
        <f t="shared" si="46"/>
        <v>60</v>
      </c>
      <c r="E429" s="1610" t="s">
        <v>18</v>
      </c>
      <c r="F429" s="1"/>
      <c r="G429" s="1"/>
      <c r="H429" s="1"/>
      <c r="I429" s="1"/>
      <c r="J429" s="1"/>
      <c r="K429" s="1"/>
      <c r="L429" s="1"/>
      <c r="M429" s="1"/>
      <c r="N429" s="1"/>
      <c r="O429" s="1"/>
      <c r="P429" s="1"/>
      <c r="Q429" s="1"/>
    </row>
    <row r="430" ht="14.25" customHeight="1">
      <c r="A430" s="1"/>
      <c r="B430" s="90" t="s">
        <v>120</v>
      </c>
      <c r="C430" s="1188">
        <v>43217.0</v>
      </c>
      <c r="D430" s="107"/>
      <c r="E430" s="107"/>
      <c r="F430" s="1"/>
      <c r="G430" s="1"/>
      <c r="H430" s="1"/>
      <c r="I430" s="1"/>
      <c r="J430" s="1"/>
      <c r="K430" s="1"/>
      <c r="L430" s="1"/>
      <c r="M430" s="1"/>
      <c r="N430" s="1"/>
      <c r="O430" s="1"/>
      <c r="P430" s="1"/>
      <c r="Q430" s="1"/>
    </row>
    <row r="431" ht="14.25" customHeight="1">
      <c r="A431" s="1"/>
      <c r="B431" s="305" t="s">
        <v>50</v>
      </c>
      <c r="C431" s="1188"/>
      <c r="D431" s="107"/>
      <c r="E431" s="107"/>
      <c r="F431" s="1"/>
      <c r="G431" s="1"/>
      <c r="H431" s="1"/>
      <c r="I431" s="1"/>
      <c r="J431" s="1"/>
      <c r="K431" s="1"/>
      <c r="L431" s="1"/>
      <c r="M431" s="1"/>
      <c r="N431" s="1"/>
      <c r="O431" s="1"/>
      <c r="P431" s="1"/>
      <c r="Q431" s="1"/>
    </row>
    <row r="432" ht="14.25" customHeight="1">
      <c r="A432" s="1"/>
      <c r="B432" s="1"/>
      <c r="C432" s="1"/>
      <c r="D432" s="1"/>
      <c r="E432" s="1"/>
      <c r="F432" s="1"/>
      <c r="G432" s="1"/>
      <c r="H432" s="1"/>
      <c r="I432" s="1"/>
      <c r="J432" s="1"/>
      <c r="K432" s="1"/>
      <c r="L432" s="1"/>
      <c r="M432" s="1"/>
      <c r="N432" s="1"/>
      <c r="O432" s="1"/>
      <c r="P432" s="1"/>
      <c r="Q432" s="1"/>
    </row>
    <row r="433" ht="14.25" customHeight="1">
      <c r="A433" s="1"/>
      <c r="B433" s="1"/>
      <c r="C433" s="1"/>
      <c r="D433" s="1"/>
      <c r="E433" s="1"/>
      <c r="F433" s="1"/>
      <c r="G433" s="1"/>
      <c r="H433" s="1"/>
      <c r="I433" s="1"/>
      <c r="J433" s="1"/>
      <c r="K433" s="1"/>
      <c r="L433" s="1"/>
      <c r="M433" s="1"/>
      <c r="N433" s="1"/>
      <c r="O433" s="1"/>
      <c r="P433" s="1"/>
      <c r="Q433" s="1"/>
    </row>
    <row r="434" ht="14.25" customHeight="1">
      <c r="A434" s="1"/>
      <c r="B434" s="2891" t="s">
        <v>695</v>
      </c>
      <c r="C434" s="18"/>
      <c r="D434" s="18"/>
      <c r="E434" s="19"/>
      <c r="F434" s="2670" t="s">
        <v>119</v>
      </c>
      <c r="G434" s="1446" t="s">
        <v>47</v>
      </c>
      <c r="H434" s="1"/>
      <c r="I434" s="1"/>
      <c r="J434" s="1"/>
      <c r="K434" s="1"/>
      <c r="L434" s="1"/>
      <c r="M434" s="1"/>
      <c r="N434" s="1"/>
      <c r="O434" s="1"/>
      <c r="P434" s="1"/>
      <c r="Q434" s="1"/>
    </row>
    <row r="435" ht="14.25" customHeight="1">
      <c r="A435" s="1"/>
      <c r="B435" s="51" t="s">
        <v>1</v>
      </c>
      <c r="C435" s="190">
        <v>10.0</v>
      </c>
      <c r="D435" s="513">
        <v>12.0</v>
      </c>
      <c r="E435" s="514" t="s">
        <v>5</v>
      </c>
      <c r="F435" s="1"/>
      <c r="G435" s="1"/>
      <c r="H435" s="1"/>
      <c r="I435" s="1"/>
      <c r="J435" s="1"/>
      <c r="K435" s="1"/>
      <c r="L435" s="1"/>
      <c r="M435" s="1"/>
      <c r="N435" s="1"/>
      <c r="O435" s="1"/>
      <c r="P435" s="1"/>
      <c r="Q435" s="1"/>
    </row>
    <row r="436" ht="14.25" customHeight="1">
      <c r="A436" s="1"/>
      <c r="B436" s="68" t="s">
        <v>3253</v>
      </c>
      <c r="C436" s="145">
        <v>9.0</v>
      </c>
      <c r="D436" s="516">
        <f t="shared" ref="D436:D438" si="47">(C436*D435)/C435</f>
        <v>10.8</v>
      </c>
      <c r="E436" s="216" t="s">
        <v>366</v>
      </c>
      <c r="F436" s="1"/>
      <c r="G436" s="1"/>
      <c r="H436" s="1"/>
      <c r="I436" s="1"/>
      <c r="J436" s="1"/>
      <c r="K436" s="1"/>
      <c r="L436" s="1"/>
      <c r="M436" s="1"/>
      <c r="N436" s="1"/>
      <c r="O436" s="1"/>
      <c r="P436" s="1"/>
      <c r="Q436" s="1"/>
    </row>
    <row r="437" ht="14.25" customHeight="1">
      <c r="A437" s="1"/>
      <c r="B437" s="93" t="s">
        <v>2683</v>
      </c>
      <c r="C437" s="23">
        <v>2.0</v>
      </c>
      <c r="D437" s="521">
        <f t="shared" si="47"/>
        <v>2.4</v>
      </c>
      <c r="E437" s="249" t="s">
        <v>14</v>
      </c>
      <c r="F437" s="1"/>
      <c r="G437" s="1"/>
      <c r="H437" s="1"/>
      <c r="I437" s="1"/>
      <c r="J437" s="1"/>
      <c r="K437" s="1"/>
      <c r="L437" s="1"/>
      <c r="M437" s="1"/>
      <c r="N437" s="1"/>
      <c r="O437" s="1"/>
      <c r="P437" s="1"/>
      <c r="Q437" s="1"/>
    </row>
    <row r="438" ht="14.25" customHeight="1">
      <c r="A438" s="1"/>
      <c r="B438" s="93" t="s">
        <v>2639</v>
      </c>
      <c r="C438" s="23">
        <v>1.0</v>
      </c>
      <c r="D438" s="521">
        <f t="shared" si="47"/>
        <v>1.2</v>
      </c>
      <c r="E438" s="249" t="s">
        <v>14</v>
      </c>
      <c r="F438" s="1"/>
      <c r="G438" s="1"/>
      <c r="H438" s="1"/>
      <c r="I438" s="1"/>
      <c r="J438" s="1"/>
      <c r="K438" s="1"/>
      <c r="L438" s="1"/>
      <c r="M438" s="1"/>
      <c r="N438" s="1"/>
      <c r="O438" s="1"/>
      <c r="P438" s="1"/>
      <c r="Q438" s="1"/>
    </row>
    <row r="439" ht="14.25" customHeight="1">
      <c r="A439" s="1"/>
      <c r="B439" s="93" t="s">
        <v>1189</v>
      </c>
      <c r="C439" s="23">
        <v>4.0</v>
      </c>
      <c r="D439" s="521">
        <f>(C439*D437)/C437</f>
        <v>4.8</v>
      </c>
      <c r="E439" s="249" t="s">
        <v>93</v>
      </c>
      <c r="F439" s="1"/>
      <c r="G439" s="1"/>
      <c r="H439" s="1"/>
      <c r="I439" s="1"/>
      <c r="J439" s="1"/>
      <c r="K439" s="1"/>
      <c r="L439" s="1"/>
      <c r="M439" s="1"/>
      <c r="N439" s="1"/>
      <c r="O439" s="1"/>
      <c r="P439" s="1"/>
      <c r="Q439" s="1"/>
    </row>
    <row r="440" ht="14.25" customHeight="1">
      <c r="A440" s="1"/>
      <c r="B440" s="93" t="s">
        <v>1610</v>
      </c>
      <c r="C440" s="23">
        <v>1.5</v>
      </c>
      <c r="D440" s="521">
        <f>(C440*D439)/C439</f>
        <v>1.8</v>
      </c>
      <c r="E440" s="249" t="s">
        <v>14</v>
      </c>
      <c r="F440" s="1"/>
      <c r="G440" s="1"/>
      <c r="H440" s="1"/>
      <c r="I440" s="1"/>
      <c r="J440" s="1"/>
      <c r="K440" s="1"/>
      <c r="L440" s="1"/>
      <c r="M440" s="1"/>
      <c r="N440" s="1"/>
      <c r="O440" s="1"/>
      <c r="P440" s="1"/>
      <c r="Q440" s="1"/>
    </row>
    <row r="441" ht="14.25" customHeight="1">
      <c r="A441" s="1"/>
      <c r="B441" s="90" t="s">
        <v>120</v>
      </c>
      <c r="C441" s="1188">
        <v>43628.0</v>
      </c>
      <c r="D441" s="1"/>
      <c r="E441" s="1"/>
      <c r="F441" s="1"/>
      <c r="G441" s="1"/>
      <c r="H441" s="1"/>
      <c r="I441" s="1"/>
      <c r="J441" s="1"/>
      <c r="K441" s="1"/>
      <c r="L441" s="1"/>
      <c r="M441" s="1"/>
      <c r="N441" s="1"/>
      <c r="O441" s="1"/>
      <c r="P441" s="1"/>
      <c r="Q441" s="1"/>
    </row>
    <row r="442" ht="14.25" customHeight="1">
      <c r="A442" s="1"/>
      <c r="B442" s="305" t="s">
        <v>50</v>
      </c>
      <c r="C442" s="1188">
        <v>43628.0</v>
      </c>
      <c r="D442" s="1"/>
      <c r="E442" s="1"/>
      <c r="F442" s="1"/>
      <c r="G442" s="1"/>
      <c r="H442" s="1"/>
      <c r="I442" s="1"/>
      <c r="J442" s="1"/>
      <c r="K442" s="1"/>
      <c r="L442" s="1"/>
      <c r="M442" s="1"/>
      <c r="N442" s="1"/>
      <c r="O442" s="1"/>
      <c r="P442" s="1"/>
      <c r="Q442" s="1"/>
    </row>
    <row r="443" ht="14.25" customHeight="1">
      <c r="A443" s="1"/>
      <c r="B443" s="1"/>
      <c r="C443" s="1"/>
      <c r="D443" s="1"/>
      <c r="E443" s="1"/>
      <c r="F443" s="1"/>
      <c r="G443" s="1"/>
      <c r="H443" s="1"/>
      <c r="I443" s="1"/>
      <c r="J443" s="1"/>
      <c r="K443" s="1"/>
      <c r="L443" s="1"/>
      <c r="M443" s="1"/>
      <c r="N443" s="1"/>
      <c r="O443" s="1"/>
      <c r="P443" s="1"/>
      <c r="Q443" s="1"/>
    </row>
    <row r="444" ht="14.25" customHeight="1">
      <c r="A444" s="1"/>
      <c r="B444" s="1"/>
      <c r="C444" s="1"/>
      <c r="D444" s="1"/>
      <c r="E444" s="1"/>
      <c r="F444" s="1"/>
      <c r="G444" s="1"/>
      <c r="H444" s="1"/>
      <c r="I444" s="1"/>
      <c r="J444" s="1"/>
      <c r="K444" s="1"/>
      <c r="L444" s="1"/>
      <c r="M444" s="1"/>
      <c r="N444" s="1"/>
      <c r="O444" s="1"/>
      <c r="P444" s="1"/>
      <c r="Q444" s="1"/>
    </row>
    <row r="445" ht="14.25" customHeight="1">
      <c r="A445" s="1"/>
      <c r="B445" s="1"/>
      <c r="C445" s="1"/>
      <c r="D445" s="1"/>
      <c r="E445" s="1"/>
      <c r="F445" s="1"/>
      <c r="G445" s="1"/>
      <c r="H445" s="1"/>
      <c r="I445" s="1"/>
      <c r="J445" s="1"/>
      <c r="K445" s="1"/>
      <c r="L445" s="1"/>
      <c r="M445" s="1"/>
      <c r="N445" s="1"/>
      <c r="O445" s="1"/>
      <c r="P445" s="1"/>
      <c r="Q445" s="1"/>
    </row>
    <row r="446" ht="14.25" customHeight="1">
      <c r="A446" s="1"/>
      <c r="B446" s="1"/>
      <c r="C446" s="1"/>
      <c r="D446" s="1"/>
      <c r="E446" s="1"/>
      <c r="F446" s="1"/>
      <c r="G446" s="1"/>
      <c r="H446" s="1"/>
      <c r="I446" s="1"/>
      <c r="J446" s="1"/>
      <c r="K446" s="1"/>
      <c r="L446" s="1"/>
      <c r="M446" s="1"/>
      <c r="N446" s="1"/>
      <c r="O446" s="1"/>
      <c r="P446" s="1"/>
      <c r="Q446" s="1"/>
    </row>
    <row r="447" ht="14.25" customHeight="1">
      <c r="A447" s="1"/>
      <c r="B447" s="766" t="s">
        <v>3262</v>
      </c>
      <c r="C447" s="18"/>
      <c r="D447" s="18"/>
      <c r="E447" s="19"/>
      <c r="F447" s="1"/>
      <c r="G447" s="1"/>
      <c r="H447" s="1326" t="s">
        <v>3263</v>
      </c>
      <c r="I447" s="18"/>
      <c r="J447" s="18"/>
      <c r="K447" s="19"/>
      <c r="L447" s="1"/>
      <c r="M447" s="1"/>
      <c r="N447" s="1"/>
      <c r="O447" s="1"/>
      <c r="P447" s="1"/>
      <c r="Q447" s="1"/>
    </row>
    <row r="448" ht="14.25" customHeight="1">
      <c r="A448" s="1"/>
      <c r="B448" s="51" t="s">
        <v>1</v>
      </c>
      <c r="C448" s="53">
        <v>25.0</v>
      </c>
      <c r="D448" s="53">
        <v>50.0</v>
      </c>
      <c r="E448" s="514" t="s">
        <v>5</v>
      </c>
      <c r="F448" s="1"/>
      <c r="G448" s="1"/>
      <c r="H448" s="51" t="s">
        <v>1</v>
      </c>
      <c r="I448" s="53">
        <v>25.0</v>
      </c>
      <c r="J448" s="53">
        <v>50.0</v>
      </c>
      <c r="K448" s="514" t="s">
        <v>5</v>
      </c>
      <c r="L448" s="1"/>
      <c r="M448" s="1"/>
      <c r="N448" s="1"/>
      <c r="O448" s="1"/>
      <c r="P448" s="1"/>
      <c r="Q448" s="1"/>
    </row>
    <row r="449" ht="14.25" customHeight="1">
      <c r="A449" s="1"/>
      <c r="B449" s="173" t="s">
        <v>3264</v>
      </c>
      <c r="C449" s="545">
        <v>2.5</v>
      </c>
      <c r="D449" s="545">
        <f t="shared" ref="D449:D468" si="48">(C449*D448)/C448</f>
        <v>5</v>
      </c>
      <c r="E449" s="547" t="s">
        <v>14</v>
      </c>
      <c r="F449" s="1"/>
      <c r="G449" s="1"/>
      <c r="H449" s="68" t="s">
        <v>3264</v>
      </c>
      <c r="I449" s="210">
        <v>1.25</v>
      </c>
      <c r="J449" s="210">
        <f t="shared" ref="J449:J450" si="49">(I449*J448)/I448</f>
        <v>2.5</v>
      </c>
      <c r="K449" s="216" t="s">
        <v>14</v>
      </c>
      <c r="L449" s="1"/>
      <c r="M449" s="1"/>
      <c r="N449" s="1"/>
      <c r="O449" s="1"/>
      <c r="P449" s="1"/>
      <c r="Q449" s="1"/>
    </row>
    <row r="450" ht="14.25" customHeight="1">
      <c r="A450" s="1"/>
      <c r="B450" s="68" t="s">
        <v>2722</v>
      </c>
      <c r="C450" s="210">
        <v>1.6</v>
      </c>
      <c r="D450" s="545">
        <f t="shared" si="48"/>
        <v>3.2</v>
      </c>
      <c r="E450" s="216" t="s">
        <v>14</v>
      </c>
      <c r="F450" s="1"/>
      <c r="G450" s="1"/>
      <c r="H450" s="138" t="s">
        <v>1161</v>
      </c>
      <c r="I450" s="239">
        <v>1.25</v>
      </c>
      <c r="J450" s="239">
        <f t="shared" si="49"/>
        <v>2.5</v>
      </c>
      <c r="K450" s="242" t="s">
        <v>14</v>
      </c>
      <c r="L450" s="1"/>
      <c r="M450" s="1"/>
      <c r="N450" s="1"/>
      <c r="O450" s="1"/>
      <c r="P450" s="1"/>
      <c r="Q450" s="1"/>
    </row>
    <row r="451" ht="14.25" customHeight="1">
      <c r="A451" s="1"/>
      <c r="B451" s="68" t="s">
        <v>1117</v>
      </c>
      <c r="C451" s="210">
        <v>1.6</v>
      </c>
      <c r="D451" s="545">
        <f t="shared" si="48"/>
        <v>3.2</v>
      </c>
      <c r="E451" s="216" t="s">
        <v>14</v>
      </c>
      <c r="F451" s="1"/>
      <c r="G451" s="1"/>
      <c r="H451" s="68" t="s">
        <v>2722</v>
      </c>
      <c r="I451" s="210">
        <v>1.6</v>
      </c>
      <c r="J451" s="210">
        <f>(I451*J449)/I449</f>
        <v>3.2</v>
      </c>
      <c r="K451" s="216" t="s">
        <v>14</v>
      </c>
      <c r="L451" s="1"/>
      <c r="M451" s="1"/>
      <c r="N451" s="1"/>
      <c r="O451" s="1"/>
      <c r="P451" s="1"/>
      <c r="Q451" s="1"/>
    </row>
    <row r="452" ht="14.25" customHeight="1">
      <c r="A452" s="1"/>
      <c r="B452" s="93" t="s">
        <v>31</v>
      </c>
      <c r="C452" s="247">
        <v>140.0</v>
      </c>
      <c r="D452" s="545">
        <f t="shared" si="48"/>
        <v>280</v>
      </c>
      <c r="E452" s="249" t="s">
        <v>18</v>
      </c>
      <c r="F452" s="1"/>
      <c r="G452" s="1"/>
      <c r="H452" s="105" t="s">
        <v>1117</v>
      </c>
      <c r="I452" s="522">
        <v>1.6</v>
      </c>
      <c r="J452" s="522">
        <f t="shared" ref="J452:J469" si="50">(I452*J451)/I451</f>
        <v>3.2</v>
      </c>
      <c r="K452" s="518" t="s">
        <v>14</v>
      </c>
      <c r="L452" s="1"/>
      <c r="M452" s="1"/>
      <c r="N452" s="1"/>
      <c r="O452" s="1"/>
      <c r="P452" s="1"/>
      <c r="Q452" s="1"/>
    </row>
    <row r="453" ht="14.25" customHeight="1">
      <c r="A453" s="1"/>
      <c r="B453" s="149" t="s">
        <v>1321</v>
      </c>
      <c r="C453" s="272">
        <v>25.0</v>
      </c>
      <c r="D453" s="545">
        <f t="shared" si="48"/>
        <v>50</v>
      </c>
      <c r="E453" s="288" t="s">
        <v>18</v>
      </c>
      <c r="F453" s="1"/>
      <c r="G453" s="1"/>
      <c r="H453" s="119" t="s">
        <v>31</v>
      </c>
      <c r="I453" s="523">
        <v>140.0</v>
      </c>
      <c r="J453" s="272">
        <f t="shared" si="50"/>
        <v>280</v>
      </c>
      <c r="K453" s="520" t="s">
        <v>18</v>
      </c>
      <c r="L453" s="1"/>
      <c r="M453" s="1"/>
      <c r="N453" s="1"/>
      <c r="O453" s="1"/>
      <c r="P453" s="1"/>
      <c r="Q453" s="1"/>
    </row>
    <row r="454" ht="14.25" customHeight="1">
      <c r="A454" s="1"/>
      <c r="B454" s="138" t="s">
        <v>2590</v>
      </c>
      <c r="C454" s="239">
        <v>2.5</v>
      </c>
      <c r="D454" s="545">
        <f t="shared" si="48"/>
        <v>5</v>
      </c>
      <c r="E454" s="242" t="s">
        <v>14</v>
      </c>
      <c r="F454" s="1"/>
      <c r="G454" s="1"/>
      <c r="H454" s="149" t="s">
        <v>1321</v>
      </c>
      <c r="I454" s="272">
        <v>25.0</v>
      </c>
      <c r="J454" s="545">
        <f t="shared" si="50"/>
        <v>50</v>
      </c>
      <c r="K454" s="288" t="s">
        <v>18</v>
      </c>
      <c r="L454" s="1"/>
      <c r="M454" s="1"/>
      <c r="N454" s="1"/>
      <c r="O454" s="1"/>
      <c r="P454" s="1"/>
      <c r="Q454" s="1"/>
    </row>
    <row r="455" ht="14.25" customHeight="1">
      <c r="A455" s="1"/>
      <c r="B455" s="68" t="s">
        <v>2726</v>
      </c>
      <c r="C455" s="210">
        <v>0.6</v>
      </c>
      <c r="D455" s="545">
        <f t="shared" si="48"/>
        <v>1.2</v>
      </c>
      <c r="E455" s="216" t="s">
        <v>14</v>
      </c>
      <c r="F455" s="1"/>
      <c r="G455" s="1"/>
      <c r="H455" s="138" t="s">
        <v>2590</v>
      </c>
      <c r="I455" s="239">
        <v>2.5</v>
      </c>
      <c r="J455" s="545">
        <f t="shared" si="50"/>
        <v>5</v>
      </c>
      <c r="K455" s="242" t="s">
        <v>14</v>
      </c>
      <c r="L455" s="1"/>
      <c r="M455" s="1"/>
      <c r="N455" s="1"/>
      <c r="O455" s="1"/>
      <c r="P455" s="1"/>
      <c r="Q455" s="1"/>
    </row>
    <row r="456" ht="14.25" customHeight="1">
      <c r="A456" s="1"/>
      <c r="B456" s="93" t="s">
        <v>2728</v>
      </c>
      <c r="C456" s="247">
        <v>3.0</v>
      </c>
      <c r="D456" s="545">
        <f t="shared" si="48"/>
        <v>6</v>
      </c>
      <c r="E456" s="249" t="s">
        <v>741</v>
      </c>
      <c r="F456" s="1"/>
      <c r="G456" s="1"/>
      <c r="H456" s="68" t="s">
        <v>2726</v>
      </c>
      <c r="I456" s="210">
        <v>0.4</v>
      </c>
      <c r="J456" s="545">
        <f t="shared" si="50"/>
        <v>0.8</v>
      </c>
      <c r="K456" s="216" t="s">
        <v>14</v>
      </c>
      <c r="L456" s="1"/>
      <c r="M456" s="1"/>
      <c r="N456" s="1"/>
      <c r="O456" s="1"/>
      <c r="P456" s="1"/>
      <c r="Q456" s="1"/>
    </row>
    <row r="457" ht="14.25" customHeight="1">
      <c r="A457" s="1"/>
      <c r="B457" s="93" t="s">
        <v>1132</v>
      </c>
      <c r="C457" s="247">
        <v>250.0</v>
      </c>
      <c r="D457" s="545">
        <f t="shared" si="48"/>
        <v>500</v>
      </c>
      <c r="E457" s="249" t="s">
        <v>18</v>
      </c>
      <c r="F457" s="1"/>
      <c r="G457" s="1"/>
      <c r="H457" s="93" t="s">
        <v>2728</v>
      </c>
      <c r="I457" s="247">
        <v>1.0</v>
      </c>
      <c r="J457" s="545">
        <f t="shared" si="50"/>
        <v>2</v>
      </c>
      <c r="K457" s="249" t="s">
        <v>741</v>
      </c>
      <c r="L457" s="1"/>
      <c r="M457" s="1"/>
      <c r="N457" s="1"/>
      <c r="O457" s="1"/>
      <c r="P457" s="1"/>
      <c r="Q457" s="1"/>
    </row>
    <row r="458" ht="14.25" customHeight="1">
      <c r="A458" s="1"/>
      <c r="B458" s="93" t="s">
        <v>2731</v>
      </c>
      <c r="C458" s="247">
        <v>0.24</v>
      </c>
      <c r="D458" s="545">
        <f t="shared" si="48"/>
        <v>0.48</v>
      </c>
      <c r="E458" s="249" t="s">
        <v>14</v>
      </c>
      <c r="F458" s="1"/>
      <c r="G458" s="1"/>
      <c r="H458" s="93" t="s">
        <v>1132</v>
      </c>
      <c r="I458" s="247">
        <v>200.0</v>
      </c>
      <c r="J458" s="545">
        <f t="shared" si="50"/>
        <v>400</v>
      </c>
      <c r="K458" s="249" t="s">
        <v>18</v>
      </c>
      <c r="L458" s="1"/>
      <c r="M458" s="1"/>
      <c r="N458" s="1"/>
      <c r="O458" s="1"/>
      <c r="P458" s="1"/>
      <c r="Q458" s="1"/>
    </row>
    <row r="459" ht="14.25" customHeight="1">
      <c r="A459" s="1"/>
      <c r="B459" s="105" t="s">
        <v>2734</v>
      </c>
      <c r="C459" s="522">
        <v>120.0</v>
      </c>
      <c r="D459" s="545">
        <f t="shared" si="48"/>
        <v>240</v>
      </c>
      <c r="E459" s="518" t="s">
        <v>18</v>
      </c>
      <c r="F459" s="1"/>
      <c r="G459" s="1"/>
      <c r="H459" s="93" t="s">
        <v>2731</v>
      </c>
      <c r="I459" s="247">
        <v>0.24</v>
      </c>
      <c r="J459" s="545">
        <f t="shared" si="50"/>
        <v>0.48</v>
      </c>
      <c r="K459" s="249" t="s">
        <v>14</v>
      </c>
      <c r="L459" s="1"/>
      <c r="M459" s="1"/>
      <c r="N459" s="1"/>
      <c r="O459" s="1"/>
      <c r="P459" s="1"/>
      <c r="Q459" s="1"/>
    </row>
    <row r="460" ht="14.25" customHeight="1">
      <c r="A460" s="1"/>
      <c r="B460" s="119" t="s">
        <v>91</v>
      </c>
      <c r="C460" s="523">
        <v>0.45</v>
      </c>
      <c r="D460" s="545">
        <f t="shared" si="48"/>
        <v>0.9</v>
      </c>
      <c r="E460" s="520" t="s">
        <v>5</v>
      </c>
      <c r="F460" s="1"/>
      <c r="G460" s="1"/>
      <c r="H460" s="105" t="s">
        <v>2734</v>
      </c>
      <c r="I460" s="522">
        <v>120.0</v>
      </c>
      <c r="J460" s="545">
        <f t="shared" si="50"/>
        <v>240</v>
      </c>
      <c r="K460" s="518" t="s">
        <v>18</v>
      </c>
      <c r="L460" s="1"/>
      <c r="M460" s="1"/>
      <c r="N460" s="1"/>
      <c r="O460" s="1"/>
      <c r="P460" s="1"/>
      <c r="Q460" s="1"/>
    </row>
    <row r="461" ht="14.25" customHeight="1">
      <c r="A461" s="1"/>
      <c r="B461" s="93" t="s">
        <v>98</v>
      </c>
      <c r="C461" s="247">
        <v>25.0</v>
      </c>
      <c r="D461" s="545">
        <f t="shared" si="48"/>
        <v>50</v>
      </c>
      <c r="E461" s="249" t="s">
        <v>18</v>
      </c>
      <c r="F461" s="1"/>
      <c r="G461" s="1"/>
      <c r="H461" s="119" t="s">
        <v>91</v>
      </c>
      <c r="I461" s="523">
        <v>0.45</v>
      </c>
      <c r="J461" s="545">
        <f t="shared" si="50"/>
        <v>0.9</v>
      </c>
      <c r="K461" s="520" t="s">
        <v>5</v>
      </c>
      <c r="L461" s="1"/>
      <c r="M461" s="1"/>
      <c r="N461" s="1"/>
      <c r="O461" s="1"/>
      <c r="P461" s="1"/>
      <c r="Q461" s="1"/>
    </row>
    <row r="462" ht="14.25" customHeight="1">
      <c r="A462" s="1"/>
      <c r="B462" s="93" t="s">
        <v>103</v>
      </c>
      <c r="C462" s="247">
        <v>12.5</v>
      </c>
      <c r="D462" s="545">
        <f t="shared" si="48"/>
        <v>25</v>
      </c>
      <c r="E462" s="249" t="s">
        <v>18</v>
      </c>
      <c r="F462" s="1"/>
      <c r="G462" s="1"/>
      <c r="H462" s="93" t="s">
        <v>98</v>
      </c>
      <c r="I462" s="247">
        <v>25.0</v>
      </c>
      <c r="J462" s="545">
        <f t="shared" si="50"/>
        <v>50</v>
      </c>
      <c r="K462" s="249" t="s">
        <v>18</v>
      </c>
      <c r="L462" s="1"/>
      <c r="M462" s="1"/>
      <c r="N462" s="1"/>
      <c r="O462" s="1"/>
      <c r="P462" s="1"/>
      <c r="Q462" s="1"/>
    </row>
    <row r="463" ht="14.25" customHeight="1">
      <c r="A463" s="1"/>
      <c r="B463" s="93" t="s">
        <v>112</v>
      </c>
      <c r="C463" s="247">
        <v>40.0</v>
      </c>
      <c r="D463" s="545">
        <f t="shared" si="48"/>
        <v>80</v>
      </c>
      <c r="E463" s="249" t="s">
        <v>18</v>
      </c>
      <c r="F463" s="1"/>
      <c r="G463" s="1"/>
      <c r="H463" s="93" t="s">
        <v>103</v>
      </c>
      <c r="I463" s="247">
        <v>12.5</v>
      </c>
      <c r="J463" s="545">
        <f t="shared" si="50"/>
        <v>25</v>
      </c>
      <c r="K463" s="249" t="s">
        <v>18</v>
      </c>
      <c r="L463" s="1"/>
      <c r="M463" s="1"/>
      <c r="N463" s="1"/>
      <c r="O463" s="1"/>
      <c r="P463" s="1"/>
      <c r="Q463" s="1"/>
    </row>
    <row r="464" ht="14.25" customHeight="1">
      <c r="A464" s="1"/>
      <c r="B464" s="93" t="s">
        <v>80</v>
      </c>
      <c r="C464" s="247">
        <v>0.25</v>
      </c>
      <c r="D464" s="545">
        <f t="shared" si="48"/>
        <v>0.5</v>
      </c>
      <c r="E464" s="249" t="s">
        <v>14</v>
      </c>
      <c r="F464" s="1"/>
      <c r="G464" s="1"/>
      <c r="H464" s="93" t="s">
        <v>112</v>
      </c>
      <c r="I464" s="247">
        <v>40.0</v>
      </c>
      <c r="J464" s="545">
        <f t="shared" si="50"/>
        <v>80</v>
      </c>
      <c r="K464" s="249" t="s">
        <v>18</v>
      </c>
      <c r="L464" s="1"/>
      <c r="M464" s="1"/>
      <c r="N464" s="1"/>
      <c r="O464" s="1"/>
      <c r="P464" s="1"/>
      <c r="Q464" s="1"/>
    </row>
    <row r="465" ht="14.25" customHeight="1">
      <c r="A465" s="1"/>
      <c r="B465" s="93" t="s">
        <v>2741</v>
      </c>
      <c r="C465" s="247">
        <v>70.0</v>
      </c>
      <c r="D465" s="545">
        <f t="shared" si="48"/>
        <v>140</v>
      </c>
      <c r="E465" s="249" t="s">
        <v>18</v>
      </c>
      <c r="F465" s="1"/>
      <c r="G465" s="1"/>
      <c r="H465" s="93" t="s">
        <v>80</v>
      </c>
      <c r="I465" s="247">
        <v>0.25</v>
      </c>
      <c r="J465" s="545">
        <f t="shared" si="50"/>
        <v>0.5</v>
      </c>
      <c r="K465" s="249" t="s">
        <v>14</v>
      </c>
      <c r="L465" s="1"/>
      <c r="M465" s="1"/>
      <c r="N465" s="1"/>
      <c r="O465" s="1"/>
      <c r="P465" s="1"/>
      <c r="Q465" s="1"/>
    </row>
    <row r="466" ht="14.25" customHeight="1">
      <c r="A466" s="1"/>
      <c r="B466" s="138" t="s">
        <v>31</v>
      </c>
      <c r="C466" s="239">
        <v>150.0</v>
      </c>
      <c r="D466" s="545">
        <f t="shared" si="48"/>
        <v>300</v>
      </c>
      <c r="E466" s="242" t="s">
        <v>18</v>
      </c>
      <c r="F466" s="1"/>
      <c r="G466" s="1"/>
      <c r="H466" s="93" t="s">
        <v>2741</v>
      </c>
      <c r="I466" s="247">
        <v>70.0</v>
      </c>
      <c r="J466" s="545">
        <f t="shared" si="50"/>
        <v>140</v>
      </c>
      <c r="K466" s="249" t="s">
        <v>18</v>
      </c>
      <c r="L466" s="1"/>
      <c r="M466" s="1"/>
      <c r="N466" s="1"/>
      <c r="O466" s="1"/>
      <c r="P466" s="1"/>
      <c r="Q466" s="1"/>
    </row>
    <row r="467" ht="14.25" customHeight="1">
      <c r="A467" s="1"/>
      <c r="B467" s="1153" t="s">
        <v>2742</v>
      </c>
      <c r="C467" s="545">
        <v>1.0</v>
      </c>
      <c r="D467" s="545">
        <f t="shared" si="48"/>
        <v>2</v>
      </c>
      <c r="E467" s="547" t="s">
        <v>5</v>
      </c>
      <c r="F467" s="1"/>
      <c r="G467" s="1"/>
      <c r="H467" s="138" t="s">
        <v>31</v>
      </c>
      <c r="I467" s="239">
        <v>150.0</v>
      </c>
      <c r="J467" s="545">
        <f t="shared" si="50"/>
        <v>300</v>
      </c>
      <c r="K467" s="242" t="s">
        <v>18</v>
      </c>
      <c r="L467" s="1"/>
      <c r="M467" s="1"/>
      <c r="N467" s="1"/>
      <c r="O467" s="1"/>
      <c r="P467" s="1"/>
      <c r="Q467" s="1"/>
    </row>
    <row r="468" ht="14.25" customHeight="1">
      <c r="A468" s="1"/>
      <c r="B468" s="173" t="s">
        <v>114</v>
      </c>
      <c r="C468" s="545">
        <v>0.3</v>
      </c>
      <c r="D468" s="545">
        <f t="shared" si="48"/>
        <v>0.6</v>
      </c>
      <c r="E468" s="547" t="s">
        <v>5</v>
      </c>
      <c r="F468" s="1"/>
      <c r="G468" s="1"/>
      <c r="H468" s="1153" t="s">
        <v>2742</v>
      </c>
      <c r="I468" s="545">
        <v>1.0</v>
      </c>
      <c r="J468" s="545">
        <f t="shared" si="50"/>
        <v>2</v>
      </c>
      <c r="K468" s="547" t="s">
        <v>5</v>
      </c>
      <c r="L468" s="1"/>
      <c r="M468" s="1"/>
      <c r="N468" s="1"/>
      <c r="O468" s="1"/>
      <c r="P468" s="1"/>
      <c r="Q468" s="1"/>
    </row>
    <row r="469" ht="14.25" customHeight="1">
      <c r="A469" s="1"/>
      <c r="B469" s="2670" t="s">
        <v>119</v>
      </c>
      <c r="C469" s="1446" t="s">
        <v>47</v>
      </c>
      <c r="D469" s="1"/>
      <c r="E469" s="1"/>
      <c r="F469" s="1"/>
      <c r="G469" s="1"/>
      <c r="H469" s="173" t="s">
        <v>114</v>
      </c>
      <c r="I469" s="545">
        <v>0.3</v>
      </c>
      <c r="J469" s="545">
        <f t="shared" si="50"/>
        <v>0.6</v>
      </c>
      <c r="K469" s="547" t="s">
        <v>5</v>
      </c>
      <c r="L469" s="1"/>
      <c r="M469" s="1"/>
      <c r="N469" s="1"/>
      <c r="O469" s="1"/>
      <c r="P469" s="1"/>
      <c r="Q469" s="1"/>
    </row>
    <row r="470" ht="14.25" customHeight="1">
      <c r="A470" s="1"/>
      <c r="B470" s="90" t="s">
        <v>120</v>
      </c>
      <c r="C470" s="1188">
        <v>43811.0</v>
      </c>
      <c r="D470" s="1"/>
      <c r="E470" s="1"/>
      <c r="F470" s="1"/>
      <c r="G470" s="1"/>
      <c r="H470" s="1"/>
      <c r="I470" s="1"/>
      <c r="J470" s="1"/>
      <c r="K470" s="1"/>
      <c r="L470" s="1"/>
      <c r="M470" s="1"/>
      <c r="N470" s="1"/>
      <c r="O470" s="1"/>
      <c r="P470" s="1"/>
      <c r="Q470" s="1"/>
    </row>
    <row r="471" ht="14.25" customHeight="1">
      <c r="A471" s="1"/>
      <c r="B471" s="305" t="s">
        <v>50</v>
      </c>
      <c r="C471" s="1188">
        <v>43811.0</v>
      </c>
      <c r="D471" s="1"/>
      <c r="E471" s="1"/>
      <c r="F471" s="1"/>
      <c r="G471" s="1"/>
      <c r="H471" s="1"/>
      <c r="I471" s="1"/>
      <c r="J471" s="1"/>
      <c r="K471" s="1"/>
      <c r="L471" s="1"/>
      <c r="M471" s="1"/>
      <c r="N471" s="1"/>
      <c r="O471" s="1"/>
      <c r="P471" s="1"/>
      <c r="Q471" s="1"/>
    </row>
    <row r="472" ht="14.25" customHeight="1">
      <c r="A472" s="1"/>
      <c r="B472" s="1"/>
      <c r="C472" s="1"/>
      <c r="D472" s="1"/>
      <c r="E472" s="1"/>
      <c r="F472" s="1"/>
      <c r="G472" s="1"/>
      <c r="H472" s="1"/>
      <c r="I472" s="1"/>
      <c r="J472" s="1"/>
      <c r="K472" s="1"/>
      <c r="L472" s="1"/>
      <c r="M472" s="1"/>
      <c r="N472" s="1"/>
      <c r="O472" s="1"/>
      <c r="P472" s="1"/>
      <c r="Q472" s="1"/>
    </row>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2:$E$34"/>
  <mergeCells count="35">
    <mergeCell ref="M9:O10"/>
    <mergeCell ref="H26:L26"/>
    <mergeCell ref="B36:E36"/>
    <mergeCell ref="B42:E42"/>
    <mergeCell ref="B47:E47"/>
    <mergeCell ref="B55:E55"/>
    <mergeCell ref="B63:E63"/>
    <mergeCell ref="B86:E86"/>
    <mergeCell ref="B117:E117"/>
    <mergeCell ref="B124:E124"/>
    <mergeCell ref="B130:E130"/>
    <mergeCell ref="B140:E140"/>
    <mergeCell ref="B151:E151"/>
    <mergeCell ref="B168:E168"/>
    <mergeCell ref="B176:E176"/>
    <mergeCell ref="B185:E185"/>
    <mergeCell ref="B195:E195"/>
    <mergeCell ref="B205:E205"/>
    <mergeCell ref="B236:E236"/>
    <mergeCell ref="B264:E264"/>
    <mergeCell ref="F266:F271"/>
    <mergeCell ref="B357:E357"/>
    <mergeCell ref="B372:E372"/>
    <mergeCell ref="B391:E391"/>
    <mergeCell ref="B408:E408"/>
    <mergeCell ref="B434:E434"/>
    <mergeCell ref="B447:E447"/>
    <mergeCell ref="H447:K447"/>
    <mergeCell ref="F272:F276"/>
    <mergeCell ref="B287:E287"/>
    <mergeCell ref="F290:F302"/>
    <mergeCell ref="F303:F310"/>
    <mergeCell ref="F311:F313"/>
    <mergeCell ref="B321:E321"/>
    <mergeCell ref="B338:E338"/>
  </mergeCells>
  <hyperlinks>
    <hyperlink display="BACK" location="'Recipe Index'!CT38" ref="F35"/>
    <hyperlink display="HOME" location="'Recipe Index'!B5" ref="G35"/>
    <hyperlink display="BACK" location="'Recipe Index'!DM42" ref="F42"/>
    <hyperlink display="HOME" location="'Recipe Index'!B5" ref="G42"/>
    <hyperlink display="BACK" location="'Recipe Index'!DM42" ref="F47"/>
    <hyperlink display="HOME" location="'Recipe Index'!B5" ref="G47"/>
    <hyperlink display="BACK" location="'Recipe Index'!CT38" ref="F55"/>
    <hyperlink display="HOME" location="'Recipe Index'!B5" ref="G55"/>
    <hyperlink display="BACK" location="'Recipe Index'!CT38" ref="F63"/>
    <hyperlink display="HOME" location="'Recipe Index'!B5" ref="G63"/>
    <hyperlink display="BACK" location="'Recipe Index'!CT38" ref="F86"/>
    <hyperlink display="HOME" location="'Recipe Index'!B5" ref="G86"/>
    <hyperlink display="BACK" location="'Recipe Index'!CT38" ref="F117"/>
    <hyperlink display="HOME" location="'Recipe Index'!B5" ref="G117"/>
    <hyperlink display="BACK" location="'Recipe Index'!CT38" ref="F124"/>
    <hyperlink display="HOME" location="'Recipe Index'!B5" ref="G124"/>
    <hyperlink display="BACK" location="'Recipe Index'!CT38" ref="F130"/>
    <hyperlink display="HOME" location="'Recipe Index'!B5" ref="G130"/>
    <hyperlink display="BACK" location="'Recipe Index'!CT38" ref="F140"/>
    <hyperlink display="HOME" location="'Recipe Index'!B5" ref="G140"/>
    <hyperlink display="BACK" location="'Recipe Index'!CT38" ref="F151"/>
    <hyperlink display="HOME" location="'Recipe Index'!B5" ref="G151"/>
    <hyperlink display="BACK" location="'Recipe Index'!CT38" ref="F168"/>
    <hyperlink display="HOME" location="'Recipe Index'!B5" ref="G168"/>
    <hyperlink display="BACK" location="'Recipe Index'!CT38" ref="F176"/>
    <hyperlink display="HOME" location="'Recipe Index'!B5" ref="G176"/>
    <hyperlink display="BACK" location="'Recipe Index'!CT38" ref="F185"/>
    <hyperlink display="HOME" location="'Recipe Index'!B5" ref="G185"/>
    <hyperlink display="BACK" location="'Recipe Index'!CT38" ref="F195"/>
    <hyperlink display="HOME" location="'Recipe Index'!B5" ref="G195"/>
    <hyperlink display="BACK" location="'Recipe Index'!CT38" ref="F205"/>
    <hyperlink display="HOME" location="'Recipe Index'!B5" ref="G205"/>
    <hyperlink display="BACK" location="'Recipe Index'!CT38" ref="F236"/>
    <hyperlink display="HOME" location="'Recipe Index'!B5" ref="G236"/>
    <hyperlink display="BACK" location="'Recipe Index'!CT38" ref="F264"/>
    <hyperlink display="HOME" location="'Recipe Index'!B5" ref="G264"/>
    <hyperlink display="BACK" location="'Recipe Index'!CT38" ref="F287"/>
    <hyperlink display="HOME" location="'Recipe Index'!B5" ref="G287"/>
    <hyperlink display="BACK" location="'Recipe Index'!CT38" ref="F321"/>
    <hyperlink display="HOME" location="'Recipe Index'!B5" ref="G321"/>
    <hyperlink display="BACK" location="'Recipe Index'!CT38" ref="F338"/>
    <hyperlink display="HOME" location="'Recipe Index'!B5" ref="G338"/>
    <hyperlink display="BACK" location="'Recipe Index'!CT38" ref="F357"/>
    <hyperlink display="HOME" location="'Recipe Index'!B5" ref="G357"/>
    <hyperlink display="BACK" location="'Recipe Index'!CT38" ref="F372"/>
    <hyperlink display="HOME" location="'Recipe Index'!B5" ref="G372"/>
    <hyperlink display="BACK" location="'Recipe Index'!CT38" ref="F391"/>
    <hyperlink display="HOME" location="'Recipe Index'!B5" ref="G391"/>
    <hyperlink display="BACK" location="'Recipe Index'!CT38" ref="F408"/>
    <hyperlink display="HOME" location="'Recipe Index'!B5" ref="G408"/>
    <hyperlink display="BACK" location="'Recipe Index'!CT38" ref="F434"/>
    <hyperlink display="HOME" location="'Recipe Index'!B5" ref="G434"/>
    <hyperlink display="BACK" location="'Recipe Index'!CT38" ref="B469"/>
    <hyperlink display="HOME" location="'Recipe Index'!B5" ref="C469"/>
  </hyperlink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